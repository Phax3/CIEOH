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Desktop\"/>
    </mc:Choice>
  </mc:AlternateContent>
  <xr:revisionPtr revIDLastSave="0" documentId="8_{BEFE92DF-EF2E-499C-8B5A-97B79C7D04B6}" xr6:coauthVersionLast="47" xr6:coauthVersionMax="47" xr10:uidLastSave="{00000000-0000-0000-0000-000000000000}"/>
  <bookViews>
    <workbookView xWindow="-110" yWindow="-110" windowWidth="25820" windowHeight="16220" xr2:uid="{B718B7B8-D389-4DA7-A26D-FE70823358A5}"/>
  </bookViews>
  <sheets>
    <sheet name="Data" sheetId="1" r:id="rId1"/>
    <sheet name="Legends" sheetId="2" r:id="rId2"/>
    <sheet name="Sheet1" sheetId="3" r:id="rId3"/>
  </sheets>
  <definedNames>
    <definedName name="btblfn1" localSheetId="2">Sheet1!$B$1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020" i="1" l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04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5817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782" i="1"/>
  <c r="S5730" i="1"/>
  <c r="S5731" i="1"/>
  <c r="S5755" i="1"/>
  <c r="S5756" i="1"/>
  <c r="S5761" i="1"/>
  <c r="S5771" i="1"/>
  <c r="S5772" i="1"/>
  <c r="S5777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678" i="1"/>
  <c r="N5679" i="1"/>
  <c r="S5679" i="1" s="1"/>
  <c r="N5680" i="1"/>
  <c r="S5680" i="1" s="1"/>
  <c r="N5681" i="1"/>
  <c r="S5681" i="1" s="1"/>
  <c r="N5682" i="1"/>
  <c r="S5682" i="1" s="1"/>
  <c r="N5683" i="1"/>
  <c r="S5683" i="1" s="1"/>
  <c r="N5684" i="1"/>
  <c r="N5685" i="1"/>
  <c r="N5686" i="1"/>
  <c r="S5686" i="1" s="1"/>
  <c r="N5687" i="1"/>
  <c r="N5688" i="1"/>
  <c r="N5689" i="1"/>
  <c r="N5690" i="1"/>
  <c r="S5690" i="1" s="1"/>
  <c r="N5691" i="1"/>
  <c r="N5692" i="1"/>
  <c r="N5693" i="1"/>
  <c r="N5694" i="1"/>
  <c r="S5694" i="1" s="1"/>
  <c r="N5695" i="1"/>
  <c r="S5695" i="1" s="1"/>
  <c r="N5696" i="1"/>
  <c r="N5697" i="1"/>
  <c r="S5697" i="1" s="1"/>
  <c r="N5698" i="1"/>
  <c r="N5699" i="1"/>
  <c r="S5699" i="1" s="1"/>
  <c r="N5700" i="1"/>
  <c r="S5700" i="1" s="1"/>
  <c r="N5701" i="1"/>
  <c r="N5702" i="1"/>
  <c r="N5703" i="1"/>
  <c r="N5704" i="1"/>
  <c r="S5704" i="1" s="1"/>
  <c r="N5705" i="1"/>
  <c r="S5705" i="1" s="1"/>
  <c r="N5706" i="1"/>
  <c r="N5707" i="1"/>
  <c r="N5708" i="1"/>
  <c r="N5709" i="1"/>
  <c r="N5710" i="1"/>
  <c r="N5711" i="1"/>
  <c r="N5712" i="1"/>
  <c r="N5713" i="1"/>
  <c r="N5714" i="1"/>
  <c r="S5714" i="1" s="1"/>
  <c r="N5715" i="1"/>
  <c r="N5716" i="1"/>
  <c r="N5717" i="1"/>
  <c r="S5717" i="1" s="1"/>
  <c r="N5718" i="1"/>
  <c r="N5719" i="1"/>
  <c r="N5720" i="1"/>
  <c r="S5720" i="1" s="1"/>
  <c r="N5721" i="1"/>
  <c r="N5722" i="1"/>
  <c r="S5722" i="1" s="1"/>
  <c r="N5723" i="1"/>
  <c r="S5723" i="1" s="1"/>
  <c r="N5724" i="1"/>
  <c r="N5725" i="1"/>
  <c r="N5726" i="1"/>
  <c r="N5727" i="1"/>
  <c r="N5728" i="1"/>
  <c r="N5729" i="1"/>
  <c r="N5730" i="1"/>
  <c r="N5731" i="1"/>
  <c r="N5732" i="1"/>
  <c r="N5733" i="1"/>
  <c r="S5733" i="1" s="1"/>
  <c r="N5734" i="1"/>
  <c r="S5734" i="1" s="1"/>
  <c r="N5735" i="1"/>
  <c r="N5736" i="1"/>
  <c r="S5736" i="1" s="1"/>
  <c r="N5737" i="1"/>
  <c r="N5738" i="1"/>
  <c r="S5738" i="1" s="1"/>
  <c r="N5739" i="1"/>
  <c r="S5739" i="1" s="1"/>
  <c r="N5740" i="1"/>
  <c r="N5741" i="1"/>
  <c r="S5741" i="1" s="1"/>
  <c r="N5742" i="1"/>
  <c r="S5742" i="1" s="1"/>
  <c r="N5743" i="1"/>
  <c r="N5744" i="1"/>
  <c r="S5744" i="1" s="1"/>
  <c r="N5745" i="1"/>
  <c r="N5746" i="1"/>
  <c r="N5747" i="1"/>
  <c r="S5747" i="1" s="1"/>
  <c r="N5748" i="1"/>
  <c r="N5749" i="1"/>
  <c r="S5749" i="1" s="1"/>
  <c r="N5750" i="1"/>
  <c r="N5751" i="1"/>
  <c r="S5751" i="1" s="1"/>
  <c r="N5752" i="1"/>
  <c r="S5752" i="1" s="1"/>
  <c r="N5753" i="1"/>
  <c r="S5753" i="1" s="1"/>
  <c r="N5754" i="1"/>
  <c r="S5754" i="1" s="1"/>
  <c r="N5755" i="1"/>
  <c r="N5756" i="1"/>
  <c r="N5757" i="1"/>
  <c r="S5757" i="1" s="1"/>
  <c r="N5758" i="1"/>
  <c r="S5758" i="1" s="1"/>
  <c r="N5759" i="1"/>
  <c r="S5759" i="1" s="1"/>
  <c r="N5760" i="1"/>
  <c r="S5760" i="1" s="1"/>
  <c r="N5761" i="1"/>
  <c r="N5762" i="1"/>
  <c r="S5762" i="1" s="1"/>
  <c r="N5763" i="1"/>
  <c r="S5763" i="1" s="1"/>
  <c r="N5764" i="1"/>
  <c r="S5764" i="1" s="1"/>
  <c r="N5765" i="1"/>
  <c r="S5765" i="1" s="1"/>
  <c r="N5766" i="1"/>
  <c r="S5766" i="1" s="1"/>
  <c r="N5767" i="1"/>
  <c r="S5767" i="1" s="1"/>
  <c r="N5768" i="1"/>
  <c r="S5768" i="1" s="1"/>
  <c r="N5769" i="1"/>
  <c r="S5769" i="1" s="1"/>
  <c r="N5770" i="1"/>
  <c r="S5770" i="1" s="1"/>
  <c r="N5771" i="1"/>
  <c r="N5772" i="1"/>
  <c r="N5773" i="1"/>
  <c r="S5773" i="1" s="1"/>
  <c r="N5774" i="1"/>
  <c r="S5774" i="1" s="1"/>
  <c r="N5775" i="1"/>
  <c r="S5775" i="1" s="1"/>
  <c r="N5776" i="1"/>
  <c r="S5776" i="1" s="1"/>
  <c r="N5777" i="1"/>
  <c r="N5778" i="1"/>
  <c r="S5778" i="1" s="1"/>
  <c r="N5779" i="1"/>
  <c r="S5779" i="1" s="1"/>
  <c r="N5780" i="1"/>
  <c r="S5780" i="1" s="1"/>
  <c r="N5678" i="1"/>
  <c r="S5678" i="1" s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678" i="1"/>
  <c r="F5679" i="1"/>
  <c r="G5679" i="1"/>
  <c r="F5680" i="1"/>
  <c r="G5680" i="1"/>
  <c r="F5681" i="1"/>
  <c r="G5681" i="1"/>
  <c r="F5682" i="1"/>
  <c r="G5682" i="1"/>
  <c r="F5683" i="1"/>
  <c r="G5683" i="1"/>
  <c r="F5684" i="1"/>
  <c r="G5684" i="1"/>
  <c r="F5685" i="1"/>
  <c r="G5685" i="1"/>
  <c r="F5686" i="1"/>
  <c r="G5686" i="1"/>
  <c r="F5687" i="1"/>
  <c r="G5687" i="1"/>
  <c r="F5688" i="1"/>
  <c r="G5688" i="1"/>
  <c r="F5689" i="1"/>
  <c r="G5689" i="1"/>
  <c r="F5690" i="1"/>
  <c r="G5690" i="1"/>
  <c r="F5691" i="1"/>
  <c r="G5691" i="1"/>
  <c r="F5692" i="1"/>
  <c r="G5692" i="1"/>
  <c r="F5693" i="1"/>
  <c r="G5693" i="1"/>
  <c r="F5694" i="1"/>
  <c r="G5694" i="1"/>
  <c r="F5695" i="1"/>
  <c r="G5695" i="1"/>
  <c r="F5696" i="1"/>
  <c r="G5696" i="1"/>
  <c r="F5697" i="1"/>
  <c r="G5697" i="1"/>
  <c r="F5698" i="1"/>
  <c r="G5698" i="1"/>
  <c r="F5699" i="1"/>
  <c r="G5699" i="1"/>
  <c r="F5700" i="1"/>
  <c r="G5700" i="1"/>
  <c r="F5701" i="1"/>
  <c r="G5701" i="1"/>
  <c r="F5702" i="1"/>
  <c r="G5702" i="1"/>
  <c r="F5703" i="1"/>
  <c r="G5703" i="1"/>
  <c r="F5704" i="1"/>
  <c r="G5704" i="1"/>
  <c r="F5705" i="1"/>
  <c r="G5705" i="1"/>
  <c r="F5706" i="1"/>
  <c r="G5706" i="1"/>
  <c r="F5707" i="1"/>
  <c r="G5707" i="1"/>
  <c r="F5708" i="1"/>
  <c r="G5708" i="1"/>
  <c r="F5709" i="1"/>
  <c r="G5709" i="1"/>
  <c r="F5710" i="1"/>
  <c r="G5710" i="1"/>
  <c r="F5711" i="1"/>
  <c r="G5711" i="1"/>
  <c r="F5712" i="1"/>
  <c r="G5712" i="1"/>
  <c r="F5713" i="1"/>
  <c r="G5713" i="1"/>
  <c r="F5714" i="1"/>
  <c r="G5714" i="1"/>
  <c r="F5715" i="1"/>
  <c r="G5715" i="1"/>
  <c r="F5716" i="1"/>
  <c r="G5716" i="1"/>
  <c r="F5717" i="1"/>
  <c r="G5717" i="1"/>
  <c r="F5718" i="1"/>
  <c r="G5718" i="1"/>
  <c r="F5719" i="1"/>
  <c r="G5719" i="1"/>
  <c r="F5720" i="1"/>
  <c r="G5720" i="1"/>
  <c r="F5721" i="1"/>
  <c r="G5721" i="1"/>
  <c r="F5722" i="1"/>
  <c r="G5722" i="1"/>
  <c r="F5723" i="1"/>
  <c r="G5723" i="1"/>
  <c r="F5724" i="1"/>
  <c r="G5724" i="1"/>
  <c r="F5725" i="1"/>
  <c r="G5725" i="1"/>
  <c r="F5726" i="1"/>
  <c r="G5726" i="1"/>
  <c r="F5727" i="1"/>
  <c r="G5727" i="1"/>
  <c r="F5728" i="1"/>
  <c r="G5728" i="1"/>
  <c r="F5729" i="1"/>
  <c r="G5729" i="1"/>
  <c r="F5730" i="1"/>
  <c r="G5730" i="1"/>
  <c r="F5731" i="1"/>
  <c r="G5731" i="1"/>
  <c r="F5732" i="1"/>
  <c r="G5732" i="1"/>
  <c r="F5733" i="1"/>
  <c r="G5733" i="1"/>
  <c r="F5734" i="1"/>
  <c r="G5734" i="1"/>
  <c r="F5735" i="1"/>
  <c r="G5735" i="1"/>
  <c r="F5736" i="1"/>
  <c r="G5736" i="1"/>
  <c r="F5737" i="1"/>
  <c r="G5737" i="1"/>
  <c r="F5738" i="1"/>
  <c r="G5738" i="1"/>
  <c r="F5739" i="1"/>
  <c r="G5739" i="1"/>
  <c r="F5740" i="1"/>
  <c r="G5740" i="1"/>
  <c r="F5741" i="1"/>
  <c r="G5741" i="1"/>
  <c r="F5742" i="1"/>
  <c r="G5742" i="1"/>
  <c r="F5743" i="1"/>
  <c r="G5743" i="1"/>
  <c r="F5744" i="1"/>
  <c r="G5744" i="1"/>
  <c r="F5745" i="1"/>
  <c r="G5745" i="1"/>
  <c r="F5746" i="1"/>
  <c r="G5746" i="1"/>
  <c r="F5747" i="1"/>
  <c r="G5747" i="1"/>
  <c r="F5748" i="1"/>
  <c r="G5748" i="1"/>
  <c r="F5749" i="1"/>
  <c r="G5749" i="1"/>
  <c r="F5750" i="1"/>
  <c r="G5750" i="1"/>
  <c r="F5751" i="1"/>
  <c r="G5751" i="1"/>
  <c r="F5752" i="1"/>
  <c r="G5752" i="1"/>
  <c r="F5753" i="1"/>
  <c r="G5753" i="1"/>
  <c r="F5754" i="1"/>
  <c r="G5754" i="1"/>
  <c r="F5755" i="1"/>
  <c r="G5755" i="1"/>
  <c r="F5756" i="1"/>
  <c r="G5756" i="1"/>
  <c r="F5757" i="1"/>
  <c r="G5757" i="1"/>
  <c r="F5758" i="1"/>
  <c r="G5758" i="1"/>
  <c r="F5759" i="1"/>
  <c r="G5759" i="1"/>
  <c r="F5760" i="1"/>
  <c r="G5760" i="1"/>
  <c r="F5761" i="1"/>
  <c r="G5761" i="1"/>
  <c r="F5762" i="1"/>
  <c r="G5762" i="1"/>
  <c r="F5763" i="1"/>
  <c r="G5763" i="1"/>
  <c r="F5764" i="1"/>
  <c r="G5764" i="1"/>
  <c r="F5765" i="1"/>
  <c r="G5765" i="1"/>
  <c r="F5766" i="1"/>
  <c r="G5766" i="1"/>
  <c r="F5767" i="1"/>
  <c r="G5767" i="1"/>
  <c r="F5768" i="1"/>
  <c r="G5768" i="1"/>
  <c r="F5769" i="1"/>
  <c r="G5769" i="1"/>
  <c r="F5770" i="1"/>
  <c r="G5770" i="1"/>
  <c r="F5771" i="1"/>
  <c r="G5771" i="1"/>
  <c r="F5772" i="1"/>
  <c r="G5772" i="1"/>
  <c r="F5773" i="1"/>
  <c r="G5773" i="1"/>
  <c r="F5774" i="1"/>
  <c r="G5774" i="1"/>
  <c r="F5775" i="1"/>
  <c r="G5775" i="1"/>
  <c r="F5776" i="1"/>
  <c r="G5776" i="1"/>
  <c r="F5777" i="1"/>
  <c r="G5777" i="1"/>
  <c r="F5778" i="1"/>
  <c r="G5778" i="1"/>
  <c r="F5779" i="1"/>
  <c r="G5779" i="1"/>
  <c r="F5780" i="1"/>
  <c r="G5780" i="1"/>
  <c r="G5678" i="1"/>
  <c r="F5678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F5617" i="1"/>
  <c r="G5617" i="1"/>
  <c r="F5618" i="1"/>
  <c r="G5618" i="1"/>
  <c r="F5619" i="1"/>
  <c r="G5619" i="1"/>
  <c r="F5620" i="1"/>
  <c r="G5620" i="1"/>
  <c r="F5621" i="1"/>
  <c r="G5621" i="1"/>
  <c r="F5622" i="1"/>
  <c r="G5622" i="1"/>
  <c r="F5623" i="1"/>
  <c r="G5623" i="1"/>
  <c r="F5624" i="1"/>
  <c r="G5624" i="1"/>
  <c r="F5625" i="1"/>
  <c r="G5625" i="1"/>
  <c r="F5626" i="1"/>
  <c r="G5626" i="1"/>
  <c r="F5627" i="1"/>
  <c r="G5627" i="1"/>
  <c r="F5628" i="1"/>
  <c r="G5628" i="1"/>
  <c r="F5629" i="1"/>
  <c r="G5629" i="1"/>
  <c r="F5630" i="1"/>
  <c r="G5630" i="1"/>
  <c r="F5631" i="1"/>
  <c r="G5631" i="1"/>
  <c r="F5632" i="1"/>
  <c r="G5632" i="1"/>
  <c r="F5633" i="1"/>
  <c r="G5633" i="1"/>
  <c r="F5634" i="1"/>
  <c r="G5634" i="1"/>
  <c r="F5635" i="1"/>
  <c r="G5635" i="1"/>
  <c r="F5636" i="1"/>
  <c r="G5636" i="1"/>
  <c r="F5637" i="1"/>
  <c r="G5637" i="1"/>
  <c r="F5638" i="1"/>
  <c r="G5638" i="1"/>
  <c r="F5639" i="1"/>
  <c r="G5639" i="1"/>
  <c r="F5640" i="1"/>
  <c r="G5640" i="1"/>
  <c r="F5641" i="1"/>
  <c r="G5641" i="1"/>
  <c r="F5642" i="1"/>
  <c r="G5642" i="1"/>
  <c r="F5643" i="1"/>
  <c r="G5643" i="1"/>
  <c r="F5644" i="1"/>
  <c r="G5644" i="1"/>
  <c r="F5645" i="1"/>
  <c r="G5645" i="1"/>
  <c r="F5646" i="1"/>
  <c r="G5646" i="1"/>
  <c r="F5647" i="1"/>
  <c r="G5647" i="1"/>
  <c r="F5648" i="1"/>
  <c r="G5648" i="1"/>
  <c r="F5649" i="1"/>
  <c r="G5649" i="1"/>
  <c r="F5650" i="1"/>
  <c r="G5650" i="1"/>
  <c r="F5651" i="1"/>
  <c r="G5651" i="1"/>
  <c r="F5652" i="1"/>
  <c r="G5652" i="1"/>
  <c r="F5653" i="1"/>
  <c r="G5653" i="1"/>
  <c r="F5654" i="1"/>
  <c r="G5654" i="1"/>
  <c r="F5655" i="1"/>
  <c r="G5655" i="1"/>
  <c r="F5656" i="1"/>
  <c r="G5656" i="1"/>
  <c r="F5657" i="1"/>
  <c r="G5657" i="1"/>
  <c r="F5658" i="1"/>
  <c r="G5658" i="1"/>
  <c r="F5659" i="1"/>
  <c r="G5659" i="1"/>
  <c r="F5660" i="1"/>
  <c r="G5660" i="1"/>
  <c r="F5661" i="1"/>
  <c r="G5661" i="1"/>
  <c r="F5662" i="1"/>
  <c r="G5662" i="1"/>
  <c r="F5663" i="1"/>
  <c r="G5663" i="1"/>
  <c r="F5664" i="1"/>
  <c r="G5664" i="1"/>
  <c r="F5665" i="1"/>
  <c r="G5665" i="1"/>
  <c r="F5666" i="1"/>
  <c r="G5666" i="1"/>
  <c r="F5667" i="1"/>
  <c r="G5667" i="1"/>
  <c r="F5668" i="1"/>
  <c r="G5668" i="1"/>
  <c r="F5669" i="1"/>
  <c r="G5669" i="1"/>
  <c r="F5670" i="1"/>
  <c r="G5670" i="1"/>
  <c r="F5671" i="1"/>
  <c r="G5671" i="1"/>
  <c r="F5672" i="1"/>
  <c r="G5672" i="1"/>
  <c r="F5673" i="1"/>
  <c r="G5673" i="1"/>
  <c r="F5674" i="1"/>
  <c r="G5674" i="1"/>
  <c r="F5675" i="1"/>
  <c r="G5675" i="1"/>
  <c r="F5676" i="1"/>
  <c r="G5676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F5560" i="1"/>
  <c r="G5560" i="1"/>
  <c r="F5561" i="1"/>
  <c r="G5561" i="1"/>
  <c r="F5562" i="1"/>
  <c r="G5562" i="1"/>
  <c r="F5563" i="1"/>
  <c r="G5563" i="1"/>
  <c r="F5564" i="1"/>
  <c r="G5564" i="1"/>
  <c r="F5565" i="1"/>
  <c r="G5565" i="1"/>
  <c r="F5566" i="1"/>
  <c r="G5566" i="1"/>
  <c r="F5567" i="1"/>
  <c r="G5567" i="1"/>
  <c r="F5568" i="1"/>
  <c r="G5568" i="1"/>
  <c r="F5569" i="1"/>
  <c r="G5569" i="1"/>
  <c r="F5570" i="1"/>
  <c r="G5570" i="1"/>
  <c r="F5571" i="1"/>
  <c r="G5571" i="1"/>
  <c r="F5572" i="1"/>
  <c r="G5572" i="1"/>
  <c r="F5573" i="1"/>
  <c r="G5573" i="1"/>
  <c r="F5574" i="1"/>
  <c r="G5574" i="1"/>
  <c r="F5575" i="1"/>
  <c r="G5575" i="1"/>
  <c r="F5576" i="1"/>
  <c r="G5576" i="1"/>
  <c r="F5577" i="1"/>
  <c r="G5577" i="1"/>
  <c r="F5578" i="1"/>
  <c r="G5578" i="1"/>
  <c r="F5579" i="1"/>
  <c r="G5579" i="1"/>
  <c r="F5580" i="1"/>
  <c r="G5580" i="1"/>
  <c r="F5581" i="1"/>
  <c r="G5581" i="1"/>
  <c r="F5582" i="1"/>
  <c r="G5582" i="1"/>
  <c r="F5583" i="1"/>
  <c r="G5583" i="1"/>
  <c r="F5584" i="1"/>
  <c r="G5584" i="1"/>
  <c r="F5585" i="1"/>
  <c r="G5585" i="1"/>
  <c r="F5586" i="1"/>
  <c r="G5586" i="1"/>
  <c r="F5587" i="1"/>
  <c r="G5587" i="1"/>
  <c r="F5588" i="1"/>
  <c r="G5588" i="1"/>
  <c r="F5589" i="1"/>
  <c r="G5589" i="1"/>
  <c r="F5590" i="1"/>
  <c r="G5590" i="1"/>
  <c r="F5591" i="1"/>
  <c r="G5591" i="1"/>
  <c r="F5592" i="1"/>
  <c r="G5592" i="1"/>
  <c r="F5593" i="1"/>
  <c r="G5593" i="1"/>
  <c r="F5594" i="1"/>
  <c r="G5594" i="1"/>
  <c r="F5595" i="1"/>
  <c r="G5595" i="1"/>
  <c r="F5596" i="1"/>
  <c r="G5596" i="1"/>
  <c r="F5597" i="1"/>
  <c r="G5597" i="1"/>
  <c r="F5598" i="1"/>
  <c r="G5598" i="1"/>
  <c r="F5599" i="1"/>
  <c r="G5599" i="1"/>
  <c r="F5600" i="1"/>
  <c r="G5600" i="1"/>
  <c r="F5601" i="1"/>
  <c r="G5601" i="1"/>
  <c r="F5602" i="1"/>
  <c r="G5602" i="1"/>
  <c r="F5603" i="1"/>
  <c r="G5603" i="1"/>
  <c r="F5604" i="1"/>
  <c r="G5604" i="1"/>
  <c r="F5605" i="1"/>
  <c r="G5605" i="1"/>
  <c r="F5606" i="1"/>
  <c r="G5606" i="1"/>
  <c r="F5607" i="1"/>
  <c r="G5607" i="1"/>
  <c r="F5608" i="1"/>
  <c r="G5608" i="1"/>
  <c r="F5609" i="1"/>
  <c r="G5609" i="1"/>
  <c r="F5610" i="1"/>
  <c r="G5610" i="1"/>
  <c r="F5611" i="1"/>
  <c r="G5611" i="1"/>
  <c r="F5612" i="1"/>
  <c r="G5612" i="1"/>
  <c r="F5613" i="1"/>
  <c r="G5613" i="1"/>
  <c r="F5614" i="1"/>
  <c r="G5614" i="1"/>
  <c r="F5615" i="1"/>
  <c r="G5615" i="1"/>
  <c r="F5616" i="1"/>
  <c r="G5616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F5542" i="1"/>
  <c r="G5542" i="1"/>
  <c r="F5543" i="1"/>
  <c r="G5543" i="1"/>
  <c r="F5544" i="1"/>
  <c r="G5544" i="1"/>
  <c r="F5545" i="1"/>
  <c r="G5545" i="1"/>
  <c r="F5546" i="1"/>
  <c r="G5546" i="1"/>
  <c r="F5547" i="1"/>
  <c r="G5547" i="1"/>
  <c r="F5548" i="1"/>
  <c r="G5548" i="1"/>
  <c r="F5549" i="1"/>
  <c r="G5549" i="1"/>
  <c r="F5550" i="1"/>
  <c r="G5550" i="1"/>
  <c r="F5551" i="1"/>
  <c r="G5551" i="1"/>
  <c r="F5552" i="1"/>
  <c r="G5552" i="1"/>
  <c r="F5553" i="1"/>
  <c r="G5553" i="1"/>
  <c r="F5554" i="1"/>
  <c r="G5554" i="1"/>
  <c r="F5555" i="1"/>
  <c r="G5555" i="1"/>
  <c r="F5556" i="1"/>
  <c r="G5556" i="1"/>
  <c r="F5557" i="1"/>
  <c r="G5557" i="1"/>
  <c r="F5558" i="1"/>
  <c r="G5558" i="1"/>
  <c r="F5559" i="1"/>
  <c r="G555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F5500" i="1"/>
  <c r="G5500" i="1"/>
  <c r="F5501" i="1"/>
  <c r="G5501" i="1"/>
  <c r="F5502" i="1"/>
  <c r="G5502" i="1"/>
  <c r="F5503" i="1"/>
  <c r="G5503" i="1"/>
  <c r="F5504" i="1"/>
  <c r="G5504" i="1"/>
  <c r="F5505" i="1"/>
  <c r="G5505" i="1"/>
  <c r="F5506" i="1"/>
  <c r="G5506" i="1"/>
  <c r="F5507" i="1"/>
  <c r="G5507" i="1"/>
  <c r="F5508" i="1"/>
  <c r="G5508" i="1"/>
  <c r="F5509" i="1"/>
  <c r="G5509" i="1"/>
  <c r="F5510" i="1"/>
  <c r="G5510" i="1"/>
  <c r="F5511" i="1"/>
  <c r="G5511" i="1"/>
  <c r="F5512" i="1"/>
  <c r="G5512" i="1"/>
  <c r="F5513" i="1"/>
  <c r="G5513" i="1"/>
  <c r="F5514" i="1"/>
  <c r="G5514" i="1"/>
  <c r="F5515" i="1"/>
  <c r="G5515" i="1"/>
  <c r="F5516" i="1"/>
  <c r="G5516" i="1"/>
  <c r="F5517" i="1"/>
  <c r="G5517" i="1"/>
  <c r="F5518" i="1"/>
  <c r="G5518" i="1"/>
  <c r="F5519" i="1"/>
  <c r="G5519" i="1"/>
  <c r="F5520" i="1"/>
  <c r="G5520" i="1"/>
  <c r="F5521" i="1"/>
  <c r="G5521" i="1"/>
  <c r="F5522" i="1"/>
  <c r="G5522" i="1"/>
  <c r="F5523" i="1"/>
  <c r="G5523" i="1"/>
  <c r="F5524" i="1"/>
  <c r="G5524" i="1"/>
  <c r="F5525" i="1"/>
  <c r="G5525" i="1"/>
  <c r="F5526" i="1"/>
  <c r="G5526" i="1"/>
  <c r="F5527" i="1"/>
  <c r="G5527" i="1"/>
  <c r="F5528" i="1"/>
  <c r="G5528" i="1"/>
  <c r="F5529" i="1"/>
  <c r="G5529" i="1"/>
  <c r="F5530" i="1"/>
  <c r="G5530" i="1"/>
  <c r="F5531" i="1"/>
  <c r="G5531" i="1"/>
  <c r="F5532" i="1"/>
  <c r="G5532" i="1"/>
  <c r="F5533" i="1"/>
  <c r="G5533" i="1"/>
  <c r="F5534" i="1"/>
  <c r="G5534" i="1"/>
  <c r="F5535" i="1"/>
  <c r="G5535" i="1"/>
  <c r="F5536" i="1"/>
  <c r="G5536" i="1"/>
  <c r="F5537" i="1"/>
  <c r="G5537" i="1"/>
  <c r="F5538" i="1"/>
  <c r="G5538" i="1"/>
  <c r="F5539" i="1"/>
  <c r="G5539" i="1"/>
  <c r="F5540" i="1"/>
  <c r="G5540" i="1"/>
  <c r="F5541" i="1"/>
  <c r="G5541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F5468" i="1"/>
  <c r="G5468" i="1"/>
  <c r="F5469" i="1"/>
  <c r="G5469" i="1"/>
  <c r="F5470" i="1"/>
  <c r="G5470" i="1"/>
  <c r="F5471" i="1"/>
  <c r="G5471" i="1"/>
  <c r="F5472" i="1"/>
  <c r="G5472" i="1"/>
  <c r="F5473" i="1"/>
  <c r="G5473" i="1"/>
  <c r="F5474" i="1"/>
  <c r="G5474" i="1"/>
  <c r="F5475" i="1"/>
  <c r="G5475" i="1"/>
  <c r="F5476" i="1"/>
  <c r="G5476" i="1"/>
  <c r="F5477" i="1"/>
  <c r="G5477" i="1"/>
  <c r="F5478" i="1"/>
  <c r="G5478" i="1"/>
  <c r="F5479" i="1"/>
  <c r="G5479" i="1"/>
  <c r="F5480" i="1"/>
  <c r="G5480" i="1"/>
  <c r="F5481" i="1"/>
  <c r="G5481" i="1"/>
  <c r="F5482" i="1"/>
  <c r="G5482" i="1"/>
  <c r="F5483" i="1"/>
  <c r="G5483" i="1"/>
  <c r="F5484" i="1"/>
  <c r="G5484" i="1"/>
  <c r="F5485" i="1"/>
  <c r="G5485" i="1"/>
  <c r="F5486" i="1"/>
  <c r="G5486" i="1"/>
  <c r="F5487" i="1"/>
  <c r="G5487" i="1"/>
  <c r="F5488" i="1"/>
  <c r="G5488" i="1"/>
  <c r="F5489" i="1"/>
  <c r="G5489" i="1"/>
  <c r="F5490" i="1"/>
  <c r="G5490" i="1"/>
  <c r="F5491" i="1"/>
  <c r="G5491" i="1"/>
  <c r="F5492" i="1"/>
  <c r="G5492" i="1"/>
  <c r="F5493" i="1"/>
  <c r="G5493" i="1"/>
  <c r="F5494" i="1"/>
  <c r="G5494" i="1"/>
  <c r="F5495" i="1"/>
  <c r="G5495" i="1"/>
  <c r="F5496" i="1"/>
  <c r="G5496" i="1"/>
  <c r="F5497" i="1"/>
  <c r="G5497" i="1"/>
  <c r="F5498" i="1"/>
  <c r="G5498" i="1"/>
  <c r="F5499" i="1"/>
  <c r="G5499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F5434" i="1"/>
  <c r="G5434" i="1"/>
  <c r="F5435" i="1"/>
  <c r="G5435" i="1"/>
  <c r="F5436" i="1"/>
  <c r="G5436" i="1"/>
  <c r="F5437" i="1"/>
  <c r="G5437" i="1"/>
  <c r="F5438" i="1"/>
  <c r="G5438" i="1"/>
  <c r="F5439" i="1"/>
  <c r="G5439" i="1"/>
  <c r="F5440" i="1"/>
  <c r="G5440" i="1"/>
  <c r="F5441" i="1"/>
  <c r="G5441" i="1"/>
  <c r="F5442" i="1"/>
  <c r="G5442" i="1"/>
  <c r="F5443" i="1"/>
  <c r="G5443" i="1"/>
  <c r="F5444" i="1"/>
  <c r="G5444" i="1"/>
  <c r="F5445" i="1"/>
  <c r="G5445" i="1"/>
  <c r="F5446" i="1"/>
  <c r="G5446" i="1"/>
  <c r="F5447" i="1"/>
  <c r="G5447" i="1"/>
  <c r="F5448" i="1"/>
  <c r="G5448" i="1"/>
  <c r="F5449" i="1"/>
  <c r="G5449" i="1"/>
  <c r="F5450" i="1"/>
  <c r="G5450" i="1"/>
  <c r="F5451" i="1"/>
  <c r="G5451" i="1"/>
  <c r="F5452" i="1"/>
  <c r="G5452" i="1"/>
  <c r="F5453" i="1"/>
  <c r="G5453" i="1"/>
  <c r="F5454" i="1"/>
  <c r="G5454" i="1"/>
  <c r="F5455" i="1"/>
  <c r="G5455" i="1"/>
  <c r="F5456" i="1"/>
  <c r="G5456" i="1"/>
  <c r="F5457" i="1"/>
  <c r="G5457" i="1"/>
  <c r="F5458" i="1"/>
  <c r="G5458" i="1"/>
  <c r="F5459" i="1"/>
  <c r="G5459" i="1"/>
  <c r="F5460" i="1"/>
  <c r="G5460" i="1"/>
  <c r="F5461" i="1"/>
  <c r="G5461" i="1"/>
  <c r="F5462" i="1"/>
  <c r="G5462" i="1"/>
  <c r="F5463" i="1"/>
  <c r="G5463" i="1"/>
  <c r="F5464" i="1"/>
  <c r="G5464" i="1"/>
  <c r="F5465" i="1"/>
  <c r="G5465" i="1"/>
  <c r="F5466" i="1"/>
  <c r="G5466" i="1"/>
  <c r="F5467" i="1"/>
  <c r="G5467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F5340" i="1"/>
  <c r="G5340" i="1"/>
  <c r="F5341" i="1"/>
  <c r="G5341" i="1"/>
  <c r="F5342" i="1"/>
  <c r="G5342" i="1"/>
  <c r="F5343" i="1"/>
  <c r="G5343" i="1"/>
  <c r="F5344" i="1"/>
  <c r="G5344" i="1"/>
  <c r="F5345" i="1"/>
  <c r="G5345" i="1"/>
  <c r="F5346" i="1"/>
  <c r="G5346" i="1"/>
  <c r="F5347" i="1"/>
  <c r="G5347" i="1"/>
  <c r="F5348" i="1"/>
  <c r="G5348" i="1"/>
  <c r="F5349" i="1"/>
  <c r="G5349" i="1"/>
  <c r="F5350" i="1"/>
  <c r="G5350" i="1"/>
  <c r="F5351" i="1"/>
  <c r="G5351" i="1"/>
  <c r="F5352" i="1"/>
  <c r="G5352" i="1"/>
  <c r="F5353" i="1"/>
  <c r="G5353" i="1"/>
  <c r="F5354" i="1"/>
  <c r="G5354" i="1"/>
  <c r="F5355" i="1"/>
  <c r="G5355" i="1"/>
  <c r="F5356" i="1"/>
  <c r="G5356" i="1"/>
  <c r="F5357" i="1"/>
  <c r="G5357" i="1"/>
  <c r="F5358" i="1"/>
  <c r="G5358" i="1"/>
  <c r="F5359" i="1"/>
  <c r="G5359" i="1"/>
  <c r="F5360" i="1"/>
  <c r="G5360" i="1"/>
  <c r="F5361" i="1"/>
  <c r="G5361" i="1"/>
  <c r="F5362" i="1"/>
  <c r="G5362" i="1"/>
  <c r="F5363" i="1"/>
  <c r="G5363" i="1"/>
  <c r="F5364" i="1"/>
  <c r="G5364" i="1"/>
  <c r="F5365" i="1"/>
  <c r="G5365" i="1"/>
  <c r="F5366" i="1"/>
  <c r="G5366" i="1"/>
  <c r="F5367" i="1"/>
  <c r="G5367" i="1"/>
  <c r="F5368" i="1"/>
  <c r="G5368" i="1"/>
  <c r="F5369" i="1"/>
  <c r="G5369" i="1"/>
  <c r="F5370" i="1"/>
  <c r="G5370" i="1"/>
  <c r="F5371" i="1"/>
  <c r="G5371" i="1"/>
  <c r="F5372" i="1"/>
  <c r="G5372" i="1"/>
  <c r="F5373" i="1"/>
  <c r="G5373" i="1"/>
  <c r="F5374" i="1"/>
  <c r="G5374" i="1"/>
  <c r="F5375" i="1"/>
  <c r="G5375" i="1"/>
  <c r="F5376" i="1"/>
  <c r="G5376" i="1"/>
  <c r="F5377" i="1"/>
  <c r="G5377" i="1"/>
  <c r="F5378" i="1"/>
  <c r="G5378" i="1"/>
  <c r="F5379" i="1"/>
  <c r="G5379" i="1"/>
  <c r="F5380" i="1"/>
  <c r="G5380" i="1"/>
  <c r="F5381" i="1"/>
  <c r="G5381" i="1"/>
  <c r="F5382" i="1"/>
  <c r="G5382" i="1"/>
  <c r="F5383" i="1"/>
  <c r="G5383" i="1"/>
  <c r="F5384" i="1"/>
  <c r="G5384" i="1"/>
  <c r="F5385" i="1"/>
  <c r="G5385" i="1"/>
  <c r="F5386" i="1"/>
  <c r="G5386" i="1"/>
  <c r="F5387" i="1"/>
  <c r="G5387" i="1"/>
  <c r="F5388" i="1"/>
  <c r="G5388" i="1"/>
  <c r="F5389" i="1"/>
  <c r="G5389" i="1"/>
  <c r="F5390" i="1"/>
  <c r="G5390" i="1"/>
  <c r="F5391" i="1"/>
  <c r="G5391" i="1"/>
  <c r="F5392" i="1"/>
  <c r="G5392" i="1"/>
  <c r="F5393" i="1"/>
  <c r="G5393" i="1"/>
  <c r="F5394" i="1"/>
  <c r="G5394" i="1"/>
  <c r="F5395" i="1"/>
  <c r="G5395" i="1"/>
  <c r="F5396" i="1"/>
  <c r="G5396" i="1"/>
  <c r="F5397" i="1"/>
  <c r="G5397" i="1"/>
  <c r="F5398" i="1"/>
  <c r="G5398" i="1"/>
  <c r="F5399" i="1"/>
  <c r="G5399" i="1"/>
  <c r="F5400" i="1"/>
  <c r="G5400" i="1"/>
  <c r="F5401" i="1"/>
  <c r="G5401" i="1"/>
  <c r="F5402" i="1"/>
  <c r="G5402" i="1"/>
  <c r="F5403" i="1"/>
  <c r="G5403" i="1"/>
  <c r="F5404" i="1"/>
  <c r="G5404" i="1"/>
  <c r="F5405" i="1"/>
  <c r="G5405" i="1"/>
  <c r="F5406" i="1"/>
  <c r="G5406" i="1"/>
  <c r="F5407" i="1"/>
  <c r="G5407" i="1"/>
  <c r="F5408" i="1"/>
  <c r="G5408" i="1"/>
  <c r="F5409" i="1"/>
  <c r="G5409" i="1"/>
  <c r="F5410" i="1"/>
  <c r="G5410" i="1"/>
  <c r="F5411" i="1"/>
  <c r="G5411" i="1"/>
  <c r="F5412" i="1"/>
  <c r="G5412" i="1"/>
  <c r="F5413" i="1"/>
  <c r="G5413" i="1"/>
  <c r="F5414" i="1"/>
  <c r="G5414" i="1"/>
  <c r="F5415" i="1"/>
  <c r="G5415" i="1"/>
  <c r="F5416" i="1"/>
  <c r="G5416" i="1"/>
  <c r="F5417" i="1"/>
  <c r="G5417" i="1"/>
  <c r="F5418" i="1"/>
  <c r="G5418" i="1"/>
  <c r="F5419" i="1"/>
  <c r="G5419" i="1"/>
  <c r="F5420" i="1"/>
  <c r="G5420" i="1"/>
  <c r="F5421" i="1"/>
  <c r="G5421" i="1"/>
  <c r="F5422" i="1"/>
  <c r="G5422" i="1"/>
  <c r="F5423" i="1"/>
  <c r="G5423" i="1"/>
  <c r="F5424" i="1"/>
  <c r="G5424" i="1"/>
  <c r="F5425" i="1"/>
  <c r="G5425" i="1"/>
  <c r="F5426" i="1"/>
  <c r="G5426" i="1"/>
  <c r="F5427" i="1"/>
  <c r="G5427" i="1"/>
  <c r="F5428" i="1"/>
  <c r="G5428" i="1"/>
  <c r="F5429" i="1"/>
  <c r="G5429" i="1"/>
  <c r="F5430" i="1"/>
  <c r="G5430" i="1"/>
  <c r="F5431" i="1"/>
  <c r="G5431" i="1"/>
  <c r="F5432" i="1"/>
  <c r="G5432" i="1"/>
  <c r="F5433" i="1"/>
  <c r="G5433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19" i="1"/>
  <c r="F5320" i="1"/>
  <c r="G5320" i="1"/>
  <c r="F5321" i="1"/>
  <c r="G5321" i="1"/>
  <c r="F5322" i="1"/>
  <c r="G5322" i="1"/>
  <c r="F5323" i="1"/>
  <c r="G5323" i="1"/>
  <c r="F5324" i="1"/>
  <c r="G5324" i="1"/>
  <c r="F5325" i="1"/>
  <c r="G5325" i="1"/>
  <c r="F5326" i="1"/>
  <c r="G5326" i="1"/>
  <c r="F5327" i="1"/>
  <c r="G5327" i="1"/>
  <c r="F5328" i="1"/>
  <c r="G5328" i="1"/>
  <c r="F5329" i="1"/>
  <c r="G5329" i="1"/>
  <c r="F5330" i="1"/>
  <c r="G5330" i="1"/>
  <c r="F5331" i="1"/>
  <c r="G5331" i="1"/>
  <c r="F5332" i="1"/>
  <c r="G5332" i="1"/>
  <c r="F5333" i="1"/>
  <c r="G5333" i="1"/>
  <c r="F5334" i="1"/>
  <c r="G5334" i="1"/>
  <c r="F5335" i="1"/>
  <c r="G5335" i="1"/>
  <c r="F5336" i="1"/>
  <c r="G5336" i="1"/>
  <c r="F5337" i="1"/>
  <c r="G5337" i="1"/>
  <c r="F5338" i="1"/>
  <c r="G5338" i="1"/>
  <c r="F5339" i="1"/>
  <c r="G5339" i="1"/>
  <c r="G5319" i="1"/>
  <c r="F5319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4895" i="1"/>
  <c r="N4900" i="1"/>
  <c r="S4900" i="1" s="1"/>
  <c r="N4902" i="1"/>
  <c r="S4902" i="1" s="1"/>
  <c r="N4904" i="1"/>
  <c r="S4904" i="1" s="1"/>
  <c r="N4916" i="1"/>
  <c r="S4916" i="1" s="1"/>
  <c r="N4918" i="1"/>
  <c r="S4918" i="1" s="1"/>
  <c r="N4920" i="1"/>
  <c r="S4920" i="1" s="1"/>
  <c r="N4932" i="1"/>
  <c r="S4932" i="1" s="1"/>
  <c r="N4934" i="1"/>
  <c r="N4936" i="1"/>
  <c r="N4948" i="1"/>
  <c r="N4950" i="1"/>
  <c r="N4952" i="1"/>
  <c r="N4964" i="1"/>
  <c r="N4966" i="1"/>
  <c r="N4968" i="1"/>
  <c r="N4980" i="1"/>
  <c r="N4982" i="1"/>
  <c r="N4984" i="1"/>
  <c r="N4996" i="1"/>
  <c r="S4996" i="1" s="1"/>
  <c r="N4998" i="1"/>
  <c r="S4998" i="1" s="1"/>
  <c r="N5000" i="1"/>
  <c r="S5000" i="1" s="1"/>
  <c r="N5012" i="1"/>
  <c r="S5012" i="1" s="1"/>
  <c r="N5014" i="1"/>
  <c r="S5014" i="1" s="1"/>
  <c r="N5016" i="1"/>
  <c r="N5028" i="1"/>
  <c r="S5028" i="1" s="1"/>
  <c r="N5030" i="1"/>
  <c r="S5030" i="1" s="1"/>
  <c r="N5032" i="1"/>
  <c r="S5032" i="1" s="1"/>
  <c r="N5044" i="1"/>
  <c r="S5044" i="1" s="1"/>
  <c r="N5046" i="1"/>
  <c r="S5046" i="1" s="1"/>
  <c r="N5048" i="1"/>
  <c r="S5048" i="1" s="1"/>
  <c r="N5060" i="1"/>
  <c r="N5062" i="1"/>
  <c r="N5064" i="1"/>
  <c r="N5076" i="1"/>
  <c r="N5078" i="1"/>
  <c r="N5080" i="1"/>
  <c r="N5092" i="1"/>
  <c r="N5094" i="1"/>
  <c r="N5096" i="1"/>
  <c r="N5108" i="1"/>
  <c r="N5110" i="1"/>
  <c r="N5112" i="1"/>
  <c r="N5124" i="1"/>
  <c r="N5126" i="1"/>
  <c r="N5128" i="1"/>
  <c r="N5140" i="1"/>
  <c r="N5142" i="1"/>
  <c r="N5144" i="1"/>
  <c r="N5156" i="1"/>
  <c r="N5158" i="1"/>
  <c r="N5160" i="1"/>
  <c r="N5172" i="1"/>
  <c r="N5174" i="1"/>
  <c r="N5176" i="1"/>
  <c r="N5188" i="1"/>
  <c r="N5190" i="1"/>
  <c r="N5192" i="1"/>
  <c r="N5204" i="1"/>
  <c r="S5204" i="1" s="1"/>
  <c r="N5206" i="1"/>
  <c r="S5206" i="1" s="1"/>
  <c r="N5208" i="1"/>
  <c r="S5208" i="1" s="1"/>
  <c r="N5220" i="1"/>
  <c r="S5220" i="1" s="1"/>
  <c r="N5222" i="1"/>
  <c r="S5222" i="1" s="1"/>
  <c r="N5224" i="1"/>
  <c r="S5224" i="1" s="1"/>
  <c r="N5236" i="1"/>
  <c r="S5236" i="1" s="1"/>
  <c r="N5238" i="1"/>
  <c r="S5238" i="1" s="1"/>
  <c r="N5240" i="1"/>
  <c r="S5240" i="1" s="1"/>
  <c r="N5252" i="1"/>
  <c r="S5252" i="1" s="1"/>
  <c r="N5254" i="1"/>
  <c r="S5254" i="1" s="1"/>
  <c r="N5256" i="1"/>
  <c r="S5256" i="1" s="1"/>
  <c r="N5268" i="1"/>
  <c r="S5268" i="1" s="1"/>
  <c r="N5270" i="1"/>
  <c r="S5270" i="1" s="1"/>
  <c r="N5272" i="1"/>
  <c r="S5272" i="1" s="1"/>
  <c r="N5284" i="1"/>
  <c r="S5284" i="1" s="1"/>
  <c r="N5286" i="1"/>
  <c r="N5288" i="1"/>
  <c r="S5288" i="1" s="1"/>
  <c r="N5300" i="1"/>
  <c r="S5300" i="1" s="1"/>
  <c r="N5302" i="1"/>
  <c r="S5302" i="1" s="1"/>
  <c r="N5304" i="1"/>
  <c r="S5304" i="1" s="1"/>
  <c r="N5316" i="1"/>
  <c r="S5316" i="1" s="1"/>
  <c r="N4895" i="1"/>
  <c r="S4895" i="1" s="1"/>
  <c r="M4896" i="1"/>
  <c r="N4896" i="1" s="1"/>
  <c r="S4896" i="1" s="1"/>
  <c r="M4897" i="1"/>
  <c r="N4897" i="1" s="1"/>
  <c r="S4897" i="1" s="1"/>
  <c r="M4898" i="1"/>
  <c r="N4898" i="1" s="1"/>
  <c r="S4898" i="1" s="1"/>
  <c r="M4899" i="1"/>
  <c r="N4899" i="1" s="1"/>
  <c r="S4899" i="1" s="1"/>
  <c r="M4900" i="1"/>
  <c r="M4901" i="1"/>
  <c r="N4901" i="1" s="1"/>
  <c r="S4901" i="1" s="1"/>
  <c r="M4902" i="1"/>
  <c r="M4903" i="1"/>
  <c r="N4903" i="1" s="1"/>
  <c r="S4903" i="1" s="1"/>
  <c r="M4904" i="1"/>
  <c r="M4905" i="1"/>
  <c r="N4905" i="1" s="1"/>
  <c r="S4905" i="1" s="1"/>
  <c r="M4906" i="1"/>
  <c r="N4906" i="1" s="1"/>
  <c r="S4906" i="1" s="1"/>
  <c r="M4907" i="1"/>
  <c r="N4907" i="1" s="1"/>
  <c r="S4907" i="1" s="1"/>
  <c r="M4908" i="1"/>
  <c r="N4908" i="1" s="1"/>
  <c r="S4908" i="1" s="1"/>
  <c r="M4909" i="1"/>
  <c r="N4909" i="1" s="1"/>
  <c r="S4909" i="1" s="1"/>
  <c r="M4910" i="1"/>
  <c r="N4910" i="1" s="1"/>
  <c r="S4910" i="1" s="1"/>
  <c r="M4911" i="1"/>
  <c r="N4911" i="1" s="1"/>
  <c r="S4911" i="1" s="1"/>
  <c r="M4912" i="1"/>
  <c r="N4912" i="1" s="1"/>
  <c r="S4912" i="1" s="1"/>
  <c r="M4913" i="1"/>
  <c r="N4913" i="1" s="1"/>
  <c r="S4913" i="1" s="1"/>
  <c r="M4914" i="1"/>
  <c r="N4914" i="1" s="1"/>
  <c r="S4914" i="1" s="1"/>
  <c r="M4915" i="1"/>
  <c r="N4915" i="1" s="1"/>
  <c r="S4915" i="1" s="1"/>
  <c r="M4916" i="1"/>
  <c r="M4917" i="1"/>
  <c r="N4917" i="1" s="1"/>
  <c r="S4917" i="1" s="1"/>
  <c r="M4918" i="1"/>
  <c r="M4919" i="1"/>
  <c r="N4919" i="1" s="1"/>
  <c r="S4919" i="1" s="1"/>
  <c r="M4920" i="1"/>
  <c r="M4921" i="1"/>
  <c r="N4921" i="1" s="1"/>
  <c r="S4921" i="1" s="1"/>
  <c r="M4922" i="1"/>
  <c r="N4922" i="1" s="1"/>
  <c r="S4922" i="1" s="1"/>
  <c r="M4923" i="1"/>
  <c r="N4923" i="1" s="1"/>
  <c r="S4923" i="1" s="1"/>
  <c r="M4924" i="1"/>
  <c r="N4924" i="1" s="1"/>
  <c r="S4924" i="1" s="1"/>
  <c r="M4925" i="1"/>
  <c r="N4925" i="1" s="1"/>
  <c r="S4925" i="1" s="1"/>
  <c r="M4926" i="1"/>
  <c r="N4926" i="1" s="1"/>
  <c r="S4926" i="1" s="1"/>
  <c r="M4927" i="1"/>
  <c r="N4927" i="1" s="1"/>
  <c r="S4927" i="1" s="1"/>
  <c r="M4928" i="1"/>
  <c r="N4928" i="1" s="1"/>
  <c r="S4928" i="1" s="1"/>
  <c r="M4929" i="1"/>
  <c r="N4929" i="1" s="1"/>
  <c r="S4929" i="1" s="1"/>
  <c r="M4930" i="1"/>
  <c r="N4930" i="1" s="1"/>
  <c r="S4930" i="1" s="1"/>
  <c r="M4931" i="1"/>
  <c r="N4931" i="1" s="1"/>
  <c r="S4931" i="1" s="1"/>
  <c r="M4932" i="1"/>
  <c r="M4933" i="1"/>
  <c r="N4933" i="1" s="1"/>
  <c r="M4934" i="1"/>
  <c r="M4935" i="1"/>
  <c r="N4935" i="1" s="1"/>
  <c r="M4936" i="1"/>
  <c r="M4937" i="1"/>
  <c r="N4937" i="1" s="1"/>
  <c r="M4938" i="1"/>
  <c r="N4938" i="1" s="1"/>
  <c r="M4939" i="1"/>
  <c r="N4939" i="1" s="1"/>
  <c r="M4940" i="1"/>
  <c r="N4940" i="1" s="1"/>
  <c r="M4941" i="1"/>
  <c r="N4941" i="1" s="1"/>
  <c r="M4942" i="1"/>
  <c r="N4942" i="1" s="1"/>
  <c r="M4943" i="1"/>
  <c r="N4943" i="1" s="1"/>
  <c r="M4944" i="1"/>
  <c r="N4944" i="1" s="1"/>
  <c r="M4945" i="1"/>
  <c r="N4945" i="1" s="1"/>
  <c r="M4946" i="1"/>
  <c r="N4946" i="1" s="1"/>
  <c r="M4947" i="1"/>
  <c r="N4947" i="1" s="1"/>
  <c r="M4948" i="1"/>
  <c r="M4949" i="1"/>
  <c r="N4949" i="1" s="1"/>
  <c r="M4950" i="1"/>
  <c r="M4951" i="1"/>
  <c r="N4951" i="1" s="1"/>
  <c r="M4952" i="1"/>
  <c r="M4953" i="1"/>
  <c r="N4953" i="1" s="1"/>
  <c r="M4954" i="1"/>
  <c r="N4954" i="1" s="1"/>
  <c r="M4955" i="1"/>
  <c r="N4955" i="1" s="1"/>
  <c r="M4956" i="1"/>
  <c r="N4956" i="1" s="1"/>
  <c r="M4957" i="1"/>
  <c r="N4957" i="1" s="1"/>
  <c r="M4958" i="1"/>
  <c r="N4958" i="1" s="1"/>
  <c r="M4959" i="1"/>
  <c r="N4959" i="1" s="1"/>
  <c r="M4960" i="1"/>
  <c r="N4960" i="1" s="1"/>
  <c r="M4961" i="1"/>
  <c r="N4961" i="1" s="1"/>
  <c r="M4962" i="1"/>
  <c r="N4962" i="1" s="1"/>
  <c r="M4963" i="1"/>
  <c r="N4963" i="1" s="1"/>
  <c r="M4964" i="1"/>
  <c r="M4965" i="1"/>
  <c r="N4965" i="1" s="1"/>
  <c r="M4966" i="1"/>
  <c r="M4967" i="1"/>
  <c r="N4967" i="1" s="1"/>
  <c r="M4968" i="1"/>
  <c r="M4969" i="1"/>
  <c r="N4969" i="1" s="1"/>
  <c r="M4970" i="1"/>
  <c r="N4970" i="1" s="1"/>
  <c r="M4971" i="1"/>
  <c r="N4971" i="1" s="1"/>
  <c r="M4972" i="1"/>
  <c r="N4972" i="1" s="1"/>
  <c r="M4973" i="1"/>
  <c r="N4973" i="1" s="1"/>
  <c r="M4974" i="1"/>
  <c r="N4974" i="1" s="1"/>
  <c r="M4975" i="1"/>
  <c r="N4975" i="1" s="1"/>
  <c r="M4976" i="1"/>
  <c r="N4976" i="1" s="1"/>
  <c r="M4977" i="1"/>
  <c r="N4977" i="1" s="1"/>
  <c r="M4978" i="1"/>
  <c r="N4978" i="1" s="1"/>
  <c r="M4979" i="1"/>
  <c r="N4979" i="1" s="1"/>
  <c r="M4980" i="1"/>
  <c r="M4981" i="1"/>
  <c r="N4981" i="1" s="1"/>
  <c r="M4982" i="1"/>
  <c r="M4983" i="1"/>
  <c r="N4983" i="1" s="1"/>
  <c r="M4984" i="1"/>
  <c r="M4985" i="1"/>
  <c r="N4985" i="1" s="1"/>
  <c r="M4986" i="1"/>
  <c r="N4986" i="1" s="1"/>
  <c r="M4987" i="1"/>
  <c r="N4987" i="1" s="1"/>
  <c r="M4988" i="1"/>
  <c r="N4988" i="1" s="1"/>
  <c r="M4989" i="1"/>
  <c r="N4989" i="1" s="1"/>
  <c r="M4990" i="1"/>
  <c r="N4990" i="1" s="1"/>
  <c r="M4991" i="1"/>
  <c r="N4991" i="1" s="1"/>
  <c r="M4992" i="1"/>
  <c r="N4992" i="1" s="1"/>
  <c r="S4992" i="1" s="1"/>
  <c r="M4993" i="1"/>
  <c r="N4993" i="1" s="1"/>
  <c r="S4993" i="1" s="1"/>
  <c r="M4994" i="1"/>
  <c r="N4994" i="1" s="1"/>
  <c r="S4994" i="1" s="1"/>
  <c r="M4995" i="1"/>
  <c r="N4995" i="1" s="1"/>
  <c r="S4995" i="1" s="1"/>
  <c r="M4996" i="1"/>
  <c r="M4997" i="1"/>
  <c r="N4997" i="1" s="1"/>
  <c r="S4997" i="1" s="1"/>
  <c r="M4998" i="1"/>
  <c r="M4999" i="1"/>
  <c r="N4999" i="1" s="1"/>
  <c r="S4999" i="1" s="1"/>
  <c r="M5000" i="1"/>
  <c r="M5001" i="1"/>
  <c r="N5001" i="1" s="1"/>
  <c r="S5001" i="1" s="1"/>
  <c r="M5002" i="1"/>
  <c r="N5002" i="1" s="1"/>
  <c r="S5002" i="1" s="1"/>
  <c r="M5003" i="1"/>
  <c r="N5003" i="1" s="1"/>
  <c r="S5003" i="1" s="1"/>
  <c r="M5004" i="1"/>
  <c r="N5004" i="1" s="1"/>
  <c r="S5004" i="1" s="1"/>
  <c r="M5005" i="1"/>
  <c r="N5005" i="1" s="1"/>
  <c r="S5005" i="1" s="1"/>
  <c r="M5006" i="1"/>
  <c r="N5006" i="1" s="1"/>
  <c r="S5006" i="1" s="1"/>
  <c r="M5007" i="1"/>
  <c r="N5007" i="1" s="1"/>
  <c r="S5007" i="1" s="1"/>
  <c r="M5008" i="1"/>
  <c r="N5008" i="1" s="1"/>
  <c r="S5008" i="1" s="1"/>
  <c r="M5009" i="1"/>
  <c r="N5009" i="1" s="1"/>
  <c r="S5009" i="1" s="1"/>
  <c r="M5010" i="1"/>
  <c r="N5010" i="1" s="1"/>
  <c r="S5010" i="1" s="1"/>
  <c r="M5011" i="1"/>
  <c r="N5011" i="1" s="1"/>
  <c r="S5011" i="1" s="1"/>
  <c r="M5012" i="1"/>
  <c r="M5013" i="1"/>
  <c r="N5013" i="1" s="1"/>
  <c r="S5013" i="1" s="1"/>
  <c r="M5014" i="1"/>
  <c r="M5015" i="1"/>
  <c r="N5015" i="1" s="1"/>
  <c r="S5015" i="1" s="1"/>
  <c r="M5016" i="1"/>
  <c r="M5017" i="1"/>
  <c r="N5017" i="1" s="1"/>
  <c r="S5017" i="1" s="1"/>
  <c r="M5018" i="1"/>
  <c r="N5018" i="1" s="1"/>
  <c r="S5018" i="1" s="1"/>
  <c r="M5019" i="1"/>
  <c r="N5019" i="1" s="1"/>
  <c r="S5019" i="1" s="1"/>
  <c r="M5020" i="1"/>
  <c r="N5020" i="1" s="1"/>
  <c r="S5020" i="1" s="1"/>
  <c r="M5021" i="1"/>
  <c r="N5021" i="1" s="1"/>
  <c r="S5021" i="1" s="1"/>
  <c r="M5022" i="1"/>
  <c r="N5022" i="1" s="1"/>
  <c r="S5022" i="1" s="1"/>
  <c r="M5023" i="1"/>
  <c r="N5023" i="1" s="1"/>
  <c r="S5023" i="1" s="1"/>
  <c r="M5024" i="1"/>
  <c r="N5024" i="1" s="1"/>
  <c r="M5025" i="1"/>
  <c r="N5025" i="1" s="1"/>
  <c r="S5025" i="1" s="1"/>
  <c r="M5026" i="1"/>
  <c r="N5026" i="1" s="1"/>
  <c r="S5026" i="1" s="1"/>
  <c r="M5027" i="1"/>
  <c r="N5027" i="1" s="1"/>
  <c r="S5027" i="1" s="1"/>
  <c r="M5028" i="1"/>
  <c r="M5029" i="1"/>
  <c r="N5029" i="1" s="1"/>
  <c r="S5029" i="1" s="1"/>
  <c r="M5030" i="1"/>
  <c r="M5031" i="1"/>
  <c r="N5031" i="1" s="1"/>
  <c r="S5031" i="1" s="1"/>
  <c r="M5032" i="1"/>
  <c r="M5033" i="1"/>
  <c r="N5033" i="1" s="1"/>
  <c r="S5033" i="1" s="1"/>
  <c r="M5034" i="1"/>
  <c r="N5034" i="1" s="1"/>
  <c r="S5034" i="1" s="1"/>
  <c r="M5035" i="1"/>
  <c r="N5035" i="1" s="1"/>
  <c r="S5035" i="1" s="1"/>
  <c r="M5036" i="1"/>
  <c r="N5036" i="1" s="1"/>
  <c r="S5036" i="1" s="1"/>
  <c r="M5037" i="1"/>
  <c r="N5037" i="1" s="1"/>
  <c r="S5037" i="1" s="1"/>
  <c r="M5038" i="1"/>
  <c r="N5038" i="1" s="1"/>
  <c r="S5038" i="1" s="1"/>
  <c r="M5039" i="1"/>
  <c r="N5039" i="1" s="1"/>
  <c r="S5039" i="1" s="1"/>
  <c r="M5040" i="1"/>
  <c r="N5040" i="1" s="1"/>
  <c r="S5040" i="1" s="1"/>
  <c r="M5041" i="1"/>
  <c r="N5041" i="1" s="1"/>
  <c r="S5041" i="1" s="1"/>
  <c r="M5042" i="1"/>
  <c r="N5042" i="1" s="1"/>
  <c r="S5042" i="1" s="1"/>
  <c r="M5043" i="1"/>
  <c r="N5043" i="1" s="1"/>
  <c r="S5043" i="1" s="1"/>
  <c r="M5044" i="1"/>
  <c r="M5045" i="1"/>
  <c r="N5045" i="1" s="1"/>
  <c r="S5045" i="1" s="1"/>
  <c r="M5046" i="1"/>
  <c r="M5047" i="1"/>
  <c r="N5047" i="1" s="1"/>
  <c r="S5047" i="1" s="1"/>
  <c r="M5048" i="1"/>
  <c r="M5049" i="1"/>
  <c r="N5049" i="1" s="1"/>
  <c r="S5049" i="1" s="1"/>
  <c r="M5050" i="1"/>
  <c r="N5050" i="1" s="1"/>
  <c r="S5050" i="1" s="1"/>
  <c r="M5051" i="1"/>
  <c r="N5051" i="1" s="1"/>
  <c r="S5051" i="1" s="1"/>
  <c r="M5052" i="1"/>
  <c r="N5052" i="1" s="1"/>
  <c r="M5053" i="1"/>
  <c r="N5053" i="1" s="1"/>
  <c r="M5054" i="1"/>
  <c r="N5054" i="1" s="1"/>
  <c r="M5055" i="1"/>
  <c r="N5055" i="1" s="1"/>
  <c r="M5056" i="1"/>
  <c r="N5056" i="1" s="1"/>
  <c r="M5057" i="1"/>
  <c r="N5057" i="1" s="1"/>
  <c r="M5058" i="1"/>
  <c r="N5058" i="1" s="1"/>
  <c r="M5059" i="1"/>
  <c r="N5059" i="1" s="1"/>
  <c r="M5060" i="1"/>
  <c r="M5061" i="1"/>
  <c r="N5061" i="1" s="1"/>
  <c r="M5062" i="1"/>
  <c r="M5063" i="1"/>
  <c r="N5063" i="1" s="1"/>
  <c r="M5064" i="1"/>
  <c r="M5065" i="1"/>
  <c r="N5065" i="1" s="1"/>
  <c r="M5066" i="1"/>
  <c r="N5066" i="1" s="1"/>
  <c r="M5067" i="1"/>
  <c r="N5067" i="1" s="1"/>
  <c r="M5068" i="1"/>
  <c r="N5068" i="1" s="1"/>
  <c r="M5069" i="1"/>
  <c r="N5069" i="1" s="1"/>
  <c r="M5070" i="1"/>
  <c r="N5070" i="1" s="1"/>
  <c r="M5071" i="1"/>
  <c r="N5071" i="1" s="1"/>
  <c r="M5072" i="1"/>
  <c r="N5072" i="1" s="1"/>
  <c r="M5073" i="1"/>
  <c r="N5073" i="1" s="1"/>
  <c r="M5074" i="1"/>
  <c r="N5074" i="1" s="1"/>
  <c r="M5075" i="1"/>
  <c r="N5075" i="1" s="1"/>
  <c r="M5076" i="1"/>
  <c r="M5077" i="1"/>
  <c r="N5077" i="1" s="1"/>
  <c r="M5078" i="1"/>
  <c r="M5079" i="1"/>
  <c r="N5079" i="1" s="1"/>
  <c r="M5080" i="1"/>
  <c r="M5081" i="1"/>
  <c r="N5081" i="1" s="1"/>
  <c r="M5082" i="1"/>
  <c r="N5082" i="1" s="1"/>
  <c r="M5083" i="1"/>
  <c r="N5083" i="1" s="1"/>
  <c r="M5084" i="1"/>
  <c r="N5084" i="1" s="1"/>
  <c r="M5085" i="1"/>
  <c r="N5085" i="1" s="1"/>
  <c r="M5086" i="1"/>
  <c r="N5086" i="1" s="1"/>
  <c r="M5087" i="1"/>
  <c r="N5087" i="1" s="1"/>
  <c r="M5088" i="1"/>
  <c r="N5088" i="1" s="1"/>
  <c r="M5089" i="1"/>
  <c r="N5089" i="1" s="1"/>
  <c r="M5090" i="1"/>
  <c r="N5090" i="1" s="1"/>
  <c r="M5091" i="1"/>
  <c r="N5091" i="1" s="1"/>
  <c r="M5092" i="1"/>
  <c r="M5093" i="1"/>
  <c r="N5093" i="1" s="1"/>
  <c r="M5094" i="1"/>
  <c r="M5095" i="1"/>
  <c r="N5095" i="1" s="1"/>
  <c r="M5096" i="1"/>
  <c r="M5097" i="1"/>
  <c r="N5097" i="1" s="1"/>
  <c r="M5098" i="1"/>
  <c r="N5098" i="1" s="1"/>
  <c r="M5099" i="1"/>
  <c r="N5099" i="1" s="1"/>
  <c r="M5100" i="1"/>
  <c r="N5100" i="1" s="1"/>
  <c r="M5101" i="1"/>
  <c r="N5101" i="1" s="1"/>
  <c r="M5102" i="1"/>
  <c r="N5102" i="1" s="1"/>
  <c r="M5103" i="1"/>
  <c r="N5103" i="1" s="1"/>
  <c r="M5104" i="1"/>
  <c r="N5104" i="1" s="1"/>
  <c r="M5105" i="1"/>
  <c r="N5105" i="1" s="1"/>
  <c r="M5106" i="1"/>
  <c r="N5106" i="1" s="1"/>
  <c r="M5107" i="1"/>
  <c r="N5107" i="1" s="1"/>
  <c r="M5108" i="1"/>
  <c r="M5109" i="1"/>
  <c r="N5109" i="1" s="1"/>
  <c r="M5110" i="1"/>
  <c r="M5111" i="1"/>
  <c r="N5111" i="1" s="1"/>
  <c r="M5112" i="1"/>
  <c r="M5113" i="1"/>
  <c r="N5113" i="1" s="1"/>
  <c r="M5114" i="1"/>
  <c r="N5114" i="1" s="1"/>
  <c r="M5115" i="1"/>
  <c r="N5115" i="1" s="1"/>
  <c r="M5116" i="1"/>
  <c r="N5116" i="1" s="1"/>
  <c r="M5117" i="1"/>
  <c r="N5117" i="1" s="1"/>
  <c r="M5118" i="1"/>
  <c r="N5118" i="1" s="1"/>
  <c r="M5119" i="1"/>
  <c r="N5119" i="1" s="1"/>
  <c r="M5120" i="1"/>
  <c r="N5120" i="1" s="1"/>
  <c r="M5121" i="1"/>
  <c r="N5121" i="1" s="1"/>
  <c r="M5122" i="1"/>
  <c r="N5122" i="1" s="1"/>
  <c r="M5123" i="1"/>
  <c r="N5123" i="1" s="1"/>
  <c r="M5124" i="1"/>
  <c r="M5125" i="1"/>
  <c r="N5125" i="1" s="1"/>
  <c r="M5126" i="1"/>
  <c r="M5127" i="1"/>
  <c r="N5127" i="1" s="1"/>
  <c r="M5128" i="1"/>
  <c r="M5129" i="1"/>
  <c r="N5129" i="1" s="1"/>
  <c r="M5130" i="1"/>
  <c r="N5130" i="1" s="1"/>
  <c r="M5131" i="1"/>
  <c r="N5131" i="1" s="1"/>
  <c r="M5132" i="1"/>
  <c r="N5132" i="1" s="1"/>
  <c r="M5133" i="1"/>
  <c r="N5133" i="1" s="1"/>
  <c r="M5134" i="1"/>
  <c r="N5134" i="1" s="1"/>
  <c r="M5135" i="1"/>
  <c r="N5135" i="1" s="1"/>
  <c r="M5136" i="1"/>
  <c r="N5136" i="1" s="1"/>
  <c r="M5137" i="1"/>
  <c r="N5137" i="1" s="1"/>
  <c r="M5138" i="1"/>
  <c r="N5138" i="1" s="1"/>
  <c r="M5139" i="1"/>
  <c r="N5139" i="1" s="1"/>
  <c r="M5140" i="1"/>
  <c r="M5141" i="1"/>
  <c r="N5141" i="1" s="1"/>
  <c r="M5142" i="1"/>
  <c r="M5143" i="1"/>
  <c r="N5143" i="1" s="1"/>
  <c r="M5144" i="1"/>
  <c r="M5145" i="1"/>
  <c r="N5145" i="1" s="1"/>
  <c r="M5146" i="1"/>
  <c r="N5146" i="1" s="1"/>
  <c r="M5147" i="1"/>
  <c r="N5147" i="1" s="1"/>
  <c r="M5148" i="1"/>
  <c r="N5148" i="1" s="1"/>
  <c r="M5149" i="1"/>
  <c r="N5149" i="1" s="1"/>
  <c r="M5150" i="1"/>
  <c r="N5150" i="1" s="1"/>
  <c r="M5151" i="1"/>
  <c r="N5151" i="1" s="1"/>
  <c r="M5152" i="1"/>
  <c r="N5152" i="1" s="1"/>
  <c r="M5153" i="1"/>
  <c r="N5153" i="1" s="1"/>
  <c r="M5154" i="1"/>
  <c r="N5154" i="1" s="1"/>
  <c r="M5155" i="1"/>
  <c r="N5155" i="1" s="1"/>
  <c r="M5156" i="1"/>
  <c r="M5157" i="1"/>
  <c r="N5157" i="1" s="1"/>
  <c r="M5158" i="1"/>
  <c r="M5159" i="1"/>
  <c r="N5159" i="1" s="1"/>
  <c r="M5160" i="1"/>
  <c r="M5161" i="1"/>
  <c r="N5161" i="1" s="1"/>
  <c r="M5162" i="1"/>
  <c r="N5162" i="1" s="1"/>
  <c r="M5163" i="1"/>
  <c r="N5163" i="1" s="1"/>
  <c r="M5164" i="1"/>
  <c r="N5164" i="1" s="1"/>
  <c r="M5165" i="1"/>
  <c r="N5165" i="1" s="1"/>
  <c r="M5166" i="1"/>
  <c r="N5166" i="1" s="1"/>
  <c r="M5167" i="1"/>
  <c r="N5167" i="1" s="1"/>
  <c r="M5168" i="1"/>
  <c r="N5168" i="1" s="1"/>
  <c r="M5169" i="1"/>
  <c r="N5169" i="1" s="1"/>
  <c r="M5170" i="1"/>
  <c r="N5170" i="1" s="1"/>
  <c r="M5171" i="1"/>
  <c r="N5171" i="1" s="1"/>
  <c r="M5172" i="1"/>
  <c r="M5173" i="1"/>
  <c r="N5173" i="1" s="1"/>
  <c r="M5174" i="1"/>
  <c r="M5175" i="1"/>
  <c r="N5175" i="1" s="1"/>
  <c r="M5176" i="1"/>
  <c r="M5177" i="1"/>
  <c r="N5177" i="1" s="1"/>
  <c r="M5178" i="1"/>
  <c r="N5178" i="1" s="1"/>
  <c r="M5179" i="1"/>
  <c r="N5179" i="1" s="1"/>
  <c r="M5180" i="1"/>
  <c r="N5180" i="1" s="1"/>
  <c r="M5181" i="1"/>
  <c r="N5181" i="1" s="1"/>
  <c r="M5182" i="1"/>
  <c r="N5182" i="1" s="1"/>
  <c r="M5183" i="1"/>
  <c r="N5183" i="1" s="1"/>
  <c r="M5184" i="1"/>
  <c r="N5184" i="1" s="1"/>
  <c r="M5185" i="1"/>
  <c r="N5185" i="1" s="1"/>
  <c r="M5186" i="1"/>
  <c r="N5186" i="1" s="1"/>
  <c r="M5187" i="1"/>
  <c r="N5187" i="1" s="1"/>
  <c r="M5188" i="1"/>
  <c r="M5189" i="1"/>
  <c r="N5189" i="1" s="1"/>
  <c r="M5190" i="1"/>
  <c r="M5191" i="1"/>
  <c r="N5191" i="1" s="1"/>
  <c r="M5192" i="1"/>
  <c r="M5193" i="1"/>
  <c r="N5193" i="1" s="1"/>
  <c r="M5194" i="1"/>
  <c r="N5194" i="1" s="1"/>
  <c r="M5195" i="1"/>
  <c r="N5195" i="1" s="1"/>
  <c r="M5196" i="1"/>
  <c r="N5196" i="1" s="1"/>
  <c r="M5197" i="1"/>
  <c r="N5197" i="1" s="1"/>
  <c r="M5198" i="1"/>
  <c r="N5198" i="1" s="1"/>
  <c r="M5199" i="1"/>
  <c r="N5199" i="1" s="1"/>
  <c r="S5199" i="1" s="1"/>
  <c r="M5200" i="1"/>
  <c r="N5200" i="1" s="1"/>
  <c r="S5200" i="1" s="1"/>
  <c r="M5201" i="1"/>
  <c r="N5201" i="1" s="1"/>
  <c r="S5201" i="1" s="1"/>
  <c r="M5202" i="1"/>
  <c r="N5202" i="1" s="1"/>
  <c r="S5202" i="1" s="1"/>
  <c r="M5203" i="1"/>
  <c r="N5203" i="1" s="1"/>
  <c r="S5203" i="1" s="1"/>
  <c r="M5204" i="1"/>
  <c r="M5205" i="1"/>
  <c r="N5205" i="1" s="1"/>
  <c r="S5205" i="1" s="1"/>
  <c r="M5206" i="1"/>
  <c r="M5207" i="1"/>
  <c r="N5207" i="1" s="1"/>
  <c r="S5207" i="1" s="1"/>
  <c r="M5208" i="1"/>
  <c r="M5209" i="1"/>
  <c r="N5209" i="1" s="1"/>
  <c r="S5209" i="1" s="1"/>
  <c r="M5210" i="1"/>
  <c r="N5210" i="1" s="1"/>
  <c r="S5210" i="1" s="1"/>
  <c r="M5211" i="1"/>
  <c r="N5211" i="1" s="1"/>
  <c r="S5211" i="1" s="1"/>
  <c r="M5212" i="1"/>
  <c r="N5212" i="1" s="1"/>
  <c r="S5212" i="1" s="1"/>
  <c r="M5213" i="1"/>
  <c r="N5213" i="1" s="1"/>
  <c r="S5213" i="1" s="1"/>
  <c r="M5214" i="1"/>
  <c r="N5214" i="1" s="1"/>
  <c r="S5214" i="1" s="1"/>
  <c r="M5215" i="1"/>
  <c r="N5215" i="1" s="1"/>
  <c r="S5215" i="1" s="1"/>
  <c r="M5216" i="1"/>
  <c r="N5216" i="1" s="1"/>
  <c r="S5216" i="1" s="1"/>
  <c r="M5217" i="1"/>
  <c r="N5217" i="1" s="1"/>
  <c r="S5217" i="1" s="1"/>
  <c r="M5218" i="1"/>
  <c r="N5218" i="1" s="1"/>
  <c r="S5218" i="1" s="1"/>
  <c r="M5219" i="1"/>
  <c r="N5219" i="1" s="1"/>
  <c r="S5219" i="1" s="1"/>
  <c r="M5220" i="1"/>
  <c r="M5221" i="1"/>
  <c r="N5221" i="1" s="1"/>
  <c r="S5221" i="1" s="1"/>
  <c r="M5222" i="1"/>
  <c r="M5223" i="1"/>
  <c r="N5223" i="1" s="1"/>
  <c r="S5223" i="1" s="1"/>
  <c r="M5224" i="1"/>
  <c r="M5225" i="1"/>
  <c r="N5225" i="1" s="1"/>
  <c r="S5225" i="1" s="1"/>
  <c r="M5226" i="1"/>
  <c r="N5226" i="1" s="1"/>
  <c r="S5226" i="1" s="1"/>
  <c r="M5227" i="1"/>
  <c r="N5227" i="1" s="1"/>
  <c r="S5227" i="1" s="1"/>
  <c r="M5228" i="1"/>
  <c r="N5228" i="1" s="1"/>
  <c r="S5228" i="1" s="1"/>
  <c r="M5229" i="1"/>
  <c r="N5229" i="1" s="1"/>
  <c r="S5229" i="1" s="1"/>
  <c r="M5230" i="1"/>
  <c r="N5230" i="1" s="1"/>
  <c r="S5230" i="1" s="1"/>
  <c r="M5231" i="1"/>
  <c r="N5231" i="1" s="1"/>
  <c r="S5231" i="1" s="1"/>
  <c r="M5232" i="1"/>
  <c r="N5232" i="1" s="1"/>
  <c r="S5232" i="1" s="1"/>
  <c r="M5233" i="1"/>
  <c r="N5233" i="1" s="1"/>
  <c r="S5233" i="1" s="1"/>
  <c r="M5234" i="1"/>
  <c r="N5234" i="1" s="1"/>
  <c r="S5234" i="1" s="1"/>
  <c r="M5235" i="1"/>
  <c r="N5235" i="1" s="1"/>
  <c r="S5235" i="1" s="1"/>
  <c r="M5236" i="1"/>
  <c r="M5237" i="1"/>
  <c r="N5237" i="1" s="1"/>
  <c r="S5237" i="1" s="1"/>
  <c r="M5238" i="1"/>
  <c r="M5239" i="1"/>
  <c r="N5239" i="1" s="1"/>
  <c r="S5239" i="1" s="1"/>
  <c r="M5240" i="1"/>
  <c r="M5241" i="1"/>
  <c r="N5241" i="1" s="1"/>
  <c r="S5241" i="1" s="1"/>
  <c r="M5242" i="1"/>
  <c r="N5242" i="1" s="1"/>
  <c r="S5242" i="1" s="1"/>
  <c r="M5243" i="1"/>
  <c r="N5243" i="1" s="1"/>
  <c r="S5243" i="1" s="1"/>
  <c r="M5244" i="1"/>
  <c r="N5244" i="1" s="1"/>
  <c r="S5244" i="1" s="1"/>
  <c r="M5245" i="1"/>
  <c r="N5245" i="1" s="1"/>
  <c r="S5245" i="1" s="1"/>
  <c r="M5246" i="1"/>
  <c r="N5246" i="1" s="1"/>
  <c r="S5246" i="1" s="1"/>
  <c r="M5247" i="1"/>
  <c r="N5247" i="1" s="1"/>
  <c r="S5247" i="1" s="1"/>
  <c r="M5248" i="1"/>
  <c r="N5248" i="1" s="1"/>
  <c r="S5248" i="1" s="1"/>
  <c r="M5249" i="1"/>
  <c r="N5249" i="1" s="1"/>
  <c r="S5249" i="1" s="1"/>
  <c r="M5250" i="1"/>
  <c r="N5250" i="1" s="1"/>
  <c r="S5250" i="1" s="1"/>
  <c r="M5251" i="1"/>
  <c r="N5251" i="1" s="1"/>
  <c r="S5251" i="1" s="1"/>
  <c r="M5252" i="1"/>
  <c r="M5253" i="1"/>
  <c r="N5253" i="1" s="1"/>
  <c r="S5253" i="1" s="1"/>
  <c r="M5254" i="1"/>
  <c r="M5255" i="1"/>
  <c r="N5255" i="1" s="1"/>
  <c r="S5255" i="1" s="1"/>
  <c r="M5256" i="1"/>
  <c r="M5257" i="1"/>
  <c r="N5257" i="1" s="1"/>
  <c r="S5257" i="1" s="1"/>
  <c r="M5258" i="1"/>
  <c r="N5258" i="1" s="1"/>
  <c r="S5258" i="1" s="1"/>
  <c r="M5259" i="1"/>
  <c r="N5259" i="1" s="1"/>
  <c r="S5259" i="1" s="1"/>
  <c r="M5260" i="1"/>
  <c r="N5260" i="1" s="1"/>
  <c r="S5260" i="1" s="1"/>
  <c r="M5261" i="1"/>
  <c r="N5261" i="1" s="1"/>
  <c r="S5261" i="1" s="1"/>
  <c r="M5262" i="1"/>
  <c r="N5262" i="1" s="1"/>
  <c r="S5262" i="1" s="1"/>
  <c r="M5263" i="1"/>
  <c r="N5263" i="1" s="1"/>
  <c r="S5263" i="1" s="1"/>
  <c r="M5264" i="1"/>
  <c r="N5264" i="1" s="1"/>
  <c r="S5264" i="1" s="1"/>
  <c r="M5265" i="1"/>
  <c r="N5265" i="1" s="1"/>
  <c r="S5265" i="1" s="1"/>
  <c r="M5266" i="1"/>
  <c r="N5266" i="1" s="1"/>
  <c r="S5266" i="1" s="1"/>
  <c r="M5267" i="1"/>
  <c r="N5267" i="1" s="1"/>
  <c r="S5267" i="1" s="1"/>
  <c r="M5268" i="1"/>
  <c r="M5269" i="1"/>
  <c r="N5269" i="1" s="1"/>
  <c r="S5269" i="1" s="1"/>
  <c r="M5270" i="1"/>
  <c r="M5271" i="1"/>
  <c r="N5271" i="1" s="1"/>
  <c r="S5271" i="1" s="1"/>
  <c r="M5272" i="1"/>
  <c r="M5273" i="1"/>
  <c r="N5273" i="1" s="1"/>
  <c r="S5273" i="1" s="1"/>
  <c r="M5274" i="1"/>
  <c r="N5274" i="1" s="1"/>
  <c r="S5274" i="1" s="1"/>
  <c r="M5275" i="1"/>
  <c r="N5275" i="1" s="1"/>
  <c r="S5275" i="1" s="1"/>
  <c r="M5276" i="1"/>
  <c r="N5276" i="1" s="1"/>
  <c r="S5276" i="1" s="1"/>
  <c r="M5277" i="1"/>
  <c r="N5277" i="1" s="1"/>
  <c r="S5277" i="1" s="1"/>
  <c r="M5278" i="1"/>
  <c r="N5278" i="1" s="1"/>
  <c r="S5278" i="1" s="1"/>
  <c r="M5279" i="1"/>
  <c r="N5279" i="1" s="1"/>
  <c r="S5279" i="1" s="1"/>
  <c r="M5280" i="1"/>
  <c r="N5280" i="1" s="1"/>
  <c r="S5280" i="1" s="1"/>
  <c r="M5281" i="1"/>
  <c r="N5281" i="1" s="1"/>
  <c r="S5281" i="1" s="1"/>
  <c r="M5282" i="1"/>
  <c r="N5282" i="1" s="1"/>
  <c r="S5282" i="1" s="1"/>
  <c r="M5283" i="1"/>
  <c r="N5283" i="1" s="1"/>
  <c r="S5283" i="1" s="1"/>
  <c r="M5284" i="1"/>
  <c r="M5285" i="1"/>
  <c r="N5285" i="1" s="1"/>
  <c r="M5286" i="1"/>
  <c r="M5287" i="1"/>
  <c r="N5287" i="1" s="1"/>
  <c r="M5288" i="1"/>
  <c r="M5289" i="1"/>
  <c r="N5289" i="1" s="1"/>
  <c r="S5289" i="1" s="1"/>
  <c r="M5290" i="1"/>
  <c r="N5290" i="1" s="1"/>
  <c r="S5290" i="1" s="1"/>
  <c r="M5291" i="1"/>
  <c r="N5291" i="1" s="1"/>
  <c r="S5291" i="1" s="1"/>
  <c r="M5292" i="1"/>
  <c r="N5292" i="1" s="1"/>
  <c r="S5292" i="1" s="1"/>
  <c r="M5293" i="1"/>
  <c r="N5293" i="1" s="1"/>
  <c r="S5293" i="1" s="1"/>
  <c r="M5294" i="1"/>
  <c r="N5294" i="1" s="1"/>
  <c r="S5294" i="1" s="1"/>
  <c r="M5295" i="1"/>
  <c r="N5295" i="1" s="1"/>
  <c r="S5295" i="1" s="1"/>
  <c r="M5296" i="1"/>
  <c r="N5296" i="1" s="1"/>
  <c r="S5296" i="1" s="1"/>
  <c r="M5297" i="1"/>
  <c r="N5297" i="1" s="1"/>
  <c r="S5297" i="1" s="1"/>
  <c r="M5298" i="1"/>
  <c r="N5298" i="1" s="1"/>
  <c r="S5298" i="1" s="1"/>
  <c r="M5299" i="1"/>
  <c r="N5299" i="1" s="1"/>
  <c r="S5299" i="1" s="1"/>
  <c r="M5300" i="1"/>
  <c r="M5301" i="1"/>
  <c r="N5301" i="1" s="1"/>
  <c r="S5301" i="1" s="1"/>
  <c r="M5302" i="1"/>
  <c r="M5303" i="1"/>
  <c r="N5303" i="1" s="1"/>
  <c r="S5303" i="1" s="1"/>
  <c r="M5304" i="1"/>
  <c r="M5305" i="1"/>
  <c r="N5305" i="1" s="1"/>
  <c r="S5305" i="1" s="1"/>
  <c r="M5306" i="1"/>
  <c r="N5306" i="1" s="1"/>
  <c r="S5306" i="1" s="1"/>
  <c r="M5307" i="1"/>
  <c r="N5307" i="1" s="1"/>
  <c r="S5307" i="1" s="1"/>
  <c r="M5308" i="1"/>
  <c r="N5308" i="1" s="1"/>
  <c r="S5308" i="1" s="1"/>
  <c r="M5309" i="1"/>
  <c r="N5309" i="1" s="1"/>
  <c r="S5309" i="1" s="1"/>
  <c r="M5310" i="1"/>
  <c r="N5310" i="1" s="1"/>
  <c r="S5310" i="1" s="1"/>
  <c r="M5311" i="1"/>
  <c r="N5311" i="1" s="1"/>
  <c r="S5311" i="1" s="1"/>
  <c r="M5312" i="1"/>
  <c r="N5312" i="1" s="1"/>
  <c r="S5312" i="1" s="1"/>
  <c r="M5313" i="1"/>
  <c r="N5313" i="1" s="1"/>
  <c r="S5313" i="1" s="1"/>
  <c r="M5314" i="1"/>
  <c r="N5314" i="1" s="1"/>
  <c r="S5314" i="1" s="1"/>
  <c r="M5315" i="1"/>
  <c r="N5315" i="1" s="1"/>
  <c r="S5315" i="1" s="1"/>
  <c r="M5316" i="1"/>
  <c r="M5317" i="1"/>
  <c r="N5317" i="1" s="1"/>
  <c r="S5317" i="1" s="1"/>
  <c r="M4895" i="1"/>
  <c r="S4867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3938" i="1"/>
  <c r="N3943" i="1"/>
  <c r="S3943" i="1" s="1"/>
  <c r="N3951" i="1"/>
  <c r="S3951" i="1" s="1"/>
  <c r="N3959" i="1"/>
  <c r="S3959" i="1" s="1"/>
  <c r="N3967" i="1"/>
  <c r="S3967" i="1" s="1"/>
  <c r="N3975" i="1"/>
  <c r="S3975" i="1" s="1"/>
  <c r="N3983" i="1"/>
  <c r="S3983" i="1" s="1"/>
  <c r="N3991" i="1"/>
  <c r="S3991" i="1" s="1"/>
  <c r="N3999" i="1"/>
  <c r="S3999" i="1" s="1"/>
  <c r="N4007" i="1"/>
  <c r="S4007" i="1" s="1"/>
  <c r="N4015" i="1"/>
  <c r="S4015" i="1" s="1"/>
  <c r="N4023" i="1"/>
  <c r="S4023" i="1" s="1"/>
  <c r="N4031" i="1"/>
  <c r="S4031" i="1" s="1"/>
  <c r="N4039" i="1"/>
  <c r="S4039" i="1" s="1"/>
  <c r="N4047" i="1"/>
  <c r="S4047" i="1" s="1"/>
  <c r="N4055" i="1"/>
  <c r="S4055" i="1" s="1"/>
  <c r="N4063" i="1"/>
  <c r="S4063" i="1" s="1"/>
  <c r="N4071" i="1"/>
  <c r="S4071" i="1" s="1"/>
  <c r="N4079" i="1"/>
  <c r="S4079" i="1" s="1"/>
  <c r="N4087" i="1"/>
  <c r="S4087" i="1" s="1"/>
  <c r="N4095" i="1"/>
  <c r="S4095" i="1" s="1"/>
  <c r="N4103" i="1"/>
  <c r="S4103" i="1" s="1"/>
  <c r="N4111" i="1"/>
  <c r="S4111" i="1" s="1"/>
  <c r="N4119" i="1"/>
  <c r="S4119" i="1" s="1"/>
  <c r="N4127" i="1"/>
  <c r="N4135" i="1"/>
  <c r="N4143" i="1"/>
  <c r="S4143" i="1" s="1"/>
  <c r="N4151" i="1"/>
  <c r="S4151" i="1" s="1"/>
  <c r="N4159" i="1"/>
  <c r="S4159" i="1" s="1"/>
  <c r="N4167" i="1"/>
  <c r="S4167" i="1" s="1"/>
  <c r="N4175" i="1"/>
  <c r="S4175" i="1" s="1"/>
  <c r="N4183" i="1"/>
  <c r="S4183" i="1" s="1"/>
  <c r="N4191" i="1"/>
  <c r="S4191" i="1" s="1"/>
  <c r="N4199" i="1"/>
  <c r="S4199" i="1" s="1"/>
  <c r="N4207" i="1"/>
  <c r="S4207" i="1" s="1"/>
  <c r="N4215" i="1"/>
  <c r="S4215" i="1" s="1"/>
  <c r="N4223" i="1"/>
  <c r="S4223" i="1" s="1"/>
  <c r="N4231" i="1"/>
  <c r="S4231" i="1" s="1"/>
  <c r="N4239" i="1"/>
  <c r="S4239" i="1" s="1"/>
  <c r="N4247" i="1"/>
  <c r="S4247" i="1" s="1"/>
  <c r="N4255" i="1"/>
  <c r="S4255" i="1" s="1"/>
  <c r="N4263" i="1"/>
  <c r="N4271" i="1"/>
  <c r="N4279" i="1"/>
  <c r="N4287" i="1"/>
  <c r="S4287" i="1" s="1"/>
  <c r="N4295" i="1"/>
  <c r="S4295" i="1" s="1"/>
  <c r="N4303" i="1"/>
  <c r="S4303" i="1" s="1"/>
  <c r="N4311" i="1"/>
  <c r="S4311" i="1" s="1"/>
  <c r="N4319" i="1"/>
  <c r="N4327" i="1"/>
  <c r="S4327" i="1" s="1"/>
  <c r="N4335" i="1"/>
  <c r="S4335" i="1" s="1"/>
  <c r="N4343" i="1"/>
  <c r="N4351" i="1"/>
  <c r="S4351" i="1" s="1"/>
  <c r="N4359" i="1"/>
  <c r="S4359" i="1" s="1"/>
  <c r="N4367" i="1"/>
  <c r="S4367" i="1" s="1"/>
  <c r="N4375" i="1"/>
  <c r="S4375" i="1" s="1"/>
  <c r="N4383" i="1"/>
  <c r="S4383" i="1" s="1"/>
  <c r="N4391" i="1"/>
  <c r="S4391" i="1" s="1"/>
  <c r="N4399" i="1"/>
  <c r="S4399" i="1" s="1"/>
  <c r="N4407" i="1"/>
  <c r="S4407" i="1" s="1"/>
  <c r="N4415" i="1"/>
  <c r="S4415" i="1" s="1"/>
  <c r="N4423" i="1"/>
  <c r="S4423" i="1" s="1"/>
  <c r="N4431" i="1"/>
  <c r="S4431" i="1" s="1"/>
  <c r="N4439" i="1"/>
  <c r="N4447" i="1"/>
  <c r="N4455" i="1"/>
  <c r="S4455" i="1" s="1"/>
  <c r="N4463" i="1"/>
  <c r="N4471" i="1"/>
  <c r="S4471" i="1" s="1"/>
  <c r="N4479" i="1"/>
  <c r="N4487" i="1"/>
  <c r="S4487" i="1" s="1"/>
  <c r="N4503" i="1"/>
  <c r="S4503" i="1" s="1"/>
  <c r="N4519" i="1"/>
  <c r="S4519" i="1" s="1"/>
  <c r="N4535" i="1"/>
  <c r="S4535" i="1" s="1"/>
  <c r="N4551" i="1"/>
  <c r="S4551" i="1" s="1"/>
  <c r="N4567" i="1"/>
  <c r="N4583" i="1"/>
  <c r="S4583" i="1" s="1"/>
  <c r="N4599" i="1"/>
  <c r="S4599" i="1" s="1"/>
  <c r="N4607" i="1"/>
  <c r="S4607" i="1" s="1"/>
  <c r="N4615" i="1"/>
  <c r="S4615" i="1" s="1"/>
  <c r="N4631" i="1"/>
  <c r="S4631" i="1" s="1"/>
  <c r="N4647" i="1"/>
  <c r="S4647" i="1" s="1"/>
  <c r="N4663" i="1"/>
  <c r="S4663" i="1" s="1"/>
  <c r="N4679" i="1"/>
  <c r="S4679" i="1" s="1"/>
  <c r="N4695" i="1"/>
  <c r="S4695" i="1" s="1"/>
  <c r="N4711" i="1"/>
  <c r="S4711" i="1" s="1"/>
  <c r="N4727" i="1"/>
  <c r="S4727" i="1" s="1"/>
  <c r="N4743" i="1"/>
  <c r="S4743" i="1" s="1"/>
  <c r="N4759" i="1"/>
  <c r="S4759" i="1" s="1"/>
  <c r="N4775" i="1"/>
  <c r="S4775" i="1" s="1"/>
  <c r="N4791" i="1"/>
  <c r="N4807" i="1"/>
  <c r="S4807" i="1" s="1"/>
  <c r="N4823" i="1"/>
  <c r="S4823" i="1" s="1"/>
  <c r="N4839" i="1"/>
  <c r="N4855" i="1"/>
  <c r="N4871" i="1"/>
  <c r="N4887" i="1"/>
  <c r="M3939" i="1"/>
  <c r="N3939" i="1" s="1"/>
  <c r="S3939" i="1" s="1"/>
  <c r="M3940" i="1"/>
  <c r="N3940" i="1" s="1"/>
  <c r="M3941" i="1"/>
  <c r="N3941" i="1" s="1"/>
  <c r="S3941" i="1" s="1"/>
  <c r="M3942" i="1"/>
  <c r="N3942" i="1" s="1"/>
  <c r="S3942" i="1" s="1"/>
  <c r="M3943" i="1"/>
  <c r="M3944" i="1"/>
  <c r="N3944" i="1" s="1"/>
  <c r="S3944" i="1" s="1"/>
  <c r="M3945" i="1"/>
  <c r="N3945" i="1" s="1"/>
  <c r="S3945" i="1" s="1"/>
  <c r="M3946" i="1"/>
  <c r="N3946" i="1" s="1"/>
  <c r="S3946" i="1" s="1"/>
  <c r="M3947" i="1"/>
  <c r="N3947" i="1" s="1"/>
  <c r="S3947" i="1" s="1"/>
  <c r="M3948" i="1"/>
  <c r="N3948" i="1" s="1"/>
  <c r="S3948" i="1" s="1"/>
  <c r="M3949" i="1"/>
  <c r="N3949" i="1" s="1"/>
  <c r="S3949" i="1" s="1"/>
  <c r="M3950" i="1"/>
  <c r="N3950" i="1" s="1"/>
  <c r="S3950" i="1" s="1"/>
  <c r="M3951" i="1"/>
  <c r="M3952" i="1"/>
  <c r="N3952" i="1" s="1"/>
  <c r="M3953" i="1"/>
  <c r="N3953" i="1" s="1"/>
  <c r="S3953" i="1" s="1"/>
  <c r="M3954" i="1"/>
  <c r="N3954" i="1" s="1"/>
  <c r="S3954" i="1" s="1"/>
  <c r="M3955" i="1"/>
  <c r="N3955" i="1" s="1"/>
  <c r="S3955" i="1" s="1"/>
  <c r="M3956" i="1"/>
  <c r="N3956" i="1" s="1"/>
  <c r="S3956" i="1" s="1"/>
  <c r="M3957" i="1"/>
  <c r="N3957" i="1" s="1"/>
  <c r="M3958" i="1"/>
  <c r="N3958" i="1" s="1"/>
  <c r="S3958" i="1" s="1"/>
  <c r="M3959" i="1"/>
  <c r="M3960" i="1"/>
  <c r="N3960" i="1" s="1"/>
  <c r="S3960" i="1" s="1"/>
  <c r="M3961" i="1"/>
  <c r="N3961" i="1" s="1"/>
  <c r="S3961" i="1" s="1"/>
  <c r="M3962" i="1"/>
  <c r="N3962" i="1" s="1"/>
  <c r="S3962" i="1" s="1"/>
  <c r="M3963" i="1"/>
  <c r="N3963" i="1" s="1"/>
  <c r="S3963" i="1" s="1"/>
  <c r="M3964" i="1"/>
  <c r="N3964" i="1" s="1"/>
  <c r="S3964" i="1" s="1"/>
  <c r="M3965" i="1"/>
  <c r="N3965" i="1" s="1"/>
  <c r="S3965" i="1" s="1"/>
  <c r="M3966" i="1"/>
  <c r="N3966" i="1" s="1"/>
  <c r="S3966" i="1" s="1"/>
  <c r="M3967" i="1"/>
  <c r="M3968" i="1"/>
  <c r="N3968" i="1" s="1"/>
  <c r="S3968" i="1" s="1"/>
  <c r="M3969" i="1"/>
  <c r="N3969" i="1" s="1"/>
  <c r="S3969" i="1" s="1"/>
  <c r="M3970" i="1"/>
  <c r="N3970" i="1" s="1"/>
  <c r="S3970" i="1" s="1"/>
  <c r="M3971" i="1"/>
  <c r="N3971" i="1" s="1"/>
  <c r="M3972" i="1"/>
  <c r="N3972" i="1" s="1"/>
  <c r="M3973" i="1"/>
  <c r="N3973" i="1" s="1"/>
  <c r="S3973" i="1" s="1"/>
  <c r="M3974" i="1"/>
  <c r="N3974" i="1" s="1"/>
  <c r="S3974" i="1" s="1"/>
  <c r="M3975" i="1"/>
  <c r="M3976" i="1"/>
  <c r="N3976" i="1" s="1"/>
  <c r="S3976" i="1" s="1"/>
  <c r="M3977" i="1"/>
  <c r="N3977" i="1" s="1"/>
  <c r="M3978" i="1"/>
  <c r="N3978" i="1" s="1"/>
  <c r="S3978" i="1" s="1"/>
  <c r="M3979" i="1"/>
  <c r="N3979" i="1" s="1"/>
  <c r="S3979" i="1" s="1"/>
  <c r="M3980" i="1"/>
  <c r="N3980" i="1" s="1"/>
  <c r="S3980" i="1" s="1"/>
  <c r="M3981" i="1"/>
  <c r="N3981" i="1" s="1"/>
  <c r="S3981" i="1" s="1"/>
  <c r="M3982" i="1"/>
  <c r="N3982" i="1" s="1"/>
  <c r="S3982" i="1" s="1"/>
  <c r="M3983" i="1"/>
  <c r="M3984" i="1"/>
  <c r="N3984" i="1" s="1"/>
  <c r="S3984" i="1" s="1"/>
  <c r="M3985" i="1"/>
  <c r="N3985" i="1" s="1"/>
  <c r="M3986" i="1"/>
  <c r="N3986" i="1" s="1"/>
  <c r="S3986" i="1" s="1"/>
  <c r="M3987" i="1"/>
  <c r="N3987" i="1" s="1"/>
  <c r="S3987" i="1" s="1"/>
  <c r="M3988" i="1"/>
  <c r="N3988" i="1" s="1"/>
  <c r="S3988" i="1" s="1"/>
  <c r="M3989" i="1"/>
  <c r="N3989" i="1" s="1"/>
  <c r="S3989" i="1" s="1"/>
  <c r="M3990" i="1"/>
  <c r="N3990" i="1" s="1"/>
  <c r="M3991" i="1"/>
  <c r="M3992" i="1"/>
  <c r="N3992" i="1" s="1"/>
  <c r="S3992" i="1" s="1"/>
  <c r="M3993" i="1"/>
  <c r="N3993" i="1" s="1"/>
  <c r="S3993" i="1" s="1"/>
  <c r="M3994" i="1"/>
  <c r="N3994" i="1" s="1"/>
  <c r="S3994" i="1" s="1"/>
  <c r="M3995" i="1"/>
  <c r="N3995" i="1" s="1"/>
  <c r="S3995" i="1" s="1"/>
  <c r="M3996" i="1"/>
  <c r="N3996" i="1" s="1"/>
  <c r="S3996" i="1" s="1"/>
  <c r="M3997" i="1"/>
  <c r="N3997" i="1" s="1"/>
  <c r="S3997" i="1" s="1"/>
  <c r="M3998" i="1"/>
  <c r="N3998" i="1" s="1"/>
  <c r="S3998" i="1" s="1"/>
  <c r="M3999" i="1"/>
  <c r="M4000" i="1"/>
  <c r="N4000" i="1" s="1"/>
  <c r="S4000" i="1" s="1"/>
  <c r="M4001" i="1"/>
  <c r="N4001" i="1" s="1"/>
  <c r="S4001" i="1" s="1"/>
  <c r="M4002" i="1"/>
  <c r="N4002" i="1" s="1"/>
  <c r="S4002" i="1" s="1"/>
  <c r="M4003" i="1"/>
  <c r="N4003" i="1" s="1"/>
  <c r="S4003" i="1" s="1"/>
  <c r="M4004" i="1"/>
  <c r="N4004" i="1" s="1"/>
  <c r="S4004" i="1" s="1"/>
  <c r="M4005" i="1"/>
  <c r="N4005" i="1" s="1"/>
  <c r="S4005" i="1" s="1"/>
  <c r="M4006" i="1"/>
  <c r="N4006" i="1" s="1"/>
  <c r="S4006" i="1" s="1"/>
  <c r="M4007" i="1"/>
  <c r="M4008" i="1"/>
  <c r="N4008" i="1" s="1"/>
  <c r="S4008" i="1" s="1"/>
  <c r="M4009" i="1"/>
  <c r="N4009" i="1" s="1"/>
  <c r="S4009" i="1" s="1"/>
  <c r="M4010" i="1"/>
  <c r="N4010" i="1" s="1"/>
  <c r="S4010" i="1" s="1"/>
  <c r="M4011" i="1"/>
  <c r="N4011" i="1" s="1"/>
  <c r="S4011" i="1" s="1"/>
  <c r="M4012" i="1"/>
  <c r="N4012" i="1" s="1"/>
  <c r="S4012" i="1" s="1"/>
  <c r="M4013" i="1"/>
  <c r="N4013" i="1" s="1"/>
  <c r="S4013" i="1" s="1"/>
  <c r="M4014" i="1"/>
  <c r="N4014" i="1" s="1"/>
  <c r="S4014" i="1" s="1"/>
  <c r="M4015" i="1"/>
  <c r="M4016" i="1"/>
  <c r="N4016" i="1" s="1"/>
  <c r="S4016" i="1" s="1"/>
  <c r="M4017" i="1"/>
  <c r="N4017" i="1" s="1"/>
  <c r="S4017" i="1" s="1"/>
  <c r="M4018" i="1"/>
  <c r="N4018" i="1" s="1"/>
  <c r="S4018" i="1" s="1"/>
  <c r="M4019" i="1"/>
  <c r="N4019" i="1" s="1"/>
  <c r="S4019" i="1" s="1"/>
  <c r="M4020" i="1"/>
  <c r="N4020" i="1" s="1"/>
  <c r="S4020" i="1" s="1"/>
  <c r="M4021" i="1"/>
  <c r="N4021" i="1" s="1"/>
  <c r="S4021" i="1" s="1"/>
  <c r="M4022" i="1"/>
  <c r="N4022" i="1" s="1"/>
  <c r="S4022" i="1" s="1"/>
  <c r="M4023" i="1"/>
  <c r="M4024" i="1"/>
  <c r="N4024" i="1" s="1"/>
  <c r="S4024" i="1" s="1"/>
  <c r="M4025" i="1"/>
  <c r="N4025" i="1" s="1"/>
  <c r="S4025" i="1" s="1"/>
  <c r="M4026" i="1"/>
  <c r="N4026" i="1" s="1"/>
  <c r="S4026" i="1" s="1"/>
  <c r="M4027" i="1"/>
  <c r="N4027" i="1" s="1"/>
  <c r="S4027" i="1" s="1"/>
  <c r="M4028" i="1"/>
  <c r="N4028" i="1" s="1"/>
  <c r="S4028" i="1" s="1"/>
  <c r="M4029" i="1"/>
  <c r="N4029" i="1" s="1"/>
  <c r="S4029" i="1" s="1"/>
  <c r="M4030" i="1"/>
  <c r="N4030" i="1" s="1"/>
  <c r="S4030" i="1" s="1"/>
  <c r="M4031" i="1"/>
  <c r="M4032" i="1"/>
  <c r="N4032" i="1" s="1"/>
  <c r="S4032" i="1" s="1"/>
  <c r="M4033" i="1"/>
  <c r="N4033" i="1" s="1"/>
  <c r="S4033" i="1" s="1"/>
  <c r="M4034" i="1"/>
  <c r="N4034" i="1" s="1"/>
  <c r="S4034" i="1" s="1"/>
  <c r="M4035" i="1"/>
  <c r="N4035" i="1" s="1"/>
  <c r="S4035" i="1" s="1"/>
  <c r="M4036" i="1"/>
  <c r="N4036" i="1" s="1"/>
  <c r="S4036" i="1" s="1"/>
  <c r="M4037" i="1"/>
  <c r="N4037" i="1" s="1"/>
  <c r="S4037" i="1" s="1"/>
  <c r="M4038" i="1"/>
  <c r="N4038" i="1" s="1"/>
  <c r="S4038" i="1" s="1"/>
  <c r="M4039" i="1"/>
  <c r="M4040" i="1"/>
  <c r="N4040" i="1" s="1"/>
  <c r="S4040" i="1" s="1"/>
  <c r="M4041" i="1"/>
  <c r="N4041" i="1" s="1"/>
  <c r="M4042" i="1"/>
  <c r="N4042" i="1" s="1"/>
  <c r="M4043" i="1"/>
  <c r="N4043" i="1" s="1"/>
  <c r="S4043" i="1" s="1"/>
  <c r="M4044" i="1"/>
  <c r="N4044" i="1" s="1"/>
  <c r="S4044" i="1" s="1"/>
  <c r="M4045" i="1"/>
  <c r="N4045" i="1" s="1"/>
  <c r="S4045" i="1" s="1"/>
  <c r="M4046" i="1"/>
  <c r="N4046" i="1" s="1"/>
  <c r="S4046" i="1" s="1"/>
  <c r="M4047" i="1"/>
  <c r="M4048" i="1"/>
  <c r="N4048" i="1" s="1"/>
  <c r="S4048" i="1" s="1"/>
  <c r="M4049" i="1"/>
  <c r="N4049" i="1" s="1"/>
  <c r="S4049" i="1" s="1"/>
  <c r="M4050" i="1"/>
  <c r="N4050" i="1" s="1"/>
  <c r="S4050" i="1" s="1"/>
  <c r="M4051" i="1"/>
  <c r="N4051" i="1" s="1"/>
  <c r="S4051" i="1" s="1"/>
  <c r="M4052" i="1"/>
  <c r="N4052" i="1" s="1"/>
  <c r="S4052" i="1" s="1"/>
  <c r="M4053" i="1"/>
  <c r="N4053" i="1" s="1"/>
  <c r="S4053" i="1" s="1"/>
  <c r="M4054" i="1"/>
  <c r="N4054" i="1" s="1"/>
  <c r="M4055" i="1"/>
  <c r="M4056" i="1"/>
  <c r="N4056" i="1" s="1"/>
  <c r="S4056" i="1" s="1"/>
  <c r="M4057" i="1"/>
  <c r="N4057" i="1" s="1"/>
  <c r="S4057" i="1" s="1"/>
  <c r="M4058" i="1"/>
  <c r="N4058" i="1" s="1"/>
  <c r="S4058" i="1" s="1"/>
  <c r="M4059" i="1"/>
  <c r="N4059" i="1" s="1"/>
  <c r="S4059" i="1" s="1"/>
  <c r="M4060" i="1"/>
  <c r="N4060" i="1" s="1"/>
  <c r="S4060" i="1" s="1"/>
  <c r="M4061" i="1"/>
  <c r="N4061" i="1" s="1"/>
  <c r="S4061" i="1" s="1"/>
  <c r="M4062" i="1"/>
  <c r="N4062" i="1" s="1"/>
  <c r="S4062" i="1" s="1"/>
  <c r="M4063" i="1"/>
  <c r="M4064" i="1"/>
  <c r="N4064" i="1" s="1"/>
  <c r="S4064" i="1" s="1"/>
  <c r="M4065" i="1"/>
  <c r="N4065" i="1" s="1"/>
  <c r="S4065" i="1" s="1"/>
  <c r="M4066" i="1"/>
  <c r="N4066" i="1" s="1"/>
  <c r="S4066" i="1" s="1"/>
  <c r="M4067" i="1"/>
  <c r="N4067" i="1" s="1"/>
  <c r="S4067" i="1" s="1"/>
  <c r="M4068" i="1"/>
  <c r="N4068" i="1" s="1"/>
  <c r="S4068" i="1" s="1"/>
  <c r="M4069" i="1"/>
  <c r="N4069" i="1" s="1"/>
  <c r="S4069" i="1" s="1"/>
  <c r="M4070" i="1"/>
  <c r="N4070" i="1" s="1"/>
  <c r="S4070" i="1" s="1"/>
  <c r="M4071" i="1"/>
  <c r="M4072" i="1"/>
  <c r="N4072" i="1" s="1"/>
  <c r="S4072" i="1" s="1"/>
  <c r="M4073" i="1"/>
  <c r="N4073" i="1" s="1"/>
  <c r="S4073" i="1" s="1"/>
  <c r="M4074" i="1"/>
  <c r="N4074" i="1" s="1"/>
  <c r="S4074" i="1" s="1"/>
  <c r="M4075" i="1"/>
  <c r="N4075" i="1" s="1"/>
  <c r="S4075" i="1" s="1"/>
  <c r="M4076" i="1"/>
  <c r="N4076" i="1" s="1"/>
  <c r="S4076" i="1" s="1"/>
  <c r="M4077" i="1"/>
  <c r="N4077" i="1" s="1"/>
  <c r="S4077" i="1" s="1"/>
  <c r="M4078" i="1"/>
  <c r="N4078" i="1" s="1"/>
  <c r="S4078" i="1" s="1"/>
  <c r="M4079" i="1"/>
  <c r="M4080" i="1"/>
  <c r="N4080" i="1" s="1"/>
  <c r="S4080" i="1" s="1"/>
  <c r="M4081" i="1"/>
  <c r="N4081" i="1" s="1"/>
  <c r="S4081" i="1" s="1"/>
  <c r="M4082" i="1"/>
  <c r="N4082" i="1" s="1"/>
  <c r="S4082" i="1" s="1"/>
  <c r="M4083" i="1"/>
  <c r="N4083" i="1" s="1"/>
  <c r="S4083" i="1" s="1"/>
  <c r="M4084" i="1"/>
  <c r="N4084" i="1" s="1"/>
  <c r="S4084" i="1" s="1"/>
  <c r="M4085" i="1"/>
  <c r="N4085" i="1" s="1"/>
  <c r="S4085" i="1" s="1"/>
  <c r="M4086" i="1"/>
  <c r="N4086" i="1" s="1"/>
  <c r="S4086" i="1" s="1"/>
  <c r="M4087" i="1"/>
  <c r="M4088" i="1"/>
  <c r="N4088" i="1" s="1"/>
  <c r="S4088" i="1" s="1"/>
  <c r="M4089" i="1"/>
  <c r="N4089" i="1" s="1"/>
  <c r="S4089" i="1" s="1"/>
  <c r="M4090" i="1"/>
  <c r="N4090" i="1" s="1"/>
  <c r="S4090" i="1" s="1"/>
  <c r="M4091" i="1"/>
  <c r="N4091" i="1" s="1"/>
  <c r="S4091" i="1" s="1"/>
  <c r="M4092" i="1"/>
  <c r="N4092" i="1" s="1"/>
  <c r="S4092" i="1" s="1"/>
  <c r="M4093" i="1"/>
  <c r="N4093" i="1" s="1"/>
  <c r="S4093" i="1" s="1"/>
  <c r="M4094" i="1"/>
  <c r="N4094" i="1" s="1"/>
  <c r="S4094" i="1" s="1"/>
  <c r="M4095" i="1"/>
  <c r="M4096" i="1"/>
  <c r="N4096" i="1" s="1"/>
  <c r="S4096" i="1" s="1"/>
  <c r="M4097" i="1"/>
  <c r="N4097" i="1" s="1"/>
  <c r="S4097" i="1" s="1"/>
  <c r="M4098" i="1"/>
  <c r="N4098" i="1" s="1"/>
  <c r="S4098" i="1" s="1"/>
  <c r="M4099" i="1"/>
  <c r="N4099" i="1" s="1"/>
  <c r="S4099" i="1" s="1"/>
  <c r="M4100" i="1"/>
  <c r="N4100" i="1" s="1"/>
  <c r="S4100" i="1" s="1"/>
  <c r="M4101" i="1"/>
  <c r="N4101" i="1" s="1"/>
  <c r="S4101" i="1" s="1"/>
  <c r="M4102" i="1"/>
  <c r="N4102" i="1" s="1"/>
  <c r="S4102" i="1" s="1"/>
  <c r="M4103" i="1"/>
  <c r="M4104" i="1"/>
  <c r="N4104" i="1" s="1"/>
  <c r="S4104" i="1" s="1"/>
  <c r="M4105" i="1"/>
  <c r="N4105" i="1" s="1"/>
  <c r="M4106" i="1"/>
  <c r="N4106" i="1" s="1"/>
  <c r="S4106" i="1" s="1"/>
  <c r="M4107" i="1"/>
  <c r="N4107" i="1" s="1"/>
  <c r="S4107" i="1" s="1"/>
  <c r="M4108" i="1"/>
  <c r="N4108" i="1" s="1"/>
  <c r="S4108" i="1" s="1"/>
  <c r="M4109" i="1"/>
  <c r="N4109" i="1" s="1"/>
  <c r="S4109" i="1" s="1"/>
  <c r="M4110" i="1"/>
  <c r="N4110" i="1" s="1"/>
  <c r="S4110" i="1" s="1"/>
  <c r="M4111" i="1"/>
  <c r="M4112" i="1"/>
  <c r="N4112" i="1" s="1"/>
  <c r="S4112" i="1" s="1"/>
  <c r="M4113" i="1"/>
  <c r="N4113" i="1" s="1"/>
  <c r="S4113" i="1" s="1"/>
  <c r="M4114" i="1"/>
  <c r="N4114" i="1" s="1"/>
  <c r="S4114" i="1" s="1"/>
  <c r="M4115" i="1"/>
  <c r="N4115" i="1" s="1"/>
  <c r="S4115" i="1" s="1"/>
  <c r="M4116" i="1"/>
  <c r="N4116" i="1" s="1"/>
  <c r="S4116" i="1" s="1"/>
  <c r="M4117" i="1"/>
  <c r="N4117" i="1" s="1"/>
  <c r="S4117" i="1" s="1"/>
  <c r="M4118" i="1"/>
  <c r="N4118" i="1" s="1"/>
  <c r="S4118" i="1" s="1"/>
  <c r="M4119" i="1"/>
  <c r="M4120" i="1"/>
  <c r="N4120" i="1" s="1"/>
  <c r="S4120" i="1" s="1"/>
  <c r="M4121" i="1"/>
  <c r="N4121" i="1" s="1"/>
  <c r="S4121" i="1" s="1"/>
  <c r="M4122" i="1"/>
  <c r="N4122" i="1" s="1"/>
  <c r="S4122" i="1" s="1"/>
  <c r="M4123" i="1"/>
  <c r="N4123" i="1" s="1"/>
  <c r="S4123" i="1" s="1"/>
  <c r="M4124" i="1"/>
  <c r="N4124" i="1" s="1"/>
  <c r="M4125" i="1"/>
  <c r="N4125" i="1" s="1"/>
  <c r="S4125" i="1" s="1"/>
  <c r="M4126" i="1"/>
  <c r="N4126" i="1" s="1"/>
  <c r="S4126" i="1" s="1"/>
  <c r="M4127" i="1"/>
  <c r="M4128" i="1"/>
  <c r="N4128" i="1" s="1"/>
  <c r="M4129" i="1"/>
  <c r="N4129" i="1" s="1"/>
  <c r="S4129" i="1" s="1"/>
  <c r="M4130" i="1"/>
  <c r="N4130" i="1" s="1"/>
  <c r="S4130" i="1" s="1"/>
  <c r="M4131" i="1"/>
  <c r="N4131" i="1" s="1"/>
  <c r="S4131" i="1" s="1"/>
  <c r="M4132" i="1"/>
  <c r="N4132" i="1" s="1"/>
  <c r="S4132" i="1" s="1"/>
  <c r="M4133" i="1"/>
  <c r="N4133" i="1" s="1"/>
  <c r="S4133" i="1" s="1"/>
  <c r="M4134" i="1"/>
  <c r="N4134" i="1" s="1"/>
  <c r="S4134" i="1" s="1"/>
  <c r="M4135" i="1"/>
  <c r="M4136" i="1"/>
  <c r="N4136" i="1" s="1"/>
  <c r="S4136" i="1" s="1"/>
  <c r="M4137" i="1"/>
  <c r="N4137" i="1" s="1"/>
  <c r="S4137" i="1" s="1"/>
  <c r="M4138" i="1"/>
  <c r="N4138" i="1" s="1"/>
  <c r="S4138" i="1" s="1"/>
  <c r="M4139" i="1"/>
  <c r="N4139" i="1" s="1"/>
  <c r="S4139" i="1" s="1"/>
  <c r="M4140" i="1"/>
  <c r="N4140" i="1" s="1"/>
  <c r="S4140" i="1" s="1"/>
  <c r="M4141" i="1"/>
  <c r="N4141" i="1" s="1"/>
  <c r="S4141" i="1" s="1"/>
  <c r="M4142" i="1"/>
  <c r="N4142" i="1" s="1"/>
  <c r="S4142" i="1" s="1"/>
  <c r="M4143" i="1"/>
  <c r="M4144" i="1"/>
  <c r="N4144" i="1" s="1"/>
  <c r="S4144" i="1" s="1"/>
  <c r="M4145" i="1"/>
  <c r="N4145" i="1" s="1"/>
  <c r="S4145" i="1" s="1"/>
  <c r="M4146" i="1"/>
  <c r="N4146" i="1" s="1"/>
  <c r="S4146" i="1" s="1"/>
  <c r="M4147" i="1"/>
  <c r="N4147" i="1" s="1"/>
  <c r="S4147" i="1" s="1"/>
  <c r="M4148" i="1"/>
  <c r="N4148" i="1" s="1"/>
  <c r="S4148" i="1" s="1"/>
  <c r="M4149" i="1"/>
  <c r="N4149" i="1" s="1"/>
  <c r="S4149" i="1" s="1"/>
  <c r="M4150" i="1"/>
  <c r="N4150" i="1" s="1"/>
  <c r="S4150" i="1" s="1"/>
  <c r="M4151" i="1"/>
  <c r="M4152" i="1"/>
  <c r="N4152" i="1" s="1"/>
  <c r="S4152" i="1" s="1"/>
  <c r="M4153" i="1"/>
  <c r="N4153" i="1" s="1"/>
  <c r="S4153" i="1" s="1"/>
  <c r="M4154" i="1"/>
  <c r="N4154" i="1" s="1"/>
  <c r="S4154" i="1" s="1"/>
  <c r="M4155" i="1"/>
  <c r="N4155" i="1" s="1"/>
  <c r="S4155" i="1" s="1"/>
  <c r="M4156" i="1"/>
  <c r="N4156" i="1" s="1"/>
  <c r="S4156" i="1" s="1"/>
  <c r="M4157" i="1"/>
  <c r="N4157" i="1" s="1"/>
  <c r="S4157" i="1" s="1"/>
  <c r="M4158" i="1"/>
  <c r="N4158" i="1" s="1"/>
  <c r="S4158" i="1" s="1"/>
  <c r="M4159" i="1"/>
  <c r="M4160" i="1"/>
  <c r="N4160" i="1" s="1"/>
  <c r="S4160" i="1" s="1"/>
  <c r="M4161" i="1"/>
  <c r="N4161" i="1" s="1"/>
  <c r="S4161" i="1" s="1"/>
  <c r="M4162" i="1"/>
  <c r="N4162" i="1" s="1"/>
  <c r="S4162" i="1" s="1"/>
  <c r="M4163" i="1"/>
  <c r="N4163" i="1" s="1"/>
  <c r="S4163" i="1" s="1"/>
  <c r="M4164" i="1"/>
  <c r="N4164" i="1" s="1"/>
  <c r="S4164" i="1" s="1"/>
  <c r="M4165" i="1"/>
  <c r="N4165" i="1" s="1"/>
  <c r="S4165" i="1" s="1"/>
  <c r="M4166" i="1"/>
  <c r="N4166" i="1" s="1"/>
  <c r="S4166" i="1" s="1"/>
  <c r="M4167" i="1"/>
  <c r="M4168" i="1"/>
  <c r="N4168" i="1" s="1"/>
  <c r="S4168" i="1" s="1"/>
  <c r="M4169" i="1"/>
  <c r="N4169" i="1" s="1"/>
  <c r="S4169" i="1" s="1"/>
  <c r="M4170" i="1"/>
  <c r="N4170" i="1" s="1"/>
  <c r="S4170" i="1" s="1"/>
  <c r="M4171" i="1"/>
  <c r="N4171" i="1" s="1"/>
  <c r="S4171" i="1" s="1"/>
  <c r="M4172" i="1"/>
  <c r="N4172" i="1" s="1"/>
  <c r="M4173" i="1"/>
  <c r="N4173" i="1" s="1"/>
  <c r="S4173" i="1" s="1"/>
  <c r="M4174" i="1"/>
  <c r="N4174" i="1" s="1"/>
  <c r="S4174" i="1" s="1"/>
  <c r="M4175" i="1"/>
  <c r="M4176" i="1"/>
  <c r="N4176" i="1" s="1"/>
  <c r="S4176" i="1" s="1"/>
  <c r="M4177" i="1"/>
  <c r="N4177" i="1" s="1"/>
  <c r="S4177" i="1" s="1"/>
  <c r="M4178" i="1"/>
  <c r="N4178" i="1" s="1"/>
  <c r="S4178" i="1" s="1"/>
  <c r="M4179" i="1"/>
  <c r="N4179" i="1" s="1"/>
  <c r="S4179" i="1" s="1"/>
  <c r="M4180" i="1"/>
  <c r="N4180" i="1" s="1"/>
  <c r="S4180" i="1" s="1"/>
  <c r="M4181" i="1"/>
  <c r="N4181" i="1" s="1"/>
  <c r="S4181" i="1" s="1"/>
  <c r="M4182" i="1"/>
  <c r="N4182" i="1" s="1"/>
  <c r="S4182" i="1" s="1"/>
  <c r="M4183" i="1"/>
  <c r="M4184" i="1"/>
  <c r="N4184" i="1" s="1"/>
  <c r="S4184" i="1" s="1"/>
  <c r="M4185" i="1"/>
  <c r="N4185" i="1" s="1"/>
  <c r="S4185" i="1" s="1"/>
  <c r="M4186" i="1"/>
  <c r="N4186" i="1" s="1"/>
  <c r="S4186" i="1" s="1"/>
  <c r="M4187" i="1"/>
  <c r="N4187" i="1" s="1"/>
  <c r="S4187" i="1" s="1"/>
  <c r="M4188" i="1"/>
  <c r="N4188" i="1" s="1"/>
  <c r="S4188" i="1" s="1"/>
  <c r="M4189" i="1"/>
  <c r="N4189" i="1" s="1"/>
  <c r="S4189" i="1" s="1"/>
  <c r="M4190" i="1"/>
  <c r="N4190" i="1" s="1"/>
  <c r="S4190" i="1" s="1"/>
  <c r="M4191" i="1"/>
  <c r="M4192" i="1"/>
  <c r="N4192" i="1" s="1"/>
  <c r="S4192" i="1" s="1"/>
  <c r="M4193" i="1"/>
  <c r="N4193" i="1" s="1"/>
  <c r="S4193" i="1" s="1"/>
  <c r="M4194" i="1"/>
  <c r="N4194" i="1" s="1"/>
  <c r="S4194" i="1" s="1"/>
  <c r="M4195" i="1"/>
  <c r="N4195" i="1" s="1"/>
  <c r="S4195" i="1" s="1"/>
  <c r="M4196" i="1"/>
  <c r="N4196" i="1" s="1"/>
  <c r="S4196" i="1" s="1"/>
  <c r="M4197" i="1"/>
  <c r="N4197" i="1" s="1"/>
  <c r="S4197" i="1" s="1"/>
  <c r="M4198" i="1"/>
  <c r="N4198" i="1" s="1"/>
  <c r="S4198" i="1" s="1"/>
  <c r="M4199" i="1"/>
  <c r="M4200" i="1"/>
  <c r="N4200" i="1" s="1"/>
  <c r="S4200" i="1" s="1"/>
  <c r="M4201" i="1"/>
  <c r="N4201" i="1" s="1"/>
  <c r="S4201" i="1" s="1"/>
  <c r="M4202" i="1"/>
  <c r="N4202" i="1" s="1"/>
  <c r="S4202" i="1" s="1"/>
  <c r="M4203" i="1"/>
  <c r="N4203" i="1" s="1"/>
  <c r="S4203" i="1" s="1"/>
  <c r="M4204" i="1"/>
  <c r="N4204" i="1" s="1"/>
  <c r="M4205" i="1"/>
  <c r="N4205" i="1" s="1"/>
  <c r="S4205" i="1" s="1"/>
  <c r="M4206" i="1"/>
  <c r="N4206" i="1" s="1"/>
  <c r="S4206" i="1" s="1"/>
  <c r="M4207" i="1"/>
  <c r="M4208" i="1"/>
  <c r="N4208" i="1" s="1"/>
  <c r="M4209" i="1"/>
  <c r="N4209" i="1" s="1"/>
  <c r="S4209" i="1" s="1"/>
  <c r="M4210" i="1"/>
  <c r="N4210" i="1" s="1"/>
  <c r="S4210" i="1" s="1"/>
  <c r="M4211" i="1"/>
  <c r="N4211" i="1" s="1"/>
  <c r="S4211" i="1" s="1"/>
  <c r="M4212" i="1"/>
  <c r="N4212" i="1" s="1"/>
  <c r="M4213" i="1"/>
  <c r="N4213" i="1" s="1"/>
  <c r="S4213" i="1" s="1"/>
  <c r="M4214" i="1"/>
  <c r="N4214" i="1" s="1"/>
  <c r="M4215" i="1"/>
  <c r="M4216" i="1"/>
  <c r="N4216" i="1" s="1"/>
  <c r="S4216" i="1" s="1"/>
  <c r="M4217" i="1"/>
  <c r="N4217" i="1" s="1"/>
  <c r="S4217" i="1" s="1"/>
  <c r="M4218" i="1"/>
  <c r="N4218" i="1" s="1"/>
  <c r="S4218" i="1" s="1"/>
  <c r="M4219" i="1"/>
  <c r="N4219" i="1" s="1"/>
  <c r="S4219" i="1" s="1"/>
  <c r="M4220" i="1"/>
  <c r="N4220" i="1" s="1"/>
  <c r="S4220" i="1" s="1"/>
  <c r="M4221" i="1"/>
  <c r="N4221" i="1" s="1"/>
  <c r="S4221" i="1" s="1"/>
  <c r="M4222" i="1"/>
  <c r="N4222" i="1" s="1"/>
  <c r="S4222" i="1" s="1"/>
  <c r="M4223" i="1"/>
  <c r="M4224" i="1"/>
  <c r="N4224" i="1" s="1"/>
  <c r="S4224" i="1" s="1"/>
  <c r="M4225" i="1"/>
  <c r="N4225" i="1" s="1"/>
  <c r="S4225" i="1" s="1"/>
  <c r="M4226" i="1"/>
  <c r="N4226" i="1" s="1"/>
  <c r="S4226" i="1" s="1"/>
  <c r="M4227" i="1"/>
  <c r="N4227" i="1" s="1"/>
  <c r="S4227" i="1" s="1"/>
  <c r="M4228" i="1"/>
  <c r="N4228" i="1" s="1"/>
  <c r="S4228" i="1" s="1"/>
  <c r="M4229" i="1"/>
  <c r="N4229" i="1" s="1"/>
  <c r="S4229" i="1" s="1"/>
  <c r="M4230" i="1"/>
  <c r="N4230" i="1" s="1"/>
  <c r="S4230" i="1" s="1"/>
  <c r="M4231" i="1"/>
  <c r="M4232" i="1"/>
  <c r="N4232" i="1" s="1"/>
  <c r="S4232" i="1" s="1"/>
  <c r="M4233" i="1"/>
  <c r="N4233" i="1" s="1"/>
  <c r="S4233" i="1" s="1"/>
  <c r="M4234" i="1"/>
  <c r="N4234" i="1" s="1"/>
  <c r="S4234" i="1" s="1"/>
  <c r="M4235" i="1"/>
  <c r="N4235" i="1" s="1"/>
  <c r="M4236" i="1"/>
  <c r="N4236" i="1" s="1"/>
  <c r="S4236" i="1" s="1"/>
  <c r="M4237" i="1"/>
  <c r="N4237" i="1" s="1"/>
  <c r="S4237" i="1" s="1"/>
  <c r="M4238" i="1"/>
  <c r="N4238" i="1" s="1"/>
  <c r="S4238" i="1" s="1"/>
  <c r="M4239" i="1"/>
  <c r="M4240" i="1"/>
  <c r="N4240" i="1" s="1"/>
  <c r="S4240" i="1" s="1"/>
  <c r="M4241" i="1"/>
  <c r="N4241" i="1" s="1"/>
  <c r="S4241" i="1" s="1"/>
  <c r="M4242" i="1"/>
  <c r="N4242" i="1" s="1"/>
  <c r="M4243" i="1"/>
  <c r="N4243" i="1" s="1"/>
  <c r="S4243" i="1" s="1"/>
  <c r="M4244" i="1"/>
  <c r="N4244" i="1" s="1"/>
  <c r="S4244" i="1" s="1"/>
  <c r="M4245" i="1"/>
  <c r="N4245" i="1" s="1"/>
  <c r="S4245" i="1" s="1"/>
  <c r="M4246" i="1"/>
  <c r="N4246" i="1" s="1"/>
  <c r="S4246" i="1" s="1"/>
  <c r="M4247" i="1"/>
  <c r="M4248" i="1"/>
  <c r="N4248" i="1" s="1"/>
  <c r="S4248" i="1" s="1"/>
  <c r="M4249" i="1"/>
  <c r="N4249" i="1" s="1"/>
  <c r="S4249" i="1" s="1"/>
  <c r="M4250" i="1"/>
  <c r="N4250" i="1" s="1"/>
  <c r="S4250" i="1" s="1"/>
  <c r="M4251" i="1"/>
  <c r="N4251" i="1" s="1"/>
  <c r="S4251" i="1" s="1"/>
  <c r="M4252" i="1"/>
  <c r="N4252" i="1" s="1"/>
  <c r="S4252" i="1" s="1"/>
  <c r="M4253" i="1"/>
  <c r="N4253" i="1" s="1"/>
  <c r="S4253" i="1" s="1"/>
  <c r="M4254" i="1"/>
  <c r="N4254" i="1" s="1"/>
  <c r="S4254" i="1" s="1"/>
  <c r="M4255" i="1"/>
  <c r="M4256" i="1"/>
  <c r="N4256" i="1" s="1"/>
  <c r="S4256" i="1" s="1"/>
  <c r="M4257" i="1"/>
  <c r="N4257" i="1" s="1"/>
  <c r="M4258" i="1"/>
  <c r="N4258" i="1" s="1"/>
  <c r="M4259" i="1"/>
  <c r="N4259" i="1" s="1"/>
  <c r="M4260" i="1"/>
  <c r="N4260" i="1" s="1"/>
  <c r="M4261" i="1"/>
  <c r="N4261" i="1" s="1"/>
  <c r="M4262" i="1"/>
  <c r="N4262" i="1" s="1"/>
  <c r="M4263" i="1"/>
  <c r="M4264" i="1"/>
  <c r="N4264" i="1" s="1"/>
  <c r="M4265" i="1"/>
  <c r="N4265" i="1" s="1"/>
  <c r="M4266" i="1"/>
  <c r="N4266" i="1" s="1"/>
  <c r="M4267" i="1"/>
  <c r="N4267" i="1" s="1"/>
  <c r="M4268" i="1"/>
  <c r="N4268" i="1" s="1"/>
  <c r="M4269" i="1"/>
  <c r="N4269" i="1" s="1"/>
  <c r="M4270" i="1"/>
  <c r="N4270" i="1" s="1"/>
  <c r="M4271" i="1"/>
  <c r="M4272" i="1"/>
  <c r="N4272" i="1" s="1"/>
  <c r="M4273" i="1"/>
  <c r="N4273" i="1" s="1"/>
  <c r="M4274" i="1"/>
  <c r="N4274" i="1" s="1"/>
  <c r="M4275" i="1"/>
  <c r="N4275" i="1" s="1"/>
  <c r="M4276" i="1"/>
  <c r="N4276" i="1" s="1"/>
  <c r="M4277" i="1"/>
  <c r="N4277" i="1" s="1"/>
  <c r="M4278" i="1"/>
  <c r="N4278" i="1" s="1"/>
  <c r="M4279" i="1"/>
  <c r="M4280" i="1"/>
  <c r="N4280" i="1" s="1"/>
  <c r="M4281" i="1"/>
  <c r="N4281" i="1" s="1"/>
  <c r="M4282" i="1"/>
  <c r="N4282" i="1" s="1"/>
  <c r="M4283" i="1"/>
  <c r="N4283" i="1" s="1"/>
  <c r="M4284" i="1"/>
  <c r="N4284" i="1" s="1"/>
  <c r="M4285" i="1"/>
  <c r="N4285" i="1" s="1"/>
  <c r="S4285" i="1" s="1"/>
  <c r="M4286" i="1"/>
  <c r="N4286" i="1" s="1"/>
  <c r="M4287" i="1"/>
  <c r="M4288" i="1"/>
  <c r="N4288" i="1" s="1"/>
  <c r="M4289" i="1"/>
  <c r="N4289" i="1" s="1"/>
  <c r="S4289" i="1" s="1"/>
  <c r="M4290" i="1"/>
  <c r="N4290" i="1" s="1"/>
  <c r="M4291" i="1"/>
  <c r="N4291" i="1" s="1"/>
  <c r="S4291" i="1" s="1"/>
  <c r="M4292" i="1"/>
  <c r="N4292" i="1" s="1"/>
  <c r="M4293" i="1"/>
  <c r="N4293" i="1" s="1"/>
  <c r="S4293" i="1" s="1"/>
  <c r="M4294" i="1"/>
  <c r="N4294" i="1" s="1"/>
  <c r="M4295" i="1"/>
  <c r="M4296" i="1"/>
  <c r="N4296" i="1" s="1"/>
  <c r="M4297" i="1"/>
  <c r="N4297" i="1" s="1"/>
  <c r="S4297" i="1" s="1"/>
  <c r="M4298" i="1"/>
  <c r="N4298" i="1" s="1"/>
  <c r="M4299" i="1"/>
  <c r="N4299" i="1" s="1"/>
  <c r="S4299" i="1" s="1"/>
  <c r="M4300" i="1"/>
  <c r="N4300" i="1" s="1"/>
  <c r="M4301" i="1"/>
  <c r="N4301" i="1" s="1"/>
  <c r="S4301" i="1" s="1"/>
  <c r="M4302" i="1"/>
  <c r="N4302" i="1" s="1"/>
  <c r="M4303" i="1"/>
  <c r="M4304" i="1"/>
  <c r="N4304" i="1" s="1"/>
  <c r="M4305" i="1"/>
  <c r="N4305" i="1" s="1"/>
  <c r="S4305" i="1" s="1"/>
  <c r="M4306" i="1"/>
  <c r="N4306" i="1" s="1"/>
  <c r="M4307" i="1"/>
  <c r="N4307" i="1" s="1"/>
  <c r="S4307" i="1" s="1"/>
  <c r="M4308" i="1"/>
  <c r="N4308" i="1" s="1"/>
  <c r="M4309" i="1"/>
  <c r="N4309" i="1" s="1"/>
  <c r="S4309" i="1" s="1"/>
  <c r="M4310" i="1"/>
  <c r="N4310" i="1" s="1"/>
  <c r="M4311" i="1"/>
  <c r="M4312" i="1"/>
  <c r="N4312" i="1" s="1"/>
  <c r="M4313" i="1"/>
  <c r="N4313" i="1" s="1"/>
  <c r="S4313" i="1" s="1"/>
  <c r="M4314" i="1"/>
  <c r="N4314" i="1" s="1"/>
  <c r="M4315" i="1"/>
  <c r="N4315" i="1" s="1"/>
  <c r="S4315" i="1" s="1"/>
  <c r="M4316" i="1"/>
  <c r="N4316" i="1" s="1"/>
  <c r="M4317" i="1"/>
  <c r="N4317" i="1" s="1"/>
  <c r="S4317" i="1" s="1"/>
  <c r="M4318" i="1"/>
  <c r="N4318" i="1" s="1"/>
  <c r="S4318" i="1" s="1"/>
  <c r="M4319" i="1"/>
  <c r="M4320" i="1"/>
  <c r="N4320" i="1" s="1"/>
  <c r="M4321" i="1"/>
  <c r="N4321" i="1" s="1"/>
  <c r="S4321" i="1" s="1"/>
  <c r="M4322" i="1"/>
  <c r="N4322" i="1" s="1"/>
  <c r="M4323" i="1"/>
  <c r="N4323" i="1" s="1"/>
  <c r="S4323" i="1" s="1"/>
  <c r="M4324" i="1"/>
  <c r="N4324" i="1" s="1"/>
  <c r="S4324" i="1" s="1"/>
  <c r="M4325" i="1"/>
  <c r="N4325" i="1" s="1"/>
  <c r="M4326" i="1"/>
  <c r="N4326" i="1" s="1"/>
  <c r="M4327" i="1"/>
  <c r="M4328" i="1"/>
  <c r="N4328" i="1" s="1"/>
  <c r="M4329" i="1"/>
  <c r="N4329" i="1" s="1"/>
  <c r="S4329" i="1" s="1"/>
  <c r="M4330" i="1"/>
  <c r="N4330" i="1" s="1"/>
  <c r="M4331" i="1"/>
  <c r="N4331" i="1" s="1"/>
  <c r="S4331" i="1" s="1"/>
  <c r="M4332" i="1"/>
  <c r="N4332" i="1" s="1"/>
  <c r="M4333" i="1"/>
  <c r="N4333" i="1" s="1"/>
  <c r="S4333" i="1" s="1"/>
  <c r="M4334" i="1"/>
  <c r="N4334" i="1" s="1"/>
  <c r="M4335" i="1"/>
  <c r="M4336" i="1"/>
  <c r="N4336" i="1" s="1"/>
  <c r="M4337" i="1"/>
  <c r="N4337" i="1" s="1"/>
  <c r="S4337" i="1" s="1"/>
  <c r="M4338" i="1"/>
  <c r="N4338" i="1" s="1"/>
  <c r="M4339" i="1"/>
  <c r="N4339" i="1" s="1"/>
  <c r="M4340" i="1"/>
  <c r="N4340" i="1" s="1"/>
  <c r="S4340" i="1" s="1"/>
  <c r="M4341" i="1"/>
  <c r="N4341" i="1" s="1"/>
  <c r="M4342" i="1"/>
  <c r="N4342" i="1" s="1"/>
  <c r="S4342" i="1" s="1"/>
  <c r="M4343" i="1"/>
  <c r="M4344" i="1"/>
  <c r="N4344" i="1" s="1"/>
  <c r="S4344" i="1" s="1"/>
  <c r="M4345" i="1"/>
  <c r="N4345" i="1" s="1"/>
  <c r="M4346" i="1"/>
  <c r="N4346" i="1" s="1"/>
  <c r="S4346" i="1" s="1"/>
  <c r="M4347" i="1"/>
  <c r="N4347" i="1" s="1"/>
  <c r="S4347" i="1" s="1"/>
  <c r="M4348" i="1"/>
  <c r="N4348" i="1" s="1"/>
  <c r="M4349" i="1"/>
  <c r="N4349" i="1" s="1"/>
  <c r="S4349" i="1" s="1"/>
  <c r="M4350" i="1"/>
  <c r="N4350" i="1" s="1"/>
  <c r="M4351" i="1"/>
  <c r="M4352" i="1"/>
  <c r="N4352" i="1" s="1"/>
  <c r="M4353" i="1"/>
  <c r="N4353" i="1" s="1"/>
  <c r="M4354" i="1"/>
  <c r="N4354" i="1" s="1"/>
  <c r="M4355" i="1"/>
  <c r="N4355" i="1" s="1"/>
  <c r="M4356" i="1"/>
  <c r="N4356" i="1" s="1"/>
  <c r="S4356" i="1" s="1"/>
  <c r="M4357" i="1"/>
  <c r="N4357" i="1" s="1"/>
  <c r="M4358" i="1"/>
  <c r="N4358" i="1" s="1"/>
  <c r="S4358" i="1" s="1"/>
  <c r="M4359" i="1"/>
  <c r="M4360" i="1"/>
  <c r="N4360" i="1" s="1"/>
  <c r="S4360" i="1" s="1"/>
  <c r="M4361" i="1"/>
  <c r="N4361" i="1" s="1"/>
  <c r="M4362" i="1"/>
  <c r="N4362" i="1" s="1"/>
  <c r="M4363" i="1"/>
  <c r="N4363" i="1" s="1"/>
  <c r="S4363" i="1" s="1"/>
  <c r="M4364" i="1"/>
  <c r="N4364" i="1" s="1"/>
  <c r="S4364" i="1" s="1"/>
  <c r="M4365" i="1"/>
  <c r="N4365" i="1" s="1"/>
  <c r="M4366" i="1"/>
  <c r="N4366" i="1" s="1"/>
  <c r="S4366" i="1" s="1"/>
  <c r="M4367" i="1"/>
  <c r="M4368" i="1"/>
  <c r="N4368" i="1" s="1"/>
  <c r="M4369" i="1"/>
  <c r="N4369" i="1" s="1"/>
  <c r="S4369" i="1" s="1"/>
  <c r="M4370" i="1"/>
  <c r="N4370" i="1" s="1"/>
  <c r="S4370" i="1" s="1"/>
  <c r="M4371" i="1"/>
  <c r="N4371" i="1" s="1"/>
  <c r="S4371" i="1" s="1"/>
  <c r="M4372" i="1"/>
  <c r="N4372" i="1" s="1"/>
  <c r="S4372" i="1" s="1"/>
  <c r="M4373" i="1"/>
  <c r="N4373" i="1" s="1"/>
  <c r="S4373" i="1" s="1"/>
  <c r="M4374" i="1"/>
  <c r="N4374" i="1" s="1"/>
  <c r="S4374" i="1" s="1"/>
  <c r="M4375" i="1"/>
  <c r="M4376" i="1"/>
  <c r="N4376" i="1" s="1"/>
  <c r="M4377" i="1"/>
  <c r="N4377" i="1" s="1"/>
  <c r="S4377" i="1" s="1"/>
  <c r="M4378" i="1"/>
  <c r="N4378" i="1" s="1"/>
  <c r="S4378" i="1" s="1"/>
  <c r="M4379" i="1"/>
  <c r="N4379" i="1" s="1"/>
  <c r="S4379" i="1" s="1"/>
  <c r="M4380" i="1"/>
  <c r="N4380" i="1" s="1"/>
  <c r="S4380" i="1" s="1"/>
  <c r="M4381" i="1"/>
  <c r="N4381" i="1" s="1"/>
  <c r="S4381" i="1" s="1"/>
  <c r="M4382" i="1"/>
  <c r="N4382" i="1" s="1"/>
  <c r="S4382" i="1" s="1"/>
  <c r="M4383" i="1"/>
  <c r="M4384" i="1"/>
  <c r="N4384" i="1" s="1"/>
  <c r="S4384" i="1" s="1"/>
  <c r="M4385" i="1"/>
  <c r="N4385" i="1" s="1"/>
  <c r="S4385" i="1" s="1"/>
  <c r="M4386" i="1"/>
  <c r="N4386" i="1" s="1"/>
  <c r="S4386" i="1" s="1"/>
  <c r="M4387" i="1"/>
  <c r="N4387" i="1" s="1"/>
  <c r="M4388" i="1"/>
  <c r="N4388" i="1" s="1"/>
  <c r="S4388" i="1" s="1"/>
  <c r="M4389" i="1"/>
  <c r="N4389" i="1" s="1"/>
  <c r="S4389" i="1" s="1"/>
  <c r="M4390" i="1"/>
  <c r="N4390" i="1" s="1"/>
  <c r="S4390" i="1" s="1"/>
  <c r="M4391" i="1"/>
  <c r="M4392" i="1"/>
  <c r="N4392" i="1" s="1"/>
  <c r="M4393" i="1"/>
  <c r="N4393" i="1" s="1"/>
  <c r="S4393" i="1" s="1"/>
  <c r="M4394" i="1"/>
  <c r="N4394" i="1" s="1"/>
  <c r="S4394" i="1" s="1"/>
  <c r="M4395" i="1"/>
  <c r="N4395" i="1" s="1"/>
  <c r="S4395" i="1" s="1"/>
  <c r="M4396" i="1"/>
  <c r="N4396" i="1" s="1"/>
  <c r="M4397" i="1"/>
  <c r="N4397" i="1" s="1"/>
  <c r="M4398" i="1"/>
  <c r="N4398" i="1" s="1"/>
  <c r="S4398" i="1" s="1"/>
  <c r="M4399" i="1"/>
  <c r="M4400" i="1"/>
  <c r="N4400" i="1" s="1"/>
  <c r="S4400" i="1" s="1"/>
  <c r="M4401" i="1"/>
  <c r="N4401" i="1" s="1"/>
  <c r="S4401" i="1" s="1"/>
  <c r="M4402" i="1"/>
  <c r="N4402" i="1" s="1"/>
  <c r="M4403" i="1"/>
  <c r="N4403" i="1" s="1"/>
  <c r="S4403" i="1" s="1"/>
  <c r="M4404" i="1"/>
  <c r="N4404" i="1" s="1"/>
  <c r="S4404" i="1" s="1"/>
  <c r="M4405" i="1"/>
  <c r="N4405" i="1" s="1"/>
  <c r="M4406" i="1"/>
  <c r="N4406" i="1" s="1"/>
  <c r="M4407" i="1"/>
  <c r="M4408" i="1"/>
  <c r="N4408" i="1" s="1"/>
  <c r="S4408" i="1" s="1"/>
  <c r="M4409" i="1"/>
  <c r="N4409" i="1" s="1"/>
  <c r="M4410" i="1"/>
  <c r="N4410" i="1" s="1"/>
  <c r="S4410" i="1" s="1"/>
  <c r="M4411" i="1"/>
  <c r="N4411" i="1" s="1"/>
  <c r="S4411" i="1" s="1"/>
  <c r="M4412" i="1"/>
  <c r="N4412" i="1" s="1"/>
  <c r="M4413" i="1"/>
  <c r="N4413" i="1" s="1"/>
  <c r="S4413" i="1" s="1"/>
  <c r="M4414" i="1"/>
  <c r="N4414" i="1" s="1"/>
  <c r="S4414" i="1" s="1"/>
  <c r="M4415" i="1"/>
  <c r="M4416" i="1"/>
  <c r="N4416" i="1" s="1"/>
  <c r="M4417" i="1"/>
  <c r="N4417" i="1" s="1"/>
  <c r="M4418" i="1"/>
  <c r="N4418" i="1" s="1"/>
  <c r="M4419" i="1"/>
  <c r="N4419" i="1" s="1"/>
  <c r="M4420" i="1"/>
  <c r="N4420" i="1" s="1"/>
  <c r="S4420" i="1" s="1"/>
  <c r="M4421" i="1"/>
  <c r="N4421" i="1" s="1"/>
  <c r="S4421" i="1" s="1"/>
  <c r="M4422" i="1"/>
  <c r="N4422" i="1" s="1"/>
  <c r="S4422" i="1" s="1"/>
  <c r="M4423" i="1"/>
  <c r="M4424" i="1"/>
  <c r="N4424" i="1" s="1"/>
  <c r="S4424" i="1" s="1"/>
  <c r="M4425" i="1"/>
  <c r="N4425" i="1" s="1"/>
  <c r="S4425" i="1" s="1"/>
  <c r="M4426" i="1"/>
  <c r="N4426" i="1" s="1"/>
  <c r="M4427" i="1"/>
  <c r="N4427" i="1" s="1"/>
  <c r="M4428" i="1"/>
  <c r="N4428" i="1" s="1"/>
  <c r="M4429" i="1"/>
  <c r="N4429" i="1" s="1"/>
  <c r="M4430" i="1"/>
  <c r="N4430" i="1" s="1"/>
  <c r="S4430" i="1" s="1"/>
  <c r="M4431" i="1"/>
  <c r="M4432" i="1"/>
  <c r="N4432" i="1" s="1"/>
  <c r="S4432" i="1" s="1"/>
  <c r="M4433" i="1"/>
  <c r="N4433" i="1" s="1"/>
  <c r="M4434" i="1"/>
  <c r="N4434" i="1" s="1"/>
  <c r="M4435" i="1"/>
  <c r="N4435" i="1" s="1"/>
  <c r="S4435" i="1" s="1"/>
  <c r="M4436" i="1"/>
  <c r="N4436" i="1" s="1"/>
  <c r="S4436" i="1" s="1"/>
  <c r="M4437" i="1"/>
  <c r="N4437" i="1" s="1"/>
  <c r="M4438" i="1"/>
  <c r="N4438" i="1" s="1"/>
  <c r="M4439" i="1"/>
  <c r="M4440" i="1"/>
  <c r="N4440" i="1" s="1"/>
  <c r="S4440" i="1" s="1"/>
  <c r="M4441" i="1"/>
  <c r="N4441" i="1" s="1"/>
  <c r="S4441" i="1" s="1"/>
  <c r="M4442" i="1"/>
  <c r="N4442" i="1" s="1"/>
  <c r="S4442" i="1" s="1"/>
  <c r="M4443" i="1"/>
  <c r="N4443" i="1" s="1"/>
  <c r="M4444" i="1"/>
  <c r="N4444" i="1" s="1"/>
  <c r="S4444" i="1" s="1"/>
  <c r="M4445" i="1"/>
  <c r="N4445" i="1" s="1"/>
  <c r="M4446" i="1"/>
  <c r="N4446" i="1" s="1"/>
  <c r="M4447" i="1"/>
  <c r="M4448" i="1"/>
  <c r="N4448" i="1" s="1"/>
  <c r="S4448" i="1" s="1"/>
  <c r="M4449" i="1"/>
  <c r="N4449" i="1" s="1"/>
  <c r="S4449" i="1" s="1"/>
  <c r="M4450" i="1"/>
  <c r="N4450" i="1" s="1"/>
  <c r="S4450" i="1" s="1"/>
  <c r="M4451" i="1"/>
  <c r="N4451" i="1" s="1"/>
  <c r="M4452" i="1"/>
  <c r="N4452" i="1" s="1"/>
  <c r="S4452" i="1" s="1"/>
  <c r="M4453" i="1"/>
  <c r="N4453" i="1" s="1"/>
  <c r="M4454" i="1"/>
  <c r="N4454" i="1" s="1"/>
  <c r="M4455" i="1"/>
  <c r="M4456" i="1"/>
  <c r="N4456" i="1" s="1"/>
  <c r="S4456" i="1" s="1"/>
  <c r="M4457" i="1"/>
  <c r="N4457" i="1" s="1"/>
  <c r="S4457" i="1" s="1"/>
  <c r="M4458" i="1"/>
  <c r="N4458" i="1" s="1"/>
  <c r="S4458" i="1" s="1"/>
  <c r="M4459" i="1"/>
  <c r="N4459" i="1" s="1"/>
  <c r="S4459" i="1" s="1"/>
  <c r="M4460" i="1"/>
  <c r="N4460" i="1" s="1"/>
  <c r="S4460" i="1" s="1"/>
  <c r="M4461" i="1"/>
  <c r="N4461" i="1" s="1"/>
  <c r="M4462" i="1"/>
  <c r="N4462" i="1" s="1"/>
  <c r="M4463" i="1"/>
  <c r="M4464" i="1"/>
  <c r="N4464" i="1" s="1"/>
  <c r="S4464" i="1" s="1"/>
  <c r="M4465" i="1"/>
  <c r="N4465" i="1" s="1"/>
  <c r="S4465" i="1" s="1"/>
  <c r="M4466" i="1"/>
  <c r="N4466" i="1" s="1"/>
  <c r="S4466" i="1" s="1"/>
  <c r="M4467" i="1"/>
  <c r="N4467" i="1" s="1"/>
  <c r="S4467" i="1" s="1"/>
  <c r="M4468" i="1"/>
  <c r="N4468" i="1" s="1"/>
  <c r="S4468" i="1" s="1"/>
  <c r="M4469" i="1"/>
  <c r="N4469" i="1" s="1"/>
  <c r="S4469" i="1" s="1"/>
  <c r="M4470" i="1"/>
  <c r="N4470" i="1" s="1"/>
  <c r="S4470" i="1" s="1"/>
  <c r="M4471" i="1"/>
  <c r="M4472" i="1"/>
  <c r="N4472" i="1" s="1"/>
  <c r="S4472" i="1" s="1"/>
  <c r="M4473" i="1"/>
  <c r="N4473" i="1" s="1"/>
  <c r="S4473" i="1" s="1"/>
  <c r="M4474" i="1"/>
  <c r="N4474" i="1" s="1"/>
  <c r="S4474" i="1" s="1"/>
  <c r="M4475" i="1"/>
  <c r="N4475" i="1" s="1"/>
  <c r="S4475" i="1" s="1"/>
  <c r="M4476" i="1"/>
  <c r="N4476" i="1" s="1"/>
  <c r="S4476" i="1" s="1"/>
  <c r="M4477" i="1"/>
  <c r="N4477" i="1" s="1"/>
  <c r="S4477" i="1" s="1"/>
  <c r="M4478" i="1"/>
  <c r="N4478" i="1" s="1"/>
  <c r="M4479" i="1"/>
  <c r="M4480" i="1"/>
  <c r="N4480" i="1" s="1"/>
  <c r="S4480" i="1" s="1"/>
  <c r="M4481" i="1"/>
  <c r="N4481" i="1" s="1"/>
  <c r="S4481" i="1" s="1"/>
  <c r="M4482" i="1"/>
  <c r="N4482" i="1" s="1"/>
  <c r="M4483" i="1"/>
  <c r="N4483" i="1" s="1"/>
  <c r="S4483" i="1" s="1"/>
  <c r="M4484" i="1"/>
  <c r="N4484" i="1" s="1"/>
  <c r="M4485" i="1"/>
  <c r="N4485" i="1" s="1"/>
  <c r="S4485" i="1" s="1"/>
  <c r="M4486" i="1"/>
  <c r="N4486" i="1" s="1"/>
  <c r="M4487" i="1"/>
  <c r="M4488" i="1"/>
  <c r="N4488" i="1" s="1"/>
  <c r="M4489" i="1"/>
  <c r="N4489" i="1" s="1"/>
  <c r="S4489" i="1" s="1"/>
  <c r="M4490" i="1"/>
  <c r="N4490" i="1" s="1"/>
  <c r="S4490" i="1" s="1"/>
  <c r="M4491" i="1"/>
  <c r="N4491" i="1" s="1"/>
  <c r="S4491" i="1" s="1"/>
  <c r="M4492" i="1"/>
  <c r="N4492" i="1" s="1"/>
  <c r="M4493" i="1"/>
  <c r="N4493" i="1" s="1"/>
  <c r="S4493" i="1" s="1"/>
  <c r="M4494" i="1"/>
  <c r="N4494" i="1" s="1"/>
  <c r="S4494" i="1" s="1"/>
  <c r="M4495" i="1"/>
  <c r="N4495" i="1" s="1"/>
  <c r="M4496" i="1"/>
  <c r="N4496" i="1" s="1"/>
  <c r="S4496" i="1" s="1"/>
  <c r="M4497" i="1"/>
  <c r="N4497" i="1" s="1"/>
  <c r="M4498" i="1"/>
  <c r="N4498" i="1" s="1"/>
  <c r="S4498" i="1" s="1"/>
  <c r="M4499" i="1"/>
  <c r="N4499" i="1" s="1"/>
  <c r="M4500" i="1"/>
  <c r="N4500" i="1" s="1"/>
  <c r="S4500" i="1" s="1"/>
  <c r="M4501" i="1"/>
  <c r="N4501" i="1" s="1"/>
  <c r="S4501" i="1" s="1"/>
  <c r="M4502" i="1"/>
  <c r="N4502" i="1" s="1"/>
  <c r="M4503" i="1"/>
  <c r="M4504" i="1"/>
  <c r="N4504" i="1" s="1"/>
  <c r="M4505" i="1"/>
  <c r="N4505" i="1" s="1"/>
  <c r="S4505" i="1" s="1"/>
  <c r="M4506" i="1"/>
  <c r="N4506" i="1" s="1"/>
  <c r="M4507" i="1"/>
  <c r="N4507" i="1" s="1"/>
  <c r="S4507" i="1" s="1"/>
  <c r="M4508" i="1"/>
  <c r="N4508" i="1" s="1"/>
  <c r="M4509" i="1"/>
  <c r="N4509" i="1" s="1"/>
  <c r="S4509" i="1" s="1"/>
  <c r="M4510" i="1"/>
  <c r="N4510" i="1" s="1"/>
  <c r="S4510" i="1" s="1"/>
  <c r="M4511" i="1"/>
  <c r="N4511" i="1" s="1"/>
  <c r="M4512" i="1"/>
  <c r="N4512" i="1" s="1"/>
  <c r="M4513" i="1"/>
  <c r="N4513" i="1" s="1"/>
  <c r="S4513" i="1" s="1"/>
  <c r="M4514" i="1"/>
  <c r="N4514" i="1" s="1"/>
  <c r="M4515" i="1"/>
  <c r="N4515" i="1" s="1"/>
  <c r="S4515" i="1" s="1"/>
  <c r="M4516" i="1"/>
  <c r="N4516" i="1" s="1"/>
  <c r="M4517" i="1"/>
  <c r="N4517" i="1" s="1"/>
  <c r="S4517" i="1" s="1"/>
  <c r="M4518" i="1"/>
  <c r="N4518" i="1" s="1"/>
  <c r="M4519" i="1"/>
  <c r="M4520" i="1"/>
  <c r="N4520" i="1" s="1"/>
  <c r="M4521" i="1"/>
  <c r="N4521" i="1" s="1"/>
  <c r="S4521" i="1" s="1"/>
  <c r="M4522" i="1"/>
  <c r="N4522" i="1" s="1"/>
  <c r="M4523" i="1"/>
  <c r="N4523" i="1" s="1"/>
  <c r="S4523" i="1" s="1"/>
  <c r="M4524" i="1"/>
  <c r="N4524" i="1" s="1"/>
  <c r="M4525" i="1"/>
  <c r="N4525" i="1" s="1"/>
  <c r="S4525" i="1" s="1"/>
  <c r="M4526" i="1"/>
  <c r="N4526" i="1" s="1"/>
  <c r="M4527" i="1"/>
  <c r="N4527" i="1" s="1"/>
  <c r="S4527" i="1" s="1"/>
  <c r="M4528" i="1"/>
  <c r="N4528" i="1" s="1"/>
  <c r="M4529" i="1"/>
  <c r="N4529" i="1" s="1"/>
  <c r="S4529" i="1" s="1"/>
  <c r="M4530" i="1"/>
  <c r="N4530" i="1" s="1"/>
  <c r="M4531" i="1"/>
  <c r="N4531" i="1" s="1"/>
  <c r="S4531" i="1" s="1"/>
  <c r="M4532" i="1"/>
  <c r="N4532" i="1" s="1"/>
  <c r="M4533" i="1"/>
  <c r="N4533" i="1" s="1"/>
  <c r="S4533" i="1" s="1"/>
  <c r="M4534" i="1"/>
  <c r="N4534" i="1" s="1"/>
  <c r="M4535" i="1"/>
  <c r="M4536" i="1"/>
  <c r="N4536" i="1" s="1"/>
  <c r="M4537" i="1"/>
  <c r="N4537" i="1" s="1"/>
  <c r="S4537" i="1" s="1"/>
  <c r="M4538" i="1"/>
  <c r="N4538" i="1" s="1"/>
  <c r="M4539" i="1"/>
  <c r="N4539" i="1" s="1"/>
  <c r="M4540" i="1"/>
  <c r="N4540" i="1" s="1"/>
  <c r="S4540" i="1" s="1"/>
  <c r="M4541" i="1"/>
  <c r="N4541" i="1" s="1"/>
  <c r="S4541" i="1" s="1"/>
  <c r="M4542" i="1"/>
  <c r="N4542" i="1" s="1"/>
  <c r="M4543" i="1"/>
  <c r="N4543" i="1" s="1"/>
  <c r="S4543" i="1" s="1"/>
  <c r="M4544" i="1"/>
  <c r="N4544" i="1" s="1"/>
  <c r="M4545" i="1"/>
  <c r="N4545" i="1" s="1"/>
  <c r="S4545" i="1" s="1"/>
  <c r="M4546" i="1"/>
  <c r="N4546" i="1" s="1"/>
  <c r="M4547" i="1"/>
  <c r="N4547" i="1" s="1"/>
  <c r="S4547" i="1" s="1"/>
  <c r="M4548" i="1"/>
  <c r="N4548" i="1" s="1"/>
  <c r="M4549" i="1"/>
  <c r="N4549" i="1" s="1"/>
  <c r="S4549" i="1" s="1"/>
  <c r="M4550" i="1"/>
  <c r="N4550" i="1" s="1"/>
  <c r="M4551" i="1"/>
  <c r="M4552" i="1"/>
  <c r="N4552" i="1" s="1"/>
  <c r="S4552" i="1" s="1"/>
  <c r="M4553" i="1"/>
  <c r="N4553" i="1" s="1"/>
  <c r="M4554" i="1"/>
  <c r="N4554" i="1" s="1"/>
  <c r="S4554" i="1" s="1"/>
  <c r="M4555" i="1"/>
  <c r="N4555" i="1" s="1"/>
  <c r="M4556" i="1"/>
  <c r="N4556" i="1" s="1"/>
  <c r="S4556" i="1" s="1"/>
  <c r="M4557" i="1"/>
  <c r="N4557" i="1" s="1"/>
  <c r="M4558" i="1"/>
  <c r="N4558" i="1" s="1"/>
  <c r="S4558" i="1" s="1"/>
  <c r="M4559" i="1"/>
  <c r="N4559" i="1" s="1"/>
  <c r="M4560" i="1"/>
  <c r="N4560" i="1" s="1"/>
  <c r="S4560" i="1" s="1"/>
  <c r="M4561" i="1"/>
  <c r="N4561" i="1" s="1"/>
  <c r="M4562" i="1"/>
  <c r="N4562" i="1" s="1"/>
  <c r="S4562" i="1" s="1"/>
  <c r="M4563" i="1"/>
  <c r="N4563" i="1" s="1"/>
  <c r="M4564" i="1"/>
  <c r="N4564" i="1" s="1"/>
  <c r="M4565" i="1"/>
  <c r="N4565" i="1" s="1"/>
  <c r="M4566" i="1"/>
  <c r="N4566" i="1" s="1"/>
  <c r="S4566" i="1" s="1"/>
  <c r="M4567" i="1"/>
  <c r="M4568" i="1"/>
  <c r="N4568" i="1" s="1"/>
  <c r="S4568" i="1" s="1"/>
  <c r="M4569" i="1"/>
  <c r="N4569" i="1" s="1"/>
  <c r="M4570" i="1"/>
  <c r="N4570" i="1" s="1"/>
  <c r="S4570" i="1" s="1"/>
  <c r="M4571" i="1"/>
  <c r="N4571" i="1" s="1"/>
  <c r="M4572" i="1"/>
  <c r="N4572" i="1" s="1"/>
  <c r="S4572" i="1" s="1"/>
  <c r="M4573" i="1"/>
  <c r="N4573" i="1" s="1"/>
  <c r="M4574" i="1"/>
  <c r="N4574" i="1" s="1"/>
  <c r="S4574" i="1" s="1"/>
  <c r="M4575" i="1"/>
  <c r="N4575" i="1" s="1"/>
  <c r="M4576" i="1"/>
  <c r="N4576" i="1" s="1"/>
  <c r="S4576" i="1" s="1"/>
  <c r="M4577" i="1"/>
  <c r="N4577" i="1" s="1"/>
  <c r="S4577" i="1" s="1"/>
  <c r="M4578" i="1"/>
  <c r="N4578" i="1" s="1"/>
  <c r="S4578" i="1" s="1"/>
  <c r="M4579" i="1"/>
  <c r="N4579" i="1" s="1"/>
  <c r="S4579" i="1" s="1"/>
  <c r="M4580" i="1"/>
  <c r="N4580" i="1" s="1"/>
  <c r="S4580" i="1" s="1"/>
  <c r="M4581" i="1"/>
  <c r="N4581" i="1" s="1"/>
  <c r="S4581" i="1" s="1"/>
  <c r="M4582" i="1"/>
  <c r="N4582" i="1" s="1"/>
  <c r="S4582" i="1" s="1"/>
  <c r="M4583" i="1"/>
  <c r="M4584" i="1"/>
  <c r="N4584" i="1" s="1"/>
  <c r="S4584" i="1" s="1"/>
  <c r="M4585" i="1"/>
  <c r="N4585" i="1" s="1"/>
  <c r="M4586" i="1"/>
  <c r="N4586" i="1" s="1"/>
  <c r="M4587" i="1"/>
  <c r="N4587" i="1" s="1"/>
  <c r="S4587" i="1" s="1"/>
  <c r="M4588" i="1"/>
  <c r="N4588" i="1" s="1"/>
  <c r="S4588" i="1" s="1"/>
  <c r="M4589" i="1"/>
  <c r="N4589" i="1" s="1"/>
  <c r="S4589" i="1" s="1"/>
  <c r="M4590" i="1"/>
  <c r="N4590" i="1" s="1"/>
  <c r="S4590" i="1" s="1"/>
  <c r="M4591" i="1"/>
  <c r="N4591" i="1" s="1"/>
  <c r="S4591" i="1" s="1"/>
  <c r="M4592" i="1"/>
  <c r="N4592" i="1" s="1"/>
  <c r="S4592" i="1" s="1"/>
  <c r="M4593" i="1"/>
  <c r="N4593" i="1" s="1"/>
  <c r="S4593" i="1" s="1"/>
  <c r="M4594" i="1"/>
  <c r="N4594" i="1" s="1"/>
  <c r="S4594" i="1" s="1"/>
  <c r="M4595" i="1"/>
  <c r="N4595" i="1" s="1"/>
  <c r="M4596" i="1"/>
  <c r="N4596" i="1" s="1"/>
  <c r="S4596" i="1" s="1"/>
  <c r="M4597" i="1"/>
  <c r="N4597" i="1" s="1"/>
  <c r="S4597" i="1" s="1"/>
  <c r="M4598" i="1"/>
  <c r="N4598" i="1" s="1"/>
  <c r="S4598" i="1" s="1"/>
  <c r="M4599" i="1"/>
  <c r="M4600" i="1"/>
  <c r="N4600" i="1" s="1"/>
  <c r="S4600" i="1" s="1"/>
  <c r="M4601" i="1"/>
  <c r="N4601" i="1" s="1"/>
  <c r="S4601" i="1" s="1"/>
  <c r="M4602" i="1"/>
  <c r="N4602" i="1" s="1"/>
  <c r="S4602" i="1" s="1"/>
  <c r="M4603" i="1"/>
  <c r="N4603" i="1" s="1"/>
  <c r="S4603" i="1" s="1"/>
  <c r="M4604" i="1"/>
  <c r="N4604" i="1" s="1"/>
  <c r="S4604" i="1" s="1"/>
  <c r="M4605" i="1"/>
  <c r="N4605" i="1" s="1"/>
  <c r="S4605" i="1" s="1"/>
  <c r="M4606" i="1"/>
  <c r="N4606" i="1" s="1"/>
  <c r="M4607" i="1"/>
  <c r="M4608" i="1"/>
  <c r="N4608" i="1" s="1"/>
  <c r="M4609" i="1"/>
  <c r="N4609" i="1" s="1"/>
  <c r="M4610" i="1"/>
  <c r="N4610" i="1" s="1"/>
  <c r="M4611" i="1"/>
  <c r="N4611" i="1" s="1"/>
  <c r="S4611" i="1" s="1"/>
  <c r="M4612" i="1"/>
  <c r="N4612" i="1" s="1"/>
  <c r="M4613" i="1"/>
  <c r="N4613" i="1" s="1"/>
  <c r="S4613" i="1" s="1"/>
  <c r="M4614" i="1"/>
  <c r="N4614" i="1" s="1"/>
  <c r="M4615" i="1"/>
  <c r="M4616" i="1"/>
  <c r="N4616" i="1" s="1"/>
  <c r="M4617" i="1"/>
  <c r="N4617" i="1" s="1"/>
  <c r="S4617" i="1" s="1"/>
  <c r="M4618" i="1"/>
  <c r="N4618" i="1" s="1"/>
  <c r="M4619" i="1"/>
  <c r="N4619" i="1" s="1"/>
  <c r="S4619" i="1" s="1"/>
  <c r="M4620" i="1"/>
  <c r="N4620" i="1" s="1"/>
  <c r="M4621" i="1"/>
  <c r="N4621" i="1" s="1"/>
  <c r="S4621" i="1" s="1"/>
  <c r="M4622" i="1"/>
  <c r="N4622" i="1" s="1"/>
  <c r="M4623" i="1"/>
  <c r="N4623" i="1" s="1"/>
  <c r="S4623" i="1" s="1"/>
  <c r="M4624" i="1"/>
  <c r="N4624" i="1" s="1"/>
  <c r="M4625" i="1"/>
  <c r="N4625" i="1" s="1"/>
  <c r="S4625" i="1" s="1"/>
  <c r="M4626" i="1"/>
  <c r="N4626" i="1" s="1"/>
  <c r="M4627" i="1"/>
  <c r="N4627" i="1" s="1"/>
  <c r="S4627" i="1" s="1"/>
  <c r="M4628" i="1"/>
  <c r="N4628" i="1" s="1"/>
  <c r="M4629" i="1"/>
  <c r="N4629" i="1" s="1"/>
  <c r="S4629" i="1" s="1"/>
  <c r="M4630" i="1"/>
  <c r="N4630" i="1" s="1"/>
  <c r="M4631" i="1"/>
  <c r="M4632" i="1"/>
  <c r="N4632" i="1" s="1"/>
  <c r="M4633" i="1"/>
  <c r="N4633" i="1" s="1"/>
  <c r="S4633" i="1" s="1"/>
  <c r="M4634" i="1"/>
  <c r="N4634" i="1" s="1"/>
  <c r="M4635" i="1"/>
  <c r="N4635" i="1" s="1"/>
  <c r="S4635" i="1" s="1"/>
  <c r="M4636" i="1"/>
  <c r="N4636" i="1" s="1"/>
  <c r="M4637" i="1"/>
  <c r="N4637" i="1" s="1"/>
  <c r="S4637" i="1" s="1"/>
  <c r="M4638" i="1"/>
  <c r="N4638" i="1" s="1"/>
  <c r="M4639" i="1"/>
  <c r="N4639" i="1" s="1"/>
  <c r="S4639" i="1" s="1"/>
  <c r="M4640" i="1"/>
  <c r="N4640" i="1" s="1"/>
  <c r="M4641" i="1"/>
  <c r="N4641" i="1" s="1"/>
  <c r="S4641" i="1" s="1"/>
  <c r="M4642" i="1"/>
  <c r="N4642" i="1" s="1"/>
  <c r="M4643" i="1"/>
  <c r="N4643" i="1" s="1"/>
  <c r="S4643" i="1" s="1"/>
  <c r="M4644" i="1"/>
  <c r="N4644" i="1" s="1"/>
  <c r="M4645" i="1"/>
  <c r="N4645" i="1" s="1"/>
  <c r="S4645" i="1" s="1"/>
  <c r="M4646" i="1"/>
  <c r="N4646" i="1" s="1"/>
  <c r="S4646" i="1" s="1"/>
  <c r="M4647" i="1"/>
  <c r="M4648" i="1"/>
  <c r="N4648" i="1" s="1"/>
  <c r="S4648" i="1" s="1"/>
  <c r="M4649" i="1"/>
  <c r="N4649" i="1" s="1"/>
  <c r="S4649" i="1" s="1"/>
  <c r="M4650" i="1"/>
  <c r="N4650" i="1" s="1"/>
  <c r="S4650" i="1" s="1"/>
  <c r="M4651" i="1"/>
  <c r="N4651" i="1" s="1"/>
  <c r="S4651" i="1" s="1"/>
  <c r="M4652" i="1"/>
  <c r="N4652" i="1" s="1"/>
  <c r="S4652" i="1" s="1"/>
  <c r="M4653" i="1"/>
  <c r="N4653" i="1" s="1"/>
  <c r="S4653" i="1" s="1"/>
  <c r="M4654" i="1"/>
  <c r="N4654" i="1" s="1"/>
  <c r="S4654" i="1" s="1"/>
  <c r="M4655" i="1"/>
  <c r="N4655" i="1" s="1"/>
  <c r="S4655" i="1" s="1"/>
  <c r="M4656" i="1"/>
  <c r="N4656" i="1" s="1"/>
  <c r="S4656" i="1" s="1"/>
  <c r="M4657" i="1"/>
  <c r="N4657" i="1" s="1"/>
  <c r="S4657" i="1" s="1"/>
  <c r="M4658" i="1"/>
  <c r="N4658" i="1" s="1"/>
  <c r="S4658" i="1" s="1"/>
  <c r="M4659" i="1"/>
  <c r="N4659" i="1" s="1"/>
  <c r="S4659" i="1" s="1"/>
  <c r="M4660" i="1"/>
  <c r="N4660" i="1" s="1"/>
  <c r="S4660" i="1" s="1"/>
  <c r="M4661" i="1"/>
  <c r="N4661" i="1" s="1"/>
  <c r="S4661" i="1" s="1"/>
  <c r="M4662" i="1"/>
  <c r="N4662" i="1" s="1"/>
  <c r="S4662" i="1" s="1"/>
  <c r="M4663" i="1"/>
  <c r="M4664" i="1"/>
  <c r="N4664" i="1" s="1"/>
  <c r="M4665" i="1"/>
  <c r="N4665" i="1" s="1"/>
  <c r="S4665" i="1" s="1"/>
  <c r="M4666" i="1"/>
  <c r="N4666" i="1" s="1"/>
  <c r="S4666" i="1" s="1"/>
  <c r="M4667" i="1"/>
  <c r="N4667" i="1" s="1"/>
  <c r="S4667" i="1" s="1"/>
  <c r="M4668" i="1"/>
  <c r="N4668" i="1" s="1"/>
  <c r="S4668" i="1" s="1"/>
  <c r="M4669" i="1"/>
  <c r="N4669" i="1" s="1"/>
  <c r="S4669" i="1" s="1"/>
  <c r="M4670" i="1"/>
  <c r="N4670" i="1" s="1"/>
  <c r="S4670" i="1" s="1"/>
  <c r="M4671" i="1"/>
  <c r="N4671" i="1" s="1"/>
  <c r="S4671" i="1" s="1"/>
  <c r="M4672" i="1"/>
  <c r="N4672" i="1" s="1"/>
  <c r="S4672" i="1" s="1"/>
  <c r="M4673" i="1"/>
  <c r="N4673" i="1" s="1"/>
  <c r="S4673" i="1" s="1"/>
  <c r="M4674" i="1"/>
  <c r="N4674" i="1" s="1"/>
  <c r="S4674" i="1" s="1"/>
  <c r="M4675" i="1"/>
  <c r="N4675" i="1" s="1"/>
  <c r="S4675" i="1" s="1"/>
  <c r="M4676" i="1"/>
  <c r="N4676" i="1" s="1"/>
  <c r="S4676" i="1" s="1"/>
  <c r="M4677" i="1"/>
  <c r="N4677" i="1" s="1"/>
  <c r="S4677" i="1" s="1"/>
  <c r="M4678" i="1"/>
  <c r="N4678" i="1" s="1"/>
  <c r="S4678" i="1" s="1"/>
  <c r="M4679" i="1"/>
  <c r="M4680" i="1"/>
  <c r="N4680" i="1" s="1"/>
  <c r="S4680" i="1" s="1"/>
  <c r="M4681" i="1"/>
  <c r="N4681" i="1" s="1"/>
  <c r="S4681" i="1" s="1"/>
  <c r="M4682" i="1"/>
  <c r="N4682" i="1" s="1"/>
  <c r="S4682" i="1" s="1"/>
  <c r="M4683" i="1"/>
  <c r="N4683" i="1" s="1"/>
  <c r="S4683" i="1" s="1"/>
  <c r="M4684" i="1"/>
  <c r="N4684" i="1" s="1"/>
  <c r="S4684" i="1" s="1"/>
  <c r="M4685" i="1"/>
  <c r="N4685" i="1" s="1"/>
  <c r="S4685" i="1" s="1"/>
  <c r="M4686" i="1"/>
  <c r="N4686" i="1" s="1"/>
  <c r="S4686" i="1" s="1"/>
  <c r="M4687" i="1"/>
  <c r="N4687" i="1" s="1"/>
  <c r="S4687" i="1" s="1"/>
  <c r="M4688" i="1"/>
  <c r="N4688" i="1" s="1"/>
  <c r="S4688" i="1" s="1"/>
  <c r="M4689" i="1"/>
  <c r="N4689" i="1" s="1"/>
  <c r="S4689" i="1" s="1"/>
  <c r="M4690" i="1"/>
  <c r="N4690" i="1" s="1"/>
  <c r="S4690" i="1" s="1"/>
  <c r="M4691" i="1"/>
  <c r="N4691" i="1" s="1"/>
  <c r="S4691" i="1" s="1"/>
  <c r="M4692" i="1"/>
  <c r="N4692" i="1" s="1"/>
  <c r="S4692" i="1" s="1"/>
  <c r="M4693" i="1"/>
  <c r="N4693" i="1" s="1"/>
  <c r="S4693" i="1" s="1"/>
  <c r="M4694" i="1"/>
  <c r="N4694" i="1" s="1"/>
  <c r="S4694" i="1" s="1"/>
  <c r="M4695" i="1"/>
  <c r="M4696" i="1"/>
  <c r="N4696" i="1" s="1"/>
  <c r="S4696" i="1" s="1"/>
  <c r="M4697" i="1"/>
  <c r="N4697" i="1" s="1"/>
  <c r="S4697" i="1" s="1"/>
  <c r="M4698" i="1"/>
  <c r="N4698" i="1" s="1"/>
  <c r="S4698" i="1" s="1"/>
  <c r="M4699" i="1"/>
  <c r="N4699" i="1" s="1"/>
  <c r="S4699" i="1" s="1"/>
  <c r="M4700" i="1"/>
  <c r="N4700" i="1" s="1"/>
  <c r="S4700" i="1" s="1"/>
  <c r="M4701" i="1"/>
  <c r="N4701" i="1" s="1"/>
  <c r="S4701" i="1" s="1"/>
  <c r="M4702" i="1"/>
  <c r="N4702" i="1" s="1"/>
  <c r="S4702" i="1" s="1"/>
  <c r="M4703" i="1"/>
  <c r="N4703" i="1" s="1"/>
  <c r="S4703" i="1" s="1"/>
  <c r="M4704" i="1"/>
  <c r="N4704" i="1" s="1"/>
  <c r="S4704" i="1" s="1"/>
  <c r="M4705" i="1"/>
  <c r="N4705" i="1" s="1"/>
  <c r="S4705" i="1" s="1"/>
  <c r="M4706" i="1"/>
  <c r="N4706" i="1" s="1"/>
  <c r="S4706" i="1" s="1"/>
  <c r="M4707" i="1"/>
  <c r="N4707" i="1" s="1"/>
  <c r="S4707" i="1" s="1"/>
  <c r="M4708" i="1"/>
  <c r="N4708" i="1" s="1"/>
  <c r="S4708" i="1" s="1"/>
  <c r="M4709" i="1"/>
  <c r="N4709" i="1" s="1"/>
  <c r="S4709" i="1" s="1"/>
  <c r="M4710" i="1"/>
  <c r="N4710" i="1" s="1"/>
  <c r="S4710" i="1" s="1"/>
  <c r="M4711" i="1"/>
  <c r="M4712" i="1"/>
  <c r="N4712" i="1" s="1"/>
  <c r="S4712" i="1" s="1"/>
  <c r="M4713" i="1"/>
  <c r="N4713" i="1" s="1"/>
  <c r="S4713" i="1" s="1"/>
  <c r="M4714" i="1"/>
  <c r="N4714" i="1" s="1"/>
  <c r="S4714" i="1" s="1"/>
  <c r="M4715" i="1"/>
  <c r="N4715" i="1" s="1"/>
  <c r="S4715" i="1" s="1"/>
  <c r="M4716" i="1"/>
  <c r="N4716" i="1" s="1"/>
  <c r="S4716" i="1" s="1"/>
  <c r="M4717" i="1"/>
  <c r="N4717" i="1" s="1"/>
  <c r="S4717" i="1" s="1"/>
  <c r="M4718" i="1"/>
  <c r="N4718" i="1" s="1"/>
  <c r="S4718" i="1" s="1"/>
  <c r="M4719" i="1"/>
  <c r="N4719" i="1" s="1"/>
  <c r="S4719" i="1" s="1"/>
  <c r="M4720" i="1"/>
  <c r="N4720" i="1" s="1"/>
  <c r="S4720" i="1" s="1"/>
  <c r="M4721" i="1"/>
  <c r="N4721" i="1" s="1"/>
  <c r="S4721" i="1" s="1"/>
  <c r="M4722" i="1"/>
  <c r="N4722" i="1" s="1"/>
  <c r="S4722" i="1" s="1"/>
  <c r="M4723" i="1"/>
  <c r="N4723" i="1" s="1"/>
  <c r="S4723" i="1" s="1"/>
  <c r="M4724" i="1"/>
  <c r="N4724" i="1" s="1"/>
  <c r="S4724" i="1" s="1"/>
  <c r="M4725" i="1"/>
  <c r="N4725" i="1" s="1"/>
  <c r="S4725" i="1" s="1"/>
  <c r="M4726" i="1"/>
  <c r="N4726" i="1" s="1"/>
  <c r="S4726" i="1" s="1"/>
  <c r="M4727" i="1"/>
  <c r="M4728" i="1"/>
  <c r="N4728" i="1" s="1"/>
  <c r="S4728" i="1" s="1"/>
  <c r="M4729" i="1"/>
  <c r="N4729" i="1" s="1"/>
  <c r="S4729" i="1" s="1"/>
  <c r="M4730" i="1"/>
  <c r="N4730" i="1" s="1"/>
  <c r="S4730" i="1" s="1"/>
  <c r="M4731" i="1"/>
  <c r="N4731" i="1" s="1"/>
  <c r="S4731" i="1" s="1"/>
  <c r="M4732" i="1"/>
  <c r="N4732" i="1" s="1"/>
  <c r="S4732" i="1" s="1"/>
  <c r="M4733" i="1"/>
  <c r="N4733" i="1" s="1"/>
  <c r="S4733" i="1" s="1"/>
  <c r="M4734" i="1"/>
  <c r="N4734" i="1" s="1"/>
  <c r="S4734" i="1" s="1"/>
  <c r="M4735" i="1"/>
  <c r="N4735" i="1" s="1"/>
  <c r="S4735" i="1" s="1"/>
  <c r="M4736" i="1"/>
  <c r="N4736" i="1" s="1"/>
  <c r="S4736" i="1" s="1"/>
  <c r="M4737" i="1"/>
  <c r="N4737" i="1" s="1"/>
  <c r="S4737" i="1" s="1"/>
  <c r="M4738" i="1"/>
  <c r="N4738" i="1" s="1"/>
  <c r="S4738" i="1" s="1"/>
  <c r="M4739" i="1"/>
  <c r="N4739" i="1" s="1"/>
  <c r="S4739" i="1" s="1"/>
  <c r="M4740" i="1"/>
  <c r="N4740" i="1" s="1"/>
  <c r="S4740" i="1" s="1"/>
  <c r="M4741" i="1"/>
  <c r="N4741" i="1" s="1"/>
  <c r="S4741" i="1" s="1"/>
  <c r="M4742" i="1"/>
  <c r="N4742" i="1" s="1"/>
  <c r="S4742" i="1" s="1"/>
  <c r="M4743" i="1"/>
  <c r="M4744" i="1"/>
  <c r="N4744" i="1" s="1"/>
  <c r="S4744" i="1" s="1"/>
  <c r="M4745" i="1"/>
  <c r="N4745" i="1" s="1"/>
  <c r="S4745" i="1" s="1"/>
  <c r="M4746" i="1"/>
  <c r="N4746" i="1" s="1"/>
  <c r="S4746" i="1" s="1"/>
  <c r="M4747" i="1"/>
  <c r="N4747" i="1" s="1"/>
  <c r="S4747" i="1" s="1"/>
  <c r="M4748" i="1"/>
  <c r="N4748" i="1" s="1"/>
  <c r="S4748" i="1" s="1"/>
  <c r="M4749" i="1"/>
  <c r="N4749" i="1" s="1"/>
  <c r="S4749" i="1" s="1"/>
  <c r="M4750" i="1"/>
  <c r="N4750" i="1" s="1"/>
  <c r="S4750" i="1" s="1"/>
  <c r="M4751" i="1"/>
  <c r="N4751" i="1" s="1"/>
  <c r="S4751" i="1" s="1"/>
  <c r="M4752" i="1"/>
  <c r="N4752" i="1" s="1"/>
  <c r="S4752" i="1" s="1"/>
  <c r="M4753" i="1"/>
  <c r="N4753" i="1" s="1"/>
  <c r="S4753" i="1" s="1"/>
  <c r="M4754" i="1"/>
  <c r="N4754" i="1" s="1"/>
  <c r="S4754" i="1" s="1"/>
  <c r="M4755" i="1"/>
  <c r="N4755" i="1" s="1"/>
  <c r="S4755" i="1" s="1"/>
  <c r="M4756" i="1"/>
  <c r="N4756" i="1" s="1"/>
  <c r="S4756" i="1" s="1"/>
  <c r="M4757" i="1"/>
  <c r="N4757" i="1" s="1"/>
  <c r="S4757" i="1" s="1"/>
  <c r="M4758" i="1"/>
  <c r="N4758" i="1" s="1"/>
  <c r="S4758" i="1" s="1"/>
  <c r="M4759" i="1"/>
  <c r="M4760" i="1"/>
  <c r="N4760" i="1" s="1"/>
  <c r="S4760" i="1" s="1"/>
  <c r="M4761" i="1"/>
  <c r="N4761" i="1" s="1"/>
  <c r="S4761" i="1" s="1"/>
  <c r="M4762" i="1"/>
  <c r="N4762" i="1" s="1"/>
  <c r="S4762" i="1" s="1"/>
  <c r="M4763" i="1"/>
  <c r="N4763" i="1" s="1"/>
  <c r="S4763" i="1" s="1"/>
  <c r="M4764" i="1"/>
  <c r="N4764" i="1" s="1"/>
  <c r="S4764" i="1" s="1"/>
  <c r="M4765" i="1"/>
  <c r="N4765" i="1" s="1"/>
  <c r="S4765" i="1" s="1"/>
  <c r="M4766" i="1"/>
  <c r="N4766" i="1" s="1"/>
  <c r="S4766" i="1" s="1"/>
  <c r="M4767" i="1"/>
  <c r="N4767" i="1" s="1"/>
  <c r="S4767" i="1" s="1"/>
  <c r="M4768" i="1"/>
  <c r="N4768" i="1" s="1"/>
  <c r="S4768" i="1" s="1"/>
  <c r="M4769" i="1"/>
  <c r="N4769" i="1" s="1"/>
  <c r="S4769" i="1" s="1"/>
  <c r="M4770" i="1"/>
  <c r="N4770" i="1" s="1"/>
  <c r="S4770" i="1" s="1"/>
  <c r="M4771" i="1"/>
  <c r="N4771" i="1" s="1"/>
  <c r="S4771" i="1" s="1"/>
  <c r="M4772" i="1"/>
  <c r="N4772" i="1" s="1"/>
  <c r="S4772" i="1" s="1"/>
  <c r="M4773" i="1"/>
  <c r="N4773" i="1" s="1"/>
  <c r="S4773" i="1" s="1"/>
  <c r="M4774" i="1"/>
  <c r="N4774" i="1" s="1"/>
  <c r="S4774" i="1" s="1"/>
  <c r="M4775" i="1"/>
  <c r="M4776" i="1"/>
  <c r="N4776" i="1" s="1"/>
  <c r="S4776" i="1" s="1"/>
  <c r="M4777" i="1"/>
  <c r="N4777" i="1" s="1"/>
  <c r="S4777" i="1" s="1"/>
  <c r="M4778" i="1"/>
  <c r="N4778" i="1" s="1"/>
  <c r="M4779" i="1"/>
  <c r="N4779" i="1" s="1"/>
  <c r="M4780" i="1"/>
  <c r="N4780" i="1" s="1"/>
  <c r="M4781" i="1"/>
  <c r="N4781" i="1" s="1"/>
  <c r="M4782" i="1"/>
  <c r="N4782" i="1" s="1"/>
  <c r="M4783" i="1"/>
  <c r="N4783" i="1" s="1"/>
  <c r="M4784" i="1"/>
  <c r="N4784" i="1" s="1"/>
  <c r="M4785" i="1"/>
  <c r="N4785" i="1" s="1"/>
  <c r="M4786" i="1"/>
  <c r="N4786" i="1" s="1"/>
  <c r="M4787" i="1"/>
  <c r="N4787" i="1" s="1"/>
  <c r="M4788" i="1"/>
  <c r="N4788" i="1" s="1"/>
  <c r="M4789" i="1"/>
  <c r="N4789" i="1" s="1"/>
  <c r="M4790" i="1"/>
  <c r="N4790" i="1" s="1"/>
  <c r="M4791" i="1"/>
  <c r="M4792" i="1"/>
  <c r="N4792" i="1" s="1"/>
  <c r="M4793" i="1"/>
  <c r="N4793" i="1" s="1"/>
  <c r="M4794" i="1"/>
  <c r="N4794" i="1" s="1"/>
  <c r="M4795" i="1"/>
  <c r="N4795" i="1" s="1"/>
  <c r="M4796" i="1"/>
  <c r="N4796" i="1" s="1"/>
  <c r="S4796" i="1" s="1"/>
  <c r="M4797" i="1"/>
  <c r="N4797" i="1" s="1"/>
  <c r="M4798" i="1"/>
  <c r="N4798" i="1" s="1"/>
  <c r="M4799" i="1"/>
  <c r="N4799" i="1" s="1"/>
  <c r="M4800" i="1"/>
  <c r="N4800" i="1" s="1"/>
  <c r="M4801" i="1"/>
  <c r="N4801" i="1" s="1"/>
  <c r="M4802" i="1"/>
  <c r="N4802" i="1" s="1"/>
  <c r="S4802" i="1" s="1"/>
  <c r="M4803" i="1"/>
  <c r="N4803" i="1" s="1"/>
  <c r="S4803" i="1" s="1"/>
  <c r="M4804" i="1"/>
  <c r="N4804" i="1" s="1"/>
  <c r="S4804" i="1" s="1"/>
  <c r="M4805" i="1"/>
  <c r="N4805" i="1" s="1"/>
  <c r="S4805" i="1" s="1"/>
  <c r="M4806" i="1"/>
  <c r="N4806" i="1" s="1"/>
  <c r="S4806" i="1" s="1"/>
  <c r="M4807" i="1"/>
  <c r="M4808" i="1"/>
  <c r="N4808" i="1" s="1"/>
  <c r="S4808" i="1" s="1"/>
  <c r="M4809" i="1"/>
  <c r="N4809" i="1" s="1"/>
  <c r="S4809" i="1" s="1"/>
  <c r="M4810" i="1"/>
  <c r="N4810" i="1" s="1"/>
  <c r="S4810" i="1" s="1"/>
  <c r="M4811" i="1"/>
  <c r="N4811" i="1" s="1"/>
  <c r="S4811" i="1" s="1"/>
  <c r="M4812" i="1"/>
  <c r="N4812" i="1" s="1"/>
  <c r="S4812" i="1" s="1"/>
  <c r="M4813" i="1"/>
  <c r="N4813" i="1" s="1"/>
  <c r="S4813" i="1" s="1"/>
  <c r="M4814" i="1"/>
  <c r="N4814" i="1" s="1"/>
  <c r="S4814" i="1" s="1"/>
  <c r="M4815" i="1"/>
  <c r="N4815" i="1" s="1"/>
  <c r="M4816" i="1"/>
  <c r="N4816" i="1" s="1"/>
  <c r="S4816" i="1" s="1"/>
  <c r="M4817" i="1"/>
  <c r="N4817" i="1" s="1"/>
  <c r="M4818" i="1"/>
  <c r="N4818" i="1" s="1"/>
  <c r="M4819" i="1"/>
  <c r="N4819" i="1" s="1"/>
  <c r="S4819" i="1" s="1"/>
  <c r="M4820" i="1"/>
  <c r="N4820" i="1" s="1"/>
  <c r="S4820" i="1" s="1"/>
  <c r="M4821" i="1"/>
  <c r="N4821" i="1" s="1"/>
  <c r="S4821" i="1" s="1"/>
  <c r="M4822" i="1"/>
  <c r="N4822" i="1" s="1"/>
  <c r="S4822" i="1" s="1"/>
  <c r="M4823" i="1"/>
  <c r="M4824" i="1"/>
  <c r="N4824" i="1" s="1"/>
  <c r="S4824" i="1" s="1"/>
  <c r="M4825" i="1"/>
  <c r="N4825" i="1" s="1"/>
  <c r="S4825" i="1" s="1"/>
  <c r="M4826" i="1"/>
  <c r="N4826" i="1" s="1"/>
  <c r="M4827" i="1"/>
  <c r="N4827" i="1" s="1"/>
  <c r="M4828" i="1"/>
  <c r="N4828" i="1" s="1"/>
  <c r="M4829" i="1"/>
  <c r="N4829" i="1" s="1"/>
  <c r="S4829" i="1" s="1"/>
  <c r="M4830" i="1"/>
  <c r="N4830" i="1" s="1"/>
  <c r="M4831" i="1"/>
  <c r="N4831" i="1" s="1"/>
  <c r="M4832" i="1"/>
  <c r="N4832" i="1" s="1"/>
  <c r="S4832" i="1" s="1"/>
  <c r="M4833" i="1"/>
  <c r="N4833" i="1" s="1"/>
  <c r="M4834" i="1"/>
  <c r="N4834" i="1" s="1"/>
  <c r="M4835" i="1"/>
  <c r="N4835" i="1" s="1"/>
  <c r="M4836" i="1"/>
  <c r="N4836" i="1" s="1"/>
  <c r="M4837" i="1"/>
  <c r="N4837" i="1" s="1"/>
  <c r="M4838" i="1"/>
  <c r="N4838" i="1" s="1"/>
  <c r="M4839" i="1"/>
  <c r="M4840" i="1"/>
  <c r="N4840" i="1" s="1"/>
  <c r="M4841" i="1"/>
  <c r="N4841" i="1" s="1"/>
  <c r="M4842" i="1"/>
  <c r="N4842" i="1" s="1"/>
  <c r="M4843" i="1"/>
  <c r="N4843" i="1" s="1"/>
  <c r="M4844" i="1"/>
  <c r="N4844" i="1" s="1"/>
  <c r="S4844" i="1" s="1"/>
  <c r="M4845" i="1"/>
  <c r="N4845" i="1" s="1"/>
  <c r="M4846" i="1"/>
  <c r="N4846" i="1" s="1"/>
  <c r="M4847" i="1"/>
  <c r="N4847" i="1" s="1"/>
  <c r="M4848" i="1"/>
  <c r="N4848" i="1" s="1"/>
  <c r="M4849" i="1"/>
  <c r="N4849" i="1" s="1"/>
  <c r="M4850" i="1"/>
  <c r="N4850" i="1" s="1"/>
  <c r="M4851" i="1"/>
  <c r="N4851" i="1" s="1"/>
  <c r="M4852" i="1"/>
  <c r="N4852" i="1" s="1"/>
  <c r="S4852" i="1" s="1"/>
  <c r="M4853" i="1"/>
  <c r="N4853" i="1" s="1"/>
  <c r="M4854" i="1"/>
  <c r="N4854" i="1" s="1"/>
  <c r="S4854" i="1" s="1"/>
  <c r="M4855" i="1"/>
  <c r="M4856" i="1"/>
  <c r="N4856" i="1" s="1"/>
  <c r="M4857" i="1"/>
  <c r="N4857" i="1" s="1"/>
  <c r="S4857" i="1" s="1"/>
  <c r="M4858" i="1"/>
  <c r="N4858" i="1" s="1"/>
  <c r="M4859" i="1"/>
  <c r="N4859" i="1" s="1"/>
  <c r="M4860" i="1"/>
  <c r="N4860" i="1" s="1"/>
  <c r="S4860" i="1" s="1"/>
  <c r="M4861" i="1"/>
  <c r="N4861" i="1" s="1"/>
  <c r="M4862" i="1"/>
  <c r="N4862" i="1" s="1"/>
  <c r="S4862" i="1" s="1"/>
  <c r="M4863" i="1"/>
  <c r="N4863" i="1" s="1"/>
  <c r="M4864" i="1"/>
  <c r="N4864" i="1" s="1"/>
  <c r="S4864" i="1" s="1"/>
  <c r="M4865" i="1"/>
  <c r="N4865" i="1" s="1"/>
  <c r="S4865" i="1" s="1"/>
  <c r="M4866" i="1"/>
  <c r="N4866" i="1" s="1"/>
  <c r="M4867" i="1"/>
  <c r="N4867" i="1" s="1"/>
  <c r="M4868" i="1"/>
  <c r="N4868" i="1" s="1"/>
  <c r="M4869" i="1"/>
  <c r="N4869" i="1" s="1"/>
  <c r="M4870" i="1"/>
  <c r="N4870" i="1" s="1"/>
  <c r="M4871" i="1"/>
  <c r="M4872" i="1"/>
  <c r="N4872" i="1" s="1"/>
  <c r="S4872" i="1" s="1"/>
  <c r="M4873" i="1"/>
  <c r="N4873" i="1" s="1"/>
  <c r="M4874" i="1"/>
  <c r="N4874" i="1" s="1"/>
  <c r="M4875" i="1"/>
  <c r="N4875" i="1" s="1"/>
  <c r="S4875" i="1" s="1"/>
  <c r="M4876" i="1"/>
  <c r="N4876" i="1" s="1"/>
  <c r="M4877" i="1"/>
  <c r="N4877" i="1" s="1"/>
  <c r="M4878" i="1"/>
  <c r="N4878" i="1" s="1"/>
  <c r="M4879" i="1"/>
  <c r="N4879" i="1" s="1"/>
  <c r="M4880" i="1"/>
  <c r="N4880" i="1" s="1"/>
  <c r="M4881" i="1"/>
  <c r="N4881" i="1" s="1"/>
  <c r="S4881" i="1" s="1"/>
  <c r="M4882" i="1"/>
  <c r="N4882" i="1" s="1"/>
  <c r="M4883" i="1"/>
  <c r="N4883" i="1" s="1"/>
  <c r="S4883" i="1" s="1"/>
  <c r="M4884" i="1"/>
  <c r="N4884" i="1" s="1"/>
  <c r="M4885" i="1"/>
  <c r="N4885" i="1" s="1"/>
  <c r="M4886" i="1"/>
  <c r="N4886" i="1" s="1"/>
  <c r="S4886" i="1" s="1"/>
  <c r="M4887" i="1"/>
  <c r="M4888" i="1"/>
  <c r="N4888" i="1" s="1"/>
  <c r="S4888" i="1" s="1"/>
  <c r="M4889" i="1"/>
  <c r="N4889" i="1" s="1"/>
  <c r="M4890" i="1"/>
  <c r="N4890" i="1" s="1"/>
  <c r="M4891" i="1"/>
  <c r="N4891" i="1" s="1"/>
  <c r="M4892" i="1"/>
  <c r="N4892" i="1" s="1"/>
  <c r="M4893" i="1"/>
  <c r="N4893" i="1" s="1"/>
  <c r="M3938" i="1"/>
  <c r="N3938" i="1" s="1"/>
  <c r="S3938" i="1" s="1"/>
  <c r="S3510" i="1"/>
  <c r="S3539" i="1"/>
  <c r="S3566" i="1"/>
  <c r="S3592" i="1"/>
  <c r="S3620" i="1"/>
  <c r="S3636" i="1"/>
  <c r="S3676" i="1"/>
  <c r="S3692" i="1"/>
  <c r="S3708" i="1"/>
  <c r="S3724" i="1"/>
  <c r="S3740" i="1"/>
  <c r="S3756" i="1"/>
  <c r="S3772" i="1"/>
  <c r="S3788" i="1"/>
  <c r="S3804" i="1"/>
  <c r="S3820" i="1"/>
  <c r="S3836" i="1"/>
  <c r="S3852" i="1"/>
  <c r="S3868" i="1"/>
  <c r="S3884" i="1"/>
  <c r="S3900" i="1"/>
  <c r="S3916" i="1"/>
  <c r="S3932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480" i="1"/>
  <c r="N3484" i="1"/>
  <c r="S3484" i="1" s="1"/>
  <c r="N3486" i="1"/>
  <c r="S3486" i="1" s="1"/>
  <c r="N3488" i="1"/>
  <c r="S3488" i="1" s="1"/>
  <c r="N3491" i="1"/>
  <c r="S3491" i="1" s="1"/>
  <c r="N3492" i="1"/>
  <c r="S3492" i="1" s="1"/>
  <c r="N3494" i="1"/>
  <c r="S3494" i="1" s="1"/>
  <c r="N3496" i="1"/>
  <c r="S3496" i="1" s="1"/>
  <c r="N3500" i="1"/>
  <c r="S3500" i="1" s="1"/>
  <c r="N3502" i="1"/>
  <c r="S3502" i="1" s="1"/>
  <c r="N3504" i="1"/>
  <c r="S3504" i="1" s="1"/>
  <c r="N3507" i="1"/>
  <c r="S3507" i="1" s="1"/>
  <c r="N3508" i="1"/>
  <c r="S3508" i="1" s="1"/>
  <c r="N3510" i="1"/>
  <c r="N3512" i="1"/>
  <c r="S3512" i="1" s="1"/>
  <c r="N3516" i="1"/>
  <c r="S3516" i="1" s="1"/>
  <c r="N3518" i="1"/>
  <c r="S3518" i="1" s="1"/>
  <c r="N3520" i="1"/>
  <c r="S3520" i="1" s="1"/>
  <c r="N3523" i="1"/>
  <c r="S3523" i="1" s="1"/>
  <c r="N3524" i="1"/>
  <c r="S3524" i="1" s="1"/>
  <c r="N3526" i="1"/>
  <c r="S3526" i="1" s="1"/>
  <c r="N3528" i="1"/>
  <c r="S3528" i="1" s="1"/>
  <c r="N3532" i="1"/>
  <c r="S3532" i="1" s="1"/>
  <c r="N3534" i="1"/>
  <c r="S3534" i="1" s="1"/>
  <c r="N3536" i="1"/>
  <c r="S3536" i="1" s="1"/>
  <c r="N3539" i="1"/>
  <c r="N3540" i="1"/>
  <c r="S3540" i="1" s="1"/>
  <c r="N3542" i="1"/>
  <c r="S3542" i="1" s="1"/>
  <c r="N3544" i="1"/>
  <c r="S3544" i="1" s="1"/>
  <c r="N3548" i="1"/>
  <c r="S3548" i="1" s="1"/>
  <c r="N3550" i="1"/>
  <c r="S3550" i="1" s="1"/>
  <c r="N3552" i="1"/>
  <c r="S3552" i="1" s="1"/>
  <c r="N3555" i="1"/>
  <c r="S3555" i="1" s="1"/>
  <c r="N3556" i="1"/>
  <c r="S3556" i="1" s="1"/>
  <c r="N3558" i="1"/>
  <c r="S3558" i="1" s="1"/>
  <c r="N3560" i="1"/>
  <c r="S3560" i="1" s="1"/>
  <c r="N3564" i="1"/>
  <c r="S3564" i="1" s="1"/>
  <c r="N3566" i="1"/>
  <c r="N3568" i="1"/>
  <c r="S3568" i="1" s="1"/>
  <c r="N3571" i="1"/>
  <c r="S3571" i="1" s="1"/>
  <c r="N3572" i="1"/>
  <c r="S3572" i="1" s="1"/>
  <c r="N3574" i="1"/>
  <c r="S3574" i="1" s="1"/>
  <c r="N3576" i="1"/>
  <c r="S3576" i="1" s="1"/>
  <c r="N3580" i="1"/>
  <c r="S3580" i="1" s="1"/>
  <c r="N3582" i="1"/>
  <c r="S3582" i="1" s="1"/>
  <c r="N3584" i="1"/>
  <c r="S3584" i="1" s="1"/>
  <c r="N3587" i="1"/>
  <c r="S3587" i="1" s="1"/>
  <c r="N3588" i="1"/>
  <c r="S3588" i="1" s="1"/>
  <c r="N3590" i="1"/>
  <c r="S3590" i="1" s="1"/>
  <c r="N3592" i="1"/>
  <c r="N3596" i="1"/>
  <c r="S3596" i="1" s="1"/>
  <c r="N3598" i="1"/>
  <c r="S3598" i="1" s="1"/>
  <c r="N3600" i="1"/>
  <c r="S3600" i="1" s="1"/>
  <c r="N3603" i="1"/>
  <c r="S3603" i="1" s="1"/>
  <c r="N3604" i="1"/>
  <c r="S3604" i="1" s="1"/>
  <c r="N3606" i="1"/>
  <c r="S3606" i="1" s="1"/>
  <c r="N3608" i="1"/>
  <c r="S3608" i="1" s="1"/>
  <c r="N3612" i="1"/>
  <c r="S3612" i="1" s="1"/>
  <c r="N3614" i="1"/>
  <c r="S3614" i="1" s="1"/>
  <c r="N3616" i="1"/>
  <c r="S3616" i="1" s="1"/>
  <c r="N3619" i="1"/>
  <c r="S3619" i="1" s="1"/>
  <c r="N3620" i="1"/>
  <c r="N3622" i="1"/>
  <c r="S3622" i="1" s="1"/>
  <c r="N3624" i="1"/>
  <c r="S3624" i="1" s="1"/>
  <c r="N3628" i="1"/>
  <c r="S3628" i="1" s="1"/>
  <c r="N3630" i="1"/>
  <c r="S3630" i="1" s="1"/>
  <c r="N3632" i="1"/>
  <c r="S3632" i="1" s="1"/>
  <c r="N3635" i="1"/>
  <c r="S3635" i="1" s="1"/>
  <c r="N3636" i="1"/>
  <c r="N3638" i="1"/>
  <c r="S3638" i="1" s="1"/>
  <c r="N3640" i="1"/>
  <c r="S3640" i="1" s="1"/>
  <c r="N3644" i="1"/>
  <c r="S3644" i="1" s="1"/>
  <c r="N3646" i="1"/>
  <c r="S3646" i="1" s="1"/>
  <c r="N3648" i="1"/>
  <c r="S3648" i="1" s="1"/>
  <c r="N3651" i="1"/>
  <c r="S3651" i="1" s="1"/>
  <c r="N3652" i="1"/>
  <c r="S3652" i="1" s="1"/>
  <c r="N3654" i="1"/>
  <c r="S3654" i="1" s="1"/>
  <c r="N3656" i="1"/>
  <c r="S3656" i="1" s="1"/>
  <c r="N3660" i="1"/>
  <c r="S3660" i="1" s="1"/>
  <c r="N3662" i="1"/>
  <c r="S3662" i="1" s="1"/>
  <c r="N3664" i="1"/>
  <c r="S3664" i="1" s="1"/>
  <c r="N3667" i="1"/>
  <c r="S3667" i="1" s="1"/>
  <c r="N3668" i="1"/>
  <c r="S3668" i="1" s="1"/>
  <c r="N3670" i="1"/>
  <c r="S3670" i="1" s="1"/>
  <c r="N3672" i="1"/>
  <c r="S3672" i="1" s="1"/>
  <c r="N3676" i="1"/>
  <c r="N3678" i="1"/>
  <c r="S3678" i="1" s="1"/>
  <c r="N3680" i="1"/>
  <c r="S3680" i="1" s="1"/>
  <c r="N3683" i="1"/>
  <c r="S3683" i="1" s="1"/>
  <c r="N3684" i="1"/>
  <c r="S3684" i="1" s="1"/>
  <c r="N3686" i="1"/>
  <c r="S3686" i="1" s="1"/>
  <c r="N3688" i="1"/>
  <c r="S3688" i="1" s="1"/>
  <c r="N3692" i="1"/>
  <c r="N3694" i="1"/>
  <c r="S3694" i="1" s="1"/>
  <c r="N3696" i="1"/>
  <c r="S3696" i="1" s="1"/>
  <c r="N3699" i="1"/>
  <c r="S3699" i="1" s="1"/>
  <c r="N3700" i="1"/>
  <c r="S3700" i="1" s="1"/>
  <c r="N3702" i="1"/>
  <c r="S3702" i="1" s="1"/>
  <c r="N3704" i="1"/>
  <c r="S3704" i="1" s="1"/>
  <c r="N3708" i="1"/>
  <c r="N3710" i="1"/>
  <c r="S3710" i="1" s="1"/>
  <c r="N3712" i="1"/>
  <c r="S3712" i="1" s="1"/>
  <c r="N3715" i="1"/>
  <c r="S3715" i="1" s="1"/>
  <c r="N3716" i="1"/>
  <c r="S3716" i="1" s="1"/>
  <c r="N3718" i="1"/>
  <c r="S3718" i="1" s="1"/>
  <c r="N3720" i="1"/>
  <c r="S3720" i="1" s="1"/>
  <c r="N3724" i="1"/>
  <c r="N3726" i="1"/>
  <c r="S3726" i="1" s="1"/>
  <c r="N3728" i="1"/>
  <c r="S3728" i="1" s="1"/>
  <c r="N3731" i="1"/>
  <c r="S3731" i="1" s="1"/>
  <c r="N3732" i="1"/>
  <c r="S3732" i="1" s="1"/>
  <c r="N3734" i="1"/>
  <c r="S3734" i="1" s="1"/>
  <c r="N3736" i="1"/>
  <c r="S3736" i="1" s="1"/>
  <c r="N3740" i="1"/>
  <c r="N3742" i="1"/>
  <c r="S3742" i="1" s="1"/>
  <c r="N3744" i="1"/>
  <c r="S3744" i="1" s="1"/>
  <c r="N3747" i="1"/>
  <c r="S3747" i="1" s="1"/>
  <c r="N3748" i="1"/>
  <c r="S3748" i="1" s="1"/>
  <c r="N3750" i="1"/>
  <c r="S3750" i="1" s="1"/>
  <c r="N3752" i="1"/>
  <c r="S3752" i="1" s="1"/>
  <c r="N3756" i="1"/>
  <c r="N3758" i="1"/>
  <c r="S3758" i="1" s="1"/>
  <c r="N3760" i="1"/>
  <c r="S3760" i="1" s="1"/>
  <c r="N3763" i="1"/>
  <c r="S3763" i="1" s="1"/>
  <c r="N3764" i="1"/>
  <c r="S3764" i="1" s="1"/>
  <c r="N3766" i="1"/>
  <c r="S3766" i="1" s="1"/>
  <c r="N3768" i="1"/>
  <c r="S3768" i="1" s="1"/>
  <c r="N3772" i="1"/>
  <c r="N3774" i="1"/>
  <c r="S3774" i="1" s="1"/>
  <c r="N3776" i="1"/>
  <c r="S3776" i="1" s="1"/>
  <c r="N3779" i="1"/>
  <c r="S3779" i="1" s="1"/>
  <c r="N3780" i="1"/>
  <c r="S3780" i="1" s="1"/>
  <c r="N3782" i="1"/>
  <c r="S3782" i="1" s="1"/>
  <c r="N3784" i="1"/>
  <c r="S3784" i="1" s="1"/>
  <c r="N3788" i="1"/>
  <c r="N3790" i="1"/>
  <c r="S3790" i="1" s="1"/>
  <c r="N3792" i="1"/>
  <c r="S3792" i="1" s="1"/>
  <c r="N3795" i="1"/>
  <c r="S3795" i="1" s="1"/>
  <c r="N3796" i="1"/>
  <c r="S3796" i="1" s="1"/>
  <c r="N3798" i="1"/>
  <c r="S3798" i="1" s="1"/>
  <c r="N3800" i="1"/>
  <c r="S3800" i="1" s="1"/>
  <c r="N3804" i="1"/>
  <c r="N3806" i="1"/>
  <c r="S3806" i="1" s="1"/>
  <c r="N3808" i="1"/>
  <c r="S3808" i="1" s="1"/>
  <c r="N3811" i="1"/>
  <c r="S3811" i="1" s="1"/>
  <c r="N3812" i="1"/>
  <c r="S3812" i="1" s="1"/>
  <c r="N3814" i="1"/>
  <c r="S3814" i="1" s="1"/>
  <c r="N3816" i="1"/>
  <c r="S3816" i="1" s="1"/>
  <c r="N3820" i="1"/>
  <c r="N3822" i="1"/>
  <c r="S3822" i="1" s="1"/>
  <c r="N3824" i="1"/>
  <c r="S3824" i="1" s="1"/>
  <c r="N3827" i="1"/>
  <c r="S3827" i="1" s="1"/>
  <c r="N3828" i="1"/>
  <c r="S3828" i="1" s="1"/>
  <c r="N3830" i="1"/>
  <c r="S3830" i="1" s="1"/>
  <c r="N3832" i="1"/>
  <c r="S3832" i="1" s="1"/>
  <c r="N3836" i="1"/>
  <c r="N3838" i="1"/>
  <c r="S3838" i="1" s="1"/>
  <c r="N3840" i="1"/>
  <c r="S3840" i="1" s="1"/>
  <c r="N3843" i="1"/>
  <c r="S3843" i="1" s="1"/>
  <c r="N3844" i="1"/>
  <c r="S3844" i="1" s="1"/>
  <c r="N3846" i="1"/>
  <c r="S3846" i="1" s="1"/>
  <c r="N3848" i="1"/>
  <c r="S3848" i="1" s="1"/>
  <c r="N3852" i="1"/>
  <c r="N3854" i="1"/>
  <c r="S3854" i="1" s="1"/>
  <c r="N3856" i="1"/>
  <c r="S3856" i="1" s="1"/>
  <c r="N3859" i="1"/>
  <c r="S3859" i="1" s="1"/>
  <c r="N3860" i="1"/>
  <c r="S3860" i="1" s="1"/>
  <c r="N3862" i="1"/>
  <c r="S3862" i="1" s="1"/>
  <c r="N3864" i="1"/>
  <c r="S3864" i="1" s="1"/>
  <c r="N3868" i="1"/>
  <c r="N3870" i="1"/>
  <c r="S3870" i="1" s="1"/>
  <c r="N3872" i="1"/>
  <c r="S3872" i="1" s="1"/>
  <c r="N3875" i="1"/>
  <c r="S3875" i="1" s="1"/>
  <c r="N3876" i="1"/>
  <c r="S3876" i="1" s="1"/>
  <c r="N3878" i="1"/>
  <c r="S3878" i="1" s="1"/>
  <c r="N3880" i="1"/>
  <c r="S3880" i="1" s="1"/>
  <c r="N3884" i="1"/>
  <c r="N3886" i="1"/>
  <c r="S3886" i="1" s="1"/>
  <c r="N3888" i="1"/>
  <c r="S3888" i="1" s="1"/>
  <c r="N3891" i="1"/>
  <c r="S3891" i="1" s="1"/>
  <c r="N3892" i="1"/>
  <c r="S3892" i="1" s="1"/>
  <c r="N3894" i="1"/>
  <c r="S3894" i="1" s="1"/>
  <c r="N3896" i="1"/>
  <c r="S3896" i="1" s="1"/>
  <c r="N3900" i="1"/>
  <c r="N3902" i="1"/>
  <c r="S3902" i="1" s="1"/>
  <c r="N3904" i="1"/>
  <c r="S3904" i="1" s="1"/>
  <c r="N3907" i="1"/>
  <c r="S3907" i="1" s="1"/>
  <c r="N3908" i="1"/>
  <c r="S3908" i="1" s="1"/>
  <c r="N3910" i="1"/>
  <c r="S3910" i="1" s="1"/>
  <c r="N3912" i="1"/>
  <c r="S3912" i="1" s="1"/>
  <c r="N3916" i="1"/>
  <c r="N3918" i="1"/>
  <c r="S3918" i="1" s="1"/>
  <c r="N3920" i="1"/>
  <c r="S3920" i="1" s="1"/>
  <c r="N3923" i="1"/>
  <c r="S3923" i="1" s="1"/>
  <c r="N3924" i="1"/>
  <c r="S3924" i="1" s="1"/>
  <c r="N3926" i="1"/>
  <c r="S3926" i="1" s="1"/>
  <c r="N3928" i="1"/>
  <c r="S3928" i="1" s="1"/>
  <c r="N3932" i="1"/>
  <c r="N3934" i="1"/>
  <c r="S3934" i="1" s="1"/>
  <c r="N3936" i="1"/>
  <c r="S3936" i="1" s="1"/>
  <c r="M3481" i="1"/>
  <c r="N3481" i="1" s="1"/>
  <c r="S3481" i="1" s="1"/>
  <c r="M3482" i="1"/>
  <c r="N3482" i="1" s="1"/>
  <c r="S3482" i="1" s="1"/>
  <c r="M3483" i="1"/>
  <c r="N3483" i="1" s="1"/>
  <c r="S3483" i="1" s="1"/>
  <c r="M3484" i="1"/>
  <c r="M3485" i="1"/>
  <c r="N3485" i="1" s="1"/>
  <c r="S3485" i="1" s="1"/>
  <c r="M3486" i="1"/>
  <c r="M3487" i="1"/>
  <c r="N3487" i="1" s="1"/>
  <c r="S3487" i="1" s="1"/>
  <c r="M3488" i="1"/>
  <c r="M3489" i="1"/>
  <c r="N3489" i="1" s="1"/>
  <c r="S3489" i="1" s="1"/>
  <c r="M3490" i="1"/>
  <c r="N3490" i="1" s="1"/>
  <c r="S3490" i="1" s="1"/>
  <c r="M3491" i="1"/>
  <c r="M3492" i="1"/>
  <c r="M3493" i="1"/>
  <c r="N3493" i="1" s="1"/>
  <c r="S3493" i="1" s="1"/>
  <c r="M3494" i="1"/>
  <c r="M3495" i="1"/>
  <c r="N3495" i="1" s="1"/>
  <c r="S3495" i="1" s="1"/>
  <c r="M3496" i="1"/>
  <c r="M3497" i="1"/>
  <c r="N3497" i="1" s="1"/>
  <c r="S3497" i="1" s="1"/>
  <c r="M3498" i="1"/>
  <c r="N3498" i="1" s="1"/>
  <c r="S3498" i="1" s="1"/>
  <c r="M3499" i="1"/>
  <c r="N3499" i="1" s="1"/>
  <c r="S3499" i="1" s="1"/>
  <c r="M3500" i="1"/>
  <c r="M3501" i="1"/>
  <c r="N3501" i="1" s="1"/>
  <c r="S3501" i="1" s="1"/>
  <c r="M3502" i="1"/>
  <c r="M3503" i="1"/>
  <c r="N3503" i="1" s="1"/>
  <c r="S3503" i="1" s="1"/>
  <c r="M3504" i="1"/>
  <c r="M3505" i="1"/>
  <c r="N3505" i="1" s="1"/>
  <c r="S3505" i="1" s="1"/>
  <c r="M3506" i="1"/>
  <c r="N3506" i="1" s="1"/>
  <c r="S3506" i="1" s="1"/>
  <c r="M3507" i="1"/>
  <c r="M3508" i="1"/>
  <c r="M3509" i="1"/>
  <c r="N3509" i="1" s="1"/>
  <c r="S3509" i="1" s="1"/>
  <c r="M3510" i="1"/>
  <c r="M3511" i="1"/>
  <c r="N3511" i="1" s="1"/>
  <c r="S3511" i="1" s="1"/>
  <c r="M3512" i="1"/>
  <c r="M3513" i="1"/>
  <c r="N3513" i="1" s="1"/>
  <c r="S3513" i="1" s="1"/>
  <c r="M3514" i="1"/>
  <c r="N3514" i="1" s="1"/>
  <c r="S3514" i="1" s="1"/>
  <c r="M3515" i="1"/>
  <c r="N3515" i="1" s="1"/>
  <c r="S3515" i="1" s="1"/>
  <c r="M3516" i="1"/>
  <c r="M3517" i="1"/>
  <c r="N3517" i="1" s="1"/>
  <c r="S3517" i="1" s="1"/>
  <c r="M3518" i="1"/>
  <c r="M3519" i="1"/>
  <c r="N3519" i="1" s="1"/>
  <c r="S3519" i="1" s="1"/>
  <c r="M3520" i="1"/>
  <c r="M3521" i="1"/>
  <c r="N3521" i="1" s="1"/>
  <c r="S3521" i="1" s="1"/>
  <c r="M3522" i="1"/>
  <c r="N3522" i="1" s="1"/>
  <c r="S3522" i="1" s="1"/>
  <c r="M3523" i="1"/>
  <c r="M3524" i="1"/>
  <c r="M3525" i="1"/>
  <c r="N3525" i="1" s="1"/>
  <c r="S3525" i="1" s="1"/>
  <c r="M3526" i="1"/>
  <c r="M3527" i="1"/>
  <c r="N3527" i="1" s="1"/>
  <c r="S3527" i="1" s="1"/>
  <c r="M3528" i="1"/>
  <c r="M3529" i="1"/>
  <c r="N3529" i="1" s="1"/>
  <c r="S3529" i="1" s="1"/>
  <c r="M3530" i="1"/>
  <c r="N3530" i="1" s="1"/>
  <c r="S3530" i="1" s="1"/>
  <c r="M3531" i="1"/>
  <c r="N3531" i="1" s="1"/>
  <c r="S3531" i="1" s="1"/>
  <c r="M3532" i="1"/>
  <c r="M3533" i="1"/>
  <c r="N3533" i="1" s="1"/>
  <c r="S3533" i="1" s="1"/>
  <c r="M3534" i="1"/>
  <c r="M3535" i="1"/>
  <c r="N3535" i="1" s="1"/>
  <c r="S3535" i="1" s="1"/>
  <c r="M3536" i="1"/>
  <c r="M3537" i="1"/>
  <c r="N3537" i="1" s="1"/>
  <c r="S3537" i="1" s="1"/>
  <c r="M3538" i="1"/>
  <c r="N3538" i="1" s="1"/>
  <c r="S3538" i="1" s="1"/>
  <c r="M3539" i="1"/>
  <c r="M3540" i="1"/>
  <c r="M3541" i="1"/>
  <c r="N3541" i="1" s="1"/>
  <c r="S3541" i="1" s="1"/>
  <c r="M3542" i="1"/>
  <c r="M3543" i="1"/>
  <c r="N3543" i="1" s="1"/>
  <c r="S3543" i="1" s="1"/>
  <c r="M3544" i="1"/>
  <c r="M3545" i="1"/>
  <c r="N3545" i="1" s="1"/>
  <c r="S3545" i="1" s="1"/>
  <c r="M3546" i="1"/>
  <c r="N3546" i="1" s="1"/>
  <c r="S3546" i="1" s="1"/>
  <c r="M3547" i="1"/>
  <c r="N3547" i="1" s="1"/>
  <c r="S3547" i="1" s="1"/>
  <c r="M3548" i="1"/>
  <c r="M3549" i="1"/>
  <c r="N3549" i="1" s="1"/>
  <c r="S3549" i="1" s="1"/>
  <c r="M3550" i="1"/>
  <c r="M3551" i="1"/>
  <c r="N3551" i="1" s="1"/>
  <c r="S3551" i="1" s="1"/>
  <c r="M3552" i="1"/>
  <c r="M3553" i="1"/>
  <c r="N3553" i="1" s="1"/>
  <c r="S3553" i="1" s="1"/>
  <c r="M3554" i="1"/>
  <c r="N3554" i="1" s="1"/>
  <c r="S3554" i="1" s="1"/>
  <c r="M3555" i="1"/>
  <c r="M3556" i="1"/>
  <c r="M3557" i="1"/>
  <c r="N3557" i="1" s="1"/>
  <c r="S3557" i="1" s="1"/>
  <c r="M3558" i="1"/>
  <c r="M3559" i="1"/>
  <c r="N3559" i="1" s="1"/>
  <c r="S3559" i="1" s="1"/>
  <c r="M3560" i="1"/>
  <c r="M3561" i="1"/>
  <c r="N3561" i="1" s="1"/>
  <c r="S3561" i="1" s="1"/>
  <c r="M3562" i="1"/>
  <c r="N3562" i="1" s="1"/>
  <c r="S3562" i="1" s="1"/>
  <c r="M3563" i="1"/>
  <c r="N3563" i="1" s="1"/>
  <c r="S3563" i="1" s="1"/>
  <c r="M3564" i="1"/>
  <c r="M3565" i="1"/>
  <c r="N3565" i="1" s="1"/>
  <c r="S3565" i="1" s="1"/>
  <c r="M3566" i="1"/>
  <c r="M3567" i="1"/>
  <c r="N3567" i="1" s="1"/>
  <c r="S3567" i="1" s="1"/>
  <c r="M3568" i="1"/>
  <c r="M3569" i="1"/>
  <c r="N3569" i="1" s="1"/>
  <c r="S3569" i="1" s="1"/>
  <c r="M3570" i="1"/>
  <c r="N3570" i="1" s="1"/>
  <c r="S3570" i="1" s="1"/>
  <c r="M3571" i="1"/>
  <c r="M3572" i="1"/>
  <c r="M3573" i="1"/>
  <c r="N3573" i="1" s="1"/>
  <c r="S3573" i="1" s="1"/>
  <c r="M3574" i="1"/>
  <c r="M3575" i="1"/>
  <c r="N3575" i="1" s="1"/>
  <c r="S3575" i="1" s="1"/>
  <c r="M3576" i="1"/>
  <c r="M3577" i="1"/>
  <c r="N3577" i="1" s="1"/>
  <c r="M3578" i="1"/>
  <c r="N3578" i="1" s="1"/>
  <c r="S3578" i="1" s="1"/>
  <c r="M3579" i="1"/>
  <c r="N3579" i="1" s="1"/>
  <c r="S3579" i="1" s="1"/>
  <c r="M3580" i="1"/>
  <c r="M3581" i="1"/>
  <c r="N3581" i="1" s="1"/>
  <c r="S3581" i="1" s="1"/>
  <c r="M3582" i="1"/>
  <c r="M3583" i="1"/>
  <c r="N3583" i="1" s="1"/>
  <c r="S3583" i="1" s="1"/>
  <c r="M3584" i="1"/>
  <c r="M3585" i="1"/>
  <c r="N3585" i="1" s="1"/>
  <c r="S3585" i="1" s="1"/>
  <c r="M3586" i="1"/>
  <c r="N3586" i="1" s="1"/>
  <c r="S3586" i="1" s="1"/>
  <c r="M3587" i="1"/>
  <c r="M3588" i="1"/>
  <c r="M3589" i="1"/>
  <c r="N3589" i="1" s="1"/>
  <c r="S3589" i="1" s="1"/>
  <c r="M3590" i="1"/>
  <c r="M3591" i="1"/>
  <c r="N3591" i="1" s="1"/>
  <c r="S3591" i="1" s="1"/>
  <c r="M3592" i="1"/>
  <c r="M3593" i="1"/>
  <c r="N3593" i="1" s="1"/>
  <c r="S3593" i="1" s="1"/>
  <c r="M3594" i="1"/>
  <c r="N3594" i="1" s="1"/>
  <c r="S3594" i="1" s="1"/>
  <c r="M3595" i="1"/>
  <c r="N3595" i="1" s="1"/>
  <c r="S3595" i="1" s="1"/>
  <c r="M3596" i="1"/>
  <c r="M3597" i="1"/>
  <c r="N3597" i="1" s="1"/>
  <c r="S3597" i="1" s="1"/>
  <c r="M3598" i="1"/>
  <c r="M3599" i="1"/>
  <c r="N3599" i="1" s="1"/>
  <c r="S3599" i="1" s="1"/>
  <c r="M3600" i="1"/>
  <c r="M3601" i="1"/>
  <c r="N3601" i="1" s="1"/>
  <c r="S3601" i="1" s="1"/>
  <c r="M3602" i="1"/>
  <c r="N3602" i="1" s="1"/>
  <c r="S3602" i="1" s="1"/>
  <c r="M3603" i="1"/>
  <c r="M3604" i="1"/>
  <c r="M3605" i="1"/>
  <c r="N3605" i="1" s="1"/>
  <c r="S3605" i="1" s="1"/>
  <c r="M3606" i="1"/>
  <c r="M3607" i="1"/>
  <c r="N3607" i="1" s="1"/>
  <c r="S3607" i="1" s="1"/>
  <c r="M3608" i="1"/>
  <c r="M3609" i="1"/>
  <c r="N3609" i="1" s="1"/>
  <c r="S3609" i="1" s="1"/>
  <c r="M3610" i="1"/>
  <c r="N3610" i="1" s="1"/>
  <c r="S3610" i="1" s="1"/>
  <c r="M3611" i="1"/>
  <c r="N3611" i="1" s="1"/>
  <c r="S3611" i="1" s="1"/>
  <c r="M3612" i="1"/>
  <c r="M3613" i="1"/>
  <c r="N3613" i="1" s="1"/>
  <c r="S3613" i="1" s="1"/>
  <c r="M3614" i="1"/>
  <c r="M3615" i="1"/>
  <c r="N3615" i="1" s="1"/>
  <c r="S3615" i="1" s="1"/>
  <c r="M3616" i="1"/>
  <c r="M3617" i="1"/>
  <c r="N3617" i="1" s="1"/>
  <c r="S3617" i="1" s="1"/>
  <c r="M3618" i="1"/>
  <c r="N3618" i="1" s="1"/>
  <c r="S3618" i="1" s="1"/>
  <c r="M3619" i="1"/>
  <c r="M3620" i="1"/>
  <c r="M3621" i="1"/>
  <c r="N3621" i="1" s="1"/>
  <c r="S3621" i="1" s="1"/>
  <c r="M3622" i="1"/>
  <c r="M3623" i="1"/>
  <c r="N3623" i="1" s="1"/>
  <c r="S3623" i="1" s="1"/>
  <c r="M3624" i="1"/>
  <c r="M3625" i="1"/>
  <c r="N3625" i="1" s="1"/>
  <c r="S3625" i="1" s="1"/>
  <c r="M3626" i="1"/>
  <c r="N3626" i="1" s="1"/>
  <c r="S3626" i="1" s="1"/>
  <c r="M3627" i="1"/>
  <c r="N3627" i="1" s="1"/>
  <c r="S3627" i="1" s="1"/>
  <c r="M3628" i="1"/>
  <c r="M3629" i="1"/>
  <c r="N3629" i="1" s="1"/>
  <c r="S3629" i="1" s="1"/>
  <c r="M3630" i="1"/>
  <c r="M3631" i="1"/>
  <c r="N3631" i="1" s="1"/>
  <c r="S3631" i="1" s="1"/>
  <c r="M3632" i="1"/>
  <c r="M3633" i="1"/>
  <c r="N3633" i="1" s="1"/>
  <c r="S3633" i="1" s="1"/>
  <c r="M3634" i="1"/>
  <c r="N3634" i="1" s="1"/>
  <c r="S3634" i="1" s="1"/>
  <c r="M3635" i="1"/>
  <c r="M3636" i="1"/>
  <c r="M3637" i="1"/>
  <c r="N3637" i="1" s="1"/>
  <c r="S3637" i="1" s="1"/>
  <c r="M3638" i="1"/>
  <c r="M3639" i="1"/>
  <c r="N3639" i="1" s="1"/>
  <c r="S3639" i="1" s="1"/>
  <c r="M3640" i="1"/>
  <c r="M3641" i="1"/>
  <c r="N3641" i="1" s="1"/>
  <c r="S3641" i="1" s="1"/>
  <c r="M3642" i="1"/>
  <c r="N3642" i="1" s="1"/>
  <c r="S3642" i="1" s="1"/>
  <c r="M3643" i="1"/>
  <c r="N3643" i="1" s="1"/>
  <c r="S3643" i="1" s="1"/>
  <c r="M3644" i="1"/>
  <c r="M3645" i="1"/>
  <c r="N3645" i="1" s="1"/>
  <c r="S3645" i="1" s="1"/>
  <c r="M3646" i="1"/>
  <c r="M3647" i="1"/>
  <c r="N3647" i="1" s="1"/>
  <c r="S3647" i="1" s="1"/>
  <c r="M3648" i="1"/>
  <c r="M3649" i="1"/>
  <c r="N3649" i="1" s="1"/>
  <c r="S3649" i="1" s="1"/>
  <c r="M3650" i="1"/>
  <c r="N3650" i="1" s="1"/>
  <c r="S3650" i="1" s="1"/>
  <c r="M3651" i="1"/>
  <c r="M3652" i="1"/>
  <c r="M3653" i="1"/>
  <c r="N3653" i="1" s="1"/>
  <c r="S3653" i="1" s="1"/>
  <c r="M3654" i="1"/>
  <c r="M3655" i="1"/>
  <c r="N3655" i="1" s="1"/>
  <c r="S3655" i="1" s="1"/>
  <c r="M3656" i="1"/>
  <c r="M3657" i="1"/>
  <c r="N3657" i="1" s="1"/>
  <c r="S3657" i="1" s="1"/>
  <c r="M3658" i="1"/>
  <c r="N3658" i="1" s="1"/>
  <c r="S3658" i="1" s="1"/>
  <c r="M3659" i="1"/>
  <c r="N3659" i="1" s="1"/>
  <c r="S3659" i="1" s="1"/>
  <c r="M3660" i="1"/>
  <c r="M3661" i="1"/>
  <c r="N3661" i="1" s="1"/>
  <c r="S3661" i="1" s="1"/>
  <c r="M3662" i="1"/>
  <c r="M3663" i="1"/>
  <c r="N3663" i="1" s="1"/>
  <c r="S3663" i="1" s="1"/>
  <c r="M3664" i="1"/>
  <c r="M3665" i="1"/>
  <c r="N3665" i="1" s="1"/>
  <c r="S3665" i="1" s="1"/>
  <c r="M3666" i="1"/>
  <c r="N3666" i="1" s="1"/>
  <c r="S3666" i="1" s="1"/>
  <c r="M3667" i="1"/>
  <c r="M3668" i="1"/>
  <c r="M3669" i="1"/>
  <c r="N3669" i="1" s="1"/>
  <c r="S3669" i="1" s="1"/>
  <c r="M3670" i="1"/>
  <c r="M3671" i="1"/>
  <c r="N3671" i="1" s="1"/>
  <c r="S3671" i="1" s="1"/>
  <c r="M3672" i="1"/>
  <c r="M3673" i="1"/>
  <c r="N3673" i="1" s="1"/>
  <c r="S3673" i="1" s="1"/>
  <c r="M3674" i="1"/>
  <c r="N3674" i="1" s="1"/>
  <c r="S3674" i="1" s="1"/>
  <c r="M3675" i="1"/>
  <c r="N3675" i="1" s="1"/>
  <c r="S3675" i="1" s="1"/>
  <c r="M3676" i="1"/>
  <c r="M3677" i="1"/>
  <c r="N3677" i="1" s="1"/>
  <c r="S3677" i="1" s="1"/>
  <c r="M3678" i="1"/>
  <c r="M3679" i="1"/>
  <c r="N3679" i="1" s="1"/>
  <c r="S3679" i="1" s="1"/>
  <c r="M3680" i="1"/>
  <c r="M3681" i="1"/>
  <c r="N3681" i="1" s="1"/>
  <c r="S3681" i="1" s="1"/>
  <c r="M3682" i="1"/>
  <c r="N3682" i="1" s="1"/>
  <c r="S3682" i="1" s="1"/>
  <c r="M3683" i="1"/>
  <c r="M3684" i="1"/>
  <c r="M3685" i="1"/>
  <c r="N3685" i="1" s="1"/>
  <c r="S3685" i="1" s="1"/>
  <c r="M3686" i="1"/>
  <c r="M3687" i="1"/>
  <c r="N3687" i="1" s="1"/>
  <c r="S3687" i="1" s="1"/>
  <c r="M3688" i="1"/>
  <c r="M3689" i="1"/>
  <c r="N3689" i="1" s="1"/>
  <c r="S3689" i="1" s="1"/>
  <c r="M3690" i="1"/>
  <c r="N3690" i="1" s="1"/>
  <c r="S3690" i="1" s="1"/>
  <c r="M3691" i="1"/>
  <c r="N3691" i="1" s="1"/>
  <c r="S3691" i="1" s="1"/>
  <c r="M3692" i="1"/>
  <c r="M3693" i="1"/>
  <c r="N3693" i="1" s="1"/>
  <c r="S3693" i="1" s="1"/>
  <c r="M3694" i="1"/>
  <c r="M3695" i="1"/>
  <c r="N3695" i="1" s="1"/>
  <c r="S3695" i="1" s="1"/>
  <c r="M3696" i="1"/>
  <c r="M3697" i="1"/>
  <c r="N3697" i="1" s="1"/>
  <c r="S3697" i="1" s="1"/>
  <c r="M3698" i="1"/>
  <c r="N3698" i="1" s="1"/>
  <c r="S3698" i="1" s="1"/>
  <c r="M3699" i="1"/>
  <c r="M3700" i="1"/>
  <c r="M3701" i="1"/>
  <c r="N3701" i="1" s="1"/>
  <c r="S3701" i="1" s="1"/>
  <c r="M3702" i="1"/>
  <c r="M3703" i="1"/>
  <c r="N3703" i="1" s="1"/>
  <c r="S3703" i="1" s="1"/>
  <c r="M3704" i="1"/>
  <c r="M3705" i="1"/>
  <c r="N3705" i="1" s="1"/>
  <c r="S3705" i="1" s="1"/>
  <c r="M3706" i="1"/>
  <c r="N3706" i="1" s="1"/>
  <c r="S3706" i="1" s="1"/>
  <c r="M3707" i="1"/>
  <c r="N3707" i="1" s="1"/>
  <c r="S3707" i="1" s="1"/>
  <c r="M3708" i="1"/>
  <c r="M3709" i="1"/>
  <c r="N3709" i="1" s="1"/>
  <c r="S3709" i="1" s="1"/>
  <c r="M3710" i="1"/>
  <c r="M3711" i="1"/>
  <c r="N3711" i="1" s="1"/>
  <c r="S3711" i="1" s="1"/>
  <c r="M3712" i="1"/>
  <c r="M3713" i="1"/>
  <c r="N3713" i="1" s="1"/>
  <c r="S3713" i="1" s="1"/>
  <c r="M3714" i="1"/>
  <c r="N3714" i="1" s="1"/>
  <c r="S3714" i="1" s="1"/>
  <c r="M3715" i="1"/>
  <c r="M3716" i="1"/>
  <c r="M3717" i="1"/>
  <c r="N3717" i="1" s="1"/>
  <c r="S3717" i="1" s="1"/>
  <c r="M3718" i="1"/>
  <c r="M3719" i="1"/>
  <c r="N3719" i="1" s="1"/>
  <c r="S3719" i="1" s="1"/>
  <c r="M3720" i="1"/>
  <c r="M3721" i="1"/>
  <c r="N3721" i="1" s="1"/>
  <c r="S3721" i="1" s="1"/>
  <c r="M3722" i="1"/>
  <c r="N3722" i="1" s="1"/>
  <c r="S3722" i="1" s="1"/>
  <c r="M3723" i="1"/>
  <c r="N3723" i="1" s="1"/>
  <c r="S3723" i="1" s="1"/>
  <c r="M3724" i="1"/>
  <c r="M3725" i="1"/>
  <c r="N3725" i="1" s="1"/>
  <c r="S3725" i="1" s="1"/>
  <c r="M3726" i="1"/>
  <c r="M3727" i="1"/>
  <c r="N3727" i="1" s="1"/>
  <c r="S3727" i="1" s="1"/>
  <c r="M3728" i="1"/>
  <c r="M3729" i="1"/>
  <c r="N3729" i="1" s="1"/>
  <c r="S3729" i="1" s="1"/>
  <c r="M3730" i="1"/>
  <c r="N3730" i="1" s="1"/>
  <c r="S3730" i="1" s="1"/>
  <c r="M3731" i="1"/>
  <c r="M3732" i="1"/>
  <c r="M3733" i="1"/>
  <c r="N3733" i="1" s="1"/>
  <c r="S3733" i="1" s="1"/>
  <c r="M3734" i="1"/>
  <c r="M3735" i="1"/>
  <c r="N3735" i="1" s="1"/>
  <c r="S3735" i="1" s="1"/>
  <c r="M3736" i="1"/>
  <c r="M3737" i="1"/>
  <c r="N3737" i="1" s="1"/>
  <c r="S3737" i="1" s="1"/>
  <c r="M3738" i="1"/>
  <c r="N3738" i="1" s="1"/>
  <c r="S3738" i="1" s="1"/>
  <c r="M3739" i="1"/>
  <c r="N3739" i="1" s="1"/>
  <c r="S3739" i="1" s="1"/>
  <c r="M3740" i="1"/>
  <c r="M3741" i="1"/>
  <c r="N3741" i="1" s="1"/>
  <c r="S3741" i="1" s="1"/>
  <c r="M3742" i="1"/>
  <c r="M3743" i="1"/>
  <c r="N3743" i="1" s="1"/>
  <c r="S3743" i="1" s="1"/>
  <c r="M3744" i="1"/>
  <c r="M3745" i="1"/>
  <c r="N3745" i="1" s="1"/>
  <c r="S3745" i="1" s="1"/>
  <c r="M3746" i="1"/>
  <c r="N3746" i="1" s="1"/>
  <c r="S3746" i="1" s="1"/>
  <c r="M3747" i="1"/>
  <c r="M3748" i="1"/>
  <c r="M3749" i="1"/>
  <c r="N3749" i="1" s="1"/>
  <c r="S3749" i="1" s="1"/>
  <c r="M3750" i="1"/>
  <c r="M3751" i="1"/>
  <c r="N3751" i="1" s="1"/>
  <c r="S3751" i="1" s="1"/>
  <c r="M3752" i="1"/>
  <c r="M3753" i="1"/>
  <c r="N3753" i="1" s="1"/>
  <c r="S3753" i="1" s="1"/>
  <c r="M3754" i="1"/>
  <c r="N3754" i="1" s="1"/>
  <c r="S3754" i="1" s="1"/>
  <c r="M3755" i="1"/>
  <c r="N3755" i="1" s="1"/>
  <c r="S3755" i="1" s="1"/>
  <c r="M3756" i="1"/>
  <c r="M3757" i="1"/>
  <c r="N3757" i="1" s="1"/>
  <c r="S3757" i="1" s="1"/>
  <c r="M3758" i="1"/>
  <c r="M3759" i="1"/>
  <c r="N3759" i="1" s="1"/>
  <c r="S3759" i="1" s="1"/>
  <c r="M3760" i="1"/>
  <c r="M3761" i="1"/>
  <c r="N3761" i="1" s="1"/>
  <c r="S3761" i="1" s="1"/>
  <c r="M3762" i="1"/>
  <c r="N3762" i="1" s="1"/>
  <c r="S3762" i="1" s="1"/>
  <c r="M3763" i="1"/>
  <c r="M3764" i="1"/>
  <c r="M3765" i="1"/>
  <c r="N3765" i="1" s="1"/>
  <c r="S3765" i="1" s="1"/>
  <c r="M3766" i="1"/>
  <c r="M3767" i="1"/>
  <c r="N3767" i="1" s="1"/>
  <c r="S3767" i="1" s="1"/>
  <c r="M3768" i="1"/>
  <c r="M3769" i="1"/>
  <c r="N3769" i="1" s="1"/>
  <c r="S3769" i="1" s="1"/>
  <c r="M3770" i="1"/>
  <c r="N3770" i="1" s="1"/>
  <c r="S3770" i="1" s="1"/>
  <c r="M3771" i="1"/>
  <c r="N3771" i="1" s="1"/>
  <c r="S3771" i="1" s="1"/>
  <c r="M3772" i="1"/>
  <c r="M3773" i="1"/>
  <c r="N3773" i="1" s="1"/>
  <c r="S3773" i="1" s="1"/>
  <c r="M3774" i="1"/>
  <c r="M3775" i="1"/>
  <c r="N3775" i="1" s="1"/>
  <c r="S3775" i="1" s="1"/>
  <c r="M3776" i="1"/>
  <c r="M3777" i="1"/>
  <c r="N3777" i="1" s="1"/>
  <c r="S3777" i="1" s="1"/>
  <c r="M3778" i="1"/>
  <c r="N3778" i="1" s="1"/>
  <c r="S3778" i="1" s="1"/>
  <c r="M3779" i="1"/>
  <c r="M3780" i="1"/>
  <c r="M3781" i="1"/>
  <c r="N3781" i="1" s="1"/>
  <c r="S3781" i="1" s="1"/>
  <c r="M3782" i="1"/>
  <c r="M3783" i="1"/>
  <c r="N3783" i="1" s="1"/>
  <c r="S3783" i="1" s="1"/>
  <c r="M3784" i="1"/>
  <c r="M3785" i="1"/>
  <c r="N3785" i="1" s="1"/>
  <c r="S3785" i="1" s="1"/>
  <c r="M3786" i="1"/>
  <c r="N3786" i="1" s="1"/>
  <c r="S3786" i="1" s="1"/>
  <c r="M3787" i="1"/>
  <c r="N3787" i="1" s="1"/>
  <c r="S3787" i="1" s="1"/>
  <c r="M3788" i="1"/>
  <c r="M3789" i="1"/>
  <c r="N3789" i="1" s="1"/>
  <c r="S3789" i="1" s="1"/>
  <c r="M3790" i="1"/>
  <c r="M3791" i="1"/>
  <c r="N3791" i="1" s="1"/>
  <c r="S3791" i="1" s="1"/>
  <c r="M3792" i="1"/>
  <c r="M3793" i="1"/>
  <c r="N3793" i="1" s="1"/>
  <c r="S3793" i="1" s="1"/>
  <c r="M3794" i="1"/>
  <c r="N3794" i="1" s="1"/>
  <c r="S3794" i="1" s="1"/>
  <c r="M3795" i="1"/>
  <c r="M3796" i="1"/>
  <c r="M3797" i="1"/>
  <c r="N3797" i="1" s="1"/>
  <c r="S3797" i="1" s="1"/>
  <c r="M3798" i="1"/>
  <c r="M3799" i="1"/>
  <c r="N3799" i="1" s="1"/>
  <c r="S3799" i="1" s="1"/>
  <c r="M3800" i="1"/>
  <c r="M3801" i="1"/>
  <c r="N3801" i="1" s="1"/>
  <c r="S3801" i="1" s="1"/>
  <c r="M3802" i="1"/>
  <c r="N3802" i="1" s="1"/>
  <c r="S3802" i="1" s="1"/>
  <c r="M3803" i="1"/>
  <c r="N3803" i="1" s="1"/>
  <c r="S3803" i="1" s="1"/>
  <c r="M3804" i="1"/>
  <c r="M3805" i="1"/>
  <c r="N3805" i="1" s="1"/>
  <c r="S3805" i="1" s="1"/>
  <c r="M3806" i="1"/>
  <c r="M3807" i="1"/>
  <c r="N3807" i="1" s="1"/>
  <c r="S3807" i="1" s="1"/>
  <c r="M3808" i="1"/>
  <c r="M3809" i="1"/>
  <c r="N3809" i="1" s="1"/>
  <c r="S3809" i="1" s="1"/>
  <c r="M3810" i="1"/>
  <c r="N3810" i="1" s="1"/>
  <c r="S3810" i="1" s="1"/>
  <c r="M3811" i="1"/>
  <c r="M3812" i="1"/>
  <c r="M3813" i="1"/>
  <c r="N3813" i="1" s="1"/>
  <c r="S3813" i="1" s="1"/>
  <c r="M3814" i="1"/>
  <c r="M3815" i="1"/>
  <c r="N3815" i="1" s="1"/>
  <c r="S3815" i="1" s="1"/>
  <c r="M3816" i="1"/>
  <c r="M3817" i="1"/>
  <c r="N3817" i="1" s="1"/>
  <c r="S3817" i="1" s="1"/>
  <c r="M3818" i="1"/>
  <c r="N3818" i="1" s="1"/>
  <c r="S3818" i="1" s="1"/>
  <c r="M3819" i="1"/>
  <c r="N3819" i="1" s="1"/>
  <c r="S3819" i="1" s="1"/>
  <c r="M3820" i="1"/>
  <c r="M3821" i="1"/>
  <c r="N3821" i="1" s="1"/>
  <c r="S3821" i="1" s="1"/>
  <c r="M3822" i="1"/>
  <c r="M3823" i="1"/>
  <c r="N3823" i="1" s="1"/>
  <c r="S3823" i="1" s="1"/>
  <c r="M3824" i="1"/>
  <c r="M3825" i="1"/>
  <c r="N3825" i="1" s="1"/>
  <c r="S3825" i="1" s="1"/>
  <c r="M3826" i="1"/>
  <c r="N3826" i="1" s="1"/>
  <c r="S3826" i="1" s="1"/>
  <c r="M3827" i="1"/>
  <c r="M3828" i="1"/>
  <c r="M3829" i="1"/>
  <c r="N3829" i="1" s="1"/>
  <c r="S3829" i="1" s="1"/>
  <c r="M3830" i="1"/>
  <c r="M3831" i="1"/>
  <c r="N3831" i="1" s="1"/>
  <c r="S3831" i="1" s="1"/>
  <c r="M3832" i="1"/>
  <c r="M3833" i="1"/>
  <c r="N3833" i="1" s="1"/>
  <c r="S3833" i="1" s="1"/>
  <c r="M3834" i="1"/>
  <c r="N3834" i="1" s="1"/>
  <c r="S3834" i="1" s="1"/>
  <c r="M3835" i="1"/>
  <c r="N3835" i="1" s="1"/>
  <c r="S3835" i="1" s="1"/>
  <c r="M3836" i="1"/>
  <c r="M3837" i="1"/>
  <c r="N3837" i="1" s="1"/>
  <c r="S3837" i="1" s="1"/>
  <c r="M3838" i="1"/>
  <c r="M3839" i="1"/>
  <c r="N3839" i="1" s="1"/>
  <c r="S3839" i="1" s="1"/>
  <c r="M3840" i="1"/>
  <c r="M3841" i="1"/>
  <c r="N3841" i="1" s="1"/>
  <c r="S3841" i="1" s="1"/>
  <c r="M3842" i="1"/>
  <c r="N3842" i="1" s="1"/>
  <c r="S3842" i="1" s="1"/>
  <c r="M3843" i="1"/>
  <c r="M3844" i="1"/>
  <c r="M3845" i="1"/>
  <c r="N3845" i="1" s="1"/>
  <c r="S3845" i="1" s="1"/>
  <c r="M3846" i="1"/>
  <c r="M3847" i="1"/>
  <c r="N3847" i="1" s="1"/>
  <c r="S3847" i="1" s="1"/>
  <c r="M3848" i="1"/>
  <c r="M3849" i="1"/>
  <c r="N3849" i="1" s="1"/>
  <c r="S3849" i="1" s="1"/>
  <c r="M3850" i="1"/>
  <c r="N3850" i="1" s="1"/>
  <c r="S3850" i="1" s="1"/>
  <c r="M3851" i="1"/>
  <c r="N3851" i="1" s="1"/>
  <c r="S3851" i="1" s="1"/>
  <c r="M3852" i="1"/>
  <c r="M3853" i="1"/>
  <c r="N3853" i="1" s="1"/>
  <c r="S3853" i="1" s="1"/>
  <c r="M3854" i="1"/>
  <c r="M3855" i="1"/>
  <c r="N3855" i="1" s="1"/>
  <c r="S3855" i="1" s="1"/>
  <c r="M3856" i="1"/>
  <c r="M3857" i="1"/>
  <c r="N3857" i="1" s="1"/>
  <c r="S3857" i="1" s="1"/>
  <c r="M3858" i="1"/>
  <c r="N3858" i="1" s="1"/>
  <c r="S3858" i="1" s="1"/>
  <c r="M3859" i="1"/>
  <c r="M3860" i="1"/>
  <c r="M3861" i="1"/>
  <c r="N3861" i="1" s="1"/>
  <c r="S3861" i="1" s="1"/>
  <c r="M3862" i="1"/>
  <c r="M3863" i="1"/>
  <c r="N3863" i="1" s="1"/>
  <c r="S3863" i="1" s="1"/>
  <c r="M3864" i="1"/>
  <c r="M3865" i="1"/>
  <c r="N3865" i="1" s="1"/>
  <c r="S3865" i="1" s="1"/>
  <c r="M3866" i="1"/>
  <c r="N3866" i="1" s="1"/>
  <c r="S3866" i="1" s="1"/>
  <c r="M3867" i="1"/>
  <c r="N3867" i="1" s="1"/>
  <c r="S3867" i="1" s="1"/>
  <c r="M3868" i="1"/>
  <c r="M3869" i="1"/>
  <c r="N3869" i="1" s="1"/>
  <c r="S3869" i="1" s="1"/>
  <c r="M3870" i="1"/>
  <c r="M3871" i="1"/>
  <c r="N3871" i="1" s="1"/>
  <c r="S3871" i="1" s="1"/>
  <c r="M3872" i="1"/>
  <c r="M3873" i="1"/>
  <c r="N3873" i="1" s="1"/>
  <c r="S3873" i="1" s="1"/>
  <c r="M3874" i="1"/>
  <c r="N3874" i="1" s="1"/>
  <c r="S3874" i="1" s="1"/>
  <c r="M3875" i="1"/>
  <c r="M3876" i="1"/>
  <c r="M3877" i="1"/>
  <c r="N3877" i="1" s="1"/>
  <c r="S3877" i="1" s="1"/>
  <c r="M3878" i="1"/>
  <c r="M3879" i="1"/>
  <c r="N3879" i="1" s="1"/>
  <c r="S3879" i="1" s="1"/>
  <c r="M3880" i="1"/>
  <c r="M3881" i="1"/>
  <c r="N3881" i="1" s="1"/>
  <c r="S3881" i="1" s="1"/>
  <c r="M3882" i="1"/>
  <c r="N3882" i="1" s="1"/>
  <c r="S3882" i="1" s="1"/>
  <c r="M3883" i="1"/>
  <c r="N3883" i="1" s="1"/>
  <c r="S3883" i="1" s="1"/>
  <c r="M3884" i="1"/>
  <c r="M3885" i="1"/>
  <c r="N3885" i="1" s="1"/>
  <c r="S3885" i="1" s="1"/>
  <c r="M3886" i="1"/>
  <c r="M3887" i="1"/>
  <c r="N3887" i="1" s="1"/>
  <c r="S3887" i="1" s="1"/>
  <c r="M3888" i="1"/>
  <c r="M3889" i="1"/>
  <c r="N3889" i="1" s="1"/>
  <c r="S3889" i="1" s="1"/>
  <c r="M3890" i="1"/>
  <c r="N3890" i="1" s="1"/>
  <c r="S3890" i="1" s="1"/>
  <c r="M3891" i="1"/>
  <c r="M3892" i="1"/>
  <c r="M3893" i="1"/>
  <c r="N3893" i="1" s="1"/>
  <c r="S3893" i="1" s="1"/>
  <c r="M3894" i="1"/>
  <c r="M3895" i="1"/>
  <c r="N3895" i="1" s="1"/>
  <c r="S3895" i="1" s="1"/>
  <c r="M3896" i="1"/>
  <c r="M3897" i="1"/>
  <c r="N3897" i="1" s="1"/>
  <c r="S3897" i="1" s="1"/>
  <c r="M3898" i="1"/>
  <c r="N3898" i="1" s="1"/>
  <c r="S3898" i="1" s="1"/>
  <c r="M3899" i="1"/>
  <c r="N3899" i="1" s="1"/>
  <c r="S3899" i="1" s="1"/>
  <c r="M3900" i="1"/>
  <c r="M3901" i="1"/>
  <c r="N3901" i="1" s="1"/>
  <c r="S3901" i="1" s="1"/>
  <c r="M3902" i="1"/>
  <c r="M3903" i="1"/>
  <c r="N3903" i="1" s="1"/>
  <c r="S3903" i="1" s="1"/>
  <c r="M3904" i="1"/>
  <c r="M3905" i="1"/>
  <c r="N3905" i="1" s="1"/>
  <c r="S3905" i="1" s="1"/>
  <c r="M3906" i="1"/>
  <c r="N3906" i="1" s="1"/>
  <c r="S3906" i="1" s="1"/>
  <c r="M3907" i="1"/>
  <c r="M3908" i="1"/>
  <c r="M3909" i="1"/>
  <c r="N3909" i="1" s="1"/>
  <c r="S3909" i="1" s="1"/>
  <c r="M3910" i="1"/>
  <c r="M3911" i="1"/>
  <c r="N3911" i="1" s="1"/>
  <c r="S3911" i="1" s="1"/>
  <c r="M3912" i="1"/>
  <c r="M3913" i="1"/>
  <c r="N3913" i="1" s="1"/>
  <c r="S3913" i="1" s="1"/>
  <c r="M3914" i="1"/>
  <c r="N3914" i="1" s="1"/>
  <c r="S3914" i="1" s="1"/>
  <c r="M3915" i="1"/>
  <c r="N3915" i="1" s="1"/>
  <c r="S3915" i="1" s="1"/>
  <c r="M3916" i="1"/>
  <c r="M3917" i="1"/>
  <c r="N3917" i="1" s="1"/>
  <c r="S3917" i="1" s="1"/>
  <c r="M3918" i="1"/>
  <c r="M3919" i="1"/>
  <c r="N3919" i="1" s="1"/>
  <c r="S3919" i="1" s="1"/>
  <c r="M3920" i="1"/>
  <c r="M3921" i="1"/>
  <c r="N3921" i="1" s="1"/>
  <c r="S3921" i="1" s="1"/>
  <c r="M3922" i="1"/>
  <c r="N3922" i="1" s="1"/>
  <c r="S3922" i="1" s="1"/>
  <c r="M3923" i="1"/>
  <c r="M3924" i="1"/>
  <c r="M3925" i="1"/>
  <c r="N3925" i="1" s="1"/>
  <c r="S3925" i="1" s="1"/>
  <c r="M3926" i="1"/>
  <c r="M3927" i="1"/>
  <c r="N3927" i="1" s="1"/>
  <c r="S3927" i="1" s="1"/>
  <c r="M3928" i="1"/>
  <c r="M3929" i="1"/>
  <c r="N3929" i="1" s="1"/>
  <c r="S3929" i="1" s="1"/>
  <c r="M3930" i="1"/>
  <c r="N3930" i="1" s="1"/>
  <c r="S3930" i="1" s="1"/>
  <c r="M3931" i="1"/>
  <c r="N3931" i="1" s="1"/>
  <c r="S3931" i="1" s="1"/>
  <c r="M3932" i="1"/>
  <c r="M3933" i="1"/>
  <c r="N3933" i="1" s="1"/>
  <c r="S3933" i="1" s="1"/>
  <c r="M3934" i="1"/>
  <c r="M3935" i="1"/>
  <c r="N3935" i="1" s="1"/>
  <c r="S3935" i="1" s="1"/>
  <c r="M3936" i="1"/>
  <c r="M3480" i="1"/>
  <c r="N3480" i="1" s="1"/>
  <c r="S3480" i="1" s="1"/>
  <c r="S3417" i="1"/>
  <c r="S3419" i="1"/>
  <c r="S3425" i="1"/>
  <c r="S3427" i="1"/>
  <c r="S3429" i="1"/>
  <c r="S3433" i="1"/>
  <c r="S3443" i="1"/>
  <c r="S3448" i="1"/>
  <c r="S3449" i="1"/>
  <c r="S3452" i="1"/>
  <c r="S3459" i="1"/>
  <c r="S3463" i="1"/>
  <c r="S3465" i="1"/>
  <c r="S3467" i="1"/>
  <c r="S3471" i="1"/>
  <c r="S3475" i="1"/>
  <c r="N3412" i="1"/>
  <c r="S3412" i="1" s="1"/>
  <c r="N3417" i="1"/>
  <c r="N3418" i="1"/>
  <c r="S3418" i="1" s="1"/>
  <c r="N3423" i="1"/>
  <c r="S3423" i="1" s="1"/>
  <c r="N3425" i="1"/>
  <c r="N3427" i="1"/>
  <c r="N3433" i="1"/>
  <c r="N3434" i="1"/>
  <c r="N3436" i="1"/>
  <c r="S3436" i="1" s="1"/>
  <c r="N3439" i="1"/>
  <c r="S3439" i="1" s="1"/>
  <c r="N3441" i="1"/>
  <c r="N3443" i="1"/>
  <c r="N3448" i="1"/>
  <c r="N3449" i="1"/>
  <c r="N3450" i="1"/>
  <c r="S3450" i="1" s="1"/>
  <c r="N3455" i="1"/>
  <c r="S3455" i="1" s="1"/>
  <c r="N3457" i="1"/>
  <c r="S3457" i="1" s="1"/>
  <c r="N3459" i="1"/>
  <c r="N3460" i="1"/>
  <c r="S3460" i="1" s="1"/>
  <c r="N3464" i="1"/>
  <c r="S3464" i="1" s="1"/>
  <c r="N3465" i="1"/>
  <c r="N3466" i="1"/>
  <c r="S3466" i="1" s="1"/>
  <c r="N3471" i="1"/>
  <c r="N3472" i="1"/>
  <c r="S3472" i="1" s="1"/>
  <c r="N3473" i="1"/>
  <c r="S3473" i="1" s="1"/>
  <c r="N3474" i="1"/>
  <c r="S3474" i="1" s="1"/>
  <c r="N3475" i="1"/>
  <c r="M3412" i="1"/>
  <c r="M3413" i="1"/>
  <c r="N3413" i="1" s="1"/>
  <c r="M3414" i="1"/>
  <c r="N3414" i="1" s="1"/>
  <c r="S3414" i="1" s="1"/>
  <c r="M3415" i="1"/>
  <c r="N3415" i="1" s="1"/>
  <c r="M3416" i="1"/>
  <c r="N3416" i="1" s="1"/>
  <c r="S3416" i="1" s="1"/>
  <c r="M3417" i="1"/>
  <c r="M3418" i="1"/>
  <c r="M3419" i="1"/>
  <c r="N3419" i="1" s="1"/>
  <c r="M3420" i="1"/>
  <c r="N3420" i="1" s="1"/>
  <c r="S3420" i="1" s="1"/>
  <c r="M3421" i="1"/>
  <c r="N3421" i="1" s="1"/>
  <c r="S3421" i="1" s="1"/>
  <c r="M3422" i="1"/>
  <c r="N3422" i="1" s="1"/>
  <c r="S3422" i="1" s="1"/>
  <c r="M3423" i="1"/>
  <c r="M3424" i="1"/>
  <c r="N3424" i="1" s="1"/>
  <c r="S3424" i="1" s="1"/>
  <c r="M3425" i="1"/>
  <c r="M3426" i="1"/>
  <c r="N3426" i="1" s="1"/>
  <c r="S3426" i="1" s="1"/>
  <c r="M3427" i="1"/>
  <c r="M3428" i="1"/>
  <c r="N3428" i="1" s="1"/>
  <c r="S3428" i="1" s="1"/>
  <c r="M3429" i="1"/>
  <c r="N3429" i="1" s="1"/>
  <c r="M3430" i="1"/>
  <c r="N3430" i="1" s="1"/>
  <c r="S3430" i="1" s="1"/>
  <c r="M3431" i="1"/>
  <c r="N3431" i="1" s="1"/>
  <c r="S3431" i="1" s="1"/>
  <c r="M3432" i="1"/>
  <c r="N3432" i="1" s="1"/>
  <c r="S3432" i="1" s="1"/>
  <c r="M3433" i="1"/>
  <c r="M3434" i="1"/>
  <c r="M3435" i="1"/>
  <c r="N3435" i="1" s="1"/>
  <c r="S3435" i="1" s="1"/>
  <c r="M3436" i="1"/>
  <c r="M3437" i="1"/>
  <c r="N3437" i="1" s="1"/>
  <c r="S3437" i="1" s="1"/>
  <c r="M3438" i="1"/>
  <c r="N3438" i="1" s="1"/>
  <c r="S3438" i="1" s="1"/>
  <c r="M3439" i="1"/>
  <c r="M3440" i="1"/>
  <c r="N3440" i="1" s="1"/>
  <c r="S3440" i="1" s="1"/>
  <c r="M3441" i="1"/>
  <c r="M3442" i="1"/>
  <c r="N3442" i="1" s="1"/>
  <c r="S3442" i="1" s="1"/>
  <c r="M3443" i="1"/>
  <c r="M3444" i="1"/>
  <c r="N3444" i="1" s="1"/>
  <c r="S3444" i="1" s="1"/>
  <c r="M3445" i="1"/>
  <c r="N3445" i="1" s="1"/>
  <c r="M3446" i="1"/>
  <c r="N3446" i="1" s="1"/>
  <c r="S3446" i="1" s="1"/>
  <c r="M3447" i="1"/>
  <c r="N3447" i="1" s="1"/>
  <c r="S3447" i="1" s="1"/>
  <c r="M3448" i="1"/>
  <c r="M3449" i="1"/>
  <c r="M3450" i="1"/>
  <c r="M3451" i="1"/>
  <c r="N3451" i="1" s="1"/>
  <c r="S3451" i="1" s="1"/>
  <c r="M3452" i="1"/>
  <c r="N3452" i="1" s="1"/>
  <c r="M3453" i="1"/>
  <c r="N3453" i="1" s="1"/>
  <c r="M3454" i="1"/>
  <c r="N3454" i="1" s="1"/>
  <c r="S3454" i="1" s="1"/>
  <c r="M3455" i="1"/>
  <c r="M3456" i="1"/>
  <c r="N3456" i="1" s="1"/>
  <c r="S3456" i="1" s="1"/>
  <c r="M3457" i="1"/>
  <c r="M3458" i="1"/>
  <c r="N3458" i="1" s="1"/>
  <c r="S3458" i="1" s="1"/>
  <c r="M3459" i="1"/>
  <c r="M3460" i="1"/>
  <c r="M3461" i="1"/>
  <c r="N3461" i="1" s="1"/>
  <c r="S3461" i="1" s="1"/>
  <c r="M3462" i="1"/>
  <c r="N3462" i="1" s="1"/>
  <c r="S3462" i="1" s="1"/>
  <c r="M3463" i="1"/>
  <c r="N3463" i="1" s="1"/>
  <c r="M3464" i="1"/>
  <c r="M3465" i="1"/>
  <c r="M3466" i="1"/>
  <c r="M3467" i="1"/>
  <c r="N3467" i="1" s="1"/>
  <c r="M3468" i="1"/>
  <c r="N3468" i="1" s="1"/>
  <c r="S3468" i="1" s="1"/>
  <c r="M3469" i="1"/>
  <c r="N3469" i="1" s="1"/>
  <c r="S3469" i="1" s="1"/>
  <c r="M3470" i="1"/>
  <c r="N3470" i="1" s="1"/>
  <c r="S3470" i="1" s="1"/>
  <c r="M3471" i="1"/>
  <c r="M3472" i="1"/>
  <c r="M3473" i="1"/>
  <c r="M3474" i="1"/>
  <c r="M3475" i="1"/>
  <c r="M3476" i="1"/>
  <c r="N3476" i="1" s="1"/>
  <c r="S3476" i="1" s="1"/>
  <c r="M3477" i="1"/>
  <c r="N3477" i="1" s="1"/>
  <c r="S3477" i="1" s="1"/>
  <c r="M3478" i="1"/>
  <c r="N3478" i="1" s="1"/>
  <c r="S3478" i="1" s="1"/>
  <c r="M3411" i="1"/>
  <c r="N3411" i="1" s="1"/>
  <c r="S2898" i="1"/>
  <c r="S2940" i="1"/>
  <c r="S2949" i="1"/>
  <c r="S2973" i="1"/>
  <c r="S3005" i="1"/>
  <c r="S3037" i="1"/>
  <c r="S3045" i="1"/>
  <c r="S3063" i="1"/>
  <c r="S3089" i="1"/>
  <c r="S3109" i="1"/>
  <c r="S3203" i="1"/>
  <c r="S3226" i="1"/>
  <c r="S3250" i="1"/>
  <c r="S3254" i="1"/>
  <c r="S3305" i="1"/>
  <c r="S3353" i="1"/>
  <c r="S3369" i="1"/>
  <c r="S3389" i="1"/>
  <c r="S3405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2892" i="1"/>
  <c r="N2893" i="1"/>
  <c r="N2895" i="1"/>
  <c r="N2897" i="1"/>
  <c r="S2897" i="1" s="1"/>
  <c r="N2900" i="1"/>
  <c r="N2901" i="1"/>
  <c r="S2901" i="1" s="1"/>
  <c r="N2902" i="1"/>
  <c r="S2902" i="1" s="1"/>
  <c r="N2908" i="1"/>
  <c r="S2908" i="1" s="1"/>
  <c r="N2909" i="1"/>
  <c r="N2911" i="1"/>
  <c r="N2913" i="1"/>
  <c r="N2916" i="1"/>
  <c r="S2916" i="1" s="1"/>
  <c r="N2917" i="1"/>
  <c r="S2917" i="1" s="1"/>
  <c r="N2924" i="1"/>
  <c r="S2924" i="1" s="1"/>
  <c r="N2925" i="1"/>
  <c r="S2925" i="1" s="1"/>
  <c r="N2927" i="1"/>
  <c r="S2927" i="1" s="1"/>
  <c r="N2929" i="1"/>
  <c r="S2929" i="1" s="1"/>
  <c r="N2932" i="1"/>
  <c r="N2933" i="1"/>
  <c r="N2934" i="1"/>
  <c r="N2940" i="1"/>
  <c r="N2941" i="1"/>
  <c r="S2941" i="1" s="1"/>
  <c r="N2945" i="1"/>
  <c r="S2945" i="1" s="1"/>
  <c r="N2948" i="1"/>
  <c r="S2948" i="1" s="1"/>
  <c r="N2949" i="1"/>
  <c r="N2956" i="1"/>
  <c r="S2956" i="1" s="1"/>
  <c r="N2957" i="1"/>
  <c r="N2959" i="1"/>
  <c r="S2959" i="1" s="1"/>
  <c r="N2961" i="1"/>
  <c r="N2964" i="1"/>
  <c r="S2964" i="1" s="1"/>
  <c r="N2965" i="1"/>
  <c r="S2965" i="1" s="1"/>
  <c r="N2966" i="1"/>
  <c r="S2966" i="1" s="1"/>
  <c r="N2972" i="1"/>
  <c r="N2973" i="1"/>
  <c r="N2977" i="1"/>
  <c r="S2977" i="1" s="1"/>
  <c r="N2980" i="1"/>
  <c r="S2980" i="1" s="1"/>
  <c r="N2981" i="1"/>
  <c r="S2981" i="1" s="1"/>
  <c r="N2988" i="1"/>
  <c r="S2988" i="1" s="1"/>
  <c r="N2989" i="1"/>
  <c r="N2991" i="1"/>
  <c r="S2991" i="1" s="1"/>
  <c r="N2993" i="1"/>
  <c r="S2993" i="1" s="1"/>
  <c r="N2996" i="1"/>
  <c r="S2996" i="1" s="1"/>
  <c r="N2997" i="1"/>
  <c r="S2997" i="1" s="1"/>
  <c r="N2998" i="1"/>
  <c r="S2998" i="1" s="1"/>
  <c r="N3004" i="1"/>
  <c r="S3004" i="1" s="1"/>
  <c r="N3005" i="1"/>
  <c r="N3009" i="1"/>
  <c r="S3009" i="1" s="1"/>
  <c r="N3012" i="1"/>
  <c r="S3012" i="1" s="1"/>
  <c r="N3013" i="1"/>
  <c r="S3013" i="1" s="1"/>
  <c r="N3020" i="1"/>
  <c r="S3020" i="1" s="1"/>
  <c r="N3021" i="1"/>
  <c r="S3021" i="1" s="1"/>
  <c r="N3023" i="1"/>
  <c r="S3023" i="1" s="1"/>
  <c r="N3025" i="1"/>
  <c r="S3025" i="1" s="1"/>
  <c r="N3028" i="1"/>
  <c r="S3028" i="1" s="1"/>
  <c r="N3029" i="1"/>
  <c r="S3029" i="1" s="1"/>
  <c r="N3030" i="1"/>
  <c r="S3030" i="1" s="1"/>
  <c r="N3036" i="1"/>
  <c r="S3036" i="1" s="1"/>
  <c r="N3037" i="1"/>
  <c r="N3041" i="1"/>
  <c r="N3044" i="1"/>
  <c r="S3044" i="1" s="1"/>
  <c r="N3045" i="1"/>
  <c r="N3052" i="1"/>
  <c r="S3052" i="1" s="1"/>
  <c r="N3053" i="1"/>
  <c r="S3053" i="1" s="1"/>
  <c r="N3055" i="1"/>
  <c r="S3055" i="1" s="1"/>
  <c r="N3057" i="1"/>
  <c r="S3057" i="1" s="1"/>
  <c r="N3060" i="1"/>
  <c r="S3060" i="1" s="1"/>
  <c r="N3061" i="1"/>
  <c r="S3061" i="1" s="1"/>
  <c r="N3062" i="1"/>
  <c r="S3062" i="1" s="1"/>
  <c r="N3068" i="1"/>
  <c r="S3068" i="1" s="1"/>
  <c r="N3069" i="1"/>
  <c r="S3069" i="1" s="1"/>
  <c r="N3073" i="1"/>
  <c r="S3073" i="1" s="1"/>
  <c r="N3076" i="1"/>
  <c r="S3076" i="1" s="1"/>
  <c r="N3077" i="1"/>
  <c r="S3077" i="1" s="1"/>
  <c r="N3084" i="1"/>
  <c r="S3084" i="1" s="1"/>
  <c r="N3085" i="1"/>
  <c r="S3085" i="1" s="1"/>
  <c r="N3087" i="1"/>
  <c r="S3087" i="1" s="1"/>
  <c r="N3089" i="1"/>
  <c r="N3092" i="1"/>
  <c r="S3092" i="1" s="1"/>
  <c r="N3093" i="1"/>
  <c r="S3093" i="1" s="1"/>
  <c r="N3094" i="1"/>
  <c r="S3094" i="1" s="1"/>
  <c r="N3100" i="1"/>
  <c r="S3100" i="1" s="1"/>
  <c r="N3101" i="1"/>
  <c r="S3101" i="1" s="1"/>
  <c r="N3105" i="1"/>
  <c r="S3105" i="1" s="1"/>
  <c r="N3108" i="1"/>
  <c r="S3108" i="1" s="1"/>
  <c r="N3109" i="1"/>
  <c r="N3116" i="1"/>
  <c r="S3116" i="1" s="1"/>
  <c r="N3117" i="1"/>
  <c r="S3117" i="1" s="1"/>
  <c r="N3119" i="1"/>
  <c r="S3119" i="1" s="1"/>
  <c r="N3121" i="1"/>
  <c r="S3121" i="1" s="1"/>
  <c r="N3124" i="1"/>
  <c r="S3124" i="1" s="1"/>
  <c r="N3125" i="1"/>
  <c r="S3125" i="1" s="1"/>
  <c r="N3126" i="1"/>
  <c r="S3126" i="1" s="1"/>
  <c r="N3132" i="1"/>
  <c r="S3132" i="1" s="1"/>
  <c r="N3133" i="1"/>
  <c r="S3133" i="1" s="1"/>
  <c r="N3137" i="1"/>
  <c r="S3137" i="1" s="1"/>
  <c r="N3140" i="1"/>
  <c r="S3140" i="1" s="1"/>
  <c r="N3141" i="1"/>
  <c r="S3141" i="1" s="1"/>
  <c r="N3148" i="1"/>
  <c r="S3148" i="1" s="1"/>
  <c r="N3149" i="1"/>
  <c r="S3149" i="1" s="1"/>
  <c r="N3151" i="1"/>
  <c r="S3151" i="1" s="1"/>
  <c r="N3153" i="1"/>
  <c r="S3153" i="1" s="1"/>
  <c r="N3156" i="1"/>
  <c r="S3156" i="1" s="1"/>
  <c r="N3157" i="1"/>
  <c r="S3157" i="1" s="1"/>
  <c r="N3158" i="1"/>
  <c r="S3158" i="1" s="1"/>
  <c r="N3164" i="1"/>
  <c r="S3164" i="1" s="1"/>
  <c r="N3165" i="1"/>
  <c r="S3165" i="1" s="1"/>
  <c r="N3169" i="1"/>
  <c r="S3169" i="1" s="1"/>
  <c r="N3172" i="1"/>
  <c r="S3172" i="1" s="1"/>
  <c r="N3173" i="1"/>
  <c r="S3173" i="1" s="1"/>
  <c r="N3180" i="1"/>
  <c r="S3180" i="1" s="1"/>
  <c r="N3181" i="1"/>
  <c r="S3181" i="1" s="1"/>
  <c r="N3183" i="1"/>
  <c r="S3183" i="1" s="1"/>
  <c r="N3185" i="1"/>
  <c r="S3185" i="1" s="1"/>
  <c r="N3188" i="1"/>
  <c r="S3188" i="1" s="1"/>
  <c r="N3189" i="1"/>
  <c r="S3189" i="1" s="1"/>
  <c r="N3190" i="1"/>
  <c r="S3190" i="1" s="1"/>
  <c r="N3196" i="1"/>
  <c r="S3196" i="1" s="1"/>
  <c r="N3197" i="1"/>
  <c r="S3197" i="1" s="1"/>
  <c r="N3201" i="1"/>
  <c r="S3201" i="1" s="1"/>
  <c r="N3204" i="1"/>
  <c r="S3204" i="1" s="1"/>
  <c r="N3205" i="1"/>
  <c r="S3205" i="1" s="1"/>
  <c r="N3212" i="1"/>
  <c r="S3212" i="1" s="1"/>
  <c r="N3213" i="1"/>
  <c r="S3213" i="1" s="1"/>
  <c r="N3215" i="1"/>
  <c r="S3215" i="1" s="1"/>
  <c r="N3217" i="1"/>
  <c r="S3217" i="1" s="1"/>
  <c r="N3220" i="1"/>
  <c r="S3220" i="1" s="1"/>
  <c r="N3221" i="1"/>
  <c r="S3221" i="1" s="1"/>
  <c r="N3222" i="1"/>
  <c r="S3222" i="1" s="1"/>
  <c r="N3228" i="1"/>
  <c r="S3228" i="1" s="1"/>
  <c r="N3229" i="1"/>
  <c r="S3229" i="1" s="1"/>
  <c r="N3233" i="1"/>
  <c r="S3233" i="1" s="1"/>
  <c r="N3236" i="1"/>
  <c r="S3236" i="1" s="1"/>
  <c r="N3237" i="1"/>
  <c r="S3237" i="1" s="1"/>
  <c r="N3244" i="1"/>
  <c r="S3244" i="1" s="1"/>
  <c r="N3245" i="1"/>
  <c r="S3245" i="1" s="1"/>
  <c r="N3247" i="1"/>
  <c r="S3247" i="1" s="1"/>
  <c r="N3249" i="1"/>
  <c r="S3249" i="1" s="1"/>
  <c r="N3252" i="1"/>
  <c r="S3252" i="1" s="1"/>
  <c r="N3253" i="1"/>
  <c r="S3253" i="1" s="1"/>
  <c r="N3254" i="1"/>
  <c r="N3260" i="1"/>
  <c r="S3260" i="1" s="1"/>
  <c r="N3261" i="1"/>
  <c r="S3261" i="1" s="1"/>
  <c r="N3265" i="1"/>
  <c r="S3265" i="1" s="1"/>
  <c r="N3268" i="1"/>
  <c r="S3268" i="1" s="1"/>
  <c r="N3269" i="1"/>
  <c r="S3269" i="1" s="1"/>
  <c r="N3276" i="1"/>
  <c r="S3276" i="1" s="1"/>
  <c r="N3277" i="1"/>
  <c r="S3277" i="1" s="1"/>
  <c r="N3279" i="1"/>
  <c r="S3279" i="1" s="1"/>
  <c r="N3281" i="1"/>
  <c r="S3281" i="1" s="1"/>
  <c r="N3284" i="1"/>
  <c r="S3284" i="1" s="1"/>
  <c r="N3285" i="1"/>
  <c r="S3285" i="1" s="1"/>
  <c r="N3286" i="1"/>
  <c r="S3286" i="1" s="1"/>
  <c r="N3292" i="1"/>
  <c r="S3292" i="1" s="1"/>
  <c r="N3293" i="1"/>
  <c r="S3293" i="1" s="1"/>
  <c r="N3297" i="1"/>
  <c r="S3297" i="1" s="1"/>
  <c r="N3300" i="1"/>
  <c r="S3300" i="1" s="1"/>
  <c r="N3301" i="1"/>
  <c r="S3301" i="1" s="1"/>
  <c r="N3308" i="1"/>
  <c r="S3308" i="1" s="1"/>
  <c r="N3309" i="1"/>
  <c r="S3309" i="1" s="1"/>
  <c r="N3311" i="1"/>
  <c r="S3311" i="1" s="1"/>
  <c r="N3313" i="1"/>
  <c r="S3313" i="1" s="1"/>
  <c r="N3316" i="1"/>
  <c r="S3316" i="1" s="1"/>
  <c r="N3317" i="1"/>
  <c r="S3317" i="1" s="1"/>
  <c r="N3318" i="1"/>
  <c r="S3318" i="1" s="1"/>
  <c r="N3324" i="1"/>
  <c r="S3324" i="1" s="1"/>
  <c r="N3325" i="1"/>
  <c r="S3325" i="1" s="1"/>
  <c r="N3329" i="1"/>
  <c r="S3329" i="1" s="1"/>
  <c r="N3332" i="1"/>
  <c r="S3332" i="1" s="1"/>
  <c r="N3333" i="1"/>
  <c r="S3333" i="1" s="1"/>
  <c r="N3340" i="1"/>
  <c r="S3340" i="1" s="1"/>
  <c r="N3341" i="1"/>
  <c r="S3341" i="1" s="1"/>
  <c r="N3343" i="1"/>
  <c r="S3343" i="1" s="1"/>
  <c r="N3345" i="1"/>
  <c r="S3345" i="1" s="1"/>
  <c r="N3348" i="1"/>
  <c r="S3348" i="1" s="1"/>
  <c r="N3349" i="1"/>
  <c r="S3349" i="1" s="1"/>
  <c r="N3350" i="1"/>
  <c r="S3350" i="1" s="1"/>
  <c r="N3356" i="1"/>
  <c r="S3356" i="1" s="1"/>
  <c r="N3357" i="1"/>
  <c r="S3357" i="1" s="1"/>
  <c r="N3361" i="1"/>
  <c r="S3361" i="1" s="1"/>
  <c r="N3364" i="1"/>
  <c r="S3364" i="1" s="1"/>
  <c r="N3365" i="1"/>
  <c r="S3365" i="1" s="1"/>
  <c r="N3372" i="1"/>
  <c r="S3372" i="1" s="1"/>
  <c r="N3373" i="1"/>
  <c r="S3373" i="1" s="1"/>
  <c r="N3375" i="1"/>
  <c r="S3375" i="1" s="1"/>
  <c r="N3377" i="1"/>
  <c r="S3377" i="1" s="1"/>
  <c r="N3380" i="1"/>
  <c r="S3380" i="1" s="1"/>
  <c r="N3381" i="1"/>
  <c r="S3381" i="1" s="1"/>
  <c r="N3382" i="1"/>
  <c r="S3382" i="1" s="1"/>
  <c r="N3388" i="1"/>
  <c r="S3388" i="1" s="1"/>
  <c r="N3389" i="1"/>
  <c r="N3393" i="1"/>
  <c r="S3393" i="1" s="1"/>
  <c r="N3396" i="1"/>
  <c r="S3396" i="1" s="1"/>
  <c r="N3397" i="1"/>
  <c r="S3397" i="1" s="1"/>
  <c r="N3404" i="1"/>
  <c r="S3404" i="1" s="1"/>
  <c r="N3405" i="1"/>
  <c r="N3407" i="1"/>
  <c r="S3407" i="1" s="1"/>
  <c r="N3409" i="1"/>
  <c r="S3409" i="1" s="1"/>
  <c r="M2893" i="1"/>
  <c r="M2894" i="1"/>
  <c r="N2894" i="1" s="1"/>
  <c r="S2894" i="1" s="1"/>
  <c r="M2895" i="1"/>
  <c r="M2896" i="1"/>
  <c r="N2896" i="1" s="1"/>
  <c r="S2896" i="1" s="1"/>
  <c r="M2897" i="1"/>
  <c r="M2898" i="1"/>
  <c r="N2898" i="1" s="1"/>
  <c r="M2899" i="1"/>
  <c r="N2899" i="1" s="1"/>
  <c r="M2900" i="1"/>
  <c r="M2901" i="1"/>
  <c r="M2902" i="1"/>
  <c r="M2903" i="1"/>
  <c r="N2903" i="1" s="1"/>
  <c r="S2903" i="1" s="1"/>
  <c r="M2904" i="1"/>
  <c r="N2904" i="1" s="1"/>
  <c r="M2905" i="1"/>
  <c r="N2905" i="1" s="1"/>
  <c r="M2906" i="1"/>
  <c r="N2906" i="1" s="1"/>
  <c r="S2906" i="1" s="1"/>
  <c r="M2907" i="1"/>
  <c r="N2907" i="1" s="1"/>
  <c r="S2907" i="1" s="1"/>
  <c r="M2908" i="1"/>
  <c r="M2909" i="1"/>
  <c r="M2910" i="1"/>
  <c r="N2910" i="1" s="1"/>
  <c r="S2910" i="1" s="1"/>
  <c r="M2911" i="1"/>
  <c r="M2912" i="1"/>
  <c r="N2912" i="1" s="1"/>
  <c r="M2913" i="1"/>
  <c r="M2914" i="1"/>
  <c r="N2914" i="1" s="1"/>
  <c r="S2914" i="1" s="1"/>
  <c r="M2915" i="1"/>
  <c r="N2915" i="1" s="1"/>
  <c r="S2915" i="1" s="1"/>
  <c r="M2916" i="1"/>
  <c r="M2917" i="1"/>
  <c r="M2918" i="1"/>
  <c r="N2918" i="1" s="1"/>
  <c r="S2918" i="1" s="1"/>
  <c r="M2919" i="1"/>
  <c r="N2919" i="1" s="1"/>
  <c r="M2920" i="1"/>
  <c r="N2920" i="1" s="1"/>
  <c r="S2920" i="1" s="1"/>
  <c r="M2921" i="1"/>
  <c r="N2921" i="1" s="1"/>
  <c r="S2921" i="1" s="1"/>
  <c r="M2922" i="1"/>
  <c r="N2922" i="1" s="1"/>
  <c r="S2922" i="1" s="1"/>
  <c r="M2923" i="1"/>
  <c r="N2923" i="1" s="1"/>
  <c r="S2923" i="1" s="1"/>
  <c r="M2924" i="1"/>
  <c r="M2925" i="1"/>
  <c r="M2926" i="1"/>
  <c r="N2926" i="1" s="1"/>
  <c r="S2926" i="1" s="1"/>
  <c r="M2927" i="1"/>
  <c r="M2928" i="1"/>
  <c r="N2928" i="1" s="1"/>
  <c r="S2928" i="1" s="1"/>
  <c r="M2929" i="1"/>
  <c r="M2930" i="1"/>
  <c r="N2930" i="1" s="1"/>
  <c r="M2931" i="1"/>
  <c r="N2931" i="1" s="1"/>
  <c r="S2931" i="1" s="1"/>
  <c r="M2932" i="1"/>
  <c r="M2933" i="1"/>
  <c r="M2934" i="1"/>
  <c r="M2935" i="1"/>
  <c r="N2935" i="1" s="1"/>
  <c r="M2936" i="1"/>
  <c r="N2936" i="1" s="1"/>
  <c r="M2937" i="1"/>
  <c r="N2937" i="1" s="1"/>
  <c r="S2937" i="1" s="1"/>
  <c r="M2938" i="1"/>
  <c r="N2938" i="1" s="1"/>
  <c r="S2938" i="1" s="1"/>
  <c r="M2939" i="1"/>
  <c r="N2939" i="1" s="1"/>
  <c r="S2939" i="1" s="1"/>
  <c r="M2940" i="1"/>
  <c r="M2941" i="1"/>
  <c r="M2942" i="1"/>
  <c r="N2942" i="1" s="1"/>
  <c r="S2942" i="1" s="1"/>
  <c r="M2943" i="1"/>
  <c r="N2943" i="1" s="1"/>
  <c r="S2943" i="1" s="1"/>
  <c r="M2944" i="1"/>
  <c r="N2944" i="1" s="1"/>
  <c r="S2944" i="1" s="1"/>
  <c r="M2945" i="1"/>
  <c r="M2946" i="1"/>
  <c r="N2946" i="1" s="1"/>
  <c r="S2946" i="1" s="1"/>
  <c r="M2947" i="1"/>
  <c r="N2947" i="1" s="1"/>
  <c r="S2947" i="1" s="1"/>
  <c r="M2948" i="1"/>
  <c r="M2949" i="1"/>
  <c r="M2950" i="1"/>
  <c r="N2950" i="1" s="1"/>
  <c r="S2950" i="1" s="1"/>
  <c r="M2951" i="1"/>
  <c r="N2951" i="1" s="1"/>
  <c r="M2952" i="1"/>
  <c r="N2952" i="1" s="1"/>
  <c r="S2952" i="1" s="1"/>
  <c r="M2953" i="1"/>
  <c r="N2953" i="1" s="1"/>
  <c r="M2954" i="1"/>
  <c r="N2954" i="1" s="1"/>
  <c r="S2954" i="1" s="1"/>
  <c r="M2955" i="1"/>
  <c r="N2955" i="1" s="1"/>
  <c r="M2956" i="1"/>
  <c r="M2957" i="1"/>
  <c r="M2958" i="1"/>
  <c r="N2958" i="1" s="1"/>
  <c r="S2958" i="1" s="1"/>
  <c r="M2959" i="1"/>
  <c r="M2960" i="1"/>
  <c r="N2960" i="1" s="1"/>
  <c r="S2960" i="1" s="1"/>
  <c r="M2961" i="1"/>
  <c r="M2962" i="1"/>
  <c r="N2962" i="1" s="1"/>
  <c r="S2962" i="1" s="1"/>
  <c r="M2963" i="1"/>
  <c r="N2963" i="1" s="1"/>
  <c r="M2964" i="1"/>
  <c r="M2965" i="1"/>
  <c r="M2966" i="1"/>
  <c r="M2967" i="1"/>
  <c r="N2967" i="1" s="1"/>
  <c r="S2967" i="1" s="1"/>
  <c r="M2968" i="1"/>
  <c r="N2968" i="1" s="1"/>
  <c r="S2968" i="1" s="1"/>
  <c r="M2969" i="1"/>
  <c r="N2969" i="1" s="1"/>
  <c r="M2970" i="1"/>
  <c r="N2970" i="1" s="1"/>
  <c r="S2970" i="1" s="1"/>
  <c r="M2971" i="1"/>
  <c r="N2971" i="1" s="1"/>
  <c r="S2971" i="1" s="1"/>
  <c r="M2972" i="1"/>
  <c r="M2973" i="1"/>
  <c r="M2974" i="1"/>
  <c r="N2974" i="1" s="1"/>
  <c r="M2975" i="1"/>
  <c r="N2975" i="1" s="1"/>
  <c r="S2975" i="1" s="1"/>
  <c r="M2976" i="1"/>
  <c r="N2976" i="1" s="1"/>
  <c r="S2976" i="1" s="1"/>
  <c r="M2977" i="1"/>
  <c r="M2978" i="1"/>
  <c r="N2978" i="1" s="1"/>
  <c r="M2979" i="1"/>
  <c r="N2979" i="1" s="1"/>
  <c r="S2979" i="1" s="1"/>
  <c r="M2980" i="1"/>
  <c r="M2981" i="1"/>
  <c r="M2982" i="1"/>
  <c r="N2982" i="1" s="1"/>
  <c r="S2982" i="1" s="1"/>
  <c r="M2983" i="1"/>
  <c r="N2983" i="1" s="1"/>
  <c r="S2983" i="1" s="1"/>
  <c r="M2984" i="1"/>
  <c r="N2984" i="1" s="1"/>
  <c r="S2984" i="1" s="1"/>
  <c r="M2985" i="1"/>
  <c r="N2985" i="1" s="1"/>
  <c r="S2985" i="1" s="1"/>
  <c r="M2986" i="1"/>
  <c r="N2986" i="1" s="1"/>
  <c r="M2987" i="1"/>
  <c r="N2987" i="1" s="1"/>
  <c r="S2987" i="1" s="1"/>
  <c r="M2988" i="1"/>
  <c r="M2989" i="1"/>
  <c r="M2990" i="1"/>
  <c r="N2990" i="1" s="1"/>
  <c r="S2990" i="1" s="1"/>
  <c r="M2991" i="1"/>
  <c r="M2992" i="1"/>
  <c r="N2992" i="1" s="1"/>
  <c r="S2992" i="1" s="1"/>
  <c r="M2993" i="1"/>
  <c r="M2994" i="1"/>
  <c r="N2994" i="1" s="1"/>
  <c r="S2994" i="1" s="1"/>
  <c r="M2995" i="1"/>
  <c r="N2995" i="1" s="1"/>
  <c r="S2995" i="1" s="1"/>
  <c r="M2996" i="1"/>
  <c r="M2997" i="1"/>
  <c r="M2998" i="1"/>
  <c r="M2999" i="1"/>
  <c r="N2999" i="1" s="1"/>
  <c r="S2999" i="1" s="1"/>
  <c r="M3000" i="1"/>
  <c r="N3000" i="1" s="1"/>
  <c r="S3000" i="1" s="1"/>
  <c r="M3001" i="1"/>
  <c r="N3001" i="1" s="1"/>
  <c r="S3001" i="1" s="1"/>
  <c r="M3002" i="1"/>
  <c r="N3002" i="1" s="1"/>
  <c r="S3002" i="1" s="1"/>
  <c r="M3003" i="1"/>
  <c r="N3003" i="1" s="1"/>
  <c r="S3003" i="1" s="1"/>
  <c r="M3004" i="1"/>
  <c r="M3005" i="1"/>
  <c r="M3006" i="1"/>
  <c r="N3006" i="1" s="1"/>
  <c r="S3006" i="1" s="1"/>
  <c r="M3007" i="1"/>
  <c r="N3007" i="1" s="1"/>
  <c r="S3007" i="1" s="1"/>
  <c r="M3008" i="1"/>
  <c r="N3008" i="1" s="1"/>
  <c r="S3008" i="1" s="1"/>
  <c r="M3009" i="1"/>
  <c r="M3010" i="1"/>
  <c r="N3010" i="1" s="1"/>
  <c r="S3010" i="1" s="1"/>
  <c r="M3011" i="1"/>
  <c r="N3011" i="1" s="1"/>
  <c r="S3011" i="1" s="1"/>
  <c r="M3012" i="1"/>
  <c r="M3013" i="1"/>
  <c r="M3014" i="1"/>
  <c r="N3014" i="1" s="1"/>
  <c r="S3014" i="1" s="1"/>
  <c r="M3015" i="1"/>
  <c r="N3015" i="1" s="1"/>
  <c r="S3015" i="1" s="1"/>
  <c r="M3016" i="1"/>
  <c r="N3016" i="1" s="1"/>
  <c r="S3016" i="1" s="1"/>
  <c r="M3017" i="1"/>
  <c r="N3017" i="1" s="1"/>
  <c r="S3017" i="1" s="1"/>
  <c r="M3018" i="1"/>
  <c r="N3018" i="1" s="1"/>
  <c r="S3018" i="1" s="1"/>
  <c r="M3019" i="1"/>
  <c r="N3019" i="1" s="1"/>
  <c r="S3019" i="1" s="1"/>
  <c r="M3020" i="1"/>
  <c r="M3021" i="1"/>
  <c r="M3022" i="1"/>
  <c r="N3022" i="1" s="1"/>
  <c r="S3022" i="1" s="1"/>
  <c r="M3023" i="1"/>
  <c r="M3024" i="1"/>
  <c r="N3024" i="1" s="1"/>
  <c r="S3024" i="1" s="1"/>
  <c r="M3025" i="1"/>
  <c r="M3026" i="1"/>
  <c r="N3026" i="1" s="1"/>
  <c r="S3026" i="1" s="1"/>
  <c r="M3027" i="1"/>
  <c r="N3027" i="1" s="1"/>
  <c r="S3027" i="1" s="1"/>
  <c r="M3028" i="1"/>
  <c r="M3029" i="1"/>
  <c r="M3030" i="1"/>
  <c r="M3031" i="1"/>
  <c r="N3031" i="1" s="1"/>
  <c r="S3031" i="1" s="1"/>
  <c r="M3032" i="1"/>
  <c r="N3032" i="1" s="1"/>
  <c r="S3032" i="1" s="1"/>
  <c r="M3033" i="1"/>
  <c r="N3033" i="1" s="1"/>
  <c r="S3033" i="1" s="1"/>
  <c r="M3034" i="1"/>
  <c r="N3034" i="1" s="1"/>
  <c r="S3034" i="1" s="1"/>
  <c r="M3035" i="1"/>
  <c r="N3035" i="1" s="1"/>
  <c r="S3035" i="1" s="1"/>
  <c r="M3036" i="1"/>
  <c r="M3037" i="1"/>
  <c r="M3038" i="1"/>
  <c r="N3038" i="1" s="1"/>
  <c r="S3038" i="1" s="1"/>
  <c r="M3039" i="1"/>
  <c r="N3039" i="1" s="1"/>
  <c r="S3039" i="1" s="1"/>
  <c r="M3040" i="1"/>
  <c r="N3040" i="1" s="1"/>
  <c r="S3040" i="1" s="1"/>
  <c r="M3041" i="1"/>
  <c r="M3042" i="1"/>
  <c r="N3042" i="1" s="1"/>
  <c r="S3042" i="1" s="1"/>
  <c r="M3043" i="1"/>
  <c r="N3043" i="1" s="1"/>
  <c r="S3043" i="1" s="1"/>
  <c r="M3044" i="1"/>
  <c r="M3045" i="1"/>
  <c r="M3046" i="1"/>
  <c r="N3046" i="1" s="1"/>
  <c r="S3046" i="1" s="1"/>
  <c r="M3047" i="1"/>
  <c r="N3047" i="1" s="1"/>
  <c r="S3047" i="1" s="1"/>
  <c r="M3048" i="1"/>
  <c r="N3048" i="1" s="1"/>
  <c r="S3048" i="1" s="1"/>
  <c r="M3049" i="1"/>
  <c r="N3049" i="1" s="1"/>
  <c r="S3049" i="1" s="1"/>
  <c r="M3050" i="1"/>
  <c r="N3050" i="1" s="1"/>
  <c r="S3050" i="1" s="1"/>
  <c r="M3051" i="1"/>
  <c r="N3051" i="1" s="1"/>
  <c r="S3051" i="1" s="1"/>
  <c r="M3052" i="1"/>
  <c r="M3053" i="1"/>
  <c r="M3054" i="1"/>
  <c r="N3054" i="1" s="1"/>
  <c r="S3054" i="1" s="1"/>
  <c r="M3055" i="1"/>
  <c r="M3056" i="1"/>
  <c r="N3056" i="1" s="1"/>
  <c r="S3056" i="1" s="1"/>
  <c r="M3057" i="1"/>
  <c r="M3058" i="1"/>
  <c r="N3058" i="1" s="1"/>
  <c r="S3058" i="1" s="1"/>
  <c r="M3059" i="1"/>
  <c r="N3059" i="1" s="1"/>
  <c r="S3059" i="1" s="1"/>
  <c r="M3060" i="1"/>
  <c r="M3061" i="1"/>
  <c r="M3062" i="1"/>
  <c r="M3063" i="1"/>
  <c r="N3063" i="1" s="1"/>
  <c r="M3064" i="1"/>
  <c r="N3064" i="1" s="1"/>
  <c r="S3064" i="1" s="1"/>
  <c r="M3065" i="1"/>
  <c r="N3065" i="1" s="1"/>
  <c r="S3065" i="1" s="1"/>
  <c r="M3066" i="1"/>
  <c r="N3066" i="1" s="1"/>
  <c r="S3066" i="1" s="1"/>
  <c r="M3067" i="1"/>
  <c r="N3067" i="1" s="1"/>
  <c r="S3067" i="1" s="1"/>
  <c r="M3068" i="1"/>
  <c r="M3069" i="1"/>
  <c r="M3070" i="1"/>
  <c r="N3070" i="1" s="1"/>
  <c r="S3070" i="1" s="1"/>
  <c r="M3071" i="1"/>
  <c r="N3071" i="1" s="1"/>
  <c r="S3071" i="1" s="1"/>
  <c r="M3072" i="1"/>
  <c r="N3072" i="1" s="1"/>
  <c r="S3072" i="1" s="1"/>
  <c r="M3073" i="1"/>
  <c r="M3074" i="1"/>
  <c r="N3074" i="1" s="1"/>
  <c r="S3074" i="1" s="1"/>
  <c r="M3075" i="1"/>
  <c r="N3075" i="1" s="1"/>
  <c r="S3075" i="1" s="1"/>
  <c r="M3076" i="1"/>
  <c r="M3077" i="1"/>
  <c r="M3078" i="1"/>
  <c r="N3078" i="1" s="1"/>
  <c r="S3078" i="1" s="1"/>
  <c r="M3079" i="1"/>
  <c r="N3079" i="1" s="1"/>
  <c r="S3079" i="1" s="1"/>
  <c r="M3080" i="1"/>
  <c r="N3080" i="1" s="1"/>
  <c r="S3080" i="1" s="1"/>
  <c r="M3081" i="1"/>
  <c r="N3081" i="1" s="1"/>
  <c r="S3081" i="1" s="1"/>
  <c r="M3082" i="1"/>
  <c r="N3082" i="1" s="1"/>
  <c r="S3082" i="1" s="1"/>
  <c r="M3083" i="1"/>
  <c r="N3083" i="1" s="1"/>
  <c r="S3083" i="1" s="1"/>
  <c r="M3084" i="1"/>
  <c r="M3085" i="1"/>
  <c r="M3086" i="1"/>
  <c r="N3086" i="1" s="1"/>
  <c r="S3086" i="1" s="1"/>
  <c r="M3087" i="1"/>
  <c r="M3088" i="1"/>
  <c r="N3088" i="1" s="1"/>
  <c r="S3088" i="1" s="1"/>
  <c r="M3089" i="1"/>
  <c r="M3090" i="1"/>
  <c r="N3090" i="1" s="1"/>
  <c r="S3090" i="1" s="1"/>
  <c r="M3091" i="1"/>
  <c r="N3091" i="1" s="1"/>
  <c r="S3091" i="1" s="1"/>
  <c r="M3092" i="1"/>
  <c r="M3093" i="1"/>
  <c r="M3094" i="1"/>
  <c r="M3095" i="1"/>
  <c r="N3095" i="1" s="1"/>
  <c r="S3095" i="1" s="1"/>
  <c r="M3096" i="1"/>
  <c r="N3096" i="1" s="1"/>
  <c r="S3096" i="1" s="1"/>
  <c r="M3097" i="1"/>
  <c r="N3097" i="1" s="1"/>
  <c r="S3097" i="1" s="1"/>
  <c r="M3098" i="1"/>
  <c r="N3098" i="1" s="1"/>
  <c r="S3098" i="1" s="1"/>
  <c r="M3099" i="1"/>
  <c r="N3099" i="1" s="1"/>
  <c r="S3099" i="1" s="1"/>
  <c r="M3100" i="1"/>
  <c r="M3101" i="1"/>
  <c r="M3102" i="1"/>
  <c r="N3102" i="1" s="1"/>
  <c r="S3102" i="1" s="1"/>
  <c r="M3103" i="1"/>
  <c r="N3103" i="1" s="1"/>
  <c r="S3103" i="1" s="1"/>
  <c r="M3104" i="1"/>
  <c r="N3104" i="1" s="1"/>
  <c r="S3104" i="1" s="1"/>
  <c r="M3105" i="1"/>
  <c r="M3106" i="1"/>
  <c r="N3106" i="1" s="1"/>
  <c r="S3106" i="1" s="1"/>
  <c r="M3107" i="1"/>
  <c r="N3107" i="1" s="1"/>
  <c r="S3107" i="1" s="1"/>
  <c r="M3108" i="1"/>
  <c r="M3109" i="1"/>
  <c r="M3110" i="1"/>
  <c r="N3110" i="1" s="1"/>
  <c r="M3111" i="1"/>
  <c r="N3111" i="1" s="1"/>
  <c r="S3111" i="1" s="1"/>
  <c r="M3112" i="1"/>
  <c r="N3112" i="1" s="1"/>
  <c r="S3112" i="1" s="1"/>
  <c r="M3113" i="1"/>
  <c r="N3113" i="1" s="1"/>
  <c r="S3113" i="1" s="1"/>
  <c r="M3114" i="1"/>
  <c r="N3114" i="1" s="1"/>
  <c r="S3114" i="1" s="1"/>
  <c r="M3115" i="1"/>
  <c r="N3115" i="1" s="1"/>
  <c r="S3115" i="1" s="1"/>
  <c r="M3116" i="1"/>
  <c r="M3117" i="1"/>
  <c r="M3118" i="1"/>
  <c r="N3118" i="1" s="1"/>
  <c r="S3118" i="1" s="1"/>
  <c r="M3119" i="1"/>
  <c r="M3120" i="1"/>
  <c r="N3120" i="1" s="1"/>
  <c r="S3120" i="1" s="1"/>
  <c r="M3121" i="1"/>
  <c r="M3122" i="1"/>
  <c r="N3122" i="1" s="1"/>
  <c r="S3122" i="1" s="1"/>
  <c r="M3123" i="1"/>
  <c r="N3123" i="1" s="1"/>
  <c r="S3123" i="1" s="1"/>
  <c r="M3124" i="1"/>
  <c r="M3125" i="1"/>
  <c r="M3126" i="1"/>
  <c r="M3127" i="1"/>
  <c r="N3127" i="1" s="1"/>
  <c r="S3127" i="1" s="1"/>
  <c r="M3128" i="1"/>
  <c r="N3128" i="1" s="1"/>
  <c r="S3128" i="1" s="1"/>
  <c r="M3129" i="1"/>
  <c r="N3129" i="1" s="1"/>
  <c r="S3129" i="1" s="1"/>
  <c r="M3130" i="1"/>
  <c r="N3130" i="1" s="1"/>
  <c r="S3130" i="1" s="1"/>
  <c r="M3131" i="1"/>
  <c r="N3131" i="1" s="1"/>
  <c r="S3131" i="1" s="1"/>
  <c r="M3132" i="1"/>
  <c r="M3133" i="1"/>
  <c r="M3134" i="1"/>
  <c r="N3134" i="1" s="1"/>
  <c r="S3134" i="1" s="1"/>
  <c r="M3135" i="1"/>
  <c r="N3135" i="1" s="1"/>
  <c r="S3135" i="1" s="1"/>
  <c r="M3136" i="1"/>
  <c r="N3136" i="1" s="1"/>
  <c r="S3136" i="1" s="1"/>
  <c r="M3137" i="1"/>
  <c r="M3138" i="1"/>
  <c r="N3138" i="1" s="1"/>
  <c r="S3138" i="1" s="1"/>
  <c r="M3139" i="1"/>
  <c r="N3139" i="1" s="1"/>
  <c r="S3139" i="1" s="1"/>
  <c r="M3140" i="1"/>
  <c r="M3141" i="1"/>
  <c r="M3142" i="1"/>
  <c r="N3142" i="1" s="1"/>
  <c r="S3142" i="1" s="1"/>
  <c r="M3143" i="1"/>
  <c r="N3143" i="1" s="1"/>
  <c r="S3143" i="1" s="1"/>
  <c r="M3144" i="1"/>
  <c r="N3144" i="1" s="1"/>
  <c r="S3144" i="1" s="1"/>
  <c r="M3145" i="1"/>
  <c r="N3145" i="1" s="1"/>
  <c r="S3145" i="1" s="1"/>
  <c r="M3146" i="1"/>
  <c r="N3146" i="1" s="1"/>
  <c r="S3146" i="1" s="1"/>
  <c r="M3147" i="1"/>
  <c r="N3147" i="1" s="1"/>
  <c r="S3147" i="1" s="1"/>
  <c r="M3148" i="1"/>
  <c r="M3149" i="1"/>
  <c r="M3150" i="1"/>
  <c r="N3150" i="1" s="1"/>
  <c r="S3150" i="1" s="1"/>
  <c r="M3151" i="1"/>
  <c r="M3152" i="1"/>
  <c r="N3152" i="1" s="1"/>
  <c r="S3152" i="1" s="1"/>
  <c r="M3153" i="1"/>
  <c r="M3154" i="1"/>
  <c r="N3154" i="1" s="1"/>
  <c r="S3154" i="1" s="1"/>
  <c r="M3155" i="1"/>
  <c r="N3155" i="1" s="1"/>
  <c r="S3155" i="1" s="1"/>
  <c r="M3156" i="1"/>
  <c r="M3157" i="1"/>
  <c r="M3158" i="1"/>
  <c r="M3159" i="1"/>
  <c r="N3159" i="1" s="1"/>
  <c r="S3159" i="1" s="1"/>
  <c r="M3160" i="1"/>
  <c r="N3160" i="1" s="1"/>
  <c r="S3160" i="1" s="1"/>
  <c r="M3161" i="1"/>
  <c r="N3161" i="1" s="1"/>
  <c r="S3161" i="1" s="1"/>
  <c r="M3162" i="1"/>
  <c r="N3162" i="1" s="1"/>
  <c r="S3162" i="1" s="1"/>
  <c r="M3163" i="1"/>
  <c r="N3163" i="1" s="1"/>
  <c r="S3163" i="1" s="1"/>
  <c r="M3164" i="1"/>
  <c r="M3165" i="1"/>
  <c r="M3166" i="1"/>
  <c r="N3166" i="1" s="1"/>
  <c r="S3166" i="1" s="1"/>
  <c r="M3167" i="1"/>
  <c r="N3167" i="1" s="1"/>
  <c r="S3167" i="1" s="1"/>
  <c r="M3168" i="1"/>
  <c r="N3168" i="1" s="1"/>
  <c r="S3168" i="1" s="1"/>
  <c r="M3169" i="1"/>
  <c r="M3170" i="1"/>
  <c r="N3170" i="1" s="1"/>
  <c r="S3170" i="1" s="1"/>
  <c r="M3171" i="1"/>
  <c r="N3171" i="1" s="1"/>
  <c r="S3171" i="1" s="1"/>
  <c r="M3172" i="1"/>
  <c r="M3173" i="1"/>
  <c r="M3174" i="1"/>
  <c r="N3174" i="1" s="1"/>
  <c r="S3174" i="1" s="1"/>
  <c r="M3175" i="1"/>
  <c r="N3175" i="1" s="1"/>
  <c r="S3175" i="1" s="1"/>
  <c r="M3176" i="1"/>
  <c r="N3176" i="1" s="1"/>
  <c r="S3176" i="1" s="1"/>
  <c r="M3177" i="1"/>
  <c r="N3177" i="1" s="1"/>
  <c r="S3177" i="1" s="1"/>
  <c r="M3178" i="1"/>
  <c r="N3178" i="1" s="1"/>
  <c r="S3178" i="1" s="1"/>
  <c r="M3179" i="1"/>
  <c r="N3179" i="1" s="1"/>
  <c r="S3179" i="1" s="1"/>
  <c r="M3180" i="1"/>
  <c r="M3181" i="1"/>
  <c r="M3182" i="1"/>
  <c r="N3182" i="1" s="1"/>
  <c r="S3182" i="1" s="1"/>
  <c r="M3183" i="1"/>
  <c r="M3184" i="1"/>
  <c r="N3184" i="1" s="1"/>
  <c r="S3184" i="1" s="1"/>
  <c r="M3185" i="1"/>
  <c r="M3186" i="1"/>
  <c r="N3186" i="1" s="1"/>
  <c r="S3186" i="1" s="1"/>
  <c r="M3187" i="1"/>
  <c r="N3187" i="1" s="1"/>
  <c r="S3187" i="1" s="1"/>
  <c r="M3188" i="1"/>
  <c r="M3189" i="1"/>
  <c r="M3190" i="1"/>
  <c r="M3191" i="1"/>
  <c r="N3191" i="1" s="1"/>
  <c r="S3191" i="1" s="1"/>
  <c r="M3192" i="1"/>
  <c r="N3192" i="1" s="1"/>
  <c r="S3192" i="1" s="1"/>
  <c r="M3193" i="1"/>
  <c r="N3193" i="1" s="1"/>
  <c r="S3193" i="1" s="1"/>
  <c r="M3194" i="1"/>
  <c r="N3194" i="1" s="1"/>
  <c r="S3194" i="1" s="1"/>
  <c r="M3195" i="1"/>
  <c r="N3195" i="1" s="1"/>
  <c r="S3195" i="1" s="1"/>
  <c r="M3196" i="1"/>
  <c r="M3197" i="1"/>
  <c r="M3198" i="1"/>
  <c r="N3198" i="1" s="1"/>
  <c r="S3198" i="1" s="1"/>
  <c r="M3199" i="1"/>
  <c r="N3199" i="1" s="1"/>
  <c r="S3199" i="1" s="1"/>
  <c r="M3200" i="1"/>
  <c r="N3200" i="1" s="1"/>
  <c r="S3200" i="1" s="1"/>
  <c r="M3201" i="1"/>
  <c r="M3202" i="1"/>
  <c r="N3202" i="1" s="1"/>
  <c r="S3202" i="1" s="1"/>
  <c r="M3203" i="1"/>
  <c r="N3203" i="1" s="1"/>
  <c r="M3204" i="1"/>
  <c r="M3205" i="1"/>
  <c r="M3206" i="1"/>
  <c r="N3206" i="1" s="1"/>
  <c r="S3206" i="1" s="1"/>
  <c r="M3207" i="1"/>
  <c r="N3207" i="1" s="1"/>
  <c r="S3207" i="1" s="1"/>
  <c r="M3208" i="1"/>
  <c r="N3208" i="1" s="1"/>
  <c r="S3208" i="1" s="1"/>
  <c r="M3209" i="1"/>
  <c r="N3209" i="1" s="1"/>
  <c r="S3209" i="1" s="1"/>
  <c r="M3210" i="1"/>
  <c r="N3210" i="1" s="1"/>
  <c r="S3210" i="1" s="1"/>
  <c r="M3211" i="1"/>
  <c r="N3211" i="1" s="1"/>
  <c r="S3211" i="1" s="1"/>
  <c r="M3212" i="1"/>
  <c r="M3213" i="1"/>
  <c r="M3214" i="1"/>
  <c r="N3214" i="1" s="1"/>
  <c r="S3214" i="1" s="1"/>
  <c r="M3215" i="1"/>
  <c r="M3216" i="1"/>
  <c r="N3216" i="1" s="1"/>
  <c r="S3216" i="1" s="1"/>
  <c r="M3217" i="1"/>
  <c r="M3218" i="1"/>
  <c r="N3218" i="1" s="1"/>
  <c r="S3218" i="1" s="1"/>
  <c r="M3219" i="1"/>
  <c r="N3219" i="1" s="1"/>
  <c r="S3219" i="1" s="1"/>
  <c r="M3220" i="1"/>
  <c r="M3221" i="1"/>
  <c r="M3222" i="1"/>
  <c r="M3223" i="1"/>
  <c r="N3223" i="1" s="1"/>
  <c r="S3223" i="1" s="1"/>
  <c r="M3224" i="1"/>
  <c r="N3224" i="1" s="1"/>
  <c r="S3224" i="1" s="1"/>
  <c r="M3225" i="1"/>
  <c r="N3225" i="1" s="1"/>
  <c r="S3225" i="1" s="1"/>
  <c r="M3226" i="1"/>
  <c r="N3226" i="1" s="1"/>
  <c r="M3227" i="1"/>
  <c r="N3227" i="1" s="1"/>
  <c r="S3227" i="1" s="1"/>
  <c r="M3228" i="1"/>
  <c r="M3229" i="1"/>
  <c r="M3230" i="1"/>
  <c r="N3230" i="1" s="1"/>
  <c r="S3230" i="1" s="1"/>
  <c r="M3231" i="1"/>
  <c r="N3231" i="1" s="1"/>
  <c r="S3231" i="1" s="1"/>
  <c r="M3232" i="1"/>
  <c r="N3232" i="1" s="1"/>
  <c r="S3232" i="1" s="1"/>
  <c r="M3233" i="1"/>
  <c r="M3234" i="1"/>
  <c r="N3234" i="1" s="1"/>
  <c r="S3234" i="1" s="1"/>
  <c r="M3235" i="1"/>
  <c r="N3235" i="1" s="1"/>
  <c r="S3235" i="1" s="1"/>
  <c r="M3236" i="1"/>
  <c r="M3237" i="1"/>
  <c r="M3238" i="1"/>
  <c r="N3238" i="1" s="1"/>
  <c r="S3238" i="1" s="1"/>
  <c r="M3239" i="1"/>
  <c r="N3239" i="1" s="1"/>
  <c r="S3239" i="1" s="1"/>
  <c r="M3240" i="1"/>
  <c r="N3240" i="1" s="1"/>
  <c r="S3240" i="1" s="1"/>
  <c r="M3241" i="1"/>
  <c r="N3241" i="1" s="1"/>
  <c r="S3241" i="1" s="1"/>
  <c r="M3242" i="1"/>
  <c r="N3242" i="1" s="1"/>
  <c r="S3242" i="1" s="1"/>
  <c r="M3243" i="1"/>
  <c r="N3243" i="1" s="1"/>
  <c r="S3243" i="1" s="1"/>
  <c r="M3244" i="1"/>
  <c r="M3245" i="1"/>
  <c r="M3246" i="1"/>
  <c r="N3246" i="1" s="1"/>
  <c r="S3246" i="1" s="1"/>
  <c r="M3247" i="1"/>
  <c r="M3248" i="1"/>
  <c r="N3248" i="1" s="1"/>
  <c r="S3248" i="1" s="1"/>
  <c r="M3249" i="1"/>
  <c r="M3250" i="1"/>
  <c r="N3250" i="1" s="1"/>
  <c r="M3251" i="1"/>
  <c r="N3251" i="1" s="1"/>
  <c r="S3251" i="1" s="1"/>
  <c r="M3252" i="1"/>
  <c r="M3253" i="1"/>
  <c r="M3254" i="1"/>
  <c r="M3255" i="1"/>
  <c r="N3255" i="1" s="1"/>
  <c r="S3255" i="1" s="1"/>
  <c r="M3256" i="1"/>
  <c r="N3256" i="1" s="1"/>
  <c r="S3256" i="1" s="1"/>
  <c r="M3257" i="1"/>
  <c r="N3257" i="1" s="1"/>
  <c r="S3257" i="1" s="1"/>
  <c r="M3258" i="1"/>
  <c r="N3258" i="1" s="1"/>
  <c r="S3258" i="1" s="1"/>
  <c r="M3259" i="1"/>
  <c r="N3259" i="1" s="1"/>
  <c r="S3259" i="1" s="1"/>
  <c r="M3260" i="1"/>
  <c r="M3261" i="1"/>
  <c r="M3262" i="1"/>
  <c r="N3262" i="1" s="1"/>
  <c r="S3262" i="1" s="1"/>
  <c r="M3263" i="1"/>
  <c r="N3263" i="1" s="1"/>
  <c r="S3263" i="1" s="1"/>
  <c r="M3264" i="1"/>
  <c r="N3264" i="1" s="1"/>
  <c r="S3264" i="1" s="1"/>
  <c r="M3265" i="1"/>
  <c r="M3266" i="1"/>
  <c r="N3266" i="1" s="1"/>
  <c r="S3266" i="1" s="1"/>
  <c r="M3267" i="1"/>
  <c r="N3267" i="1" s="1"/>
  <c r="S3267" i="1" s="1"/>
  <c r="M3268" i="1"/>
  <c r="M3269" i="1"/>
  <c r="M3270" i="1"/>
  <c r="N3270" i="1" s="1"/>
  <c r="S3270" i="1" s="1"/>
  <c r="M3271" i="1"/>
  <c r="N3271" i="1" s="1"/>
  <c r="S3271" i="1" s="1"/>
  <c r="M3272" i="1"/>
  <c r="N3272" i="1" s="1"/>
  <c r="S3272" i="1" s="1"/>
  <c r="M3273" i="1"/>
  <c r="N3273" i="1" s="1"/>
  <c r="S3273" i="1" s="1"/>
  <c r="M3274" i="1"/>
  <c r="N3274" i="1" s="1"/>
  <c r="S3274" i="1" s="1"/>
  <c r="M3275" i="1"/>
  <c r="N3275" i="1" s="1"/>
  <c r="S3275" i="1" s="1"/>
  <c r="M3276" i="1"/>
  <c r="M3277" i="1"/>
  <c r="M3278" i="1"/>
  <c r="N3278" i="1" s="1"/>
  <c r="S3278" i="1" s="1"/>
  <c r="M3279" i="1"/>
  <c r="M3280" i="1"/>
  <c r="N3280" i="1" s="1"/>
  <c r="S3280" i="1" s="1"/>
  <c r="M3281" i="1"/>
  <c r="M3282" i="1"/>
  <c r="N3282" i="1" s="1"/>
  <c r="S3282" i="1" s="1"/>
  <c r="M3283" i="1"/>
  <c r="N3283" i="1" s="1"/>
  <c r="S3283" i="1" s="1"/>
  <c r="M3284" i="1"/>
  <c r="M3285" i="1"/>
  <c r="M3286" i="1"/>
  <c r="M3287" i="1"/>
  <c r="N3287" i="1" s="1"/>
  <c r="S3287" i="1" s="1"/>
  <c r="M3288" i="1"/>
  <c r="N3288" i="1" s="1"/>
  <c r="S3288" i="1" s="1"/>
  <c r="M3289" i="1"/>
  <c r="N3289" i="1" s="1"/>
  <c r="S3289" i="1" s="1"/>
  <c r="M3290" i="1"/>
  <c r="N3290" i="1" s="1"/>
  <c r="S3290" i="1" s="1"/>
  <c r="M3291" i="1"/>
  <c r="N3291" i="1" s="1"/>
  <c r="S3291" i="1" s="1"/>
  <c r="M3292" i="1"/>
  <c r="M3293" i="1"/>
  <c r="M3294" i="1"/>
  <c r="N3294" i="1" s="1"/>
  <c r="S3294" i="1" s="1"/>
  <c r="M3295" i="1"/>
  <c r="N3295" i="1" s="1"/>
  <c r="S3295" i="1" s="1"/>
  <c r="M3296" i="1"/>
  <c r="N3296" i="1" s="1"/>
  <c r="S3296" i="1" s="1"/>
  <c r="M3297" i="1"/>
  <c r="M3298" i="1"/>
  <c r="N3298" i="1" s="1"/>
  <c r="S3298" i="1" s="1"/>
  <c r="M3299" i="1"/>
  <c r="N3299" i="1" s="1"/>
  <c r="S3299" i="1" s="1"/>
  <c r="M3300" i="1"/>
  <c r="M3301" i="1"/>
  <c r="M3302" i="1"/>
  <c r="N3302" i="1" s="1"/>
  <c r="S3302" i="1" s="1"/>
  <c r="M3303" i="1"/>
  <c r="N3303" i="1" s="1"/>
  <c r="S3303" i="1" s="1"/>
  <c r="M3304" i="1"/>
  <c r="N3304" i="1" s="1"/>
  <c r="S3304" i="1" s="1"/>
  <c r="M3305" i="1"/>
  <c r="N3305" i="1" s="1"/>
  <c r="M3306" i="1"/>
  <c r="N3306" i="1" s="1"/>
  <c r="S3306" i="1" s="1"/>
  <c r="M3307" i="1"/>
  <c r="N3307" i="1" s="1"/>
  <c r="S3307" i="1" s="1"/>
  <c r="M3308" i="1"/>
  <c r="M3309" i="1"/>
  <c r="M3310" i="1"/>
  <c r="N3310" i="1" s="1"/>
  <c r="S3310" i="1" s="1"/>
  <c r="M3311" i="1"/>
  <c r="M3312" i="1"/>
  <c r="N3312" i="1" s="1"/>
  <c r="S3312" i="1" s="1"/>
  <c r="M3313" i="1"/>
  <c r="M3314" i="1"/>
  <c r="N3314" i="1" s="1"/>
  <c r="S3314" i="1" s="1"/>
  <c r="M3315" i="1"/>
  <c r="N3315" i="1" s="1"/>
  <c r="S3315" i="1" s="1"/>
  <c r="M3316" i="1"/>
  <c r="M3317" i="1"/>
  <c r="M3318" i="1"/>
  <c r="M3319" i="1"/>
  <c r="N3319" i="1" s="1"/>
  <c r="S3319" i="1" s="1"/>
  <c r="M3320" i="1"/>
  <c r="N3320" i="1" s="1"/>
  <c r="S3320" i="1" s="1"/>
  <c r="M3321" i="1"/>
  <c r="N3321" i="1" s="1"/>
  <c r="S3321" i="1" s="1"/>
  <c r="M3322" i="1"/>
  <c r="N3322" i="1" s="1"/>
  <c r="S3322" i="1" s="1"/>
  <c r="M3323" i="1"/>
  <c r="N3323" i="1" s="1"/>
  <c r="S3323" i="1" s="1"/>
  <c r="M3324" i="1"/>
  <c r="M3325" i="1"/>
  <c r="M3326" i="1"/>
  <c r="N3326" i="1" s="1"/>
  <c r="S3326" i="1" s="1"/>
  <c r="M3327" i="1"/>
  <c r="N3327" i="1" s="1"/>
  <c r="S3327" i="1" s="1"/>
  <c r="M3328" i="1"/>
  <c r="N3328" i="1" s="1"/>
  <c r="S3328" i="1" s="1"/>
  <c r="M3329" i="1"/>
  <c r="M3330" i="1"/>
  <c r="N3330" i="1" s="1"/>
  <c r="S3330" i="1" s="1"/>
  <c r="M3331" i="1"/>
  <c r="N3331" i="1" s="1"/>
  <c r="S3331" i="1" s="1"/>
  <c r="M3332" i="1"/>
  <c r="M3333" i="1"/>
  <c r="M3334" i="1"/>
  <c r="N3334" i="1" s="1"/>
  <c r="S3334" i="1" s="1"/>
  <c r="M3335" i="1"/>
  <c r="N3335" i="1" s="1"/>
  <c r="S3335" i="1" s="1"/>
  <c r="M3336" i="1"/>
  <c r="N3336" i="1" s="1"/>
  <c r="S3336" i="1" s="1"/>
  <c r="M3337" i="1"/>
  <c r="N3337" i="1" s="1"/>
  <c r="S3337" i="1" s="1"/>
  <c r="M3338" i="1"/>
  <c r="N3338" i="1" s="1"/>
  <c r="S3338" i="1" s="1"/>
  <c r="M3339" i="1"/>
  <c r="N3339" i="1" s="1"/>
  <c r="S3339" i="1" s="1"/>
  <c r="M3340" i="1"/>
  <c r="M3341" i="1"/>
  <c r="M3342" i="1"/>
  <c r="N3342" i="1" s="1"/>
  <c r="S3342" i="1" s="1"/>
  <c r="M3343" i="1"/>
  <c r="M3344" i="1"/>
  <c r="N3344" i="1" s="1"/>
  <c r="S3344" i="1" s="1"/>
  <c r="M3345" i="1"/>
  <c r="M3346" i="1"/>
  <c r="N3346" i="1" s="1"/>
  <c r="S3346" i="1" s="1"/>
  <c r="M3347" i="1"/>
  <c r="N3347" i="1" s="1"/>
  <c r="S3347" i="1" s="1"/>
  <c r="M3348" i="1"/>
  <c r="M3349" i="1"/>
  <c r="M3350" i="1"/>
  <c r="M3351" i="1"/>
  <c r="N3351" i="1" s="1"/>
  <c r="S3351" i="1" s="1"/>
  <c r="M3352" i="1"/>
  <c r="N3352" i="1" s="1"/>
  <c r="S3352" i="1" s="1"/>
  <c r="M3353" i="1"/>
  <c r="N3353" i="1" s="1"/>
  <c r="M3354" i="1"/>
  <c r="N3354" i="1" s="1"/>
  <c r="S3354" i="1" s="1"/>
  <c r="M3355" i="1"/>
  <c r="N3355" i="1" s="1"/>
  <c r="S3355" i="1" s="1"/>
  <c r="M3356" i="1"/>
  <c r="M3357" i="1"/>
  <c r="M3358" i="1"/>
  <c r="N3358" i="1" s="1"/>
  <c r="S3358" i="1" s="1"/>
  <c r="M3359" i="1"/>
  <c r="N3359" i="1" s="1"/>
  <c r="S3359" i="1" s="1"/>
  <c r="M3360" i="1"/>
  <c r="N3360" i="1" s="1"/>
  <c r="S3360" i="1" s="1"/>
  <c r="M3361" i="1"/>
  <c r="M3362" i="1"/>
  <c r="N3362" i="1" s="1"/>
  <c r="S3362" i="1" s="1"/>
  <c r="M3363" i="1"/>
  <c r="N3363" i="1" s="1"/>
  <c r="S3363" i="1" s="1"/>
  <c r="M3364" i="1"/>
  <c r="M3365" i="1"/>
  <c r="M3366" i="1"/>
  <c r="N3366" i="1" s="1"/>
  <c r="S3366" i="1" s="1"/>
  <c r="M3367" i="1"/>
  <c r="N3367" i="1" s="1"/>
  <c r="S3367" i="1" s="1"/>
  <c r="M3368" i="1"/>
  <c r="N3368" i="1" s="1"/>
  <c r="S3368" i="1" s="1"/>
  <c r="M3369" i="1"/>
  <c r="N3369" i="1" s="1"/>
  <c r="M3370" i="1"/>
  <c r="N3370" i="1" s="1"/>
  <c r="S3370" i="1" s="1"/>
  <c r="M3371" i="1"/>
  <c r="N3371" i="1" s="1"/>
  <c r="S3371" i="1" s="1"/>
  <c r="M3372" i="1"/>
  <c r="M3373" i="1"/>
  <c r="M3374" i="1"/>
  <c r="N3374" i="1" s="1"/>
  <c r="S3374" i="1" s="1"/>
  <c r="M3375" i="1"/>
  <c r="M3376" i="1"/>
  <c r="N3376" i="1" s="1"/>
  <c r="S3376" i="1" s="1"/>
  <c r="M3377" i="1"/>
  <c r="M3378" i="1"/>
  <c r="N3378" i="1" s="1"/>
  <c r="S3378" i="1" s="1"/>
  <c r="M3379" i="1"/>
  <c r="N3379" i="1" s="1"/>
  <c r="S3379" i="1" s="1"/>
  <c r="M3380" i="1"/>
  <c r="M3381" i="1"/>
  <c r="M3382" i="1"/>
  <c r="M3383" i="1"/>
  <c r="N3383" i="1" s="1"/>
  <c r="S3383" i="1" s="1"/>
  <c r="M3384" i="1"/>
  <c r="N3384" i="1" s="1"/>
  <c r="S3384" i="1" s="1"/>
  <c r="M3385" i="1"/>
  <c r="N3385" i="1" s="1"/>
  <c r="M3386" i="1"/>
  <c r="N3386" i="1" s="1"/>
  <c r="S3386" i="1" s="1"/>
  <c r="M3387" i="1"/>
  <c r="N3387" i="1" s="1"/>
  <c r="S3387" i="1" s="1"/>
  <c r="M3388" i="1"/>
  <c r="M3389" i="1"/>
  <c r="M3390" i="1"/>
  <c r="N3390" i="1" s="1"/>
  <c r="S3390" i="1" s="1"/>
  <c r="M3391" i="1"/>
  <c r="N3391" i="1" s="1"/>
  <c r="S3391" i="1" s="1"/>
  <c r="M3392" i="1"/>
  <c r="N3392" i="1" s="1"/>
  <c r="S3392" i="1" s="1"/>
  <c r="M3393" i="1"/>
  <c r="M3394" i="1"/>
  <c r="N3394" i="1" s="1"/>
  <c r="S3394" i="1" s="1"/>
  <c r="M3395" i="1"/>
  <c r="N3395" i="1" s="1"/>
  <c r="S3395" i="1" s="1"/>
  <c r="M3396" i="1"/>
  <c r="M3397" i="1"/>
  <c r="M3398" i="1"/>
  <c r="N3398" i="1" s="1"/>
  <c r="S3398" i="1" s="1"/>
  <c r="M3399" i="1"/>
  <c r="N3399" i="1" s="1"/>
  <c r="S3399" i="1" s="1"/>
  <c r="M3400" i="1"/>
  <c r="N3400" i="1" s="1"/>
  <c r="S3400" i="1" s="1"/>
  <c r="M3401" i="1"/>
  <c r="N3401" i="1" s="1"/>
  <c r="S3401" i="1" s="1"/>
  <c r="M3402" i="1"/>
  <c r="N3402" i="1" s="1"/>
  <c r="S3402" i="1" s="1"/>
  <c r="M3403" i="1"/>
  <c r="N3403" i="1" s="1"/>
  <c r="S3403" i="1" s="1"/>
  <c r="M3404" i="1"/>
  <c r="M3405" i="1"/>
  <c r="M3406" i="1"/>
  <c r="N3406" i="1" s="1"/>
  <c r="S3406" i="1" s="1"/>
  <c r="M3407" i="1"/>
  <c r="M3408" i="1"/>
  <c r="N3408" i="1" s="1"/>
  <c r="S3408" i="1" s="1"/>
  <c r="M3409" i="1"/>
  <c r="M2892" i="1"/>
  <c r="N2892" i="1" s="1"/>
  <c r="S2892" i="1" s="1"/>
  <c r="M2736" i="1"/>
  <c r="M2737" i="1"/>
  <c r="M2738" i="1"/>
  <c r="M2739" i="1"/>
  <c r="N2739" i="1" s="1"/>
  <c r="M2740" i="1"/>
  <c r="N2740" i="1" s="1"/>
  <c r="S2740" i="1" s="1"/>
  <c r="M2741" i="1"/>
  <c r="N2741" i="1" s="1"/>
  <c r="S2741" i="1" s="1"/>
  <c r="M2742" i="1"/>
  <c r="M2743" i="1"/>
  <c r="M2744" i="1"/>
  <c r="N2744" i="1" s="1"/>
  <c r="S2744" i="1" s="1"/>
  <c r="M2745" i="1"/>
  <c r="M2746" i="1"/>
  <c r="M2747" i="1"/>
  <c r="N2747" i="1" s="1"/>
  <c r="M2748" i="1"/>
  <c r="N2748" i="1" s="1"/>
  <c r="M2749" i="1"/>
  <c r="N2749" i="1" s="1"/>
  <c r="M2750" i="1"/>
  <c r="N2750" i="1" s="1"/>
  <c r="S2750" i="1" s="1"/>
  <c r="M2751" i="1"/>
  <c r="N2751" i="1" s="1"/>
  <c r="S2751" i="1" s="1"/>
  <c r="M2752" i="1"/>
  <c r="N2752" i="1" s="1"/>
  <c r="S2752" i="1" s="1"/>
  <c r="M2753" i="1"/>
  <c r="M2754" i="1"/>
  <c r="M2755" i="1"/>
  <c r="N2755" i="1" s="1"/>
  <c r="S2755" i="1" s="1"/>
  <c r="M2756" i="1"/>
  <c r="N2756" i="1" s="1"/>
  <c r="S2756" i="1" s="1"/>
  <c r="M2757" i="1"/>
  <c r="M2758" i="1"/>
  <c r="M2759" i="1"/>
  <c r="N2759" i="1" s="1"/>
  <c r="M2760" i="1"/>
  <c r="N2760" i="1" s="1"/>
  <c r="S2760" i="1" s="1"/>
  <c r="M2761" i="1"/>
  <c r="M2762" i="1"/>
  <c r="M2763" i="1"/>
  <c r="N2763" i="1" s="1"/>
  <c r="S2763" i="1" s="1"/>
  <c r="M2764" i="1"/>
  <c r="N2764" i="1" s="1"/>
  <c r="S2764" i="1" s="1"/>
  <c r="M2765" i="1"/>
  <c r="N2765" i="1" s="1"/>
  <c r="S2765" i="1" s="1"/>
  <c r="M2766" i="1"/>
  <c r="N2766" i="1" s="1"/>
  <c r="S2766" i="1" s="1"/>
  <c r="M2767" i="1"/>
  <c r="N2767" i="1" s="1"/>
  <c r="S2767" i="1" s="1"/>
  <c r="M2768" i="1"/>
  <c r="M2769" i="1"/>
  <c r="M2770" i="1"/>
  <c r="M2771" i="1"/>
  <c r="N2771" i="1" s="1"/>
  <c r="M2772" i="1"/>
  <c r="N2772" i="1" s="1"/>
  <c r="M2773" i="1"/>
  <c r="N2773" i="1" s="1"/>
  <c r="S2773" i="1" s="1"/>
  <c r="M2774" i="1"/>
  <c r="M2775" i="1"/>
  <c r="M2776" i="1"/>
  <c r="N2776" i="1" s="1"/>
  <c r="S2776" i="1" s="1"/>
  <c r="M2777" i="1"/>
  <c r="M2778" i="1"/>
  <c r="M2779" i="1"/>
  <c r="N2779" i="1" s="1"/>
  <c r="S2779" i="1" s="1"/>
  <c r="M2780" i="1"/>
  <c r="N2780" i="1" s="1"/>
  <c r="S2780" i="1" s="1"/>
  <c r="M2781" i="1"/>
  <c r="N2781" i="1" s="1"/>
  <c r="S2781" i="1" s="1"/>
  <c r="M2782" i="1"/>
  <c r="N2782" i="1" s="1"/>
  <c r="S2782" i="1" s="1"/>
  <c r="M2783" i="1"/>
  <c r="N2783" i="1" s="1"/>
  <c r="S2783" i="1" s="1"/>
  <c r="M2784" i="1"/>
  <c r="M2785" i="1"/>
  <c r="M2786" i="1"/>
  <c r="M2787" i="1"/>
  <c r="N2787" i="1" s="1"/>
  <c r="S2787" i="1" s="1"/>
  <c r="M2788" i="1"/>
  <c r="N2788" i="1" s="1"/>
  <c r="S2788" i="1" s="1"/>
  <c r="M2789" i="1"/>
  <c r="M2790" i="1"/>
  <c r="M2791" i="1"/>
  <c r="M2792" i="1"/>
  <c r="N2792" i="1" s="1"/>
  <c r="S2792" i="1" s="1"/>
  <c r="M2793" i="1"/>
  <c r="M2794" i="1"/>
  <c r="M2795" i="1"/>
  <c r="N2795" i="1" s="1"/>
  <c r="S2795" i="1" s="1"/>
  <c r="M2796" i="1"/>
  <c r="N2796" i="1" s="1"/>
  <c r="S2796" i="1" s="1"/>
  <c r="M2797" i="1"/>
  <c r="N2797" i="1" s="1"/>
  <c r="S2797" i="1" s="1"/>
  <c r="M2798" i="1"/>
  <c r="N2798" i="1" s="1"/>
  <c r="M2799" i="1"/>
  <c r="N2799" i="1" s="1"/>
  <c r="S2799" i="1" s="1"/>
  <c r="M2800" i="1"/>
  <c r="M2801" i="1"/>
  <c r="M2802" i="1"/>
  <c r="M2803" i="1"/>
  <c r="M2804" i="1"/>
  <c r="M2805" i="1"/>
  <c r="N2805" i="1" s="1"/>
  <c r="S2805" i="1" s="1"/>
  <c r="M2806" i="1"/>
  <c r="N2806" i="1" s="1"/>
  <c r="S2806" i="1" s="1"/>
  <c r="M2807" i="1"/>
  <c r="N2807" i="1" s="1"/>
  <c r="S2807" i="1" s="1"/>
  <c r="M2808" i="1"/>
  <c r="N2808" i="1" s="1"/>
  <c r="S2808" i="1" s="1"/>
  <c r="M2809" i="1"/>
  <c r="M2810" i="1"/>
  <c r="M2811" i="1"/>
  <c r="N2811" i="1" s="1"/>
  <c r="S2811" i="1" s="1"/>
  <c r="M2812" i="1"/>
  <c r="N2812" i="1" s="1"/>
  <c r="S2812" i="1" s="1"/>
  <c r="M2813" i="1"/>
  <c r="N2813" i="1" s="1"/>
  <c r="S2813" i="1" s="1"/>
  <c r="M2814" i="1"/>
  <c r="N2814" i="1" s="1"/>
  <c r="S2814" i="1" s="1"/>
  <c r="M2815" i="1"/>
  <c r="N2815" i="1" s="1"/>
  <c r="S2815" i="1" s="1"/>
  <c r="M2816" i="1"/>
  <c r="M2817" i="1"/>
  <c r="M2818" i="1"/>
  <c r="M2819" i="1"/>
  <c r="N2819" i="1" s="1"/>
  <c r="M2820" i="1"/>
  <c r="N2820" i="1" s="1"/>
  <c r="S2820" i="1" s="1"/>
  <c r="M2821" i="1"/>
  <c r="M2822" i="1"/>
  <c r="M2823" i="1"/>
  <c r="M2824" i="1"/>
  <c r="N2824" i="1" s="1"/>
  <c r="S2824" i="1" s="1"/>
  <c r="M2825" i="1"/>
  <c r="M2826" i="1"/>
  <c r="M2827" i="1"/>
  <c r="N2827" i="1" s="1"/>
  <c r="S2827" i="1" s="1"/>
  <c r="M2828" i="1"/>
  <c r="N2828" i="1" s="1"/>
  <c r="M2829" i="1"/>
  <c r="N2829" i="1" s="1"/>
  <c r="M2830" i="1"/>
  <c r="N2830" i="1" s="1"/>
  <c r="M2831" i="1"/>
  <c r="N2831" i="1" s="1"/>
  <c r="M2832" i="1"/>
  <c r="M2833" i="1"/>
  <c r="N2833" i="1" s="1"/>
  <c r="S2833" i="1" s="1"/>
  <c r="M2834" i="1"/>
  <c r="M2835" i="1"/>
  <c r="M2836" i="1"/>
  <c r="N2836" i="1" s="1"/>
  <c r="S2836" i="1" s="1"/>
  <c r="M2837" i="1"/>
  <c r="M2838" i="1"/>
  <c r="M2839" i="1"/>
  <c r="N2839" i="1" s="1"/>
  <c r="M2840" i="1"/>
  <c r="N2840" i="1" s="1"/>
  <c r="S2840" i="1" s="1"/>
  <c r="M2841" i="1"/>
  <c r="N2841" i="1" s="1"/>
  <c r="S2841" i="1" s="1"/>
  <c r="M2842" i="1"/>
  <c r="M2843" i="1"/>
  <c r="N2843" i="1" s="1"/>
  <c r="M2844" i="1"/>
  <c r="N2844" i="1" s="1"/>
  <c r="S2844" i="1" s="1"/>
  <c r="M2845" i="1"/>
  <c r="N2845" i="1" s="1"/>
  <c r="S2845" i="1" s="1"/>
  <c r="M2846" i="1"/>
  <c r="N2846" i="1" s="1"/>
  <c r="S2846" i="1" s="1"/>
  <c r="M2847" i="1"/>
  <c r="N2847" i="1" s="1"/>
  <c r="M2848" i="1"/>
  <c r="M2849" i="1"/>
  <c r="M2850" i="1"/>
  <c r="M2851" i="1"/>
  <c r="M2852" i="1"/>
  <c r="N2852" i="1" s="1"/>
  <c r="S2852" i="1" s="1"/>
  <c r="M2853" i="1"/>
  <c r="N2853" i="1" s="1"/>
  <c r="S2853" i="1" s="1"/>
  <c r="M2854" i="1"/>
  <c r="N2854" i="1" s="1"/>
  <c r="S2854" i="1" s="1"/>
  <c r="M2855" i="1"/>
  <c r="M2856" i="1"/>
  <c r="N2856" i="1" s="1"/>
  <c r="S2856" i="1" s="1"/>
  <c r="M2857" i="1"/>
  <c r="M2858" i="1"/>
  <c r="M2859" i="1"/>
  <c r="N2859" i="1" s="1"/>
  <c r="S2859" i="1" s="1"/>
  <c r="M2860" i="1"/>
  <c r="N2860" i="1" s="1"/>
  <c r="S2860" i="1" s="1"/>
  <c r="M2861" i="1"/>
  <c r="N2861" i="1" s="1"/>
  <c r="S2861" i="1" s="1"/>
  <c r="M2862" i="1"/>
  <c r="N2862" i="1" s="1"/>
  <c r="S2862" i="1" s="1"/>
  <c r="M2863" i="1"/>
  <c r="N2863" i="1" s="1"/>
  <c r="S2863" i="1" s="1"/>
  <c r="M2864" i="1"/>
  <c r="M2865" i="1"/>
  <c r="N2865" i="1" s="1"/>
  <c r="M2866" i="1"/>
  <c r="M2867" i="1"/>
  <c r="N2867" i="1" s="1"/>
  <c r="S2867" i="1" s="1"/>
  <c r="M2868" i="1"/>
  <c r="M2869" i="1"/>
  <c r="N2869" i="1" s="1"/>
  <c r="S2869" i="1" s="1"/>
  <c r="M2870" i="1"/>
  <c r="M2871" i="1"/>
  <c r="M2872" i="1"/>
  <c r="N2872" i="1" s="1"/>
  <c r="S2872" i="1" s="1"/>
  <c r="M2873" i="1"/>
  <c r="M2874" i="1"/>
  <c r="M2875" i="1"/>
  <c r="N2875" i="1" s="1"/>
  <c r="S2875" i="1" s="1"/>
  <c r="M2876" i="1"/>
  <c r="N2876" i="1" s="1"/>
  <c r="S2876" i="1" s="1"/>
  <c r="M2877" i="1"/>
  <c r="N2877" i="1" s="1"/>
  <c r="S2877" i="1" s="1"/>
  <c r="M2878" i="1"/>
  <c r="N2878" i="1" s="1"/>
  <c r="S2878" i="1" s="1"/>
  <c r="M2879" i="1"/>
  <c r="N2879" i="1" s="1"/>
  <c r="S2879" i="1" s="1"/>
  <c r="M2880" i="1"/>
  <c r="N2880" i="1" s="1"/>
  <c r="M2881" i="1"/>
  <c r="M2882" i="1"/>
  <c r="M2883" i="1"/>
  <c r="M2884" i="1"/>
  <c r="M2885" i="1"/>
  <c r="M2886" i="1"/>
  <c r="N2886" i="1" s="1"/>
  <c r="S2886" i="1" s="1"/>
  <c r="M2887" i="1"/>
  <c r="N2887" i="1" s="1"/>
  <c r="S2887" i="1" s="1"/>
  <c r="M2888" i="1"/>
  <c r="N2888" i="1" s="1"/>
  <c r="S2888" i="1" s="1"/>
  <c r="M2889" i="1"/>
  <c r="M2890" i="1"/>
  <c r="M2735" i="1"/>
  <c r="S2738" i="1"/>
  <c r="S2816" i="1"/>
  <c r="S2817" i="1"/>
  <c r="S2849" i="1"/>
  <c r="S2865" i="1"/>
  <c r="S2880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735" i="1"/>
  <c r="N2736" i="1"/>
  <c r="S2736" i="1" s="1"/>
  <c r="N2737" i="1"/>
  <c r="N2738" i="1"/>
  <c r="N2742" i="1"/>
  <c r="S2742" i="1" s="1"/>
  <c r="N2743" i="1"/>
  <c r="N2745" i="1"/>
  <c r="N2746" i="1"/>
  <c r="N2753" i="1"/>
  <c r="S2753" i="1" s="1"/>
  <c r="N2754" i="1"/>
  <c r="S2754" i="1" s="1"/>
  <c r="N2757" i="1"/>
  <c r="S2757" i="1" s="1"/>
  <c r="N2758" i="1"/>
  <c r="S2758" i="1" s="1"/>
  <c r="N2761" i="1"/>
  <c r="N2762" i="1"/>
  <c r="N2768" i="1"/>
  <c r="S2768" i="1" s="1"/>
  <c r="N2769" i="1"/>
  <c r="S2769" i="1" s="1"/>
  <c r="N2770" i="1"/>
  <c r="S2770" i="1" s="1"/>
  <c r="N2774" i="1"/>
  <c r="S2774" i="1" s="1"/>
  <c r="N2775" i="1"/>
  <c r="S2775" i="1" s="1"/>
  <c r="N2777" i="1"/>
  <c r="S2777" i="1" s="1"/>
  <c r="N2778" i="1"/>
  <c r="S2778" i="1" s="1"/>
  <c r="N2784" i="1"/>
  <c r="S2784" i="1" s="1"/>
  <c r="N2785" i="1"/>
  <c r="S2785" i="1" s="1"/>
  <c r="N2786" i="1"/>
  <c r="S2786" i="1" s="1"/>
  <c r="N2789" i="1"/>
  <c r="S2789" i="1" s="1"/>
  <c r="N2790" i="1"/>
  <c r="S2790" i="1" s="1"/>
  <c r="N2791" i="1"/>
  <c r="S2791" i="1" s="1"/>
  <c r="N2793" i="1"/>
  <c r="S2793" i="1" s="1"/>
  <c r="N2794" i="1"/>
  <c r="S2794" i="1" s="1"/>
  <c r="N2800" i="1"/>
  <c r="S2800" i="1" s="1"/>
  <c r="N2801" i="1"/>
  <c r="S2801" i="1" s="1"/>
  <c r="N2802" i="1"/>
  <c r="S2802" i="1" s="1"/>
  <c r="N2803" i="1"/>
  <c r="S2803" i="1" s="1"/>
  <c r="N2804" i="1"/>
  <c r="S2804" i="1" s="1"/>
  <c r="N2809" i="1"/>
  <c r="S2809" i="1" s="1"/>
  <c r="N2810" i="1"/>
  <c r="S2810" i="1" s="1"/>
  <c r="N2816" i="1"/>
  <c r="N2817" i="1"/>
  <c r="N2818" i="1"/>
  <c r="N2821" i="1"/>
  <c r="N2822" i="1"/>
  <c r="N2823" i="1"/>
  <c r="S2823" i="1" s="1"/>
  <c r="N2825" i="1"/>
  <c r="S2825" i="1" s="1"/>
  <c r="N2826" i="1"/>
  <c r="S2826" i="1" s="1"/>
  <c r="N2832" i="1"/>
  <c r="N2834" i="1"/>
  <c r="N2835" i="1"/>
  <c r="N2837" i="1"/>
  <c r="S2837" i="1" s="1"/>
  <c r="N2838" i="1"/>
  <c r="S2838" i="1" s="1"/>
  <c r="N2842" i="1"/>
  <c r="N2848" i="1"/>
  <c r="N2849" i="1"/>
  <c r="N2850" i="1"/>
  <c r="S2850" i="1" s="1"/>
  <c r="N2851" i="1"/>
  <c r="S2851" i="1" s="1"/>
  <c r="N2855" i="1"/>
  <c r="S2855" i="1" s="1"/>
  <c r="N2857" i="1"/>
  <c r="S2857" i="1" s="1"/>
  <c r="N2858" i="1"/>
  <c r="S2858" i="1" s="1"/>
  <c r="N2864" i="1"/>
  <c r="S2864" i="1" s="1"/>
  <c r="N2866" i="1"/>
  <c r="S2866" i="1" s="1"/>
  <c r="N2868" i="1"/>
  <c r="S2868" i="1" s="1"/>
  <c r="N2870" i="1"/>
  <c r="S2870" i="1" s="1"/>
  <c r="N2871" i="1"/>
  <c r="S2871" i="1" s="1"/>
  <c r="N2873" i="1"/>
  <c r="S2873" i="1" s="1"/>
  <c r="N2874" i="1"/>
  <c r="S2874" i="1" s="1"/>
  <c r="N2881" i="1"/>
  <c r="N2882" i="1"/>
  <c r="S2882" i="1" s="1"/>
  <c r="N2883" i="1"/>
  <c r="S2883" i="1" s="1"/>
  <c r="N2884" i="1"/>
  <c r="S2884" i="1" s="1"/>
  <c r="N2885" i="1"/>
  <c r="S2885" i="1" s="1"/>
  <c r="N2889" i="1"/>
  <c r="S2889" i="1" s="1"/>
  <c r="N2890" i="1"/>
  <c r="S2890" i="1" s="1"/>
  <c r="N2735" i="1"/>
  <c r="S2735" i="1" s="1"/>
  <c r="S2596" i="1"/>
  <c r="S2597" i="1"/>
  <c r="S2598" i="1"/>
  <c r="S2603" i="1"/>
  <c r="S2607" i="1"/>
  <c r="S2614" i="1"/>
  <c r="S2615" i="1"/>
  <c r="S2617" i="1"/>
  <c r="S2622" i="1"/>
  <c r="S2623" i="1"/>
  <c r="S2625" i="1"/>
  <c r="S2630" i="1"/>
  <c r="S2631" i="1"/>
  <c r="S2638" i="1"/>
  <c r="S2641" i="1"/>
  <c r="S2649" i="1"/>
  <c r="S2651" i="1"/>
  <c r="S2652" i="1"/>
  <c r="S2653" i="1"/>
  <c r="S2656" i="1"/>
  <c r="S2660" i="1"/>
  <c r="S2665" i="1"/>
  <c r="S2668" i="1"/>
  <c r="S2669" i="1"/>
  <c r="S2676" i="1"/>
  <c r="S2677" i="1"/>
  <c r="S2684" i="1"/>
  <c r="S2708" i="1"/>
  <c r="S2716" i="1"/>
  <c r="S2721" i="1"/>
  <c r="S2724" i="1"/>
  <c r="S2725" i="1"/>
  <c r="S2731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S2599" i="1" s="1"/>
  <c r="N2600" i="1"/>
  <c r="N2601" i="1"/>
  <c r="S2601" i="1" s="1"/>
  <c r="N2602" i="1"/>
  <c r="N2603" i="1"/>
  <c r="N2604" i="1"/>
  <c r="N2605" i="1"/>
  <c r="N2606" i="1"/>
  <c r="N2607" i="1"/>
  <c r="N2608" i="1"/>
  <c r="S2608" i="1" s="1"/>
  <c r="N2609" i="1"/>
  <c r="S2609" i="1" s="1"/>
  <c r="N2610" i="1"/>
  <c r="S2610" i="1" s="1"/>
  <c r="N2611" i="1"/>
  <c r="S2611" i="1" s="1"/>
  <c r="N2612" i="1"/>
  <c r="S2612" i="1" s="1"/>
  <c r="N2613" i="1"/>
  <c r="S2613" i="1" s="1"/>
  <c r="N2614" i="1"/>
  <c r="N2615" i="1"/>
  <c r="N2616" i="1"/>
  <c r="S2616" i="1" s="1"/>
  <c r="N2617" i="1"/>
  <c r="N2618" i="1"/>
  <c r="S2618" i="1" s="1"/>
  <c r="N2619" i="1"/>
  <c r="S2619" i="1" s="1"/>
  <c r="N2620" i="1"/>
  <c r="S2620" i="1" s="1"/>
  <c r="N2621" i="1"/>
  <c r="S2621" i="1" s="1"/>
  <c r="N2622" i="1"/>
  <c r="N2623" i="1"/>
  <c r="N2624" i="1"/>
  <c r="S2624" i="1" s="1"/>
  <c r="N2625" i="1"/>
  <c r="N2626" i="1"/>
  <c r="S2626" i="1" s="1"/>
  <c r="N2627" i="1"/>
  <c r="S2627" i="1" s="1"/>
  <c r="N2628" i="1"/>
  <c r="S2628" i="1" s="1"/>
  <c r="N2629" i="1"/>
  <c r="S2629" i="1" s="1"/>
  <c r="N2630" i="1"/>
  <c r="N2631" i="1"/>
  <c r="N2632" i="1"/>
  <c r="S2632" i="1" s="1"/>
  <c r="N2633" i="1"/>
  <c r="S2633" i="1" s="1"/>
  <c r="N2634" i="1"/>
  <c r="S2634" i="1" s="1"/>
  <c r="N2635" i="1"/>
  <c r="S2635" i="1" s="1"/>
  <c r="N2636" i="1"/>
  <c r="S2636" i="1" s="1"/>
  <c r="N2637" i="1"/>
  <c r="S2637" i="1" s="1"/>
  <c r="N2638" i="1"/>
  <c r="N2639" i="1"/>
  <c r="N2640" i="1"/>
  <c r="S2640" i="1" s="1"/>
  <c r="N2641" i="1"/>
  <c r="N2642" i="1"/>
  <c r="S2642" i="1" s="1"/>
  <c r="N2643" i="1"/>
  <c r="S2643" i="1" s="1"/>
  <c r="N2644" i="1"/>
  <c r="N2645" i="1"/>
  <c r="S2645" i="1" s="1"/>
  <c r="N2646" i="1"/>
  <c r="S2646" i="1" s="1"/>
  <c r="N2647" i="1"/>
  <c r="S2647" i="1" s="1"/>
  <c r="N2648" i="1"/>
  <c r="S2648" i="1" s="1"/>
  <c r="N2649" i="1"/>
  <c r="N2650" i="1"/>
  <c r="S2650" i="1" s="1"/>
  <c r="N2651" i="1"/>
  <c r="N2652" i="1"/>
  <c r="N2653" i="1"/>
  <c r="N2654" i="1"/>
  <c r="S2654" i="1" s="1"/>
  <c r="N2655" i="1"/>
  <c r="S2655" i="1" s="1"/>
  <c r="N2656" i="1"/>
  <c r="N2657" i="1"/>
  <c r="S2657" i="1" s="1"/>
  <c r="N2658" i="1"/>
  <c r="S2658" i="1" s="1"/>
  <c r="N2659" i="1"/>
  <c r="S2659" i="1" s="1"/>
  <c r="N2660" i="1"/>
  <c r="N2661" i="1"/>
  <c r="S2661" i="1" s="1"/>
  <c r="N2662" i="1"/>
  <c r="S2662" i="1" s="1"/>
  <c r="N2663" i="1"/>
  <c r="N2664" i="1"/>
  <c r="S2664" i="1" s="1"/>
  <c r="N2665" i="1"/>
  <c r="N2666" i="1"/>
  <c r="S2666" i="1" s="1"/>
  <c r="N2667" i="1"/>
  <c r="N2668" i="1"/>
  <c r="N2669" i="1"/>
  <c r="N2670" i="1"/>
  <c r="S2670" i="1" s="1"/>
  <c r="N2671" i="1"/>
  <c r="N2672" i="1"/>
  <c r="S2672" i="1" s="1"/>
  <c r="N2673" i="1"/>
  <c r="S2673" i="1" s="1"/>
  <c r="N2674" i="1"/>
  <c r="S2674" i="1" s="1"/>
  <c r="N2675" i="1"/>
  <c r="S2675" i="1" s="1"/>
  <c r="N2676" i="1"/>
  <c r="N2677" i="1"/>
  <c r="N2678" i="1"/>
  <c r="S2678" i="1" s="1"/>
  <c r="N2679" i="1"/>
  <c r="S2679" i="1" s="1"/>
  <c r="N2680" i="1"/>
  <c r="S2680" i="1" s="1"/>
  <c r="N2681" i="1"/>
  <c r="S2681" i="1" s="1"/>
  <c r="N2682" i="1"/>
  <c r="S2682" i="1" s="1"/>
  <c r="N2683" i="1"/>
  <c r="N2684" i="1"/>
  <c r="N2685" i="1"/>
  <c r="S2685" i="1" s="1"/>
  <c r="N2686" i="1"/>
  <c r="S2686" i="1" s="1"/>
  <c r="N2687" i="1"/>
  <c r="N2688" i="1"/>
  <c r="S2688" i="1" s="1"/>
  <c r="N2689" i="1"/>
  <c r="N2690" i="1"/>
  <c r="S2690" i="1" s="1"/>
  <c r="N2691" i="1"/>
  <c r="S2691" i="1" s="1"/>
  <c r="N2692" i="1"/>
  <c r="S2692" i="1" s="1"/>
  <c r="N2693" i="1"/>
  <c r="S2693" i="1" s="1"/>
  <c r="N2694" i="1"/>
  <c r="S2694" i="1" s="1"/>
  <c r="N2695" i="1"/>
  <c r="S2695" i="1" s="1"/>
  <c r="N2696" i="1"/>
  <c r="S2696" i="1" s="1"/>
  <c r="N2697" i="1"/>
  <c r="S2697" i="1" s="1"/>
  <c r="N2698" i="1"/>
  <c r="S2698" i="1" s="1"/>
  <c r="N2699" i="1"/>
  <c r="S2699" i="1" s="1"/>
  <c r="N2700" i="1"/>
  <c r="S2700" i="1" s="1"/>
  <c r="N2701" i="1"/>
  <c r="S2701" i="1" s="1"/>
  <c r="N2702" i="1"/>
  <c r="S2702" i="1" s="1"/>
  <c r="N2703" i="1"/>
  <c r="S2703" i="1" s="1"/>
  <c r="N2704" i="1"/>
  <c r="S2704" i="1" s="1"/>
  <c r="N2705" i="1"/>
  <c r="S2705" i="1" s="1"/>
  <c r="N2706" i="1"/>
  <c r="N2707" i="1"/>
  <c r="S2707" i="1" s="1"/>
  <c r="N2708" i="1"/>
  <c r="N2709" i="1"/>
  <c r="S2709" i="1" s="1"/>
  <c r="N2710" i="1"/>
  <c r="N2711" i="1"/>
  <c r="S2711" i="1" s="1"/>
  <c r="N2712" i="1"/>
  <c r="S2712" i="1" s="1"/>
  <c r="N2713" i="1"/>
  <c r="S2713" i="1" s="1"/>
  <c r="N2714" i="1"/>
  <c r="S2714" i="1" s="1"/>
  <c r="N2715" i="1"/>
  <c r="S2715" i="1" s="1"/>
  <c r="N2716" i="1"/>
  <c r="N2717" i="1"/>
  <c r="S2717" i="1" s="1"/>
  <c r="N2718" i="1"/>
  <c r="S2718" i="1" s="1"/>
  <c r="N2719" i="1"/>
  <c r="S2719" i="1" s="1"/>
  <c r="N2720" i="1"/>
  <c r="S2720" i="1" s="1"/>
  <c r="N2721" i="1"/>
  <c r="N2722" i="1"/>
  <c r="S2722" i="1" s="1"/>
  <c r="N2723" i="1"/>
  <c r="S2723" i="1" s="1"/>
  <c r="N2724" i="1"/>
  <c r="N2725" i="1"/>
  <c r="N2726" i="1"/>
  <c r="S2726" i="1" s="1"/>
  <c r="N2727" i="1"/>
  <c r="S2727" i="1" s="1"/>
  <c r="N2728" i="1"/>
  <c r="S2728" i="1" s="1"/>
  <c r="N2729" i="1"/>
  <c r="S2729" i="1" s="1"/>
  <c r="N2730" i="1"/>
  <c r="S2730" i="1" s="1"/>
  <c r="N2731" i="1"/>
  <c r="N2732" i="1"/>
  <c r="S2732" i="1" s="1"/>
  <c r="N2733" i="1"/>
  <c r="S2733" i="1" s="1"/>
  <c r="N2585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43" i="1"/>
  <c r="S2444" i="1"/>
  <c r="S2445" i="1"/>
  <c r="S2446" i="1"/>
  <c r="S2447" i="1"/>
  <c r="S2437" i="1"/>
  <c r="S2438" i="1"/>
  <c r="S2439" i="1"/>
  <c r="S2440" i="1"/>
  <c r="S2441" i="1"/>
  <c r="S2442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392" i="1"/>
  <c r="S2393" i="1"/>
  <c r="S2394" i="1"/>
  <c r="S2395" i="1"/>
  <c r="S2396" i="1"/>
  <c r="S2397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12" i="1"/>
  <c r="S2313" i="1"/>
  <c r="S2314" i="1"/>
  <c r="S2315" i="1"/>
  <c r="S2316" i="1"/>
  <c r="S2317" i="1"/>
  <c r="S2318" i="1"/>
  <c r="S2319" i="1"/>
  <c r="S2320" i="1"/>
  <c r="S2321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276" i="1"/>
  <c r="S2277" i="1"/>
  <c r="S2278" i="1"/>
  <c r="S2279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196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2" i="1"/>
  <c r="S2184" i="1"/>
  <c r="S2187" i="1"/>
  <c r="S2189" i="1"/>
  <c r="S2190" i="1"/>
  <c r="S2191" i="1"/>
  <c r="S2192" i="1"/>
  <c r="S2193" i="1"/>
  <c r="S2194" i="1"/>
  <c r="S2151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4" i="1"/>
  <c r="S2135" i="1"/>
  <c r="S2136" i="1"/>
  <c r="S2137" i="1"/>
  <c r="S2138" i="1"/>
  <c r="S2140" i="1"/>
  <c r="S2143" i="1"/>
  <c r="S2144" i="1"/>
  <c r="S2146" i="1"/>
  <c r="S2147" i="1"/>
  <c r="S2148" i="1"/>
  <c r="S2149" i="1"/>
  <c r="S2119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091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74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35" i="1"/>
  <c r="S2033" i="1"/>
  <c r="S2032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11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1980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N1888" i="1"/>
  <c r="S1888" i="1" s="1"/>
  <c r="N1889" i="1"/>
  <c r="S1889" i="1" s="1"/>
  <c r="N1890" i="1"/>
  <c r="S1890" i="1" s="1"/>
  <c r="N1891" i="1"/>
  <c r="S1891" i="1" s="1"/>
  <c r="N1892" i="1"/>
  <c r="S1892" i="1" s="1"/>
  <c r="N1893" i="1"/>
  <c r="S1893" i="1" s="1"/>
  <c r="N1894" i="1"/>
  <c r="S1894" i="1" s="1"/>
  <c r="N1895" i="1"/>
  <c r="S1895" i="1" s="1"/>
  <c r="N1896" i="1"/>
  <c r="S1896" i="1" s="1"/>
  <c r="N1897" i="1"/>
  <c r="S1897" i="1" s="1"/>
  <c r="N1898" i="1"/>
  <c r="S1898" i="1" s="1"/>
  <c r="N1899" i="1"/>
  <c r="S1899" i="1" s="1"/>
  <c r="N1900" i="1"/>
  <c r="S1900" i="1" s="1"/>
  <c r="N1901" i="1"/>
  <c r="S1901" i="1" s="1"/>
  <c r="N1902" i="1"/>
  <c r="S1902" i="1" s="1"/>
  <c r="N1903" i="1"/>
  <c r="S1903" i="1" s="1"/>
  <c r="N1904" i="1"/>
  <c r="S1904" i="1" s="1"/>
  <c r="N1887" i="1"/>
  <c r="S1887" i="1" s="1"/>
  <c r="N1646" i="1"/>
  <c r="S1646" i="1" s="1"/>
  <c r="N1683" i="1"/>
  <c r="S1683" i="1" s="1"/>
  <c r="N1710" i="1"/>
  <c r="S1710" i="1" s="1"/>
  <c r="N1715" i="1"/>
  <c r="S1715" i="1" s="1"/>
  <c r="N1774" i="1"/>
  <c r="S1774" i="1" s="1"/>
  <c r="M1639" i="1"/>
  <c r="N1639" i="1" s="1"/>
  <c r="S1639" i="1" s="1"/>
  <c r="M1640" i="1"/>
  <c r="N1640" i="1" s="1"/>
  <c r="S1640" i="1" s="1"/>
  <c r="M1641" i="1"/>
  <c r="N1641" i="1" s="1"/>
  <c r="S1641" i="1" s="1"/>
  <c r="M1642" i="1"/>
  <c r="N1642" i="1" s="1"/>
  <c r="S1642" i="1" s="1"/>
  <c r="M1643" i="1"/>
  <c r="N1643" i="1" s="1"/>
  <c r="S1643" i="1" s="1"/>
  <c r="M1644" i="1"/>
  <c r="N1644" i="1" s="1"/>
  <c r="S1644" i="1" s="1"/>
  <c r="M1645" i="1"/>
  <c r="N1645" i="1" s="1"/>
  <c r="S1645" i="1" s="1"/>
  <c r="M1646" i="1"/>
  <c r="M1647" i="1"/>
  <c r="N1647" i="1" s="1"/>
  <c r="S1647" i="1" s="1"/>
  <c r="M1648" i="1"/>
  <c r="N1648" i="1" s="1"/>
  <c r="S1648" i="1" s="1"/>
  <c r="M1649" i="1"/>
  <c r="N1649" i="1" s="1"/>
  <c r="S1649" i="1" s="1"/>
  <c r="M1650" i="1"/>
  <c r="N1650" i="1" s="1"/>
  <c r="S1650" i="1" s="1"/>
  <c r="M1651" i="1"/>
  <c r="N1651" i="1" s="1"/>
  <c r="S1651" i="1" s="1"/>
  <c r="M1652" i="1"/>
  <c r="N1652" i="1" s="1"/>
  <c r="S1652" i="1" s="1"/>
  <c r="M1653" i="1"/>
  <c r="N1653" i="1" s="1"/>
  <c r="S1653" i="1" s="1"/>
  <c r="M1654" i="1"/>
  <c r="N1654" i="1" s="1"/>
  <c r="S1654" i="1" s="1"/>
  <c r="M1655" i="1"/>
  <c r="N1655" i="1" s="1"/>
  <c r="S1655" i="1" s="1"/>
  <c r="M1656" i="1"/>
  <c r="N1656" i="1" s="1"/>
  <c r="S1656" i="1" s="1"/>
  <c r="M1657" i="1"/>
  <c r="N1657" i="1" s="1"/>
  <c r="S1657" i="1" s="1"/>
  <c r="M1658" i="1"/>
  <c r="N1658" i="1" s="1"/>
  <c r="S1658" i="1" s="1"/>
  <c r="M1659" i="1"/>
  <c r="N1659" i="1" s="1"/>
  <c r="S1659" i="1" s="1"/>
  <c r="M1660" i="1"/>
  <c r="N1660" i="1" s="1"/>
  <c r="S1660" i="1" s="1"/>
  <c r="M1661" i="1"/>
  <c r="N1661" i="1" s="1"/>
  <c r="S1661" i="1" s="1"/>
  <c r="M1662" i="1"/>
  <c r="N1662" i="1" s="1"/>
  <c r="S1662" i="1" s="1"/>
  <c r="M1663" i="1"/>
  <c r="N1663" i="1" s="1"/>
  <c r="S1663" i="1" s="1"/>
  <c r="M1664" i="1"/>
  <c r="N1664" i="1" s="1"/>
  <c r="S1664" i="1" s="1"/>
  <c r="M1665" i="1"/>
  <c r="N1665" i="1" s="1"/>
  <c r="S1665" i="1" s="1"/>
  <c r="M1666" i="1"/>
  <c r="N1666" i="1" s="1"/>
  <c r="S1666" i="1" s="1"/>
  <c r="M1667" i="1"/>
  <c r="N1667" i="1" s="1"/>
  <c r="S1667" i="1" s="1"/>
  <c r="M1668" i="1"/>
  <c r="N1668" i="1" s="1"/>
  <c r="S1668" i="1" s="1"/>
  <c r="M1669" i="1"/>
  <c r="N1669" i="1" s="1"/>
  <c r="S1669" i="1" s="1"/>
  <c r="M1670" i="1"/>
  <c r="N1670" i="1" s="1"/>
  <c r="S1670" i="1" s="1"/>
  <c r="M1671" i="1"/>
  <c r="N1671" i="1" s="1"/>
  <c r="S1671" i="1" s="1"/>
  <c r="M1672" i="1"/>
  <c r="N1672" i="1" s="1"/>
  <c r="S1672" i="1" s="1"/>
  <c r="M1673" i="1"/>
  <c r="N1673" i="1" s="1"/>
  <c r="S1673" i="1" s="1"/>
  <c r="M1674" i="1"/>
  <c r="N1674" i="1" s="1"/>
  <c r="S1674" i="1" s="1"/>
  <c r="M1675" i="1"/>
  <c r="N1675" i="1" s="1"/>
  <c r="S1675" i="1" s="1"/>
  <c r="M1676" i="1"/>
  <c r="N1676" i="1" s="1"/>
  <c r="S1676" i="1" s="1"/>
  <c r="M1677" i="1"/>
  <c r="N1677" i="1" s="1"/>
  <c r="S1677" i="1" s="1"/>
  <c r="M1678" i="1"/>
  <c r="N1678" i="1" s="1"/>
  <c r="S1678" i="1" s="1"/>
  <c r="M1679" i="1"/>
  <c r="N1679" i="1" s="1"/>
  <c r="S1679" i="1" s="1"/>
  <c r="M1680" i="1"/>
  <c r="N1680" i="1" s="1"/>
  <c r="S1680" i="1" s="1"/>
  <c r="M1681" i="1"/>
  <c r="N1681" i="1" s="1"/>
  <c r="S1681" i="1" s="1"/>
  <c r="M1682" i="1"/>
  <c r="N1682" i="1" s="1"/>
  <c r="S1682" i="1" s="1"/>
  <c r="M1683" i="1"/>
  <c r="M1684" i="1"/>
  <c r="N1684" i="1" s="1"/>
  <c r="S1684" i="1" s="1"/>
  <c r="M1685" i="1"/>
  <c r="N1685" i="1" s="1"/>
  <c r="S1685" i="1" s="1"/>
  <c r="M1686" i="1"/>
  <c r="N1686" i="1" s="1"/>
  <c r="S1686" i="1" s="1"/>
  <c r="M1687" i="1"/>
  <c r="N1687" i="1" s="1"/>
  <c r="S1687" i="1" s="1"/>
  <c r="M1688" i="1"/>
  <c r="N1688" i="1" s="1"/>
  <c r="S1688" i="1" s="1"/>
  <c r="M1689" i="1"/>
  <c r="N1689" i="1" s="1"/>
  <c r="S1689" i="1" s="1"/>
  <c r="M1690" i="1"/>
  <c r="N1690" i="1" s="1"/>
  <c r="S1690" i="1" s="1"/>
  <c r="M1691" i="1"/>
  <c r="N1691" i="1" s="1"/>
  <c r="S1691" i="1" s="1"/>
  <c r="M1692" i="1"/>
  <c r="N1692" i="1" s="1"/>
  <c r="S1692" i="1" s="1"/>
  <c r="M1693" i="1"/>
  <c r="N1693" i="1" s="1"/>
  <c r="S1693" i="1" s="1"/>
  <c r="M1694" i="1"/>
  <c r="N1694" i="1" s="1"/>
  <c r="S1694" i="1" s="1"/>
  <c r="M1695" i="1"/>
  <c r="N1695" i="1" s="1"/>
  <c r="S1695" i="1" s="1"/>
  <c r="M1696" i="1"/>
  <c r="N1696" i="1" s="1"/>
  <c r="S1696" i="1" s="1"/>
  <c r="M1697" i="1"/>
  <c r="N1697" i="1" s="1"/>
  <c r="S1697" i="1" s="1"/>
  <c r="M1698" i="1"/>
  <c r="N1698" i="1" s="1"/>
  <c r="S1698" i="1" s="1"/>
  <c r="M1699" i="1"/>
  <c r="N1699" i="1" s="1"/>
  <c r="S1699" i="1" s="1"/>
  <c r="M1700" i="1"/>
  <c r="N1700" i="1" s="1"/>
  <c r="S1700" i="1" s="1"/>
  <c r="M1701" i="1"/>
  <c r="N1701" i="1" s="1"/>
  <c r="S1701" i="1" s="1"/>
  <c r="M1702" i="1"/>
  <c r="N1702" i="1" s="1"/>
  <c r="S1702" i="1" s="1"/>
  <c r="M1703" i="1"/>
  <c r="N1703" i="1" s="1"/>
  <c r="S1703" i="1" s="1"/>
  <c r="M1704" i="1"/>
  <c r="N1704" i="1" s="1"/>
  <c r="S1704" i="1" s="1"/>
  <c r="M1705" i="1"/>
  <c r="N1705" i="1" s="1"/>
  <c r="S1705" i="1" s="1"/>
  <c r="M1706" i="1"/>
  <c r="N1706" i="1" s="1"/>
  <c r="S1706" i="1" s="1"/>
  <c r="M1707" i="1"/>
  <c r="N1707" i="1" s="1"/>
  <c r="S1707" i="1" s="1"/>
  <c r="M1708" i="1"/>
  <c r="N1708" i="1" s="1"/>
  <c r="S1708" i="1" s="1"/>
  <c r="M1709" i="1"/>
  <c r="N1709" i="1" s="1"/>
  <c r="S1709" i="1" s="1"/>
  <c r="M1710" i="1"/>
  <c r="M1711" i="1"/>
  <c r="N1711" i="1" s="1"/>
  <c r="S1711" i="1" s="1"/>
  <c r="M1712" i="1"/>
  <c r="N1712" i="1" s="1"/>
  <c r="S1712" i="1" s="1"/>
  <c r="M1713" i="1"/>
  <c r="N1713" i="1" s="1"/>
  <c r="M1714" i="1"/>
  <c r="N1714" i="1" s="1"/>
  <c r="S1714" i="1" s="1"/>
  <c r="M1715" i="1"/>
  <c r="M1716" i="1"/>
  <c r="N1716" i="1" s="1"/>
  <c r="S1716" i="1" s="1"/>
  <c r="M1717" i="1"/>
  <c r="N1717" i="1" s="1"/>
  <c r="S1717" i="1" s="1"/>
  <c r="M1718" i="1"/>
  <c r="N1718" i="1" s="1"/>
  <c r="S1718" i="1" s="1"/>
  <c r="M1719" i="1"/>
  <c r="N1719" i="1" s="1"/>
  <c r="S1719" i="1" s="1"/>
  <c r="M1720" i="1"/>
  <c r="N1720" i="1" s="1"/>
  <c r="S1720" i="1" s="1"/>
  <c r="M1721" i="1"/>
  <c r="N1721" i="1" s="1"/>
  <c r="S1721" i="1" s="1"/>
  <c r="M1722" i="1"/>
  <c r="N1722" i="1" s="1"/>
  <c r="S1722" i="1" s="1"/>
  <c r="M1723" i="1"/>
  <c r="N1723" i="1" s="1"/>
  <c r="S1723" i="1" s="1"/>
  <c r="M1724" i="1"/>
  <c r="N1724" i="1" s="1"/>
  <c r="S1724" i="1" s="1"/>
  <c r="M1725" i="1"/>
  <c r="N1725" i="1" s="1"/>
  <c r="S1725" i="1" s="1"/>
  <c r="M1726" i="1"/>
  <c r="N1726" i="1" s="1"/>
  <c r="S1726" i="1" s="1"/>
  <c r="M1727" i="1"/>
  <c r="N1727" i="1" s="1"/>
  <c r="S1727" i="1" s="1"/>
  <c r="M1728" i="1"/>
  <c r="N1728" i="1" s="1"/>
  <c r="S1728" i="1" s="1"/>
  <c r="M1729" i="1"/>
  <c r="N1729" i="1" s="1"/>
  <c r="S1729" i="1" s="1"/>
  <c r="M1730" i="1"/>
  <c r="N1730" i="1" s="1"/>
  <c r="S1730" i="1" s="1"/>
  <c r="M1731" i="1"/>
  <c r="N1731" i="1" s="1"/>
  <c r="S1731" i="1" s="1"/>
  <c r="M1732" i="1"/>
  <c r="N1732" i="1" s="1"/>
  <c r="S1732" i="1" s="1"/>
  <c r="M1733" i="1"/>
  <c r="N1733" i="1" s="1"/>
  <c r="S1733" i="1" s="1"/>
  <c r="M1734" i="1"/>
  <c r="N1734" i="1" s="1"/>
  <c r="S1734" i="1" s="1"/>
  <c r="M1735" i="1"/>
  <c r="N1735" i="1" s="1"/>
  <c r="S1735" i="1" s="1"/>
  <c r="M1736" i="1"/>
  <c r="N1736" i="1" s="1"/>
  <c r="S1736" i="1" s="1"/>
  <c r="M1737" i="1"/>
  <c r="N1737" i="1" s="1"/>
  <c r="S1737" i="1" s="1"/>
  <c r="M1738" i="1"/>
  <c r="N1738" i="1" s="1"/>
  <c r="S1738" i="1" s="1"/>
  <c r="M1739" i="1"/>
  <c r="N1739" i="1" s="1"/>
  <c r="S1739" i="1" s="1"/>
  <c r="M1740" i="1"/>
  <c r="N1740" i="1" s="1"/>
  <c r="S1740" i="1" s="1"/>
  <c r="M1741" i="1"/>
  <c r="N1741" i="1" s="1"/>
  <c r="S1741" i="1" s="1"/>
  <c r="M1742" i="1"/>
  <c r="N1742" i="1" s="1"/>
  <c r="S1742" i="1" s="1"/>
  <c r="M1743" i="1"/>
  <c r="N1743" i="1" s="1"/>
  <c r="S1743" i="1" s="1"/>
  <c r="M1744" i="1"/>
  <c r="N1744" i="1" s="1"/>
  <c r="S1744" i="1" s="1"/>
  <c r="M1745" i="1"/>
  <c r="N1745" i="1" s="1"/>
  <c r="S1745" i="1" s="1"/>
  <c r="M1746" i="1"/>
  <c r="N1746" i="1" s="1"/>
  <c r="S1746" i="1" s="1"/>
  <c r="M1747" i="1"/>
  <c r="N1747" i="1" s="1"/>
  <c r="S1747" i="1" s="1"/>
  <c r="M1748" i="1"/>
  <c r="N1748" i="1" s="1"/>
  <c r="S1748" i="1" s="1"/>
  <c r="M1749" i="1"/>
  <c r="N1749" i="1" s="1"/>
  <c r="S1749" i="1" s="1"/>
  <c r="M1750" i="1"/>
  <c r="N1750" i="1" s="1"/>
  <c r="S1750" i="1" s="1"/>
  <c r="M1751" i="1"/>
  <c r="N1751" i="1" s="1"/>
  <c r="S1751" i="1" s="1"/>
  <c r="M1752" i="1"/>
  <c r="N1752" i="1" s="1"/>
  <c r="S1752" i="1" s="1"/>
  <c r="M1753" i="1"/>
  <c r="N1753" i="1" s="1"/>
  <c r="S1753" i="1" s="1"/>
  <c r="M1754" i="1"/>
  <c r="N1754" i="1" s="1"/>
  <c r="S1754" i="1" s="1"/>
  <c r="M1755" i="1"/>
  <c r="N1755" i="1" s="1"/>
  <c r="S1755" i="1" s="1"/>
  <c r="M1756" i="1"/>
  <c r="N1756" i="1" s="1"/>
  <c r="S1756" i="1" s="1"/>
  <c r="M1757" i="1"/>
  <c r="N1757" i="1" s="1"/>
  <c r="S1757" i="1" s="1"/>
  <c r="M1758" i="1"/>
  <c r="N1758" i="1" s="1"/>
  <c r="S1758" i="1" s="1"/>
  <c r="M1759" i="1"/>
  <c r="N1759" i="1" s="1"/>
  <c r="S1759" i="1" s="1"/>
  <c r="M1760" i="1"/>
  <c r="N1760" i="1" s="1"/>
  <c r="S1760" i="1" s="1"/>
  <c r="M1761" i="1"/>
  <c r="N1761" i="1" s="1"/>
  <c r="S1761" i="1" s="1"/>
  <c r="M1762" i="1"/>
  <c r="N1762" i="1" s="1"/>
  <c r="S1762" i="1" s="1"/>
  <c r="M1763" i="1"/>
  <c r="N1763" i="1" s="1"/>
  <c r="S1763" i="1" s="1"/>
  <c r="M1764" i="1"/>
  <c r="N1764" i="1" s="1"/>
  <c r="S1764" i="1" s="1"/>
  <c r="M1765" i="1"/>
  <c r="N1765" i="1" s="1"/>
  <c r="S1765" i="1" s="1"/>
  <c r="M1766" i="1"/>
  <c r="N1766" i="1" s="1"/>
  <c r="S1766" i="1" s="1"/>
  <c r="M1767" i="1"/>
  <c r="N1767" i="1" s="1"/>
  <c r="S1767" i="1" s="1"/>
  <c r="M1768" i="1"/>
  <c r="N1768" i="1" s="1"/>
  <c r="S1768" i="1" s="1"/>
  <c r="M1769" i="1"/>
  <c r="N1769" i="1" s="1"/>
  <c r="S1769" i="1" s="1"/>
  <c r="M1770" i="1"/>
  <c r="N1770" i="1" s="1"/>
  <c r="S1770" i="1" s="1"/>
  <c r="M1771" i="1"/>
  <c r="N1771" i="1" s="1"/>
  <c r="S1771" i="1" s="1"/>
  <c r="M1772" i="1"/>
  <c r="N1772" i="1" s="1"/>
  <c r="S1772" i="1" s="1"/>
  <c r="M1773" i="1"/>
  <c r="N1773" i="1" s="1"/>
  <c r="S1773" i="1" s="1"/>
  <c r="M1774" i="1"/>
  <c r="M1775" i="1"/>
  <c r="N1775" i="1" s="1"/>
  <c r="S1775" i="1" s="1"/>
  <c r="M1776" i="1"/>
  <c r="N1776" i="1" s="1"/>
  <c r="S1776" i="1" s="1"/>
  <c r="M1777" i="1"/>
  <c r="N1777" i="1" s="1"/>
  <c r="S1777" i="1" s="1"/>
  <c r="M1778" i="1"/>
  <c r="N1778" i="1" s="1"/>
  <c r="S1778" i="1" s="1"/>
  <c r="M1779" i="1"/>
  <c r="N1779" i="1" s="1"/>
  <c r="S1779" i="1" s="1"/>
  <c r="M1780" i="1"/>
  <c r="N1780" i="1" s="1"/>
  <c r="S1780" i="1" s="1"/>
  <c r="M1781" i="1"/>
  <c r="N1781" i="1" s="1"/>
  <c r="S1781" i="1" s="1"/>
  <c r="M1782" i="1"/>
  <c r="N1782" i="1" s="1"/>
  <c r="S1782" i="1" s="1"/>
  <c r="M1783" i="1"/>
  <c r="N1783" i="1" s="1"/>
  <c r="S1783" i="1" s="1"/>
  <c r="M1784" i="1"/>
  <c r="N1784" i="1" s="1"/>
  <c r="S1784" i="1" s="1"/>
  <c r="M1785" i="1"/>
  <c r="N1785" i="1" s="1"/>
  <c r="S1785" i="1" s="1"/>
  <c r="M1786" i="1"/>
  <c r="N1786" i="1" s="1"/>
  <c r="S1786" i="1" s="1"/>
  <c r="M1787" i="1"/>
  <c r="N1787" i="1" s="1"/>
  <c r="S1787" i="1" s="1"/>
  <c r="M1788" i="1"/>
  <c r="N1788" i="1" s="1"/>
  <c r="S1788" i="1" s="1"/>
  <c r="M1789" i="1"/>
  <c r="N1789" i="1" s="1"/>
  <c r="S1789" i="1" s="1"/>
  <c r="M1790" i="1"/>
  <c r="N1790" i="1" s="1"/>
  <c r="S1790" i="1" s="1"/>
  <c r="M1791" i="1"/>
  <c r="N1791" i="1" s="1"/>
  <c r="S1791" i="1" s="1"/>
  <c r="M1792" i="1"/>
  <c r="N1792" i="1" s="1"/>
  <c r="S1792" i="1" s="1"/>
  <c r="M1793" i="1"/>
  <c r="N1793" i="1" s="1"/>
  <c r="S1793" i="1" s="1"/>
  <c r="M1794" i="1"/>
  <c r="N1794" i="1" s="1"/>
  <c r="S1794" i="1" s="1"/>
  <c r="M1795" i="1"/>
  <c r="N1795" i="1" s="1"/>
  <c r="S1795" i="1" s="1"/>
  <c r="M1796" i="1"/>
  <c r="N1796" i="1" s="1"/>
  <c r="S1796" i="1" s="1"/>
  <c r="M1797" i="1"/>
  <c r="N1797" i="1" s="1"/>
  <c r="S1797" i="1" s="1"/>
  <c r="M1798" i="1"/>
  <c r="N1798" i="1" s="1"/>
  <c r="S1798" i="1" s="1"/>
  <c r="M1799" i="1"/>
  <c r="N1799" i="1" s="1"/>
  <c r="S1799" i="1" s="1"/>
  <c r="M1800" i="1"/>
  <c r="N1800" i="1" s="1"/>
  <c r="S1800" i="1" s="1"/>
  <c r="M1801" i="1"/>
  <c r="N1801" i="1" s="1"/>
  <c r="S1801" i="1" s="1"/>
  <c r="M1802" i="1"/>
  <c r="N1802" i="1" s="1"/>
  <c r="S1802" i="1" s="1"/>
  <c r="M1803" i="1"/>
  <c r="N1803" i="1" s="1"/>
  <c r="S1803" i="1" s="1"/>
  <c r="M1804" i="1"/>
  <c r="N1804" i="1" s="1"/>
  <c r="S1804" i="1" s="1"/>
  <c r="M1805" i="1"/>
  <c r="N1805" i="1" s="1"/>
  <c r="S1805" i="1" s="1"/>
  <c r="M1806" i="1"/>
  <c r="N1806" i="1" s="1"/>
  <c r="S1806" i="1" s="1"/>
  <c r="M1807" i="1"/>
  <c r="N1807" i="1" s="1"/>
  <c r="S1807" i="1" s="1"/>
  <c r="M1808" i="1"/>
  <c r="N1808" i="1" s="1"/>
  <c r="S1808" i="1" s="1"/>
  <c r="M1809" i="1"/>
  <c r="N1809" i="1" s="1"/>
  <c r="S1809" i="1" s="1"/>
  <c r="M1810" i="1"/>
  <c r="N1810" i="1" s="1"/>
  <c r="S1810" i="1" s="1"/>
  <c r="M1811" i="1"/>
  <c r="N1811" i="1" s="1"/>
  <c r="S1811" i="1" s="1"/>
  <c r="M1812" i="1"/>
  <c r="N1812" i="1" s="1"/>
  <c r="S1812" i="1" s="1"/>
  <c r="M1813" i="1"/>
  <c r="N1813" i="1" s="1"/>
  <c r="S1813" i="1" s="1"/>
  <c r="M1814" i="1"/>
  <c r="N1814" i="1" s="1"/>
  <c r="S1814" i="1" s="1"/>
  <c r="M1815" i="1"/>
  <c r="N1815" i="1" s="1"/>
  <c r="S1815" i="1" s="1"/>
  <c r="M1816" i="1"/>
  <c r="N1816" i="1" s="1"/>
  <c r="S1816" i="1" s="1"/>
  <c r="M1817" i="1"/>
  <c r="N1817" i="1" s="1"/>
  <c r="S1817" i="1" s="1"/>
  <c r="M1818" i="1"/>
  <c r="N1818" i="1" s="1"/>
  <c r="S1818" i="1" s="1"/>
  <c r="M1819" i="1"/>
  <c r="N1819" i="1" s="1"/>
  <c r="S1819" i="1" s="1"/>
  <c r="M1820" i="1"/>
  <c r="N1820" i="1" s="1"/>
  <c r="S1820" i="1" s="1"/>
  <c r="M1821" i="1"/>
  <c r="N1821" i="1" s="1"/>
  <c r="S1821" i="1" s="1"/>
  <c r="M1822" i="1"/>
  <c r="N1822" i="1" s="1"/>
  <c r="S1822" i="1" s="1"/>
  <c r="M1823" i="1"/>
  <c r="N1823" i="1" s="1"/>
  <c r="S1823" i="1" s="1"/>
  <c r="M1824" i="1"/>
  <c r="N1824" i="1" s="1"/>
  <c r="S1824" i="1" s="1"/>
  <c r="M1825" i="1"/>
  <c r="N1825" i="1" s="1"/>
  <c r="S1825" i="1" s="1"/>
  <c r="M1826" i="1"/>
  <c r="N1826" i="1" s="1"/>
  <c r="S1826" i="1" s="1"/>
  <c r="M1827" i="1"/>
  <c r="N1827" i="1" s="1"/>
  <c r="S1827" i="1" s="1"/>
  <c r="M1828" i="1"/>
  <c r="N1828" i="1" s="1"/>
  <c r="S1828" i="1" s="1"/>
  <c r="M1829" i="1"/>
  <c r="N1829" i="1" s="1"/>
  <c r="S1829" i="1" s="1"/>
  <c r="M1830" i="1"/>
  <c r="N1830" i="1" s="1"/>
  <c r="S1830" i="1" s="1"/>
  <c r="M1831" i="1"/>
  <c r="N1831" i="1" s="1"/>
  <c r="S1831" i="1" s="1"/>
  <c r="M1832" i="1"/>
  <c r="N1832" i="1" s="1"/>
  <c r="S1832" i="1" s="1"/>
  <c r="M1833" i="1"/>
  <c r="N1833" i="1" s="1"/>
  <c r="S1833" i="1" s="1"/>
  <c r="M1834" i="1"/>
  <c r="N1834" i="1" s="1"/>
  <c r="S1834" i="1" s="1"/>
  <c r="M1835" i="1"/>
  <c r="N1835" i="1" s="1"/>
  <c r="S1835" i="1" s="1"/>
  <c r="M1836" i="1"/>
  <c r="N1836" i="1" s="1"/>
  <c r="S1836" i="1" s="1"/>
  <c r="M1837" i="1"/>
  <c r="N1837" i="1" s="1"/>
  <c r="S1837" i="1" s="1"/>
  <c r="M1838" i="1"/>
  <c r="N1838" i="1" s="1"/>
  <c r="S1838" i="1" s="1"/>
  <c r="M1839" i="1"/>
  <c r="N1839" i="1" s="1"/>
  <c r="S1839" i="1" s="1"/>
  <c r="M1840" i="1"/>
  <c r="N1840" i="1" s="1"/>
  <c r="S1840" i="1" s="1"/>
  <c r="M1841" i="1"/>
  <c r="N1841" i="1" s="1"/>
  <c r="S1841" i="1" s="1"/>
  <c r="M1842" i="1"/>
  <c r="N1842" i="1" s="1"/>
  <c r="S1842" i="1" s="1"/>
  <c r="M1843" i="1"/>
  <c r="N1843" i="1" s="1"/>
  <c r="S1843" i="1" s="1"/>
  <c r="M1844" i="1"/>
  <c r="N1844" i="1" s="1"/>
  <c r="S1844" i="1" s="1"/>
  <c r="M1845" i="1"/>
  <c r="N1845" i="1" s="1"/>
  <c r="S1845" i="1" s="1"/>
  <c r="M1846" i="1"/>
  <c r="N1846" i="1" s="1"/>
  <c r="S1846" i="1" s="1"/>
  <c r="M1847" i="1"/>
  <c r="N1847" i="1" s="1"/>
  <c r="S1847" i="1" s="1"/>
  <c r="M1848" i="1"/>
  <c r="N1848" i="1" s="1"/>
  <c r="S1848" i="1" s="1"/>
  <c r="M1849" i="1"/>
  <c r="N1849" i="1" s="1"/>
  <c r="S1849" i="1" s="1"/>
  <c r="M1850" i="1"/>
  <c r="N1850" i="1" s="1"/>
  <c r="S1850" i="1" s="1"/>
  <c r="M1851" i="1"/>
  <c r="N1851" i="1" s="1"/>
  <c r="S1851" i="1" s="1"/>
  <c r="M1852" i="1"/>
  <c r="N1852" i="1" s="1"/>
  <c r="S1852" i="1" s="1"/>
  <c r="M1853" i="1"/>
  <c r="N1853" i="1" s="1"/>
  <c r="M1854" i="1"/>
  <c r="N1854" i="1" s="1"/>
  <c r="S1854" i="1" s="1"/>
  <c r="M1855" i="1"/>
  <c r="N1855" i="1" s="1"/>
  <c r="S1855" i="1" s="1"/>
  <c r="M1856" i="1"/>
  <c r="N1856" i="1" s="1"/>
  <c r="S1856" i="1" s="1"/>
  <c r="M1857" i="1"/>
  <c r="N1857" i="1" s="1"/>
  <c r="S1857" i="1" s="1"/>
  <c r="M1858" i="1"/>
  <c r="N1858" i="1" s="1"/>
  <c r="S1858" i="1" s="1"/>
  <c r="M1859" i="1"/>
  <c r="N1859" i="1" s="1"/>
  <c r="S1859" i="1" s="1"/>
  <c r="M1860" i="1"/>
  <c r="N1860" i="1" s="1"/>
  <c r="S1860" i="1" s="1"/>
  <c r="M1861" i="1"/>
  <c r="N1861" i="1" s="1"/>
  <c r="S1861" i="1" s="1"/>
  <c r="M1862" i="1"/>
  <c r="N1862" i="1" s="1"/>
  <c r="S1862" i="1" s="1"/>
  <c r="M1863" i="1"/>
  <c r="N1863" i="1" s="1"/>
  <c r="M1864" i="1"/>
  <c r="N1864" i="1" s="1"/>
  <c r="S1864" i="1" s="1"/>
  <c r="M1865" i="1"/>
  <c r="N1865" i="1" s="1"/>
  <c r="S1865" i="1" s="1"/>
  <c r="M1866" i="1"/>
  <c r="N1866" i="1" s="1"/>
  <c r="S1866" i="1" s="1"/>
  <c r="M1867" i="1"/>
  <c r="N1867" i="1" s="1"/>
  <c r="S1867" i="1" s="1"/>
  <c r="M1868" i="1"/>
  <c r="N1868" i="1" s="1"/>
  <c r="S1868" i="1" s="1"/>
  <c r="M1869" i="1"/>
  <c r="N1869" i="1" s="1"/>
  <c r="S1869" i="1" s="1"/>
  <c r="M1870" i="1"/>
  <c r="N1870" i="1" s="1"/>
  <c r="S1870" i="1" s="1"/>
  <c r="M1871" i="1"/>
  <c r="N1871" i="1" s="1"/>
  <c r="S1871" i="1" s="1"/>
  <c r="M1872" i="1"/>
  <c r="N1872" i="1" s="1"/>
  <c r="S1872" i="1" s="1"/>
  <c r="M1873" i="1"/>
  <c r="N1873" i="1" s="1"/>
  <c r="S1873" i="1" s="1"/>
  <c r="M1874" i="1"/>
  <c r="N1874" i="1" s="1"/>
  <c r="S1874" i="1" s="1"/>
  <c r="M1875" i="1"/>
  <c r="N1875" i="1" s="1"/>
  <c r="S1875" i="1" s="1"/>
  <c r="M1876" i="1"/>
  <c r="N1876" i="1" s="1"/>
  <c r="S1876" i="1" s="1"/>
  <c r="M1877" i="1"/>
  <c r="N1877" i="1" s="1"/>
  <c r="S1877" i="1" s="1"/>
  <c r="M1878" i="1"/>
  <c r="N1878" i="1" s="1"/>
  <c r="S1878" i="1" s="1"/>
  <c r="M1879" i="1"/>
  <c r="N1879" i="1" s="1"/>
  <c r="S1879" i="1" s="1"/>
  <c r="M1880" i="1"/>
  <c r="N1880" i="1" s="1"/>
  <c r="S1880" i="1" s="1"/>
  <c r="M1881" i="1"/>
  <c r="N1881" i="1" s="1"/>
  <c r="S1881" i="1" s="1"/>
  <c r="M1882" i="1"/>
  <c r="N1882" i="1" s="1"/>
  <c r="S1882" i="1" s="1"/>
  <c r="M1883" i="1"/>
  <c r="N1883" i="1" s="1"/>
  <c r="S1883" i="1" s="1"/>
  <c r="M1884" i="1"/>
  <c r="N1884" i="1" s="1"/>
  <c r="S1884" i="1" s="1"/>
  <c r="M1885" i="1"/>
  <c r="N1885" i="1" s="1"/>
  <c r="S1885" i="1" s="1"/>
  <c r="M1638" i="1"/>
  <c r="N1638" i="1" s="1"/>
  <c r="S1638" i="1" s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543" i="1"/>
  <c r="N1544" i="1"/>
  <c r="N1545" i="1"/>
  <c r="N1549" i="1"/>
  <c r="N1560" i="1"/>
  <c r="N1565" i="1"/>
  <c r="N1576" i="1"/>
  <c r="S1576" i="1" s="1"/>
  <c r="N1581" i="1"/>
  <c r="S1581" i="1" s="1"/>
  <c r="N1624" i="1"/>
  <c r="S1624" i="1" s="1"/>
  <c r="N1629" i="1"/>
  <c r="S1629" i="1" s="1"/>
  <c r="M1544" i="1"/>
  <c r="M1545" i="1"/>
  <c r="M1546" i="1"/>
  <c r="N1546" i="1" s="1"/>
  <c r="M1547" i="1"/>
  <c r="N1547" i="1" s="1"/>
  <c r="S1547" i="1" s="1"/>
  <c r="M1548" i="1"/>
  <c r="N1548" i="1" s="1"/>
  <c r="M1549" i="1"/>
  <c r="M1550" i="1"/>
  <c r="N1550" i="1" s="1"/>
  <c r="S1550" i="1" s="1"/>
  <c r="M1551" i="1"/>
  <c r="N1551" i="1" s="1"/>
  <c r="M1552" i="1"/>
  <c r="N1552" i="1" s="1"/>
  <c r="M1553" i="1"/>
  <c r="N1553" i="1" s="1"/>
  <c r="M1554" i="1"/>
  <c r="N1554" i="1" s="1"/>
  <c r="S1554" i="1" s="1"/>
  <c r="M1555" i="1"/>
  <c r="N1555" i="1" s="1"/>
  <c r="M1556" i="1"/>
  <c r="N1556" i="1" s="1"/>
  <c r="M1557" i="1"/>
  <c r="N1557" i="1" s="1"/>
  <c r="S1557" i="1" s="1"/>
  <c r="M1558" i="1"/>
  <c r="N1558" i="1" s="1"/>
  <c r="M1559" i="1"/>
  <c r="N1559" i="1" s="1"/>
  <c r="S1559" i="1" s="1"/>
  <c r="M1560" i="1"/>
  <c r="M1561" i="1"/>
  <c r="N1561" i="1" s="1"/>
  <c r="M1562" i="1"/>
  <c r="N1562" i="1" s="1"/>
  <c r="M1563" i="1"/>
  <c r="N1563" i="1" s="1"/>
  <c r="M1564" i="1"/>
  <c r="N1564" i="1" s="1"/>
  <c r="S1564" i="1" s="1"/>
  <c r="M1565" i="1"/>
  <c r="M1566" i="1"/>
  <c r="N1566" i="1" s="1"/>
  <c r="S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S1574" i="1" s="1"/>
  <c r="M1575" i="1"/>
  <c r="N1575" i="1" s="1"/>
  <c r="M1576" i="1"/>
  <c r="M1577" i="1"/>
  <c r="N1577" i="1" s="1"/>
  <c r="M1578" i="1"/>
  <c r="N1578" i="1" s="1"/>
  <c r="S1578" i="1" s="1"/>
  <c r="M1579" i="1"/>
  <c r="N1579" i="1" s="1"/>
  <c r="S1579" i="1" s="1"/>
  <c r="M1580" i="1"/>
  <c r="N1580" i="1" s="1"/>
  <c r="S1580" i="1" s="1"/>
  <c r="M1581" i="1"/>
  <c r="M1582" i="1"/>
  <c r="N1582" i="1" s="1"/>
  <c r="S1582" i="1" s="1"/>
  <c r="M1583" i="1"/>
  <c r="N1583" i="1" s="1"/>
  <c r="S1583" i="1" s="1"/>
  <c r="M1584" i="1"/>
  <c r="N1584" i="1" s="1"/>
  <c r="S1584" i="1" s="1"/>
  <c r="M1585" i="1"/>
  <c r="N1585" i="1" s="1"/>
  <c r="S1585" i="1" s="1"/>
  <c r="M1586" i="1"/>
  <c r="N1586" i="1" s="1"/>
  <c r="S1586" i="1" s="1"/>
  <c r="M1587" i="1"/>
  <c r="N1587" i="1" s="1"/>
  <c r="S1587" i="1" s="1"/>
  <c r="M1588" i="1"/>
  <c r="N1588" i="1" s="1"/>
  <c r="M1589" i="1"/>
  <c r="N1589" i="1" s="1"/>
  <c r="S1589" i="1" s="1"/>
  <c r="M1590" i="1"/>
  <c r="N1590" i="1" s="1"/>
  <c r="M1591" i="1"/>
  <c r="N1591" i="1" s="1"/>
  <c r="S1591" i="1" s="1"/>
  <c r="M1592" i="1"/>
  <c r="N1592" i="1" s="1"/>
  <c r="M1593" i="1"/>
  <c r="N1593" i="1" s="1"/>
  <c r="S1593" i="1" s="1"/>
  <c r="M1594" i="1"/>
  <c r="N1594" i="1" s="1"/>
  <c r="M1595" i="1"/>
  <c r="N1595" i="1" s="1"/>
  <c r="M1596" i="1"/>
  <c r="N1596" i="1" s="1"/>
  <c r="S1596" i="1" s="1"/>
  <c r="M1597" i="1"/>
  <c r="N1597" i="1" s="1"/>
  <c r="S1597" i="1" s="1"/>
  <c r="M1598" i="1"/>
  <c r="N1598" i="1" s="1"/>
  <c r="M1599" i="1"/>
  <c r="N1599" i="1" s="1"/>
  <c r="S1599" i="1" s="1"/>
  <c r="M1600" i="1"/>
  <c r="N1600" i="1" s="1"/>
  <c r="M1601" i="1"/>
  <c r="N1601" i="1" s="1"/>
  <c r="M1602" i="1"/>
  <c r="N1602" i="1" s="1"/>
  <c r="S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S1607" i="1" s="1"/>
  <c r="M1608" i="1"/>
  <c r="N1608" i="1" s="1"/>
  <c r="M1609" i="1"/>
  <c r="N1609" i="1" s="1"/>
  <c r="M1610" i="1"/>
  <c r="N1610" i="1" s="1"/>
  <c r="S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S1616" i="1" s="1"/>
  <c r="M1617" i="1"/>
  <c r="N1617" i="1" s="1"/>
  <c r="S1617" i="1" s="1"/>
  <c r="M1618" i="1"/>
  <c r="N1618" i="1" s="1"/>
  <c r="M1619" i="1"/>
  <c r="N1619" i="1" s="1"/>
  <c r="S1619" i="1" s="1"/>
  <c r="M1620" i="1"/>
  <c r="N1620" i="1" s="1"/>
  <c r="S1620" i="1" s="1"/>
  <c r="M1621" i="1"/>
  <c r="N1621" i="1" s="1"/>
  <c r="M1622" i="1"/>
  <c r="N1622" i="1" s="1"/>
  <c r="S1622" i="1" s="1"/>
  <c r="M1623" i="1"/>
  <c r="N1623" i="1" s="1"/>
  <c r="M1624" i="1"/>
  <c r="M1625" i="1"/>
  <c r="N1625" i="1" s="1"/>
  <c r="M1626" i="1"/>
  <c r="N1626" i="1" s="1"/>
  <c r="S1626" i="1" s="1"/>
  <c r="M1627" i="1"/>
  <c r="N1627" i="1" s="1"/>
  <c r="M1628" i="1"/>
  <c r="N1628" i="1" s="1"/>
  <c r="M1629" i="1"/>
  <c r="M1630" i="1"/>
  <c r="N1630" i="1" s="1"/>
  <c r="M1631" i="1"/>
  <c r="N1631" i="1" s="1"/>
  <c r="S1631" i="1" s="1"/>
  <c r="M1632" i="1"/>
  <c r="N1632" i="1" s="1"/>
  <c r="M1633" i="1"/>
  <c r="N1633" i="1" s="1"/>
  <c r="S1633" i="1" s="1"/>
  <c r="M1634" i="1"/>
  <c r="N1634" i="1" s="1"/>
  <c r="M1635" i="1"/>
  <c r="N1635" i="1" s="1"/>
  <c r="S1635" i="1" s="1"/>
  <c r="M1636" i="1"/>
  <c r="N1636" i="1" s="1"/>
  <c r="M1543" i="1"/>
  <c r="N1543" i="1" s="1"/>
  <c r="S1543" i="1" s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439" i="1"/>
  <c r="S1442" i="1"/>
  <c r="S1446" i="1"/>
  <c r="S1450" i="1"/>
  <c r="S1453" i="1"/>
  <c r="S1456" i="1"/>
  <c r="S1459" i="1"/>
  <c r="S1461" i="1"/>
  <c r="S1463" i="1"/>
  <c r="S1465" i="1"/>
  <c r="S1467" i="1"/>
  <c r="S1469" i="1"/>
  <c r="S1471" i="1"/>
  <c r="S1474" i="1"/>
  <c r="S1477" i="1"/>
  <c r="S1480" i="1"/>
  <c r="S1481" i="1"/>
  <c r="S1483" i="1"/>
  <c r="S1485" i="1"/>
  <c r="S1487" i="1"/>
  <c r="S1488" i="1"/>
  <c r="S1490" i="1"/>
  <c r="S1491" i="1"/>
  <c r="S1493" i="1"/>
  <c r="S1494" i="1"/>
  <c r="S1495" i="1"/>
  <c r="S1497" i="1"/>
  <c r="S1498" i="1"/>
  <c r="S1500" i="1"/>
  <c r="S1502" i="1"/>
  <c r="S1504" i="1"/>
  <c r="S1506" i="1"/>
  <c r="S1508" i="1"/>
  <c r="S1511" i="1"/>
  <c r="S1513" i="1"/>
  <c r="S1515" i="1"/>
  <c r="S1518" i="1"/>
  <c r="S1520" i="1"/>
  <c r="S1522" i="1"/>
  <c r="S1524" i="1"/>
  <c r="S1526" i="1"/>
  <c r="S1528" i="1"/>
  <c r="S1530" i="1"/>
  <c r="S1531" i="1"/>
  <c r="S1533" i="1"/>
  <c r="S1534" i="1"/>
  <c r="S1536" i="1"/>
  <c r="S1538" i="1"/>
  <c r="S1540" i="1"/>
  <c r="S1542" i="1"/>
  <c r="S1439" i="1"/>
  <c r="R1441" i="1"/>
  <c r="R1443" i="1"/>
  <c r="R1444" i="1"/>
  <c r="R1445" i="1"/>
  <c r="R1447" i="1"/>
  <c r="R1448" i="1"/>
  <c r="R1449" i="1"/>
  <c r="R1451" i="1"/>
  <c r="R1452" i="1"/>
  <c r="R1454" i="1"/>
  <c r="R1455" i="1"/>
  <c r="R1457" i="1"/>
  <c r="R1458" i="1"/>
  <c r="R1460" i="1"/>
  <c r="R1462" i="1"/>
  <c r="R1464" i="1"/>
  <c r="R1466" i="1"/>
  <c r="R1468" i="1"/>
  <c r="R1470" i="1"/>
  <c r="R1473" i="1"/>
  <c r="R1476" i="1"/>
  <c r="R1479" i="1"/>
  <c r="R1482" i="1"/>
  <c r="R1484" i="1"/>
  <c r="R1486" i="1"/>
  <c r="R1489" i="1"/>
  <c r="R1492" i="1"/>
  <c r="R1496" i="1"/>
  <c r="R1501" i="1"/>
  <c r="R1503" i="1"/>
  <c r="R1505" i="1"/>
  <c r="R1507" i="1"/>
  <c r="R1509" i="1"/>
  <c r="R1510" i="1"/>
  <c r="R1512" i="1"/>
  <c r="R1514" i="1"/>
  <c r="R1516" i="1"/>
  <c r="R1517" i="1"/>
  <c r="R1519" i="1"/>
  <c r="R1521" i="1"/>
  <c r="R1523" i="1"/>
  <c r="R1525" i="1"/>
  <c r="R1527" i="1"/>
  <c r="R1529" i="1"/>
  <c r="R1535" i="1"/>
  <c r="R1537" i="1"/>
  <c r="R1539" i="1"/>
  <c r="R1541" i="1"/>
  <c r="R1440" i="1"/>
  <c r="S1382" i="1"/>
  <c r="S1384" i="1"/>
  <c r="S1386" i="1"/>
  <c r="S1388" i="1"/>
  <c r="S1390" i="1"/>
  <c r="S1393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6" i="1"/>
  <c r="S1437" i="1"/>
  <c r="S1369" i="1"/>
  <c r="S1370" i="1"/>
  <c r="S1371" i="1"/>
  <c r="S1372" i="1"/>
  <c r="S1373" i="1"/>
  <c r="S1374" i="1"/>
  <c r="S1375" i="1"/>
  <c r="S1376" i="1"/>
  <c r="S1377" i="1"/>
  <c r="S1378" i="1"/>
  <c r="S1368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53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10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161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20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2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77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tc={9AE6B82E-828D-46FB-B4D4-ADBC566C786E}</author>
    <author>tc={FBE97EC0-C537-4CB0-A87E-0819B17F292F}</author>
    <author>tc={850C4BB7-934B-401E-B29D-48BB959F12B5}</author>
  </authors>
  <commentList>
    <comment ref="H223" authorId="0" shapeId="0" xr:uid="{9AE6B82E-828D-46FB-B4D4-ADBC566C786E}">
      <text>
        <t>[Threaded comment]
Your version of Excel allows you to read this threaded comment; however, any edits to it will get removed if the file is opened in a newer version of Excel. Learn more: https://go.microsoft.com/fwlink/?linkid=870924
Comment:
    Mbsf, might need to separate each columns depth types</t>
      </text>
    </comment>
    <comment ref="J223" authorId="1" shapeId="0" xr:uid="{FBE97EC0-C537-4CB0-A87E-0819B17F292F}">
      <text>
        <t>[Threaded comment]
Your version of Excel allows you to read this threaded comment; however, any edits to it will get removed if the file is opened in a newer version of Excel. Learn more: https://go.microsoft.com/fwlink/?linkid=870924
Comment:
    Author doesn’t mention specific lith for each sample just a general lith for the entire column</t>
      </text>
    </comment>
    <comment ref="Q335" authorId="2" shapeId="0" xr:uid="{850C4BB7-934B-401E-B29D-48BB959F12B5}">
      <text>
        <t>[Threaded comment]
Your version of Excel allows you to read this threaded comment; however, any edits to it will get removed if the file is opened in a newer version of Excel. Learn more: https://go.microsoft.com/fwlink/?linkid=870924
Comment:
    Sr and Ca data are available in the paper but I would have to calculate this myself</t>
      </text>
    </comment>
  </commentList>
</comments>
</file>

<file path=xl/sharedStrings.xml><?xml version="1.0" encoding="utf-8"?>
<sst xmlns="http://schemas.openxmlformats.org/spreadsheetml/2006/main" count="72351" uniqueCount="6421">
  <si>
    <t>Source</t>
  </si>
  <si>
    <t>Sample ID</t>
  </si>
  <si>
    <t>Location</t>
  </si>
  <si>
    <t>Age Min (Ma)</t>
  </si>
  <si>
    <t>Age Max (Ma)</t>
  </si>
  <si>
    <t>Depth in Column (m)</t>
  </si>
  <si>
    <t>Sample Type</t>
  </si>
  <si>
    <t>Lithology</t>
  </si>
  <si>
    <t>Mineralogy</t>
  </si>
  <si>
    <t>δ Value</t>
  </si>
  <si>
    <t>Ca Ratio</t>
  </si>
  <si>
    <t>Reference Standard</t>
  </si>
  <si>
    <t xml:space="preserve">[Sr] </t>
  </si>
  <si>
    <t>[Sr] Unit</t>
  </si>
  <si>
    <t>Sr/Ca</t>
  </si>
  <si>
    <t>Sr/Ca Unit</t>
  </si>
  <si>
    <t>Tomayo et al. 2018</t>
  </si>
  <si>
    <t>PDJ-001</t>
  </si>
  <si>
    <t>Great Bank of Guizhou</t>
  </si>
  <si>
    <t xml:space="preserve">Dajiang Fm. </t>
  </si>
  <si>
    <t>Micrite</t>
  </si>
  <si>
    <t>PG</t>
  </si>
  <si>
    <t>Calcite+Dolomite</t>
  </si>
  <si>
    <t>44/40</t>
  </si>
  <si>
    <t>SRM915a</t>
  </si>
  <si>
    <t>Na</t>
  </si>
  <si>
    <t>PDJ-009</t>
  </si>
  <si>
    <t>Dajiang Fm.</t>
  </si>
  <si>
    <t>ppm</t>
  </si>
  <si>
    <t>mol/mol</t>
  </si>
  <si>
    <t>PDJ-017</t>
  </si>
  <si>
    <t>PDJ-026</t>
  </si>
  <si>
    <t>PDJ-030</t>
  </si>
  <si>
    <t>PDJ-033</t>
  </si>
  <si>
    <t>PDJ-040</t>
  </si>
  <si>
    <t>PDJ-044</t>
  </si>
  <si>
    <t>TH</t>
  </si>
  <si>
    <t>PDJ-046</t>
  </si>
  <si>
    <t>PDJ-050</t>
  </si>
  <si>
    <t>PDJ-053</t>
  </si>
  <si>
    <t>PDJ-055</t>
  </si>
  <si>
    <t>PDJ-058</t>
  </si>
  <si>
    <t>PDJ-061</t>
  </si>
  <si>
    <t>PDJ-064</t>
  </si>
  <si>
    <t>PDJ-068</t>
  </si>
  <si>
    <t>MS</t>
  </si>
  <si>
    <t>PDJ-072</t>
  </si>
  <si>
    <t>PDJ-075</t>
  </si>
  <si>
    <t>PDJ-080</t>
  </si>
  <si>
    <t>PDJ-081</t>
  </si>
  <si>
    <t>PDJ-090</t>
  </si>
  <si>
    <t>PDJ-100</t>
  </si>
  <si>
    <t>PDJ-107</t>
  </si>
  <si>
    <t>PDJ-115</t>
  </si>
  <si>
    <t>PDJ-118</t>
  </si>
  <si>
    <t>PDJ-127</t>
  </si>
  <si>
    <t>PDJ-132</t>
  </si>
  <si>
    <t>PDJ-140</t>
  </si>
  <si>
    <t>OL</t>
  </si>
  <si>
    <t>PDJ-148</t>
  </si>
  <si>
    <t>PDJ-162</t>
  </si>
  <si>
    <t>PS</t>
  </si>
  <si>
    <t>SQD-9</t>
  </si>
  <si>
    <t>Saiq</t>
  </si>
  <si>
    <t>Saiq Fm.</t>
  </si>
  <si>
    <t>SQD-8</t>
  </si>
  <si>
    <t>SQD-7</t>
  </si>
  <si>
    <t>SQD-6</t>
  </si>
  <si>
    <t>SQD 5</t>
  </si>
  <si>
    <t>SQD 4</t>
  </si>
  <si>
    <t>SQD-3</t>
  </si>
  <si>
    <t>SQD 2</t>
  </si>
  <si>
    <t>SQD-1</t>
  </si>
  <si>
    <t>SQC 27</t>
  </si>
  <si>
    <t>BRCA</t>
  </si>
  <si>
    <t>SQC- 22</t>
  </si>
  <si>
    <t>SQC-21</t>
  </si>
  <si>
    <t>SQC-18</t>
  </si>
  <si>
    <t>SQC-14</t>
  </si>
  <si>
    <t>FS</t>
  </si>
  <si>
    <t>SQC-10</t>
  </si>
  <si>
    <t xml:space="preserve">SQC-9 </t>
  </si>
  <si>
    <t>SQC-5</t>
  </si>
  <si>
    <t>SQC 2</t>
  </si>
  <si>
    <t>SQC 1</t>
  </si>
  <si>
    <t>Taskent</t>
  </si>
  <si>
    <t>Çekiç Dağ Fm.</t>
  </si>
  <si>
    <t>BS</t>
  </si>
  <si>
    <t>Gevne Fm.</t>
  </si>
  <si>
    <t>GS</t>
  </si>
  <si>
    <t>WS</t>
  </si>
  <si>
    <t>4-c</t>
  </si>
  <si>
    <t>Tesero</t>
  </si>
  <si>
    <t>Bellerophon Fm.</t>
  </si>
  <si>
    <t>4-j</t>
  </si>
  <si>
    <t>Bellerophon Fm</t>
  </si>
  <si>
    <t>4-m</t>
  </si>
  <si>
    <t>4-q</t>
  </si>
  <si>
    <t>4-t</t>
  </si>
  <si>
    <t>4-y</t>
  </si>
  <si>
    <t>4-aa</t>
  </si>
  <si>
    <t>4-ac</t>
  </si>
  <si>
    <t>4-ae</t>
  </si>
  <si>
    <t>TOH</t>
  </si>
  <si>
    <t>4-af</t>
  </si>
  <si>
    <t>4-ah</t>
  </si>
  <si>
    <t>4-am</t>
  </si>
  <si>
    <t>4-an</t>
  </si>
  <si>
    <t>4-ao</t>
  </si>
  <si>
    <t>4-ap</t>
  </si>
  <si>
    <t>5-u</t>
  </si>
  <si>
    <t>Werfen Fm.</t>
  </si>
  <si>
    <t>5-x</t>
  </si>
  <si>
    <t>5-z</t>
  </si>
  <si>
    <t>5-p</t>
  </si>
  <si>
    <t>5-a</t>
  </si>
  <si>
    <t>5-h</t>
  </si>
  <si>
    <t>CAF2</t>
  </si>
  <si>
    <t>Geomar</t>
  </si>
  <si>
    <t>Lab Standard</t>
  </si>
  <si>
    <t>BSE</t>
  </si>
  <si>
    <t>Berkeley</t>
  </si>
  <si>
    <t>Dajiangbian Fm.</t>
  </si>
  <si>
    <t>MW</t>
  </si>
  <si>
    <t>DL</t>
  </si>
  <si>
    <t>PDJ-171</t>
  </si>
  <si>
    <t>PDJ-179</t>
  </si>
  <si>
    <t>PDJ-191</t>
  </si>
  <si>
    <t>PDJ-201</t>
  </si>
  <si>
    <t>PDJ-216</t>
  </si>
  <si>
    <t>PDJ-224</t>
  </si>
  <si>
    <t>PDJ-235</t>
  </si>
  <si>
    <t>PDJ-241</t>
  </si>
  <si>
    <t>PDJ-247</t>
  </si>
  <si>
    <t>PDJ-260</t>
  </si>
  <si>
    <t>PDJ-265</t>
  </si>
  <si>
    <t>PDJ-269</t>
  </si>
  <si>
    <t>PDJ-271</t>
  </si>
  <si>
    <t>PDJ-274</t>
  </si>
  <si>
    <t>PDJ-276</t>
  </si>
  <si>
    <t>PDJ-279</t>
  </si>
  <si>
    <t>PDJ-282</t>
  </si>
  <si>
    <t>PDJ-286</t>
  </si>
  <si>
    <t>PDJ-290</t>
  </si>
  <si>
    <t>PDJ-299</t>
  </si>
  <si>
    <t>PDJ-301</t>
  </si>
  <si>
    <t>PDJ-307</t>
  </si>
  <si>
    <t>PDJ-316</t>
  </si>
  <si>
    <t>DJB-03</t>
  </si>
  <si>
    <t>DJB-06</t>
  </si>
  <si>
    <t>DJB-08</t>
  </si>
  <si>
    <t>DJB-11</t>
  </si>
  <si>
    <t>DJB-13</t>
  </si>
  <si>
    <t>DJB-15</t>
  </si>
  <si>
    <t>DJB-19</t>
  </si>
  <si>
    <t>DJB-21</t>
  </si>
  <si>
    <t>DJB-27</t>
  </si>
  <si>
    <t>MDJ-31</t>
  </si>
  <si>
    <t>DJB-46</t>
  </si>
  <si>
    <t>DJB-48</t>
  </si>
  <si>
    <t>DJB-57</t>
  </si>
  <si>
    <t>DJB-60</t>
  </si>
  <si>
    <t>DJB-62</t>
  </si>
  <si>
    <t>DJB-71</t>
  </si>
  <si>
    <t>TCX-0</t>
  </si>
  <si>
    <t>Taşkent</t>
  </si>
  <si>
    <t>Aladağ Unit</t>
  </si>
  <si>
    <t>TCX-6</t>
  </si>
  <si>
    <t>TCX-7</t>
  </si>
  <si>
    <t>TCX-10</t>
  </si>
  <si>
    <t>TCX-16</t>
  </si>
  <si>
    <t>TCX-18</t>
  </si>
  <si>
    <t>TCX-25</t>
  </si>
  <si>
    <t>TCX-35</t>
  </si>
  <si>
    <t>TCX-37</t>
  </si>
  <si>
    <t>TCX-40</t>
  </si>
  <si>
    <t>TCX-44</t>
  </si>
  <si>
    <t>TCX-47</t>
  </si>
  <si>
    <t>TCX-47.5</t>
  </si>
  <si>
    <t>TK-0.03</t>
  </si>
  <si>
    <t>TK-1.5</t>
  </si>
  <si>
    <t>TK-2.15</t>
  </si>
  <si>
    <t>TK-2.9</t>
  </si>
  <si>
    <t>TK-3.8</t>
  </si>
  <si>
    <t>TK-4.15</t>
  </si>
  <si>
    <t>TK-7.3</t>
  </si>
  <si>
    <t>TK-12.3</t>
  </si>
  <si>
    <t>TK-18.1</t>
  </si>
  <si>
    <t>TK-27.1</t>
  </si>
  <si>
    <t>TK-34.1</t>
  </si>
  <si>
    <t>TK-40.1</t>
  </si>
  <si>
    <t>TK-45.5</t>
  </si>
  <si>
    <t>TK-47</t>
  </si>
  <si>
    <t>TK-48.5</t>
  </si>
  <si>
    <t>TK-54.5</t>
  </si>
  <si>
    <t>TK-58.7</t>
  </si>
  <si>
    <t>TK-62</t>
  </si>
  <si>
    <t>TK-76.5</t>
  </si>
  <si>
    <t>TK-88</t>
  </si>
  <si>
    <t>TK-95</t>
  </si>
  <si>
    <t>TK-109</t>
  </si>
  <si>
    <t>TK-128</t>
  </si>
  <si>
    <t>TK-136.5</t>
  </si>
  <si>
    <t>TK-139.5</t>
  </si>
  <si>
    <t>TK-151</t>
  </si>
  <si>
    <t>TK-169</t>
  </si>
  <si>
    <t>TK-176.2</t>
  </si>
  <si>
    <t>TK-201</t>
  </si>
  <si>
    <t>TK-207</t>
  </si>
  <si>
    <t>TK-226</t>
  </si>
  <si>
    <t>TK-234</t>
  </si>
  <si>
    <t>TK-265.5</t>
  </si>
  <si>
    <t>TK-287</t>
  </si>
  <si>
    <t>TK-305</t>
  </si>
  <si>
    <t>TK-315</t>
  </si>
  <si>
    <t>TK-321</t>
  </si>
  <si>
    <t>TK-351</t>
  </si>
  <si>
    <t>TK-377.5</t>
  </si>
  <si>
    <t>TK-450.5</t>
  </si>
  <si>
    <t>TK-474.8</t>
  </si>
  <si>
    <t>TK-489.5</t>
  </si>
  <si>
    <t>TK-562</t>
  </si>
  <si>
    <t>TK-627</t>
  </si>
  <si>
    <t>TKU-25</t>
  </si>
  <si>
    <t>TKU-63.7</t>
  </si>
  <si>
    <t>TKU-218.5</t>
  </si>
  <si>
    <t>Site1131-S1</t>
  </si>
  <si>
    <t>Eucla Shelf</t>
  </si>
  <si>
    <t>Sediment</t>
  </si>
  <si>
    <t>Calcite+Minor Dolomite</t>
  </si>
  <si>
    <t>SW</t>
  </si>
  <si>
    <t>mmol/mol</t>
  </si>
  <si>
    <t>Site1131-S2</t>
  </si>
  <si>
    <t>Site1131-S3</t>
  </si>
  <si>
    <t>Site1131-S4</t>
  </si>
  <si>
    <t>Site1131-S5</t>
  </si>
  <si>
    <t>Site1131-S6</t>
  </si>
  <si>
    <t>Site1131-S7</t>
  </si>
  <si>
    <t>Site1131-S8</t>
  </si>
  <si>
    <t>Site1131-S9</t>
  </si>
  <si>
    <t>Site1131-S10</t>
  </si>
  <si>
    <t>Site1131-S11</t>
  </si>
  <si>
    <t>Site1131-S12</t>
  </si>
  <si>
    <t>Site1131-S13</t>
  </si>
  <si>
    <t>Site1131-S14</t>
  </si>
  <si>
    <t>Site1131-S15</t>
  </si>
  <si>
    <t>Site1131-S16</t>
  </si>
  <si>
    <t>Site1131-S17</t>
  </si>
  <si>
    <t>Site1131-S18</t>
  </si>
  <si>
    <t>Site1131-S19</t>
  </si>
  <si>
    <t>Site1131-S20</t>
  </si>
  <si>
    <t>Site1131-S21</t>
  </si>
  <si>
    <t>Site1131-S22</t>
  </si>
  <si>
    <t>Site1131-S23</t>
  </si>
  <si>
    <t>Site1131-S24</t>
  </si>
  <si>
    <t>Site1131-S25</t>
  </si>
  <si>
    <t>Site1131-S26</t>
  </si>
  <si>
    <t>Site1131-S27</t>
  </si>
  <si>
    <t>Site1131-S28</t>
  </si>
  <si>
    <t>Site1131-S29</t>
  </si>
  <si>
    <t>Site1131-S30</t>
  </si>
  <si>
    <t>Site1131-S31</t>
  </si>
  <si>
    <t>Site1131-S32</t>
  </si>
  <si>
    <t>Site1131-S33</t>
  </si>
  <si>
    <t>Site1131-S34</t>
  </si>
  <si>
    <t>Site1131-S35</t>
  </si>
  <si>
    <t>Site1131-S36</t>
  </si>
  <si>
    <t>Site1131-S37</t>
  </si>
  <si>
    <t>Site1131-S38</t>
  </si>
  <si>
    <t>Site1131-S39</t>
  </si>
  <si>
    <t>Site1131-S40</t>
  </si>
  <si>
    <t>Site1131-S41</t>
  </si>
  <si>
    <t>Site1131-S42</t>
  </si>
  <si>
    <t>Site1131-S43</t>
  </si>
  <si>
    <t>Site1131-S44</t>
  </si>
  <si>
    <t>Site1007-S1</t>
  </si>
  <si>
    <t>Western Great Bahamas Bank</t>
  </si>
  <si>
    <t>Aragonite+Minor Calcite</t>
  </si>
  <si>
    <t>Site1007-S2</t>
  </si>
  <si>
    <t>Site1007-S3</t>
  </si>
  <si>
    <t>Site1007-S4</t>
  </si>
  <si>
    <t>Site1007-S5</t>
  </si>
  <si>
    <t>Site1007-S6</t>
  </si>
  <si>
    <t>Site1007-S7</t>
  </si>
  <si>
    <t>Site1007-S8</t>
  </si>
  <si>
    <t>Site1007-S9</t>
  </si>
  <si>
    <t>Site1007-S10</t>
  </si>
  <si>
    <t>Site1007-S11</t>
  </si>
  <si>
    <t>Site1007-S12</t>
  </si>
  <si>
    <t>Site1007-S13</t>
  </si>
  <si>
    <t>Site1007-S14</t>
  </si>
  <si>
    <t>Site1007-S15</t>
  </si>
  <si>
    <t>Site1007-S16</t>
  </si>
  <si>
    <t>Site1007-S17</t>
  </si>
  <si>
    <t>Site1007-S18</t>
  </si>
  <si>
    <t>Site1007-S19</t>
  </si>
  <si>
    <t>Site1007-S20</t>
  </si>
  <si>
    <t>Site1007-S21</t>
  </si>
  <si>
    <t>Site1007-S22</t>
  </si>
  <si>
    <t>Site1007-S23</t>
  </si>
  <si>
    <t>Site1007-S24</t>
  </si>
  <si>
    <t>Site1007-S25</t>
  </si>
  <si>
    <t>Site1007-S26</t>
  </si>
  <si>
    <t>Site1007-S27</t>
  </si>
  <si>
    <t>Site1007-S28</t>
  </si>
  <si>
    <t>Site1007-S29</t>
  </si>
  <si>
    <t>Site1007-S30</t>
  </si>
  <si>
    <t>Site1007-S31</t>
  </si>
  <si>
    <t>Site1007-S32</t>
  </si>
  <si>
    <t>Site1007-S33</t>
  </si>
  <si>
    <t>Site1007-S34</t>
  </si>
  <si>
    <t>Site1007-S35</t>
  </si>
  <si>
    <t>Site1007-S36</t>
  </si>
  <si>
    <t>Site1007-S37</t>
  </si>
  <si>
    <t>Site1007-S38</t>
  </si>
  <si>
    <t>Site1007-S39</t>
  </si>
  <si>
    <t>Site1007-S40</t>
  </si>
  <si>
    <t>Site1007-S41</t>
  </si>
  <si>
    <t>Site1007-S42</t>
  </si>
  <si>
    <t>Site1007-S43</t>
  </si>
  <si>
    <t>Site1007-S44</t>
  </si>
  <si>
    <t>Site1007-S45</t>
  </si>
  <si>
    <t>Site1007-S46</t>
  </si>
  <si>
    <t>Site1007-S47</t>
  </si>
  <si>
    <t>Site1007-S48</t>
  </si>
  <si>
    <t>Site1007-S49</t>
  </si>
  <si>
    <t>Site1007-S50</t>
  </si>
  <si>
    <t>Site1007-S51</t>
  </si>
  <si>
    <t>Site1007-S52</t>
  </si>
  <si>
    <t>Site1007-S53</t>
  </si>
  <si>
    <t>Site1007-S54</t>
  </si>
  <si>
    <t>Site1007-S55</t>
  </si>
  <si>
    <t>Site1007-S56</t>
  </si>
  <si>
    <t>Site1007-S57</t>
  </si>
  <si>
    <t>Site1007-S58</t>
  </si>
  <si>
    <t>Site1007-S59</t>
  </si>
  <si>
    <t>Site1007-S60</t>
  </si>
  <si>
    <t>Site1007-S61</t>
  </si>
  <si>
    <t>Site1007-S62</t>
  </si>
  <si>
    <t>Site1007-S63</t>
  </si>
  <si>
    <t>Site1007-S64</t>
  </si>
  <si>
    <t>Site1007-S65</t>
  </si>
  <si>
    <t>Site1007-S66</t>
  </si>
  <si>
    <t>Site1007-S67</t>
  </si>
  <si>
    <t>Site1007-S68</t>
  </si>
  <si>
    <t>Site1007-PF1</t>
  </si>
  <si>
    <t>Pore Fluid</t>
  </si>
  <si>
    <t>uM</t>
  </si>
  <si>
    <t>Site1007-PF2</t>
  </si>
  <si>
    <t>Site1007-PF3</t>
  </si>
  <si>
    <t>Site1007-PF4</t>
  </si>
  <si>
    <t>Site1007-PF5</t>
  </si>
  <si>
    <t>Site1007-PF6</t>
  </si>
  <si>
    <t>Site1007-PF7</t>
  </si>
  <si>
    <t>Site1007-PF8</t>
  </si>
  <si>
    <t>Site1007-PF9</t>
  </si>
  <si>
    <t>Site1007-PF10</t>
  </si>
  <si>
    <t>Site1007-PF11</t>
  </si>
  <si>
    <t>Site1007-PF12</t>
  </si>
  <si>
    <t>Site1007-PF13</t>
  </si>
  <si>
    <t>Site1007-PF14</t>
  </si>
  <si>
    <t>Site1007-PF15</t>
  </si>
  <si>
    <t>Site1007-PF16</t>
  </si>
  <si>
    <t>Site1007-PF17</t>
  </si>
  <si>
    <t>Site1007-PF18</t>
  </si>
  <si>
    <t>Site1007-PF19</t>
  </si>
  <si>
    <t>Site1007-PF20</t>
  </si>
  <si>
    <t>Site1003-S1</t>
  </si>
  <si>
    <t>Site1003-S2</t>
  </si>
  <si>
    <t>Site1003-S3</t>
  </si>
  <si>
    <t>Site1003-S4</t>
  </si>
  <si>
    <t>Site1003-S5</t>
  </si>
  <si>
    <t>Site1003-S6</t>
  </si>
  <si>
    <t>Site1003-S7</t>
  </si>
  <si>
    <t>Site1003-S8</t>
  </si>
  <si>
    <t>Site1003-S9</t>
  </si>
  <si>
    <t>Site1003-S10</t>
  </si>
  <si>
    <t>Site1003-S11</t>
  </si>
  <si>
    <t>Site1003-S12</t>
  </si>
  <si>
    <t>Site1003-S13</t>
  </si>
  <si>
    <t>Site1003-S14</t>
  </si>
  <si>
    <t>Site1003-S15</t>
  </si>
  <si>
    <t>Site1003-S16</t>
  </si>
  <si>
    <t>Site1003-S17</t>
  </si>
  <si>
    <t>Site1003-S18</t>
  </si>
  <si>
    <t>Site1003-S19</t>
  </si>
  <si>
    <t>Site1003-S20</t>
  </si>
  <si>
    <t>Site1003-S21</t>
  </si>
  <si>
    <t>Site1003-S22</t>
  </si>
  <si>
    <t>Site1003-S23</t>
  </si>
  <si>
    <t>Site1003-S24</t>
  </si>
  <si>
    <t>Site1003-S25</t>
  </si>
  <si>
    <t>Site1003-S26</t>
  </si>
  <si>
    <t>Site1003-S27</t>
  </si>
  <si>
    <t>Site1003-S28</t>
  </si>
  <si>
    <t>Site1003-S29</t>
  </si>
  <si>
    <t>Site1003-S30</t>
  </si>
  <si>
    <t>Site1003-S31</t>
  </si>
  <si>
    <t>Site1003-S32</t>
  </si>
  <si>
    <t>Site1003-S33</t>
  </si>
  <si>
    <t>Site1003-S34</t>
  </si>
  <si>
    <t>Site1003-S35</t>
  </si>
  <si>
    <t>Site1003-S36</t>
  </si>
  <si>
    <t>Site1003-S37</t>
  </si>
  <si>
    <t>Site1003-S38</t>
  </si>
  <si>
    <t>Site1003-S39</t>
  </si>
  <si>
    <t>Site1003-S40</t>
  </si>
  <si>
    <t>Site1003-S41</t>
  </si>
  <si>
    <t>Site1003-S42</t>
  </si>
  <si>
    <t>Site1003-S43</t>
  </si>
  <si>
    <t>Site1003-S44</t>
  </si>
  <si>
    <t>Site1003-S45</t>
  </si>
  <si>
    <t>Site1003-S46</t>
  </si>
  <si>
    <t>Site1003-S47</t>
  </si>
  <si>
    <t>Site1003-S48</t>
  </si>
  <si>
    <t>Site1003-S49</t>
  </si>
  <si>
    <t>Site1003-S50</t>
  </si>
  <si>
    <t>Site1003-S51</t>
  </si>
  <si>
    <t>Site1003-S52</t>
  </si>
  <si>
    <t>Site1003-S53</t>
  </si>
  <si>
    <t>Site1003-S54</t>
  </si>
  <si>
    <t>Site1003-S55</t>
  </si>
  <si>
    <t>Site1003-S56</t>
  </si>
  <si>
    <t>Site1003-S57</t>
  </si>
  <si>
    <t>Site1003-S58</t>
  </si>
  <si>
    <t>Site1003-S59</t>
  </si>
  <si>
    <t>Site1003-S60</t>
  </si>
  <si>
    <t>Site1003-S61</t>
  </si>
  <si>
    <t>Site1003-S62</t>
  </si>
  <si>
    <t>Site1003-S63</t>
  </si>
  <si>
    <t>Site1003-S64</t>
  </si>
  <si>
    <t>Site1003-S65</t>
  </si>
  <si>
    <t>Site1003-S66</t>
  </si>
  <si>
    <t>Site1003-S67</t>
  </si>
  <si>
    <t>Site1003-S68</t>
  </si>
  <si>
    <t>Site1003-S69</t>
  </si>
  <si>
    <t>Site1003-S70</t>
  </si>
  <si>
    <t>Site1003-S71</t>
  </si>
  <si>
    <t>Site1003-S72</t>
  </si>
  <si>
    <t>Site1003-S73</t>
  </si>
  <si>
    <t>Site1003-S74</t>
  </si>
  <si>
    <t>Site1003-S75</t>
  </si>
  <si>
    <t>Site1003-S76</t>
  </si>
  <si>
    <t>Site1003-S77</t>
  </si>
  <si>
    <t>Site1003-S78</t>
  </si>
  <si>
    <t>Site1003-S79</t>
  </si>
  <si>
    <t>Site1003-S80</t>
  </si>
  <si>
    <t>Site1003-S81</t>
  </si>
  <si>
    <t>Site1003-S82</t>
  </si>
  <si>
    <t>Site1003-S83</t>
  </si>
  <si>
    <t>Site1003-S84</t>
  </si>
  <si>
    <t>Site1003-S85</t>
  </si>
  <si>
    <t>Site1003-S86</t>
  </si>
  <si>
    <t>Site1003-S87</t>
  </si>
  <si>
    <t>Site1003-S88</t>
  </si>
  <si>
    <t>Site1003-PF1</t>
  </si>
  <si>
    <t>Site1003-PF2</t>
  </si>
  <si>
    <t>Site1003-PF3</t>
  </si>
  <si>
    <t>Site1003-PF4</t>
  </si>
  <si>
    <t>Site1003-PF5</t>
  </si>
  <si>
    <t>Site1003-PF6</t>
  </si>
  <si>
    <t>Site1003-PF7</t>
  </si>
  <si>
    <t>Site1003-PF8</t>
  </si>
  <si>
    <t>Site1003-PF9</t>
  </si>
  <si>
    <t>Site1003-PF10</t>
  </si>
  <si>
    <t>Site1003-PF11</t>
  </si>
  <si>
    <t>Site1003-PF12</t>
  </si>
  <si>
    <t>Site1003-PF13</t>
  </si>
  <si>
    <t>Site1003-PF14</t>
  </si>
  <si>
    <t>Site1003-PF15</t>
  </si>
  <si>
    <t>Site1003-PF16</t>
  </si>
  <si>
    <t>Site1003-PF17</t>
  </si>
  <si>
    <t>Site1003-PF18</t>
  </si>
  <si>
    <t>Site1003-PF19</t>
  </si>
  <si>
    <t>Site1003-PF20</t>
  </si>
  <si>
    <t>Site1003-PF21</t>
  </si>
  <si>
    <t>Site1003-PF22</t>
  </si>
  <si>
    <t>Site1003-PF23</t>
  </si>
  <si>
    <t>Site1003-PF24</t>
  </si>
  <si>
    <t>Site1003-PF25</t>
  </si>
  <si>
    <t>Site1003-PF26</t>
  </si>
  <si>
    <t>Site1003-PF27</t>
  </si>
  <si>
    <t>Site1003-PF28</t>
  </si>
  <si>
    <t>Site1003-PF29</t>
  </si>
  <si>
    <t>Site1003-PF30</t>
  </si>
  <si>
    <t>Site1003-PF31</t>
  </si>
  <si>
    <t>Site1003-PF32</t>
  </si>
  <si>
    <t>Site1003-PF33</t>
  </si>
  <si>
    <t>Site1003-PF34</t>
  </si>
  <si>
    <t>Site1003-PF35</t>
  </si>
  <si>
    <t>Site1003-PF36</t>
  </si>
  <si>
    <t>Site1003-PF37</t>
  </si>
  <si>
    <t>Site1003-PF38</t>
  </si>
  <si>
    <t>Site1003-PF39</t>
  </si>
  <si>
    <t>Site1003-PF40</t>
  </si>
  <si>
    <t>Site1003-PF41</t>
  </si>
  <si>
    <t>Site1003-PF42</t>
  </si>
  <si>
    <t>Site1003-PF43</t>
  </si>
  <si>
    <t>Site1003-PF44</t>
  </si>
  <si>
    <t>Site1003-PF45</t>
  </si>
  <si>
    <t>Site1003-PF46</t>
  </si>
  <si>
    <t>Site1003-PF47</t>
  </si>
  <si>
    <t>Site1003-PF48</t>
  </si>
  <si>
    <t>Site1003-PF49</t>
  </si>
  <si>
    <t>Site1003-PF50</t>
  </si>
  <si>
    <t>Site1005-S1</t>
  </si>
  <si>
    <t>Site1005-S2</t>
  </si>
  <si>
    <t>Site1005-S3</t>
  </si>
  <si>
    <t>Site1005-S4</t>
  </si>
  <si>
    <t>Site1005-S5</t>
  </si>
  <si>
    <t>Site1005-S6</t>
  </si>
  <si>
    <t>Site1005-S7</t>
  </si>
  <si>
    <t>Site1005-S8</t>
  </si>
  <si>
    <t>Site1005-S9</t>
  </si>
  <si>
    <t>Site1005-S10</t>
  </si>
  <si>
    <t>Site1005-S11</t>
  </si>
  <si>
    <t>Site1005-S12</t>
  </si>
  <si>
    <t>Site1005-S13</t>
  </si>
  <si>
    <t>Site1005-S14</t>
  </si>
  <si>
    <t>Site1005-S15</t>
  </si>
  <si>
    <t>Site1005-S16</t>
  </si>
  <si>
    <t>Site1005-S17</t>
  </si>
  <si>
    <t>Site1005-S18</t>
  </si>
  <si>
    <t>Site1005-S19</t>
  </si>
  <si>
    <t>UNDA 831.4</t>
  </si>
  <si>
    <t>UNDA 881</t>
  </si>
  <si>
    <t>UNDA 960</t>
  </si>
  <si>
    <t>UNDA 1064</t>
  </si>
  <si>
    <t>CLINO 605</t>
  </si>
  <si>
    <t>CLINO 648</t>
  </si>
  <si>
    <t>CLINO 701</t>
  </si>
  <si>
    <t>CLINO 750</t>
  </si>
  <si>
    <t>CLINO 755</t>
  </si>
  <si>
    <t>CLINO 800</t>
  </si>
  <si>
    <t>CLINO 857</t>
  </si>
  <si>
    <t>CLINO 905</t>
  </si>
  <si>
    <t>CLINO 941</t>
  </si>
  <si>
    <t>CLINO 946</t>
  </si>
  <si>
    <t>CLINO 968</t>
  </si>
  <si>
    <t>CLINO 1001</t>
  </si>
  <si>
    <t>CLINO 1049</t>
  </si>
  <si>
    <t>CLINO 1101</t>
  </si>
  <si>
    <t>CLINO 1152</t>
  </si>
  <si>
    <t>CLINO 1204.42 - AW0</t>
  </si>
  <si>
    <t>CLINO 1204.42 - AW1</t>
  </si>
  <si>
    <t>CLINO 1204.42 - AW2</t>
  </si>
  <si>
    <t>CLINO 1211.00 - AW0</t>
  </si>
  <si>
    <t>CLINO 1211.00 - AW1</t>
  </si>
  <si>
    <t>CLINO 1211.00 - AW2</t>
  </si>
  <si>
    <t>CLINO 1231.85 - AW0</t>
  </si>
  <si>
    <t>CLINO 1231.85 - AW1</t>
  </si>
  <si>
    <t>CLINO 1231.85 - AW2</t>
  </si>
  <si>
    <t>CLINO 1243.08 - AW0</t>
  </si>
  <si>
    <t>CLINO 1243.08 - AW1</t>
  </si>
  <si>
    <t>CLINO 1243.08 - AW2</t>
  </si>
  <si>
    <t>CLINO 1243.62 - AW0</t>
  </si>
  <si>
    <t>CLINO 1243.62 - AW1</t>
  </si>
  <si>
    <t>CLINO 1243.62 - AW2</t>
  </si>
  <si>
    <t>CLINO 1317</t>
  </si>
  <si>
    <t>CLINO 1350</t>
  </si>
  <si>
    <t>CLINO 1371</t>
  </si>
  <si>
    <t>CLINO 1396</t>
  </si>
  <si>
    <t>CLINO 1405</t>
  </si>
  <si>
    <t>CLINO 1428</t>
  </si>
  <si>
    <t>CLINO 1437</t>
  </si>
  <si>
    <t>CLINO 1455</t>
  </si>
  <si>
    <t>CLINO 1497</t>
  </si>
  <si>
    <t>CLINO 1524</t>
  </si>
  <si>
    <t>CLINO 1554</t>
  </si>
  <si>
    <t>CLINO 1581</t>
  </si>
  <si>
    <t>CLINO 1598</t>
  </si>
  <si>
    <t>CLINO 1611</t>
  </si>
  <si>
    <t>CLINO 1626.83 - AW0</t>
  </si>
  <si>
    <t>CLINO 1626.83 - AW1</t>
  </si>
  <si>
    <t>CLINO 1626.83 - AW2</t>
  </si>
  <si>
    <t>CLINO 1772.6 - AW0</t>
  </si>
  <si>
    <t>CLINO 1772.6 - AW1</t>
  </si>
  <si>
    <t>CLINO 1772.6 - AW2</t>
  </si>
  <si>
    <t>CLINO 1783.25 - AW0</t>
  </si>
  <si>
    <t>CLINO 1783.25 - AW1</t>
  </si>
  <si>
    <t>CLINO 1783.25 - AW2</t>
  </si>
  <si>
    <t>CLINO 1796.8 - AW0</t>
  </si>
  <si>
    <t>CLINO 1796.8 - AW1</t>
  </si>
  <si>
    <t>CLINO 1796.8 - AW2</t>
  </si>
  <si>
    <t>CLINO 1852 - AW0</t>
  </si>
  <si>
    <t>CLINO 1852 - AW1</t>
  </si>
  <si>
    <t>CLINO 1865 - AW0</t>
  </si>
  <si>
    <t>CLINO 1865 - AW1</t>
  </si>
  <si>
    <t>CLINO 1865 - AW2</t>
  </si>
  <si>
    <t>CLINO 1872 - AW0</t>
  </si>
  <si>
    <t>CLINO 1872 - AW1</t>
  </si>
  <si>
    <t>CLINO 1872 - AW2</t>
  </si>
  <si>
    <t>CLINO 1885.4 - AW0</t>
  </si>
  <si>
    <t>CLINO 1885.4 - AW1</t>
  </si>
  <si>
    <t>CLINO 1885.4 - AW2</t>
  </si>
  <si>
    <t>CLINO 1927.62 - AW0</t>
  </si>
  <si>
    <t>CLINO 1927.62 - AW1</t>
  </si>
  <si>
    <t>CLINO 1927.62 - AW2</t>
  </si>
  <si>
    <t>CLINO 2128.15 - AW0</t>
  </si>
  <si>
    <t>CLINO 2128.15 - AW1</t>
  </si>
  <si>
    <t>CLINO 2128.15 - AW2</t>
  </si>
  <si>
    <t>CLINO 2134</t>
  </si>
  <si>
    <t>CLINO 2154</t>
  </si>
  <si>
    <t>CLINO 2176</t>
  </si>
  <si>
    <t>CLINO 2193</t>
  </si>
  <si>
    <t>CLINO 2219</t>
  </si>
  <si>
    <t>Ooid-1</t>
  </si>
  <si>
    <t>Joulter Cay, Andros Island</t>
  </si>
  <si>
    <t>Ooid</t>
  </si>
  <si>
    <t>Ooid-2</t>
  </si>
  <si>
    <t>Ooid-3</t>
  </si>
  <si>
    <t>Ooid-4</t>
  </si>
  <si>
    <t>Ooid-5</t>
  </si>
  <si>
    <t>Ooid-6</t>
  </si>
  <si>
    <t>BulkSed-1</t>
  </si>
  <si>
    <t>Triple Goose Creek, Andros Island</t>
  </si>
  <si>
    <t>BulkSed-2</t>
  </si>
  <si>
    <t>BulkSed-3</t>
  </si>
  <si>
    <t>BulkSed-4</t>
  </si>
  <si>
    <t>BulkSed-5</t>
  </si>
  <si>
    <t>BulkSed-6</t>
  </si>
  <si>
    <t>BulkSed-7</t>
  </si>
  <si>
    <t>BulkSed-8</t>
  </si>
  <si>
    <t>BulkSed-9</t>
  </si>
  <si>
    <t>BulkSed-10</t>
  </si>
  <si>
    <t>BulkSed-11</t>
  </si>
  <si>
    <t>Wujiaping Fm.</t>
  </si>
  <si>
    <t>S1</t>
  </si>
  <si>
    <t>Marshalls Islands</t>
  </si>
  <si>
    <t>Enewetak Atoll</t>
  </si>
  <si>
    <t>Carbonate hardgrounds</t>
  </si>
  <si>
    <t>S2</t>
  </si>
  <si>
    <t>S3</t>
  </si>
  <si>
    <t>S4</t>
  </si>
  <si>
    <t>S5</t>
  </si>
  <si>
    <t>the Netherlands</t>
  </si>
  <si>
    <t>Meerssen Member</t>
  </si>
  <si>
    <t>S6</t>
  </si>
  <si>
    <t>S7</t>
  </si>
  <si>
    <t>Oman</t>
  </si>
  <si>
    <t>Quishn Fm.</t>
  </si>
  <si>
    <t>S8</t>
  </si>
  <si>
    <t>S9</t>
  </si>
  <si>
    <t>S10</t>
  </si>
  <si>
    <t>S11</t>
  </si>
  <si>
    <t>S12</t>
  </si>
  <si>
    <t>Dunscome Cliff, Devon, UK</t>
  </si>
  <si>
    <t>Upper Greensands</t>
  </si>
  <si>
    <t>S13</t>
  </si>
  <si>
    <t>S14</t>
  </si>
  <si>
    <t>S15</t>
  </si>
  <si>
    <t>Gerecse Mts.</t>
  </si>
  <si>
    <t>S16</t>
  </si>
  <si>
    <t>S17</t>
  </si>
  <si>
    <t>Geresce Sequence 1- earliest cement</t>
  </si>
  <si>
    <t>S18</t>
  </si>
  <si>
    <t>Geresce Sequence 1- intermediate cement</t>
  </si>
  <si>
    <t>S19</t>
  </si>
  <si>
    <t>Geresce Sequence 1- later cement</t>
  </si>
  <si>
    <t>S20</t>
  </si>
  <si>
    <t>Geresce Sequence 2- earliest cement</t>
  </si>
  <si>
    <t>S21</t>
  </si>
  <si>
    <t>Geresce Sequence 2- later cement</t>
  </si>
  <si>
    <t>S22</t>
  </si>
  <si>
    <t>England</t>
  </si>
  <si>
    <t>Eskett Limestones</t>
  </si>
  <si>
    <t>S23</t>
  </si>
  <si>
    <t>S24</t>
  </si>
  <si>
    <t>S25</t>
  </si>
  <si>
    <t>Utah</t>
  </si>
  <si>
    <t>Kanosh Fm.</t>
  </si>
  <si>
    <t>S26</t>
  </si>
  <si>
    <t>S27</t>
  </si>
  <si>
    <t>Banff National Park</t>
  </si>
  <si>
    <t>Furongian</t>
  </si>
  <si>
    <t>S28</t>
  </si>
  <si>
    <t>Marjuman</t>
  </si>
  <si>
    <t>S29</t>
  </si>
  <si>
    <t>S30</t>
  </si>
  <si>
    <t>S31</t>
  </si>
  <si>
    <t>Jost et al. 2017</t>
  </si>
  <si>
    <t>Era</t>
  </si>
  <si>
    <t>End</t>
  </si>
  <si>
    <t>Start</t>
  </si>
  <si>
    <t>PG = Packstone-Grainstone</t>
  </si>
  <si>
    <t>PG = packestone/grainstone</t>
  </si>
  <si>
    <t>Griesbachian</t>
  </si>
  <si>
    <t>PS= Packstone</t>
  </si>
  <si>
    <t>TH = thrombolite</t>
  </si>
  <si>
    <t>Dinerian</t>
  </si>
  <si>
    <t>Ws= Wackestone</t>
  </si>
  <si>
    <t>MW = Mudstone/wackestone</t>
  </si>
  <si>
    <t>Ms= Mudstone</t>
  </si>
  <si>
    <t>OL = oolite</t>
  </si>
  <si>
    <t>Smithian</t>
  </si>
  <si>
    <t>Ol= Oolithe</t>
  </si>
  <si>
    <t>DL = Dolostone</t>
  </si>
  <si>
    <t>Pliocene-Pleistocene</t>
  </si>
  <si>
    <t>BRCA= Breccia</t>
  </si>
  <si>
    <t>Permian-Triassic Boundary</t>
  </si>
  <si>
    <t>TH=Trombolithe</t>
  </si>
  <si>
    <t>De La Rocha and DePaolo, 2000</t>
  </si>
  <si>
    <t>L90 S590B 53-7 33-4 cm</t>
  </si>
  <si>
    <t>L17 S167 12-5</t>
  </si>
  <si>
    <t>L17 S167 18-1</t>
  </si>
  <si>
    <t>L17 S167 24-1</t>
  </si>
  <si>
    <t>L17 S167 32-2</t>
  </si>
  <si>
    <t>L22 S214 28-3</t>
  </si>
  <si>
    <t>L22 S214 33-5</t>
  </si>
  <si>
    <t>L17 S167 43-2</t>
  </si>
  <si>
    <t>L17 S167 53-1</t>
  </si>
  <si>
    <t>Graves Creek</t>
  </si>
  <si>
    <t>L90 590B-17-5 75-77 cm</t>
  </si>
  <si>
    <t>L90 590B-40-6 145-146 cm</t>
  </si>
  <si>
    <t>DSDP S400A</t>
  </si>
  <si>
    <t>340-341.5</t>
  </si>
  <si>
    <t>472-473.5</t>
  </si>
  <si>
    <t>519-520.5</t>
  </si>
  <si>
    <t>593.5-595</t>
  </si>
  <si>
    <t>260-261.5</t>
  </si>
  <si>
    <t>310.5-312</t>
  </si>
  <si>
    <t>695.5-697</t>
  </si>
  <si>
    <t>786-787.5</t>
  </si>
  <si>
    <t>Nannofossil ooze/chalk</t>
  </si>
  <si>
    <t>Fantle and DePaolo, 2005</t>
  </si>
  <si>
    <t>590B-1-1 7-9 cm</t>
  </si>
  <si>
    <t>590B-2-1 79-81 cm</t>
  </si>
  <si>
    <t>590B-2-3 60-61 cm</t>
  </si>
  <si>
    <t>590B-2-6 75-77 cm</t>
  </si>
  <si>
    <t>590B-4-1 74-76 cm</t>
  </si>
  <si>
    <t>590B-4-2 75-77 cm</t>
  </si>
  <si>
    <t>590B-4-5 75-77 cm</t>
  </si>
  <si>
    <t>590A-1-2 24-26 cm</t>
  </si>
  <si>
    <t>590B-4-6 96-98 cm</t>
  </si>
  <si>
    <t>590B-5-2 77-79 cm</t>
  </si>
  <si>
    <t>590B-5-6 70-72 cm</t>
  </si>
  <si>
    <t>590B-6-1 75-77 cm</t>
  </si>
  <si>
    <t>590B-6-3 77-79 cm</t>
  </si>
  <si>
    <t>590A-3-2 140-142 cm</t>
  </si>
  <si>
    <t>590B-6-6 75-77 cm</t>
  </si>
  <si>
    <t>590B-8-6 70-72 cm</t>
  </si>
  <si>
    <t>590B-12-6 74-76 cm</t>
  </si>
  <si>
    <t>590B-15-5 74-76 cm</t>
  </si>
  <si>
    <t>590B-17-5 75-77 cm</t>
  </si>
  <si>
    <t>590B-21-1 15-17 cm</t>
  </si>
  <si>
    <t>590B-25-1 70-72 cm</t>
  </si>
  <si>
    <t>590B-30-3 81-83 cm</t>
  </si>
  <si>
    <t>590B-33-2 74-76 cm</t>
  </si>
  <si>
    <t>590B-35-5 30-31 cm</t>
  </si>
  <si>
    <t>590B-36-4 79-81 cm</t>
  </si>
  <si>
    <t>590B-38-6 60-61 cm</t>
  </si>
  <si>
    <t>590B-40-6 145-146 cm</t>
  </si>
  <si>
    <t>590B-43-4 79-81 cm</t>
  </si>
  <si>
    <t>590B-44-5 79-81 cm</t>
  </si>
  <si>
    <t>590B-46-6 60-61 cm</t>
  </si>
  <si>
    <t>590B-47-4 17-18 cm</t>
  </si>
  <si>
    <t>590B-48-5 63-65 cm</t>
  </si>
  <si>
    <t>590B-50-1 60-61 cm</t>
  </si>
  <si>
    <t>590B-50-2 70-72 cm</t>
  </si>
  <si>
    <t>590B-51-5 74-76 cm</t>
  </si>
  <si>
    <t>590B-52-5 139-141 cm</t>
  </si>
  <si>
    <t>Lord Howe Rise, Southwest Pacific</t>
  </si>
  <si>
    <t>Fantle and DePaolo, 2007</t>
  </si>
  <si>
    <t>Bodega Bay, California???</t>
  </si>
  <si>
    <t>L130 807A 1H-1 95-96 cm</t>
  </si>
  <si>
    <t>L130 807A 1H-4 14-15 cm</t>
  </si>
  <si>
    <t>L130 807A 3H-2 15-16 cm</t>
  </si>
  <si>
    <t>L130 807A 9H-4 33-34 cm</t>
  </si>
  <si>
    <t>L130 807A 12H-2 107-108 cm</t>
  </si>
  <si>
    <t>L130 807A 18H-4 74-75 cm</t>
  </si>
  <si>
    <t>L130 807A 18H-5 74-75 cm</t>
  </si>
  <si>
    <t>L130 807A 23H-2 109-110 cm</t>
  </si>
  <si>
    <t>L130 807A 27H-4 109-110 cm</t>
  </si>
  <si>
    <t>L130 807A 30X-2 56-57 cm</t>
  </si>
  <si>
    <t>L130 807A 33X-2 135-136 cm</t>
  </si>
  <si>
    <t>L130 807A 36X-3 107-108 cm</t>
  </si>
  <si>
    <t>L130 807A 36X-4 135-136 cm</t>
  </si>
  <si>
    <t>L130 807A 39X-2 91-92 cm</t>
  </si>
  <si>
    <t>L130 807A 42X-2 102-103 cm</t>
  </si>
  <si>
    <t>L130 807A 45X-5 57-58 cm</t>
  </si>
  <si>
    <t>L130 807A 45X-6 65-66 cm</t>
  </si>
  <si>
    <t>L130 807A 48X-3 101-102 cm</t>
  </si>
  <si>
    <t>L130 807A 51X-2 40-41 cm</t>
  </si>
  <si>
    <t>L130 807A 54X-3 114-115 cm</t>
  </si>
  <si>
    <t>L130 807A 57X-2 86-87 cm</t>
  </si>
  <si>
    <t>L130 807A 60X-3 38-39 cm</t>
  </si>
  <si>
    <t>L130 807A 63X-4 59-60 cm</t>
  </si>
  <si>
    <t>L130 807A 67X-3 92-93 cm</t>
  </si>
  <si>
    <t>L130 807A 72X-2 66-67 cm</t>
  </si>
  <si>
    <t>L130 807A 72X-3 78-79 cm</t>
  </si>
  <si>
    <t>L130 807A 75X-2 86-87 cm</t>
  </si>
  <si>
    <t>L130 807A 78X-2 88-89 cm</t>
  </si>
  <si>
    <t>L130 807A 82X-3 109-110 cm</t>
  </si>
  <si>
    <t>L130 807A 84X-1 48-49 cm</t>
  </si>
  <si>
    <t>Ontong Java Plateau</t>
  </si>
  <si>
    <t>Griffith et al., 2011</t>
  </si>
  <si>
    <t>Leg 85 574C, 30-2, 120-125  cm</t>
  </si>
  <si>
    <t>Leg 85 574C, 31-1, 27-31  cm</t>
  </si>
  <si>
    <t>Leg 85 574C, 31-2, 26-30  cm</t>
  </si>
  <si>
    <t>Leg 85 574C, 32-2, 45-49  cm</t>
  </si>
  <si>
    <t>Leg 85 574C, 32-3, 25-30  cm</t>
  </si>
  <si>
    <t>Leg 85 574C, 33-1, 106-110  cm</t>
  </si>
  <si>
    <t>Leg 85 574C, 33-2, 39-42  cm</t>
  </si>
  <si>
    <t>Leg 85 574C, 33-3, 90-95  cm</t>
  </si>
  <si>
    <t>Leg 85 574C, 33-5, 135-139  cm</t>
  </si>
  <si>
    <t>Leg 85 574C, 34-1, 142-145  cm</t>
  </si>
  <si>
    <t>Leg 85 574C, 35-1, 12-16  cm</t>
  </si>
  <si>
    <t>Leg 85 574C, 35-2, 60-80  cm</t>
  </si>
  <si>
    <t>Leg 199 1218A, 22-3, 145-150  cm</t>
  </si>
  <si>
    <t>Leg 199 1218A, 23-4, 140-145  cm</t>
  </si>
  <si>
    <t>Leg 199 1218A, 24-1, 3-8  cm</t>
  </si>
  <si>
    <t>Leg 199 1218A, 24-1, 90-93  cm</t>
  </si>
  <si>
    <t>Leg 199 1218A, 24-3, 47-50  cm</t>
  </si>
  <si>
    <t>Leg 199 1218A, 24-5, 42-45  cm</t>
  </si>
  <si>
    <t>Leg 199 1218A, 24-6, 102-104  cm</t>
  </si>
  <si>
    <t>Leg 199 1218A, 24-7, 8-11  cm</t>
  </si>
  <si>
    <t>Leg 199 1218A, 24-7, 8-11d  cm</t>
  </si>
  <si>
    <t>Bulk carbonate</t>
  </si>
  <si>
    <t>Maastrichtian</t>
  </si>
  <si>
    <t>Turonian</t>
  </si>
  <si>
    <t>Cenomanian</t>
  </si>
  <si>
    <t>Kimmeridgian</t>
  </si>
  <si>
    <t>Rhaetian</t>
  </si>
  <si>
    <t>Carnian</t>
  </si>
  <si>
    <t>Ladinian</t>
  </si>
  <si>
    <t>Anisian</t>
  </si>
  <si>
    <t>C-Kr1</t>
  </si>
  <si>
    <t>C-Ma2</t>
  </si>
  <si>
    <t>C-Sh10</t>
  </si>
  <si>
    <t>C-NP9</t>
  </si>
  <si>
    <t>C-Gb5</t>
  </si>
  <si>
    <t>C-HW13</t>
  </si>
  <si>
    <t>C-E31a</t>
  </si>
  <si>
    <t>C-HW3</t>
  </si>
  <si>
    <t>C-D2</t>
  </si>
  <si>
    <t>C-S105</t>
  </si>
  <si>
    <t>C-S73</t>
  </si>
  <si>
    <t>C-S36</t>
  </si>
  <si>
    <t>C-S35</t>
  </si>
  <si>
    <t>J-U2/3-25</t>
  </si>
  <si>
    <t>J-U2/3-17</t>
  </si>
  <si>
    <t>J-G5-39</t>
  </si>
  <si>
    <t>J-G5-27</t>
  </si>
  <si>
    <t>Tr4</t>
  </si>
  <si>
    <t>Tr11</t>
  </si>
  <si>
    <t>Tr19</t>
  </si>
  <si>
    <t>Tr27</t>
  </si>
  <si>
    <t>Tr30</t>
  </si>
  <si>
    <t>Tr35</t>
  </si>
  <si>
    <t>Tr37</t>
  </si>
  <si>
    <t>Tr134</t>
  </si>
  <si>
    <t>Tr137</t>
  </si>
  <si>
    <t>Tr141</t>
  </si>
  <si>
    <t>Tr143</t>
  </si>
  <si>
    <t>Tr144</t>
  </si>
  <si>
    <t>Tr145</t>
  </si>
  <si>
    <t>Tr155</t>
  </si>
  <si>
    <t>Tr156</t>
  </si>
  <si>
    <t>Tr157</t>
  </si>
  <si>
    <t>Tr167</t>
  </si>
  <si>
    <t>Tr178</t>
  </si>
  <si>
    <t>Tr207</t>
  </si>
  <si>
    <t>Tr215</t>
  </si>
  <si>
    <t>Tr229</t>
  </si>
  <si>
    <t>P3</t>
  </si>
  <si>
    <t>P4</t>
  </si>
  <si>
    <t>P12</t>
  </si>
  <si>
    <t>P16</t>
  </si>
  <si>
    <t>P20</t>
  </si>
  <si>
    <t>P22</t>
  </si>
  <si>
    <t>P23</t>
  </si>
  <si>
    <t>P27</t>
  </si>
  <si>
    <t>P30</t>
  </si>
  <si>
    <t>P35</t>
  </si>
  <si>
    <t>P47</t>
  </si>
  <si>
    <t>P50</t>
  </si>
  <si>
    <t>P60</t>
  </si>
  <si>
    <t>P65</t>
  </si>
  <si>
    <t>P84</t>
  </si>
  <si>
    <t>P86</t>
  </si>
  <si>
    <t>P92</t>
  </si>
  <si>
    <t>P93</t>
  </si>
  <si>
    <t>P99</t>
  </si>
  <si>
    <t>P100</t>
  </si>
  <si>
    <t>C5</t>
  </si>
  <si>
    <t>C12</t>
  </si>
  <si>
    <t>C23</t>
  </si>
  <si>
    <t>C25</t>
  </si>
  <si>
    <t>C28</t>
  </si>
  <si>
    <t>C38</t>
  </si>
  <si>
    <t>C43</t>
  </si>
  <si>
    <t>C44</t>
  </si>
  <si>
    <t>C49</t>
  </si>
  <si>
    <t>C50</t>
  </si>
  <si>
    <t>C58</t>
  </si>
  <si>
    <t>C70</t>
  </si>
  <si>
    <t>C74</t>
  </si>
  <si>
    <t>C89</t>
  </si>
  <si>
    <t>C93</t>
  </si>
  <si>
    <t>C107</t>
  </si>
  <si>
    <t>C109</t>
  </si>
  <si>
    <t>C110</t>
  </si>
  <si>
    <t>C120</t>
  </si>
  <si>
    <t>C123</t>
  </si>
  <si>
    <t>C139</t>
  </si>
  <si>
    <t>C148</t>
  </si>
  <si>
    <t>C158</t>
  </si>
  <si>
    <t>C181</t>
  </si>
  <si>
    <t>C182</t>
  </si>
  <si>
    <t>C184</t>
  </si>
  <si>
    <t>C187</t>
  </si>
  <si>
    <t>C190</t>
  </si>
  <si>
    <t>C198</t>
  </si>
  <si>
    <t>C201</t>
  </si>
  <si>
    <t>C206</t>
  </si>
  <si>
    <t>C207</t>
  </si>
  <si>
    <t>C211</t>
  </si>
  <si>
    <t>C217</t>
  </si>
  <si>
    <t>C221</t>
  </si>
  <si>
    <t>C224</t>
  </si>
  <si>
    <t>C233</t>
  </si>
  <si>
    <t>C236</t>
  </si>
  <si>
    <t>C237</t>
  </si>
  <si>
    <t>C242</t>
  </si>
  <si>
    <t>C245</t>
  </si>
  <si>
    <t>C246</t>
  </si>
  <si>
    <t>C251</t>
  </si>
  <si>
    <t>C253</t>
  </si>
  <si>
    <t>C269</t>
  </si>
  <si>
    <t>C280</t>
  </si>
  <si>
    <t>C282</t>
  </si>
  <si>
    <t>C283</t>
  </si>
  <si>
    <t>C284</t>
  </si>
  <si>
    <t>C294</t>
  </si>
  <si>
    <t>C304</t>
  </si>
  <si>
    <t>C311</t>
  </si>
  <si>
    <t>C317</t>
  </si>
  <si>
    <t>C319</t>
  </si>
  <si>
    <t>C331</t>
  </si>
  <si>
    <t>C339</t>
  </si>
  <si>
    <t>C350</t>
  </si>
  <si>
    <t>C354</t>
  </si>
  <si>
    <t xml:space="preserve">C367 </t>
  </si>
  <si>
    <t>C373</t>
  </si>
  <si>
    <t>C374</t>
  </si>
  <si>
    <t xml:space="preserve">C378 </t>
  </si>
  <si>
    <t>C395</t>
  </si>
  <si>
    <t>C396</t>
  </si>
  <si>
    <t>C397</t>
  </si>
  <si>
    <t>C404</t>
  </si>
  <si>
    <t>C409</t>
  </si>
  <si>
    <t>C413</t>
  </si>
  <si>
    <t>C414</t>
  </si>
  <si>
    <t>C417</t>
  </si>
  <si>
    <t>C426</t>
  </si>
  <si>
    <t>C430</t>
  </si>
  <si>
    <t>C431</t>
  </si>
  <si>
    <t>C433</t>
  </si>
  <si>
    <t>C436</t>
  </si>
  <si>
    <t>C439</t>
  </si>
  <si>
    <t>C444</t>
  </si>
  <si>
    <t xml:space="preserve">C445 </t>
  </si>
  <si>
    <t>C450</t>
  </si>
  <si>
    <t>C458</t>
  </si>
  <si>
    <t>C459</t>
  </si>
  <si>
    <t>C460</t>
  </si>
  <si>
    <t>C462</t>
  </si>
  <si>
    <t>D7</t>
  </si>
  <si>
    <t>D14</t>
  </si>
  <si>
    <t>D23</t>
  </si>
  <si>
    <t>D24</t>
  </si>
  <si>
    <t>D26</t>
  </si>
  <si>
    <t>D33</t>
  </si>
  <si>
    <t>D35</t>
  </si>
  <si>
    <t>D41</t>
  </si>
  <si>
    <t>YA 40-01</t>
  </si>
  <si>
    <t>SY 07-01</t>
  </si>
  <si>
    <t>YA 28-01</t>
  </si>
  <si>
    <t>YA 27-02</t>
  </si>
  <si>
    <t>YA 26-01</t>
  </si>
  <si>
    <t>YA 26-02</t>
  </si>
  <si>
    <t>YA 25-01</t>
  </si>
  <si>
    <t>YA 25-03</t>
  </si>
  <si>
    <t>YA 24-01</t>
  </si>
  <si>
    <t>YA 12-04</t>
  </si>
  <si>
    <t>YA 08-02</t>
  </si>
  <si>
    <t>BS 01-04</t>
  </si>
  <si>
    <t>HG 34-01</t>
  </si>
  <si>
    <t>HG 11-01</t>
  </si>
  <si>
    <t>HG 10-03</t>
  </si>
  <si>
    <t>HG 08-03</t>
  </si>
  <si>
    <t>WQ 03-02</t>
  </si>
  <si>
    <t>HQ 01-01</t>
  </si>
  <si>
    <t>HQ 02-02</t>
  </si>
  <si>
    <t>BQ 54-02</t>
  </si>
  <si>
    <t>BQ 49-01</t>
  </si>
  <si>
    <t>BQ 48-01</t>
  </si>
  <si>
    <t>BQ 48-02</t>
  </si>
  <si>
    <t>BQ 38-02</t>
  </si>
  <si>
    <t>BQ 36-02</t>
  </si>
  <si>
    <t>BQ 35-02</t>
  </si>
  <si>
    <t>BQ 25-02</t>
  </si>
  <si>
    <t>MRK I 28-03</t>
  </si>
  <si>
    <t>MRK I 19-01</t>
  </si>
  <si>
    <t>STR 16</t>
  </si>
  <si>
    <t>STL 04-09</t>
  </si>
  <si>
    <t>MRK III 13-03</t>
  </si>
  <si>
    <t>MRK III 12-03</t>
  </si>
  <si>
    <t>MRK III 08-05</t>
  </si>
  <si>
    <t>ELM 11-01</t>
  </si>
  <si>
    <t>ELM 04-01</t>
  </si>
  <si>
    <t>ELM 04-04</t>
  </si>
  <si>
    <t>MRK II 02-01</t>
  </si>
  <si>
    <t>GUR 05-02</t>
  </si>
  <si>
    <t>LOS 02-07</t>
  </si>
  <si>
    <t>LOS 04-05</t>
  </si>
  <si>
    <t>S32</t>
  </si>
  <si>
    <t>S38</t>
  </si>
  <si>
    <t>S43</t>
  </si>
  <si>
    <t>S47</t>
  </si>
  <si>
    <t>S48</t>
  </si>
  <si>
    <t>S83</t>
  </si>
  <si>
    <t>S86</t>
  </si>
  <si>
    <t>S88</t>
  </si>
  <si>
    <t>S89</t>
  </si>
  <si>
    <t>S114</t>
  </si>
  <si>
    <t>S119</t>
  </si>
  <si>
    <t>S124</t>
  </si>
  <si>
    <t>S125</t>
  </si>
  <si>
    <t>S126</t>
  </si>
  <si>
    <t>S138</t>
  </si>
  <si>
    <t>S152</t>
  </si>
  <si>
    <t>S164</t>
  </si>
  <si>
    <t>S168</t>
  </si>
  <si>
    <t>S169</t>
  </si>
  <si>
    <t>S176</t>
  </si>
  <si>
    <t>S181</t>
  </si>
  <si>
    <t>S186</t>
  </si>
  <si>
    <t>S192</t>
  </si>
  <si>
    <t>S193</t>
  </si>
  <si>
    <t>S194</t>
  </si>
  <si>
    <t>S195</t>
  </si>
  <si>
    <t>S196</t>
  </si>
  <si>
    <t>S202</t>
  </si>
  <si>
    <t>1818 HSS</t>
  </si>
  <si>
    <t>255 HSS</t>
  </si>
  <si>
    <t>2122 BS</t>
  </si>
  <si>
    <t>242 ES</t>
  </si>
  <si>
    <t>2042 HeS</t>
  </si>
  <si>
    <t>1214 HeS</t>
  </si>
  <si>
    <t>1944 HeS</t>
  </si>
  <si>
    <t>1093 HeS</t>
  </si>
  <si>
    <t>1769 KS</t>
  </si>
  <si>
    <t>194 MS</t>
  </si>
  <si>
    <t>1719 SSS</t>
  </si>
  <si>
    <t>623 SS</t>
  </si>
  <si>
    <t>344 SS</t>
  </si>
  <si>
    <t>946 HöS</t>
  </si>
  <si>
    <t>1535 OVS</t>
  </si>
  <si>
    <t>1466 OVS</t>
  </si>
  <si>
    <t>O13</t>
  </si>
  <si>
    <t>O14</t>
  </si>
  <si>
    <t>O36</t>
  </si>
  <si>
    <t>O43</t>
  </si>
  <si>
    <t>O45</t>
  </si>
  <si>
    <t>O46</t>
  </si>
  <si>
    <t>O51</t>
  </si>
  <si>
    <t>O53</t>
  </si>
  <si>
    <t>O54</t>
  </si>
  <si>
    <t>O55</t>
  </si>
  <si>
    <t>O59</t>
  </si>
  <si>
    <t>O64</t>
  </si>
  <si>
    <t>O72</t>
  </si>
  <si>
    <t>O74</t>
  </si>
  <si>
    <t>O83</t>
  </si>
  <si>
    <t>O89</t>
  </si>
  <si>
    <t>O91</t>
  </si>
  <si>
    <t>O94</t>
  </si>
  <si>
    <t>O97</t>
  </si>
  <si>
    <t>O100</t>
  </si>
  <si>
    <t>O104</t>
  </si>
  <si>
    <t>O111</t>
  </si>
  <si>
    <t>O114</t>
  </si>
  <si>
    <t>O119</t>
  </si>
  <si>
    <t>O122</t>
  </si>
  <si>
    <t>O123</t>
  </si>
  <si>
    <t>O127</t>
  </si>
  <si>
    <t>O133</t>
  </si>
  <si>
    <t>O135</t>
  </si>
  <si>
    <t>O136</t>
  </si>
  <si>
    <t xml:space="preserve">O138 </t>
  </si>
  <si>
    <t xml:space="preserve">O157 </t>
  </si>
  <si>
    <t>O161</t>
  </si>
  <si>
    <t>O173</t>
  </si>
  <si>
    <t>O178</t>
  </si>
  <si>
    <t>O198</t>
  </si>
  <si>
    <t>O199</t>
  </si>
  <si>
    <t>O201</t>
  </si>
  <si>
    <t>O224</t>
  </si>
  <si>
    <t>J138</t>
  </si>
  <si>
    <t>J132</t>
  </si>
  <si>
    <t>J125</t>
  </si>
  <si>
    <t>J114</t>
  </si>
  <si>
    <t>J94</t>
  </si>
  <si>
    <t>J77</t>
  </si>
  <si>
    <t>J67</t>
  </si>
  <si>
    <t>J53</t>
  </si>
  <si>
    <t>J16</t>
  </si>
  <si>
    <t>K112</t>
  </si>
  <si>
    <t>K111</t>
  </si>
  <si>
    <t>K110</t>
  </si>
  <si>
    <t>K98</t>
  </si>
  <si>
    <t>K92</t>
  </si>
  <si>
    <t>K75</t>
  </si>
  <si>
    <t>K67</t>
  </si>
  <si>
    <t>K45</t>
  </si>
  <si>
    <t>K41</t>
  </si>
  <si>
    <t>K35</t>
  </si>
  <si>
    <t>K20</t>
  </si>
  <si>
    <t>K15</t>
  </si>
  <si>
    <t>K11</t>
  </si>
  <si>
    <t>K2</t>
  </si>
  <si>
    <t>Brachipod carbonate</t>
  </si>
  <si>
    <t>Belemnite (Pachyteuthis russiensis)</t>
  </si>
  <si>
    <t>Belemnite (Cylindroteuthis purosiana)</t>
  </si>
  <si>
    <t>Belemnite (Cylindroteuthis beaumonti)</t>
  </si>
  <si>
    <t>Belemnite (Belemnopsis keari)</t>
  </si>
  <si>
    <t>Belemnite (Hibolites marwicki)</t>
  </si>
  <si>
    <t>Belemnite (Cylindroteuthis volgensis)</t>
  </si>
  <si>
    <t>Belemnite (Species unidentified)</t>
  </si>
  <si>
    <t>Belemnite (Hibolites jaculoides)</t>
  </si>
  <si>
    <t>Belemnite (Praeoxyteuthis pugio)</t>
  </si>
  <si>
    <t>Belemnite (Aulacotheuthis species)</t>
  </si>
  <si>
    <t>Belemnite (Aulacotheuthis descendens)</t>
  </si>
  <si>
    <t>Belemnite (Oxyteuthis brunsvicensis)</t>
  </si>
  <si>
    <t>Belemnite (Oxyteuthis pseudogermanica)</t>
  </si>
  <si>
    <t>Farkas et al., 2007a</t>
  </si>
  <si>
    <t>Farkas et al., 2007b</t>
  </si>
  <si>
    <t>Changxingian</t>
  </si>
  <si>
    <t>Maokouan</t>
  </si>
  <si>
    <t>Quixian</t>
  </si>
  <si>
    <t>Kungurian</t>
  </si>
  <si>
    <t>Kungutian</t>
  </si>
  <si>
    <t xml:space="preserve">Sakmarian </t>
  </si>
  <si>
    <t>Asselian</t>
  </si>
  <si>
    <t>Mapingian</t>
  </si>
  <si>
    <t>Noginskian</t>
  </si>
  <si>
    <t>Pavl.-Posad.</t>
  </si>
  <si>
    <t>Kashirsky</t>
  </si>
  <si>
    <t>Kasimovian</t>
  </si>
  <si>
    <t>Drogomilovsk.</t>
  </si>
  <si>
    <t>Khamovnich.</t>
  </si>
  <si>
    <t>Krevyakinsky</t>
  </si>
  <si>
    <t>Myachkovsk.</t>
  </si>
  <si>
    <t>Podolskian</t>
  </si>
  <si>
    <t>Kashirskian</t>
  </si>
  <si>
    <t>Tsnian</t>
  </si>
  <si>
    <t>Vereiskian</t>
  </si>
  <si>
    <t>Cheremshan.</t>
  </si>
  <si>
    <t>Chokierian</t>
  </si>
  <si>
    <t xml:space="preserve">Stschovian </t>
  </si>
  <si>
    <t>Pendl./Arns.</t>
  </si>
  <si>
    <t>Tarusskian</t>
  </si>
  <si>
    <t>Pendleian</t>
  </si>
  <si>
    <t>Brigan./Pendl.</t>
  </si>
  <si>
    <t>Brigantian</t>
  </si>
  <si>
    <t>Mickhailovs.</t>
  </si>
  <si>
    <t>Asbian</t>
  </si>
  <si>
    <t>Aleksinskian</t>
  </si>
  <si>
    <t>Holkerian</t>
  </si>
  <si>
    <t>Arundian</t>
  </si>
  <si>
    <t>Chadian</t>
  </si>
  <si>
    <t>Arun.-Chad.</t>
  </si>
  <si>
    <t>Ivorian</t>
  </si>
  <si>
    <t>Hastarian</t>
  </si>
  <si>
    <t>Famennian</t>
  </si>
  <si>
    <t>Frasnian</t>
  </si>
  <si>
    <t>Givetian</t>
  </si>
  <si>
    <t>Eifelian</t>
  </si>
  <si>
    <t>Emsian</t>
  </si>
  <si>
    <t>Lochkovian</t>
  </si>
  <si>
    <t>Pridoli</t>
  </si>
  <si>
    <t>Ludfordian</t>
  </si>
  <si>
    <t xml:space="preserve">Gorstian </t>
  </si>
  <si>
    <t xml:space="preserve">Homerian </t>
  </si>
  <si>
    <t>Sheinwoodian</t>
  </si>
  <si>
    <t>Telychian</t>
  </si>
  <si>
    <t>Aeronian</t>
  </si>
  <si>
    <t>Rhuddanian</t>
  </si>
  <si>
    <t>Ludlow</t>
  </si>
  <si>
    <t>Wenlock</t>
  </si>
  <si>
    <t>Hirnantian</t>
  </si>
  <si>
    <t>Richmondian</t>
  </si>
  <si>
    <t>Rawthey./Cautl.</t>
  </si>
  <si>
    <t>Soudeleyan</t>
  </si>
  <si>
    <t>Harnagian</t>
  </si>
  <si>
    <t>Llo1</t>
  </si>
  <si>
    <t>Lln2</t>
  </si>
  <si>
    <t>Lln1</t>
  </si>
  <si>
    <t>Lln1-Arg2</t>
  </si>
  <si>
    <t>Early Arenig 1</t>
  </si>
  <si>
    <t>Late Arenig 2</t>
  </si>
  <si>
    <t>Arg1</t>
  </si>
  <si>
    <t>Fossil</t>
  </si>
  <si>
    <t>Russia</t>
  </si>
  <si>
    <t>New Zealand</t>
  </si>
  <si>
    <t>Germany</t>
  </si>
  <si>
    <t>Great Britain</t>
  </si>
  <si>
    <t>Time Period</t>
  </si>
  <si>
    <t>Callovian</t>
  </si>
  <si>
    <t>Oxfordian</t>
  </si>
  <si>
    <t>Tithonian</t>
  </si>
  <si>
    <t>Valanginian</t>
  </si>
  <si>
    <t>Hauterivian</t>
  </si>
  <si>
    <t>Barremian</t>
  </si>
  <si>
    <t>Aptian</t>
  </si>
  <si>
    <t>Tremadoc</t>
  </si>
  <si>
    <t>Gothmann et al., 2016</t>
  </si>
  <si>
    <t>ERP</t>
  </si>
  <si>
    <t>M1</t>
  </si>
  <si>
    <t>Pl3</t>
  </si>
  <si>
    <t>Pl4</t>
  </si>
  <si>
    <t>Pl5</t>
  </si>
  <si>
    <t>Pl2</t>
  </si>
  <si>
    <t>Pl7</t>
  </si>
  <si>
    <t>Pl8</t>
  </si>
  <si>
    <t>Pli3</t>
  </si>
  <si>
    <t>Pli2</t>
  </si>
  <si>
    <t>Pli1</t>
  </si>
  <si>
    <t>Mi6</t>
  </si>
  <si>
    <t>Mi9</t>
  </si>
  <si>
    <t>Mi11</t>
  </si>
  <si>
    <t>Mi13</t>
  </si>
  <si>
    <t>Mi16</t>
  </si>
  <si>
    <t>Mi14</t>
  </si>
  <si>
    <t>Mi7</t>
  </si>
  <si>
    <t>Mi2</t>
  </si>
  <si>
    <t>Mi1</t>
  </si>
  <si>
    <t>Mi3</t>
  </si>
  <si>
    <t>Ol1</t>
  </si>
  <si>
    <t>Ol5</t>
  </si>
  <si>
    <t>Ol6</t>
  </si>
  <si>
    <t>Ol4</t>
  </si>
  <si>
    <t>Ol2</t>
  </si>
  <si>
    <t>Ol3</t>
  </si>
  <si>
    <t>E6</t>
  </si>
  <si>
    <t>E1</t>
  </si>
  <si>
    <t>E8</t>
  </si>
  <si>
    <t>E2</t>
  </si>
  <si>
    <t>E5</t>
  </si>
  <si>
    <t>E4</t>
  </si>
  <si>
    <t>E3</t>
  </si>
  <si>
    <t>Pa1</t>
  </si>
  <si>
    <t>Pa3</t>
  </si>
  <si>
    <t>K3</t>
  </si>
  <si>
    <t>J1</t>
  </si>
  <si>
    <t>J2</t>
  </si>
  <si>
    <t>J4</t>
  </si>
  <si>
    <t>Coral</t>
  </si>
  <si>
    <t>Barbados</t>
  </si>
  <si>
    <t>France</t>
  </si>
  <si>
    <t>Mississippi</t>
  </si>
  <si>
    <t>Alabama</t>
  </si>
  <si>
    <t>Ukraine</t>
  </si>
  <si>
    <t>Eel Reef, Australia</t>
  </si>
  <si>
    <t>Guantanamo Bay</t>
  </si>
  <si>
    <t>Lomas del Mar Plateu, Costa Rica</t>
  </si>
  <si>
    <t>Moin Fm.</t>
  </si>
  <si>
    <t>Florida</t>
  </si>
  <si>
    <t>Caloosahatchee Fm.</t>
  </si>
  <si>
    <t>North Carolina</t>
  </si>
  <si>
    <t>Waccamaw Fm.</t>
  </si>
  <si>
    <t>Virginia</t>
  </si>
  <si>
    <t>Yorktown Fm.</t>
  </si>
  <si>
    <t>Pinecrest Beds, Florida</t>
  </si>
  <si>
    <t>Tamiami Fm.</t>
  </si>
  <si>
    <t>Dominican Republic</t>
  </si>
  <si>
    <t>Gurabo Fm.</t>
  </si>
  <si>
    <t>Enewetak Atol, Marshalls Island</t>
  </si>
  <si>
    <t>Holy Cross Mountains, Poland</t>
  </si>
  <si>
    <t>Chipola Fm.</t>
  </si>
  <si>
    <t>Aquitane, France</t>
  </si>
  <si>
    <t>Byram Fm.</t>
  </si>
  <si>
    <t>Gosport Sand Fm.</t>
  </si>
  <si>
    <t>Lousiana</t>
  </si>
  <si>
    <t>Moodys Branch Fm.</t>
  </si>
  <si>
    <t>Siemien, Poland</t>
  </si>
  <si>
    <t>Monrow Co, North Dakota</t>
  </si>
  <si>
    <t>Caldwell Ranch, Texas</t>
  </si>
  <si>
    <t>Wills Point Fm.</t>
  </si>
  <si>
    <t>Gosau, Austria</t>
  </si>
  <si>
    <t>Ostromice, Poland</t>
  </si>
  <si>
    <t>Hohenferchesar, Germany</t>
  </si>
  <si>
    <t>δ Value Ref. SW</t>
  </si>
  <si>
    <t>Bryant et al., 2024</t>
  </si>
  <si>
    <t>3819A</t>
  </si>
  <si>
    <t>3834A</t>
  </si>
  <si>
    <t>Millimeter-scale gray to orange flat-laminated shale</t>
  </si>
  <si>
    <t xml:space="preserve">Sub-millimeter scale laminated mudstone </t>
  </si>
  <si>
    <t>Medium-coarse grained reddish laminated</t>
  </si>
  <si>
    <t>Flat laminated dark shale with sub-millimeter scale light-dark laminations</t>
  </si>
  <si>
    <t>Flat laminated shale</t>
  </si>
  <si>
    <t>Turbiditic mudstone with ripples</t>
  </si>
  <si>
    <t>Millimeter-scale light-dark alternating laminations - light layers particularly fine-grained</t>
  </si>
  <si>
    <t>Millimeter-scale light-dark alternating laminations</t>
  </si>
  <si>
    <t>Finely laminated gray mudstone</t>
  </si>
  <si>
    <t>Very fine pink rhythmite</t>
  </si>
  <si>
    <t>Gray/green flat-laminated mudstone</t>
  </si>
  <si>
    <t>Finely cross-bedded pink dolostone</t>
  </si>
  <si>
    <t>Pyrite-rich light gray dololaminite - avoided pyrite for sampling</t>
  </si>
  <si>
    <t>Millimeter-scale laminated red-grey dolostone</t>
  </si>
  <si>
    <t>Grey mudstone with cross-bedding</t>
  </si>
  <si>
    <t>Light-dark laminated mudstone</t>
  </si>
  <si>
    <t>Light gray laminated mudstone</t>
  </si>
  <si>
    <t>Laminated/clotted gray mudstone</t>
  </si>
  <si>
    <t>Finely laminated brown mudstone</t>
  </si>
  <si>
    <t>Pyrite-rich light gray dololaminite</t>
  </si>
  <si>
    <t>Finely laminated light gray mudstone with some white blebs</t>
  </si>
  <si>
    <t>Massive white magnesite</t>
  </si>
  <si>
    <t>Intraclastic dolostone breccia, red clasts with gray matrix</t>
  </si>
  <si>
    <t>Red dolostone with small lighter-red intraclasts</t>
  </si>
  <si>
    <t>Finely interbedded gray dolostone with draping mud laminae</t>
  </si>
  <si>
    <t>Very fine red dolostone</t>
  </si>
  <si>
    <t>Very fine dolomudstone</t>
  </si>
  <si>
    <t>Finely-laminated dolomudstone</t>
  </si>
  <si>
    <t>Red dolostone with some intraclastic breccia interlayers and evaporite pseudomorphs</t>
  </si>
  <si>
    <t>Coarse dolostone interlayered with gray dolostone and small evaporite pseudomorphs</t>
  </si>
  <si>
    <t>Fine-laminated dolostone with cross-bedding</t>
  </si>
  <si>
    <t>Dark gray very fine dolostone with many large evaporite pseudomorphs</t>
  </si>
  <si>
    <t>Finely laminated gray dolostone interbedded with coarse lenticular pink dolostone, and some large white nodules</t>
  </si>
  <si>
    <t>Finely laminated w. some pink ripup clasts and evaporite pseudomorphs</t>
  </si>
  <si>
    <t>Coarse pink dolostone, w. few laminations and variably recrystallized, subrounded dolostone clasts</t>
  </si>
  <si>
    <t>Bulk Sediment</t>
  </si>
  <si>
    <t>Zaonega Fm</t>
  </si>
  <si>
    <t>Tulomozero Fm</t>
  </si>
  <si>
    <t>Nadeu et al., 2025</t>
  </si>
  <si>
    <t>Limestone</t>
  </si>
  <si>
    <t>Dolomite</t>
  </si>
  <si>
    <t>S33</t>
  </si>
  <si>
    <t>S34</t>
  </si>
  <si>
    <t>S35</t>
  </si>
  <si>
    <t>S36</t>
  </si>
  <si>
    <t>S37</t>
  </si>
  <si>
    <t>S39</t>
  </si>
  <si>
    <t>S40</t>
  </si>
  <si>
    <t>S41</t>
  </si>
  <si>
    <t>S42</t>
  </si>
  <si>
    <t>S44</t>
  </si>
  <si>
    <t>S45</t>
  </si>
  <si>
    <t>S46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</si>
  <si>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</si>
  <si>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</si>
  <si>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</si>
  <si>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</si>
  <si>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</si>
  <si>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</si>
  <si>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</si>
  <si>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</si>
  <si>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</si>
  <si>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</si>
  <si>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</si>
  <si>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</si>
  <si>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</si>
  <si>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</si>
  <si>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</si>
  <si>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</si>
  <si>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</si>
  <si>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</si>
  <si>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</si>
  <si>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</si>
  <si>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</si>
  <si>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</si>
  <si>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</si>
  <si>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</si>
  <si>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</si>
  <si>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</si>
  <si>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</si>
  <si>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</si>
  <si>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</si>
  <si>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</si>
  <si>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</si>
  <si>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</si>
  <si>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</si>
  <si>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</si>
  <si>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S84</t>
  </si>
  <si>
    <t>S85</t>
  </si>
  <si>
    <t>S87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</si>
  <si>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</si>
  <si>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</si>
  <si>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</si>
  <si>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</si>
  <si>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</si>
  <si>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</si>
  <si>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</si>
  <si>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</si>
  <si>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</si>
  <si>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</si>
  <si>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</si>
  <si>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</si>
  <si>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</si>
  <si>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</si>
  <si>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</si>
  <si>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</si>
  <si>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</si>
  <si>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</si>
  <si>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</si>
  <si>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</si>
  <si>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</si>
  <si>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</si>
  <si>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</si>
  <si>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</si>
  <si>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S115</t>
  </si>
  <si>
    <t>S116</t>
  </si>
  <si>
    <t>S117</t>
  </si>
  <si>
    <t>S118</t>
  </si>
  <si>
    <t>S120</t>
  </si>
  <si>
    <t>S121</t>
  </si>
  <si>
    <t>S122</t>
  </si>
  <si>
    <t>S123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</si>
  <si>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</si>
  <si>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</si>
  <si>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</si>
  <si>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</si>
  <si>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</si>
  <si>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</si>
  <si>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</si>
  <si>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</si>
  <si>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</si>
  <si>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</si>
  <si>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</si>
  <si>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</si>
  <si>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</si>
  <si>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</si>
  <si>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</si>
  <si>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</si>
  <si>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</si>
  <si>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</si>
  <si>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</si>
  <si>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</si>
  <si>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</si>
  <si>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YJH-1</t>
  </si>
  <si>
    <t>YJH</t>
  </si>
  <si>
    <t>YJH-3</t>
  </si>
  <si>
    <t>YJH-7</t>
  </si>
  <si>
    <t>YJH-12</t>
  </si>
  <si>
    <t>YJH-13</t>
  </si>
  <si>
    <t>YJH-15</t>
  </si>
  <si>
    <t>YJH-17</t>
  </si>
  <si>
    <t>YJH-23</t>
  </si>
  <si>
    <t>YJH-31</t>
  </si>
  <si>
    <t>YJH-32</t>
  </si>
  <si>
    <t>YJH-37</t>
  </si>
  <si>
    <t>YJH-39</t>
  </si>
  <si>
    <t>BMT</t>
  </si>
  <si>
    <t>YJH-43</t>
  </si>
  <si>
    <t>YJH-45</t>
  </si>
  <si>
    <t>YJH-47</t>
  </si>
  <si>
    <t>YJH-49</t>
  </si>
  <si>
    <t>YJH-51</t>
  </si>
  <si>
    <t>YJH-53</t>
  </si>
  <si>
    <t>YJH-55</t>
  </si>
  <si>
    <t>YJH-57</t>
  </si>
  <si>
    <t>YJH-59</t>
  </si>
  <si>
    <t>YJH-61</t>
  </si>
  <si>
    <t>YJH-63</t>
  </si>
  <si>
    <t>SBT</t>
  </si>
  <si>
    <t>WH-39</t>
  </si>
  <si>
    <t>WH-37</t>
  </si>
  <si>
    <t>WH-35</t>
  </si>
  <si>
    <t>WH-33</t>
  </si>
  <si>
    <t>WH-31</t>
  </si>
  <si>
    <t>WH-29</t>
  </si>
  <si>
    <t>WH-27</t>
  </si>
  <si>
    <t>WH-25</t>
  </si>
  <si>
    <t>WH-23</t>
  </si>
  <si>
    <t>WH-21</t>
  </si>
  <si>
    <t>WH-19</t>
  </si>
  <si>
    <t>WH-17</t>
  </si>
  <si>
    <t>HMJ</t>
  </si>
  <si>
    <t>WH-15</t>
  </si>
  <si>
    <t>WH-13</t>
  </si>
  <si>
    <t>WH-11</t>
  </si>
  <si>
    <t>WH-09</t>
  </si>
  <si>
    <t>WH-07</t>
  </si>
  <si>
    <t>WH-05</t>
  </si>
  <si>
    <t>WH-03</t>
  </si>
  <si>
    <t>Wei et al., 2022</t>
  </si>
  <si>
    <t>Gaojiaxi-Yanjiahe Section</t>
  </si>
  <si>
    <t>ppm/%Weight</t>
  </si>
  <si>
    <t>Resolution Guyot</t>
  </si>
  <si>
    <t>Bulk Rock</t>
  </si>
  <si>
    <t>Dolostone</t>
  </si>
  <si>
    <t>Micritic Limestone</t>
  </si>
  <si>
    <t>Dolomitic Grainstone</t>
  </si>
  <si>
    <t>Braun et al., 2024</t>
  </si>
  <si>
    <t>BW-174a</t>
  </si>
  <si>
    <t>BW-174b</t>
  </si>
  <si>
    <t>BW-182</t>
  </si>
  <si>
    <t>BW-188</t>
  </si>
  <si>
    <t>BW-194</t>
  </si>
  <si>
    <t>BW-202</t>
  </si>
  <si>
    <t>BW-220</t>
  </si>
  <si>
    <t>BW-234</t>
  </si>
  <si>
    <t>BW-240</t>
  </si>
  <si>
    <t>BW-250</t>
  </si>
  <si>
    <t>BW-270a</t>
  </si>
  <si>
    <t>BW-270b</t>
  </si>
  <si>
    <t>BW-286</t>
  </si>
  <si>
    <t>BW-310</t>
  </si>
  <si>
    <t>Briggs Woods</t>
  </si>
  <si>
    <t>Braun et al., 2023</t>
  </si>
  <si>
    <t>Mudstone</t>
  </si>
  <si>
    <t>Grainstone</t>
  </si>
  <si>
    <t>Packstone</t>
  </si>
  <si>
    <t>Iowa</t>
  </si>
  <si>
    <t>Fun_055</t>
  </si>
  <si>
    <t>Fun_072</t>
  </si>
  <si>
    <t>Fun_046</t>
  </si>
  <si>
    <t>Fun_050</t>
  </si>
  <si>
    <t>Fun_059</t>
  </si>
  <si>
    <t>Fun_339</t>
  </si>
  <si>
    <t>Fun_061</t>
  </si>
  <si>
    <t>Fun_093a</t>
  </si>
  <si>
    <t>Fun_093b</t>
  </si>
  <si>
    <t>Fun_099a</t>
  </si>
  <si>
    <t>Fun_099b</t>
  </si>
  <si>
    <t>California</t>
  </si>
  <si>
    <t>Funeral Mountains</t>
  </si>
  <si>
    <t>Bulk Carbonate</t>
  </si>
  <si>
    <t>Wackestone</t>
  </si>
  <si>
    <t>Calcite</t>
  </si>
  <si>
    <t>Todes et al., 2025</t>
  </si>
  <si>
    <t>GTB-058</t>
  </si>
  <si>
    <t>GTB-057</t>
  </si>
  <si>
    <t>GTB-056</t>
  </si>
  <si>
    <t>GTB-055</t>
  </si>
  <si>
    <t>GTB-054</t>
  </si>
  <si>
    <t>GTB-053</t>
  </si>
  <si>
    <t>GTB-052</t>
  </si>
  <si>
    <t>GTB-051</t>
  </si>
  <si>
    <t>GTB-050</t>
  </si>
  <si>
    <t>GTB-049</t>
  </si>
  <si>
    <t>GTB-048</t>
  </si>
  <si>
    <t>GTB-047</t>
  </si>
  <si>
    <t>GTB-046</t>
  </si>
  <si>
    <t>GTB-045</t>
  </si>
  <si>
    <t>GTB-044</t>
  </si>
  <si>
    <t>GTB-043</t>
  </si>
  <si>
    <t>GTB-042</t>
  </si>
  <si>
    <t>GTB-041</t>
  </si>
  <si>
    <t>GTB-040</t>
  </si>
  <si>
    <t>GTB-039</t>
  </si>
  <si>
    <t>GTB-038</t>
  </si>
  <si>
    <t>GTB-037</t>
  </si>
  <si>
    <t>GTB-036</t>
  </si>
  <si>
    <t>GTB-035</t>
  </si>
  <si>
    <t>GTB-034</t>
  </si>
  <si>
    <t>GTB-033</t>
  </si>
  <si>
    <t>GTB-032</t>
  </si>
  <si>
    <t>GTB-031</t>
  </si>
  <si>
    <t>GTB-030</t>
  </si>
  <si>
    <t>GTB-029</t>
  </si>
  <si>
    <t>GTB-028</t>
  </si>
  <si>
    <t>GTB-027</t>
  </si>
  <si>
    <t>GTB-026</t>
  </si>
  <si>
    <t>GTB-025</t>
  </si>
  <si>
    <t>GTB-024</t>
  </si>
  <si>
    <t>GTB-023</t>
  </si>
  <si>
    <t>GTB-022</t>
  </si>
  <si>
    <t>GTB-021</t>
  </si>
  <si>
    <t>GTB-020</t>
  </si>
  <si>
    <t>GTB-019</t>
  </si>
  <si>
    <t>GTB-018</t>
  </si>
  <si>
    <t>GTB-017</t>
  </si>
  <si>
    <t>GTB-016</t>
  </si>
  <si>
    <t>GTB-015</t>
  </si>
  <si>
    <t>GTB-014</t>
  </si>
  <si>
    <t>GTB-013</t>
  </si>
  <si>
    <t>GTB-012</t>
  </si>
  <si>
    <t>GTB-011</t>
  </si>
  <si>
    <t>GTB-010</t>
  </si>
  <si>
    <t>GTB-009</t>
  </si>
  <si>
    <t>GTB-008</t>
  </si>
  <si>
    <t>GTB-007</t>
  </si>
  <si>
    <t>GTB-006</t>
  </si>
  <si>
    <t>GTB-005</t>
  </si>
  <si>
    <t>GTB-004</t>
  </si>
  <si>
    <t>GTB-003</t>
  </si>
  <si>
    <t>GTB-002</t>
  </si>
  <si>
    <t>GTB-001</t>
  </si>
  <si>
    <t>Georgetown</t>
  </si>
  <si>
    <t>Thaynes Fm</t>
  </si>
  <si>
    <t>Zhao et al., 2024</t>
  </si>
  <si>
    <t>BS-40</t>
  </si>
  <si>
    <t>BS-39</t>
  </si>
  <si>
    <t>BS-38</t>
  </si>
  <si>
    <t>BS-37</t>
  </si>
  <si>
    <t>BS-36</t>
  </si>
  <si>
    <t>BS-35</t>
  </si>
  <si>
    <t>BS-34</t>
  </si>
  <si>
    <t>BS-33</t>
  </si>
  <si>
    <t>BS-32</t>
  </si>
  <si>
    <t>BS-31</t>
  </si>
  <si>
    <t>BS-30</t>
  </si>
  <si>
    <t>BS-29</t>
  </si>
  <si>
    <t>BS-28</t>
  </si>
  <si>
    <t>BS-27</t>
  </si>
  <si>
    <t>BS-26</t>
  </si>
  <si>
    <t>BS-25</t>
  </si>
  <si>
    <t>BS-24</t>
  </si>
  <si>
    <t>BS-23</t>
  </si>
  <si>
    <t>BS-22</t>
  </si>
  <si>
    <t>BS-21</t>
  </si>
  <si>
    <t>BS-20</t>
  </si>
  <si>
    <t>BS-19</t>
  </si>
  <si>
    <t>BS-18</t>
  </si>
  <si>
    <t>BS-17</t>
  </si>
  <si>
    <t>BS-16</t>
  </si>
  <si>
    <t>BS-15</t>
  </si>
  <si>
    <t>BS-14</t>
  </si>
  <si>
    <t>BS-13</t>
  </si>
  <si>
    <t>BS-12</t>
  </si>
  <si>
    <t>BS-11</t>
  </si>
  <si>
    <t>BS-10</t>
  </si>
  <si>
    <t>BS-9</t>
  </si>
  <si>
    <t>BS-8</t>
  </si>
  <si>
    <t>BS-7</t>
  </si>
  <si>
    <t>BS-6</t>
  </si>
  <si>
    <t>BS-5</t>
  </si>
  <si>
    <t>BS-4</t>
  </si>
  <si>
    <t>BS-3</t>
  </si>
  <si>
    <t>BS-2</t>
  </si>
  <si>
    <t>BS-1</t>
  </si>
  <si>
    <t>BS-41</t>
  </si>
  <si>
    <t>BS-42</t>
  </si>
  <si>
    <t>BS-43</t>
  </si>
  <si>
    <t>BS-44</t>
  </si>
  <si>
    <t>BS-45</t>
  </si>
  <si>
    <t>BS-46</t>
  </si>
  <si>
    <t>BS-47</t>
  </si>
  <si>
    <t>BS-48</t>
  </si>
  <si>
    <t>BS-49</t>
  </si>
  <si>
    <t>BS-50</t>
  </si>
  <si>
    <t>BS-51</t>
  </si>
  <si>
    <t>BS-52</t>
  </si>
  <si>
    <t>BS-53</t>
  </si>
  <si>
    <t>BS-54</t>
  </si>
  <si>
    <t>BS-55</t>
  </si>
  <si>
    <t>BS-56</t>
  </si>
  <si>
    <t>BS-57</t>
  </si>
  <si>
    <t>BS-58</t>
  </si>
  <si>
    <t>BS-59</t>
  </si>
  <si>
    <t>BS-60</t>
  </si>
  <si>
    <t>BS-61</t>
  </si>
  <si>
    <t>BS-62</t>
  </si>
  <si>
    <t>BS-63</t>
  </si>
  <si>
    <t>BS-64</t>
  </si>
  <si>
    <t>BS-65</t>
  </si>
  <si>
    <t>BS-66</t>
  </si>
  <si>
    <t>BS-67</t>
  </si>
  <si>
    <t>BS-68</t>
  </si>
  <si>
    <t>BS-69</t>
  </si>
  <si>
    <t>BS-70</t>
  </si>
  <si>
    <t>BS-71</t>
  </si>
  <si>
    <t>BS-72</t>
  </si>
  <si>
    <t>BS-73</t>
  </si>
  <si>
    <t>BS-74</t>
  </si>
  <si>
    <t>BS-75</t>
  </si>
  <si>
    <t>BS-76</t>
  </si>
  <si>
    <t>BS-77</t>
  </si>
  <si>
    <t>BS-78</t>
  </si>
  <si>
    <t>BS-79</t>
  </si>
  <si>
    <t>BS-80</t>
  </si>
  <si>
    <t>BS-81</t>
  </si>
  <si>
    <t>BS-82</t>
  </si>
  <si>
    <t>BS-83</t>
  </si>
  <si>
    <t>BS-104</t>
  </si>
  <si>
    <t>BS-103</t>
  </si>
  <si>
    <t>BS-102</t>
  </si>
  <si>
    <t>BS-101</t>
  </si>
  <si>
    <t>BS-100</t>
  </si>
  <si>
    <t>BS-99</t>
  </si>
  <si>
    <t>BS-98</t>
  </si>
  <si>
    <t>BS-97</t>
  </si>
  <si>
    <t>BS-96</t>
  </si>
  <si>
    <t>BS-95</t>
  </si>
  <si>
    <t>BS-94</t>
  </si>
  <si>
    <t>BS-93</t>
  </si>
  <si>
    <t>BS-92</t>
  </si>
  <si>
    <t>BS-91</t>
  </si>
  <si>
    <t>BS-90</t>
  </si>
  <si>
    <t>BS-89</t>
  </si>
  <si>
    <t>BS-88</t>
  </si>
  <si>
    <t>BS-87</t>
  </si>
  <si>
    <t>BS-86</t>
  </si>
  <si>
    <t>BS-85</t>
  </si>
  <si>
    <t>BS-84</t>
  </si>
  <si>
    <t xml:space="preserve">Guangxi Province, South China </t>
  </si>
  <si>
    <t>Baisha Fm</t>
  </si>
  <si>
    <t>YD-58-1</t>
  </si>
  <si>
    <t>YD-57-1</t>
  </si>
  <si>
    <t>YD-56-1</t>
  </si>
  <si>
    <t>YD-55-1</t>
  </si>
  <si>
    <t>YD-54-1</t>
  </si>
  <si>
    <t>YD-53-1</t>
  </si>
  <si>
    <t>YD-52-1</t>
  </si>
  <si>
    <t>YD-51-1</t>
  </si>
  <si>
    <t>YD-50-1</t>
  </si>
  <si>
    <t>YD-49-1</t>
  </si>
  <si>
    <t>YD-48-1</t>
  </si>
  <si>
    <t>YD-47-1</t>
  </si>
  <si>
    <t>YD-46-1</t>
  </si>
  <si>
    <t>YD-45-1</t>
  </si>
  <si>
    <t>FF-44</t>
  </si>
  <si>
    <t>YD-44-1</t>
  </si>
  <si>
    <t>FF-43-2</t>
  </si>
  <si>
    <t>YD-43-2</t>
  </si>
  <si>
    <t>FF-43-1</t>
  </si>
  <si>
    <t>FF-42-2</t>
  </si>
  <si>
    <t>YD-42-2</t>
  </si>
  <si>
    <t>FF-42-1</t>
  </si>
  <si>
    <t>FF-41</t>
  </si>
  <si>
    <t>YD-41-2</t>
  </si>
  <si>
    <t>FF-40-5</t>
  </si>
  <si>
    <t>FF-40-4</t>
  </si>
  <si>
    <t>FF-40-3</t>
  </si>
  <si>
    <t>FF-40-2</t>
  </si>
  <si>
    <t>FF-40</t>
  </si>
  <si>
    <t>YD-40U</t>
  </si>
  <si>
    <t>YD-40T</t>
  </si>
  <si>
    <t>YD-40S</t>
  </si>
  <si>
    <t>YD-40R</t>
  </si>
  <si>
    <t>YD-40Q</t>
  </si>
  <si>
    <t>YD-40P</t>
  </si>
  <si>
    <t>YD-40O</t>
  </si>
  <si>
    <t>YD-40N</t>
  </si>
  <si>
    <t>YD-40M</t>
  </si>
  <si>
    <t>YD-40K</t>
  </si>
  <si>
    <t>YD-40J</t>
  </si>
  <si>
    <t>YD-40I</t>
  </si>
  <si>
    <t>YD-40H</t>
  </si>
  <si>
    <t>YD-40G</t>
  </si>
  <si>
    <t>YD-40F</t>
  </si>
  <si>
    <t>YD-40E</t>
  </si>
  <si>
    <t>YD-40D</t>
  </si>
  <si>
    <t>YD-40C</t>
  </si>
  <si>
    <t>YD-40B</t>
  </si>
  <si>
    <t>YD-40A</t>
  </si>
  <si>
    <t>FF-39</t>
  </si>
  <si>
    <t>YD-39-2</t>
  </si>
  <si>
    <t>YD-39-1</t>
  </si>
  <si>
    <t>FF-38</t>
  </si>
  <si>
    <t>FF-37</t>
  </si>
  <si>
    <t>FF-36</t>
  </si>
  <si>
    <t>FF-35</t>
  </si>
  <si>
    <t>FF-34</t>
  </si>
  <si>
    <t>FF-33</t>
  </si>
  <si>
    <t>FF-32</t>
  </si>
  <si>
    <t>FF-31</t>
  </si>
  <si>
    <t>FF-30</t>
  </si>
  <si>
    <t>FF-29</t>
  </si>
  <si>
    <t>FF-28</t>
  </si>
  <si>
    <t>FF-27</t>
  </si>
  <si>
    <t>FF-26</t>
  </si>
  <si>
    <t>FF-25</t>
  </si>
  <si>
    <t>FF-24</t>
  </si>
  <si>
    <t>FF-23</t>
  </si>
  <si>
    <t>FF-22</t>
  </si>
  <si>
    <t>FF-21</t>
  </si>
  <si>
    <t>FF-20</t>
  </si>
  <si>
    <t>FF-19</t>
  </si>
  <si>
    <t>FF-18</t>
  </si>
  <si>
    <t>FF-17</t>
  </si>
  <si>
    <t>FF-16</t>
  </si>
  <si>
    <t>FF-15</t>
  </si>
  <si>
    <t>YD-15-2</t>
  </si>
  <si>
    <t>YD-15-1</t>
  </si>
  <si>
    <t>FF-14</t>
  </si>
  <si>
    <t>YD-14-2</t>
  </si>
  <si>
    <t>YD-14-1</t>
  </si>
  <si>
    <t>FF-13</t>
  </si>
  <si>
    <t>FF-12</t>
  </si>
  <si>
    <t>FF-11</t>
  </si>
  <si>
    <t>FF-10</t>
  </si>
  <si>
    <t>FF-9</t>
  </si>
  <si>
    <t>FF-8</t>
  </si>
  <si>
    <t>FF-7</t>
  </si>
  <si>
    <t>FF-6</t>
  </si>
  <si>
    <t>FF-5</t>
  </si>
  <si>
    <t>FF-4</t>
  </si>
  <si>
    <t>FF-3</t>
  </si>
  <si>
    <t>FF-2</t>
  </si>
  <si>
    <t>FF-1</t>
  </si>
  <si>
    <t>Yangdi Fm</t>
  </si>
  <si>
    <t>Bryant et al., 2022</t>
  </si>
  <si>
    <t>MC-005 A</t>
  </si>
  <si>
    <t>MC-005 B</t>
  </si>
  <si>
    <t>MC-005 C</t>
  </si>
  <si>
    <t>MC-006 A</t>
  </si>
  <si>
    <t>MC-008 A</t>
  </si>
  <si>
    <t>MC-008 B</t>
  </si>
  <si>
    <t>MC-008 C</t>
  </si>
  <si>
    <t>MC-012 A</t>
  </si>
  <si>
    <t>MC-012 B</t>
  </si>
  <si>
    <t>MC-013 A</t>
  </si>
  <si>
    <t>MC-014 A</t>
  </si>
  <si>
    <t>MC-014 B</t>
  </si>
  <si>
    <t>MC-014 C</t>
  </si>
  <si>
    <t>MC-015 A</t>
  </si>
  <si>
    <t>MC-016 A</t>
  </si>
  <si>
    <t>MC-017 A</t>
  </si>
  <si>
    <t>MC-017 B</t>
  </si>
  <si>
    <t>MC-018 A</t>
  </si>
  <si>
    <t>MC-019 A</t>
  </si>
  <si>
    <t>MC-020 A</t>
  </si>
  <si>
    <t>MC-020 B</t>
  </si>
  <si>
    <t>MC-031 A</t>
  </si>
  <si>
    <t>MC-031 C</t>
  </si>
  <si>
    <t>MC-031 D</t>
  </si>
  <si>
    <t>MC-032 A</t>
  </si>
  <si>
    <t>MC-032 B</t>
  </si>
  <si>
    <t>MC-033 A</t>
  </si>
  <si>
    <t>MC-033 B</t>
  </si>
  <si>
    <t>MC-033 C</t>
  </si>
  <si>
    <t>MC-034 A</t>
  </si>
  <si>
    <t>MC-034 B</t>
  </si>
  <si>
    <t>MC-036 A</t>
  </si>
  <si>
    <t>MC-036 B</t>
  </si>
  <si>
    <t>MC-037 A</t>
  </si>
  <si>
    <t>MC-037 B</t>
  </si>
  <si>
    <t>MC-038 A</t>
  </si>
  <si>
    <t>MC-038 B</t>
  </si>
  <si>
    <t>MC-040 A</t>
  </si>
  <si>
    <t>MC-040 B</t>
  </si>
  <si>
    <t>MC-041 A</t>
  </si>
  <si>
    <t>MC-042 A</t>
  </si>
  <si>
    <t>MC-042 B</t>
  </si>
  <si>
    <t>MC-043 A</t>
  </si>
  <si>
    <t>MC-044 A</t>
  </si>
  <si>
    <t>MC-045 A</t>
  </si>
  <si>
    <t>MC-045 B</t>
  </si>
  <si>
    <t>MC-046 A</t>
  </si>
  <si>
    <t>MC-046 B</t>
  </si>
  <si>
    <t>MC-047 A</t>
  </si>
  <si>
    <t>MC-047 B</t>
  </si>
  <si>
    <t>MC-047 C</t>
  </si>
  <si>
    <t>MC-049 A</t>
  </si>
  <si>
    <t>MC-049 B</t>
  </si>
  <si>
    <t>MC-049 C</t>
  </si>
  <si>
    <t>MC-050 B</t>
  </si>
  <si>
    <t>MC-050 C</t>
  </si>
  <si>
    <t>MC-051 A</t>
  </si>
  <si>
    <t>MC-052 A</t>
  </si>
  <si>
    <t>MC-052 B</t>
  </si>
  <si>
    <t>MC-052 D</t>
  </si>
  <si>
    <t>MC-055 A</t>
  </si>
  <si>
    <t>MC-056 A</t>
  </si>
  <si>
    <t>MC-056 B</t>
  </si>
  <si>
    <t>MC-056 C</t>
  </si>
  <si>
    <t>MC-056 D</t>
  </si>
  <si>
    <t>MC-057 A</t>
  </si>
  <si>
    <t>MC-057 B</t>
  </si>
  <si>
    <t>MC-057 C</t>
  </si>
  <si>
    <t>MC-057 D</t>
  </si>
  <si>
    <t>MC-058 A</t>
  </si>
  <si>
    <t>MC-058 B</t>
  </si>
  <si>
    <t>MC-059 A</t>
  </si>
  <si>
    <t>MC-060 A</t>
  </si>
  <si>
    <t>MC-060 B</t>
  </si>
  <si>
    <t>MC-093 A</t>
  </si>
  <si>
    <t>MC-093 B</t>
  </si>
  <si>
    <t>MC-095 A</t>
  </si>
  <si>
    <t>MC-096 A</t>
  </si>
  <si>
    <t>MC-096 B</t>
  </si>
  <si>
    <t>MC-097 A</t>
  </si>
  <si>
    <t>MC-097 B</t>
  </si>
  <si>
    <t>MC-097 C</t>
  </si>
  <si>
    <t>MC-097 D</t>
  </si>
  <si>
    <t>MC-098 A</t>
  </si>
  <si>
    <t>MC-098 B</t>
  </si>
  <si>
    <t>MC-098 C</t>
  </si>
  <si>
    <t>MC-099 A</t>
  </si>
  <si>
    <t>MC-099 C</t>
  </si>
  <si>
    <t>MC-099 D</t>
  </si>
  <si>
    <t>MC-100 A</t>
  </si>
  <si>
    <t>MC-100 B</t>
  </si>
  <si>
    <t>MC-100 C</t>
  </si>
  <si>
    <t>MC-101 A</t>
  </si>
  <si>
    <t>MC-101 B</t>
  </si>
  <si>
    <t>MC-101 C</t>
  </si>
  <si>
    <t>MC-102 A</t>
  </si>
  <si>
    <t>MC-102 B</t>
  </si>
  <si>
    <t>MC-102 C</t>
  </si>
  <si>
    <t>MC-102 D</t>
  </si>
  <si>
    <t>MC-102 E</t>
  </si>
  <si>
    <t>MC-103 A</t>
  </si>
  <si>
    <t>MC-103 B</t>
  </si>
  <si>
    <t>MC-161 A</t>
  </si>
  <si>
    <t>MC-161 B</t>
  </si>
  <si>
    <t>MC-161 C</t>
  </si>
  <si>
    <t>MC-161 D</t>
  </si>
  <si>
    <t>MC-161 E</t>
  </si>
  <si>
    <t>MC-163 A</t>
  </si>
  <si>
    <t>MC-163 B</t>
  </si>
  <si>
    <t>MC-165 A</t>
  </si>
  <si>
    <t>MC-165 B</t>
  </si>
  <si>
    <t>MC-166 A</t>
  </si>
  <si>
    <t>MC-166 B</t>
  </si>
  <si>
    <t>MC-166 C</t>
  </si>
  <si>
    <t>MC-166 D</t>
  </si>
  <si>
    <t>MC-166 E</t>
  </si>
  <si>
    <t>MC-167 A</t>
  </si>
  <si>
    <t>MC-168 A</t>
  </si>
  <si>
    <t>MC-169 A</t>
  </si>
  <si>
    <t>MC-169 B</t>
  </si>
  <si>
    <t>MC-169 C</t>
  </si>
  <si>
    <t>MC-170 A</t>
  </si>
  <si>
    <t>MC-170 B</t>
  </si>
  <si>
    <t>MC-170 C</t>
  </si>
  <si>
    <t>MC-171 A</t>
  </si>
  <si>
    <t>MC-171 B</t>
  </si>
  <si>
    <t>MC-171 C</t>
  </si>
  <si>
    <t>MC-171 D</t>
  </si>
  <si>
    <t>MC-172 A</t>
  </si>
  <si>
    <t>MC-173 A</t>
  </si>
  <si>
    <t>MC-177 A</t>
  </si>
  <si>
    <t>MC-178 A</t>
  </si>
  <si>
    <t>MC-179 A</t>
  </si>
  <si>
    <t>MC-180 A</t>
  </si>
  <si>
    <t>MC-180 B</t>
  </si>
  <si>
    <t>MC-181 B</t>
  </si>
  <si>
    <t>MC-181 C</t>
  </si>
  <si>
    <t>MC-182 A</t>
  </si>
  <si>
    <t>MC-182 B</t>
  </si>
  <si>
    <t>MC-182 C</t>
  </si>
  <si>
    <t>MC-182 D</t>
  </si>
  <si>
    <t>MC-182 E</t>
  </si>
  <si>
    <t>MC-182 F</t>
  </si>
  <si>
    <t>MC-182 G</t>
  </si>
  <si>
    <t>MC-183 A</t>
  </si>
  <si>
    <t>MC-184 A</t>
  </si>
  <si>
    <t>MC-185 A</t>
  </si>
  <si>
    <t>MC-185 B</t>
  </si>
  <si>
    <t>MC-186 A</t>
  </si>
  <si>
    <t>MC-186 B</t>
  </si>
  <si>
    <t>MC-187 A</t>
  </si>
  <si>
    <t>MC-187 B</t>
  </si>
  <si>
    <t>MC-187 C</t>
  </si>
  <si>
    <t>MC-187 D</t>
  </si>
  <si>
    <t>MC-187 E</t>
  </si>
  <si>
    <t>MC-187 F</t>
  </si>
  <si>
    <t>MC-187 G</t>
  </si>
  <si>
    <t>MC-187 H</t>
  </si>
  <si>
    <t>MC-187 I</t>
  </si>
  <si>
    <t>MC-187 J</t>
  </si>
  <si>
    <t>MC-187 K</t>
  </si>
  <si>
    <t>MC-188 A</t>
  </si>
  <si>
    <t>MC-188 B</t>
  </si>
  <si>
    <t>MC-188 C</t>
  </si>
  <si>
    <t>MC-189 A</t>
  </si>
  <si>
    <t>MC-189 B</t>
  </si>
  <si>
    <t>MC-190 A</t>
  </si>
  <si>
    <t>MC-190 B</t>
  </si>
  <si>
    <t>MC-190 C</t>
  </si>
  <si>
    <t>MC-190 D</t>
  </si>
  <si>
    <t>MC-190 E</t>
  </si>
  <si>
    <t>MC-191 A</t>
  </si>
  <si>
    <t>MC-191 B</t>
  </si>
  <si>
    <t>MC-192 A</t>
  </si>
  <si>
    <t>MC-192 B</t>
  </si>
  <si>
    <t>MC-192 C</t>
  </si>
  <si>
    <t>MC-193 A</t>
  </si>
  <si>
    <t>MC-193 B</t>
  </si>
  <si>
    <t>MC-194 A</t>
  </si>
  <si>
    <t>MC-194 B</t>
  </si>
  <si>
    <t>MC-194 C</t>
  </si>
  <si>
    <t>MC-194 D</t>
  </si>
  <si>
    <t>MC-194 E</t>
  </si>
  <si>
    <t>MC-195 A</t>
  </si>
  <si>
    <t>MC-195 B</t>
  </si>
  <si>
    <t>MC-197 A</t>
  </si>
  <si>
    <t>MC-197 B</t>
  </si>
  <si>
    <t>MC-197 C</t>
  </si>
  <si>
    <t>MC-198 A</t>
  </si>
  <si>
    <t>MC-199 A</t>
  </si>
  <si>
    <t>MC-199 B</t>
  </si>
  <si>
    <t>MC-199 C</t>
  </si>
  <si>
    <t>MC-199 D</t>
  </si>
  <si>
    <t>MC-200 A</t>
  </si>
  <si>
    <t>MC-200 B</t>
  </si>
  <si>
    <t>MC-200 C</t>
  </si>
  <si>
    <t>MC-201 A</t>
  </si>
  <si>
    <t>MC-201 B</t>
  </si>
  <si>
    <t>MC-202 B</t>
  </si>
  <si>
    <t>MC-203 A</t>
  </si>
  <si>
    <t>MC-203 B</t>
  </si>
  <si>
    <t>MC-203 C</t>
  </si>
  <si>
    <t>MC-203 D</t>
  </si>
  <si>
    <t>MC-204 A</t>
  </si>
  <si>
    <t>MC-204 B</t>
  </si>
  <si>
    <t>MC-204 C</t>
  </si>
  <si>
    <t>MC-205 A</t>
  </si>
  <si>
    <t>MC-205 B</t>
  </si>
  <si>
    <t>MC-206 A</t>
  </si>
  <si>
    <t>MC-206 B</t>
  </si>
  <si>
    <t>MC-207 A</t>
  </si>
  <si>
    <t>MC-208 A</t>
  </si>
  <si>
    <t>MC-208 B</t>
  </si>
  <si>
    <t>MC-208 C</t>
  </si>
  <si>
    <t>MC-209 A</t>
  </si>
  <si>
    <t>MC-209 B</t>
  </si>
  <si>
    <t>MC-209 C</t>
  </si>
  <si>
    <t>MC-210 A</t>
  </si>
  <si>
    <t>MC-211 A</t>
  </si>
  <si>
    <t>MC-211 B</t>
  </si>
  <si>
    <t>MC-212 A</t>
  </si>
  <si>
    <t>MC-212 B</t>
  </si>
  <si>
    <t>MC-212 C</t>
  </si>
  <si>
    <t>MC-213 A</t>
  </si>
  <si>
    <t>MC-213 B</t>
  </si>
  <si>
    <t>MC-213 C</t>
  </si>
  <si>
    <t>MC-213 D</t>
  </si>
  <si>
    <t>MC-213 E</t>
  </si>
  <si>
    <t>MC-213 F</t>
  </si>
  <si>
    <t>MC-215 A</t>
  </si>
  <si>
    <t>MC-215 B</t>
  </si>
  <si>
    <t>MC-215 C</t>
  </si>
  <si>
    <t>MC-215 D</t>
  </si>
  <si>
    <t>MC-215 E</t>
  </si>
  <si>
    <t>MC-258 A</t>
  </si>
  <si>
    <t>MC-259 A</t>
  </si>
  <si>
    <t>MC-260 A</t>
  </si>
  <si>
    <t>MC-261 A</t>
  </si>
  <si>
    <t>MC-262 A</t>
  </si>
  <si>
    <t>MC-263 A</t>
  </si>
  <si>
    <t>MC-265 A</t>
  </si>
  <si>
    <t>MC-265 B</t>
  </si>
  <si>
    <t>MC-266 A</t>
  </si>
  <si>
    <t>MC-266 B</t>
  </si>
  <si>
    <t>MC-267 A</t>
  </si>
  <si>
    <t>MC-267 B</t>
  </si>
  <si>
    <t>MC-269 A</t>
  </si>
  <si>
    <t>MC-269 B</t>
  </si>
  <si>
    <t>Texas</t>
  </si>
  <si>
    <t>Capitan Reef Complex</t>
  </si>
  <si>
    <t>Liu et al., 2017</t>
  </si>
  <si>
    <t>South China Sea</t>
  </si>
  <si>
    <t>Xisha Platform</t>
  </si>
  <si>
    <t>Prow-Fliescher et al., 2025</t>
  </si>
  <si>
    <t>Mount Sparagio, Italy</t>
  </si>
  <si>
    <t>LO2</t>
  </si>
  <si>
    <t>LO4</t>
  </si>
  <si>
    <t>LO6</t>
  </si>
  <si>
    <t>LO7</t>
  </si>
  <si>
    <t>LO11</t>
  </si>
  <si>
    <t>OS2-3</t>
  </si>
  <si>
    <t>OS2-4</t>
  </si>
  <si>
    <t>ZR5</t>
  </si>
  <si>
    <t>ZR9</t>
  </si>
  <si>
    <t>OS2-9</t>
  </si>
  <si>
    <t>OS2-10</t>
  </si>
  <si>
    <t>ZR18</t>
  </si>
  <si>
    <t>ZR31</t>
  </si>
  <si>
    <t>ZR38</t>
  </si>
  <si>
    <t>UH2</t>
  </si>
  <si>
    <t>UH4</t>
  </si>
  <si>
    <t>UH5</t>
  </si>
  <si>
    <t>UH6</t>
  </si>
  <si>
    <t>UH8</t>
  </si>
  <si>
    <t>UH9</t>
  </si>
  <si>
    <t>UH14</t>
  </si>
  <si>
    <t>PR7</t>
  </si>
  <si>
    <t>PR</t>
  </si>
  <si>
    <t>PR6</t>
  </si>
  <si>
    <t>SW2</t>
  </si>
  <si>
    <t>SW6</t>
  </si>
  <si>
    <t>SW9</t>
  </si>
  <si>
    <t>SW12</t>
  </si>
  <si>
    <t>SW13</t>
  </si>
  <si>
    <t>SWP15</t>
  </si>
  <si>
    <t>Tostevin et al., 2019</t>
  </si>
  <si>
    <t>Zaris fm</t>
  </si>
  <si>
    <t>Zebra River, Namibia</t>
  </si>
  <si>
    <t>Pinnacle Reefs, Namibia</t>
  </si>
  <si>
    <t>Swartpunt, Namibia</t>
  </si>
  <si>
    <t>Maieberg Formation</t>
  </si>
  <si>
    <t>OBTJ 74</t>
  </si>
  <si>
    <t>OBTJ 70</t>
  </si>
  <si>
    <t>OBTJ 67</t>
  </si>
  <si>
    <t>OBTJ 65</t>
  </si>
  <si>
    <t>OBTJ 58</t>
  </si>
  <si>
    <t>OBTJ 55</t>
  </si>
  <si>
    <t>OBTJ 52</t>
  </si>
  <si>
    <t>Keilberg cap carbonate</t>
  </si>
  <si>
    <t>OBTJ 47</t>
  </si>
  <si>
    <t>OBTJ 46</t>
  </si>
  <si>
    <t>OBTJ 45</t>
  </si>
  <si>
    <t>OBTJ 43</t>
  </si>
  <si>
    <t>Ombaatjie Formation</t>
  </si>
  <si>
    <t>OBTJ 40</t>
  </si>
  <si>
    <t>OBTJ 36</t>
  </si>
  <si>
    <t>OBTJ 34</t>
  </si>
  <si>
    <t>OBTJ 30</t>
  </si>
  <si>
    <t>OBTJ 29</t>
  </si>
  <si>
    <t>OBTJ 27</t>
  </si>
  <si>
    <t>OBTJ 25</t>
  </si>
  <si>
    <t>OBTJ 23</t>
  </si>
  <si>
    <t>OBTJ 21</t>
  </si>
  <si>
    <t>Congo Craton, Namibia</t>
  </si>
  <si>
    <t>Carbonate</t>
  </si>
  <si>
    <t>SRM19a</t>
  </si>
  <si>
    <t>INO5003</t>
  </si>
  <si>
    <t>INO5012</t>
  </si>
  <si>
    <t>Canada</t>
  </si>
  <si>
    <t>Nuvvuagittuq Supracrustal Belt</t>
  </si>
  <si>
    <t>Trondhjemite</t>
  </si>
  <si>
    <t>Bt, Plg, Qz, +/- Kfeld</t>
  </si>
  <si>
    <t>52.6</t>
  </si>
  <si>
    <t>97.2</t>
  </si>
  <si>
    <t>Tomayo et al.,2018</t>
  </si>
  <si>
    <t>Lau et al.,2017</t>
  </si>
  <si>
    <t>Higgins et al.,2018</t>
  </si>
  <si>
    <t>Payne et al.,2010</t>
  </si>
  <si>
    <t>Erhardt et al.,2020</t>
  </si>
  <si>
    <t>Kasemann et al.,2005</t>
  </si>
  <si>
    <t>Antonelli et al.,2021</t>
  </si>
  <si>
    <t>Sawaki et al.,2014</t>
  </si>
  <si>
    <t>S100502-01</t>
  </si>
  <si>
    <t>Dengying</t>
  </si>
  <si>
    <t>S100801-02</t>
  </si>
  <si>
    <t>S101005-02</t>
  </si>
  <si>
    <t>S101207-02</t>
  </si>
  <si>
    <t>S103306-01</t>
  </si>
  <si>
    <t>S104805-01</t>
  </si>
  <si>
    <t>Doushantuo</t>
  </si>
  <si>
    <t>S105416-01</t>
  </si>
  <si>
    <t>S105801-01</t>
  </si>
  <si>
    <t>S107706-01</t>
  </si>
  <si>
    <t>S108001-01</t>
  </si>
  <si>
    <t>S108102B1-01</t>
  </si>
  <si>
    <t>S108301-01</t>
  </si>
  <si>
    <t>S108602-04</t>
  </si>
  <si>
    <t>S108805-02</t>
  </si>
  <si>
    <t>S108902A-01</t>
  </si>
  <si>
    <t>S109301-01</t>
  </si>
  <si>
    <t>S109302B-02</t>
  </si>
  <si>
    <t>S109611-02</t>
  </si>
  <si>
    <t>S109615-01</t>
  </si>
  <si>
    <t>S109901B-01</t>
  </si>
  <si>
    <t>S110121C-01</t>
  </si>
  <si>
    <t>S110309-01</t>
  </si>
  <si>
    <t>S110604B-01</t>
  </si>
  <si>
    <t>S111007A-01</t>
  </si>
  <si>
    <t>S111502-02</t>
  </si>
  <si>
    <t>S112302-01</t>
  </si>
  <si>
    <t>S112703-01</t>
  </si>
  <si>
    <t>S112810-01</t>
  </si>
  <si>
    <t>S113111-01</t>
  </si>
  <si>
    <t>S113305-03</t>
  </si>
  <si>
    <t>S113502-01</t>
  </si>
  <si>
    <t>S114212-01</t>
  </si>
  <si>
    <t>S114523B-02</t>
  </si>
  <si>
    <t>S200502A-01</t>
  </si>
  <si>
    <t>S200503-01</t>
  </si>
  <si>
    <t>S200705B-01</t>
  </si>
  <si>
    <t>S200802-02</t>
  </si>
  <si>
    <t>S201404-21</t>
  </si>
  <si>
    <t>S201902-04</t>
  </si>
  <si>
    <t>Sparite</t>
  </si>
  <si>
    <t>Three Gorges, South China</t>
  </si>
  <si>
    <t>44/42</t>
  </si>
  <si>
    <t>Shuijingtuo</t>
  </si>
  <si>
    <t>S300501-02</t>
  </si>
  <si>
    <t>301504D-01</t>
  </si>
  <si>
    <t>S301805F-02</t>
  </si>
  <si>
    <t>S302302E-02</t>
  </si>
  <si>
    <t>S302704-02</t>
  </si>
  <si>
    <t>S302908-03</t>
  </si>
  <si>
    <t>S303107L-04</t>
  </si>
  <si>
    <t>Yanjiahe</t>
  </si>
  <si>
    <t>303111-01</t>
  </si>
  <si>
    <t>S303201L-02</t>
  </si>
  <si>
    <t>S303308-03</t>
  </si>
  <si>
    <t>303509U-01</t>
  </si>
  <si>
    <t>303612-02</t>
  </si>
  <si>
    <t>304303-01</t>
  </si>
  <si>
    <t>304905-01</t>
  </si>
  <si>
    <t>305001-01</t>
  </si>
  <si>
    <t>S305707-03</t>
  </si>
  <si>
    <t>Tamayo et al., 2010</t>
  </si>
  <si>
    <t>TMG-13</t>
  </si>
  <si>
    <t>TMG-15</t>
  </si>
  <si>
    <t>TMG-19</t>
  </si>
  <si>
    <t>TMG-23</t>
  </si>
  <si>
    <t>TMG-31</t>
  </si>
  <si>
    <t>I.8.5</t>
  </si>
  <si>
    <t>I.8.10</t>
  </si>
  <si>
    <t>I.8.135</t>
  </si>
  <si>
    <t>I.8.145</t>
  </si>
  <si>
    <t>N98-5.2</t>
  </si>
  <si>
    <t>N98-5.3</t>
  </si>
  <si>
    <t>N98-5.8</t>
  </si>
  <si>
    <t>N98-5.16</t>
  </si>
  <si>
    <t>N98-5.28a</t>
  </si>
  <si>
    <t>N98-5.28b</t>
  </si>
  <si>
    <t>JACS 09</t>
  </si>
  <si>
    <t>JACS 01</t>
  </si>
  <si>
    <t>JACS 02</t>
  </si>
  <si>
    <t>JACS 05</t>
  </si>
  <si>
    <t>JACS 07</t>
  </si>
  <si>
    <t>JACS 08</t>
  </si>
  <si>
    <t>JACS 10</t>
  </si>
  <si>
    <t>JACS 14</t>
  </si>
  <si>
    <t>JACS 15</t>
  </si>
  <si>
    <t>JACS 17</t>
  </si>
  <si>
    <t>JACS 30</t>
  </si>
  <si>
    <t>JACS 35</t>
  </si>
  <si>
    <t>Sete Lagoas city, Minas Gerais State, Brazil</t>
  </si>
  <si>
    <t>Twitya Fm.</t>
  </si>
  <si>
    <t>Sete Lagoas Fm.</t>
  </si>
  <si>
    <t>Jacoca Fm.</t>
  </si>
  <si>
    <t>McKenzie Mountains, NW Canada</t>
  </si>
  <si>
    <t>Itabaiana city, Sergipe State, Brazil</t>
  </si>
  <si>
    <t>Dolostone/Limestone</t>
  </si>
  <si>
    <t>Deng et al., 2025</t>
  </si>
  <si>
    <t>Blättler et al., 2017</t>
  </si>
  <si>
    <t xml:space="preserve">McCR-1									</t>
  </si>
  <si>
    <t xml:space="preserve">P3-10									</t>
  </si>
  <si>
    <t xml:space="preserve">P3-11									</t>
  </si>
  <si>
    <t xml:space="preserve">P3-29-dol									</t>
  </si>
  <si>
    <t xml:space="preserve">P3-33									</t>
  </si>
  <si>
    <t xml:space="preserve">P3-41b									</t>
  </si>
  <si>
    <t xml:space="preserve">P3-46									</t>
  </si>
  <si>
    <t xml:space="preserve">P3-58b									</t>
  </si>
  <si>
    <t xml:space="preserve">P3-63									</t>
  </si>
  <si>
    <t xml:space="preserve">P3-72									</t>
  </si>
  <si>
    <t xml:space="preserve">P3-72b									</t>
  </si>
  <si>
    <t xml:space="preserve">P3-68-dol									</t>
  </si>
  <si>
    <t xml:space="preserve">P3-83-dol									</t>
  </si>
  <si>
    <t xml:space="preserve">P3-86									</t>
  </si>
  <si>
    <t>P4-12-mottled</t>
  </si>
  <si>
    <t xml:space="preserve">P4-13									</t>
  </si>
  <si>
    <t xml:space="preserve">P4-27									</t>
  </si>
  <si>
    <t xml:space="preserve">P5-1									</t>
  </si>
  <si>
    <t xml:space="preserve">P5-3									</t>
  </si>
  <si>
    <t xml:space="preserve">PP2-1									</t>
  </si>
  <si>
    <t xml:space="preserve">PP2-24-1									</t>
  </si>
  <si>
    <t xml:space="preserve">PP3-5									</t>
  </si>
  <si>
    <t xml:space="preserve">PP3-32									</t>
  </si>
  <si>
    <t xml:space="preserve">PP4-7									</t>
  </si>
  <si>
    <t xml:space="preserve">PP4-11									</t>
  </si>
  <si>
    <t xml:space="preserve">PP4-23									</t>
  </si>
  <si>
    <t xml:space="preserve">PP4-28									</t>
  </si>
  <si>
    <t xml:space="preserve">PP4-31									</t>
  </si>
  <si>
    <t xml:space="preserve">PP4-40-redmx									</t>
  </si>
  <si>
    <t xml:space="preserve">P6-1									</t>
  </si>
  <si>
    <t xml:space="preserve">P6-2									</t>
  </si>
  <si>
    <t xml:space="preserve">P6-3									</t>
  </si>
  <si>
    <t xml:space="preserve">P6-3 									</t>
  </si>
  <si>
    <t xml:space="preserve">P6-4									</t>
  </si>
  <si>
    <t xml:space="preserve">P6-4-b									</t>
  </si>
  <si>
    <t xml:space="preserve">P7-1-1									</t>
  </si>
  <si>
    <t xml:space="preserve">P7-1-2									</t>
  </si>
  <si>
    <t xml:space="preserve">P7-1-3									</t>
  </si>
  <si>
    <t xml:space="preserve">P7-1-5									</t>
  </si>
  <si>
    <t xml:space="preserve">P7-1-6									</t>
  </si>
  <si>
    <t xml:space="preserve">P7-2									</t>
  </si>
  <si>
    <t>Great Slave Lake, Canada</t>
  </si>
  <si>
    <t>Pethei Fm.</t>
  </si>
  <si>
    <t>WF2-Gamohaan</t>
  </si>
  <si>
    <t>WF2-GKP01-A 858.73m</t>
  </si>
  <si>
    <t xml:space="preserve">WF2-GKP01-B			 858.73m						</t>
  </si>
  <si>
    <t>WF2-GKP01-C 858.73m</t>
  </si>
  <si>
    <t xml:space="preserve">WF2-W2-080-1 </t>
  </si>
  <si>
    <t xml:space="preserve">WF2-W2-110-B </t>
  </si>
  <si>
    <t>WF2-W2-110-A</t>
  </si>
  <si>
    <t>WF2-W1-2.5</t>
  </si>
  <si>
    <t>WF2-W1-21.7</t>
  </si>
  <si>
    <t>WF2-W1-32.5</t>
  </si>
  <si>
    <t xml:space="preserve">WF2-W1-40 </t>
  </si>
  <si>
    <t>WF2-W1-40.5</t>
  </si>
  <si>
    <t xml:space="preserve">WF2-W1-5									</t>
  </si>
  <si>
    <t>WF2-W2-080</t>
  </si>
  <si>
    <t>WF2-W2-80A</t>
  </si>
  <si>
    <t>WF2-W2-80B</t>
  </si>
  <si>
    <t>WF2-W2-100-2</t>
  </si>
  <si>
    <t>WF2-W2-100A</t>
  </si>
  <si>
    <t>WF2-W2-100B</t>
  </si>
  <si>
    <t xml:space="preserve">WJG3 27-a									</t>
  </si>
  <si>
    <t xml:space="preserve">WJG3 27-b									</t>
  </si>
  <si>
    <t xml:space="preserve">WJG3 27-c									</t>
  </si>
  <si>
    <t xml:space="preserve">WJG3 27-d									</t>
  </si>
  <si>
    <t xml:space="preserve">WJG3 32.3-a									</t>
  </si>
  <si>
    <t xml:space="preserve">WJG3 32.3-b									</t>
  </si>
  <si>
    <t xml:space="preserve">WJG3 36.2-b									</t>
  </si>
  <si>
    <t xml:space="preserve">WJG3 40-a									</t>
  </si>
  <si>
    <t xml:space="preserve">WJG3 40-b									</t>
  </si>
  <si>
    <t xml:space="preserve">WJG3 40-c									</t>
  </si>
  <si>
    <t xml:space="preserve">WJG3 40-d									</t>
  </si>
  <si>
    <t xml:space="preserve">WJG3 45.1-a									</t>
  </si>
  <si>
    <t xml:space="preserve">WJG3 45.1-b 									</t>
  </si>
  <si>
    <t xml:space="preserve">WJG3 48.1-a									</t>
  </si>
  <si>
    <t xml:space="preserve">WJG3 48.1-b									</t>
  </si>
  <si>
    <t xml:space="preserve">WJG3 51-a									</t>
  </si>
  <si>
    <t xml:space="preserve">WJG3 51-b									</t>
  </si>
  <si>
    <t xml:space="preserve">WJG9 143									</t>
  </si>
  <si>
    <t xml:space="preserve">WJG9 19.3-a									</t>
  </si>
  <si>
    <t xml:space="preserve">WJG9 19.3-b									</t>
  </si>
  <si>
    <t xml:space="preserve">WJG9 199.3 									</t>
  </si>
  <si>
    <t xml:space="preserve">WJG9 20-a									</t>
  </si>
  <si>
    <t xml:space="preserve">WJG9 20-b									</t>
  </si>
  <si>
    <t xml:space="preserve">WJG9 30-b									</t>
  </si>
  <si>
    <t xml:space="preserve">WJG9 39-a							</t>
  </si>
  <si>
    <t xml:space="preserve">WJG9 48-a									</t>
  </si>
  <si>
    <t xml:space="preserve">WJG9 48-b									</t>
  </si>
  <si>
    <t xml:space="preserve">WJG9 53-a 									</t>
  </si>
  <si>
    <t xml:space="preserve">WJG9 58-a									</t>
  </si>
  <si>
    <t xml:space="preserve">WJG9 58-b									</t>
  </si>
  <si>
    <t xml:space="preserve">WJG9 74.3-a									</t>
  </si>
  <si>
    <t xml:space="preserve">WJG9 74.3-b									</t>
  </si>
  <si>
    <t>South Africa</t>
  </si>
  <si>
    <t>Campbellrand Group</t>
  </si>
  <si>
    <t>Western Australia</t>
  </si>
  <si>
    <t>Tumbiana Fm.</t>
  </si>
  <si>
    <t xml:space="preserve">JK0.0									</t>
  </si>
  <si>
    <t xml:space="preserve">JK1.0									</t>
  </si>
  <si>
    <t xml:space="preserve">JK4.9									</t>
  </si>
  <si>
    <t xml:space="preserve">JK11.4									</t>
  </si>
  <si>
    <t xml:space="preserve">JK13.4									</t>
  </si>
  <si>
    <t xml:space="preserve">JK17.7									</t>
  </si>
  <si>
    <t xml:space="preserve">JK19.0									</t>
  </si>
  <si>
    <t xml:space="preserve">JK26.0									</t>
  </si>
  <si>
    <t xml:space="preserve">JK28.2									</t>
  </si>
  <si>
    <t xml:space="preserve">JK30.5									</t>
  </si>
  <si>
    <t xml:space="preserve">JK33.9									</t>
  </si>
  <si>
    <t xml:space="preserve">JK41.2									</t>
  </si>
  <si>
    <t xml:space="preserve">JK43.7									</t>
  </si>
  <si>
    <t xml:space="preserve">JK45.2									</t>
  </si>
  <si>
    <t xml:space="preserve">JK47.2									</t>
  </si>
  <si>
    <t xml:space="preserve">JK50.4									</t>
  </si>
  <si>
    <t xml:space="preserve">JK53.1									</t>
  </si>
  <si>
    <t xml:space="preserve">JK55.2									</t>
  </si>
  <si>
    <t xml:space="preserve">JK56.7									</t>
  </si>
  <si>
    <t xml:space="preserve">JK63.2									</t>
  </si>
  <si>
    <t xml:space="preserve">JK66.2									</t>
  </si>
  <si>
    <t xml:space="preserve">JK75.7									</t>
  </si>
  <si>
    <t xml:space="preserve">JK78.4									</t>
  </si>
  <si>
    <t xml:space="preserve">JK80.8									</t>
  </si>
  <si>
    <t xml:space="preserve">JK83.2									</t>
  </si>
  <si>
    <t xml:space="preserve">JK86.0									</t>
  </si>
  <si>
    <t xml:space="preserve">JK88.4									</t>
  </si>
  <si>
    <t xml:space="preserve">JK95.7									</t>
  </si>
  <si>
    <t>Carawine Dolomite, Hamersley Group</t>
  </si>
  <si>
    <t>93-B-1</t>
  </si>
  <si>
    <t>93-B-111</t>
  </si>
  <si>
    <t>93-C-112</t>
  </si>
  <si>
    <t>WD-1-22</t>
  </si>
  <si>
    <t>Extramil-1</t>
  </si>
  <si>
    <t>Extramil-2</t>
  </si>
  <si>
    <t>Extra-1</t>
  </si>
  <si>
    <t>Extra-2</t>
  </si>
  <si>
    <t>Extra-3</t>
  </si>
  <si>
    <t>Extra-4</t>
  </si>
  <si>
    <t>Extra-5</t>
  </si>
  <si>
    <t>Extra-6</t>
  </si>
  <si>
    <t>Extra-7</t>
  </si>
  <si>
    <t>Extra-8</t>
  </si>
  <si>
    <t>Extra-9</t>
  </si>
  <si>
    <t>Extra-10</t>
  </si>
  <si>
    <t>Extra-11</t>
  </si>
  <si>
    <t>Extra-12</t>
  </si>
  <si>
    <t>Extra-13</t>
  </si>
  <si>
    <t>Extra-15</t>
  </si>
  <si>
    <t>Gands-1</t>
  </si>
  <si>
    <t>Gands-2</t>
  </si>
  <si>
    <t>Gands-3</t>
  </si>
  <si>
    <t>Gands-5</t>
  </si>
  <si>
    <t>Gands-6</t>
  </si>
  <si>
    <t>Gands-7</t>
  </si>
  <si>
    <t>Gands-8</t>
  </si>
  <si>
    <t>Gands-9</t>
  </si>
  <si>
    <t>Gands-10</t>
  </si>
  <si>
    <t>Gands-11</t>
  </si>
  <si>
    <t>Gands-12</t>
  </si>
  <si>
    <t>Gands-13</t>
  </si>
  <si>
    <t>Gands-14</t>
  </si>
  <si>
    <t>Gands-15</t>
  </si>
  <si>
    <t>Gands-16</t>
  </si>
  <si>
    <t>Gands-17</t>
  </si>
  <si>
    <t>Brazil</t>
  </si>
  <si>
    <t>Gandarela Fm.</t>
  </si>
  <si>
    <t>Cumbe-0</t>
  </si>
  <si>
    <t>Cumbe-1</t>
  </si>
  <si>
    <t>Cumbe-3</t>
  </si>
  <si>
    <t>Cumbe-4</t>
  </si>
  <si>
    <t>Cumbe-5</t>
  </si>
  <si>
    <t>Cumbe-6</t>
  </si>
  <si>
    <t>Cumbe-8</t>
  </si>
  <si>
    <t>Cumbe-9</t>
  </si>
  <si>
    <t>Cumbe-10</t>
  </si>
  <si>
    <t>Cumbe-11</t>
  </si>
  <si>
    <t>Fecho do funil Fm.</t>
  </si>
  <si>
    <t>A-11</t>
  </si>
  <si>
    <t>A-44</t>
  </si>
  <si>
    <t>A-112</t>
  </si>
  <si>
    <t>A-149</t>
  </si>
  <si>
    <t>A-165</t>
  </si>
  <si>
    <t>A-178</t>
  </si>
  <si>
    <t>A-187</t>
  </si>
  <si>
    <t>A-200</t>
  </si>
  <si>
    <t>A-242</t>
  </si>
  <si>
    <t>B-8</t>
  </si>
  <si>
    <t>B-45</t>
  </si>
  <si>
    <t>B-92</t>
  </si>
  <si>
    <t>B-130</t>
  </si>
  <si>
    <t>B-152</t>
  </si>
  <si>
    <t>B-204</t>
  </si>
  <si>
    <t>B-244</t>
  </si>
  <si>
    <t>B-248</t>
  </si>
  <si>
    <t>C-5</t>
  </si>
  <si>
    <t>C-16</t>
  </si>
  <si>
    <t>C-88</t>
  </si>
  <si>
    <t>C-246</t>
  </si>
  <si>
    <t>C-262</t>
  </si>
  <si>
    <t>C-309</t>
  </si>
  <si>
    <t>E-2</t>
  </si>
  <si>
    <t>E-21.5</t>
  </si>
  <si>
    <t>F-38</t>
  </si>
  <si>
    <t>G-34</t>
  </si>
  <si>
    <t>Wyloo Group</t>
  </si>
  <si>
    <t>K5</t>
  </si>
  <si>
    <t>K10</t>
  </si>
  <si>
    <t>K14</t>
  </si>
  <si>
    <t>K23</t>
  </si>
  <si>
    <t>K56</t>
  </si>
  <si>
    <t>K76</t>
  </si>
  <si>
    <t>K83</t>
  </si>
  <si>
    <t>K91</t>
  </si>
  <si>
    <t>K106</t>
  </si>
  <si>
    <t>K115</t>
  </si>
  <si>
    <t>K128</t>
  </si>
  <si>
    <t>K142</t>
  </si>
  <si>
    <t>K158</t>
  </si>
  <si>
    <t>K161</t>
  </si>
  <si>
    <t>K163</t>
  </si>
  <si>
    <t>K182</t>
  </si>
  <si>
    <t>K197</t>
  </si>
  <si>
    <t>K206</t>
  </si>
  <si>
    <t>K203</t>
  </si>
  <si>
    <t>K208</t>
  </si>
  <si>
    <t>K215</t>
  </si>
  <si>
    <t>K230</t>
  </si>
  <si>
    <t>K236</t>
  </si>
  <si>
    <t>K248</t>
  </si>
  <si>
    <t>K256</t>
  </si>
  <si>
    <t>K265</t>
  </si>
  <si>
    <t>K271</t>
  </si>
  <si>
    <t>K272</t>
  </si>
  <si>
    <t>K281</t>
  </si>
  <si>
    <t>India</t>
  </si>
  <si>
    <t>Semri Group</t>
  </si>
  <si>
    <t>89108-A</t>
  </si>
  <si>
    <t>89108-B</t>
  </si>
  <si>
    <t>89161-B</t>
  </si>
  <si>
    <t>89165-A</t>
  </si>
  <si>
    <t>Bangemall Group</t>
  </si>
  <si>
    <t>KG-92-53</t>
  </si>
  <si>
    <t>KG-92-55</t>
  </si>
  <si>
    <t>KG-92-59-3A</t>
  </si>
  <si>
    <t>KG-92-62</t>
  </si>
  <si>
    <t>KG-92-64-1A</t>
  </si>
  <si>
    <t>KG-92-66-6A</t>
  </si>
  <si>
    <t>Siberia</t>
  </si>
  <si>
    <t>Kotuikan Fm.</t>
  </si>
  <si>
    <t>C133-2560.3-2</t>
  </si>
  <si>
    <t>B203-2357</t>
  </si>
  <si>
    <t>B203-2362</t>
  </si>
  <si>
    <t>B203-2447</t>
  </si>
  <si>
    <t>B203-2552</t>
  </si>
  <si>
    <t>B203-2560</t>
  </si>
  <si>
    <t>B203-2655.2</t>
  </si>
  <si>
    <t>B203-2868.8</t>
  </si>
  <si>
    <t>B203-2962</t>
  </si>
  <si>
    <t>B203-3056.4</t>
  </si>
  <si>
    <t>B203-3165.5</t>
  </si>
  <si>
    <t>C203-3056.7</t>
  </si>
  <si>
    <t>C203-3654</t>
  </si>
  <si>
    <t>VA-4283</t>
  </si>
  <si>
    <t>VA-4460.5</t>
  </si>
  <si>
    <t>VA-4449</t>
  </si>
  <si>
    <t>VA-4702.5</t>
  </si>
  <si>
    <t>VA-4390</t>
  </si>
  <si>
    <t>VA-3991</t>
  </si>
  <si>
    <t>VA-4882</t>
  </si>
  <si>
    <t>VA-4193</t>
  </si>
  <si>
    <t>Central Russia</t>
  </si>
  <si>
    <t>Kaltasy Fm.</t>
  </si>
  <si>
    <t>TM1-0.67</t>
  </si>
  <si>
    <t>TM1-4.3</t>
  </si>
  <si>
    <t>TM1-10.0</t>
  </si>
  <si>
    <t>TM1-12.2</t>
  </si>
  <si>
    <t>TM1-13.7</t>
  </si>
  <si>
    <t>TM1-16.9</t>
  </si>
  <si>
    <t>TM1-21.6</t>
  </si>
  <si>
    <t>TM1-23.4</t>
  </si>
  <si>
    <t>TM1-26.7</t>
  </si>
  <si>
    <t>TM1-27.9</t>
  </si>
  <si>
    <t>TM1-30.9</t>
  </si>
  <si>
    <t>TM1-34.2</t>
  </si>
  <si>
    <t>TM1-38.7</t>
  </si>
  <si>
    <t>TM1-42.9</t>
  </si>
  <si>
    <t>TM1-49.0</t>
  </si>
  <si>
    <t>TM1-51.5</t>
  </si>
  <si>
    <t>TM1-55.5</t>
  </si>
  <si>
    <t>TM1-56.4</t>
  </si>
  <si>
    <t>Allamoore Fm.</t>
  </si>
  <si>
    <t>KS-78-2</t>
  </si>
  <si>
    <t>KS-78-5</t>
  </si>
  <si>
    <t>KS-78-11</t>
  </si>
  <si>
    <t>KS-78-12</t>
  </si>
  <si>
    <t>KS-78-14</t>
  </si>
  <si>
    <t>KS-78-21</t>
  </si>
  <si>
    <t>Greenland</t>
  </si>
  <si>
    <t>Narssârssuk Fm.</t>
  </si>
  <si>
    <t>R1-D25</t>
  </si>
  <si>
    <t>R1-D30-1</t>
  </si>
  <si>
    <t>R1-D31</t>
  </si>
  <si>
    <t>A9-1</t>
  </si>
  <si>
    <t>A9-2</t>
  </si>
  <si>
    <t>Mauritania</t>
  </si>
  <si>
    <t>Atar Fm.</t>
  </si>
  <si>
    <t>Ni-75</t>
  </si>
  <si>
    <t>Ni-944</t>
  </si>
  <si>
    <t>Ni-1835</t>
  </si>
  <si>
    <t>Ni-2370</t>
  </si>
  <si>
    <t>Ni-2440</t>
  </si>
  <si>
    <t>Ni-2625</t>
  </si>
  <si>
    <t>Ni-3275</t>
  </si>
  <si>
    <t>GR-330</t>
  </si>
  <si>
    <t>GR-2120</t>
  </si>
  <si>
    <t>GR-2175</t>
  </si>
  <si>
    <t>GR-2650</t>
  </si>
  <si>
    <t>GR-2655</t>
  </si>
  <si>
    <t>GR-2725</t>
  </si>
  <si>
    <t>GR-2880</t>
  </si>
  <si>
    <t>GR-3600</t>
  </si>
  <si>
    <t>Eastern Greenland</t>
  </si>
  <si>
    <t>Eleonore Bay Group</t>
  </si>
  <si>
    <t>Limestone to Dolostone</t>
  </si>
  <si>
    <t>86-P-9</t>
  </si>
  <si>
    <t>86-P-16</t>
  </si>
  <si>
    <t>86-P-28-1a</t>
  </si>
  <si>
    <t>86-P-36</t>
  </si>
  <si>
    <t>86-P-46</t>
  </si>
  <si>
    <t>86-P-47</t>
  </si>
  <si>
    <t>86-P-53</t>
  </si>
  <si>
    <t>86-P-63</t>
  </si>
  <si>
    <t>86-P-109</t>
  </si>
  <si>
    <t>86-P-112</t>
  </si>
  <si>
    <t>86-F-35</t>
  </si>
  <si>
    <t>86-G-46</t>
  </si>
  <si>
    <t>86-G-49</t>
  </si>
  <si>
    <t>86-G-51</t>
  </si>
  <si>
    <t>86-G-52</t>
  </si>
  <si>
    <t>86-P-107</t>
  </si>
  <si>
    <t>86-P-111</t>
  </si>
  <si>
    <t>86-P-13-13</t>
  </si>
  <si>
    <t>86-P-2</t>
  </si>
  <si>
    <t>86-P-20</t>
  </si>
  <si>
    <t>86-P-60</t>
  </si>
  <si>
    <t>86-P-69</t>
  </si>
  <si>
    <t>86-SP-3</t>
  </si>
  <si>
    <t>SK81-P-3003</t>
  </si>
  <si>
    <t>86-F-24</t>
  </si>
  <si>
    <t>86-G-23</t>
  </si>
  <si>
    <t>86-G-29</t>
  </si>
  <si>
    <t>86-G-7</t>
  </si>
  <si>
    <t>86-P-118</t>
  </si>
  <si>
    <t>86-P-22</t>
  </si>
  <si>
    <t>86-P-24</t>
  </si>
  <si>
    <t>86-P-42</t>
  </si>
  <si>
    <t>86-P-54</t>
  </si>
  <si>
    <t>86-P-55</t>
  </si>
  <si>
    <t>86-P-58</t>
  </si>
  <si>
    <t>86-P-8</t>
  </si>
  <si>
    <t>Spitsbergen, Svalbard</t>
  </si>
  <si>
    <t>Akademikerbreen Group</t>
  </si>
  <si>
    <t>BR-537.6</t>
  </si>
  <si>
    <t>BR-548.15</t>
  </si>
  <si>
    <t>BR-560.8</t>
  </si>
  <si>
    <t>BR-572.3</t>
  </si>
  <si>
    <t>BR-588.9</t>
  </si>
  <si>
    <t>BR-602.2</t>
  </si>
  <si>
    <t>BR-611.4</t>
  </si>
  <si>
    <t>BR-632.4</t>
  </si>
  <si>
    <t>BR-710.0</t>
  </si>
  <si>
    <t>BR-743.8</t>
  </si>
  <si>
    <t>BR-762.15</t>
  </si>
  <si>
    <t>BR-779.25</t>
  </si>
  <si>
    <t>BR-812.7</t>
  </si>
  <si>
    <t>BR-823.3</t>
  </si>
  <si>
    <t>BR-833.45</t>
  </si>
  <si>
    <t>BR-906.1</t>
  </si>
  <si>
    <t>BR-914.7</t>
  </si>
  <si>
    <t>BR-927.7</t>
  </si>
  <si>
    <t>BR-942.8</t>
  </si>
  <si>
    <t>BR-950.1</t>
  </si>
  <si>
    <t>BR-959.4</t>
  </si>
  <si>
    <t>BR-1070.95</t>
  </si>
  <si>
    <t>BR-1071.9</t>
  </si>
  <si>
    <t>BR-1072.5</t>
  </si>
  <si>
    <t>BR-1079.1</t>
  </si>
  <si>
    <t>BR-1091.3</t>
  </si>
  <si>
    <t>BR-1097.35</t>
  </si>
  <si>
    <t>BR-1110.9</t>
  </si>
  <si>
    <t>BR-1121.8</t>
  </si>
  <si>
    <t>BR-1131.7</t>
  </si>
  <si>
    <t>BR-1134.0</t>
  </si>
  <si>
    <t>BR-1137.3</t>
  </si>
  <si>
    <t>BR-1139.9</t>
  </si>
  <si>
    <t>BR-1145.8</t>
  </si>
  <si>
    <t>BR-1149.1</t>
  </si>
  <si>
    <t>BR-1151.35</t>
  </si>
  <si>
    <t>BR-1161.1</t>
  </si>
  <si>
    <t>BR-1165.8</t>
  </si>
  <si>
    <t>BR-1172.2</t>
  </si>
  <si>
    <t>BR-1172.7</t>
  </si>
  <si>
    <t>BR-1181.95</t>
  </si>
  <si>
    <t>BR-1185.8</t>
  </si>
  <si>
    <t>BR-1192.0</t>
  </si>
  <si>
    <t>BR-1200.1</t>
  </si>
  <si>
    <t>BR-1208.0</t>
  </si>
  <si>
    <t>BR-1212.9</t>
  </si>
  <si>
    <t>BR-1218.5</t>
  </si>
  <si>
    <t>BR-1223.5</t>
  </si>
  <si>
    <t>Australia</t>
  </si>
  <si>
    <t>Bitter Springs Fm.</t>
  </si>
  <si>
    <t>T1-492.3-MX</t>
  </si>
  <si>
    <t>T1-528.3-MX</t>
  </si>
  <si>
    <t>T1-568.8-MX</t>
  </si>
  <si>
    <t>T1-606.9-MX</t>
  </si>
  <si>
    <t>T1-709.2-MX</t>
  </si>
  <si>
    <t>T1-734.6-MX</t>
  </si>
  <si>
    <t>T3-108.0-MX</t>
  </si>
  <si>
    <t>T3-322.2-MX</t>
  </si>
  <si>
    <t>T3-362.8-MX</t>
  </si>
  <si>
    <t>T3-425.7-MX</t>
  </si>
  <si>
    <t>T3-552.0-MX</t>
  </si>
  <si>
    <t>T3-602.5-MX</t>
  </si>
  <si>
    <t>T7-74.5-MT</t>
  </si>
  <si>
    <t>T7-74.5-MX</t>
  </si>
  <si>
    <t>T7-124.9-MT</t>
  </si>
  <si>
    <t>T7-124.9-MX</t>
  </si>
  <si>
    <t>T7-211.3-MT</t>
  </si>
  <si>
    <t>T7-211.3-MX</t>
  </si>
  <si>
    <t>T7-316.1-MT</t>
  </si>
  <si>
    <t>T7-316.1-MX</t>
  </si>
  <si>
    <t>T7-488.8-MT</t>
  </si>
  <si>
    <t>T7-488.8-MX</t>
  </si>
  <si>
    <t>T7-608.1-MT</t>
  </si>
  <si>
    <t>T7-608.1-MX</t>
  </si>
  <si>
    <t>T29-5.6-MX</t>
  </si>
  <si>
    <t>T29-35.3-MX</t>
  </si>
  <si>
    <t>T29-66.6-MT</t>
  </si>
  <si>
    <t>T29-66.6-MX</t>
  </si>
  <si>
    <t>T29-68.3-MX</t>
  </si>
  <si>
    <t>T29-112.5-MX</t>
  </si>
  <si>
    <t>T29-134.3-MX</t>
  </si>
  <si>
    <t>T29-170.3-MX</t>
  </si>
  <si>
    <t>T29-216.7-MX</t>
  </si>
  <si>
    <t>T30-1.4-MX</t>
  </si>
  <si>
    <t>T30-30.4-MX</t>
  </si>
  <si>
    <t>T30-60.3-MX</t>
  </si>
  <si>
    <t>T30-86.7-MX</t>
  </si>
  <si>
    <t>Ethiopia</t>
  </si>
  <si>
    <t>Tambien Group</t>
  </si>
  <si>
    <t>Bold et al., 2020</t>
  </si>
  <si>
    <t>U1111 11</t>
  </si>
  <si>
    <t>U1111 50</t>
  </si>
  <si>
    <t>U1111 53</t>
  </si>
  <si>
    <t>U1111 56</t>
  </si>
  <si>
    <t>U1111 59</t>
  </si>
  <si>
    <t>U1111 62</t>
  </si>
  <si>
    <t>U1111 65</t>
  </si>
  <si>
    <t>U1111 68</t>
  </si>
  <si>
    <t>U1111 71.5</t>
  </si>
  <si>
    <t>U1111 74.5</t>
  </si>
  <si>
    <t>U1111 77</t>
  </si>
  <si>
    <t>U1111 133</t>
  </si>
  <si>
    <t>U1111 136</t>
  </si>
  <si>
    <t>U1111 139</t>
  </si>
  <si>
    <t>U1111 143</t>
  </si>
  <si>
    <t>U1111 146</t>
  </si>
  <si>
    <t>U1111 149</t>
  </si>
  <si>
    <t>U1111 152</t>
  </si>
  <si>
    <t>U1111 155</t>
  </si>
  <si>
    <t>U1111 159</t>
  </si>
  <si>
    <t>U1111 162</t>
  </si>
  <si>
    <t>U1111 165</t>
  </si>
  <si>
    <t>U1111 168</t>
  </si>
  <si>
    <t>U1111 171</t>
  </si>
  <si>
    <t>U1111 174</t>
  </si>
  <si>
    <t>U1116 4</t>
  </si>
  <si>
    <t>U1116 6</t>
  </si>
  <si>
    <t>U1116 15.1</t>
  </si>
  <si>
    <t>U1116 18</t>
  </si>
  <si>
    <t>U1116 19</t>
  </si>
  <si>
    <t>U1116 21</t>
  </si>
  <si>
    <t>U1116 24</t>
  </si>
  <si>
    <t>U1116 25</t>
  </si>
  <si>
    <t>U1116 27</t>
  </si>
  <si>
    <t>U1116 29</t>
  </si>
  <si>
    <t>U1116 38.0</t>
  </si>
  <si>
    <t>U1116 41</t>
  </si>
  <si>
    <t>U1116 43</t>
  </si>
  <si>
    <t>U1116 47</t>
  </si>
  <si>
    <t>U1116 53</t>
  </si>
  <si>
    <t>U1116 55.0</t>
  </si>
  <si>
    <t>U1116 69</t>
  </si>
  <si>
    <t>U1116 73.0</t>
  </si>
  <si>
    <t>U1116 86</t>
  </si>
  <si>
    <t>U1117 18</t>
  </si>
  <si>
    <t>U1117 21</t>
  </si>
  <si>
    <t>U1117 24</t>
  </si>
  <si>
    <t>U1117 27</t>
  </si>
  <si>
    <t>U1117 38</t>
  </si>
  <si>
    <t>U1117 41</t>
  </si>
  <si>
    <t>U1117 44</t>
  </si>
  <si>
    <t>U1115 3</t>
  </si>
  <si>
    <t>U1115 6</t>
  </si>
  <si>
    <t>U1115 9</t>
  </si>
  <si>
    <t>U1115 12</t>
  </si>
  <si>
    <t>U1115 17</t>
  </si>
  <si>
    <t>U1115 24.5</t>
  </si>
  <si>
    <t>U1115 26</t>
  </si>
  <si>
    <t>U1115 31</t>
  </si>
  <si>
    <t>U1115 35</t>
  </si>
  <si>
    <t>U1115 38</t>
  </si>
  <si>
    <t>U1115 41</t>
  </si>
  <si>
    <t>U1115 44</t>
  </si>
  <si>
    <t>U1115 46</t>
  </si>
  <si>
    <t>U1115 49.5</t>
  </si>
  <si>
    <t>U1115 52</t>
  </si>
  <si>
    <t>U1115 55</t>
  </si>
  <si>
    <t>U1115 58</t>
  </si>
  <si>
    <t>U1115 61</t>
  </si>
  <si>
    <t>U1115 64</t>
  </si>
  <si>
    <t>U1115 67</t>
  </si>
  <si>
    <t>U1115 70</t>
  </si>
  <si>
    <t>U1115 73</t>
  </si>
  <si>
    <t>U1115 76</t>
  </si>
  <si>
    <t>U1115 79</t>
  </si>
  <si>
    <t>U1108 1</t>
  </si>
  <si>
    <t>U1108 3</t>
  </si>
  <si>
    <t>U1108 7</t>
  </si>
  <si>
    <t>U1108 10</t>
  </si>
  <si>
    <t>U1108 13</t>
  </si>
  <si>
    <t>U1108 16</t>
  </si>
  <si>
    <t>U1108 19</t>
  </si>
  <si>
    <t>U1108 22</t>
  </si>
  <si>
    <t>U1108 25</t>
  </si>
  <si>
    <t>U1108 39</t>
  </si>
  <si>
    <t>U1108 42</t>
  </si>
  <si>
    <t>U1108 45</t>
  </si>
  <si>
    <t>U1108 48</t>
  </si>
  <si>
    <t>U1108 52</t>
  </si>
  <si>
    <t>U1108 55</t>
  </si>
  <si>
    <t>U1108 58</t>
  </si>
  <si>
    <t>U1108 61</t>
  </si>
  <si>
    <t>U1108 64</t>
  </si>
  <si>
    <t>U1108 67</t>
  </si>
  <si>
    <t>U1108 70</t>
  </si>
  <si>
    <t>U1108 73</t>
  </si>
  <si>
    <t>U1108 76</t>
  </si>
  <si>
    <t>U1108 79</t>
  </si>
  <si>
    <t>U1108 81</t>
  </si>
  <si>
    <t>U1108 82</t>
  </si>
  <si>
    <t>U1108 85</t>
  </si>
  <si>
    <t>U1108 88</t>
  </si>
  <si>
    <t>U1108 97.1</t>
  </si>
  <si>
    <t>U1108 101</t>
  </si>
  <si>
    <t>U1108 104</t>
  </si>
  <si>
    <t>U1108 107</t>
  </si>
  <si>
    <t>U1108 110</t>
  </si>
  <si>
    <t>U1108 113</t>
  </si>
  <si>
    <t>U1108 116</t>
  </si>
  <si>
    <t>U1108 119</t>
  </si>
  <si>
    <t>U1108 122</t>
  </si>
  <si>
    <t>U1108 125</t>
  </si>
  <si>
    <t>U1108 128</t>
  </si>
  <si>
    <t>U1108 131</t>
  </si>
  <si>
    <t>U1108 137</t>
  </si>
  <si>
    <t>U1108 143</t>
  </si>
  <si>
    <t>U1108 146</t>
  </si>
  <si>
    <t>U1108 149</t>
  </si>
  <si>
    <t>U1108 152</t>
  </si>
  <si>
    <t>U1108 155</t>
  </si>
  <si>
    <t>U1108 158</t>
  </si>
  <si>
    <t>U1108 161</t>
  </si>
  <si>
    <t>U1108 164.1</t>
  </si>
  <si>
    <t>U1108 167</t>
  </si>
  <si>
    <t>U1108 170</t>
  </si>
  <si>
    <t>U1108 173</t>
  </si>
  <si>
    <t>U1108 176</t>
  </si>
  <si>
    <t>F949 138</t>
  </si>
  <si>
    <t>F949 142</t>
  </si>
  <si>
    <t>F949 145</t>
  </si>
  <si>
    <t>F949 149</t>
  </si>
  <si>
    <t>F949 152</t>
  </si>
  <si>
    <t>F949 154</t>
  </si>
  <si>
    <t>F949 156</t>
  </si>
  <si>
    <t>F949 157</t>
  </si>
  <si>
    <t>F949 160</t>
  </si>
  <si>
    <t>F949 163</t>
  </si>
  <si>
    <t>F949 164</t>
  </si>
  <si>
    <t>F949 167</t>
  </si>
  <si>
    <t>F949 168</t>
  </si>
  <si>
    <t>F949 170</t>
  </si>
  <si>
    <t>F949 172</t>
  </si>
  <si>
    <t>F949 176</t>
  </si>
  <si>
    <t>F949 178</t>
  </si>
  <si>
    <t>F949 180</t>
  </si>
  <si>
    <t>F949 182</t>
  </si>
  <si>
    <t>F949 184</t>
  </si>
  <si>
    <t>F949 186</t>
  </si>
  <si>
    <t>F949 188</t>
  </si>
  <si>
    <t>Tashir, Mongolia</t>
  </si>
  <si>
    <t>Tsagaan-Olom Group</t>
  </si>
  <si>
    <t>Nelson et al., 2021</t>
  </si>
  <si>
    <t>L1509 0.1</t>
  </si>
  <si>
    <t>L1509 0.6</t>
  </si>
  <si>
    <t>L1509 1.1</t>
  </si>
  <si>
    <t>L1509 1.5</t>
  </si>
  <si>
    <t>L1509 2</t>
  </si>
  <si>
    <t>L1509 2.6</t>
  </si>
  <si>
    <t>L1509 3.3</t>
  </si>
  <si>
    <t>L1509 3.9</t>
  </si>
  <si>
    <t>L1509 4.5</t>
  </si>
  <si>
    <t>L1509 5</t>
  </si>
  <si>
    <t>L1509 5.5</t>
  </si>
  <si>
    <t>L1509 6</t>
  </si>
  <si>
    <t>L1509 7</t>
  </si>
  <si>
    <t>L1509 9</t>
  </si>
  <si>
    <t>L1509 10</t>
  </si>
  <si>
    <t>L1509 11.2</t>
  </si>
  <si>
    <t>L1509 11.7</t>
  </si>
  <si>
    <t>L1509 12.3</t>
  </si>
  <si>
    <t>L1509 12.8</t>
  </si>
  <si>
    <t>L1509 13.3</t>
  </si>
  <si>
    <t>L1509 14</t>
  </si>
  <si>
    <t>L1509 15</t>
  </si>
  <si>
    <t>L1509 15.5</t>
  </si>
  <si>
    <t>L1509 16</t>
  </si>
  <si>
    <t>L1509 16.5</t>
  </si>
  <si>
    <t>L1509 17</t>
  </si>
  <si>
    <t>L1509 17.6</t>
  </si>
  <si>
    <t>L1509 18</t>
  </si>
  <si>
    <t>L1509 19</t>
  </si>
  <si>
    <t>L1509 20</t>
  </si>
  <si>
    <t>L1509 22</t>
  </si>
  <si>
    <t>L1509 23</t>
  </si>
  <si>
    <t>L1509 26</t>
  </si>
  <si>
    <t>L1509 28</t>
  </si>
  <si>
    <t>L1509 29</t>
  </si>
  <si>
    <t>L1509 30</t>
  </si>
  <si>
    <t>L1509 31</t>
  </si>
  <si>
    <t>L1509 32</t>
  </si>
  <si>
    <t>L1509 33</t>
  </si>
  <si>
    <t>L1509 34</t>
  </si>
  <si>
    <t>L1501 44</t>
  </si>
  <si>
    <t>L1501 45</t>
  </si>
  <si>
    <t>L1501 46</t>
  </si>
  <si>
    <t>L1501 47</t>
  </si>
  <si>
    <t>L1501 48</t>
  </si>
  <si>
    <t>L1501 49</t>
  </si>
  <si>
    <t>L1501 50</t>
  </si>
  <si>
    <t>L1501 51</t>
  </si>
  <si>
    <t>L1501 52</t>
  </si>
  <si>
    <t>L1501 53</t>
  </si>
  <si>
    <t>L1501 54</t>
  </si>
  <si>
    <t>L1501 55</t>
  </si>
  <si>
    <t>L1501 57</t>
  </si>
  <si>
    <t>L1501 58.5</t>
  </si>
  <si>
    <t>L1501 59</t>
  </si>
  <si>
    <t>L1501 60</t>
  </si>
  <si>
    <t>L1501 61</t>
  </si>
  <si>
    <t>L1501 62</t>
  </si>
  <si>
    <t>L1501 63</t>
  </si>
  <si>
    <t>L1501 64</t>
  </si>
  <si>
    <t>L1501 65</t>
  </si>
  <si>
    <t>L1501 66</t>
  </si>
  <si>
    <t>L1501 67</t>
  </si>
  <si>
    <t>L1501 68</t>
  </si>
  <si>
    <t>L1501 68.5</t>
  </si>
  <si>
    <t>L1501 69</t>
  </si>
  <si>
    <t>L1501 70</t>
  </si>
  <si>
    <t>L1501 71</t>
  </si>
  <si>
    <t>L1501 72</t>
  </si>
  <si>
    <t>L1501 72.5</t>
  </si>
  <si>
    <t>L1501 34</t>
  </si>
  <si>
    <t>L1501 35</t>
  </si>
  <si>
    <t>L1501 39.5</t>
  </si>
  <si>
    <t>L1501 40.5</t>
  </si>
  <si>
    <t>L1501 41.5</t>
  </si>
  <si>
    <t>L1501 42</t>
  </si>
  <si>
    <t>L1501 43</t>
  </si>
  <si>
    <t>L1509 230</t>
  </si>
  <si>
    <t>L1509 231</t>
  </si>
  <si>
    <t>L1509 232</t>
  </si>
  <si>
    <t>L1509 233</t>
  </si>
  <si>
    <t>L1509 234</t>
  </si>
  <si>
    <t>L1509 235</t>
  </si>
  <si>
    <t>L1509 235.7</t>
  </si>
  <si>
    <t>L1509 237</t>
  </si>
  <si>
    <t>L1509 238.2</t>
  </si>
  <si>
    <t>L1509 239</t>
  </si>
  <si>
    <t>L1509 242</t>
  </si>
  <si>
    <t>L1509 245</t>
  </si>
  <si>
    <t>L1509 245.5</t>
  </si>
  <si>
    <t>L1509 248</t>
  </si>
  <si>
    <t>L1509 249.5</t>
  </si>
  <si>
    <t>L1509 250.2</t>
  </si>
  <si>
    <t>L1509 261.2</t>
  </si>
  <si>
    <t>L1509 264</t>
  </si>
  <si>
    <t>L1509 266</t>
  </si>
  <si>
    <t>L1509 267</t>
  </si>
  <si>
    <t>L1509 268</t>
  </si>
  <si>
    <t>L1509 269</t>
  </si>
  <si>
    <t>L1509 270.2</t>
  </si>
  <si>
    <t>L1509 271</t>
  </si>
  <si>
    <t>L1509 273</t>
  </si>
  <si>
    <t>L1509 274</t>
  </si>
  <si>
    <t>L1509 274.5</t>
  </si>
  <si>
    <t>L1509 275</t>
  </si>
  <si>
    <t>L1509 276</t>
  </si>
  <si>
    <t>L1509 228</t>
  </si>
  <si>
    <t>L1509 229</t>
  </si>
  <si>
    <t>L1604 0.3</t>
  </si>
  <si>
    <t>L1604 1</t>
  </si>
  <si>
    <t>L1604 2</t>
  </si>
  <si>
    <t>L1604 3</t>
  </si>
  <si>
    <t>L1604 4</t>
  </si>
  <si>
    <t>L1604 5</t>
  </si>
  <si>
    <t>L1604 7</t>
  </si>
  <si>
    <t>L1604 8</t>
  </si>
  <si>
    <t>L1604 9</t>
  </si>
  <si>
    <t>L1604 10</t>
  </si>
  <si>
    <t>L1604 11</t>
  </si>
  <si>
    <t>L1604 12.5</t>
  </si>
  <si>
    <t>L1604 13</t>
  </si>
  <si>
    <t>L1604 14</t>
  </si>
  <si>
    <t>L1604 15</t>
  </si>
  <si>
    <t>L1604 17</t>
  </si>
  <si>
    <t>L1604 18</t>
  </si>
  <si>
    <t>L1604 19</t>
  </si>
  <si>
    <t>L1604 21</t>
  </si>
  <si>
    <t>L1604 22</t>
  </si>
  <si>
    <t>L1604 23</t>
  </si>
  <si>
    <t>L1604 24</t>
  </si>
  <si>
    <t>L1604 25</t>
  </si>
  <si>
    <t>L1604 27</t>
  </si>
  <si>
    <t>L1604 28</t>
  </si>
  <si>
    <t>L1604 29</t>
  </si>
  <si>
    <t>L1604 30</t>
  </si>
  <si>
    <t>L1604 31</t>
  </si>
  <si>
    <t>L1604 33</t>
  </si>
  <si>
    <t>L1604 34</t>
  </si>
  <si>
    <t>L1604 36</t>
  </si>
  <si>
    <t>L1604 38</t>
  </si>
  <si>
    <t>L1604 39</t>
  </si>
  <si>
    <t>L1604 40</t>
  </si>
  <si>
    <t>L1604 42</t>
  </si>
  <si>
    <t>L1604 43.5</t>
  </si>
  <si>
    <t>L1604 45</t>
  </si>
  <si>
    <t>L1604 46</t>
  </si>
  <si>
    <t>L1604 46.5A</t>
  </si>
  <si>
    <t>L1604 46.5B</t>
  </si>
  <si>
    <t>L1604 49.5</t>
  </si>
  <si>
    <t>L1604 51</t>
  </si>
  <si>
    <t>L1604 52</t>
  </si>
  <si>
    <t>L1604 53</t>
  </si>
  <si>
    <t>L1604 54</t>
  </si>
  <si>
    <t>L1604 55</t>
  </si>
  <si>
    <t>L1604 56</t>
  </si>
  <si>
    <t>L1604 57</t>
  </si>
  <si>
    <t>Panamint Range, USA</t>
  </si>
  <si>
    <t>J1132 0.3</t>
  </si>
  <si>
    <t>J1132 2</t>
  </si>
  <si>
    <t>J1132 5</t>
  </si>
  <si>
    <t>J1132 11</t>
  </si>
  <si>
    <t>J1132 12</t>
  </si>
  <si>
    <t>J1132 20.4</t>
  </si>
  <si>
    <t>J1132 21.8</t>
  </si>
  <si>
    <t>J1132 24.4</t>
  </si>
  <si>
    <t>J1132 25.6</t>
  </si>
  <si>
    <t>J1132 26</t>
  </si>
  <si>
    <t>J1132 30.4</t>
  </si>
  <si>
    <t>J1132 33</t>
  </si>
  <si>
    <t>J1132 33.8</t>
  </si>
  <si>
    <t>J1132 35</t>
  </si>
  <si>
    <t>J1132 36</t>
  </si>
  <si>
    <t>J1132 36.7</t>
  </si>
  <si>
    <t>J1132 43</t>
  </si>
  <si>
    <t>J1132 44</t>
  </si>
  <si>
    <t>J1132 47</t>
  </si>
  <si>
    <t>J1133 7</t>
  </si>
  <si>
    <t>J1133 15</t>
  </si>
  <si>
    <t>J1133 19</t>
  </si>
  <si>
    <t>J1133 21</t>
  </si>
  <si>
    <t>J1133 23.8</t>
  </si>
  <si>
    <t>J1133 27.6</t>
  </si>
  <si>
    <t>J1133 30.5</t>
  </si>
  <si>
    <t>J1133 32.2</t>
  </si>
  <si>
    <t>J1133 35</t>
  </si>
  <si>
    <t>J1133 39</t>
  </si>
  <si>
    <t>J1133 43</t>
  </si>
  <si>
    <t>J1133 44</t>
  </si>
  <si>
    <t>J1133 46</t>
  </si>
  <si>
    <t>J1133 66.9</t>
  </si>
  <si>
    <t>J1133 71.1</t>
  </si>
  <si>
    <t>J1133 72.3</t>
  </si>
  <si>
    <t>J1133 308</t>
  </si>
  <si>
    <t>J1133 312</t>
  </si>
  <si>
    <t>J1133 316</t>
  </si>
  <si>
    <t>J1133 331</t>
  </si>
  <si>
    <t>J1133 333</t>
  </si>
  <si>
    <t>J1133 335</t>
  </si>
  <si>
    <t>J1133 337</t>
  </si>
  <si>
    <t>J1133 341</t>
  </si>
  <si>
    <t>J1133 342</t>
  </si>
  <si>
    <t>J1133 346</t>
  </si>
  <si>
    <t>J1133 355</t>
  </si>
  <si>
    <t>J1133 365</t>
  </si>
  <si>
    <t>J1133 376.5</t>
  </si>
  <si>
    <t>J1133 388</t>
  </si>
  <si>
    <t>J1133 394</t>
  </si>
  <si>
    <t>J1133 402</t>
  </si>
  <si>
    <t>J1133 409</t>
  </si>
  <si>
    <t>J1133 415</t>
  </si>
  <si>
    <t>J1133 421</t>
  </si>
  <si>
    <t>J1133 425</t>
  </si>
  <si>
    <t>J1133 438</t>
  </si>
  <si>
    <t>F1228 0</t>
  </si>
  <si>
    <t>F1228 9</t>
  </si>
  <si>
    <t>F1228 12</t>
  </si>
  <si>
    <t>F1228 20</t>
  </si>
  <si>
    <t>F1228 22</t>
  </si>
  <si>
    <t>F1228 28</t>
  </si>
  <si>
    <t>F1228 30</t>
  </si>
  <si>
    <t>F1228 36</t>
  </si>
  <si>
    <t>F1228 40</t>
  </si>
  <si>
    <t>F1228 42.5</t>
  </si>
  <si>
    <t>F1228 51</t>
  </si>
  <si>
    <t>F1228 62</t>
  </si>
  <si>
    <t>F1228 69</t>
  </si>
  <si>
    <t>F1228 71</t>
  </si>
  <si>
    <t>F1228 76</t>
  </si>
  <si>
    <t>F1228 80.5</t>
  </si>
  <si>
    <t>F1228 86</t>
  </si>
  <si>
    <t>F1228 173</t>
  </si>
  <si>
    <t>F1228 246.5</t>
  </si>
  <si>
    <t>F1228 256</t>
  </si>
  <si>
    <t>F1228 259</t>
  </si>
  <si>
    <t>F1228 260</t>
  </si>
  <si>
    <t>F1228 261</t>
  </si>
  <si>
    <t>F1228 263</t>
  </si>
  <si>
    <t>F1228 264</t>
  </si>
  <si>
    <t>F1228 266</t>
  </si>
  <si>
    <t>F1228 268</t>
  </si>
  <si>
    <t>F1228 269</t>
  </si>
  <si>
    <t>F1228 271</t>
  </si>
  <si>
    <t>F1228 273</t>
  </si>
  <si>
    <t>F1228 281.3</t>
  </si>
  <si>
    <t>F1228 294</t>
  </si>
  <si>
    <t>F1228 297</t>
  </si>
  <si>
    <t>F1228 303</t>
  </si>
  <si>
    <t>F1228 314</t>
  </si>
  <si>
    <t>F1228 317</t>
  </si>
  <si>
    <t>F1228 321</t>
  </si>
  <si>
    <t>F1228 340</t>
  </si>
  <si>
    <t>F1228 341</t>
  </si>
  <si>
    <t>F1228 344</t>
  </si>
  <si>
    <t>F1228 346</t>
  </si>
  <si>
    <t>F1228 348</t>
  </si>
  <si>
    <t>F1228 349A</t>
  </si>
  <si>
    <t>F1228 349B</t>
  </si>
  <si>
    <t>F1228 350</t>
  </si>
  <si>
    <t>F1228 352</t>
  </si>
  <si>
    <t>P7500 3</t>
  </si>
  <si>
    <t>P7500 3.2</t>
  </si>
  <si>
    <t>P7500 9.3</t>
  </si>
  <si>
    <t>P7500 12</t>
  </si>
  <si>
    <t>P7500 27</t>
  </si>
  <si>
    <t>P7500 36</t>
  </si>
  <si>
    <t>P7500 50.4</t>
  </si>
  <si>
    <t>P7500 53</t>
  </si>
  <si>
    <t>P7500 56</t>
  </si>
  <si>
    <t>P7500 59</t>
  </si>
  <si>
    <t>P7500 62</t>
  </si>
  <si>
    <t>P7500 66.0</t>
  </si>
  <si>
    <t>P7500 68.0</t>
  </si>
  <si>
    <t>P7500 70.0</t>
  </si>
  <si>
    <t>P7500 72.1</t>
  </si>
  <si>
    <t>P7500 74.1</t>
  </si>
  <si>
    <t>P7500 78.2</t>
  </si>
  <si>
    <t>P7500 79.4</t>
  </si>
  <si>
    <t>P7500 80</t>
  </si>
  <si>
    <t>P7500 81.0</t>
  </si>
  <si>
    <t>P7500 83.0</t>
  </si>
  <si>
    <t>P7500 83.6</t>
  </si>
  <si>
    <t>P7500 85.0</t>
  </si>
  <si>
    <t>P7500 87.0</t>
  </si>
  <si>
    <t>P7500 87.5</t>
  </si>
  <si>
    <t>P7500 91.8</t>
  </si>
  <si>
    <t>P7500 94.0</t>
  </si>
  <si>
    <t>P7500 107.8</t>
  </si>
  <si>
    <t>P7500 111.8</t>
  </si>
  <si>
    <t>P7500 115.5</t>
  </si>
  <si>
    <t>P7500 120.5</t>
  </si>
  <si>
    <t>P7500 126.8</t>
  </si>
  <si>
    <t>P7500 129.6</t>
  </si>
  <si>
    <t>P7500 133.8</t>
  </si>
  <si>
    <t>P7500 135.3</t>
  </si>
  <si>
    <t>P7500 137.2</t>
  </si>
  <si>
    <t>P7500 140.0</t>
  </si>
  <si>
    <t>P7500 143.0</t>
  </si>
  <si>
    <t>P7500 145.0</t>
  </si>
  <si>
    <t>P7500 147.0</t>
  </si>
  <si>
    <t>P7500 150.1</t>
  </si>
  <si>
    <t>P7500 154.0</t>
  </si>
  <si>
    <t>P7500 157.8</t>
  </si>
  <si>
    <t>P7500 160.0</t>
  </si>
  <si>
    <t>P7500 161.0</t>
  </si>
  <si>
    <t>P7500 163.1</t>
  </si>
  <si>
    <t>P7500 166</t>
  </si>
  <si>
    <t>P7500 168.0</t>
  </si>
  <si>
    <t>P7500 169</t>
  </si>
  <si>
    <t>P7500 171.0</t>
  </si>
  <si>
    <t>P7500 173.0</t>
  </si>
  <si>
    <t>P7500 180.4</t>
  </si>
  <si>
    <t>P7500 183.5</t>
  </si>
  <si>
    <t>P7500 185.2</t>
  </si>
  <si>
    <t>P7500 188.0</t>
  </si>
  <si>
    <t>P7500 190.0</t>
  </si>
  <si>
    <t>P7500 192.0</t>
  </si>
  <si>
    <t>P7500 193.3</t>
  </si>
  <si>
    <t>P6503 8.0</t>
  </si>
  <si>
    <t>P6503 9.8</t>
  </si>
  <si>
    <t>P6503 12.0</t>
  </si>
  <si>
    <t>P6503 14.0</t>
  </si>
  <si>
    <t>P6503 15.5</t>
  </si>
  <si>
    <t>P6503 17.0</t>
  </si>
  <si>
    <t>P6503 18.0</t>
  </si>
  <si>
    <t>P6503 20.0</t>
  </si>
  <si>
    <t>P6503 22.2</t>
  </si>
  <si>
    <t>P6503 26.0</t>
  </si>
  <si>
    <t>P6503 28.0</t>
  </si>
  <si>
    <t>P6503 30.0</t>
  </si>
  <si>
    <t>P6503 32.0</t>
  </si>
  <si>
    <t>P6503 34.0</t>
  </si>
  <si>
    <t>P6503 36.0</t>
  </si>
  <si>
    <t>P6503 38.0</t>
  </si>
  <si>
    <t>P6503 40.0</t>
  </si>
  <si>
    <t>P6503 42.0</t>
  </si>
  <si>
    <t>P6503 44.0</t>
  </si>
  <si>
    <t>P6503 46.0</t>
  </si>
  <si>
    <t>P6503 48.0</t>
  </si>
  <si>
    <t>P6503 50.0</t>
  </si>
  <si>
    <t>P6503 106.0</t>
  </si>
  <si>
    <t>P6503 111.0</t>
  </si>
  <si>
    <t>P6503 113.0</t>
  </si>
  <si>
    <t>P6503 121.4</t>
  </si>
  <si>
    <t>P4006 230.2</t>
  </si>
  <si>
    <t>P4006 239.5</t>
  </si>
  <si>
    <t>P4006 264.8</t>
  </si>
  <si>
    <t>P4006 266</t>
  </si>
  <si>
    <t>P4006 266.3</t>
  </si>
  <si>
    <t>P4006 267.7</t>
  </si>
  <si>
    <t>P4006 268.0</t>
  </si>
  <si>
    <t>P4006 274.4</t>
  </si>
  <si>
    <t>P4006 276.5</t>
  </si>
  <si>
    <t>P4006 277.3</t>
  </si>
  <si>
    <t>P4006 292.8</t>
  </si>
  <si>
    <t>P4006 295.4</t>
  </si>
  <si>
    <t>P4006 295.8</t>
  </si>
  <si>
    <t>P4006 297.5</t>
  </si>
  <si>
    <t>P4006 298.0</t>
  </si>
  <si>
    <t>P4006 328.0</t>
  </si>
  <si>
    <t>P4006 331.0</t>
  </si>
  <si>
    <t>P4006 332.0</t>
  </si>
  <si>
    <t>P4006 335.8</t>
  </si>
  <si>
    <t>P4006 336.1</t>
  </si>
  <si>
    <t>P4006 337.7</t>
  </si>
  <si>
    <t>P4006 338.9</t>
  </si>
  <si>
    <t>P4006 340a</t>
  </si>
  <si>
    <t>P4006 341.5</t>
  </si>
  <si>
    <t>P4006 343.6</t>
  </si>
  <si>
    <t>P4006 344.2</t>
  </si>
  <si>
    <t>P4006 345.6</t>
  </si>
  <si>
    <t>P4006 346.6</t>
  </si>
  <si>
    <t>P4006 348.7</t>
  </si>
  <si>
    <t>P4006 351.6</t>
  </si>
  <si>
    <t>P4006 352.6</t>
  </si>
  <si>
    <t>P4006 353.0</t>
  </si>
  <si>
    <t>P4006 358.7</t>
  </si>
  <si>
    <t>P9500 113.0</t>
  </si>
  <si>
    <t>P9500 116.0</t>
  </si>
  <si>
    <t>P9500 117.5</t>
  </si>
  <si>
    <t>P9500 119.5</t>
  </si>
  <si>
    <t>P9500 119.7</t>
  </si>
  <si>
    <t>P9500 120.3</t>
  </si>
  <si>
    <t>P9500 121.4</t>
  </si>
  <si>
    <t>P9500 122.1</t>
  </si>
  <si>
    <t>P9500 122.8</t>
  </si>
  <si>
    <t>P9500 123.7</t>
  </si>
  <si>
    <t>P9500 124.2</t>
  </si>
  <si>
    <t>P9500 126.7</t>
  </si>
  <si>
    <t>P9500 127.2</t>
  </si>
  <si>
    <t>P9500 128.0</t>
  </si>
  <si>
    <t>P9500 128.9</t>
  </si>
  <si>
    <t>P9500 129.6</t>
  </si>
  <si>
    <t>P9500 130.0</t>
  </si>
  <si>
    <t>P9500 130.7</t>
  </si>
  <si>
    <t>P9500 131.2</t>
  </si>
  <si>
    <t>P9500 132.2</t>
  </si>
  <si>
    <t>P9500 133.4</t>
  </si>
  <si>
    <t>P9500 133.8</t>
  </si>
  <si>
    <t>P9500 136.3</t>
  </si>
  <si>
    <t>P9500 140.3</t>
  </si>
  <si>
    <t>P9500 140.5</t>
  </si>
  <si>
    <t>P9500 141.8</t>
  </si>
  <si>
    <t>P9500 142.5</t>
  </si>
  <si>
    <t>P9500 143.1</t>
  </si>
  <si>
    <t>P9500 143.7</t>
  </si>
  <si>
    <t>P9500 144.4</t>
  </si>
  <si>
    <t>P9500 145.0</t>
  </si>
  <si>
    <t>P9500 145.8</t>
  </si>
  <si>
    <t>P9500 146.7</t>
  </si>
  <si>
    <t>P9500 147.3</t>
  </si>
  <si>
    <t>P9500 147.9</t>
  </si>
  <si>
    <t>P9500 148.5</t>
  </si>
  <si>
    <t>P9500 148.9</t>
  </si>
  <si>
    <t>P9500 150.0</t>
  </si>
  <si>
    <t>P9500 151.1</t>
  </si>
  <si>
    <t>P9500 156.1</t>
  </si>
  <si>
    <t>P9500 157.6</t>
  </si>
  <si>
    <t>P9500 159.1</t>
  </si>
  <si>
    <t>P9500 161.2</t>
  </si>
  <si>
    <t>P9500 174.2</t>
  </si>
  <si>
    <t>P9500 174.4</t>
  </si>
  <si>
    <t>P9500 178.4</t>
  </si>
  <si>
    <t>P9500 184.8</t>
  </si>
  <si>
    <t>P9500 195.4</t>
  </si>
  <si>
    <t>P9500 204.4</t>
  </si>
  <si>
    <t>P9500 210.7</t>
  </si>
  <si>
    <t>P9500 214.4</t>
  </si>
  <si>
    <t>P9500 218.9</t>
  </si>
  <si>
    <t>A1043 2.8</t>
  </si>
  <si>
    <t>A1043 35.0</t>
  </si>
  <si>
    <t>A1043 36.7</t>
  </si>
  <si>
    <t>A1043 37.8</t>
  </si>
  <si>
    <t>A1043 50.8</t>
  </si>
  <si>
    <t>A1043 54.9</t>
  </si>
  <si>
    <t>A1043 69.0</t>
  </si>
  <si>
    <t>A1043 74.3</t>
  </si>
  <si>
    <t>A1043 93.8</t>
  </si>
  <si>
    <t>A1043 99.6</t>
  </si>
  <si>
    <t>A1043 107.4</t>
  </si>
  <si>
    <t>A1043 113.2</t>
  </si>
  <si>
    <t>A1043 120.3</t>
  </si>
  <si>
    <t>A1043 132.5</t>
  </si>
  <si>
    <t>A1043 137.4</t>
  </si>
  <si>
    <t>A1043 144.1</t>
  </si>
  <si>
    <t>A1043 148.3</t>
  </si>
  <si>
    <t>A1043 156.6</t>
  </si>
  <si>
    <t>A1043 161.1</t>
  </si>
  <si>
    <t>A1043 167.1</t>
  </si>
  <si>
    <t>A1043 170.8</t>
  </si>
  <si>
    <t>A1043 180.0</t>
  </si>
  <si>
    <t>A1043 183.0</t>
  </si>
  <si>
    <t>A1043 186.9</t>
  </si>
  <si>
    <t>A1043 192.0</t>
  </si>
  <si>
    <t>A1043 200.6</t>
  </si>
  <si>
    <t>A1043 205.3</t>
  </si>
  <si>
    <t>A1043 206.0</t>
  </si>
  <si>
    <t>A1043 207.3</t>
  </si>
  <si>
    <t>A1043 209.0</t>
  </si>
  <si>
    <t>A1043 211.0</t>
  </si>
  <si>
    <t>A1043 214.2</t>
  </si>
  <si>
    <t>A1043 216.7</t>
  </si>
  <si>
    <t>A1043 220.4</t>
  </si>
  <si>
    <t>A1043 222.3</t>
  </si>
  <si>
    <t>A1043 227.1</t>
  </si>
  <si>
    <t>A1043 228.2</t>
  </si>
  <si>
    <t>A1043 229.3</t>
  </si>
  <si>
    <t>A1043 231.8</t>
  </si>
  <si>
    <t>A1043 235.2</t>
  </si>
  <si>
    <t>A1043 236.8</t>
  </si>
  <si>
    <t>A1043 241.4</t>
  </si>
  <si>
    <t>A1043 243.5</t>
  </si>
  <si>
    <t>A1043 244.4</t>
  </si>
  <si>
    <t>A1043 254.7</t>
  </si>
  <si>
    <t>A1043 256.8</t>
  </si>
  <si>
    <t>A1043 258.2</t>
  </si>
  <si>
    <t>A1043 259.6</t>
  </si>
  <si>
    <t>A1043 260.9</t>
  </si>
  <si>
    <t>A1043 262.6</t>
  </si>
  <si>
    <t>A1043 263.5</t>
  </si>
  <si>
    <t>A1043 265.7</t>
  </si>
  <si>
    <t>A1043 266.7</t>
  </si>
  <si>
    <t>A1043 268.0</t>
  </si>
  <si>
    <t>A1043 268.9</t>
  </si>
  <si>
    <t>A1043 270.1</t>
  </si>
  <si>
    <t>A1043 270.2</t>
  </si>
  <si>
    <t>A1043 271.2</t>
  </si>
  <si>
    <t>A1043 274.1</t>
  </si>
  <si>
    <t>A1043 274.5</t>
  </si>
  <si>
    <t>A1043 277.2</t>
  </si>
  <si>
    <t>N424 158.2</t>
  </si>
  <si>
    <t>N424 158.8</t>
  </si>
  <si>
    <t>N424 169.0</t>
  </si>
  <si>
    <t>N424 185.5</t>
  </si>
  <si>
    <t>N424 213.8</t>
  </si>
  <si>
    <t>N424 231.8</t>
  </si>
  <si>
    <t>N424 233.0</t>
  </si>
  <si>
    <t>N424 243.3</t>
  </si>
  <si>
    <t>N424 244.1</t>
  </si>
  <si>
    <t>N424 244.6</t>
  </si>
  <si>
    <t>N424 252.2</t>
  </si>
  <si>
    <t>N424 275.9</t>
  </si>
  <si>
    <t>N424 284.3</t>
  </si>
  <si>
    <t>N424 294.9</t>
  </si>
  <si>
    <t>N424 296.6</t>
  </si>
  <si>
    <t>N424 298.4</t>
  </si>
  <si>
    <t>N424 299.6</t>
  </si>
  <si>
    <t>N424 303.3</t>
  </si>
  <si>
    <t>N424 305.1</t>
  </si>
  <si>
    <t>N424 307.6</t>
  </si>
  <si>
    <t>N424 315.4</t>
  </si>
  <si>
    <t>N424 317.6</t>
  </si>
  <si>
    <t>N424 324.8</t>
  </si>
  <si>
    <t>N424 328.4</t>
  </si>
  <si>
    <t>N424 329</t>
  </si>
  <si>
    <t>N424 330.3</t>
  </si>
  <si>
    <t>N424 331.9</t>
  </si>
  <si>
    <t>N424 332.4</t>
  </si>
  <si>
    <t>N424 334.6</t>
  </si>
  <si>
    <t>N424 336.8</t>
  </si>
  <si>
    <t>N424 340.5</t>
  </si>
  <si>
    <t>N424 341.2</t>
  </si>
  <si>
    <t>N424 343.9</t>
  </si>
  <si>
    <t>N424 354.6</t>
  </si>
  <si>
    <t>N424 357.6</t>
  </si>
  <si>
    <t>N424 361</t>
  </si>
  <si>
    <t>N424 365.9</t>
  </si>
  <si>
    <t>N424 372.3</t>
  </si>
  <si>
    <t>N424 376.5</t>
  </si>
  <si>
    <t>N424 380.0</t>
  </si>
  <si>
    <t>N424 386.0</t>
  </si>
  <si>
    <t>N424 386.8</t>
  </si>
  <si>
    <t>N424 391.3</t>
  </si>
  <si>
    <t>N424 391.7</t>
  </si>
  <si>
    <t>N424 398.0</t>
  </si>
  <si>
    <t>N424 403.4</t>
  </si>
  <si>
    <t>N424 405.3</t>
  </si>
  <si>
    <t>N424 408.9</t>
  </si>
  <si>
    <t>N424 410.3</t>
  </si>
  <si>
    <t>N424 414.0</t>
  </si>
  <si>
    <t>N424 416.6</t>
  </si>
  <si>
    <t>N424 417.6</t>
  </si>
  <si>
    <t>N424 418.4</t>
  </si>
  <si>
    <t>N424 421.8</t>
  </si>
  <si>
    <t>N424 426.7</t>
  </si>
  <si>
    <t>N424 428.2</t>
  </si>
  <si>
    <t>N424 430.4</t>
  </si>
  <si>
    <t>N424 431.4</t>
  </si>
  <si>
    <t>N424 439.0</t>
  </si>
  <si>
    <t>N424 435.9</t>
  </si>
  <si>
    <t>C215 0.3</t>
  </si>
  <si>
    <t>C215 0.5</t>
  </si>
  <si>
    <t>C215 12.3</t>
  </si>
  <si>
    <t>C215 13.9</t>
  </si>
  <si>
    <t>C215 15.5</t>
  </si>
  <si>
    <t>C215 27.4</t>
  </si>
  <si>
    <t>C215 34.1</t>
  </si>
  <si>
    <t>C215 36.1</t>
  </si>
  <si>
    <t>C215 36.4</t>
  </si>
  <si>
    <t>C215 47.7</t>
  </si>
  <si>
    <t>C215 48.3</t>
  </si>
  <si>
    <t>C215 61.7</t>
  </si>
  <si>
    <t>C215 63.4</t>
  </si>
  <si>
    <t>C215 64.9</t>
  </si>
  <si>
    <t>C215 73.3</t>
  </si>
  <si>
    <t>C215 80.5</t>
  </si>
  <si>
    <t>C215 82.3</t>
  </si>
  <si>
    <t>C215 82.6</t>
  </si>
  <si>
    <t>C215 87.3</t>
  </si>
  <si>
    <t>C215 93.7</t>
  </si>
  <si>
    <t>C215 99.2</t>
  </si>
  <si>
    <t>C215 100.1</t>
  </si>
  <si>
    <t>C215 106.5</t>
  </si>
  <si>
    <t>C215 107.4</t>
  </si>
  <si>
    <t>C215 118.4</t>
  </si>
  <si>
    <t>C215 127.1</t>
  </si>
  <si>
    <t>C215 127.8</t>
  </si>
  <si>
    <t>C215 136.8</t>
  </si>
  <si>
    <t>C215 142.7</t>
  </si>
  <si>
    <t>C215 153.8</t>
  </si>
  <si>
    <t>C215 165.7</t>
  </si>
  <si>
    <t>C215 166.4</t>
  </si>
  <si>
    <t>C215 171.4</t>
  </si>
  <si>
    <t>C215 172.4</t>
  </si>
  <si>
    <t>C215 173.3</t>
  </si>
  <si>
    <t>C215 175.3</t>
  </si>
  <si>
    <t>C215 175.4</t>
  </si>
  <si>
    <t>C215 180.6</t>
  </si>
  <si>
    <t>C215 181.0</t>
  </si>
  <si>
    <t>C215 185.3</t>
  </si>
  <si>
    <t>C215 187.0</t>
  </si>
  <si>
    <t>C215 191.7</t>
  </si>
  <si>
    <t>C215 192.5</t>
  </si>
  <si>
    <t>C215 197.6</t>
  </si>
  <si>
    <t>C215 198.8</t>
  </si>
  <si>
    <t>C215 201.9</t>
  </si>
  <si>
    <t>C215 206.7</t>
  </si>
  <si>
    <t>C215 209.6</t>
  </si>
  <si>
    <t>C215 211.1</t>
  </si>
  <si>
    <t>C215 214.2</t>
  </si>
  <si>
    <t>C215 216.9</t>
  </si>
  <si>
    <t>C215 219.8</t>
  </si>
  <si>
    <t>C215 222.5</t>
  </si>
  <si>
    <t>C215 224.4</t>
  </si>
  <si>
    <t>C215 228.1</t>
  </si>
  <si>
    <t>C215 231.1</t>
  </si>
  <si>
    <t>C215 239.7</t>
  </si>
  <si>
    <t>C215 247.2</t>
  </si>
  <si>
    <t>C215 247.9</t>
  </si>
  <si>
    <t>C215 249.9</t>
  </si>
  <si>
    <t>C215 255.0</t>
  </si>
  <si>
    <t>C215 257.5</t>
  </si>
  <si>
    <t>C215 261.0</t>
  </si>
  <si>
    <t>C215 264.4</t>
  </si>
  <si>
    <t>C227 701.0</t>
  </si>
  <si>
    <t>C227 703.1</t>
  </si>
  <si>
    <t>C227 704.1</t>
  </si>
  <si>
    <t>C227 712.6</t>
  </si>
  <si>
    <t>C227 713.6</t>
  </si>
  <si>
    <t>C227 714.5</t>
  </si>
  <si>
    <t>C227 716.8</t>
  </si>
  <si>
    <t>C227 718.0</t>
  </si>
  <si>
    <t>C227 719.2</t>
  </si>
  <si>
    <t>C227 720.9</t>
  </si>
  <si>
    <t>C227 721.9</t>
  </si>
  <si>
    <t>C227 723</t>
  </si>
  <si>
    <t>C227 724.9</t>
  </si>
  <si>
    <t>C227 725.8</t>
  </si>
  <si>
    <t>C227 727</t>
  </si>
  <si>
    <t>C227 729.3</t>
  </si>
  <si>
    <t>C227 732.4</t>
  </si>
  <si>
    <t>C227 733.5</t>
  </si>
  <si>
    <t>C227 735.5</t>
  </si>
  <si>
    <t>C227 736.5</t>
  </si>
  <si>
    <t>C227 782.3</t>
  </si>
  <si>
    <t>C227 783.4</t>
  </si>
  <si>
    <t>C227 784.1</t>
  </si>
  <si>
    <t>C227 795.9</t>
  </si>
  <si>
    <t>C227 796.9</t>
  </si>
  <si>
    <t>C227 797.9</t>
  </si>
  <si>
    <t>C227 799.3</t>
  </si>
  <si>
    <t>C227 801.4</t>
  </si>
  <si>
    <t>C227 802.4</t>
  </si>
  <si>
    <t>C227 832.9</t>
  </si>
  <si>
    <t>C227 834.1</t>
  </si>
  <si>
    <t>C230 562.0</t>
  </si>
  <si>
    <t>C230 563.3</t>
  </si>
  <si>
    <t>C230 564.1</t>
  </si>
  <si>
    <t>C230 565.1</t>
  </si>
  <si>
    <t>C230 565.8</t>
  </si>
  <si>
    <t>C230 566.2</t>
  </si>
  <si>
    <t>C230 567.2</t>
  </si>
  <si>
    <t>C230 568.2</t>
  </si>
  <si>
    <t>C230 569.2</t>
  </si>
  <si>
    <t>C230 570.2</t>
  </si>
  <si>
    <t>C230 627.3</t>
  </si>
  <si>
    <t>C230 640.4</t>
  </si>
  <si>
    <t>C230 641.4</t>
  </si>
  <si>
    <t>C230 642.3</t>
  </si>
  <si>
    <t>C230 667</t>
  </si>
  <si>
    <t>C230 668.2</t>
  </si>
  <si>
    <t>C230 668.7</t>
  </si>
  <si>
    <t>C230 669.8</t>
  </si>
  <si>
    <t>C230 671.2</t>
  </si>
  <si>
    <t>C230 672.3</t>
  </si>
  <si>
    <t>R2 78.7</t>
  </si>
  <si>
    <t>R2 158.8</t>
  </si>
  <si>
    <t>R2 162.3</t>
  </si>
  <si>
    <t>R2 166.3</t>
  </si>
  <si>
    <t>R2 168.2</t>
  </si>
  <si>
    <t>R2 170.5</t>
  </si>
  <si>
    <t>R2 179.1</t>
  </si>
  <si>
    <t>R2 183.2</t>
  </si>
  <si>
    <t>R2 184.6</t>
  </si>
  <si>
    <t>R2 208.3</t>
  </si>
  <si>
    <t>R2 260.8</t>
  </si>
  <si>
    <t>Ahm et al., 2021</t>
  </si>
  <si>
    <t>Crockford et al., 2021</t>
  </si>
  <si>
    <t>Mackenzie Mts, Canada</t>
  </si>
  <si>
    <t>Wernecke Mts, Canada</t>
  </si>
  <si>
    <t>Ongongo, Namibia</t>
  </si>
  <si>
    <t>Okaaru, Namibia</t>
  </si>
  <si>
    <t>Fransfontein, Namibia</t>
  </si>
  <si>
    <t>Franni-aus, Namibia</t>
  </si>
  <si>
    <t>Trezona bore, Australia</t>
  </si>
  <si>
    <t>Moolooloo, Australia</t>
  </si>
  <si>
    <t>Emu gap, Australia</t>
  </si>
  <si>
    <t>Etina, Moolooloo Australia</t>
  </si>
  <si>
    <t>Punches Rest, Australia</t>
  </si>
  <si>
    <t>interbedded lime mudstone and calcareous shale</t>
  </si>
  <si>
    <t>lime mudstone</t>
  </si>
  <si>
    <t>fine-grained oolitic grainstone</t>
  </si>
  <si>
    <t>interbedded lime mudstone and wackestone</t>
  </si>
  <si>
    <t>interbedded calcareous dolomudstone and dolowackestone</t>
  </si>
  <si>
    <t>intraclast grainstone/rudstone</t>
  </si>
  <si>
    <t>fine-grained grainstone</t>
  </si>
  <si>
    <t>silty dolomudstone</t>
  </si>
  <si>
    <t>oolitic dolograinstone</t>
  </si>
  <si>
    <t>doloboundstone</t>
  </si>
  <si>
    <t>microbialite</t>
  </si>
  <si>
    <t>wavy lime mudstone</t>
  </si>
  <si>
    <t>coarse-grained grainstone</t>
  </si>
  <si>
    <t>coarse-grained oolitic grainstone</t>
  </si>
  <si>
    <t>ribbon-bedded lime mudstone</t>
  </si>
  <si>
    <t>massive recrystallized dolograinstone</t>
  </si>
  <si>
    <t>dolomudstone</t>
  </si>
  <si>
    <t>massive recrystallized stromatolitic dolostone</t>
  </si>
  <si>
    <t>interbedded calcareous dolomudstone and shale</t>
  </si>
  <si>
    <t>carbonate nodule in siltstone</t>
  </si>
  <si>
    <t>interbedded lime mudstone and calcisiltite</t>
  </si>
  <si>
    <t>cc ribbonite</t>
  </si>
  <si>
    <t>cc grainstone</t>
  </si>
  <si>
    <t>dl grainstone</t>
  </si>
  <si>
    <t>dl ribbonite</t>
  </si>
  <si>
    <t>dl stromatolite</t>
  </si>
  <si>
    <t>dl microbialaminite</t>
  </si>
  <si>
    <t>dl rhythmite</t>
  </si>
  <si>
    <t>Fe-carb intraclast packstone</t>
  </si>
  <si>
    <t>cc microbialaminite</t>
  </si>
  <si>
    <t>Keilberg Mb peloidal dl stromatolite</t>
  </si>
  <si>
    <t>cc rhythmite</t>
  </si>
  <si>
    <t>cc rhythmite-debrite</t>
  </si>
  <si>
    <t>cc rhythmite w turbidites</t>
  </si>
  <si>
    <t>dl debrite</t>
  </si>
  <si>
    <t>ribbons</t>
  </si>
  <si>
    <t>stromatolite</t>
  </si>
  <si>
    <t>grainstone</t>
  </si>
  <si>
    <t>intraclast breccia</t>
  </si>
  <si>
    <t>packstone</t>
  </si>
  <si>
    <t>oolite</t>
  </si>
  <si>
    <t>Keele Fm.</t>
  </si>
  <si>
    <t>Otavi Group</t>
  </si>
  <si>
    <t>M303-6.0</t>
  </si>
  <si>
    <t xml:space="preserve">M303-6.8 </t>
  </si>
  <si>
    <t>M303-36.6</t>
  </si>
  <si>
    <t xml:space="preserve">M303-37.4 </t>
  </si>
  <si>
    <t>M303-38.3</t>
  </si>
  <si>
    <t xml:space="preserve">M303-40.5 </t>
  </si>
  <si>
    <t xml:space="preserve">M303-41.4 </t>
  </si>
  <si>
    <t xml:space="preserve">M303-42.5 </t>
  </si>
  <si>
    <t xml:space="preserve">M303-43.6 </t>
  </si>
  <si>
    <t xml:space="preserve">M303-44.8 </t>
  </si>
  <si>
    <t xml:space="preserve">M303-45.9 </t>
  </si>
  <si>
    <t xml:space="preserve">M303-46.7 </t>
  </si>
  <si>
    <t xml:space="preserve">M303-48 </t>
  </si>
  <si>
    <t xml:space="preserve">M303-49 </t>
  </si>
  <si>
    <t xml:space="preserve">M303-50.3 </t>
  </si>
  <si>
    <t xml:space="preserve">M303-51.1 </t>
  </si>
  <si>
    <t xml:space="preserve">M303-52 </t>
  </si>
  <si>
    <t xml:space="preserve">M303-53.7 </t>
  </si>
  <si>
    <t xml:space="preserve">M303-54.5 </t>
  </si>
  <si>
    <t xml:space="preserve">M303-55.9 </t>
  </si>
  <si>
    <t xml:space="preserve">M303-57 </t>
  </si>
  <si>
    <t xml:space="preserve">M303-57.9 </t>
  </si>
  <si>
    <t xml:space="preserve">M303-59.2 </t>
  </si>
  <si>
    <t>M303-59.9</t>
  </si>
  <si>
    <t xml:space="preserve">M303-62.5 </t>
  </si>
  <si>
    <t xml:space="preserve">M303-63.3 </t>
  </si>
  <si>
    <t xml:space="preserve">M303-67.3 </t>
  </si>
  <si>
    <t xml:space="preserve">M303-68 </t>
  </si>
  <si>
    <t xml:space="preserve">M303-69 </t>
  </si>
  <si>
    <t xml:space="preserve">M303-70.7 </t>
  </si>
  <si>
    <t>M303-71.1</t>
  </si>
  <si>
    <t xml:space="preserve">M303-72.6 </t>
  </si>
  <si>
    <t xml:space="preserve">M303-73.6 </t>
  </si>
  <si>
    <t xml:space="preserve">M303-74.6 </t>
  </si>
  <si>
    <t>M303-75.6</t>
  </si>
  <si>
    <t xml:space="preserve">M303-76.6 </t>
  </si>
  <si>
    <t xml:space="preserve">M303-77.7 </t>
  </si>
  <si>
    <t xml:space="preserve">M303-79.3 </t>
  </si>
  <si>
    <t xml:space="preserve">M303.80.2 </t>
  </si>
  <si>
    <t xml:space="preserve">M303-81.6 </t>
  </si>
  <si>
    <t xml:space="preserve">M303-83.1 </t>
  </si>
  <si>
    <t xml:space="preserve">M303-84.4 </t>
  </si>
  <si>
    <t>M303-86.6</t>
  </si>
  <si>
    <t xml:space="preserve">M303-88.6 </t>
  </si>
  <si>
    <t xml:space="preserve">M303-90.1 </t>
  </si>
  <si>
    <t xml:space="preserve">M303-92.6 </t>
  </si>
  <si>
    <t xml:space="preserve">M303-93.6 </t>
  </si>
  <si>
    <t xml:space="preserve">M303-94.6 </t>
  </si>
  <si>
    <t xml:space="preserve">M303-96.2 </t>
  </si>
  <si>
    <t xml:space="preserve">M303-97.9 </t>
  </si>
  <si>
    <t xml:space="preserve">M303-99.5 </t>
  </si>
  <si>
    <t xml:space="preserve">M303-100.6 </t>
  </si>
  <si>
    <t xml:space="preserve">M303-101.9 </t>
  </si>
  <si>
    <t xml:space="preserve">M303-102.8 </t>
  </si>
  <si>
    <t xml:space="preserve">M303-104.3 </t>
  </si>
  <si>
    <t xml:space="preserve">M303-105.6 </t>
  </si>
  <si>
    <t xml:space="preserve">M303-106.3 </t>
  </si>
  <si>
    <t xml:space="preserve">M303-107.7 </t>
  </si>
  <si>
    <t xml:space="preserve">M303-109.4 </t>
  </si>
  <si>
    <t xml:space="preserve">M303-110.6 </t>
  </si>
  <si>
    <t xml:space="preserve">M303-111.5 </t>
  </si>
  <si>
    <t xml:space="preserve">M303-113.4 </t>
  </si>
  <si>
    <t xml:space="preserve">M303-115.6 </t>
  </si>
  <si>
    <t xml:space="preserve">M303-117.6 </t>
  </si>
  <si>
    <t xml:space="preserve">M303-118.8 </t>
  </si>
  <si>
    <t xml:space="preserve">M303-123.1 </t>
  </si>
  <si>
    <t xml:space="preserve">M303-125.1 </t>
  </si>
  <si>
    <t xml:space="preserve">M303-125.7 </t>
  </si>
  <si>
    <t>Coppercap Fm.</t>
  </si>
  <si>
    <t>Kingston Peak Fm.</t>
  </si>
  <si>
    <t>Wilpena Group</t>
  </si>
  <si>
    <t>Dolomitic carbonate</t>
  </si>
  <si>
    <t>Ahm et al., 2019</t>
  </si>
  <si>
    <t>N250 0.4</t>
  </si>
  <si>
    <t>N250 1.6</t>
  </si>
  <si>
    <t>N250 2.7</t>
  </si>
  <si>
    <t>N250 4.3</t>
  </si>
  <si>
    <t>N250 5.5</t>
  </si>
  <si>
    <t>N250 6.5</t>
  </si>
  <si>
    <t>N250 7.8</t>
  </si>
  <si>
    <t>N250 9.2</t>
  </si>
  <si>
    <t>N250 9.9</t>
  </si>
  <si>
    <t>N255 1.35</t>
  </si>
  <si>
    <t>N255 2.35</t>
  </si>
  <si>
    <t>N255 3.32</t>
  </si>
  <si>
    <t>N255 4.43</t>
  </si>
  <si>
    <t>N255 5.47</t>
  </si>
  <si>
    <t>N255 6.2</t>
  </si>
  <si>
    <t>N255 6.49</t>
  </si>
  <si>
    <t>N288 0.25</t>
  </si>
  <si>
    <t>N288 1.25</t>
  </si>
  <si>
    <t>N288 2.2</t>
  </si>
  <si>
    <t>N288 3.3</t>
  </si>
  <si>
    <t>N288 4.5</t>
  </si>
  <si>
    <t>N288 5.5</t>
  </si>
  <si>
    <t>N288 6.9</t>
  </si>
  <si>
    <t>N288 7.9</t>
  </si>
  <si>
    <t>N288 8.8</t>
  </si>
  <si>
    <t>N288 9.7</t>
  </si>
  <si>
    <t>N288 10.7</t>
  </si>
  <si>
    <t>N288 11.8</t>
  </si>
  <si>
    <t>N288 13</t>
  </si>
  <si>
    <t>N288 14</t>
  </si>
  <si>
    <t>N288 15.3</t>
  </si>
  <si>
    <t>N288 16.4</t>
  </si>
  <si>
    <t>N288 18.9</t>
  </si>
  <si>
    <t>N288 20.1</t>
  </si>
  <si>
    <t>F1344 5.2</t>
  </si>
  <si>
    <t>F1344 5.5</t>
  </si>
  <si>
    <t>F1344 6.05</t>
  </si>
  <si>
    <t>F1344 9.1</t>
  </si>
  <si>
    <t>F1344 13</t>
  </si>
  <si>
    <t>F1344 15</t>
  </si>
  <si>
    <t>F1344 30</t>
  </si>
  <si>
    <t>F1344 35</t>
  </si>
  <si>
    <t>F1340 1.2</t>
  </si>
  <si>
    <t>F1340 8</t>
  </si>
  <si>
    <t>F1340 8.2</t>
  </si>
  <si>
    <t>F1340 8.05</t>
  </si>
  <si>
    <t>F1340 8.1</t>
  </si>
  <si>
    <t>F1340 8.5</t>
  </si>
  <si>
    <t>F1340 8.65</t>
  </si>
  <si>
    <t>F1340 8.8</t>
  </si>
  <si>
    <t>F1340 9</t>
  </si>
  <si>
    <t>F1340 9.2</t>
  </si>
  <si>
    <t>F1340 9.4</t>
  </si>
  <si>
    <t>F1340 9.6</t>
  </si>
  <si>
    <t>F1340 9.8</t>
  </si>
  <si>
    <t>F1340 10</t>
  </si>
  <si>
    <t>F1340 10.3</t>
  </si>
  <si>
    <t>F1340 10.6</t>
  </si>
  <si>
    <t>F1340 10.9</t>
  </si>
  <si>
    <t>F1340 11.5</t>
  </si>
  <si>
    <t>F1340 12.2</t>
  </si>
  <si>
    <t>F1340 12.7</t>
  </si>
  <si>
    <t>F1340 13.3</t>
  </si>
  <si>
    <t>F1340 13.8</t>
  </si>
  <si>
    <t>F1340 14.3</t>
  </si>
  <si>
    <t>F1340 15</t>
  </si>
  <si>
    <t>F1340 15.5</t>
  </si>
  <si>
    <t>F1340 16</t>
  </si>
  <si>
    <t>F1341 0.5</t>
  </si>
  <si>
    <t>F1341 1.3</t>
  </si>
  <si>
    <t>F1341 2</t>
  </si>
  <si>
    <t>F1341 3</t>
  </si>
  <si>
    <t>F1341 3.7</t>
  </si>
  <si>
    <t>F1341 6.8</t>
  </si>
  <si>
    <t>F1341 7.2</t>
  </si>
  <si>
    <t>F1341 8.8</t>
  </si>
  <si>
    <t>F1341 10</t>
  </si>
  <si>
    <t>F1341 12</t>
  </si>
  <si>
    <t>F1341 14</t>
  </si>
  <si>
    <t>F1341 16</t>
  </si>
  <si>
    <t>F1341 18</t>
  </si>
  <si>
    <t>F1341 22</t>
  </si>
  <si>
    <t>F1341 26</t>
  </si>
  <si>
    <t>F1341 30</t>
  </si>
  <si>
    <t>F1341 32</t>
  </si>
  <si>
    <t>P7016 0.6</t>
  </si>
  <si>
    <t>P7016 4</t>
  </si>
  <si>
    <t>P7016 8</t>
  </si>
  <si>
    <t>P7016 12.7</t>
  </si>
  <si>
    <t>P7016 17</t>
  </si>
  <si>
    <t>P7016 21</t>
  </si>
  <si>
    <t>P7016 29</t>
  </si>
  <si>
    <t>P7016 33</t>
  </si>
  <si>
    <t>P7016 37</t>
  </si>
  <si>
    <t>P7016 41</t>
  </si>
  <si>
    <t>P7016 45</t>
  </si>
  <si>
    <t>P7016 49</t>
  </si>
  <si>
    <t>P7016 53.3</t>
  </si>
  <si>
    <t>P7016 57</t>
  </si>
  <si>
    <t>P7016 61</t>
  </si>
  <si>
    <t>P7016 65</t>
  </si>
  <si>
    <t>P7016 69</t>
  </si>
  <si>
    <t>P7016 73</t>
  </si>
  <si>
    <t>P7016 77</t>
  </si>
  <si>
    <t>P7016 81</t>
  </si>
  <si>
    <t>P7016 100</t>
  </si>
  <si>
    <t>P7016 104</t>
  </si>
  <si>
    <t>P7016 108</t>
  </si>
  <si>
    <t>P7016 112</t>
  </si>
  <si>
    <t>P7017 0</t>
  </si>
  <si>
    <t>P7017 0.1</t>
  </si>
  <si>
    <t>P7017 0.2</t>
  </si>
  <si>
    <t>P7017 0.6</t>
  </si>
  <si>
    <t>P7017 1</t>
  </si>
  <si>
    <t>P7017 1.8</t>
  </si>
  <si>
    <t>P7017 2</t>
  </si>
  <si>
    <t>P7017 2.4</t>
  </si>
  <si>
    <t>P7017 3</t>
  </si>
  <si>
    <t>P7017 3.2</t>
  </si>
  <si>
    <t>P7017 3.4</t>
  </si>
  <si>
    <t>P7017 3.8</t>
  </si>
  <si>
    <t>P7017 4.4</t>
  </si>
  <si>
    <t>P7017 5</t>
  </si>
  <si>
    <t>P4017 -9.4</t>
  </si>
  <si>
    <t>P4017 -8.4</t>
  </si>
  <si>
    <t>P4017 -7.5</t>
  </si>
  <si>
    <t>P4017 -6.35</t>
  </si>
  <si>
    <t>P4017 -5.35</t>
  </si>
  <si>
    <t>P4017 -4.15</t>
  </si>
  <si>
    <t>P4017 -3.15</t>
  </si>
  <si>
    <t>P4017 -2.15</t>
  </si>
  <si>
    <t>P4017 -1.15</t>
  </si>
  <si>
    <t>P4017 -0.15</t>
  </si>
  <si>
    <t>P4017 0.002</t>
  </si>
  <si>
    <t>P4017 0.08</t>
  </si>
  <si>
    <t>P4017 0.3</t>
  </si>
  <si>
    <t>P4017 0.63</t>
  </si>
  <si>
    <t>P4017 0.9</t>
  </si>
  <si>
    <t>P4017 1.35</t>
  </si>
  <si>
    <t>P4017 2</t>
  </si>
  <si>
    <t>P4017 3</t>
  </si>
  <si>
    <t>P4017 3.9</t>
  </si>
  <si>
    <t>P4017 5</t>
  </si>
  <si>
    <t>P4017 6</t>
  </si>
  <si>
    <t>P4017 7</t>
  </si>
  <si>
    <t>P4017 8</t>
  </si>
  <si>
    <t>P4017 9</t>
  </si>
  <si>
    <t>P4017 10</t>
  </si>
  <si>
    <t>P4017 11</t>
  </si>
  <si>
    <t>P4017 12</t>
  </si>
  <si>
    <t>P4017 13</t>
  </si>
  <si>
    <t>P4017 13.9</t>
  </si>
  <si>
    <t>P4017 15.1</t>
  </si>
  <si>
    <t>P4017 16.1</t>
  </si>
  <si>
    <t>P4017 17</t>
  </si>
  <si>
    <t>P4017 18</t>
  </si>
  <si>
    <t>P4017 19</t>
  </si>
  <si>
    <t>P4017 20</t>
  </si>
  <si>
    <t>P4017 21.3</t>
  </si>
  <si>
    <t>P4017 23.7</t>
  </si>
  <si>
    <t>P4017 25.6</t>
  </si>
  <si>
    <t>P4017 26.9</t>
  </si>
  <si>
    <t>P4017 28.6</t>
  </si>
  <si>
    <t>P4017 30.4</t>
  </si>
  <si>
    <t>P4017 32</t>
  </si>
  <si>
    <t>P4017 34</t>
  </si>
  <si>
    <t>P4017 36</t>
  </si>
  <si>
    <t>P4017 38</t>
  </si>
  <si>
    <t>P4017 40.1</t>
  </si>
  <si>
    <t>P4017 45</t>
  </si>
  <si>
    <t>P4017 46.9</t>
  </si>
  <si>
    <t>P4017 48.7</t>
  </si>
  <si>
    <t>P4017 53</t>
  </si>
  <si>
    <t>P4017 56</t>
  </si>
  <si>
    <t>P4017 58</t>
  </si>
  <si>
    <t>P4017 63.3</t>
  </si>
  <si>
    <t>P4017 66</t>
  </si>
  <si>
    <t>P4017 72.2</t>
  </si>
  <si>
    <t>P4017 74.4</t>
  </si>
  <si>
    <t>P4017 77</t>
  </si>
  <si>
    <t>P4017 80.5</t>
  </si>
  <si>
    <t>P4017 83.5</t>
  </si>
  <si>
    <t>P4017 86</t>
  </si>
  <si>
    <t>P4017 87</t>
  </si>
  <si>
    <t>P4017 90</t>
  </si>
  <si>
    <t>P4017 93</t>
  </si>
  <si>
    <t>P4017 96</t>
  </si>
  <si>
    <t>P4017 100</t>
  </si>
  <si>
    <t>P7500 199.1</t>
  </si>
  <si>
    <t>P7500 201</t>
  </si>
  <si>
    <t>P7500 202</t>
  </si>
  <si>
    <t>P7500 202.5</t>
  </si>
  <si>
    <t>P7500 205.5</t>
  </si>
  <si>
    <t>P7500 206.5</t>
  </si>
  <si>
    <t>P7500 207.5</t>
  </si>
  <si>
    <t>P7500 210.5</t>
  </si>
  <si>
    <t>P7500 212.5</t>
  </si>
  <si>
    <t>P7500 216.5</t>
  </si>
  <si>
    <t>P7500 217.5</t>
  </si>
  <si>
    <t>P7500 220.6</t>
  </si>
  <si>
    <t>P7500 222.5</t>
  </si>
  <si>
    <t>P7500 225.5</t>
  </si>
  <si>
    <t>P7500 226.3</t>
  </si>
  <si>
    <t>P7500 227.2</t>
  </si>
  <si>
    <t>P7500 228.5</t>
  </si>
  <si>
    <t>P7500 229.5</t>
  </si>
  <si>
    <t>P7500 230.5</t>
  </si>
  <si>
    <t>C215 0</t>
  </si>
  <si>
    <t>C215 1</t>
  </si>
  <si>
    <t>C215 2.1</t>
  </si>
  <si>
    <t>C215 3.1</t>
  </si>
  <si>
    <t>C215 4.2</t>
  </si>
  <si>
    <t>C215 5.4</t>
  </si>
  <si>
    <t>C215 6.7</t>
  </si>
  <si>
    <t>C215 8</t>
  </si>
  <si>
    <t>C215 9.1</t>
  </si>
  <si>
    <t>C215 10</t>
  </si>
  <si>
    <t>C215 11.1</t>
  </si>
  <si>
    <t>C215 12.1</t>
  </si>
  <si>
    <t>C215 14.4</t>
  </si>
  <si>
    <t>C215 16.1</t>
  </si>
  <si>
    <t>C215 17.4</t>
  </si>
  <si>
    <t>C215 18.1</t>
  </si>
  <si>
    <t>C215 19.1</t>
  </si>
  <si>
    <t>C215 19.8</t>
  </si>
  <si>
    <t>C215 20.7</t>
  </si>
  <si>
    <t>C215 21.7</t>
  </si>
  <si>
    <t>C215 22.8</t>
  </si>
  <si>
    <t>C215 23.7</t>
  </si>
  <si>
    <t>C215 24.7</t>
  </si>
  <si>
    <t>C215 25.9</t>
  </si>
  <si>
    <t>C215 26.9</t>
  </si>
  <si>
    <t>C215 27.7</t>
  </si>
  <si>
    <t>C215 29</t>
  </si>
  <si>
    <t>C215 31.2</t>
  </si>
  <si>
    <t>C215 32.2</t>
  </si>
  <si>
    <t>C215 33.1</t>
  </si>
  <si>
    <t>C213 0</t>
  </si>
  <si>
    <t>C213 1.2</t>
  </si>
  <si>
    <t>C213 2.5</t>
  </si>
  <si>
    <t>C213 3.7</t>
  </si>
  <si>
    <t>C213 5</t>
  </si>
  <si>
    <t>C213 6.3</t>
  </si>
  <si>
    <t>C213 7.5</t>
  </si>
  <si>
    <t>C213 8.7</t>
  </si>
  <si>
    <t>C213 9.9</t>
  </si>
  <si>
    <t>C213 11</t>
  </si>
  <si>
    <t>C213 12.3</t>
  </si>
  <si>
    <t>C213 13.3</t>
  </si>
  <si>
    <t>C213 14.6</t>
  </si>
  <si>
    <t>C213 15.9</t>
  </si>
  <si>
    <t>C213 17</t>
  </si>
  <si>
    <t>C213 18.5</t>
  </si>
  <si>
    <t>C213 19.9</t>
  </si>
  <si>
    <t>C213 21.2</t>
  </si>
  <si>
    <t>C213 22.3</t>
  </si>
  <si>
    <t>C213 23.6</t>
  </si>
  <si>
    <t>C213 24.6</t>
  </si>
  <si>
    <t>C213 25.3</t>
  </si>
  <si>
    <t>C213 26.3</t>
  </si>
  <si>
    <t>C213 27.2</t>
  </si>
  <si>
    <t>C212 0</t>
  </si>
  <si>
    <t>C212 1</t>
  </si>
  <si>
    <t>C212 2</t>
  </si>
  <si>
    <t>C212 2.9</t>
  </si>
  <si>
    <t>C212 3.8</t>
  </si>
  <si>
    <t>C212 4.8</t>
  </si>
  <si>
    <t>C212 5.8</t>
  </si>
  <si>
    <t>J1132 59.7</t>
  </si>
  <si>
    <t>J1132 61.4</t>
  </si>
  <si>
    <t>J1132 62.4a</t>
  </si>
  <si>
    <t>J1132 62.4b</t>
  </si>
  <si>
    <t>J1132 63.4</t>
  </si>
  <si>
    <t>J1132 64.4</t>
  </si>
  <si>
    <t>J1132 65.4</t>
  </si>
  <si>
    <t>J1132 66.2</t>
  </si>
  <si>
    <t>J1132 67</t>
  </si>
  <si>
    <t>J1132 69</t>
  </si>
  <si>
    <t>J1132 70</t>
  </si>
  <si>
    <t>J1132 71</t>
  </si>
  <si>
    <t>J1132 72.2</t>
  </si>
  <si>
    <t>J1132 73b</t>
  </si>
  <si>
    <t>J1132 74</t>
  </si>
  <si>
    <t>J1132 75</t>
  </si>
  <si>
    <t>J1132 76</t>
  </si>
  <si>
    <t>J1132 77</t>
  </si>
  <si>
    <t>J1132 78</t>
  </si>
  <si>
    <t>J1132 78b</t>
  </si>
  <si>
    <t>J1132 79.6</t>
  </si>
  <si>
    <t>AF 1fan</t>
  </si>
  <si>
    <t>AF 2fan</t>
  </si>
  <si>
    <t>AF 3fan</t>
  </si>
  <si>
    <t>AF 4fan</t>
  </si>
  <si>
    <t>AF 5fan</t>
  </si>
  <si>
    <t>AF 6fan</t>
  </si>
  <si>
    <t>AF 7fan</t>
  </si>
  <si>
    <t>AF 8m</t>
  </si>
  <si>
    <t>AF 9m</t>
  </si>
  <si>
    <t>AF 10m</t>
  </si>
  <si>
    <t>AF 11m</t>
  </si>
  <si>
    <t>AF 12m</t>
  </si>
  <si>
    <t>U1113 1</t>
  </si>
  <si>
    <t>U1113 4</t>
  </si>
  <si>
    <t>U1113 6</t>
  </si>
  <si>
    <t>U1113 7</t>
  </si>
  <si>
    <t>U1113 8</t>
  </si>
  <si>
    <t>U1113 9.6</t>
  </si>
  <si>
    <t>U1113 11</t>
  </si>
  <si>
    <t>U1113 14</t>
  </si>
  <si>
    <t>U1113 17</t>
  </si>
  <si>
    <t>U1113 20</t>
  </si>
  <si>
    <t>U1113 25</t>
  </si>
  <si>
    <t>U1113 32.1</t>
  </si>
  <si>
    <t>U1113 35</t>
  </si>
  <si>
    <t>U1113 40</t>
  </si>
  <si>
    <t>U1113 43</t>
  </si>
  <si>
    <t>U1113 46</t>
  </si>
  <si>
    <t>F860 0.5</t>
  </si>
  <si>
    <t>F860 1</t>
  </si>
  <si>
    <t>F860 0.5-3</t>
  </si>
  <si>
    <t>F860 9.2</t>
  </si>
  <si>
    <t>F860 9.5</t>
  </si>
  <si>
    <t>F860 11.2</t>
  </si>
  <si>
    <t>F860 12</t>
  </si>
  <si>
    <t>F860 20</t>
  </si>
  <si>
    <t>F860 24</t>
  </si>
  <si>
    <t>F860 26</t>
  </si>
  <si>
    <t>F708 29.7</t>
  </si>
  <si>
    <t>F708 30.2</t>
  </si>
  <si>
    <t>F708 32</t>
  </si>
  <si>
    <t>F708 33</t>
  </si>
  <si>
    <t>F708 34</t>
  </si>
  <si>
    <t>F708 35</t>
  </si>
  <si>
    <t>F708 36.5</t>
  </si>
  <si>
    <t>F817 1</t>
  </si>
  <si>
    <t>F817 2.1</t>
  </si>
  <si>
    <t>F817 2.3</t>
  </si>
  <si>
    <t>F817 5.5</t>
  </si>
  <si>
    <t>F817 5.8</t>
  </si>
  <si>
    <t>F817 6.2</t>
  </si>
  <si>
    <t>F817 6.8</t>
  </si>
  <si>
    <t>F817 7.8</t>
  </si>
  <si>
    <t>F817 8</t>
  </si>
  <si>
    <t>F817 8.5</t>
  </si>
  <si>
    <t>F817 9</t>
  </si>
  <si>
    <t>F817 9.5</t>
  </si>
  <si>
    <t>F817 10</t>
  </si>
  <si>
    <t>F817 10.7</t>
  </si>
  <si>
    <t>F817 11.3</t>
  </si>
  <si>
    <t>F817 12</t>
  </si>
  <si>
    <t>F817 12.3</t>
  </si>
  <si>
    <t>F817 13</t>
  </si>
  <si>
    <t>F817 13.7</t>
  </si>
  <si>
    <t>F817 14.1</t>
  </si>
  <si>
    <t>F817 15.1</t>
  </si>
  <si>
    <t>F817 16</t>
  </si>
  <si>
    <t>F817 17</t>
  </si>
  <si>
    <t>F817 18</t>
  </si>
  <si>
    <t>F817 19</t>
  </si>
  <si>
    <t>F817 21</t>
  </si>
  <si>
    <t>F817 23</t>
  </si>
  <si>
    <t>F817 25</t>
  </si>
  <si>
    <t>F601 26</t>
  </si>
  <si>
    <t>F601 30.4</t>
  </si>
  <si>
    <t>F601 35.1</t>
  </si>
  <si>
    <t>F601 41.4b</t>
  </si>
  <si>
    <t>F601 34</t>
  </si>
  <si>
    <t>F601 56.3</t>
  </si>
  <si>
    <t>F875 18.8</t>
  </si>
  <si>
    <t>F875 21.5</t>
  </si>
  <si>
    <t>F875 22.5</t>
  </si>
  <si>
    <t>F875 23.5</t>
  </si>
  <si>
    <t>F875 24.5</t>
  </si>
  <si>
    <t>F875 25</t>
  </si>
  <si>
    <t>F875 26.5</t>
  </si>
  <si>
    <t>F875 28.5</t>
  </si>
  <si>
    <t>F875 29.5</t>
  </si>
  <si>
    <t>F875 30.5</t>
  </si>
  <si>
    <t>F875 31.5</t>
  </si>
  <si>
    <t>F875 32.5</t>
  </si>
  <si>
    <t>F875 33.5</t>
  </si>
  <si>
    <t>F875 34.5</t>
  </si>
  <si>
    <t>F875 35</t>
  </si>
  <si>
    <t>F875 35.5</t>
  </si>
  <si>
    <t>F875 36.5</t>
  </si>
  <si>
    <t>F875 37.5</t>
  </si>
  <si>
    <t>F875 38</t>
  </si>
  <si>
    <t>F875 39.5</t>
  </si>
  <si>
    <t>J1402 2.1</t>
  </si>
  <si>
    <t>J1402 2.2</t>
  </si>
  <si>
    <t>J1402 2.3</t>
  </si>
  <si>
    <t>J1402 2.4</t>
  </si>
  <si>
    <t>J1402 2.6</t>
  </si>
  <si>
    <t>J1402 2.7</t>
  </si>
  <si>
    <t>J1402 2.8</t>
  </si>
  <si>
    <t>J1402 2.9</t>
  </si>
  <si>
    <t>J1402 3</t>
  </si>
  <si>
    <t>J1402 3.1</t>
  </si>
  <si>
    <t>J1402 3.2</t>
  </si>
  <si>
    <t>J1402 3.3</t>
  </si>
  <si>
    <t>J1402 3.4</t>
  </si>
  <si>
    <t>J1402 3.5</t>
  </si>
  <si>
    <t>J1402 3.6</t>
  </si>
  <si>
    <t>J1402 3.8</t>
  </si>
  <si>
    <t>J1402 3.9</t>
  </si>
  <si>
    <t>J1402 4</t>
  </si>
  <si>
    <t>J1402 4.2</t>
  </si>
  <si>
    <t>J1402 4.3</t>
  </si>
  <si>
    <t>J1402 4.6</t>
  </si>
  <si>
    <t>J1402 4.7</t>
  </si>
  <si>
    <t>J1402 4.8</t>
  </si>
  <si>
    <t>J1402 5</t>
  </si>
  <si>
    <t>J1402 5.1</t>
  </si>
  <si>
    <t>J1402 5.6</t>
  </si>
  <si>
    <t>J1402 5.8</t>
  </si>
  <si>
    <t>J1402 6</t>
  </si>
  <si>
    <t>J1402 8.6</t>
  </si>
  <si>
    <t>J1402 8.7</t>
  </si>
  <si>
    <t>J1402 8.8</t>
  </si>
  <si>
    <t>J1402 9</t>
  </si>
  <si>
    <t>J1402 9.1</t>
  </si>
  <si>
    <t>J1402 9.2</t>
  </si>
  <si>
    <t>J1402 9.4</t>
  </si>
  <si>
    <t>J1713 5.45</t>
  </si>
  <si>
    <t>J1713 6.4</t>
  </si>
  <si>
    <t>J1713 6.7</t>
  </si>
  <si>
    <t>J1713 7.2</t>
  </si>
  <si>
    <t>J1713 8</t>
  </si>
  <si>
    <t>J1713 9.5</t>
  </si>
  <si>
    <t>J1713 10.3</t>
  </si>
  <si>
    <t>J1713 10.8</t>
  </si>
  <si>
    <t>J1713 11.2</t>
  </si>
  <si>
    <t>J1713 11.5</t>
  </si>
  <si>
    <t>J1713 12.1</t>
  </si>
  <si>
    <t>J1713 12.4</t>
  </si>
  <si>
    <t>J1713 12.7</t>
  </si>
  <si>
    <t>J1713 13.2</t>
  </si>
  <si>
    <t>J1713 13.6</t>
  </si>
  <si>
    <t>J1713 14.6</t>
  </si>
  <si>
    <t>J1713 15.5</t>
  </si>
  <si>
    <t>J1713 15.9</t>
  </si>
  <si>
    <t>J1713 16.3</t>
  </si>
  <si>
    <t>J1713 16.7</t>
  </si>
  <si>
    <t>Namibia</t>
  </si>
  <si>
    <t>Congo Craton</t>
  </si>
  <si>
    <t>Kalahari Craton</t>
  </si>
  <si>
    <t>Mongolia</t>
  </si>
  <si>
    <t>Ol Fm.</t>
  </si>
  <si>
    <t>South Australia</t>
  </si>
  <si>
    <t>Nuccaleena Cap Dolostone</t>
  </si>
  <si>
    <t>Death Valley, California</t>
  </si>
  <si>
    <t>Noonday Cap Carbonate</t>
  </si>
  <si>
    <t>Nuccaleena Cap Carbonate</t>
  </si>
  <si>
    <t>Stratigraphic Unit</t>
  </si>
  <si>
    <t>Alaska</t>
  </si>
  <si>
    <t>Ravensthroat Cap Carbonates</t>
  </si>
  <si>
    <t>P7D -0.5</t>
  </si>
  <si>
    <t>P7D 0</t>
  </si>
  <si>
    <t>P7D 0.1</t>
  </si>
  <si>
    <t>P7D 0.3</t>
  </si>
  <si>
    <t>P7D 0.5</t>
  </si>
  <si>
    <t>P7D 0.8</t>
  </si>
  <si>
    <t>P7D 1.1</t>
  </si>
  <si>
    <t>P7D 3.3</t>
  </si>
  <si>
    <t>P7D 4.4</t>
  </si>
  <si>
    <t>P7D 5.8</t>
  </si>
  <si>
    <t>P7D 6.7</t>
  </si>
  <si>
    <t>P7D 7.5</t>
  </si>
  <si>
    <t>P7D 8</t>
  </si>
  <si>
    <t>Aragonite Fan</t>
  </si>
  <si>
    <t>Aragonite</t>
  </si>
  <si>
    <t>Dolomitized Limestone</t>
  </si>
  <si>
    <t>Limestone and Dolostone</t>
  </si>
  <si>
    <t>Busch et al., 2022</t>
  </si>
  <si>
    <t>J162 44.4</t>
  </si>
  <si>
    <t>J162 59.1</t>
  </si>
  <si>
    <t>J162 64.1</t>
  </si>
  <si>
    <t>J162 76</t>
  </si>
  <si>
    <t>J162 87.3</t>
  </si>
  <si>
    <t>J162 99.9</t>
  </si>
  <si>
    <t>J162 109.5</t>
  </si>
  <si>
    <t>J162 119.4</t>
  </si>
  <si>
    <t>J162 129.3</t>
  </si>
  <si>
    <t>J162 139.6</t>
  </si>
  <si>
    <t>J162 149.1</t>
  </si>
  <si>
    <t>J162 160.4</t>
  </si>
  <si>
    <t>J162 173.7</t>
  </si>
  <si>
    <t>J162 183.5</t>
  </si>
  <si>
    <t>J162 194.4</t>
  </si>
  <si>
    <t>J162 204.6</t>
  </si>
  <si>
    <t>J162 226.3</t>
  </si>
  <si>
    <t>J162 236.3</t>
  </si>
  <si>
    <t>J162 246.2</t>
  </si>
  <si>
    <t>J162 256.1</t>
  </si>
  <si>
    <t>J162 269</t>
  </si>
  <si>
    <t>J162 279.4</t>
  </si>
  <si>
    <t>J162 288.6</t>
  </si>
  <si>
    <t>J162 298.7</t>
  </si>
  <si>
    <t>J162 304.7</t>
  </si>
  <si>
    <t>J162 336.2</t>
  </si>
  <si>
    <t>J162 345.6</t>
  </si>
  <si>
    <t>J162 355.6</t>
  </si>
  <si>
    <t>J162 365.8</t>
  </si>
  <si>
    <t>J162 379.3</t>
  </si>
  <si>
    <t>J162 394.4</t>
  </si>
  <si>
    <t>J162 406.2</t>
  </si>
  <si>
    <t>J162 415</t>
  </si>
  <si>
    <t>J162 425</t>
  </si>
  <si>
    <t>J162 435.3</t>
  </si>
  <si>
    <t>J162 459.5</t>
  </si>
  <si>
    <t>J162 471.4</t>
  </si>
  <si>
    <t>J162 482.3</t>
  </si>
  <si>
    <t>J162 493.6</t>
  </si>
  <si>
    <t>J162 502.9</t>
  </si>
  <si>
    <t>J162 514.7</t>
  </si>
  <si>
    <t>J162 525.1</t>
  </si>
  <si>
    <t>J162 540.9</t>
  </si>
  <si>
    <t>J162 553.2</t>
  </si>
  <si>
    <t>J162 565.1</t>
  </si>
  <si>
    <t>J162 574.3</t>
  </si>
  <si>
    <t>J162 589.2</t>
  </si>
  <si>
    <t>J162 599.7</t>
  </si>
  <si>
    <t>J162 612.7</t>
  </si>
  <si>
    <t>J162 622.8</t>
  </si>
  <si>
    <t>J162 632</t>
  </si>
  <si>
    <t>J162 642.4</t>
  </si>
  <si>
    <t>J162 651.9</t>
  </si>
  <si>
    <t>J162 663.4</t>
  </si>
  <si>
    <t>J162 671.5</t>
  </si>
  <si>
    <t>J162 712.8</t>
  </si>
  <si>
    <t>J162 719.7</t>
  </si>
  <si>
    <t>J162 775.4</t>
  </si>
  <si>
    <t>J162 786.1</t>
  </si>
  <si>
    <t>J162 796.2</t>
  </si>
  <si>
    <t>J162 806.9</t>
  </si>
  <si>
    <t>J162 818.5</t>
  </si>
  <si>
    <t>J162 828.6</t>
  </si>
  <si>
    <t>J162 835.7</t>
  </si>
  <si>
    <t>J162 859.5</t>
  </si>
  <si>
    <t>J19 0.2</t>
  </si>
  <si>
    <t>J19 53.6</t>
  </si>
  <si>
    <t>J19 68.6</t>
  </si>
  <si>
    <t>J19 73.9</t>
  </si>
  <si>
    <t>J19 87</t>
  </si>
  <si>
    <t>J19 95.6</t>
  </si>
  <si>
    <t>J19 108.3</t>
  </si>
  <si>
    <t>J19 112.3</t>
  </si>
  <si>
    <t>J19 124.1</t>
  </si>
  <si>
    <t>J19 134.7</t>
  </si>
  <si>
    <t>J19 140.8</t>
  </si>
  <si>
    <t>J19 157</t>
  </si>
  <si>
    <t>J19 168.9</t>
  </si>
  <si>
    <t>J19 177.8</t>
  </si>
  <si>
    <t>J19 206.4</t>
  </si>
  <si>
    <t>J19 219.3</t>
  </si>
  <si>
    <t>J19 234.8</t>
  </si>
  <si>
    <t>J19 257.7</t>
  </si>
  <si>
    <t>J19 265</t>
  </si>
  <si>
    <t>J19 275.5</t>
  </si>
  <si>
    <t>J19 287.3</t>
  </si>
  <si>
    <t>J19 295.1</t>
  </si>
  <si>
    <t>J19 306.8</t>
  </si>
  <si>
    <t>J19 315</t>
  </si>
  <si>
    <t>J19 324.7</t>
  </si>
  <si>
    <t>J19 333.9</t>
  </si>
  <si>
    <t>J19 344</t>
  </si>
  <si>
    <t>J19 352</t>
  </si>
  <si>
    <t>J19 367.4</t>
  </si>
  <si>
    <t>J19 373.3</t>
  </si>
  <si>
    <t>J19 410.9</t>
  </si>
  <si>
    <t>J19 423.2</t>
  </si>
  <si>
    <t>J19 445.3</t>
  </si>
  <si>
    <t>J19 456.9</t>
  </si>
  <si>
    <t>J19 467</t>
  </si>
  <si>
    <t>J19 479.3</t>
  </si>
  <si>
    <t>J19 489.4</t>
  </si>
  <si>
    <t>J19 498.8</t>
  </si>
  <si>
    <t>J19 513</t>
  </si>
  <si>
    <t>J19 522.8</t>
  </si>
  <si>
    <t>J19 531.6</t>
  </si>
  <si>
    <t>J19 558.4</t>
  </si>
  <si>
    <t>J19 568.7</t>
  </si>
  <si>
    <t>J19 582</t>
  </si>
  <si>
    <t>J19 590.5</t>
  </si>
  <si>
    <t>J19 599</t>
  </si>
  <si>
    <t>J19 619.8</t>
  </si>
  <si>
    <t>J19 629.3</t>
  </si>
  <si>
    <t>J19 667.9</t>
  </si>
  <si>
    <t>J200 0</t>
  </si>
  <si>
    <t>J200 9.7</t>
  </si>
  <si>
    <t>J200 21.5</t>
  </si>
  <si>
    <t>J200 31.5</t>
  </si>
  <si>
    <t>J200 45.4</t>
  </si>
  <si>
    <t>J200 55.2</t>
  </si>
  <si>
    <t>J200 65.5</t>
  </si>
  <si>
    <t>J200 75.4</t>
  </si>
  <si>
    <t>J200 90.1</t>
  </si>
  <si>
    <t>J200 102.3</t>
  </si>
  <si>
    <t>J200 111.1</t>
  </si>
  <si>
    <t>J200 136.1</t>
  </si>
  <si>
    <t>J200 156.3</t>
  </si>
  <si>
    <t>J200 166.8</t>
  </si>
  <si>
    <t>J200 178.3</t>
  </si>
  <si>
    <t>J200 191.6</t>
  </si>
  <si>
    <t>J200 209</t>
  </si>
  <si>
    <t>J200 229.9</t>
  </si>
  <si>
    <t>J200 240.4</t>
  </si>
  <si>
    <t>J200 252.8</t>
  </si>
  <si>
    <t>J200 264</t>
  </si>
  <si>
    <t>J200 278.1</t>
  </si>
  <si>
    <t>J200 284.3</t>
  </si>
  <si>
    <t>J200 297.8</t>
  </si>
  <si>
    <t>J200 313.3</t>
  </si>
  <si>
    <t>J200 328.5</t>
  </si>
  <si>
    <t>J200 339.6</t>
  </si>
  <si>
    <t>J200 353.1</t>
  </si>
  <si>
    <t>J200 371.9</t>
  </si>
  <si>
    <t>J200 387.1</t>
  </si>
  <si>
    <t>J200 399</t>
  </si>
  <si>
    <t>J200 410.8</t>
  </si>
  <si>
    <t>J200 419.5</t>
  </si>
  <si>
    <t>J200 430.1</t>
  </si>
  <si>
    <t>J200 440.6</t>
  </si>
  <si>
    <t>J200 451.3</t>
  </si>
  <si>
    <t>J200 461.4</t>
  </si>
  <si>
    <t>J200 471.8</t>
  </si>
  <si>
    <t>J200 488.7</t>
  </si>
  <si>
    <t>J200 499.8</t>
  </si>
  <si>
    <t>J200 509.4</t>
  </si>
  <si>
    <t>J200 519.1</t>
  </si>
  <si>
    <t>J200 529.5</t>
  </si>
  <si>
    <t>J200 539.9</t>
  </si>
  <si>
    <t>J200 549.8</t>
  </si>
  <si>
    <t>J200 553.4</t>
  </si>
  <si>
    <t>J200 613.6</t>
  </si>
  <si>
    <t>J200 618.8</t>
  </si>
  <si>
    <t>J73 7.5</t>
  </si>
  <si>
    <t>J73 23</t>
  </si>
  <si>
    <t>J73 51.8</t>
  </si>
  <si>
    <t>J73 70.1</t>
  </si>
  <si>
    <t>J73 90.8</t>
  </si>
  <si>
    <t>J73 101.6</t>
  </si>
  <si>
    <t>J73 117.9</t>
  </si>
  <si>
    <t>J73 123.5</t>
  </si>
  <si>
    <t>J73 136.2</t>
  </si>
  <si>
    <t>J73 149.5</t>
  </si>
  <si>
    <t>J73 168.4</t>
  </si>
  <si>
    <t>J73 178.7</t>
  </si>
  <si>
    <t>J73 193.6</t>
  </si>
  <si>
    <t>J73 206.5</t>
  </si>
  <si>
    <t>J73 220.9</t>
  </si>
  <si>
    <t>J73 238.4</t>
  </si>
  <si>
    <t>J73 255.1</t>
  </si>
  <si>
    <t>J73 277.8</t>
  </si>
  <si>
    <t>J73 306.6</t>
  </si>
  <si>
    <t>J73 316.6</t>
  </si>
  <si>
    <t>J73 326.1</t>
  </si>
  <si>
    <t>J73 336.2</t>
  </si>
  <si>
    <t>J73 349</t>
  </si>
  <si>
    <t>J73 355.5</t>
  </si>
  <si>
    <t>J73 365.4</t>
  </si>
  <si>
    <t>J73 377.5</t>
  </si>
  <si>
    <t>J73 382.1</t>
  </si>
  <si>
    <t>J73 392.4</t>
  </si>
  <si>
    <t>J73 402.2</t>
  </si>
  <si>
    <t>J73 411.3</t>
  </si>
  <si>
    <t>J73 422.6</t>
  </si>
  <si>
    <t>J73 432.3</t>
  </si>
  <si>
    <t>J73 441.7</t>
  </si>
  <si>
    <t>J73 448.9</t>
  </si>
  <si>
    <t>J73 457.9</t>
  </si>
  <si>
    <t>J73 467.9</t>
  </si>
  <si>
    <t>J73 484.1</t>
  </si>
  <si>
    <t>J73 496.8</t>
  </si>
  <si>
    <t>J73 505.2</t>
  </si>
  <si>
    <t>J73 518.4</t>
  </si>
  <si>
    <t>C13 0.2</t>
  </si>
  <si>
    <t>C13 0.4</t>
  </si>
  <si>
    <t>C13 1</t>
  </si>
  <si>
    <t>C13 1.2</t>
  </si>
  <si>
    <t>C13 1.4</t>
  </si>
  <si>
    <t>C13 1.6</t>
  </si>
  <si>
    <t>C13 1.8</t>
  </si>
  <si>
    <t>C13 2</t>
  </si>
  <si>
    <t>C13 21.2</t>
  </si>
  <si>
    <t>C13 28.8</t>
  </si>
  <si>
    <t>C13 35</t>
  </si>
  <si>
    <t>C13 40</t>
  </si>
  <si>
    <t>C13 41.6</t>
  </si>
  <si>
    <t>C13 45</t>
  </si>
  <si>
    <t>C13 46</t>
  </si>
  <si>
    <t>C13 46.7</t>
  </si>
  <si>
    <t>C13 49</t>
  </si>
  <si>
    <t>C13 49.8</t>
  </si>
  <si>
    <t>C13 52</t>
  </si>
  <si>
    <t>C13 53</t>
  </si>
  <si>
    <t>C13 66</t>
  </si>
  <si>
    <t>J1304 0.1</t>
  </si>
  <si>
    <t>J1304 3.6</t>
  </si>
  <si>
    <t>J1304 5.4</t>
  </si>
  <si>
    <t>J1304 8.6</t>
  </si>
  <si>
    <t>J1304 11.3</t>
  </si>
  <si>
    <t>J1304 15.4</t>
  </si>
  <si>
    <t>J1304 18.9</t>
  </si>
  <si>
    <t>J1304 23.1</t>
  </si>
  <si>
    <t>J1304 39.1</t>
  </si>
  <si>
    <t>J1304 41.7</t>
  </si>
  <si>
    <t>J1304 64.1</t>
  </si>
  <si>
    <t>J1304 66.9</t>
  </si>
  <si>
    <t>J1304 68.8</t>
  </si>
  <si>
    <t>J1304 105.9</t>
  </si>
  <si>
    <t>J1304 109.1</t>
  </si>
  <si>
    <t>J1304 112.2</t>
  </si>
  <si>
    <t>J1304 117.2</t>
  </si>
  <si>
    <t>J1304 120.2</t>
  </si>
  <si>
    <t>J1304 123.3</t>
  </si>
  <si>
    <t>J1304 127.5</t>
  </si>
  <si>
    <t>J1304 132.5</t>
  </si>
  <si>
    <t>J1304 135.2</t>
  </si>
  <si>
    <t>J1304 137.2</t>
  </si>
  <si>
    <t>J1304 139.2</t>
  </si>
  <si>
    <t>J1304 146.5</t>
  </si>
  <si>
    <t>J1304 154.8</t>
  </si>
  <si>
    <t>J1304 160.4</t>
  </si>
  <si>
    <t>J1304 161.6</t>
  </si>
  <si>
    <t>J1304 163.4</t>
  </si>
  <si>
    <t>J1304 170.1</t>
  </si>
  <si>
    <t>J1304 181.9</t>
  </si>
  <si>
    <t>J1304 189.5</t>
  </si>
  <si>
    <t>J1304 192.3</t>
  </si>
  <si>
    <t>J1304 197.2</t>
  </si>
  <si>
    <t>J1304 203.7</t>
  </si>
  <si>
    <t>JB1704/J1711 1</t>
  </si>
  <si>
    <t>JB1704/J1711 2.3</t>
  </si>
  <si>
    <t>JB1704/J1711 3</t>
  </si>
  <si>
    <t>JB1704/J1711 4</t>
  </si>
  <si>
    <t>JB1704/J1711 4.4</t>
  </si>
  <si>
    <t>JB1704/J1711 5.3</t>
  </si>
  <si>
    <t>JB1704/J1711 6</t>
  </si>
  <si>
    <t>JB1704/J1711 7</t>
  </si>
  <si>
    <t>JB1704/J1711 8</t>
  </si>
  <si>
    <t>JB1704/J1711 9.1</t>
  </si>
  <si>
    <t>JB1704/J1711 10</t>
  </si>
  <si>
    <t>JB1704/J1711 11.4</t>
  </si>
  <si>
    <t>JB1704/J1711 12.8</t>
  </si>
  <si>
    <t>JB1704/J1711 14.1</t>
  </si>
  <si>
    <t>JB1704/J1711 16</t>
  </si>
  <si>
    <t>JB1704/J1711 17</t>
  </si>
  <si>
    <t>JB1704/J1711 18</t>
  </si>
  <si>
    <t>JB1704/J1711 19</t>
  </si>
  <si>
    <t>JB1704/J1711 20.2</t>
  </si>
  <si>
    <t>JB1704/J1711 21.6</t>
  </si>
  <si>
    <t>JB1704/J1711 22.5</t>
  </si>
  <si>
    <t>JB1704/J1711 23.6</t>
  </si>
  <si>
    <t>JB1704/J1711 24.7</t>
  </si>
  <si>
    <t>JB1704/J1711 25.8</t>
  </si>
  <si>
    <t>JB1704/J1711 27.9</t>
  </si>
  <si>
    <t>JB1704/J1711 29</t>
  </si>
  <si>
    <t>JB1704/J1711 30.2</t>
  </si>
  <si>
    <t>JB1704/J1711 31.6</t>
  </si>
  <si>
    <t>JB1704/J1711 33</t>
  </si>
  <si>
    <t>JB1704/J1711 34.4</t>
  </si>
  <si>
    <t>JB1704/J1711 35.9</t>
  </si>
  <si>
    <t>JB1704/J1711 36.9</t>
  </si>
  <si>
    <t>JB1704/J1711 38.3</t>
  </si>
  <si>
    <t>JB1704/J1711 39.4</t>
  </si>
  <si>
    <t>JB1704/J1711 40.6</t>
  </si>
  <si>
    <t>JB1704/J1711 41.6</t>
  </si>
  <si>
    <t>JB1704/J1711 43.6</t>
  </si>
  <si>
    <t>JB1704/J1711 45.6</t>
  </si>
  <si>
    <t>JB1704/J1711 46.8</t>
  </si>
  <si>
    <t>JB1704/J1711 48.2</t>
  </si>
  <si>
    <t>JB1704/J1711 49.2</t>
  </si>
  <si>
    <t>JB1704/J1711 50.2</t>
  </si>
  <si>
    <t>JB1704/J1711 51.3</t>
  </si>
  <si>
    <t>JB1704/J1711 52.8</t>
  </si>
  <si>
    <t>JB1704/J1711 53.8</t>
  </si>
  <si>
    <t>JB1704/J1711 55</t>
  </si>
  <si>
    <t>JB1704/J1711 55.8</t>
  </si>
  <si>
    <t>JB1704/J1711 56.8</t>
  </si>
  <si>
    <t>JB1704/J1711 58.6</t>
  </si>
  <si>
    <t>JB1704/J1711 61.4</t>
  </si>
  <si>
    <t>JB1704/J1711 62.2</t>
  </si>
  <si>
    <t>JB1704/J1711 63.2</t>
  </si>
  <si>
    <t>JB1704/J1711 64.2</t>
  </si>
  <si>
    <t>JB1704/J1711 65.6</t>
  </si>
  <si>
    <t>JB1704/J1711 67.3</t>
  </si>
  <si>
    <t>JB1704/J1711 68.3</t>
  </si>
  <si>
    <t>JB1704/J1711 69.7</t>
  </si>
  <si>
    <t>JB1704/J1711 72.2</t>
  </si>
  <si>
    <t>JB1704/J1711 74.4</t>
  </si>
  <si>
    <t>JB1704/J1711 90.5</t>
  </si>
  <si>
    <t>JB1704/J1711 90.8</t>
  </si>
  <si>
    <t>JB1704/J1711 91.2</t>
  </si>
  <si>
    <t>JB1704/J1711 94.7</t>
  </si>
  <si>
    <t>JB1704/J1711 94.9</t>
  </si>
  <si>
    <t>JB1704/J1711 98.6</t>
  </si>
  <si>
    <t>JB1704/J1711 98.8</t>
  </si>
  <si>
    <t>JB1704/J1711 100.5</t>
  </si>
  <si>
    <t>JB1704/J1711 101.3</t>
  </si>
  <si>
    <t>JB1704/J1711 101.8</t>
  </si>
  <si>
    <t>JB1704/J1711 102.3</t>
  </si>
  <si>
    <t>JB1704/J1711 102.9</t>
  </si>
  <si>
    <t>JB1704/J1711 103.5</t>
  </si>
  <si>
    <t>JB1704/J1711 104.5</t>
  </si>
  <si>
    <t>JB1704/J1711 104.6</t>
  </si>
  <si>
    <t>JB1704/J1711 104.9</t>
  </si>
  <si>
    <t>JB1704/J1711 106.5</t>
  </si>
  <si>
    <t>JB1704/J1711 107.6</t>
  </si>
  <si>
    <t>JB1704/J1711 108.3</t>
  </si>
  <si>
    <t>JB1704/J1711 109.5</t>
  </si>
  <si>
    <t>JB1704/J1711 110</t>
  </si>
  <si>
    <t>JB1704/J1711 110.8</t>
  </si>
  <si>
    <t>JB1704/J1711 111.5</t>
  </si>
  <si>
    <t>JB1704/J1711 112.6</t>
  </si>
  <si>
    <t>JB1704/J1711 113.3</t>
  </si>
  <si>
    <t>JB1704/J1711 114.5</t>
  </si>
  <si>
    <t>JB1704/J1711 116.5</t>
  </si>
  <si>
    <t>JB1704/J1711 121.6</t>
  </si>
  <si>
    <t>JB1705 0.6</t>
  </si>
  <si>
    <t>JB1705 1.5</t>
  </si>
  <si>
    <t>JB1705 2.6</t>
  </si>
  <si>
    <t>JB1705 3.8</t>
  </si>
  <si>
    <t>JB1705 4.3</t>
  </si>
  <si>
    <t>JB1705 5.3</t>
  </si>
  <si>
    <t>JB1705 6.1</t>
  </si>
  <si>
    <t>JB1705 7.3</t>
  </si>
  <si>
    <t>JB1705 11</t>
  </si>
  <si>
    <t>JB1705 16.1</t>
  </si>
  <si>
    <t>JB1705 19.7</t>
  </si>
  <si>
    <t>JB1705 21.6</t>
  </si>
  <si>
    <t>JB1705 22.6</t>
  </si>
  <si>
    <t>JB1705 23</t>
  </si>
  <si>
    <t>JB1705 23.8</t>
  </si>
  <si>
    <t>JB1705 26.3</t>
  </si>
  <si>
    <t>JB1705 27.7</t>
  </si>
  <si>
    <t>JB1705 28.7</t>
  </si>
  <si>
    <t>JB1705 29.5</t>
  </si>
  <si>
    <t>JB1705 31.2</t>
  </si>
  <si>
    <t>JB1705 32.1</t>
  </si>
  <si>
    <t>JB1705 33.1</t>
  </si>
  <si>
    <t>JB1705 34.8</t>
  </si>
  <si>
    <t>JB1705 35.5</t>
  </si>
  <si>
    <t>JB1705 36.7</t>
  </si>
  <si>
    <t>JB1705 37.8</t>
  </si>
  <si>
    <t>JB1705 39.1</t>
  </si>
  <si>
    <t>JB1705 40.7</t>
  </si>
  <si>
    <t>JB1705 41.5</t>
  </si>
  <si>
    <t>JB1705 44.1</t>
  </si>
  <si>
    <t>JB1705 45.3</t>
  </si>
  <si>
    <t>JB1705 46.2</t>
  </si>
  <si>
    <t>JB1705 47.2</t>
  </si>
  <si>
    <t>JB1705 48.9</t>
  </si>
  <si>
    <t>JB1705 53.4</t>
  </si>
  <si>
    <t>JB1705 55.1</t>
  </si>
  <si>
    <t>JB1705 56.7</t>
  </si>
  <si>
    <t>JB1705 57.6</t>
  </si>
  <si>
    <t>JB1705 60</t>
  </si>
  <si>
    <t>JB1705 60.9</t>
  </si>
  <si>
    <t>JB1705 62.1</t>
  </si>
  <si>
    <t>JB1705 63.4</t>
  </si>
  <si>
    <t>JB1705 65.1</t>
  </si>
  <si>
    <t>JB1705 66</t>
  </si>
  <si>
    <t>JB1705 67.2</t>
  </si>
  <si>
    <t>JB1705 69.2</t>
  </si>
  <si>
    <t>JB1705 70.4</t>
  </si>
  <si>
    <t>JB1705 71.7</t>
  </si>
  <si>
    <t>JB1705 72.8</t>
  </si>
  <si>
    <t>JB1705 73.8</t>
  </si>
  <si>
    <t>JB1705 75</t>
  </si>
  <si>
    <t>JB1705 76.3</t>
  </si>
  <si>
    <t>JB1705 77.4</t>
  </si>
  <si>
    <t>JB1705 78.9</t>
  </si>
  <si>
    <t>JB1705 80.1</t>
  </si>
  <si>
    <t>JB1705 81.2</t>
  </si>
  <si>
    <t>JB1705 82.1</t>
  </si>
  <si>
    <t>JB1705 83.5</t>
  </si>
  <si>
    <t>JB1705 84.9</t>
  </si>
  <si>
    <t>JB1705 85.8</t>
  </si>
  <si>
    <t>JB1705 87</t>
  </si>
  <si>
    <t>JB1705 88.3</t>
  </si>
  <si>
    <t>JB1705 90.7</t>
  </si>
  <si>
    <t>JB1705 91.5</t>
  </si>
  <si>
    <t>JB1705 93</t>
  </si>
  <si>
    <t>JB1705 94.2</t>
  </si>
  <si>
    <t>JB1705 95.3</t>
  </si>
  <si>
    <t>JB1705 96.9</t>
  </si>
  <si>
    <t>JB1707 9.6</t>
  </si>
  <si>
    <t>JB1707 10.5</t>
  </si>
  <si>
    <t>JB1707 11.6</t>
  </si>
  <si>
    <t>JB1707 12.6</t>
  </si>
  <si>
    <t>JB1707 13.5</t>
  </si>
  <si>
    <t>JB1707 14.5</t>
  </si>
  <si>
    <t>JB1707 15.4</t>
  </si>
  <si>
    <t>JB1707 16.6</t>
  </si>
  <si>
    <t>JB1707 17.4</t>
  </si>
  <si>
    <t>JB1707 18.3</t>
  </si>
  <si>
    <t>JB1707 19.2</t>
  </si>
  <si>
    <t>JB1707 20.1</t>
  </si>
  <si>
    <t>JB1707 21</t>
  </si>
  <si>
    <t>JB1707 23.3</t>
  </si>
  <si>
    <t>JB1707 23.9</t>
  </si>
  <si>
    <t>JB1707 25</t>
  </si>
  <si>
    <t>JB1707 25.3</t>
  </si>
  <si>
    <t>JB1707 26</t>
  </si>
  <si>
    <t>JB1707 26.8</t>
  </si>
  <si>
    <t>JB1707 28.3</t>
  </si>
  <si>
    <t>JB1707 29.7</t>
  </si>
  <si>
    <t>JB1707 30.9</t>
  </si>
  <si>
    <t>JB1707 31.8</t>
  </si>
  <si>
    <t>JB1707 33.2</t>
  </si>
  <si>
    <t>JB1707 34.2</t>
  </si>
  <si>
    <t>JB1707 34.9</t>
  </si>
  <si>
    <t>JB1707 35.5</t>
  </si>
  <si>
    <t>JB1707 36.4</t>
  </si>
  <si>
    <t>JB1707 37.3</t>
  </si>
  <si>
    <t>JB1707 38.2</t>
  </si>
  <si>
    <t>JB1707 39</t>
  </si>
  <si>
    <t>JB1707 39.6</t>
  </si>
  <si>
    <t>JB1707 40.7</t>
  </si>
  <si>
    <t>JB1707 41.7</t>
  </si>
  <si>
    <t>JB1707 42.8</t>
  </si>
  <si>
    <t>JB1707 43.7</t>
  </si>
  <si>
    <t>JB1707 43.9</t>
  </si>
  <si>
    <t>JB1707 45.7</t>
  </si>
  <si>
    <t>JB1707 46.9</t>
  </si>
  <si>
    <t>JB1707 47.8</t>
  </si>
  <si>
    <t>JB1707 48.6</t>
  </si>
  <si>
    <t>JB1707 49.6</t>
  </si>
  <si>
    <t>JB1707 50.8</t>
  </si>
  <si>
    <t>JB1707 51.8</t>
  </si>
  <si>
    <t>JB1707 52.6</t>
  </si>
  <si>
    <t>JB1707 52.7</t>
  </si>
  <si>
    <t>JB1707 53.9</t>
  </si>
  <si>
    <t>JB1707 54.5</t>
  </si>
  <si>
    <t>JB1707 55.7</t>
  </si>
  <si>
    <t>JB1707 56.8</t>
  </si>
  <si>
    <t>JB1707 58.1</t>
  </si>
  <si>
    <t>JB1707 59.1</t>
  </si>
  <si>
    <t>JB1707 60.2</t>
  </si>
  <si>
    <t>JB1707 61.9</t>
  </si>
  <si>
    <t>JB1707 63.1</t>
  </si>
  <si>
    <t>JB1707 64</t>
  </si>
  <si>
    <t>JB1707 65.1</t>
  </si>
  <si>
    <t>JB1707 65.4</t>
  </si>
  <si>
    <t>JB1707 66.1</t>
  </si>
  <si>
    <t>JB1707 67.5</t>
  </si>
  <si>
    <t>JB1707 68.2</t>
  </si>
  <si>
    <t>JB1707 71.2</t>
  </si>
  <si>
    <t>JB1707 73.2</t>
  </si>
  <si>
    <t>JB1713 0</t>
  </si>
  <si>
    <t>JB1713 1</t>
  </si>
  <si>
    <t>JB1713 2</t>
  </si>
  <si>
    <t>JB1713 3</t>
  </si>
  <si>
    <t>JB1713 18.5</t>
  </si>
  <si>
    <t>JB1713 19.7</t>
  </si>
  <si>
    <t>JB1713 21</t>
  </si>
  <si>
    <t>JB1713 22</t>
  </si>
  <si>
    <t>JB1713 23</t>
  </si>
  <si>
    <t>JB1713 24</t>
  </si>
  <si>
    <t>JB1713 25</t>
  </si>
  <si>
    <t>JB1713 26</t>
  </si>
  <si>
    <t>JB1713 27</t>
  </si>
  <si>
    <t>JB1713 28</t>
  </si>
  <si>
    <t>JB1713 28.9</t>
  </si>
  <si>
    <t>JB1713 30</t>
  </si>
  <si>
    <t>JB1713 30.9</t>
  </si>
  <si>
    <t>JB1713 32</t>
  </si>
  <si>
    <t>JB1713 32.9</t>
  </si>
  <si>
    <t>JB1713 34.4</t>
  </si>
  <si>
    <t>JB1713 35.2</t>
  </si>
  <si>
    <t>JB1713 36</t>
  </si>
  <si>
    <t>JB1713 37</t>
  </si>
  <si>
    <t>JB1713 38</t>
  </si>
  <si>
    <t>JB1713 39.1</t>
  </si>
  <si>
    <t>JB1713 40</t>
  </si>
  <si>
    <t>JB1713 41</t>
  </si>
  <si>
    <t>JB1713 42.1</t>
  </si>
  <si>
    <t>JB1713 43</t>
  </si>
  <si>
    <t>JB1713 44.1</t>
  </si>
  <si>
    <t>JB1713 45</t>
  </si>
  <si>
    <t>JB1713 47</t>
  </si>
  <si>
    <t>JB1713 48</t>
  </si>
  <si>
    <t>JB1713 49.3</t>
  </si>
  <si>
    <t>JB1713 50.9</t>
  </si>
  <si>
    <t>JB1713 52</t>
  </si>
  <si>
    <t>JB1713 53</t>
  </si>
  <si>
    <t>JB1713 54</t>
  </si>
  <si>
    <t>JB1713 55</t>
  </si>
  <si>
    <t>JB1713 56</t>
  </si>
  <si>
    <t>JB1713 57</t>
  </si>
  <si>
    <t>JB1713 58</t>
  </si>
  <si>
    <t>JB1713 59</t>
  </si>
  <si>
    <t>JB1713 60</t>
  </si>
  <si>
    <t>JB1713 61</t>
  </si>
  <si>
    <t>JB1713 62</t>
  </si>
  <si>
    <t>JB1713 63</t>
  </si>
  <si>
    <t>JB1713 64</t>
  </si>
  <si>
    <t>JB1713 65</t>
  </si>
  <si>
    <t>JB1713 66</t>
  </si>
  <si>
    <t>JB1713 67</t>
  </si>
  <si>
    <t>JB1713 68.2</t>
  </si>
  <si>
    <t>JB1713 69</t>
  </si>
  <si>
    <t>JB1713 72</t>
  </si>
  <si>
    <t>JB1713 73</t>
  </si>
  <si>
    <t>JB1713 74</t>
  </si>
  <si>
    <t>JB1713 75</t>
  </si>
  <si>
    <t>JB1713 76</t>
  </si>
  <si>
    <t>JB1713 78</t>
  </si>
  <si>
    <t>JB1713 79</t>
  </si>
  <si>
    <t>JB1713 80</t>
  </si>
  <si>
    <t>JB1713 81.8</t>
  </si>
  <si>
    <t>JB1713 83</t>
  </si>
  <si>
    <t>JB1713 84</t>
  </si>
  <si>
    <t>JB1713 85</t>
  </si>
  <si>
    <t>JB1716 8</t>
  </si>
  <si>
    <t>JB1716 10.9</t>
  </si>
  <si>
    <t>JB1716 12.9</t>
  </si>
  <si>
    <t>JB1716 14.2</t>
  </si>
  <si>
    <t>JB1716 16.4</t>
  </si>
  <si>
    <t>JB1716 18.5</t>
  </si>
  <si>
    <t>JB1716 19.9</t>
  </si>
  <si>
    <t>JB1716 21.9</t>
  </si>
  <si>
    <t>JB1716 24</t>
  </si>
  <si>
    <t>JB1716 26</t>
  </si>
  <si>
    <t>JB1716 28.8</t>
  </si>
  <si>
    <t>JB1716 30</t>
  </si>
  <si>
    <t>JB1716 32</t>
  </si>
  <si>
    <t>JB1716 34.1</t>
  </si>
  <si>
    <t>JB1716 35.9</t>
  </si>
  <si>
    <t>JB1716 38</t>
  </si>
  <si>
    <t>JB1716 40</t>
  </si>
  <si>
    <t>JB1716 42</t>
  </si>
  <si>
    <t>JB1716 44</t>
  </si>
  <si>
    <t>JB1716 46</t>
  </si>
  <si>
    <t>JB1716 48</t>
  </si>
  <si>
    <t>JB1716 50</t>
  </si>
  <si>
    <t>JB1716 52</t>
  </si>
  <si>
    <t>JB1716 54</t>
  </si>
  <si>
    <t>JB1716 56</t>
  </si>
  <si>
    <t>JB1716 58</t>
  </si>
  <si>
    <t>JB1716 60</t>
  </si>
  <si>
    <t>JB1716 62</t>
  </si>
  <si>
    <t>JB1716 64</t>
  </si>
  <si>
    <t>JB1716 66.2</t>
  </si>
  <si>
    <t>JB1716 68.1</t>
  </si>
  <si>
    <t>JB1716 69.9</t>
  </si>
  <si>
    <t>JB1716 72</t>
  </si>
  <si>
    <t>JB1716 74</t>
  </si>
  <si>
    <t>JB1716 76</t>
  </si>
  <si>
    <t>JB1716 78</t>
  </si>
  <si>
    <t>JB1716 80</t>
  </si>
  <si>
    <t>JB1716 82.1</t>
  </si>
  <si>
    <t>JB1716 84.2</t>
  </si>
  <si>
    <t>JB1716 90.1</t>
  </si>
  <si>
    <t>JB1716 92.3</t>
  </si>
  <si>
    <t>JB1716 94.2</t>
  </si>
  <si>
    <t>JB1716 96.1</t>
  </si>
  <si>
    <t>JB1716 98</t>
  </si>
  <si>
    <t>JB1716 99.9</t>
  </si>
  <si>
    <t>JB1716 102.2</t>
  </si>
  <si>
    <t>JB1716 104.2</t>
  </si>
  <si>
    <t>JB1716 106</t>
  </si>
  <si>
    <t>JB1716 108</t>
  </si>
  <si>
    <t>JB1716 110</t>
  </si>
  <si>
    <t>JB1716 112</t>
  </si>
  <si>
    <t>JB1716 114.3</t>
  </si>
  <si>
    <t>JB1716 117.5</t>
  </si>
  <si>
    <t>JB1716 121.4</t>
  </si>
  <si>
    <t>JB1716 123.3</t>
  </si>
  <si>
    <t>JB1716 125.1</t>
  </si>
  <si>
    <t>JB1716 127</t>
  </si>
  <si>
    <t>JB1716 129</t>
  </si>
  <si>
    <t>JB1716 131</t>
  </si>
  <si>
    <t>JB1716 131.1</t>
  </si>
  <si>
    <t>JB1716 133</t>
  </si>
  <si>
    <t>JB1716 135</t>
  </si>
  <si>
    <t>JB1716 137</t>
  </si>
  <si>
    <t>JB1716 138.8</t>
  </si>
  <si>
    <t>JB1716 141</t>
  </si>
  <si>
    <t>JB1716 142.9</t>
  </si>
  <si>
    <t>JB1716 145</t>
  </si>
  <si>
    <t>JB1716 147.1</t>
  </si>
  <si>
    <t>JB1716 149</t>
  </si>
  <si>
    <t>JB1716 151</t>
  </si>
  <si>
    <t>JB1716 153</t>
  </si>
  <si>
    <t>JB1716 155</t>
  </si>
  <si>
    <t>JB1716 157</t>
  </si>
  <si>
    <t>JB1716 159</t>
  </si>
  <si>
    <t>JB1716 163</t>
  </si>
  <si>
    <t>JB1716 165</t>
  </si>
  <si>
    <t>JB1716 167.2</t>
  </si>
  <si>
    <t>JB1716 169.3</t>
  </si>
  <si>
    <t>JB1716 172</t>
  </si>
  <si>
    <t>JB1716 174.1</t>
  </si>
  <si>
    <t>JB1716 176.1</t>
  </si>
  <si>
    <t>JB1716 178.2</t>
  </si>
  <si>
    <t>JB1716 180</t>
  </si>
  <si>
    <t>JB1716 182.7</t>
  </si>
  <si>
    <t>JB1716 184.1</t>
  </si>
  <si>
    <t>JB1716 186</t>
  </si>
  <si>
    <t>JB1716 188</t>
  </si>
  <si>
    <t>JB1716 190</t>
  </si>
  <si>
    <t>JB1716 192.2</t>
  </si>
  <si>
    <t>JB1716 193.9</t>
  </si>
  <si>
    <t>JB1716 196.4</t>
  </si>
  <si>
    <t>JB1716 197.8</t>
  </si>
  <si>
    <t>JB1716 200.3</t>
  </si>
  <si>
    <t>JB1716 202.3</t>
  </si>
  <si>
    <t>JB1716 204</t>
  </si>
  <si>
    <t>JB1716 206</t>
  </si>
  <si>
    <t>JB1716 210</t>
  </si>
  <si>
    <t>JB1716 211.8</t>
  </si>
  <si>
    <t>JB1716 217</t>
  </si>
  <si>
    <t>JB1716 220.1</t>
  </si>
  <si>
    <t>JB1716 222</t>
  </si>
  <si>
    <t>JB1716 232.3</t>
  </si>
  <si>
    <t>JB1716 234.2</t>
  </si>
  <si>
    <t>JB1716 238.3</t>
  </si>
  <si>
    <t>JB1716 242</t>
  </si>
  <si>
    <t>JB1716 244.2</t>
  </si>
  <si>
    <t>JB1716 246.2</t>
  </si>
  <si>
    <t>JB1716 247.9</t>
  </si>
  <si>
    <t>JB1716 250</t>
  </si>
  <si>
    <t>JB1716 252</t>
  </si>
  <si>
    <t>JB1716 257</t>
  </si>
  <si>
    <t>JB1716 258</t>
  </si>
  <si>
    <t>JB1716 262</t>
  </si>
  <si>
    <t>JB1716 266</t>
  </si>
  <si>
    <t>JB1716 267</t>
  </si>
  <si>
    <t>JB1716 270</t>
  </si>
  <si>
    <t>JB1716 274</t>
  </si>
  <si>
    <t>JB1716 281.1</t>
  </si>
  <si>
    <t>JB1716 284.4</t>
  </si>
  <si>
    <t>JB1716 288.8</t>
  </si>
  <si>
    <t>JB1716 293.4</t>
  </si>
  <si>
    <t>JB1716 297.4</t>
  </si>
  <si>
    <t>JB1807 1</t>
  </si>
  <si>
    <t>JB1807 2</t>
  </si>
  <si>
    <t>JB1807 2.5</t>
  </si>
  <si>
    <t>JB1807 6.6</t>
  </si>
  <si>
    <t>JB1807 7.5</t>
  </si>
  <si>
    <t>JB1807 8.5</t>
  </si>
  <si>
    <t>JB1807 9.5</t>
  </si>
  <si>
    <t>JB1807 10.5</t>
  </si>
  <si>
    <t>JB1807 11.5</t>
  </si>
  <si>
    <t>JB1807 12.5</t>
  </si>
  <si>
    <t>JB1807 13.5</t>
  </si>
  <si>
    <t>JB1807 14.5</t>
  </si>
  <si>
    <t>JB1807 15.5</t>
  </si>
  <si>
    <t>JB1807 16.5</t>
  </si>
  <si>
    <t>JB1807 18.5</t>
  </si>
  <si>
    <t>JB1807 19.6</t>
  </si>
  <si>
    <t>JB1807 20.5</t>
  </si>
  <si>
    <t>JB1807 21.3</t>
  </si>
  <si>
    <t>JB1807 22.5</t>
  </si>
  <si>
    <t>JB1807 23.5</t>
  </si>
  <si>
    <t>JB1807 24.5</t>
  </si>
  <si>
    <t>JB1807 25.5</t>
  </si>
  <si>
    <t>JB1807 26.5</t>
  </si>
  <si>
    <t>JB1807 27.3</t>
  </si>
  <si>
    <t>JB1807 28.5</t>
  </si>
  <si>
    <t>JB1807 29.3</t>
  </si>
  <si>
    <t>JB1807 30.5</t>
  </si>
  <si>
    <t>JB1807 31.5</t>
  </si>
  <si>
    <t>JB1807 32.5</t>
  </si>
  <si>
    <t>JB1807 33.2</t>
  </si>
  <si>
    <t>JB1807 35.5</t>
  </si>
  <si>
    <t>JB1807 36.5</t>
  </si>
  <si>
    <t>JB1807 37.5</t>
  </si>
  <si>
    <t>JB1807 38.5</t>
  </si>
  <si>
    <t>JB1807 39.5</t>
  </si>
  <si>
    <t>JB1807 40.5</t>
  </si>
  <si>
    <t>JB1807 41.5</t>
  </si>
  <si>
    <t>JB1807 43.5</t>
  </si>
  <si>
    <t>JB1807 44.5</t>
  </si>
  <si>
    <t>JB1807 46.5</t>
  </si>
  <si>
    <t>JB1807 47.5</t>
  </si>
  <si>
    <t>JB1807 48.5</t>
  </si>
  <si>
    <t>JB1807 63</t>
  </si>
  <si>
    <t>JB1807 64</t>
  </si>
  <si>
    <t>JB1807 65</t>
  </si>
  <si>
    <t>JB1807 67</t>
  </si>
  <si>
    <t>JB1822 22.1</t>
  </si>
  <si>
    <t>JB1822 23.9</t>
  </si>
  <si>
    <t>JB1822 27</t>
  </si>
  <si>
    <t>JB1822 29.1</t>
  </si>
  <si>
    <t>JB1822 31.2</t>
  </si>
  <si>
    <t>JB1822 33</t>
  </si>
  <si>
    <t>JB1822 35</t>
  </si>
  <si>
    <t>JB1822 39</t>
  </si>
  <si>
    <t>JB1822 41</t>
  </si>
  <si>
    <t>JB1822 43</t>
  </si>
  <si>
    <t>JB1822 45</t>
  </si>
  <si>
    <t>JB1822 47</t>
  </si>
  <si>
    <t>JB1822 49</t>
  </si>
  <si>
    <t>JB1822 62</t>
  </si>
  <si>
    <t>JB1822 64</t>
  </si>
  <si>
    <t>JB1822 66</t>
  </si>
  <si>
    <t>JB1822 68.1</t>
  </si>
  <si>
    <t>JB1822 70.5</t>
  </si>
  <si>
    <t>JB1822 71.9</t>
  </si>
  <si>
    <t>JB1822 74.1</t>
  </si>
  <si>
    <t>JB1822 77</t>
  </si>
  <si>
    <t>JB1822 79</t>
  </si>
  <si>
    <t>JB1822 81</t>
  </si>
  <si>
    <t>JB1822 83</t>
  </si>
  <si>
    <t>JB1822 85</t>
  </si>
  <si>
    <t>JB1822 87.1</t>
  </si>
  <si>
    <t>JB1822 88.9</t>
  </si>
  <si>
    <t>JB1822 90</t>
  </si>
  <si>
    <t>JB1822 91</t>
  </si>
  <si>
    <t>JB1822 92.7</t>
  </si>
  <si>
    <t>JB1822 95.1</t>
  </si>
  <si>
    <t>JB1822 97</t>
  </si>
  <si>
    <t>JB1822 99</t>
  </si>
  <si>
    <t>JB1822 101.5</t>
  </si>
  <si>
    <t>JB1822 104.3</t>
  </si>
  <si>
    <t>JB1822 108.1</t>
  </si>
  <si>
    <t>JB1822 110</t>
  </si>
  <si>
    <t>JB1822 112</t>
  </si>
  <si>
    <t>JB1822 114.1</t>
  </si>
  <si>
    <t>JB1822 116</t>
  </si>
  <si>
    <t>JB1822 119</t>
  </si>
  <si>
    <t>JB1822 132.5</t>
  </si>
  <si>
    <t>JB1822 134</t>
  </si>
  <si>
    <t>JB1822 136</t>
  </si>
  <si>
    <t>JB1822 140</t>
  </si>
  <si>
    <t>JB1822 143</t>
  </si>
  <si>
    <t>JB1822 145</t>
  </si>
  <si>
    <t>JB1822 147</t>
  </si>
  <si>
    <t>JB1822 149</t>
  </si>
  <si>
    <t>JB1822 151.1</t>
  </si>
  <si>
    <t>JB1822 153</t>
  </si>
  <si>
    <t>JB1822 156</t>
  </si>
  <si>
    <t>JB1822 158</t>
  </si>
  <si>
    <t>JB1822 160</t>
  </si>
  <si>
    <t>JB1822 162</t>
  </si>
  <si>
    <t>JB1822 190.4</t>
  </si>
  <si>
    <t>JB1822 191.5</t>
  </si>
  <si>
    <t>JB1822 193</t>
  </si>
  <si>
    <t>JB1822 196</t>
  </si>
  <si>
    <t>JB1822 200.1</t>
  </si>
  <si>
    <t>JB1822 202</t>
  </si>
  <si>
    <t>KD 179.9</t>
  </si>
  <si>
    <t>KD 256.7</t>
  </si>
  <si>
    <t>KD 274</t>
  </si>
  <si>
    <t>KD 275.1</t>
  </si>
  <si>
    <t>KD 297.3</t>
  </si>
  <si>
    <t>KD 312.3</t>
  </si>
  <si>
    <t>KD 322.3</t>
  </si>
  <si>
    <t>KD 329.4</t>
  </si>
  <si>
    <t>KD 340.9</t>
  </si>
  <si>
    <t>KD 341.2</t>
  </si>
  <si>
    <t>KD 513</t>
  </si>
  <si>
    <t>KD 515.1</t>
  </si>
  <si>
    <t>KD 517.9</t>
  </si>
  <si>
    <t>KD 518.2</t>
  </si>
  <si>
    <t>KD 1105.4</t>
  </si>
  <si>
    <t>MD 10</t>
  </si>
  <si>
    <t>MD 10.2</t>
  </si>
  <si>
    <t>MD 90.6</t>
  </si>
  <si>
    <t>MD 105.7</t>
  </si>
  <si>
    <t>MD 126.6</t>
  </si>
  <si>
    <t>MD 168.2</t>
  </si>
  <si>
    <t>MD 205.9</t>
  </si>
  <si>
    <t>MD 224.8</t>
  </si>
  <si>
    <t>MD 231.7</t>
  </si>
  <si>
    <t>MD 239.6</t>
  </si>
  <si>
    <t>MD 253.5</t>
  </si>
  <si>
    <t>MD 264.4</t>
  </si>
  <si>
    <t>MD 273.4</t>
  </si>
  <si>
    <t>MD 296.1</t>
  </si>
  <si>
    <t>MD 315.8</t>
  </si>
  <si>
    <t>MD 327</t>
  </si>
  <si>
    <t>MD 327.6</t>
  </si>
  <si>
    <t>MD 330.3</t>
  </si>
  <si>
    <t>MD 333.8</t>
  </si>
  <si>
    <t>MD 336.3</t>
  </si>
  <si>
    <t>MD 336.9</t>
  </si>
  <si>
    <t>MD 337.1</t>
  </si>
  <si>
    <t>MD 337.6</t>
  </si>
  <si>
    <t>MD 342.1</t>
  </si>
  <si>
    <t>MD 343</t>
  </si>
  <si>
    <t>MD 430.6</t>
  </si>
  <si>
    <t>MD 435.3</t>
  </si>
  <si>
    <t>MD 442.3</t>
  </si>
  <si>
    <t>MD 490.7</t>
  </si>
  <si>
    <t>MD 502.2</t>
  </si>
  <si>
    <t>MD 508.1</t>
  </si>
  <si>
    <t>MD 509.6</t>
  </si>
  <si>
    <t>MD 512</t>
  </si>
  <si>
    <t>MD 516.6</t>
  </si>
  <si>
    <t>MD 578.3</t>
  </si>
  <si>
    <t>MD 584.3</t>
  </si>
  <si>
    <t>MD 602.5</t>
  </si>
  <si>
    <t>MD 614.3</t>
  </si>
  <si>
    <t>MD 631.8</t>
  </si>
  <si>
    <t>MD 687.9</t>
  </si>
  <si>
    <t>MD 758.8</t>
  </si>
  <si>
    <t>MD 778.3</t>
  </si>
  <si>
    <t>MD 791.3</t>
  </si>
  <si>
    <t>MD 798.8</t>
  </si>
  <si>
    <t>MD 800.8</t>
  </si>
  <si>
    <t>MD 810.5</t>
  </si>
  <si>
    <t>MD 826.1</t>
  </si>
  <si>
    <t>MD 845.5</t>
  </si>
  <si>
    <t>MD 920.4</t>
  </si>
  <si>
    <t>MD 980.4</t>
  </si>
  <si>
    <t>B1419 770.5</t>
  </si>
  <si>
    <t>B1419 773</t>
  </si>
  <si>
    <t>B1419 774</t>
  </si>
  <si>
    <t>B1419 775</t>
  </si>
  <si>
    <t>B1419 776</t>
  </si>
  <si>
    <t>B1419 780</t>
  </si>
  <si>
    <t>B1419 786.51</t>
  </si>
  <si>
    <t>B1419 789.5</t>
  </si>
  <si>
    <t>B1419 793.2</t>
  </si>
  <si>
    <t>B1419 797.8</t>
  </si>
  <si>
    <t>B1419 800</t>
  </si>
  <si>
    <t>B1419 803</t>
  </si>
  <si>
    <t>B1419 804</t>
  </si>
  <si>
    <t>B1419 806</t>
  </si>
  <si>
    <t>B1419 808.01</t>
  </si>
  <si>
    <t>B1419 809.2</t>
  </si>
  <si>
    <t>B1419 809.52</t>
  </si>
  <si>
    <t>B1419 810.8</t>
  </si>
  <si>
    <t>B1419 811</t>
  </si>
  <si>
    <t>B1419 811.5</t>
  </si>
  <si>
    <t>B1419 952.2</t>
  </si>
  <si>
    <t>B1419 952.61</t>
  </si>
  <si>
    <t>B1419 954.1</t>
  </si>
  <si>
    <t>B1419 955.5</t>
  </si>
  <si>
    <t>B1419 957.5</t>
  </si>
  <si>
    <t>B1419 959</t>
  </si>
  <si>
    <t>B1419 960</t>
  </si>
  <si>
    <t>B1419 961.6</t>
  </si>
  <si>
    <t>B1419 963</t>
  </si>
  <si>
    <t>B1419 964.8</t>
  </si>
  <si>
    <t>B1419 966.3</t>
  </si>
  <si>
    <t>B1419 967.5</t>
  </si>
  <si>
    <t>B1419 968.9</t>
  </si>
  <si>
    <t>B1419 970.4</t>
  </si>
  <si>
    <t>B1419 975</t>
  </si>
  <si>
    <t>B1419 977.2</t>
  </si>
  <si>
    <t>B1419 978.8</t>
  </si>
  <si>
    <t>B1419 980.6</t>
  </si>
  <si>
    <t>B1419 982.9</t>
  </si>
  <si>
    <t>B1419 986.2</t>
  </si>
  <si>
    <t>B1419 988.2</t>
  </si>
  <si>
    <t>B1419 989.4</t>
  </si>
  <si>
    <t>B1419 991.5</t>
  </si>
  <si>
    <t>B1419 992.5</t>
  </si>
  <si>
    <t>B1419 995.1</t>
  </si>
  <si>
    <t>B1419 997.52</t>
  </si>
  <si>
    <t>B1419 1000.7</t>
  </si>
  <si>
    <t>B1419 1002.32</t>
  </si>
  <si>
    <t>B1419 1004</t>
  </si>
  <si>
    <t>B1419 1008.21</t>
  </si>
  <si>
    <t>B1419 1010.5</t>
  </si>
  <si>
    <t>B1419 1013.5</t>
  </si>
  <si>
    <t>B1419 1017</t>
  </si>
  <si>
    <t>B1419 1021.5</t>
  </si>
  <si>
    <t>B1419 1023</t>
  </si>
  <si>
    <t>B1419 1027.3</t>
  </si>
  <si>
    <t>B1419 1029</t>
  </si>
  <si>
    <t>B1419 1032.5</t>
  </si>
  <si>
    <t>B1419 1035.51</t>
  </si>
  <si>
    <t>B1419 1037</t>
  </si>
  <si>
    <t>B1419 1038</t>
  </si>
  <si>
    <t>B1419 1041</t>
  </si>
  <si>
    <t>B1419 1044</t>
  </si>
  <si>
    <t>B1790/B1791 0.2</t>
  </si>
  <si>
    <t>B1790/B1791 2.1</t>
  </si>
  <si>
    <t>B1790/B1791 2.5</t>
  </si>
  <si>
    <t>B1790/B1791 3.1</t>
  </si>
  <si>
    <t>B1790/B1791 3.8</t>
  </si>
  <si>
    <t>B1790/B1791 4.2</t>
  </si>
  <si>
    <t>B1790/B1791 4.7</t>
  </si>
  <si>
    <t>B1790/B1791 5.8</t>
  </si>
  <si>
    <t>B1790/B1791 6.8</t>
  </si>
  <si>
    <t>B1790/B1791 7.1</t>
  </si>
  <si>
    <t>B1790/B1791 40.7</t>
  </si>
  <si>
    <t>B1790/B1791 49.1</t>
  </si>
  <si>
    <t>B1790/B1791 52</t>
  </si>
  <si>
    <t>B1790/B1791 56.3</t>
  </si>
  <si>
    <t>B1790/B1791 80.6</t>
  </si>
  <si>
    <t>B1790/B1791 81.5</t>
  </si>
  <si>
    <t>B1790/B1791 93.5</t>
  </si>
  <si>
    <t>B1790/B1791 106.5</t>
  </si>
  <si>
    <t>B1790/B1791 112.2</t>
  </si>
  <si>
    <t>B1790/B1791 116</t>
  </si>
  <si>
    <t>B1790/B1791 126.6</t>
  </si>
  <si>
    <t>B1790/B1791 129</t>
  </si>
  <si>
    <t>B1790/B1791 131</t>
  </si>
  <si>
    <t>B1790/B1791 141.3</t>
  </si>
  <si>
    <t>B1790/B1791 161.2</t>
  </si>
  <si>
    <t>B1790/B1791 163.6</t>
  </si>
  <si>
    <t>B1790/B1791 166</t>
  </si>
  <si>
    <t>B1790/B1791 167.9</t>
  </si>
  <si>
    <t>B1790/B1791 174.8</t>
  </si>
  <si>
    <t>B1790/B1791 179.5</t>
  </si>
  <si>
    <t>B1790/B1791 186.8</t>
  </si>
  <si>
    <t>B1790/B1791 189.3</t>
  </si>
  <si>
    <t>B1790/B1791 193.1</t>
  </si>
  <si>
    <t>B1790/B1791 197.5</t>
  </si>
  <si>
    <t>B1790/B1791 200</t>
  </si>
  <si>
    <t>B1790/B1791 208.5</t>
  </si>
  <si>
    <t>B1790/B1791 211</t>
  </si>
  <si>
    <t>B1790/B1791 212.9</t>
  </si>
  <si>
    <t>B1790/B1791 224</t>
  </si>
  <si>
    <t>B1790/B1791 229.2</t>
  </si>
  <si>
    <t>B1790/B1791 231</t>
  </si>
  <si>
    <t>B1790/B1791 235</t>
  </si>
  <si>
    <t>B1790/B1791 239.2</t>
  </si>
  <si>
    <t>B1790/B1791 245.5</t>
  </si>
  <si>
    <t>B1790/B1791 249</t>
  </si>
  <si>
    <t>B1790/B1791 252</t>
  </si>
  <si>
    <t>B1790/B1791 255</t>
  </si>
  <si>
    <t>B1790/B1791 256</t>
  </si>
  <si>
    <t>B1790/B1791 261</t>
  </si>
  <si>
    <t>B1790/B1791 266</t>
  </si>
  <si>
    <t>B1790/B1791 271</t>
  </si>
  <si>
    <t>B1790/B1791 276</t>
  </si>
  <si>
    <t>Death Valley</t>
  </si>
  <si>
    <t>NW Canada</t>
  </si>
  <si>
    <t>Peru</t>
  </si>
  <si>
    <t>Wonoka Fm.</t>
  </si>
  <si>
    <t>Johnnie Fm.</t>
  </si>
  <si>
    <t>Nadaleen and Gametrail Fm.</t>
  </si>
  <si>
    <t>Shuram Fm.</t>
  </si>
  <si>
    <t>San Juan Fm.</t>
  </si>
  <si>
    <t>E1216 163</t>
  </si>
  <si>
    <t>E1216 164</t>
  </si>
  <si>
    <t>E1216 172</t>
  </si>
  <si>
    <t>E1216 176</t>
  </si>
  <si>
    <t>E1216 178</t>
  </si>
  <si>
    <t>E1216 126</t>
  </si>
  <si>
    <t>E1216 124</t>
  </si>
  <si>
    <t>E1216 167</t>
  </si>
  <si>
    <t>E1216 135</t>
  </si>
  <si>
    <t>E1216 108</t>
  </si>
  <si>
    <t>E1216 64</t>
  </si>
  <si>
    <t>E1216 74</t>
  </si>
  <si>
    <t>E1216 66</t>
  </si>
  <si>
    <t>E1216 73</t>
  </si>
  <si>
    <t>E1216 58</t>
  </si>
  <si>
    <t>E1216 94</t>
  </si>
  <si>
    <t>E1216 69</t>
  </si>
  <si>
    <t>E1216 57</t>
  </si>
  <si>
    <t>E1216 102</t>
  </si>
  <si>
    <t>E1216 76</t>
  </si>
  <si>
    <t>E1216 54</t>
  </si>
  <si>
    <t>E1216 68</t>
  </si>
  <si>
    <t>E1216 114</t>
  </si>
  <si>
    <t>E1216 55</t>
  </si>
  <si>
    <t>E1216 71</t>
  </si>
  <si>
    <t>E1216 79</t>
  </si>
  <si>
    <t>E1216 50</t>
  </si>
  <si>
    <t>E1216 63</t>
  </si>
  <si>
    <t>E1216 77</t>
  </si>
  <si>
    <t>E1216 65</t>
  </si>
  <si>
    <t>E1216 78</t>
  </si>
  <si>
    <t>E1216 59</t>
  </si>
  <si>
    <t>E1216 80</t>
  </si>
  <si>
    <t>E1216 60</t>
  </si>
  <si>
    <t>E1216 61</t>
  </si>
  <si>
    <t>E1216 52.5</t>
  </si>
  <si>
    <t>E1216 53</t>
  </si>
  <si>
    <t>E1216 72</t>
  </si>
  <si>
    <t>E1216 98</t>
  </si>
  <si>
    <t>E1216 99</t>
  </si>
  <si>
    <t>E1216 104.5</t>
  </si>
  <si>
    <t>E1216 107</t>
  </si>
  <si>
    <t>E1216 123</t>
  </si>
  <si>
    <t>E1216 125</t>
  </si>
  <si>
    <t>E1216 127</t>
  </si>
  <si>
    <t>E1216 145</t>
  </si>
  <si>
    <t>E1216 158</t>
  </si>
  <si>
    <t>E1216 166</t>
  </si>
  <si>
    <t>E1216 49</t>
  </si>
  <si>
    <t>E1216 62</t>
  </si>
  <si>
    <t>E1216 67</t>
  </si>
  <si>
    <t>E1216 70</t>
  </si>
  <si>
    <t>E1216 75</t>
  </si>
  <si>
    <t>E1216 81</t>
  </si>
  <si>
    <t>E1216 82</t>
  </si>
  <si>
    <t>E1216 83</t>
  </si>
  <si>
    <t>E1216 84</t>
  </si>
  <si>
    <t>E1216 85</t>
  </si>
  <si>
    <t>E1216 86</t>
  </si>
  <si>
    <t>E1216 87</t>
  </si>
  <si>
    <t>E1216 90</t>
  </si>
  <si>
    <t>E1216 92</t>
  </si>
  <si>
    <t>E1216 93</t>
  </si>
  <si>
    <t>E1216 95</t>
  </si>
  <si>
    <t>E1216 96</t>
  </si>
  <si>
    <t>E1216 97</t>
  </si>
  <si>
    <t>E1216 103</t>
  </si>
  <si>
    <t>E1216 106</t>
  </si>
  <si>
    <t>E1216 109</t>
  </si>
  <si>
    <t>E1216 110</t>
  </si>
  <si>
    <t>E1216 113</t>
  </si>
  <si>
    <t>E1216 120</t>
  </si>
  <si>
    <t>E1216 121</t>
  </si>
  <si>
    <t>E1216 122</t>
  </si>
  <si>
    <t>E1216 129.2</t>
  </si>
  <si>
    <t>E1216 136</t>
  </si>
  <si>
    <t>E1216 138</t>
  </si>
  <si>
    <t>E1216 139</t>
  </si>
  <si>
    <t>E1216 140</t>
  </si>
  <si>
    <t>E1216 143</t>
  </si>
  <si>
    <t>E1216 144</t>
  </si>
  <si>
    <t>E1216 146</t>
  </si>
  <si>
    <t>E1216 147</t>
  </si>
  <si>
    <t>E1216 149</t>
  </si>
  <si>
    <t>E1216 151</t>
  </si>
  <si>
    <t>E1216 152</t>
  </si>
  <si>
    <t>E1216 153</t>
  </si>
  <si>
    <t>E1216 154</t>
  </si>
  <si>
    <t>E1216 155</t>
  </si>
  <si>
    <t>E1216 156</t>
  </si>
  <si>
    <t>E1216 157</t>
  </si>
  <si>
    <t>E1216 159</t>
  </si>
  <si>
    <t>E1216 160</t>
  </si>
  <si>
    <t>E1216 161</t>
  </si>
  <si>
    <t>E1216 162</t>
  </si>
  <si>
    <t>E1216 11</t>
  </si>
  <si>
    <t>E1216 12</t>
  </si>
  <si>
    <t>E1216 13</t>
  </si>
  <si>
    <t>E1216 20</t>
  </si>
  <si>
    <t>E1216 21</t>
  </si>
  <si>
    <t>E1216 22</t>
  </si>
  <si>
    <t>E1216 23</t>
  </si>
  <si>
    <t>E1216 24</t>
  </si>
  <si>
    <t>E1216 25</t>
  </si>
  <si>
    <t>E1216 26</t>
  </si>
  <si>
    <t>E1216 27</t>
  </si>
  <si>
    <t>E1216 28</t>
  </si>
  <si>
    <t>E1216 29</t>
  </si>
  <si>
    <t>E1216 30</t>
  </si>
  <si>
    <t>E1216 31</t>
  </si>
  <si>
    <t>E1216 32</t>
  </si>
  <si>
    <t>E1216 33</t>
  </si>
  <si>
    <t>E1216 34</t>
  </si>
  <si>
    <t>E1216 35</t>
  </si>
  <si>
    <t>E1216 36</t>
  </si>
  <si>
    <t>E1216 37</t>
  </si>
  <si>
    <t>E1216 38</t>
  </si>
  <si>
    <t>E1216 39</t>
  </si>
  <si>
    <t>E1216 40</t>
  </si>
  <si>
    <t>E1216 42</t>
  </si>
  <si>
    <t>E1216 43</t>
  </si>
  <si>
    <t>E1216 44</t>
  </si>
  <si>
    <t>E1216 45</t>
  </si>
  <si>
    <t>E1216 46</t>
  </si>
  <si>
    <t>E1216 47.5</t>
  </si>
  <si>
    <t>E1216 48</t>
  </si>
  <si>
    <t>E1216 12B</t>
  </si>
  <si>
    <t>E1216 41</t>
  </si>
  <si>
    <t>E1209 170</t>
  </si>
  <si>
    <t>E1209 156</t>
  </si>
  <si>
    <t>E1209 138</t>
  </si>
  <si>
    <t>E1209 160</t>
  </si>
  <si>
    <t>E1209 100</t>
  </si>
  <si>
    <t>E1209 164</t>
  </si>
  <si>
    <t>E1209 168</t>
  </si>
  <si>
    <t>E1209 186</t>
  </si>
  <si>
    <t>E1209 174</t>
  </si>
  <si>
    <t>E1209 162</t>
  </si>
  <si>
    <t>E1209 196</t>
  </si>
  <si>
    <t>E1209 102</t>
  </si>
  <si>
    <t>E1209 192</t>
  </si>
  <si>
    <t>E1209 150</t>
  </si>
  <si>
    <t>E1209 114</t>
  </si>
  <si>
    <t>E1209 182</t>
  </si>
  <si>
    <t>E1209 188</t>
  </si>
  <si>
    <t>E1209 134</t>
  </si>
  <si>
    <t>E1209 144</t>
  </si>
  <si>
    <t>E1209 105</t>
  </si>
  <si>
    <t>E1209 140</t>
  </si>
  <si>
    <t>E1209 110</t>
  </si>
  <si>
    <t>E1209 172</t>
  </si>
  <si>
    <t>E1209 200</t>
  </si>
  <si>
    <t>E1209 154</t>
  </si>
  <si>
    <t>E1209 153</t>
  </si>
  <si>
    <t>E1209 201</t>
  </si>
  <si>
    <t>E1209 0.4</t>
  </si>
  <si>
    <t>E1209 2</t>
  </si>
  <si>
    <t>E1209 3.5</t>
  </si>
  <si>
    <t>E1209 5</t>
  </si>
  <si>
    <t>E1209 6.5</t>
  </si>
  <si>
    <t>E1209 8</t>
  </si>
  <si>
    <t>E1209 9</t>
  </si>
  <si>
    <t>E1209 10.5</t>
  </si>
  <si>
    <t>E1209 12</t>
  </si>
  <si>
    <t>E1209 13</t>
  </si>
  <si>
    <t>E1209 15</t>
  </si>
  <si>
    <t>E1209 16.5</t>
  </si>
  <si>
    <t>E1209 18</t>
  </si>
  <si>
    <t>E1209 19.5</t>
  </si>
  <si>
    <t>E1209 21</t>
  </si>
  <si>
    <t>E1209 22.5</t>
  </si>
  <si>
    <t>E1209 27</t>
  </si>
  <si>
    <t>E1209 28.5</t>
  </si>
  <si>
    <t>E1209 30</t>
  </si>
  <si>
    <t>E1209 31.5</t>
  </si>
  <si>
    <t>E1209 33</t>
  </si>
  <si>
    <t>E1209 34</t>
  </si>
  <si>
    <t>E1209 35.5</t>
  </si>
  <si>
    <t>E1209 37.5</t>
  </si>
  <si>
    <t>E1209 38.5</t>
  </si>
  <si>
    <t>E1209 42</t>
  </si>
  <si>
    <t>E1209 43.5</t>
  </si>
  <si>
    <t>E1209 46</t>
  </si>
  <si>
    <t>E1209 48</t>
  </si>
  <si>
    <t>E1209 49</t>
  </si>
  <si>
    <t>E1209 50</t>
  </si>
  <si>
    <t>E1209 51</t>
  </si>
  <si>
    <t>E1209 52</t>
  </si>
  <si>
    <t>E1209 53</t>
  </si>
  <si>
    <t>E1209 54</t>
  </si>
  <si>
    <t>E1209 55</t>
  </si>
  <si>
    <t>E1209 56</t>
  </si>
  <si>
    <t>E1209 57</t>
  </si>
  <si>
    <t>E1209 106</t>
  </si>
  <si>
    <t>E1209 142</t>
  </si>
  <si>
    <t>E1209 146</t>
  </si>
  <si>
    <t>E1209 148</t>
  </si>
  <si>
    <t>E1209 152</t>
  </si>
  <si>
    <t>E1209 158</t>
  </si>
  <si>
    <t>E1209 166</t>
  </si>
  <si>
    <t>E1209 176</t>
  </si>
  <si>
    <t>E1209 178</t>
  </si>
  <si>
    <t>E1209 180</t>
  </si>
  <si>
    <t>E1209 184</t>
  </si>
  <si>
    <t>E1209 190</t>
  </si>
  <si>
    <t>E1209 198</t>
  </si>
  <si>
    <t>E1129 20.5</t>
  </si>
  <si>
    <t>E1129 22</t>
  </si>
  <si>
    <t>E1129 23.5</t>
  </si>
  <si>
    <t>E1129 25</t>
  </si>
  <si>
    <t>E1129 26.5</t>
  </si>
  <si>
    <t>E1129 28</t>
  </si>
  <si>
    <t>E1129 29.5</t>
  </si>
  <si>
    <t>E1129 31</t>
  </si>
  <si>
    <t>E1129 32.5</t>
  </si>
  <si>
    <t>E1129 34</t>
  </si>
  <si>
    <t>E1129 35.5</t>
  </si>
  <si>
    <t>E1129 37.5</t>
  </si>
  <si>
    <t>E1129 39</t>
  </si>
  <si>
    <t>E1129 40.5</t>
  </si>
  <si>
    <t>E1129 42</t>
  </si>
  <si>
    <t>E1129 43.5</t>
  </si>
  <si>
    <t>E1129 45</t>
  </si>
  <si>
    <t>E1129 46.5</t>
  </si>
  <si>
    <t>E1129 48</t>
  </si>
  <si>
    <t>E1129 49.5</t>
  </si>
  <si>
    <t>E1129 51</t>
  </si>
  <si>
    <t>E1129 52.5</t>
  </si>
  <si>
    <t>E1129 54</t>
  </si>
  <si>
    <t>E1129 55.5</t>
  </si>
  <si>
    <t>E1129 57</t>
  </si>
  <si>
    <t>E1129 58.5</t>
  </si>
  <si>
    <t>E1129 60</t>
  </si>
  <si>
    <t>E1129 61.5</t>
  </si>
  <si>
    <t>E1129 63</t>
  </si>
  <si>
    <t>E1129 64.5</t>
  </si>
  <si>
    <t>E1129 65.5</t>
  </si>
  <si>
    <t>E1129 67</t>
  </si>
  <si>
    <t>E1129 96</t>
  </si>
  <si>
    <t>E1129 97.5</t>
  </si>
  <si>
    <t>E1129 99</t>
  </si>
  <si>
    <t>E1129 100.5</t>
  </si>
  <si>
    <t>E1129 101.5</t>
  </si>
  <si>
    <t>E1129 103</t>
  </si>
  <si>
    <t>E1129 106</t>
  </si>
  <si>
    <t>E1129 107.5</t>
  </si>
  <si>
    <t>E1129 109</t>
  </si>
  <si>
    <t>E1129 112</t>
  </si>
  <si>
    <t>E1129 113.5</t>
  </si>
  <si>
    <t>E1129 115</t>
  </si>
  <si>
    <t>E1129 116</t>
  </si>
  <si>
    <t>E1129 117.5</t>
  </si>
  <si>
    <t>E1129 119</t>
  </si>
  <si>
    <t>E1129 120.5</t>
  </si>
  <si>
    <t>E1129 122</t>
  </si>
  <si>
    <t>E1129 125</t>
  </si>
  <si>
    <t>E1129 126.5</t>
  </si>
  <si>
    <t>E1129 128</t>
  </si>
  <si>
    <t>E1129 129</t>
  </si>
  <si>
    <t>E1129 130.5</t>
  </si>
  <si>
    <t>E1129 132</t>
  </si>
  <si>
    <t>E1129 133.5</t>
  </si>
  <si>
    <t>E1129 135</t>
  </si>
  <si>
    <t>E1129 136.5</t>
  </si>
  <si>
    <t>E1129 138</t>
  </si>
  <si>
    <t>E1129 139</t>
  </si>
  <si>
    <t>E1129 140.5</t>
  </si>
  <si>
    <t>E1129 142</t>
  </si>
  <si>
    <t>E1129 143.5</t>
  </si>
  <si>
    <t>E1129 145</t>
  </si>
  <si>
    <t>E1129 146</t>
  </si>
  <si>
    <t>E1129 147</t>
  </si>
  <si>
    <t>E1129 148</t>
  </si>
  <si>
    <t>E1129 149</t>
  </si>
  <si>
    <t>E1129 150</t>
  </si>
  <si>
    <t>E1129 151</t>
  </si>
  <si>
    <t>E1129 152</t>
  </si>
  <si>
    <t>E1129 153</t>
  </si>
  <si>
    <t>E1129 154</t>
  </si>
  <si>
    <t>E1129 155</t>
  </si>
  <si>
    <t>E1129 156</t>
  </si>
  <si>
    <t>E1129 157</t>
  </si>
  <si>
    <t>E1129 158</t>
  </si>
  <si>
    <t>E1129 159</t>
  </si>
  <si>
    <t>E1129 160</t>
  </si>
  <si>
    <t>E1129 161</t>
  </si>
  <si>
    <t>E1129 162</t>
  </si>
  <si>
    <t>E1129 163</t>
  </si>
  <si>
    <t>E1129 164</t>
  </si>
  <si>
    <t>E1129 165</t>
  </si>
  <si>
    <t>E1129 166</t>
  </si>
  <si>
    <t>E1129 167</t>
  </si>
  <si>
    <t>E1129 168</t>
  </si>
  <si>
    <t>E1129 169</t>
  </si>
  <si>
    <t>E1129 170</t>
  </si>
  <si>
    <t>E1129 171</t>
  </si>
  <si>
    <t>E1129 172</t>
  </si>
  <si>
    <t>E1129 173</t>
  </si>
  <si>
    <t>E1129 174</t>
  </si>
  <si>
    <t>E1129 175</t>
  </si>
  <si>
    <t>E1129 176</t>
  </si>
  <si>
    <t>E1129 84</t>
  </si>
  <si>
    <t>E1421 63.8</t>
  </si>
  <si>
    <t>E1421 65.5</t>
  </si>
  <si>
    <t>E1421 67</t>
  </si>
  <si>
    <t>E1421 70</t>
  </si>
  <si>
    <t>E1421 76.7</t>
  </si>
  <si>
    <t>E1421 78.3</t>
  </si>
  <si>
    <t>E1421 80</t>
  </si>
  <si>
    <t>E1421 81.6</t>
  </si>
  <si>
    <t>E1421 83</t>
  </si>
  <si>
    <t>E1421 85</t>
  </si>
  <si>
    <t>E1421 92.6</t>
  </si>
  <si>
    <t>E1421 94</t>
  </si>
  <si>
    <t>E1421 95.5</t>
  </si>
  <si>
    <t>E1421 97.3</t>
  </si>
  <si>
    <t>E1421 102.6</t>
  </si>
  <si>
    <t>E1421 104</t>
  </si>
  <si>
    <t>E1421 105.6</t>
  </si>
  <si>
    <t>E1421 107</t>
  </si>
  <si>
    <t>E1421 110.6</t>
  </si>
  <si>
    <t>E1421 112</t>
  </si>
  <si>
    <t>E1421 113</t>
  </si>
  <si>
    <t>E1421 116</t>
  </si>
  <si>
    <t>E1421 117.5</t>
  </si>
  <si>
    <t>E1421 119</t>
  </si>
  <si>
    <t>E1421 120</t>
  </si>
  <si>
    <t>E1421 123.3</t>
  </si>
  <si>
    <t>E1421 124.7</t>
  </si>
  <si>
    <t>E1421 126.5</t>
  </si>
  <si>
    <t>E1421 128.6</t>
  </si>
  <si>
    <t>E1421 129.5</t>
  </si>
  <si>
    <t>E1421 131.4</t>
  </si>
  <si>
    <t>E1421 133.5</t>
  </si>
  <si>
    <t>E1421 135.5</t>
  </si>
  <si>
    <t>E1421 136.5</t>
  </si>
  <si>
    <t>E1421 138</t>
  </si>
  <si>
    <t>E1421 139.5</t>
  </si>
  <si>
    <t>E1421 141</t>
  </si>
  <si>
    <t>E1421 143.5</t>
  </si>
  <si>
    <t>E1421 145</t>
  </si>
  <si>
    <t>E1421 146.5</t>
  </si>
  <si>
    <t>E1421 148</t>
  </si>
  <si>
    <t>E1421 149.8</t>
  </si>
  <si>
    <t>E1421 151.5</t>
  </si>
  <si>
    <t>E1421 161.4</t>
  </si>
  <si>
    <t>E1421 162.5</t>
  </si>
  <si>
    <t>E1421 166.5</t>
  </si>
  <si>
    <t>E1421 168.5</t>
  </si>
  <si>
    <t>E1421 170</t>
  </si>
  <si>
    <t>E1421 171</t>
  </si>
  <si>
    <t>E1421 173.4</t>
  </si>
  <si>
    <t>E1421 176.3</t>
  </si>
  <si>
    <t>E1421 177.7</t>
  </si>
  <si>
    <t>E1421 180.4</t>
  </si>
  <si>
    <t>E1421 182</t>
  </si>
  <si>
    <t>E1421 183.7</t>
  </si>
  <si>
    <t>E1421 185.3</t>
  </si>
  <si>
    <t>E1421 188</t>
  </si>
  <si>
    <t>E1421 189</t>
  </si>
  <si>
    <t>E1421 191.4</t>
  </si>
  <si>
    <t>E1421 193.3</t>
  </si>
  <si>
    <t>E1421 194.6</t>
  </si>
  <si>
    <t>E1421 195.6</t>
  </si>
  <si>
    <t>E1421 197</t>
  </si>
  <si>
    <t>E1421 198</t>
  </si>
  <si>
    <t>E1421 199.4</t>
  </si>
  <si>
    <t>E1421 202.5</t>
  </si>
  <si>
    <t>E1421 204</t>
  </si>
  <si>
    <t>E1421 205.5</t>
  </si>
  <si>
    <t>E1421 207</t>
  </si>
  <si>
    <t>E1421 209</t>
  </si>
  <si>
    <t>E1421 210.5</t>
  </si>
  <si>
    <t>E1421 212</t>
  </si>
  <si>
    <t>E1421 214</t>
  </si>
  <si>
    <t>E1421 216</t>
  </si>
  <si>
    <t>E1421 304.4</t>
  </si>
  <si>
    <t>E1421 306</t>
  </si>
  <si>
    <t>E1421 307</t>
  </si>
  <si>
    <t>E1421 311</t>
  </si>
  <si>
    <t>E1421 313</t>
  </si>
  <si>
    <t>E1421 315</t>
  </si>
  <si>
    <t>E1421 317</t>
  </si>
  <si>
    <t>E1421 319</t>
  </si>
  <si>
    <t>E1421 321</t>
  </si>
  <si>
    <t>E1421 323</t>
  </si>
  <si>
    <t>E1421 325</t>
  </si>
  <si>
    <t>E1421 201.5</t>
  </si>
  <si>
    <t>E1421 68.5</t>
  </si>
  <si>
    <t>E1421 179.1</t>
  </si>
  <si>
    <t>E1421 121.7</t>
  </si>
  <si>
    <t>E1426 0.3</t>
  </si>
  <si>
    <t>E1426 1.6</t>
  </si>
  <si>
    <t>E1426 3.1</t>
  </si>
  <si>
    <t>E1426 4.5</t>
  </si>
  <si>
    <t>E1426 6</t>
  </si>
  <si>
    <t>E1426 7</t>
  </si>
  <si>
    <t>E1426 8.5</t>
  </si>
  <si>
    <t>E1426 10</t>
  </si>
  <si>
    <t>E1426 11.3</t>
  </si>
  <si>
    <t>E1426 13</t>
  </si>
  <si>
    <t>E1426 14.5</t>
  </si>
  <si>
    <t>E1426 16</t>
  </si>
  <si>
    <t>E1426 17.5</t>
  </si>
  <si>
    <t>E1426 19</t>
  </si>
  <si>
    <t>E1426 20.5</t>
  </si>
  <si>
    <t>E1426 22</t>
  </si>
  <si>
    <t>E1426 23.5</t>
  </si>
  <si>
    <t>E1426 25</t>
  </si>
  <si>
    <t>E1426 26.3</t>
  </si>
  <si>
    <t>E1426 28</t>
  </si>
  <si>
    <t>E1426 29</t>
  </si>
  <si>
    <t>E1426 31</t>
  </si>
  <si>
    <t>E1426 32.5</t>
  </si>
  <si>
    <t>E1426 34</t>
  </si>
  <si>
    <t>E1426 36</t>
  </si>
  <si>
    <t>E1426 38</t>
  </si>
  <si>
    <t>E1426 40</t>
  </si>
  <si>
    <t>E1426 43.5</t>
  </si>
  <si>
    <t>E1426 44.8</t>
  </si>
  <si>
    <t>E1426 42</t>
  </si>
  <si>
    <t>Lonsdale 2025</t>
  </si>
  <si>
    <t>N KTN</t>
  </si>
  <si>
    <t>Khukh-Davaa</t>
  </si>
  <si>
    <t>Zuun-Arts Fm.</t>
  </si>
  <si>
    <t>Bayan Gorge</t>
  </si>
  <si>
    <t>Mount Dunfee, Nevada</t>
  </si>
  <si>
    <t>Deep Spring Fm.</t>
  </si>
  <si>
    <t>174</t>
  </si>
  <si>
    <t>313</t>
  </si>
  <si>
    <t>325</t>
  </si>
  <si>
    <t>Jones et al., 2020</t>
  </si>
  <si>
    <t>LC1</t>
  </si>
  <si>
    <t xml:space="preserve">Anticosti Island, Canada </t>
  </si>
  <si>
    <t>Ellis Bay Fm.</t>
  </si>
  <si>
    <t>Ordovician</t>
  </si>
  <si>
    <t>ls</t>
  </si>
  <si>
    <t>LC2</t>
  </si>
  <si>
    <t>LC3</t>
  </si>
  <si>
    <t>LC4</t>
  </si>
  <si>
    <t>LC5</t>
  </si>
  <si>
    <t>LC6</t>
  </si>
  <si>
    <t>LC7</t>
  </si>
  <si>
    <t>LC8</t>
  </si>
  <si>
    <t>LC9</t>
  </si>
  <si>
    <t>LC10</t>
  </si>
  <si>
    <t>LC11</t>
  </si>
  <si>
    <t>LC12</t>
  </si>
  <si>
    <t>LC13</t>
  </si>
  <si>
    <t>LC14</t>
  </si>
  <si>
    <t>LC15</t>
  </si>
  <si>
    <t>LC16</t>
  </si>
  <si>
    <t>LC17</t>
  </si>
  <si>
    <t>LC18</t>
  </si>
  <si>
    <t>LC19</t>
  </si>
  <si>
    <t>LC20</t>
  </si>
  <si>
    <t>LC21</t>
  </si>
  <si>
    <t>NACP1</t>
  </si>
  <si>
    <t>NACP2</t>
  </si>
  <si>
    <t>NACP3</t>
  </si>
  <si>
    <t>NACP4</t>
  </si>
  <si>
    <t>NACP5</t>
  </si>
  <si>
    <t>NACP6</t>
  </si>
  <si>
    <t>NACP7</t>
  </si>
  <si>
    <t>NACP8</t>
  </si>
  <si>
    <t>NACP9</t>
  </si>
  <si>
    <t>NACP10</t>
  </si>
  <si>
    <t>NACP11</t>
  </si>
  <si>
    <t>NACP12</t>
  </si>
  <si>
    <t>NACP13</t>
  </si>
  <si>
    <t>NACP14</t>
  </si>
  <si>
    <t>NACP15</t>
  </si>
  <si>
    <t>NACP16</t>
  </si>
  <si>
    <t>NACP17</t>
  </si>
  <si>
    <t>NACP18</t>
  </si>
  <si>
    <t>NACP19</t>
  </si>
  <si>
    <t>NACP20</t>
  </si>
  <si>
    <t>NACP21</t>
  </si>
  <si>
    <t>NACP22</t>
  </si>
  <si>
    <t>NACP23</t>
  </si>
  <si>
    <t>NACP24</t>
  </si>
  <si>
    <t>NACP25</t>
  </si>
  <si>
    <t>NACP26</t>
  </si>
  <si>
    <t>NACP27</t>
  </si>
  <si>
    <t>NACP28</t>
  </si>
  <si>
    <t>NACP29</t>
  </si>
  <si>
    <t>NACP30</t>
  </si>
  <si>
    <t>NACP31</t>
  </si>
  <si>
    <t>NACP32</t>
  </si>
  <si>
    <t>NACP33</t>
  </si>
  <si>
    <t>NACP34</t>
  </si>
  <si>
    <t>NACP35</t>
  </si>
  <si>
    <t>NACP36</t>
  </si>
  <si>
    <t>NACP37</t>
  </si>
  <si>
    <t>NACP38</t>
  </si>
  <si>
    <t>NACP39</t>
  </si>
  <si>
    <t>NACP40</t>
  </si>
  <si>
    <t>NACP41</t>
  </si>
  <si>
    <t>NACP42</t>
  </si>
  <si>
    <t>NACP43</t>
  </si>
  <si>
    <t>NACP44</t>
  </si>
  <si>
    <t>NACP45</t>
  </si>
  <si>
    <t>NACP46</t>
  </si>
  <si>
    <t>NACP47</t>
  </si>
  <si>
    <t>NACP48</t>
  </si>
  <si>
    <t>NACP49</t>
  </si>
  <si>
    <t>NACP50</t>
  </si>
  <si>
    <t>NACP51</t>
  </si>
  <si>
    <t>NACP52</t>
  </si>
  <si>
    <t>NACP53</t>
  </si>
  <si>
    <t>NACP54</t>
  </si>
  <si>
    <t>NACP55</t>
  </si>
  <si>
    <t>NACP56</t>
  </si>
  <si>
    <t>NACP57</t>
  </si>
  <si>
    <t>NACP58</t>
  </si>
  <si>
    <t>NACP59</t>
  </si>
  <si>
    <t>NACP60</t>
  </si>
  <si>
    <t>NACP61</t>
  </si>
  <si>
    <t>NACP62</t>
  </si>
  <si>
    <t>NACP63</t>
  </si>
  <si>
    <t>NACP64</t>
  </si>
  <si>
    <t>NACP65</t>
  </si>
  <si>
    <t>NACP66</t>
  </si>
  <si>
    <t>NACP67</t>
  </si>
  <si>
    <t>NACP68</t>
  </si>
  <si>
    <t>NACP69</t>
  </si>
  <si>
    <t>NACP70</t>
  </si>
  <si>
    <t>NACP71</t>
  </si>
  <si>
    <t>NACP72</t>
  </si>
  <si>
    <t>NACP73</t>
  </si>
  <si>
    <t>NACP74</t>
  </si>
  <si>
    <t>NACP75</t>
  </si>
  <si>
    <t>NACP76</t>
  </si>
  <si>
    <t>NACP77</t>
  </si>
  <si>
    <t>NACP78</t>
  </si>
  <si>
    <t>NACP79</t>
  </si>
  <si>
    <t>NACP80</t>
  </si>
  <si>
    <t>NACP81</t>
  </si>
  <si>
    <t>NACP82</t>
  </si>
  <si>
    <t>NACP83</t>
  </si>
  <si>
    <t>NACP84</t>
  </si>
  <si>
    <t>NACP85</t>
  </si>
  <si>
    <t>NACP86</t>
  </si>
  <si>
    <t>NACP87</t>
  </si>
  <si>
    <t>NACP88</t>
  </si>
  <si>
    <t>NACP89</t>
  </si>
  <si>
    <t>NACP90</t>
  </si>
  <si>
    <t>NACP91</t>
  </si>
  <si>
    <t>NACP92</t>
  </si>
  <si>
    <t>NACP93</t>
  </si>
  <si>
    <t>NACP94</t>
  </si>
  <si>
    <t>dl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</si>
  <si>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</si>
  <si>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</si>
  <si>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</si>
  <si>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</si>
  <si>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</si>
  <si>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</si>
  <si>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</si>
  <si>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</si>
  <si>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</si>
  <si>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</si>
  <si>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</si>
  <si>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</si>
  <si>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</si>
  <si>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</si>
  <si>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</si>
  <si>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</si>
  <si>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</si>
  <si>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</si>
  <si>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</si>
  <si>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</si>
  <si>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</si>
  <si>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</si>
  <si>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</si>
  <si>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</si>
  <si>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</si>
  <si>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</si>
  <si>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</si>
  <si>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</si>
  <si>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</si>
  <si>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</si>
  <si>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</si>
  <si>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</si>
  <si>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</si>
  <si>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</si>
  <si>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Jones et al. 2020</t>
  </si>
  <si>
    <t>ls = Limestone</t>
  </si>
  <si>
    <t>dl = Dolostone</t>
  </si>
  <si>
    <t>MR1</t>
  </si>
  <si>
    <t>Great Basin, Utah and Nevada</t>
  </si>
  <si>
    <t>Ely Springs Dolostone Fm.</t>
  </si>
  <si>
    <t>MR2</t>
  </si>
  <si>
    <t>MR3</t>
  </si>
  <si>
    <t>MR4</t>
  </si>
  <si>
    <t>MR5</t>
  </si>
  <si>
    <t>MR6</t>
  </si>
  <si>
    <t>MR7</t>
  </si>
  <si>
    <t>MR8</t>
  </si>
  <si>
    <t>MR9</t>
  </si>
  <si>
    <t>MR10</t>
  </si>
  <si>
    <t>MR11</t>
  </si>
  <si>
    <t>MR12</t>
  </si>
  <si>
    <t>MR13</t>
  </si>
  <si>
    <t>MR14</t>
  </si>
  <si>
    <t>MR15</t>
  </si>
  <si>
    <t>MR16</t>
  </si>
  <si>
    <t>MR17</t>
  </si>
  <si>
    <t>MR18</t>
  </si>
  <si>
    <t>MR19</t>
  </si>
  <si>
    <t>MR20</t>
  </si>
  <si>
    <t>MR21</t>
  </si>
  <si>
    <t>MR22</t>
  </si>
  <si>
    <t>MR23</t>
  </si>
  <si>
    <t>MR24</t>
  </si>
  <si>
    <t>MR25</t>
  </si>
  <si>
    <t>MR26</t>
  </si>
  <si>
    <t>MR27</t>
  </si>
  <si>
    <t>MR28</t>
  </si>
  <si>
    <t>MR29</t>
  </si>
  <si>
    <t>MR30</t>
  </si>
  <si>
    <t>MR31</t>
  </si>
  <si>
    <t>MR32</t>
  </si>
  <si>
    <t>PR1</t>
  </si>
  <si>
    <t>PR2</t>
  </si>
  <si>
    <t>PR3</t>
  </si>
  <si>
    <t>PR4</t>
  </si>
  <si>
    <t>PR5</t>
  </si>
  <si>
    <t>PR8</t>
  </si>
  <si>
    <t>PR9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</si>
  <si>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</si>
  <si>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</si>
  <si>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</si>
  <si>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</si>
  <si>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</si>
  <si>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</si>
  <si>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</si>
  <si>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</si>
  <si>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</si>
  <si>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</si>
  <si>
    <t>PR20</t>
  </si>
  <si>
    <t>PR21</t>
  </si>
  <si>
    <t>PR22</t>
  </si>
  <si>
    <t>PR23</t>
  </si>
  <si>
    <t>PR24</t>
  </si>
  <si>
    <t>PR25</t>
  </si>
  <si>
    <t>PR26</t>
  </si>
  <si>
    <t>PR27</t>
  </si>
  <si>
    <t>PR28</t>
  </si>
  <si>
    <t>PR29</t>
  </si>
  <si>
    <t>PR30</t>
  </si>
  <si>
    <t>PR31</t>
  </si>
  <si>
    <t>PR32</t>
  </si>
  <si>
    <t>PR33</t>
  </si>
  <si>
    <t>PR34</t>
  </si>
  <si>
    <t>PR35</t>
  </si>
  <si>
    <t>PR36</t>
  </si>
  <si>
    <t>PR37</t>
  </si>
  <si>
    <t>PR38</t>
  </si>
  <si>
    <t>PR39</t>
  </si>
  <si>
    <t>PR40</t>
  </si>
  <si>
    <t>PR41</t>
  </si>
  <si>
    <t>PR42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</si>
  <si>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</si>
  <si>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</si>
  <si>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</si>
  <si>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</si>
  <si>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</si>
  <si>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</si>
  <si>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</si>
  <si>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</si>
  <si>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</si>
  <si>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SR10</t>
  </si>
  <si>
    <t>SR11</t>
  </si>
  <si>
    <t>SR12</t>
  </si>
  <si>
    <t>SR13</t>
  </si>
  <si>
    <t>SR14</t>
  </si>
  <si>
    <t>SR15</t>
  </si>
  <si>
    <t>SR16</t>
  </si>
  <si>
    <t>SR17</t>
  </si>
  <si>
    <t>SR18</t>
  </si>
  <si>
    <t>SI1</t>
  </si>
  <si>
    <t>SI2</t>
  </si>
  <si>
    <t>SI3</t>
  </si>
  <si>
    <t>SI4</t>
  </si>
  <si>
    <t>SI5</t>
  </si>
  <si>
    <t>SI6</t>
  </si>
  <si>
    <t>SI7</t>
  </si>
  <si>
    <t>SI8</t>
  </si>
  <si>
    <t>SI9</t>
  </si>
  <si>
    <t>SI10</t>
  </si>
  <si>
    <t>SI11</t>
  </si>
  <si>
    <t>SI12</t>
  </si>
  <si>
    <t>SI13</t>
  </si>
  <si>
    <t>SI14</t>
  </si>
  <si>
    <t>SI15</t>
  </si>
  <si>
    <t>SI16</t>
  </si>
  <si>
    <t>SI17</t>
  </si>
  <si>
    <t>SI18</t>
  </si>
  <si>
    <t>SI19</t>
  </si>
  <si>
    <t>SI20</t>
  </si>
  <si>
    <t>SI21</t>
  </si>
  <si>
    <t>SI22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</si>
  <si>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</si>
  <si>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</si>
  <si>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</si>
  <si>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</si>
  <si>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</si>
  <si>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</si>
  <si>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</si>
  <si>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</si>
  <si>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</si>
  <si>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</si>
  <si>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</si>
  <si>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</si>
  <si>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</si>
  <si>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</si>
  <si>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</si>
  <si>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</si>
  <si>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</si>
  <si>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</si>
  <si>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</si>
  <si>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</si>
  <si>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SI43</t>
  </si>
  <si>
    <t>SI44</t>
  </si>
  <si>
    <t>SI45</t>
  </si>
  <si>
    <t>SI46</t>
  </si>
  <si>
    <t>SI47</t>
  </si>
  <si>
    <t>SI48</t>
  </si>
  <si>
    <t>SI49</t>
  </si>
  <si>
    <t>SI50</t>
  </si>
  <si>
    <t>SI51</t>
  </si>
  <si>
    <t>SI52</t>
  </si>
  <si>
    <t>SI53</t>
  </si>
  <si>
    <t>SI54</t>
  </si>
  <si>
    <t>SI55</t>
  </si>
  <si>
    <t>SI56</t>
  </si>
  <si>
    <t>SI57</t>
  </si>
  <si>
    <t>BH1</t>
  </si>
  <si>
    <t>BH2</t>
  </si>
  <si>
    <t>BH3</t>
  </si>
  <si>
    <t>BH4</t>
  </si>
  <si>
    <t>BH5</t>
  </si>
  <si>
    <t>BH6</t>
  </si>
  <si>
    <t>BH7</t>
  </si>
  <si>
    <t>BH8</t>
  </si>
  <si>
    <t>BH9</t>
  </si>
  <si>
    <t>BH10</t>
  </si>
  <si>
    <t>BH11</t>
  </si>
  <si>
    <t>BH12</t>
  </si>
  <si>
    <t>BH13</t>
  </si>
  <si>
    <t>BH14</t>
  </si>
  <si>
    <t>BH15</t>
  </si>
  <si>
    <t>BH16</t>
  </si>
  <si>
    <t>BH17</t>
  </si>
  <si>
    <t>BH18</t>
  </si>
  <si>
    <t>BH19</t>
  </si>
  <si>
    <t>BH20</t>
  </si>
  <si>
    <t>BH21</t>
  </si>
  <si>
    <t>BH22</t>
  </si>
  <si>
    <t>BH23</t>
  </si>
  <si>
    <t>BH24</t>
  </si>
  <si>
    <t>BH25</t>
  </si>
  <si>
    <t>BH26</t>
  </si>
  <si>
    <t>BH27</t>
  </si>
  <si>
    <t>BH28</t>
  </si>
  <si>
    <t>BH29</t>
  </si>
  <si>
    <t>BH30</t>
  </si>
  <si>
    <t>BH31</t>
  </si>
  <si>
    <t>BH32</t>
  </si>
  <si>
    <t>BH33</t>
  </si>
  <si>
    <t>BH34</t>
  </si>
  <si>
    <t>BH35</t>
  </si>
  <si>
    <t>BH36</t>
  </si>
  <si>
    <t>BH37</t>
  </si>
  <si>
    <t>BH38</t>
  </si>
  <si>
    <t>BH39</t>
  </si>
  <si>
    <t>BH40</t>
  </si>
  <si>
    <t>BH41</t>
  </si>
  <si>
    <t>BH42</t>
  </si>
  <si>
    <t>BH43</t>
  </si>
  <si>
    <t>BH44</t>
  </si>
  <si>
    <t>BH45</t>
  </si>
  <si>
    <t>BH46</t>
  </si>
  <si>
    <t>BH47</t>
  </si>
  <si>
    <t>BH48</t>
  </si>
  <si>
    <t>BH49</t>
  </si>
  <si>
    <t>BH50</t>
  </si>
  <si>
    <t>BH51</t>
  </si>
  <si>
    <t>BH52</t>
  </si>
  <si>
    <t>BH53</t>
  </si>
  <si>
    <t>BH54</t>
  </si>
  <si>
    <t>BH55</t>
  </si>
  <si>
    <t>BH56</t>
  </si>
  <si>
    <t>BH57</t>
  </si>
  <si>
    <t>BH58</t>
  </si>
  <si>
    <t>BH59</t>
  </si>
  <si>
    <t>BH60</t>
  </si>
  <si>
    <t>Kimmig and Holmden, 2017</t>
  </si>
  <si>
    <t>Farkas et al., 2016</t>
  </si>
  <si>
    <t>Prague Basin, Czech Republic</t>
  </si>
  <si>
    <t>Motol Fm.</t>
  </si>
  <si>
    <t>341</t>
  </si>
  <si>
    <t>631</t>
  </si>
  <si>
    <t>658</t>
  </si>
  <si>
    <t>378</t>
  </si>
  <si>
    <t>655</t>
  </si>
  <si>
    <t>695</t>
  </si>
  <si>
    <t>608</t>
  </si>
  <si>
    <t>544</t>
  </si>
  <si>
    <t>470</t>
  </si>
  <si>
    <t>485</t>
  </si>
  <si>
    <t>402</t>
  </si>
  <si>
    <t>371</t>
  </si>
  <si>
    <t>770</t>
  </si>
  <si>
    <t>454</t>
  </si>
  <si>
    <t>499</t>
  </si>
  <si>
    <t>260</t>
  </si>
  <si>
    <t>504</t>
  </si>
  <si>
    <t>627</t>
  </si>
  <si>
    <t>562</t>
  </si>
  <si>
    <t>664</t>
  </si>
  <si>
    <t>645</t>
  </si>
  <si>
    <t>495</t>
  </si>
  <si>
    <t>435</t>
  </si>
  <si>
    <t>508</t>
  </si>
  <si>
    <t>630</t>
  </si>
  <si>
    <t>653</t>
  </si>
  <si>
    <t>648</t>
  </si>
  <si>
    <t>811</t>
  </si>
  <si>
    <t>758</t>
  </si>
  <si>
    <t>616</t>
  </si>
  <si>
    <t>748</t>
  </si>
  <si>
    <t>593</t>
  </si>
  <si>
    <t>643</t>
  </si>
  <si>
    <t>545</t>
  </si>
  <si>
    <t>523</t>
  </si>
  <si>
    <t>418</t>
  </si>
  <si>
    <t>539</t>
  </si>
  <si>
    <t>419</t>
  </si>
  <si>
    <t>394</t>
  </si>
  <si>
    <t>342</t>
  </si>
  <si>
    <t>258</t>
  </si>
  <si>
    <t>301</t>
  </si>
  <si>
    <t>333</t>
  </si>
  <si>
    <t>335</t>
  </si>
  <si>
    <t>287</t>
  </si>
  <si>
    <t>229</t>
  </si>
  <si>
    <t>487</t>
  </si>
  <si>
    <t>603</t>
  </si>
  <si>
    <t>133</t>
  </si>
  <si>
    <t>375</t>
  </si>
  <si>
    <t>403</t>
  </si>
  <si>
    <t>242</t>
  </si>
  <si>
    <t>584</t>
  </si>
  <si>
    <t>639</t>
  </si>
  <si>
    <t>610</t>
  </si>
  <si>
    <t>533</t>
  </si>
  <si>
    <t>586</t>
  </si>
  <si>
    <t>295</t>
  </si>
  <si>
    <t>407</t>
  </si>
  <si>
    <t>326</t>
  </si>
  <si>
    <t>267</t>
  </si>
  <si>
    <t>312</t>
  </si>
  <si>
    <t>507</t>
  </si>
  <si>
    <t>238</t>
  </si>
  <si>
    <t>344</t>
  </si>
  <si>
    <t>−0.79</t>
  </si>
  <si>
    <t>K 2</t>
  </si>
  <si>
    <t>−1.40</t>
  </si>
  <si>
    <t>K 4</t>
  </si>
  <si>
    <t>K 7</t>
  </si>
  <si>
    <t>−1.34</t>
  </si>
  <si>
    <t>K 11</t>
  </si>
  <si>
    <t>−1.59</t>
  </si>
  <si>
    <t>K 14</t>
  </si>
  <si>
    <t>K 15</t>
  </si>
  <si>
    <t>K 16</t>
  </si>
  <si>
    <t>−1.45</t>
  </si>
  <si>
    <t>−1.17</t>
  </si>
  <si>
    <t>K 20</t>
  </si>
  <si>
    <t>K 21</t>
  </si>
  <si>
    <t>K 24</t>
  </si>
  <si>
    <t>K 25</t>
  </si>
  <si>
    <t>−1.70</t>
  </si>
  <si>
    <t>−0.89</t>
  </si>
  <si>
    <t>K 27</t>
  </si>
  <si>
    <t>−1.90</t>
  </si>
  <si>
    <t>−0.99</t>
  </si>
  <si>
    <t>K 28</t>
  </si>
  <si>
    <t>−1.96</t>
  </si>
  <si>
    <t>−1.01</t>
  </si>
  <si>
    <t>−1.39</t>
  </si>
  <si>
    <t>K 31</t>
  </si>
  <si>
    <t>K 32</t>
  </si>
  <si>
    <t>−2.08</t>
  </si>
  <si>
    <t>−1.08</t>
  </si>
  <si>
    <t>K 35</t>
  </si>
  <si>
    <t>K 38.5</t>
  </si>
  <si>
    <t>−1.13</t>
  </si>
  <si>
    <t>K 40.5</t>
  </si>
  <si>
    <t>K 41.5</t>
  </si>
  <si>
    <t>K 42.5</t>
  </si>
  <si>
    <t>K 43.3</t>
  </si>
  <si>
    <t>−2.13</t>
  </si>
  <si>
    <t>K 45.5</t>
  </si>
  <si>
    <t>K 46.9</t>
  </si>
  <si>
    <t>−0.96</t>
  </si>
  <si>
    <t>K 49</t>
  </si>
  <si>
    <t>K 54.5</t>
  </si>
  <si>
    <t>K 56.5</t>
  </si>
  <si>
    <t>K 61</t>
  </si>
  <si>
    <t>K 63.9</t>
  </si>
  <si>
    <t>K 67.4</t>
  </si>
  <si>
    <t>−1.79</t>
  </si>
  <si>
    <t>K 71</t>
  </si>
  <si>
    <t>−1.26</t>
  </si>
  <si>
    <t>K 72</t>
  </si>
  <si>
    <t>−1.51</t>
  </si>
  <si>
    <t>K 80</t>
  </si>
  <si>
    <t>K 82</t>
  </si>
  <si>
    <t>K 93</t>
  </si>
  <si>
    <t>−1.77</t>
  </si>
  <si>
    <t>Martin Ridge, Nevada</t>
  </si>
  <si>
    <t>Hanson Creek Fm.</t>
  </si>
  <si>
    <t>umol/g</t>
  </si>
  <si>
    <t>Husson et al., 2015</t>
  </si>
  <si>
    <t>Microsampled Laminations</t>
  </si>
  <si>
    <t>Limestone or Dolostone</t>
  </si>
  <si>
    <t>0.11</t>
  </si>
  <si>
    <t>0.16</t>
  </si>
  <si>
    <t>0.19</t>
  </si>
  <si>
    <t>0.17</t>
  </si>
  <si>
    <t>0.23</t>
  </si>
  <si>
    <t>0.20</t>
  </si>
  <si>
    <t>0.26</t>
  </si>
  <si>
    <t>0.61</t>
  </si>
  <si>
    <t>0.48</t>
  </si>
  <si>
    <t>0.45</t>
  </si>
  <si>
    <t>0.59</t>
  </si>
  <si>
    <t>0.62</t>
  </si>
  <si>
    <t>0.58</t>
  </si>
  <si>
    <t>1.12</t>
  </si>
  <si>
    <t>6.95</t>
  </si>
  <si>
    <t>1.06</t>
  </si>
  <si>
    <t>2.14</t>
  </si>
  <si>
    <t>0.69</t>
  </si>
  <si>
    <t>0.83</t>
  </si>
  <si>
    <t>0.87</t>
  </si>
  <si>
    <t>0.68</t>
  </si>
  <si>
    <t>3.58</t>
  </si>
  <si>
    <t>0.71</t>
  </si>
  <si>
    <t>1.10</t>
  </si>
  <si>
    <t>0.74</t>
  </si>
  <si>
    <t>5.47</t>
  </si>
  <si>
    <t>1.64</t>
  </si>
  <si>
    <t>2.88</t>
  </si>
  <si>
    <t>1.17</t>
  </si>
  <si>
    <t>0.64</t>
  </si>
  <si>
    <t>1.15</t>
  </si>
  <si>
    <t>0.98</t>
  </si>
  <si>
    <t>1.34</t>
  </si>
  <si>
    <t>1.41</t>
  </si>
  <si>
    <t>1.72</t>
  </si>
  <si>
    <t>1.44</t>
  </si>
  <si>
    <t>0.52</t>
  </si>
  <si>
    <t>0.41</t>
  </si>
  <si>
    <t>0.38</t>
  </si>
  <si>
    <t>0.04</t>
  </si>
  <si>
    <t>0.06</t>
  </si>
  <si>
    <t>0.24</t>
  </si>
  <si>
    <t>0.33</t>
  </si>
  <si>
    <t>0.31</t>
  </si>
  <si>
    <t>0.77</t>
  </si>
  <si>
    <t>0.72</t>
  </si>
  <si>
    <t>0.70</t>
  </si>
  <si>
    <t>0.81</t>
  </si>
  <si>
    <t>0.95</t>
  </si>
  <si>
    <t>0.76</t>
  </si>
  <si>
    <t>0.63</t>
  </si>
  <si>
    <t>0.54</t>
  </si>
  <si>
    <t>0.67</t>
  </si>
  <si>
    <t>1.04</t>
  </si>
  <si>
    <t>1.83</t>
  </si>
  <si>
    <t>1.05</t>
  </si>
  <si>
    <t>1.07</t>
  </si>
  <si>
    <t>0.93</t>
  </si>
  <si>
    <t>0.36</t>
  </si>
  <si>
    <t>0.39</t>
  </si>
  <si>
    <t>0.10</t>
  </si>
  <si>
    <t>0.09</t>
  </si>
  <si>
    <t>0.29</t>
  </si>
  <si>
    <t>0.37</t>
  </si>
  <si>
    <t>0.89</t>
  </si>
  <si>
    <t>1.00</t>
  </si>
  <si>
    <t>0.47</t>
  </si>
  <si>
    <t>0.57</t>
  </si>
  <si>
    <t>0.94</t>
  </si>
  <si>
    <t>0.97</t>
  </si>
  <si>
    <t>1.30</t>
  </si>
  <si>
    <t>0.85</t>
  </si>
  <si>
    <t>1.19</t>
  </si>
  <si>
    <t>1.47</t>
  </si>
  <si>
    <t>1.95</t>
  </si>
  <si>
    <t>1.53</t>
  </si>
  <si>
    <t>1.09</t>
  </si>
  <si>
    <t>0.56</t>
  </si>
  <si>
    <t>0.75</t>
  </si>
  <si>
    <t>1.61</t>
  </si>
  <si>
    <t>1.20</t>
  </si>
  <si>
    <t>1.71</t>
  </si>
  <si>
    <t>1.54</t>
  </si>
  <si>
    <t>1.01</t>
  </si>
  <si>
    <t>1.58</t>
  </si>
  <si>
    <t>2.07</t>
  </si>
  <si>
    <t>1.24</t>
  </si>
  <si>
    <t>0.82</t>
  </si>
  <si>
    <t>0.60</t>
  </si>
  <si>
    <t>0.35</t>
  </si>
  <si>
    <t>0.32</t>
  </si>
  <si>
    <t>0.22</t>
  </si>
  <si>
    <t>0.21</t>
  </si>
  <si>
    <t>2.51</t>
  </si>
  <si>
    <t>1.69</t>
  </si>
  <si>
    <t>6.45</t>
  </si>
  <si>
    <t>3.19</t>
  </si>
  <si>
    <t>2.23</t>
  </si>
  <si>
    <t>2.32</t>
  </si>
  <si>
    <t>1.82</t>
  </si>
  <si>
    <t>4.40</t>
  </si>
  <si>
    <t>4.87</t>
  </si>
  <si>
    <t>3.84</t>
  </si>
  <si>
    <t>2.83</t>
  </si>
  <si>
    <t>4.95</t>
  </si>
  <si>
    <t>5.68</t>
  </si>
  <si>
    <t>5.03</t>
  </si>
  <si>
    <t>4.80</t>
  </si>
  <si>
    <t>5.34</t>
  </si>
  <si>
    <t>4.39</t>
  </si>
  <si>
    <t>5.01</t>
  </si>
  <si>
    <t>3.50</t>
  </si>
  <si>
    <t>3.47</t>
  </si>
  <si>
    <t>2.17</t>
  </si>
  <si>
    <t>3.24</t>
  </si>
  <si>
    <t>7.28</t>
  </si>
  <si>
    <t>2.94</t>
  </si>
  <si>
    <t>1.37</t>
  </si>
  <si>
    <t>4.09</t>
  </si>
  <si>
    <t>1.29</t>
  </si>
  <si>
    <t>2.15</t>
  </si>
  <si>
    <t>0.51</t>
  </si>
  <si>
    <t>0.08</t>
  </si>
  <si>
    <t>0.43</t>
  </si>
  <si>
    <t>0.49</t>
  </si>
  <si>
    <t>0.65</t>
  </si>
  <si>
    <t>0.03</t>
  </si>
  <si>
    <t>0.05</t>
  </si>
  <si>
    <t>0.07</t>
  </si>
  <si>
    <t>J19b_1</t>
  </si>
  <si>
    <t>J19b_2</t>
  </si>
  <si>
    <t>J19b_3</t>
  </si>
  <si>
    <t>J19b_4</t>
  </si>
  <si>
    <t>J19b_5</t>
  </si>
  <si>
    <t>J19b_6</t>
  </si>
  <si>
    <t>J19b_7</t>
  </si>
  <si>
    <t>J19b_8</t>
  </si>
  <si>
    <t>J19b_9</t>
  </si>
  <si>
    <t>J19b_10</t>
  </si>
  <si>
    <t>J19b_11</t>
  </si>
  <si>
    <t>J19b_12</t>
  </si>
  <si>
    <t>J19b_13</t>
  </si>
  <si>
    <t>J19_1</t>
  </si>
  <si>
    <t>J19_2</t>
  </si>
  <si>
    <t>J19_3</t>
  </si>
  <si>
    <t>J19_4</t>
  </si>
  <si>
    <t>J19_5</t>
  </si>
  <si>
    <t>J19_6</t>
  </si>
  <si>
    <t>J19_7</t>
  </si>
  <si>
    <t>J19_8</t>
  </si>
  <si>
    <t>J19_9</t>
  </si>
  <si>
    <t>J19_10</t>
  </si>
  <si>
    <t>J19_11</t>
  </si>
  <si>
    <t>J19_12</t>
  </si>
  <si>
    <t>J19_13</t>
  </si>
  <si>
    <t>J19_14</t>
  </si>
  <si>
    <t>J19_15</t>
  </si>
  <si>
    <t>J19_16</t>
  </si>
  <si>
    <t>J19_17</t>
  </si>
  <si>
    <t>J19_18</t>
  </si>
  <si>
    <t>J19_19</t>
  </si>
  <si>
    <t>J19_20</t>
  </si>
  <si>
    <t>J19_21</t>
  </si>
  <si>
    <t>J19_22</t>
  </si>
  <si>
    <t>J19_23</t>
  </si>
  <si>
    <t>J19_24</t>
  </si>
  <si>
    <t>J19_25</t>
  </si>
  <si>
    <t>J19_26</t>
  </si>
  <si>
    <t>J19_27</t>
  </si>
  <si>
    <t>J19_28</t>
  </si>
  <si>
    <t>J19_29</t>
  </si>
  <si>
    <t>J19_30</t>
  </si>
  <si>
    <t>J19_31</t>
  </si>
  <si>
    <t>J19_32</t>
  </si>
  <si>
    <t>J19_33</t>
  </si>
  <si>
    <t>J19_34</t>
  </si>
  <si>
    <t>J73b_1</t>
  </si>
  <si>
    <t>J73b_2</t>
  </si>
  <si>
    <t>J73b_3</t>
  </si>
  <si>
    <t>J73b_4</t>
  </si>
  <si>
    <t>J73b_5</t>
  </si>
  <si>
    <t>J73b_6</t>
  </si>
  <si>
    <t>J73b_7</t>
  </si>
  <si>
    <t>J73_1</t>
  </si>
  <si>
    <t>J73_2</t>
  </si>
  <si>
    <t>J73_3</t>
  </si>
  <si>
    <t>J73_4</t>
  </si>
  <si>
    <t>J73_5</t>
  </si>
  <si>
    <t>J73_6</t>
  </si>
  <si>
    <t>J73_7</t>
  </si>
  <si>
    <t>J73_8</t>
  </si>
  <si>
    <t>J73_9</t>
  </si>
  <si>
    <t>J73_10</t>
  </si>
  <si>
    <t>J73_11</t>
  </si>
  <si>
    <t>J73_12</t>
  </si>
  <si>
    <t>J73_13</t>
  </si>
  <si>
    <t>J73_14</t>
  </si>
  <si>
    <t>J73_15</t>
  </si>
  <si>
    <t>J73_16</t>
  </si>
  <si>
    <t>J73_17</t>
  </si>
  <si>
    <t>J73_18</t>
  </si>
  <si>
    <t>J73_19</t>
  </si>
  <si>
    <t>J73_20</t>
  </si>
  <si>
    <t>J73_21</t>
  </si>
  <si>
    <t>J73_22</t>
  </si>
  <si>
    <t>J73_23</t>
  </si>
  <si>
    <t>J73_24</t>
  </si>
  <si>
    <t>J73_25</t>
  </si>
  <si>
    <t>J73_26</t>
  </si>
  <si>
    <t>J73_27</t>
  </si>
  <si>
    <t>J73_28</t>
  </si>
  <si>
    <t>J200b_1</t>
  </si>
  <si>
    <t>J200b_2</t>
  </si>
  <si>
    <t>J200b_3</t>
  </si>
  <si>
    <t>J200b_4</t>
  </si>
  <si>
    <t>J200b_5</t>
  </si>
  <si>
    <t>J200b_6</t>
  </si>
  <si>
    <t>J200b_7</t>
  </si>
  <si>
    <t>J200b_8</t>
  </si>
  <si>
    <t>J200b_9</t>
  </si>
  <si>
    <t>J200b_10</t>
  </si>
  <si>
    <t>J200b_11</t>
  </si>
  <si>
    <t>J200_1</t>
  </si>
  <si>
    <t>J200_2</t>
  </si>
  <si>
    <t>J200_3</t>
  </si>
  <si>
    <t>J200_4</t>
  </si>
  <si>
    <t>J200_5</t>
  </si>
  <si>
    <t>J200_6</t>
  </si>
  <si>
    <t>J200_7</t>
  </si>
  <si>
    <t>J200_8</t>
  </si>
  <si>
    <t>J200_9</t>
  </si>
  <si>
    <t>J200_10</t>
  </si>
  <si>
    <t>J200_11</t>
  </si>
  <si>
    <t>J200_12</t>
  </si>
  <si>
    <t>J200_13</t>
  </si>
  <si>
    <t>J200_14</t>
  </si>
  <si>
    <t>J200_15</t>
  </si>
  <si>
    <t>J200_16</t>
  </si>
  <si>
    <t>J200_17</t>
  </si>
  <si>
    <t>J200_18</t>
  </si>
  <si>
    <t>J200_19</t>
  </si>
  <si>
    <t>J200_20</t>
  </si>
  <si>
    <t>J200_21</t>
  </si>
  <si>
    <t>J200_22</t>
  </si>
  <si>
    <t>J200_23</t>
  </si>
  <si>
    <t>J200_24</t>
  </si>
  <si>
    <t>J200_25</t>
  </si>
  <si>
    <t>J200_26</t>
  </si>
  <si>
    <t>J200_27</t>
  </si>
  <si>
    <t>J200_28</t>
  </si>
  <si>
    <t>J200_29</t>
  </si>
  <si>
    <t>J200_30</t>
  </si>
  <si>
    <t>J200_31</t>
  </si>
  <si>
    <t>J200_32</t>
  </si>
  <si>
    <t>J200_33</t>
  </si>
  <si>
    <t>J200_34</t>
  </si>
  <si>
    <t>J200_35</t>
  </si>
  <si>
    <t>J200_36</t>
  </si>
  <si>
    <t>J162b_1</t>
  </si>
  <si>
    <t>J162b_2</t>
  </si>
  <si>
    <t>J162b_3</t>
  </si>
  <si>
    <t>J162b_4</t>
  </si>
  <si>
    <t>J162b_5</t>
  </si>
  <si>
    <t>J162b_6</t>
  </si>
  <si>
    <t>J162b_7</t>
  </si>
  <si>
    <t>J162b_8</t>
  </si>
  <si>
    <t>J162b_9</t>
  </si>
  <si>
    <t>J162b_10</t>
  </si>
  <si>
    <t>J162b_11</t>
  </si>
  <si>
    <t>J162_1</t>
  </si>
  <si>
    <t>J162_2</t>
  </si>
  <si>
    <t>J162_3</t>
  </si>
  <si>
    <t>J162_4</t>
  </si>
  <si>
    <t>J162_5</t>
  </si>
  <si>
    <t>J162_6</t>
  </si>
  <si>
    <t>J162_7</t>
  </si>
  <si>
    <t>J162_8</t>
  </si>
  <si>
    <t>J162_9</t>
  </si>
  <si>
    <t>J162_10</t>
  </si>
  <si>
    <t>J162_11</t>
  </si>
  <si>
    <t>J162_12</t>
  </si>
  <si>
    <t>J162_13</t>
  </si>
  <si>
    <t>J162_14</t>
  </si>
  <si>
    <t>J162_15</t>
  </si>
  <si>
    <t>J162_16</t>
  </si>
  <si>
    <t>J162_17</t>
  </si>
  <si>
    <t>J162_18</t>
  </si>
  <si>
    <t>J162_19</t>
  </si>
  <si>
    <t>J162_20</t>
  </si>
  <si>
    <t>J162_21</t>
  </si>
  <si>
    <t>J162_22</t>
  </si>
  <si>
    <t>J162_23</t>
  </si>
  <si>
    <t>J162_24</t>
  </si>
  <si>
    <t>J162_25</t>
  </si>
  <si>
    <t>J162_26</t>
  </si>
  <si>
    <t>J162_27</t>
  </si>
  <si>
    <t>J162_28</t>
  </si>
  <si>
    <t>J162_29</t>
  </si>
  <si>
    <t>J162_30</t>
  </si>
  <si>
    <t>J162_31</t>
  </si>
  <si>
    <t>J162_32</t>
  </si>
  <si>
    <t>J162_33</t>
  </si>
  <si>
    <t>J162_34</t>
  </si>
  <si>
    <t>J162_35</t>
  </si>
  <si>
    <t>J162_36</t>
  </si>
  <si>
    <t>J162_37</t>
  </si>
  <si>
    <t>J162_38</t>
  </si>
  <si>
    <t>J162_39</t>
  </si>
  <si>
    <t>J162_40</t>
  </si>
  <si>
    <t>J162_41</t>
  </si>
  <si>
    <t>J162_42</t>
  </si>
  <si>
    <t>J162_43</t>
  </si>
  <si>
    <t>J162_44</t>
  </si>
  <si>
    <t>J162_45</t>
  </si>
  <si>
    <t>J162_46</t>
  </si>
  <si>
    <t>Jost et al., 2017</t>
  </si>
  <si>
    <t>Stratigraphic Height (m)</t>
  </si>
  <si>
    <t>δ13C (‰ VPDB)</t>
  </si>
  <si>
    <t>δ18O (‰ VPDB)</t>
  </si>
  <si>
    <t>Ca (wt %)</t>
  </si>
  <si>
    <t>Mg (wt %)</t>
  </si>
  <si>
    <t>Sr (µg/g rock)</t>
  </si>
  <si>
    <t>Mn (µg/g rock)</t>
  </si>
  <si>
    <t>δ44/40Ca (‰ BSE)</t>
  </si>
  <si>
    <t>δ44/40Ca (‰ SRM-915a)</t>
  </si>
  <si>
    <t>δ44/40Ca (‰ seawater)</t>
  </si>
  <si>
    <t>2σ for δ44/40Ca</t>
  </si>
  <si>
    <t>n for δ44/40Ca</t>
  </si>
  <si>
    <t>Val Adrara</t>
  </si>
  <si>
    <t>−2.14</t>
  </si>
  <si>
    <t>−0.77</t>
  </si>
  <si>
    <t>−2.19</t>
  </si>
  <si>
    <t>−0.80</t>
  </si>
  <si>
    <t>−1.80</t>
  </si>
  <si>
    <t>−2.26</t>
  </si>
  <si>
    <t>−0.39</t>
  </si>
  <si>
    <t>−3.52</t>
  </si>
  <si>
    <t>−0.60</t>
  </si>
  <si>
    <t>−1.60</t>
  </si>
  <si>
    <t>−0.61</t>
  </si>
  <si>
    <t>−1.61</t>
  </si>
  <si>
    <t>−2.02</t>
  </si>
  <si>
    <t>−0.45</t>
  </si>
  <si>
    <t>−2.56</t>
  </si>
  <si>
    <t>−1.68</t>
  </si>
  <si>
    <t>−1.02</t>
  </si>
  <si>
    <t>−0.11</t>
  </si>
  <si>
    <t>−2.11</t>
  </si>
  <si>
    <t>−2.17</t>
  </si>
  <si>
    <t>−0.26</t>
  </si>
  <si>
    <t>−3.20</t>
  </si>
  <si>
    <t>−1.03</t>
  </si>
  <si>
    <t>−2.03</t>
  </si>
  <si>
    <t>−0.12</t>
  </si>
  <si>
    <t>−2.94</t>
  </si>
  <si>
    <t>−2.01</t>
  </si>
  <si>
    <t>−0.10</t>
  </si>
  <si>
    <t>−2.59</t>
  </si>
  <si>
    <t>−0.17</t>
  </si>
  <si>
    <t>−3.40</t>
  </si>
  <si>
    <t>−5.84</t>
  </si>
  <si>
    <t>−0.51</t>
  </si>
  <si>
    <t>−5.32</t>
  </si>
  <si>
    <t>−5.68</t>
  </si>
  <si>
    <t>−0.67</t>
  </si>
  <si>
    <t>−1.67</t>
  </si>
  <si>
    <t>Italcementi</t>
  </si>
  <si>
    <t>NA</t>
  </si>
  <si>
    <t>−1.89</t>
  </si>
  <si>
    <t>−1.54</t>
  </si>
  <si>
    <t>−0.34</t>
  </si>
  <si>
    <t>−4.48</t>
  </si>
  <si>
    <t>−2.91</t>
  </si>
  <si>
    <t>−1.99</t>
  </si>
  <si>
    <t>−0.68</t>
  </si>
  <si>
    <t>−1.88</t>
  </si>
  <si>
    <t>−1.05</t>
  </si>
  <si>
    <t>−2.05</t>
  </si>
  <si>
    <t>−0.14</t>
  </si>
  <si>
    <t>−0.22</t>
  </si>
  <si>
    <t>−1.92</t>
  </si>
  <si>
    <t>−0.05</t>
  </si>
  <si>
    <t>−0.08</t>
  </si>
  <si>
    <t>−0.70</t>
  </si>
  <si>
    <t>−2.58</t>
  </si>
  <si>
    <t>−0.46</t>
  </si>
  <si>
    <t>−1.46</t>
  </si>
  <si>
    <t>−3.97</t>
  </si>
  <si>
    <t>−0.53</t>
  </si>
  <si>
    <t>−1.53</t>
  </si>
  <si>
    <t>−6.70</t>
  </si>
  <si>
    <t>VA1</t>
  </si>
  <si>
    <t>Val Adrara, Italy</t>
  </si>
  <si>
    <t>Zu Limestone Fm.</t>
  </si>
  <si>
    <t>VA2</t>
  </si>
  <si>
    <t>VA3</t>
  </si>
  <si>
    <t>VA4</t>
  </si>
  <si>
    <t>VA5</t>
  </si>
  <si>
    <t>VA6</t>
  </si>
  <si>
    <t>VA7</t>
  </si>
  <si>
    <t>VA8</t>
  </si>
  <si>
    <t>VA9</t>
  </si>
  <si>
    <t>VA10</t>
  </si>
  <si>
    <t>VA11</t>
  </si>
  <si>
    <t>VA12</t>
  </si>
  <si>
    <t>VA13</t>
  </si>
  <si>
    <t>VA14</t>
  </si>
  <si>
    <t>VA15</t>
  </si>
  <si>
    <t>VA16</t>
  </si>
  <si>
    <t>IT1</t>
  </si>
  <si>
    <t>Italcementi, Italy</t>
  </si>
  <si>
    <t>IT2</t>
  </si>
  <si>
    <t>IT3</t>
  </si>
  <si>
    <t>IT4</t>
  </si>
  <si>
    <t>IT5</t>
  </si>
  <si>
    <t>IT6</t>
  </si>
  <si>
    <t>IT7</t>
  </si>
  <si>
    <t>IT8</t>
  </si>
  <si>
    <t>IT9</t>
  </si>
  <si>
    <t>IT10</t>
  </si>
  <si>
    <t>IT11</t>
  </si>
  <si>
    <t>IT12</t>
  </si>
  <si>
    <t>IT13</t>
  </si>
  <si>
    <t>IT14</t>
  </si>
  <si>
    <t>IT15</t>
  </si>
  <si>
    <t>IT16</t>
  </si>
  <si>
    <t>IT17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</si>
</sst>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"/>
    <numFmt numFmtId="165" formatCode="0.0"/>
    <numFmt numFmtId="166" formatCode="0.000"/>
    <numFmt numFmtId="167" formatCode="0.00_ "/>
    <numFmt numFmtId="168" formatCode="[$-409]General"/>
    <numFmt numFmtId="169" formatCode="[$$-409]#,##0.00;[Red]&quot;-&quot;[$$-409]#,##0.00"/>
  </numFmts>
  <fonts count="2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Helvetica"/>
      <family val="2"/>
    </font>
    <font>
      <sz val="12"/>
      <color theme="1"/>
      <name val="ArialMT"/>
      <family val="2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0"/>
      <name val="Verdana"/>
      <family val="2"/>
    </font>
    <font>
      <sz val="12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5" fillId="3" borderId="0" applyNumberFormat="0" applyBorder="0" applyAlignment="0" applyProtection="0"/>
    <xf numFmtId="0" fontId="7" fillId="0" borderId="0"/>
    <xf numFmtId="0" fontId="10" fillId="0" borderId="0"/>
    <xf numFmtId="0" fontId="13" fillId="0" borderId="0"/>
    <xf numFmtId="168" fontId="12" fillId="0" borderId="0"/>
    <xf numFmtId="0" fontId="14" fillId="0" borderId="0">
      <alignment horizontal="center"/>
    </xf>
    <xf numFmtId="0" fontId="14" fillId="0" borderId="0">
      <alignment horizontal="center" textRotation="90"/>
    </xf>
    <xf numFmtId="0" fontId="15" fillId="0" borderId="0"/>
    <xf numFmtId="169" fontId="15" fillId="0" borderId="0"/>
    <xf numFmtId="0" fontId="16" fillId="0" borderId="0"/>
    <xf numFmtId="0" fontId="17" fillId="0" borderId="0"/>
    <xf numFmtId="0" fontId="7" fillId="0" borderId="0"/>
  </cellStyleXfs>
  <cellXfs count="44">
    <xf numFmtId="0" fontId="0" fillId="0" borderId="0" xfId="0"/>
    <xf numFmtId="49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2" borderId="0" xfId="0" applyFill="1"/>
    <xf numFmtId="49" fontId="0" fillId="2" borderId="0" xfId="0" applyNumberFormat="1" applyFill="1"/>
    <xf numFmtId="164" fontId="0" fillId="2" borderId="0" xfId="0" applyNumberFormat="1" applyFill="1"/>
    <xf numFmtId="0" fontId="2" fillId="2" borderId="0" xfId="1" applyFill="1" applyProtection="1"/>
    <xf numFmtId="0" fontId="6" fillId="2" borderId="0" xfId="0" applyFont="1" applyFill="1" applyAlignment="1">
      <alignment horizontal="center"/>
    </xf>
    <xf numFmtId="0" fontId="4" fillId="0" borderId="1" xfId="0" applyFont="1" applyBorder="1" applyProtection="1">
      <protection locked="0"/>
    </xf>
    <xf numFmtId="0" fontId="2" fillId="0" borderId="0" xfId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0" fontId="2" fillId="0" borderId="0" xfId="1" applyFill="1" applyProtection="1">
      <protection locked="0"/>
    </xf>
    <xf numFmtId="0" fontId="6" fillId="0" borderId="0" xfId="2" applyFont="1" applyFill="1" applyAlignment="1" applyProtection="1">
      <alignment horizontal="left"/>
      <protection locked="0"/>
    </xf>
    <xf numFmtId="164" fontId="0" fillId="0" borderId="0" xfId="0" applyNumberForma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1"/>
    <xf numFmtId="2" fontId="4" fillId="0" borderId="1" xfId="0" applyNumberFormat="1" applyFont="1" applyBorder="1" applyProtection="1">
      <protection locked="0"/>
    </xf>
    <xf numFmtId="165" fontId="0" fillId="0" borderId="0" xfId="0" applyNumberFormat="1"/>
    <xf numFmtId="165" fontId="0" fillId="0" borderId="2" xfId="0" applyNumberFormat="1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2" fontId="0" fillId="2" borderId="0" xfId="0" applyNumberFormat="1" applyFill="1"/>
    <xf numFmtId="2" fontId="0" fillId="0" borderId="0" xfId="0" applyNumberFormat="1"/>
    <xf numFmtId="0" fontId="7" fillId="0" borderId="0" xfId="0" applyFont="1"/>
    <xf numFmtId="2" fontId="7" fillId="0" borderId="0" xfId="0" applyNumberFormat="1" applyFont="1"/>
    <xf numFmtId="1" fontId="8" fillId="0" borderId="0" xfId="0" applyNumberFormat="1" applyFont="1"/>
    <xf numFmtId="0" fontId="8" fillId="0" borderId="0" xfId="0" applyFont="1"/>
    <xf numFmtId="2" fontId="9" fillId="0" borderId="0" xfId="0" applyNumberFormat="1" applyFont="1"/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9" fontId="0" fillId="2" borderId="0" xfId="0" applyNumberFormat="1" applyFill="1" applyProtection="1">
      <protection locked="0"/>
    </xf>
    <xf numFmtId="11" fontId="0" fillId="0" borderId="0" xfId="0" applyNumberFormat="1"/>
    <xf numFmtId="0" fontId="2" fillId="0" borderId="0" xfId="1" applyFill="1"/>
    <xf numFmtId="0" fontId="11" fillId="0" borderId="0" xfId="0" applyFont="1"/>
    <xf numFmtId="166" fontId="0" fillId="0" borderId="0" xfId="0" applyNumberFormat="1"/>
    <xf numFmtId="166" fontId="0" fillId="2" borderId="0" xfId="0" applyNumberFormat="1" applyFill="1"/>
    <xf numFmtId="3" fontId="0" fillId="0" borderId="0" xfId="0" applyNumberFormat="1"/>
    <xf numFmtId="0" fontId="20" fillId="0" borderId="0" xfId="3" applyFont="1"/>
    <xf numFmtId="0" fontId="19" fillId="0" borderId="0" xfId="3" applyFont="1" applyAlignment="1">
      <alignment horizontal="center"/>
    </xf>
    <xf numFmtId="2" fontId="20" fillId="0" borderId="0" xfId="3" applyNumberFormat="1" applyFont="1" applyAlignment="1">
      <alignment horizontal="right"/>
    </xf>
    <xf numFmtId="0" fontId="18" fillId="0" borderId="0" xfId="3" applyFont="1" applyAlignment="1">
      <alignment horizontal="center"/>
    </xf>
  </cellXfs>
  <cellStyles count="14">
    <cellStyle name="Bad" xfId="2" builtinId="27"/>
    <cellStyle name="Excel Built-in Normal" xfId="6" xr:uid="{5BC00076-4C8E-4670-B851-92B4A696420B}"/>
    <cellStyle name="Heading" xfId="7" xr:uid="{7A7E6A75-BE0C-4C06-A7C7-32F14EFD186B}"/>
    <cellStyle name="Heading1" xfId="8" xr:uid="{F9D4A3BB-E9DD-4B3C-AA9D-C81017B5A61A}"/>
    <cellStyle name="Hyperlink" xfId="1" builtinId="8"/>
    <cellStyle name="Normal" xfId="0" builtinId="0"/>
    <cellStyle name="Normal 2" xfId="3" xr:uid="{4578659B-0864-49D6-ADB3-EC141A2953DA}"/>
    <cellStyle name="Normal 2 2" xfId="11" xr:uid="{E5B22CC2-1DE1-4ABC-94B5-94F592237411}"/>
    <cellStyle name="Normal 2 2 2" xfId="13" xr:uid="{1AB567BB-2E5B-43D7-A95E-DE0172E936C3}"/>
    <cellStyle name="Normal 3" xfId="4" xr:uid="{808F8154-5F0A-48A7-A83C-4296B1A7AFF4}"/>
    <cellStyle name="Normal 4" xfId="5" xr:uid="{67068970-D322-49E0-BBEB-385F0B81C81B}"/>
    <cellStyle name="Normal 5" xfId="12" xr:uid="{5FFFCC54-FEF6-44A1-A109-CC86AFDFEDF6}"/>
    <cellStyle name="Result" xfId="9" xr:uid="{5D7A94F4-6898-4694-A3BB-C1449B9AFB95}"/>
    <cellStyle name="Result2" xfId="10" xr:uid="{333996C9-BD48-4405-B600-6015977330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milo DeCalisto Price" id="{B1C8B55D-A739-4ED4-B633-BFF527124A3A}" userId="S::camilodecalistoprice@uvic.ca::aa258a04-f033-4431-ab46-817d007998b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23" dT="2025-09-14T21:37:02.98" personId="{B1C8B55D-A739-4ED4-B633-BFF527124A3A}" id="{9AE6B82E-828D-46FB-B4D4-ADBC566C786E}">
    <text>Mbsf, might need to separate each columns depth types</text>
  </threadedComment>
  <threadedComment ref="J223" dT="2025-09-14T21:38:45.31" personId="{B1C8B55D-A739-4ED4-B633-BFF527124A3A}" id="{FBE97EC0-C537-4CB0-A87E-0819B17F292F}">
    <text>Author doesn’t mention specific lith for each sample just a general lith for the entire column</text>
  </threadedComment>
  <threadedComment ref="Q335" dT="2025-09-14T21:34:29.52" personId="{B1C8B55D-A739-4ED4-B633-BFF527124A3A}" id="{850C4BB7-934B-401E-B29D-48BB959F12B5}">
    <text>Sr and Ca data are available in the paper but I would have to calculate this myself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x.doi.org/10.1016/j.chemgeo.2017.09.006" TargetMode="External"/><Relationship Id="rId671" Type="http://schemas.openxmlformats.org/officeDocument/2006/relationships/hyperlink" Target="https://doi.org/10.1016/j.precamres.2020.105902" TargetMode="External"/><Relationship Id="rId21" Type="http://schemas.openxmlformats.org/officeDocument/2006/relationships/hyperlink" Target="https://doi.org/10.1130/B31818.1" TargetMode="External"/><Relationship Id="rId324" Type="http://schemas.openxmlformats.org/officeDocument/2006/relationships/hyperlink" Target="https://doi.org/10.1016/j.gca.2007.09.004" TargetMode="External"/><Relationship Id="rId531" Type="http://schemas.openxmlformats.org/officeDocument/2006/relationships/hyperlink" Target="https://doi.org/10.1016/j.gca.2007.09.004" TargetMode="External"/><Relationship Id="rId629" Type="http://schemas.openxmlformats.org/officeDocument/2006/relationships/hyperlink" Target="https://doi.org/10.1016/j.epsl.2024.119113" TargetMode="External"/><Relationship Id="rId170" Type="http://schemas.openxmlformats.org/officeDocument/2006/relationships/hyperlink" Target="https://doi.org/10.1073/pnas.0914065107" TargetMode="External"/><Relationship Id="rId268" Type="http://schemas.openxmlformats.org/officeDocument/2006/relationships/hyperlink" Target="https://doi.org/10.1130/G31872.1" TargetMode="External"/><Relationship Id="rId475" Type="http://schemas.openxmlformats.org/officeDocument/2006/relationships/hyperlink" Target="https://doi.org/10.1016/j.gca.2007.09.004" TargetMode="External"/><Relationship Id="rId682" Type="http://schemas.openxmlformats.org/officeDocument/2006/relationships/hyperlink" Target="https://doi.org/10.1016/j.epsl.2018.10.046" TargetMode="External"/><Relationship Id="rId32" Type="http://schemas.openxmlformats.org/officeDocument/2006/relationships/hyperlink" Target="https://doi.org/10.1130/B31818.1" TargetMode="External"/><Relationship Id="rId128" Type="http://schemas.openxmlformats.org/officeDocument/2006/relationships/hyperlink" Target="http://dx.doi.org/10.1016/j.chemgeo.2017.09.006" TargetMode="External"/><Relationship Id="rId335" Type="http://schemas.openxmlformats.org/officeDocument/2006/relationships/hyperlink" Target="https://doi.org/10.1016/j.gca.2007.09.004" TargetMode="External"/><Relationship Id="rId542" Type="http://schemas.openxmlformats.org/officeDocument/2006/relationships/hyperlink" Target="https://doi.org/10.1016/j.gca.2007.09.004" TargetMode="External"/><Relationship Id="rId181" Type="http://schemas.openxmlformats.org/officeDocument/2006/relationships/hyperlink" Target="https://doi.org/10.1073/pnas.0914065107" TargetMode="External"/><Relationship Id="rId402" Type="http://schemas.openxmlformats.org/officeDocument/2006/relationships/hyperlink" Target="https://doi.org/10.1016/j.gca.2007.09.004" TargetMode="External"/><Relationship Id="rId279" Type="http://schemas.openxmlformats.org/officeDocument/2006/relationships/hyperlink" Target="https://doi.org/10.1016/j.gca.2007.09.004" TargetMode="External"/><Relationship Id="rId486" Type="http://schemas.openxmlformats.org/officeDocument/2006/relationships/hyperlink" Target="https://doi.org/10.1016/j.gca.2007.09.004" TargetMode="External"/><Relationship Id="rId693" Type="http://schemas.openxmlformats.org/officeDocument/2006/relationships/hyperlink" Target="https://doi.org/10.1130/G46861.1" TargetMode="External"/><Relationship Id="rId43" Type="http://schemas.openxmlformats.org/officeDocument/2006/relationships/hyperlink" Target="https://doi.org/10.1130/B31818.1" TargetMode="External"/><Relationship Id="rId139" Type="http://schemas.openxmlformats.org/officeDocument/2006/relationships/hyperlink" Target="http://dx.doi.org/10.1016/j.chemgeo.2017.09.006" TargetMode="External"/><Relationship Id="rId346" Type="http://schemas.openxmlformats.org/officeDocument/2006/relationships/hyperlink" Target="https://doi.org/10.1016/j.gca.2007.09.004" TargetMode="External"/><Relationship Id="rId553" Type="http://schemas.openxmlformats.org/officeDocument/2006/relationships/hyperlink" Target="https://doi.org/10.1016/j.epsl.2016.03.012" TargetMode="External"/><Relationship Id="rId192" Type="http://schemas.openxmlformats.org/officeDocument/2006/relationships/hyperlink" Target="https://doi.org/10.1016/j.chemgeo.2020.119490" TargetMode="External"/><Relationship Id="rId206" Type="http://schemas.openxmlformats.org/officeDocument/2006/relationships/hyperlink" Target="https://doi.org/10.1016/j.chemgeo.2020.119490" TargetMode="External"/><Relationship Id="rId413" Type="http://schemas.openxmlformats.org/officeDocument/2006/relationships/hyperlink" Target="https://doi.org/10.1016/j.gca.2007.09.004" TargetMode="External"/><Relationship Id="rId497" Type="http://schemas.openxmlformats.org/officeDocument/2006/relationships/hyperlink" Target="https://doi.org/10.1016/j.gca.2007.09.004" TargetMode="External"/><Relationship Id="rId620" Type="http://schemas.openxmlformats.org/officeDocument/2006/relationships/hyperlink" Target="https://doi.org/10.1016/j.epsl.2024.119113" TargetMode="External"/><Relationship Id="rId357" Type="http://schemas.openxmlformats.org/officeDocument/2006/relationships/hyperlink" Target="https://doi.org/10.1016/j.gca.2007.09.004" TargetMode="External"/><Relationship Id="rId54" Type="http://schemas.openxmlformats.org/officeDocument/2006/relationships/hyperlink" Target="https://doi.org/10.1130/B31818.1" TargetMode="External"/><Relationship Id="rId217" Type="http://schemas.openxmlformats.org/officeDocument/2006/relationships/hyperlink" Target="https://doi.org/10.1016/j.chemgeo.2020.119490" TargetMode="External"/><Relationship Id="rId564" Type="http://schemas.openxmlformats.org/officeDocument/2006/relationships/hyperlink" Target="https://doi.org/10.1016/j.epsl.2016.03.012" TargetMode="External"/><Relationship Id="rId424" Type="http://schemas.openxmlformats.org/officeDocument/2006/relationships/hyperlink" Target="https://doi.org/10.1016/j.gca.2007.09.004" TargetMode="External"/><Relationship Id="rId631" Type="http://schemas.openxmlformats.org/officeDocument/2006/relationships/hyperlink" Target="https://doi.org/10.1016/j.epsl.2025.119513" TargetMode="External"/><Relationship Id="rId270" Type="http://schemas.openxmlformats.org/officeDocument/2006/relationships/hyperlink" Target="https://doi.org/10.1016/j.gca.2007.09.004" TargetMode="External"/><Relationship Id="rId65" Type="http://schemas.openxmlformats.org/officeDocument/2006/relationships/hyperlink" Target="http://dx.doi.org/10.1016/j.chemgeo.2017.09.006" TargetMode="External"/><Relationship Id="rId130" Type="http://schemas.openxmlformats.org/officeDocument/2006/relationships/hyperlink" Target="http://dx.doi.org/10.1016/j.chemgeo.2017.09.006" TargetMode="External"/><Relationship Id="rId368" Type="http://schemas.openxmlformats.org/officeDocument/2006/relationships/hyperlink" Target="https://doi.org/10.1016/j.gca.2007.09.004" TargetMode="External"/><Relationship Id="rId575" Type="http://schemas.openxmlformats.org/officeDocument/2006/relationships/hyperlink" Target="https://doi.org/10.1016/j.epsl.2016.03.012" TargetMode="External"/><Relationship Id="rId228" Type="http://schemas.openxmlformats.org/officeDocument/2006/relationships/hyperlink" Target="https://doi.org/10.1126/science.289.5482.1176" TargetMode="External"/><Relationship Id="rId435" Type="http://schemas.openxmlformats.org/officeDocument/2006/relationships/hyperlink" Target="https://doi.org/10.1016/j.gca.2007.09.004" TargetMode="External"/><Relationship Id="rId642" Type="http://schemas.openxmlformats.org/officeDocument/2006/relationships/hyperlink" Target="https://doi.org/10.1016/j.epsl.2024.118876" TargetMode="External"/><Relationship Id="rId281" Type="http://schemas.openxmlformats.org/officeDocument/2006/relationships/hyperlink" Target="https://doi.org/10.1016/j.gca.2007.09.004" TargetMode="External"/><Relationship Id="rId502" Type="http://schemas.openxmlformats.org/officeDocument/2006/relationships/hyperlink" Target="https://doi.org/10.1016/j.gca.2007.09.004" TargetMode="External"/><Relationship Id="rId76" Type="http://schemas.openxmlformats.org/officeDocument/2006/relationships/hyperlink" Target="http://dx.doi.org/10.1016/j.chemgeo.2017.09.006" TargetMode="External"/><Relationship Id="rId141" Type="http://schemas.openxmlformats.org/officeDocument/2006/relationships/hyperlink" Target="http://dx.doi.org/10.1016/j.chemgeo.2017.09.006" TargetMode="External"/><Relationship Id="rId379" Type="http://schemas.openxmlformats.org/officeDocument/2006/relationships/hyperlink" Target="https://doi.org/10.1016/j.gca.2007.09.004" TargetMode="External"/><Relationship Id="rId586" Type="http://schemas.openxmlformats.org/officeDocument/2006/relationships/hyperlink" Target="https://doi.org/10.1016/j.epsl.2016.03.012" TargetMode="External"/><Relationship Id="rId7" Type="http://schemas.openxmlformats.org/officeDocument/2006/relationships/hyperlink" Target="https://doi.org/10.1130/B31818.1" TargetMode="External"/><Relationship Id="rId239" Type="http://schemas.openxmlformats.org/officeDocument/2006/relationships/hyperlink" Target="https://doi.org/10.1016/j.gca.2007.03.006" TargetMode="External"/><Relationship Id="rId446" Type="http://schemas.openxmlformats.org/officeDocument/2006/relationships/hyperlink" Target="https://doi.org/10.1016/j.gca.2007.09.004" TargetMode="External"/><Relationship Id="rId653" Type="http://schemas.openxmlformats.org/officeDocument/2006/relationships/hyperlink" Target="https://doi.org/10.1016/j.chemgeo.2019.119319" TargetMode="External"/><Relationship Id="rId292" Type="http://schemas.openxmlformats.org/officeDocument/2006/relationships/hyperlink" Target="https://doi.org/10.1016/j.gca.2007.09.004" TargetMode="External"/><Relationship Id="rId306" Type="http://schemas.openxmlformats.org/officeDocument/2006/relationships/hyperlink" Target="https://doi.org/10.1016/j.gca.2007.09.004" TargetMode="External"/><Relationship Id="rId87" Type="http://schemas.openxmlformats.org/officeDocument/2006/relationships/hyperlink" Target="http://dx.doi.org/10.1016/j.chemgeo.2017.09.006" TargetMode="External"/><Relationship Id="rId513" Type="http://schemas.openxmlformats.org/officeDocument/2006/relationships/hyperlink" Target="https://doi.org/10.1016/j.gca.2007.09.004" TargetMode="External"/><Relationship Id="rId597" Type="http://schemas.openxmlformats.org/officeDocument/2006/relationships/hyperlink" Target="https://doi.org/10.1016/j.epsl.2024.119113" TargetMode="External"/><Relationship Id="rId152" Type="http://schemas.openxmlformats.org/officeDocument/2006/relationships/hyperlink" Target="http://dx.doi.org/10.1016/j.chemgeo.2017.09.006" TargetMode="External"/><Relationship Id="rId457" Type="http://schemas.openxmlformats.org/officeDocument/2006/relationships/hyperlink" Target="https://doi.org/10.1016/j.gca.2007.09.004" TargetMode="External"/><Relationship Id="rId664" Type="http://schemas.openxmlformats.org/officeDocument/2006/relationships/hyperlink" Target="https://doi.org/10.1111/j.1365-3121.2010.00933.x" TargetMode="External"/><Relationship Id="rId14" Type="http://schemas.openxmlformats.org/officeDocument/2006/relationships/hyperlink" Target="https://doi.org/10.1130/B31818.1" TargetMode="External"/><Relationship Id="rId317" Type="http://schemas.openxmlformats.org/officeDocument/2006/relationships/hyperlink" Target="https://doi.org/10.1016/j.gca.2007.09.004" TargetMode="External"/><Relationship Id="rId524" Type="http://schemas.openxmlformats.org/officeDocument/2006/relationships/hyperlink" Target="https://doi.org/10.1016/j.gca.2007.09.004" TargetMode="External"/><Relationship Id="rId98" Type="http://schemas.openxmlformats.org/officeDocument/2006/relationships/hyperlink" Target="http://dx.doi.org/10.1016/j.chemgeo.2017.09.006" TargetMode="External"/><Relationship Id="rId163" Type="http://schemas.openxmlformats.org/officeDocument/2006/relationships/hyperlink" Target="http://dx.doi.org/10.1016/j.chemgeo.2017.09.006" TargetMode="External"/><Relationship Id="rId370" Type="http://schemas.openxmlformats.org/officeDocument/2006/relationships/hyperlink" Target="https://doi.org/10.1016/j.gca.2007.09.004" TargetMode="External"/><Relationship Id="rId230" Type="http://schemas.openxmlformats.org/officeDocument/2006/relationships/hyperlink" Target="https://doi.org/10.1126/science.289.5482.1176" TargetMode="External"/><Relationship Id="rId468" Type="http://schemas.openxmlformats.org/officeDocument/2006/relationships/hyperlink" Target="https://doi.org/10.1016/j.gca.2007.09.004" TargetMode="External"/><Relationship Id="rId675" Type="http://schemas.openxmlformats.org/officeDocument/2006/relationships/hyperlink" Target="https://doi.org/10.1016/j.epsl.2021.116956" TargetMode="External"/><Relationship Id="rId25" Type="http://schemas.openxmlformats.org/officeDocument/2006/relationships/hyperlink" Target="https://doi.org/10.1130/B31818.1" TargetMode="External"/><Relationship Id="rId328" Type="http://schemas.openxmlformats.org/officeDocument/2006/relationships/hyperlink" Target="https://doi.org/10.1016/j.gca.2007.09.004" TargetMode="External"/><Relationship Id="rId535" Type="http://schemas.openxmlformats.org/officeDocument/2006/relationships/hyperlink" Target="https://doi.org/10.1016/j.gca.2007.09.004" TargetMode="External"/><Relationship Id="rId174" Type="http://schemas.openxmlformats.org/officeDocument/2006/relationships/hyperlink" Target="https://doi.org/10.1073/pnas.0914065107" TargetMode="External"/><Relationship Id="rId381" Type="http://schemas.openxmlformats.org/officeDocument/2006/relationships/hyperlink" Target="https://doi.org/10.1016/j.gca.2007.09.004" TargetMode="External"/><Relationship Id="rId602" Type="http://schemas.openxmlformats.org/officeDocument/2006/relationships/hyperlink" Target="https://doi.org/10.1016/j.epsl.2024.119113" TargetMode="External"/><Relationship Id="rId241" Type="http://schemas.openxmlformats.org/officeDocument/2006/relationships/hyperlink" Target="https://doi.org/10.1016/j.gca.2007.03.006" TargetMode="External"/><Relationship Id="rId479" Type="http://schemas.openxmlformats.org/officeDocument/2006/relationships/hyperlink" Target="https://doi.org/10.1016/j.gca.2007.09.004" TargetMode="External"/><Relationship Id="rId686" Type="http://schemas.openxmlformats.org/officeDocument/2006/relationships/hyperlink" Target="https://jscholarship.library.jhu.edu/items/f0f85516-571e-470d-91bd-946287870a53" TargetMode="External"/><Relationship Id="rId36" Type="http://schemas.openxmlformats.org/officeDocument/2006/relationships/hyperlink" Target="https://doi.org/10.1130/B31818.1" TargetMode="External"/><Relationship Id="rId339" Type="http://schemas.openxmlformats.org/officeDocument/2006/relationships/hyperlink" Target="https://doi.org/10.1016/j.gca.2007.09.004" TargetMode="External"/><Relationship Id="rId546" Type="http://schemas.openxmlformats.org/officeDocument/2006/relationships/hyperlink" Target="https://doi.org/10.1016/j.gca.2007.09.004" TargetMode="External"/><Relationship Id="rId101" Type="http://schemas.openxmlformats.org/officeDocument/2006/relationships/hyperlink" Target="http://dx.doi.org/10.1016/j.chemgeo.2017.09.006" TargetMode="External"/><Relationship Id="rId185" Type="http://schemas.openxmlformats.org/officeDocument/2006/relationships/hyperlink" Target="https://doi.org/10.1073/pnas.0914065107" TargetMode="External"/><Relationship Id="rId406" Type="http://schemas.openxmlformats.org/officeDocument/2006/relationships/hyperlink" Target="https://doi.org/10.1016/j.gca.2007.09.004" TargetMode="External"/><Relationship Id="rId392" Type="http://schemas.openxmlformats.org/officeDocument/2006/relationships/hyperlink" Target="https://doi.org/10.1016/j.gca.2007.09.004" TargetMode="External"/><Relationship Id="rId613" Type="http://schemas.openxmlformats.org/officeDocument/2006/relationships/hyperlink" Target="https://doi.org/10.1016/j.epsl.2024.119113" TargetMode="External"/><Relationship Id="rId697" Type="http://schemas.openxmlformats.org/officeDocument/2006/relationships/hyperlink" Target="https://doi.org/10.1016/j.epsl.2016.06.038" TargetMode="External"/><Relationship Id="rId252" Type="http://schemas.openxmlformats.org/officeDocument/2006/relationships/hyperlink" Target="https://doi.org/10.1016/j.gca.2007.03.006" TargetMode="External"/><Relationship Id="rId47" Type="http://schemas.openxmlformats.org/officeDocument/2006/relationships/hyperlink" Target="https://doi.org/10.1130/B31818.1" TargetMode="External"/><Relationship Id="rId112" Type="http://schemas.openxmlformats.org/officeDocument/2006/relationships/hyperlink" Target="http://dx.doi.org/10.1016/j.chemgeo.2017.09.006" TargetMode="External"/><Relationship Id="rId557" Type="http://schemas.openxmlformats.org/officeDocument/2006/relationships/hyperlink" Target="https://doi.org/10.1016/j.epsl.2016.03.012" TargetMode="External"/><Relationship Id="rId196" Type="http://schemas.openxmlformats.org/officeDocument/2006/relationships/hyperlink" Target="https://doi.org/10.1016/j.chemgeo.2020.119490" TargetMode="External"/><Relationship Id="rId417" Type="http://schemas.openxmlformats.org/officeDocument/2006/relationships/hyperlink" Target="https://doi.org/10.1016/j.gca.2007.09.004" TargetMode="External"/><Relationship Id="rId624" Type="http://schemas.openxmlformats.org/officeDocument/2006/relationships/hyperlink" Target="https://doi.org/10.1016/j.epsl.2024.119113" TargetMode="External"/><Relationship Id="rId263" Type="http://schemas.openxmlformats.org/officeDocument/2006/relationships/hyperlink" Target="https://doi.org/10.1016/j.gca.2007.03.006" TargetMode="External"/><Relationship Id="rId470" Type="http://schemas.openxmlformats.org/officeDocument/2006/relationships/hyperlink" Target="https://doi.org/10.1016/j.gca.2007.09.004" TargetMode="External"/><Relationship Id="rId58" Type="http://schemas.openxmlformats.org/officeDocument/2006/relationships/hyperlink" Target="https://doi.org/10.1130/B31818.1" TargetMode="External"/><Relationship Id="rId123" Type="http://schemas.openxmlformats.org/officeDocument/2006/relationships/hyperlink" Target="http://dx.doi.org/10.1016/j.chemgeo.2017.09.006" TargetMode="External"/><Relationship Id="rId330" Type="http://schemas.openxmlformats.org/officeDocument/2006/relationships/hyperlink" Target="https://doi.org/10.1016/j.gca.2007.09.004" TargetMode="External"/><Relationship Id="rId568" Type="http://schemas.openxmlformats.org/officeDocument/2006/relationships/hyperlink" Target="https://doi.org/10.1016/j.epsl.2016.03.012" TargetMode="External"/><Relationship Id="rId428" Type="http://schemas.openxmlformats.org/officeDocument/2006/relationships/hyperlink" Target="https://doi.org/10.1016/j.gca.2007.09.004" TargetMode="External"/><Relationship Id="rId635" Type="http://schemas.openxmlformats.org/officeDocument/2006/relationships/hyperlink" Target="https://doi.org/10.1130/B36974.1" TargetMode="External"/><Relationship Id="rId274" Type="http://schemas.openxmlformats.org/officeDocument/2006/relationships/hyperlink" Target="https://doi.org/10.1016/j.gca.2007.09.004" TargetMode="External"/><Relationship Id="rId481" Type="http://schemas.openxmlformats.org/officeDocument/2006/relationships/hyperlink" Target="https://doi.org/10.1016/j.gca.2007.09.004" TargetMode="External"/><Relationship Id="rId702" Type="http://schemas.openxmlformats.org/officeDocument/2006/relationships/hyperlink" Target="https://doi.org/10.1002/2016GC006724" TargetMode="External"/><Relationship Id="rId69" Type="http://schemas.openxmlformats.org/officeDocument/2006/relationships/hyperlink" Target="http://dx.doi.org/10.1016/j.chemgeo.2017.09.006" TargetMode="External"/><Relationship Id="rId134" Type="http://schemas.openxmlformats.org/officeDocument/2006/relationships/hyperlink" Target="http://dx.doi.org/10.1016/j.chemgeo.2017.09.006" TargetMode="External"/><Relationship Id="rId579" Type="http://schemas.openxmlformats.org/officeDocument/2006/relationships/hyperlink" Target="https://doi.org/10.1016/j.epsl.2016.03.012" TargetMode="External"/><Relationship Id="rId341" Type="http://schemas.openxmlformats.org/officeDocument/2006/relationships/hyperlink" Target="https://doi.org/10.1016/j.gca.2007.09.004" TargetMode="External"/><Relationship Id="rId439" Type="http://schemas.openxmlformats.org/officeDocument/2006/relationships/hyperlink" Target="https://doi.org/10.1016/j.gca.2007.09.004" TargetMode="External"/><Relationship Id="rId646" Type="http://schemas.openxmlformats.org/officeDocument/2006/relationships/hyperlink" Target="https://doi.org/10.1016/j.gca.2022.04.027" TargetMode="External"/><Relationship Id="rId201" Type="http://schemas.openxmlformats.org/officeDocument/2006/relationships/hyperlink" Target="https://doi.org/10.1016/j.chemgeo.2020.119490" TargetMode="External"/><Relationship Id="rId285" Type="http://schemas.openxmlformats.org/officeDocument/2006/relationships/hyperlink" Target="https://doi.org/10.1016/j.gca.2007.09.004" TargetMode="External"/><Relationship Id="rId506" Type="http://schemas.openxmlformats.org/officeDocument/2006/relationships/hyperlink" Target="https://doi.org/10.1016/j.gca.2007.09.004" TargetMode="External"/><Relationship Id="rId492" Type="http://schemas.openxmlformats.org/officeDocument/2006/relationships/hyperlink" Target="https://doi.org/10.1016/j.gca.2007.09.004" TargetMode="External"/><Relationship Id="rId145" Type="http://schemas.openxmlformats.org/officeDocument/2006/relationships/hyperlink" Target="http://dx.doi.org/10.1016/j.chemgeo.2017.09.006" TargetMode="External"/><Relationship Id="rId352" Type="http://schemas.openxmlformats.org/officeDocument/2006/relationships/hyperlink" Target="https://doi.org/10.1016/j.gca.2007.09.004" TargetMode="External"/><Relationship Id="rId212" Type="http://schemas.openxmlformats.org/officeDocument/2006/relationships/hyperlink" Target="https://doi.org/10.1016/j.chemgeo.2020.119490" TargetMode="External"/><Relationship Id="rId657" Type="http://schemas.openxmlformats.org/officeDocument/2006/relationships/hyperlink" Target="https://doi.org/10.1016/j.epsl.2004.12.006" TargetMode="External"/><Relationship Id="rId296" Type="http://schemas.openxmlformats.org/officeDocument/2006/relationships/hyperlink" Target="https://doi.org/10.1016/j.gca.2007.09.004" TargetMode="External"/><Relationship Id="rId517" Type="http://schemas.openxmlformats.org/officeDocument/2006/relationships/hyperlink" Target="https://doi.org/10.1016/j.gca.2007.09.004" TargetMode="External"/><Relationship Id="rId60" Type="http://schemas.openxmlformats.org/officeDocument/2006/relationships/hyperlink" Target="https://doi-org.ezproxy.library.uvic.ca/10.1016/j.gca.2017.09.046" TargetMode="External"/><Relationship Id="rId156" Type="http://schemas.openxmlformats.org/officeDocument/2006/relationships/hyperlink" Target="http://dx.doi.org/10.1016/j.chemgeo.2017.09.006" TargetMode="External"/><Relationship Id="rId363" Type="http://schemas.openxmlformats.org/officeDocument/2006/relationships/hyperlink" Target="https://doi.org/10.1016/j.gca.2007.09.004" TargetMode="External"/><Relationship Id="rId570" Type="http://schemas.openxmlformats.org/officeDocument/2006/relationships/hyperlink" Target="https://doi.org/10.1016/j.epsl.2016.03.012" TargetMode="External"/><Relationship Id="rId223" Type="http://schemas.openxmlformats.org/officeDocument/2006/relationships/hyperlink" Target="https://doi.org/10.1126/science.289.5482.1176" TargetMode="External"/><Relationship Id="rId430" Type="http://schemas.openxmlformats.org/officeDocument/2006/relationships/hyperlink" Target="https://doi.org/10.1016/j.gca.2007.09.004" TargetMode="External"/><Relationship Id="rId668" Type="http://schemas.openxmlformats.org/officeDocument/2006/relationships/hyperlink" Target="https://doi.org/10.1038/ngeo2844" TargetMode="External"/><Relationship Id="rId18" Type="http://schemas.openxmlformats.org/officeDocument/2006/relationships/hyperlink" Target="https://doi.org/10.1130/B31818.1" TargetMode="External"/><Relationship Id="rId528" Type="http://schemas.openxmlformats.org/officeDocument/2006/relationships/hyperlink" Target="https://doi.org/10.1016/j.gca.2007.09.004" TargetMode="External"/><Relationship Id="rId125" Type="http://schemas.openxmlformats.org/officeDocument/2006/relationships/hyperlink" Target="http://dx.doi.org/10.1016/j.chemgeo.2017.09.006" TargetMode="External"/><Relationship Id="rId167" Type="http://schemas.openxmlformats.org/officeDocument/2006/relationships/hyperlink" Target="https://doi.org/10.1073/pnas.0914065107" TargetMode="External"/><Relationship Id="rId332" Type="http://schemas.openxmlformats.org/officeDocument/2006/relationships/hyperlink" Target="https://doi.org/10.1016/j.gca.2007.09.004" TargetMode="External"/><Relationship Id="rId374" Type="http://schemas.openxmlformats.org/officeDocument/2006/relationships/hyperlink" Target="https://doi.org/10.1016/j.gca.2007.09.004" TargetMode="External"/><Relationship Id="rId581" Type="http://schemas.openxmlformats.org/officeDocument/2006/relationships/hyperlink" Target="https://doi.org/10.1016/j.epsl.2016.03.012" TargetMode="External"/><Relationship Id="rId71" Type="http://schemas.openxmlformats.org/officeDocument/2006/relationships/hyperlink" Target="http://dx.doi.org/10.1016/j.chemgeo.2017.09.006" TargetMode="External"/><Relationship Id="rId234" Type="http://schemas.openxmlformats.org/officeDocument/2006/relationships/hyperlink" Target="https://doi.org/10.1016/j.epsl.2005.06.024" TargetMode="External"/><Relationship Id="rId637" Type="http://schemas.openxmlformats.org/officeDocument/2006/relationships/hyperlink" Target="https://doi.org/10.1130/G52109.1" TargetMode="External"/><Relationship Id="rId679" Type="http://schemas.openxmlformats.org/officeDocument/2006/relationships/hyperlink" Target="https://doi.org/10.1130/G48213.1" TargetMode="External"/><Relationship Id="rId2" Type="http://schemas.openxmlformats.org/officeDocument/2006/relationships/hyperlink" Target="https://doi.org/10.1130/B31818.1" TargetMode="External"/><Relationship Id="rId29" Type="http://schemas.openxmlformats.org/officeDocument/2006/relationships/hyperlink" Target="https://doi.org/10.1130/B31818.1" TargetMode="External"/><Relationship Id="rId276" Type="http://schemas.openxmlformats.org/officeDocument/2006/relationships/hyperlink" Target="https://doi.org/10.1016/j.gca.2007.09.004" TargetMode="External"/><Relationship Id="rId441" Type="http://schemas.openxmlformats.org/officeDocument/2006/relationships/hyperlink" Target="https://doi.org/10.1016/j.gca.2007.09.004" TargetMode="External"/><Relationship Id="rId483" Type="http://schemas.openxmlformats.org/officeDocument/2006/relationships/hyperlink" Target="https://doi.org/10.1016/j.gca.2007.09.004" TargetMode="External"/><Relationship Id="rId539" Type="http://schemas.openxmlformats.org/officeDocument/2006/relationships/hyperlink" Target="https://doi.org/10.1016/j.gca.2007.09.004" TargetMode="External"/><Relationship Id="rId690" Type="http://schemas.openxmlformats.org/officeDocument/2006/relationships/hyperlink" Target="https://doi.org/10.1130/G46861.1" TargetMode="External"/><Relationship Id="rId704" Type="http://schemas.openxmlformats.org/officeDocument/2006/relationships/vmlDrawing" Target="../drawings/vmlDrawing1.vml"/><Relationship Id="rId40" Type="http://schemas.openxmlformats.org/officeDocument/2006/relationships/hyperlink" Target="https://doi.org/10.1130/B31818.1" TargetMode="External"/><Relationship Id="rId136" Type="http://schemas.openxmlformats.org/officeDocument/2006/relationships/hyperlink" Target="http://dx.doi.org/10.1016/j.chemgeo.2017.09.006" TargetMode="External"/><Relationship Id="rId178" Type="http://schemas.openxmlformats.org/officeDocument/2006/relationships/hyperlink" Target="https://doi.org/10.1073/pnas.0914065107" TargetMode="External"/><Relationship Id="rId301" Type="http://schemas.openxmlformats.org/officeDocument/2006/relationships/hyperlink" Target="https://doi.org/10.1016/j.gca.2007.09.004" TargetMode="External"/><Relationship Id="rId343" Type="http://schemas.openxmlformats.org/officeDocument/2006/relationships/hyperlink" Target="https://doi.org/10.1016/j.gca.2007.09.004" TargetMode="External"/><Relationship Id="rId550" Type="http://schemas.openxmlformats.org/officeDocument/2006/relationships/hyperlink" Target="https://doi.org/10.1016/j.epsl.2016.03.012" TargetMode="External"/><Relationship Id="rId82" Type="http://schemas.openxmlformats.org/officeDocument/2006/relationships/hyperlink" Target="http://dx.doi.org/10.1016/j.chemgeo.2017.09.006" TargetMode="External"/><Relationship Id="rId203" Type="http://schemas.openxmlformats.org/officeDocument/2006/relationships/hyperlink" Target="https://doi.org/10.1016/j.chemgeo.2020.119490" TargetMode="External"/><Relationship Id="rId385" Type="http://schemas.openxmlformats.org/officeDocument/2006/relationships/hyperlink" Target="https://doi.org/10.1016/j.gca.2007.09.004" TargetMode="External"/><Relationship Id="rId592" Type="http://schemas.openxmlformats.org/officeDocument/2006/relationships/hyperlink" Target="https://doi.org/10.1016/j.epsl.2024.119113" TargetMode="External"/><Relationship Id="rId606" Type="http://schemas.openxmlformats.org/officeDocument/2006/relationships/hyperlink" Target="https://doi.org/10.1016/j.epsl.2024.119113" TargetMode="External"/><Relationship Id="rId648" Type="http://schemas.openxmlformats.org/officeDocument/2006/relationships/hyperlink" Target="https://doi.org/10.1016/j.gca.2024.01.004" TargetMode="External"/><Relationship Id="rId245" Type="http://schemas.openxmlformats.org/officeDocument/2006/relationships/hyperlink" Target="https://doi.org/10.1016/j.gca.2007.03.006" TargetMode="External"/><Relationship Id="rId287" Type="http://schemas.openxmlformats.org/officeDocument/2006/relationships/hyperlink" Target="https://doi.org/10.1016/j.gca.2007.09.004" TargetMode="External"/><Relationship Id="rId410" Type="http://schemas.openxmlformats.org/officeDocument/2006/relationships/hyperlink" Target="https://doi.org/10.1016/j.gca.2007.09.004" TargetMode="External"/><Relationship Id="rId452" Type="http://schemas.openxmlformats.org/officeDocument/2006/relationships/hyperlink" Target="https://doi.org/10.1016/j.gca.2007.09.004" TargetMode="External"/><Relationship Id="rId494" Type="http://schemas.openxmlformats.org/officeDocument/2006/relationships/hyperlink" Target="https://doi.org/10.1016/j.gca.2007.09.004" TargetMode="External"/><Relationship Id="rId508" Type="http://schemas.openxmlformats.org/officeDocument/2006/relationships/hyperlink" Target="https://doi.org/10.1016/j.gca.2007.09.004" TargetMode="External"/><Relationship Id="rId105" Type="http://schemas.openxmlformats.org/officeDocument/2006/relationships/hyperlink" Target="http://dx.doi.org/10.1016/j.chemgeo.2017.09.006" TargetMode="External"/><Relationship Id="rId147" Type="http://schemas.openxmlformats.org/officeDocument/2006/relationships/hyperlink" Target="http://dx.doi.org/10.1016/j.chemgeo.2017.09.006" TargetMode="External"/><Relationship Id="rId312" Type="http://schemas.openxmlformats.org/officeDocument/2006/relationships/hyperlink" Target="https://doi.org/10.1016/j.gca.2007.09.004" TargetMode="External"/><Relationship Id="rId354" Type="http://schemas.openxmlformats.org/officeDocument/2006/relationships/hyperlink" Target="https://doi.org/10.1016/j.gca.2007.09.004" TargetMode="External"/><Relationship Id="rId51" Type="http://schemas.openxmlformats.org/officeDocument/2006/relationships/hyperlink" Target="https://doi.org/10.1130/B31818.1" TargetMode="External"/><Relationship Id="rId93" Type="http://schemas.openxmlformats.org/officeDocument/2006/relationships/hyperlink" Target="http://dx.doi.org/10.1016/j.chemgeo.2017.09.006" TargetMode="External"/><Relationship Id="rId189" Type="http://schemas.openxmlformats.org/officeDocument/2006/relationships/hyperlink" Target="https://doi.org/10.1016/j.chemgeo.2020.119490" TargetMode="External"/><Relationship Id="rId396" Type="http://schemas.openxmlformats.org/officeDocument/2006/relationships/hyperlink" Target="https://doi.org/10.1016/j.gca.2007.09.004" TargetMode="External"/><Relationship Id="rId561" Type="http://schemas.openxmlformats.org/officeDocument/2006/relationships/hyperlink" Target="https://doi.org/10.1016/j.epsl.2016.03.012" TargetMode="External"/><Relationship Id="rId617" Type="http://schemas.openxmlformats.org/officeDocument/2006/relationships/hyperlink" Target="https://doi.org/10.1016/j.epsl.2024.119113" TargetMode="External"/><Relationship Id="rId659" Type="http://schemas.openxmlformats.org/officeDocument/2006/relationships/hyperlink" Target="https://doi.org/10.1016/j.gca.2024.01.004" TargetMode="External"/><Relationship Id="rId214" Type="http://schemas.openxmlformats.org/officeDocument/2006/relationships/hyperlink" Target="https://doi.org/10.1016/j.chemgeo.2020.119490" TargetMode="External"/><Relationship Id="rId256" Type="http://schemas.openxmlformats.org/officeDocument/2006/relationships/hyperlink" Target="https://doi.org/10.1016/j.gca.2007.03.006" TargetMode="External"/><Relationship Id="rId298" Type="http://schemas.openxmlformats.org/officeDocument/2006/relationships/hyperlink" Target="https://doi.org/10.1016/j.gca.2007.09.004" TargetMode="External"/><Relationship Id="rId421" Type="http://schemas.openxmlformats.org/officeDocument/2006/relationships/hyperlink" Target="https://doi.org/10.1016/j.gca.2007.09.004" TargetMode="External"/><Relationship Id="rId463" Type="http://schemas.openxmlformats.org/officeDocument/2006/relationships/hyperlink" Target="https://doi.org/10.1016/j.gca.2007.09.004" TargetMode="External"/><Relationship Id="rId519" Type="http://schemas.openxmlformats.org/officeDocument/2006/relationships/hyperlink" Target="https://doi.org/10.1016/j.gca.2007.09.004" TargetMode="External"/><Relationship Id="rId670" Type="http://schemas.openxmlformats.org/officeDocument/2006/relationships/hyperlink" Target="https://doi.org/10.1016/j.epsl.2017.09.033" TargetMode="External"/><Relationship Id="rId116" Type="http://schemas.openxmlformats.org/officeDocument/2006/relationships/hyperlink" Target="http://dx.doi.org/10.1016/j.chemgeo.2017.09.006" TargetMode="External"/><Relationship Id="rId158" Type="http://schemas.openxmlformats.org/officeDocument/2006/relationships/hyperlink" Target="http://dx.doi.org/10.1016/j.chemgeo.2017.09.006" TargetMode="External"/><Relationship Id="rId323" Type="http://schemas.openxmlformats.org/officeDocument/2006/relationships/hyperlink" Target="https://doi.org/10.1016/j.gca.2007.09.004" TargetMode="External"/><Relationship Id="rId530" Type="http://schemas.openxmlformats.org/officeDocument/2006/relationships/hyperlink" Target="https://doi.org/10.1016/j.gca.2007.09.004" TargetMode="External"/><Relationship Id="rId20" Type="http://schemas.openxmlformats.org/officeDocument/2006/relationships/hyperlink" Target="https://doi.org/10.1130/B31818.1" TargetMode="External"/><Relationship Id="rId62" Type="http://schemas.openxmlformats.org/officeDocument/2006/relationships/hyperlink" Target="http://dx.doi.org/10.1016/j.chemgeo.2017.09.006" TargetMode="External"/><Relationship Id="rId365" Type="http://schemas.openxmlformats.org/officeDocument/2006/relationships/hyperlink" Target="https://doi.org/10.1016/j.gca.2007.09.004" TargetMode="External"/><Relationship Id="rId572" Type="http://schemas.openxmlformats.org/officeDocument/2006/relationships/hyperlink" Target="https://doi.org/10.1016/j.epsl.2016.03.012" TargetMode="External"/><Relationship Id="rId628" Type="http://schemas.openxmlformats.org/officeDocument/2006/relationships/hyperlink" Target="https://doi.org/10.1016/j.epsl.2024.119113" TargetMode="External"/><Relationship Id="rId225" Type="http://schemas.openxmlformats.org/officeDocument/2006/relationships/hyperlink" Target="https://doi.org/10.1126/science.289.5482.1176" TargetMode="External"/><Relationship Id="rId267" Type="http://schemas.openxmlformats.org/officeDocument/2006/relationships/hyperlink" Target="https://doi.org/10.1130/G31872.1" TargetMode="External"/><Relationship Id="rId432" Type="http://schemas.openxmlformats.org/officeDocument/2006/relationships/hyperlink" Target="https://doi.org/10.1016/j.gca.2007.09.004" TargetMode="External"/><Relationship Id="rId474" Type="http://schemas.openxmlformats.org/officeDocument/2006/relationships/hyperlink" Target="https://doi.org/10.1016/j.gca.2007.09.004" TargetMode="External"/><Relationship Id="rId127" Type="http://schemas.openxmlformats.org/officeDocument/2006/relationships/hyperlink" Target="http://dx.doi.org/10.1016/j.chemgeo.2017.09.006" TargetMode="External"/><Relationship Id="rId681" Type="http://schemas.openxmlformats.org/officeDocument/2006/relationships/hyperlink" Target="https://doi.org/10.1016/j.epsl.2018.10.046" TargetMode="External"/><Relationship Id="rId31" Type="http://schemas.openxmlformats.org/officeDocument/2006/relationships/hyperlink" Target="https://doi.org/10.1130/B31818.1" TargetMode="External"/><Relationship Id="rId73" Type="http://schemas.openxmlformats.org/officeDocument/2006/relationships/hyperlink" Target="http://dx.doi.org/10.1016/j.chemgeo.2017.09.006" TargetMode="External"/><Relationship Id="rId169" Type="http://schemas.openxmlformats.org/officeDocument/2006/relationships/hyperlink" Target="https://doi.org/10.1073/pnas.0914065107" TargetMode="External"/><Relationship Id="rId334" Type="http://schemas.openxmlformats.org/officeDocument/2006/relationships/hyperlink" Target="https://doi.org/10.1016/j.gca.2007.09.004" TargetMode="External"/><Relationship Id="rId376" Type="http://schemas.openxmlformats.org/officeDocument/2006/relationships/hyperlink" Target="https://doi.org/10.1016/j.gca.2007.09.004" TargetMode="External"/><Relationship Id="rId541" Type="http://schemas.openxmlformats.org/officeDocument/2006/relationships/hyperlink" Target="https://doi.org/10.1016/j.gca.2007.09.004" TargetMode="External"/><Relationship Id="rId583" Type="http://schemas.openxmlformats.org/officeDocument/2006/relationships/hyperlink" Target="https://doi.org/10.1016/j.epsl.2016.03.012" TargetMode="External"/><Relationship Id="rId639" Type="http://schemas.openxmlformats.org/officeDocument/2006/relationships/hyperlink" Target="https://doi.org/10.1002/dep2.321" TargetMode="External"/><Relationship Id="rId4" Type="http://schemas.openxmlformats.org/officeDocument/2006/relationships/hyperlink" Target="https://doi.org/10.1130/B31818.1" TargetMode="External"/><Relationship Id="rId180" Type="http://schemas.openxmlformats.org/officeDocument/2006/relationships/hyperlink" Target="https://doi.org/10.1073/pnas.0914065107" TargetMode="External"/><Relationship Id="rId236" Type="http://schemas.openxmlformats.org/officeDocument/2006/relationships/hyperlink" Target="https://doi.org/10.1016/j.epsl.2005.06.024" TargetMode="External"/><Relationship Id="rId278" Type="http://schemas.openxmlformats.org/officeDocument/2006/relationships/hyperlink" Target="https://doi.org/10.1016/j.gca.2007.09.004" TargetMode="External"/><Relationship Id="rId401" Type="http://schemas.openxmlformats.org/officeDocument/2006/relationships/hyperlink" Target="https://doi.org/10.1016/j.gca.2007.09.004" TargetMode="External"/><Relationship Id="rId443" Type="http://schemas.openxmlformats.org/officeDocument/2006/relationships/hyperlink" Target="https://doi.org/10.1016/j.gca.2007.09.004" TargetMode="External"/><Relationship Id="rId650" Type="http://schemas.openxmlformats.org/officeDocument/2006/relationships/hyperlink" Target="https://doi.org/10.1016/j.chemgeo.2024.122530" TargetMode="External"/><Relationship Id="rId303" Type="http://schemas.openxmlformats.org/officeDocument/2006/relationships/hyperlink" Target="https://doi.org/10.1016/j.gca.2007.09.004" TargetMode="External"/><Relationship Id="rId485" Type="http://schemas.openxmlformats.org/officeDocument/2006/relationships/hyperlink" Target="https://doi.org/10.1016/j.gca.2007.09.004" TargetMode="External"/><Relationship Id="rId692" Type="http://schemas.openxmlformats.org/officeDocument/2006/relationships/hyperlink" Target="https://doi.org/10.1130/G46861.1" TargetMode="External"/><Relationship Id="rId706" Type="http://schemas.microsoft.com/office/2017/10/relationships/threadedComment" Target="../threadedComments/threadedComment1.xml"/><Relationship Id="rId42" Type="http://schemas.openxmlformats.org/officeDocument/2006/relationships/hyperlink" Target="https://doi.org/10.1130/B31818.1" TargetMode="External"/><Relationship Id="rId84" Type="http://schemas.openxmlformats.org/officeDocument/2006/relationships/hyperlink" Target="http://dx.doi.org/10.1016/j.chemgeo.2017.09.006" TargetMode="External"/><Relationship Id="rId138" Type="http://schemas.openxmlformats.org/officeDocument/2006/relationships/hyperlink" Target="http://dx.doi.org/10.1016/j.chemgeo.2017.09.006" TargetMode="External"/><Relationship Id="rId345" Type="http://schemas.openxmlformats.org/officeDocument/2006/relationships/hyperlink" Target="https://doi.org/10.1016/j.gca.2007.09.004" TargetMode="External"/><Relationship Id="rId387" Type="http://schemas.openxmlformats.org/officeDocument/2006/relationships/hyperlink" Target="https://doi.org/10.1016/j.gca.2007.09.004" TargetMode="External"/><Relationship Id="rId510" Type="http://schemas.openxmlformats.org/officeDocument/2006/relationships/hyperlink" Target="https://doi.org/10.1016/j.gca.2007.09.004" TargetMode="External"/><Relationship Id="rId552" Type="http://schemas.openxmlformats.org/officeDocument/2006/relationships/hyperlink" Target="https://doi.org/10.1016/j.epsl.2016.03.012" TargetMode="External"/><Relationship Id="rId594" Type="http://schemas.openxmlformats.org/officeDocument/2006/relationships/hyperlink" Target="https://doi.org/10.1016/j.epsl.2024.119113" TargetMode="External"/><Relationship Id="rId608" Type="http://schemas.openxmlformats.org/officeDocument/2006/relationships/hyperlink" Target="https://doi.org/10.1016/j.epsl.2024.119113" TargetMode="External"/><Relationship Id="rId191" Type="http://schemas.openxmlformats.org/officeDocument/2006/relationships/hyperlink" Target="https://doi.org/10.1016/j.chemgeo.2020.119490" TargetMode="External"/><Relationship Id="rId205" Type="http://schemas.openxmlformats.org/officeDocument/2006/relationships/hyperlink" Target="https://doi.org/10.1016/j.chemgeo.2020.119490" TargetMode="External"/><Relationship Id="rId247" Type="http://schemas.openxmlformats.org/officeDocument/2006/relationships/hyperlink" Target="https://doi.org/10.1016/j.gca.2007.03.006" TargetMode="External"/><Relationship Id="rId412" Type="http://schemas.openxmlformats.org/officeDocument/2006/relationships/hyperlink" Target="https://doi.org/10.1016/j.gca.2007.09.004" TargetMode="External"/><Relationship Id="rId107" Type="http://schemas.openxmlformats.org/officeDocument/2006/relationships/hyperlink" Target="http://dx.doi.org/10.1016/j.chemgeo.2017.09.006" TargetMode="External"/><Relationship Id="rId289" Type="http://schemas.openxmlformats.org/officeDocument/2006/relationships/hyperlink" Target="https://doi.org/10.1016/j.gca.2007.09.004" TargetMode="External"/><Relationship Id="rId454" Type="http://schemas.openxmlformats.org/officeDocument/2006/relationships/hyperlink" Target="https://doi.org/10.1016/j.gca.2007.09.004" TargetMode="External"/><Relationship Id="rId496" Type="http://schemas.openxmlformats.org/officeDocument/2006/relationships/hyperlink" Target="https://doi.org/10.1016/j.gca.2007.09.004" TargetMode="External"/><Relationship Id="rId661" Type="http://schemas.openxmlformats.org/officeDocument/2006/relationships/hyperlink" Target="https://doi.org/10.1016/j.gr.2013.03.008" TargetMode="External"/><Relationship Id="rId11" Type="http://schemas.openxmlformats.org/officeDocument/2006/relationships/hyperlink" Target="https://doi.org/10.1130/B31818.1" TargetMode="External"/><Relationship Id="rId53" Type="http://schemas.openxmlformats.org/officeDocument/2006/relationships/hyperlink" Target="https://doi.org/10.1130/B31818.1" TargetMode="External"/><Relationship Id="rId149" Type="http://schemas.openxmlformats.org/officeDocument/2006/relationships/hyperlink" Target="http://dx.doi.org/10.1016/j.chemgeo.2017.09.006" TargetMode="External"/><Relationship Id="rId314" Type="http://schemas.openxmlformats.org/officeDocument/2006/relationships/hyperlink" Target="https://doi.org/10.1016/j.gca.2007.09.004" TargetMode="External"/><Relationship Id="rId356" Type="http://schemas.openxmlformats.org/officeDocument/2006/relationships/hyperlink" Target="https://doi.org/10.1016/j.gca.2007.09.004" TargetMode="External"/><Relationship Id="rId398" Type="http://schemas.openxmlformats.org/officeDocument/2006/relationships/hyperlink" Target="https://doi.org/10.1016/j.gca.2007.09.004" TargetMode="External"/><Relationship Id="rId521" Type="http://schemas.openxmlformats.org/officeDocument/2006/relationships/hyperlink" Target="https://doi.org/10.1016/j.gca.2007.09.004" TargetMode="External"/><Relationship Id="rId563" Type="http://schemas.openxmlformats.org/officeDocument/2006/relationships/hyperlink" Target="https://doi.org/10.1016/j.epsl.2016.03.012" TargetMode="External"/><Relationship Id="rId619" Type="http://schemas.openxmlformats.org/officeDocument/2006/relationships/hyperlink" Target="https://doi.org/10.1016/j.epsl.2024.119113" TargetMode="External"/><Relationship Id="rId95" Type="http://schemas.openxmlformats.org/officeDocument/2006/relationships/hyperlink" Target="http://dx.doi.org/10.1016/j.chemgeo.2017.09.006" TargetMode="External"/><Relationship Id="rId160" Type="http://schemas.openxmlformats.org/officeDocument/2006/relationships/hyperlink" Target="http://dx.doi.org/10.1016/j.chemgeo.2017.09.006" TargetMode="External"/><Relationship Id="rId216" Type="http://schemas.openxmlformats.org/officeDocument/2006/relationships/hyperlink" Target="https://doi.org/10.1016/j.chemgeo.2020.119490" TargetMode="External"/><Relationship Id="rId423" Type="http://schemas.openxmlformats.org/officeDocument/2006/relationships/hyperlink" Target="https://doi.org/10.1016/j.gca.2007.09.004" TargetMode="External"/><Relationship Id="rId258" Type="http://schemas.openxmlformats.org/officeDocument/2006/relationships/hyperlink" Target="https://doi.org/10.1016/j.gca.2007.03.006" TargetMode="External"/><Relationship Id="rId465" Type="http://schemas.openxmlformats.org/officeDocument/2006/relationships/hyperlink" Target="https://doi.org/10.1016/j.gca.2007.09.004" TargetMode="External"/><Relationship Id="rId630" Type="http://schemas.openxmlformats.org/officeDocument/2006/relationships/hyperlink" Target="https://doi.org/10.1016/j.epsl.2024.119113" TargetMode="External"/><Relationship Id="rId672" Type="http://schemas.openxmlformats.org/officeDocument/2006/relationships/hyperlink" Target="https://doi.org/10.1016/j.precamres.2020.105902" TargetMode="External"/><Relationship Id="rId22" Type="http://schemas.openxmlformats.org/officeDocument/2006/relationships/hyperlink" Target="https://doi.org/10.1130/B31818.1" TargetMode="External"/><Relationship Id="rId64" Type="http://schemas.openxmlformats.org/officeDocument/2006/relationships/hyperlink" Target="http://dx.doi.org/10.1016/j.chemgeo.2017.09.006" TargetMode="External"/><Relationship Id="rId118" Type="http://schemas.openxmlformats.org/officeDocument/2006/relationships/hyperlink" Target="http://dx.doi.org/10.1016/j.chemgeo.2017.09.006" TargetMode="External"/><Relationship Id="rId325" Type="http://schemas.openxmlformats.org/officeDocument/2006/relationships/hyperlink" Target="https://doi.org/10.1016/j.gca.2007.09.004" TargetMode="External"/><Relationship Id="rId367" Type="http://schemas.openxmlformats.org/officeDocument/2006/relationships/hyperlink" Target="https://doi.org/10.1016/j.gca.2007.09.004" TargetMode="External"/><Relationship Id="rId532" Type="http://schemas.openxmlformats.org/officeDocument/2006/relationships/hyperlink" Target="https://doi.org/10.1016/j.gca.2007.09.004" TargetMode="External"/><Relationship Id="rId574" Type="http://schemas.openxmlformats.org/officeDocument/2006/relationships/hyperlink" Target="https://doi.org/10.1016/j.epsl.2016.03.012" TargetMode="External"/><Relationship Id="rId171" Type="http://schemas.openxmlformats.org/officeDocument/2006/relationships/hyperlink" Target="https://doi.org/10.1073/pnas.0914065107" TargetMode="External"/><Relationship Id="rId227" Type="http://schemas.openxmlformats.org/officeDocument/2006/relationships/hyperlink" Target="https://doi.org/10.1126/science.289.5482.1176" TargetMode="External"/><Relationship Id="rId269" Type="http://schemas.openxmlformats.org/officeDocument/2006/relationships/hyperlink" Target="https://doi.org/10.1016/j.epsl.2006.10.015" TargetMode="External"/><Relationship Id="rId434" Type="http://schemas.openxmlformats.org/officeDocument/2006/relationships/hyperlink" Target="https://doi.org/10.1016/j.gca.2007.09.004" TargetMode="External"/><Relationship Id="rId476" Type="http://schemas.openxmlformats.org/officeDocument/2006/relationships/hyperlink" Target="https://doi.org/10.1016/j.gca.2007.09.004" TargetMode="External"/><Relationship Id="rId641" Type="http://schemas.openxmlformats.org/officeDocument/2006/relationships/hyperlink" Target="https://doi.org/10.1016/j.epsl.2024.118876" TargetMode="External"/><Relationship Id="rId683" Type="http://schemas.openxmlformats.org/officeDocument/2006/relationships/hyperlink" Target="https://doi.org/10.1016/j.epsl.2022.117368" TargetMode="External"/><Relationship Id="rId33" Type="http://schemas.openxmlformats.org/officeDocument/2006/relationships/hyperlink" Target="https://doi.org/10.1130/B31818.1" TargetMode="External"/><Relationship Id="rId129" Type="http://schemas.openxmlformats.org/officeDocument/2006/relationships/hyperlink" Target="http://dx.doi.org/10.1016/j.chemgeo.2017.09.006" TargetMode="External"/><Relationship Id="rId280" Type="http://schemas.openxmlformats.org/officeDocument/2006/relationships/hyperlink" Target="https://doi.org/10.1016/j.gca.2007.09.004" TargetMode="External"/><Relationship Id="rId336" Type="http://schemas.openxmlformats.org/officeDocument/2006/relationships/hyperlink" Target="https://doi.org/10.1016/j.gca.2007.09.004" TargetMode="External"/><Relationship Id="rId501" Type="http://schemas.openxmlformats.org/officeDocument/2006/relationships/hyperlink" Target="https://doi.org/10.1016/j.gca.2007.09.004" TargetMode="External"/><Relationship Id="rId543" Type="http://schemas.openxmlformats.org/officeDocument/2006/relationships/hyperlink" Target="https://doi.org/10.1016/j.gca.2007.09.004" TargetMode="External"/><Relationship Id="rId75" Type="http://schemas.openxmlformats.org/officeDocument/2006/relationships/hyperlink" Target="http://dx.doi.org/10.1016/j.chemgeo.2017.09.006" TargetMode="External"/><Relationship Id="rId140" Type="http://schemas.openxmlformats.org/officeDocument/2006/relationships/hyperlink" Target="http://dx.doi.org/10.1016/j.chemgeo.2017.09.006" TargetMode="External"/><Relationship Id="rId182" Type="http://schemas.openxmlformats.org/officeDocument/2006/relationships/hyperlink" Target="https://doi.org/10.1073/pnas.0914065107" TargetMode="External"/><Relationship Id="rId378" Type="http://schemas.openxmlformats.org/officeDocument/2006/relationships/hyperlink" Target="https://doi.org/10.1016/j.gca.2007.09.004" TargetMode="External"/><Relationship Id="rId403" Type="http://schemas.openxmlformats.org/officeDocument/2006/relationships/hyperlink" Target="https://doi.org/10.1016/j.gca.2007.09.004" TargetMode="External"/><Relationship Id="rId585" Type="http://schemas.openxmlformats.org/officeDocument/2006/relationships/hyperlink" Target="https://doi.org/10.1016/j.epsl.2016.03.012" TargetMode="External"/><Relationship Id="rId6" Type="http://schemas.openxmlformats.org/officeDocument/2006/relationships/hyperlink" Target="https://doi.org/10.1130/B31818.1" TargetMode="External"/><Relationship Id="rId238" Type="http://schemas.openxmlformats.org/officeDocument/2006/relationships/hyperlink" Target="https://doi.org/10.1016/j.gca.2007.03.006" TargetMode="External"/><Relationship Id="rId445" Type="http://schemas.openxmlformats.org/officeDocument/2006/relationships/hyperlink" Target="https://doi.org/10.1016/j.gca.2007.09.004" TargetMode="External"/><Relationship Id="rId487" Type="http://schemas.openxmlformats.org/officeDocument/2006/relationships/hyperlink" Target="https://doi.org/10.1016/j.gca.2007.09.004" TargetMode="External"/><Relationship Id="rId610" Type="http://schemas.openxmlformats.org/officeDocument/2006/relationships/hyperlink" Target="https://doi.org/10.1016/j.epsl.2024.119113" TargetMode="External"/><Relationship Id="rId652" Type="http://schemas.openxmlformats.org/officeDocument/2006/relationships/hyperlink" Target="https://doi.org/10.1016/j.chemgeo.2024.122530" TargetMode="External"/><Relationship Id="rId694" Type="http://schemas.openxmlformats.org/officeDocument/2006/relationships/hyperlink" Target="https://doi.org/10.1130/G46861.1" TargetMode="External"/><Relationship Id="rId291" Type="http://schemas.openxmlformats.org/officeDocument/2006/relationships/hyperlink" Target="https://doi.org/10.1016/j.gca.2007.09.004" TargetMode="External"/><Relationship Id="rId305" Type="http://schemas.openxmlformats.org/officeDocument/2006/relationships/hyperlink" Target="https://doi.org/10.1016/j.gca.2007.09.004" TargetMode="External"/><Relationship Id="rId347" Type="http://schemas.openxmlformats.org/officeDocument/2006/relationships/hyperlink" Target="https://doi.org/10.1016/j.gca.2007.09.004" TargetMode="External"/><Relationship Id="rId512" Type="http://schemas.openxmlformats.org/officeDocument/2006/relationships/hyperlink" Target="https://doi.org/10.1016/j.gca.2007.09.004" TargetMode="External"/><Relationship Id="rId44" Type="http://schemas.openxmlformats.org/officeDocument/2006/relationships/hyperlink" Target="https://doi.org/10.1130/B31818.1" TargetMode="External"/><Relationship Id="rId86" Type="http://schemas.openxmlformats.org/officeDocument/2006/relationships/hyperlink" Target="http://dx.doi.org/10.1016/j.chemgeo.2017.09.006" TargetMode="External"/><Relationship Id="rId151" Type="http://schemas.openxmlformats.org/officeDocument/2006/relationships/hyperlink" Target="http://dx.doi.org/10.1016/j.chemgeo.2017.09.006" TargetMode="External"/><Relationship Id="rId389" Type="http://schemas.openxmlformats.org/officeDocument/2006/relationships/hyperlink" Target="https://doi.org/10.1016/j.gca.2007.09.004" TargetMode="External"/><Relationship Id="rId554" Type="http://schemas.openxmlformats.org/officeDocument/2006/relationships/hyperlink" Target="https://doi.org/10.1016/j.epsl.2016.03.012" TargetMode="External"/><Relationship Id="rId596" Type="http://schemas.openxmlformats.org/officeDocument/2006/relationships/hyperlink" Target="https://doi.org/10.1016/j.epsl.2024.119113" TargetMode="External"/><Relationship Id="rId193" Type="http://schemas.openxmlformats.org/officeDocument/2006/relationships/hyperlink" Target="https://doi.org/10.1016/j.chemgeo.2020.119490" TargetMode="External"/><Relationship Id="rId207" Type="http://schemas.openxmlformats.org/officeDocument/2006/relationships/hyperlink" Target="https://doi.org/10.1016/j.chemgeo.2020.119490" TargetMode="External"/><Relationship Id="rId249" Type="http://schemas.openxmlformats.org/officeDocument/2006/relationships/hyperlink" Target="https://doi.org/10.1016/j.gca.2007.03.006" TargetMode="External"/><Relationship Id="rId414" Type="http://schemas.openxmlformats.org/officeDocument/2006/relationships/hyperlink" Target="https://doi.org/10.1016/j.gca.2007.09.004" TargetMode="External"/><Relationship Id="rId456" Type="http://schemas.openxmlformats.org/officeDocument/2006/relationships/hyperlink" Target="https://doi.org/10.1016/j.gca.2007.09.004" TargetMode="External"/><Relationship Id="rId498" Type="http://schemas.openxmlformats.org/officeDocument/2006/relationships/hyperlink" Target="https://doi.org/10.1016/j.gca.2007.09.004" TargetMode="External"/><Relationship Id="rId621" Type="http://schemas.openxmlformats.org/officeDocument/2006/relationships/hyperlink" Target="https://doi.org/10.1016/j.epsl.2024.119113" TargetMode="External"/><Relationship Id="rId663" Type="http://schemas.openxmlformats.org/officeDocument/2006/relationships/hyperlink" Target="https://doi.org/10.1111/j.1365-3121.2010.00933.x" TargetMode="External"/><Relationship Id="rId13" Type="http://schemas.openxmlformats.org/officeDocument/2006/relationships/hyperlink" Target="https://doi.org/10.1130/B31818.1" TargetMode="External"/><Relationship Id="rId109" Type="http://schemas.openxmlformats.org/officeDocument/2006/relationships/hyperlink" Target="http://dx.doi.org/10.1016/j.chemgeo.2017.09.006" TargetMode="External"/><Relationship Id="rId260" Type="http://schemas.openxmlformats.org/officeDocument/2006/relationships/hyperlink" Target="https://doi.org/10.1016/j.gca.2007.03.006" TargetMode="External"/><Relationship Id="rId316" Type="http://schemas.openxmlformats.org/officeDocument/2006/relationships/hyperlink" Target="https://doi.org/10.1016/j.gca.2007.09.004" TargetMode="External"/><Relationship Id="rId523" Type="http://schemas.openxmlformats.org/officeDocument/2006/relationships/hyperlink" Target="https://doi.org/10.1016/j.gca.2007.09.004" TargetMode="External"/><Relationship Id="rId55" Type="http://schemas.openxmlformats.org/officeDocument/2006/relationships/hyperlink" Target="https://doi.org/10.1130/B31818.1" TargetMode="External"/><Relationship Id="rId97" Type="http://schemas.openxmlformats.org/officeDocument/2006/relationships/hyperlink" Target="http://dx.doi.org/10.1016/j.chemgeo.2017.09.006" TargetMode="External"/><Relationship Id="rId120" Type="http://schemas.openxmlformats.org/officeDocument/2006/relationships/hyperlink" Target="http://dx.doi.org/10.1016/j.chemgeo.2017.09.006" TargetMode="External"/><Relationship Id="rId358" Type="http://schemas.openxmlformats.org/officeDocument/2006/relationships/hyperlink" Target="https://doi.org/10.1016/j.gca.2007.09.004" TargetMode="External"/><Relationship Id="rId565" Type="http://schemas.openxmlformats.org/officeDocument/2006/relationships/hyperlink" Target="https://doi.org/10.1016/j.epsl.2016.03.012" TargetMode="External"/><Relationship Id="rId162" Type="http://schemas.openxmlformats.org/officeDocument/2006/relationships/hyperlink" Target="http://dx.doi.org/10.1016/j.chemgeo.2017.09.006" TargetMode="External"/><Relationship Id="rId218" Type="http://schemas.openxmlformats.org/officeDocument/2006/relationships/hyperlink" Target="https://doi.org/10.1016/j.chemgeo.2020.119490" TargetMode="External"/><Relationship Id="rId425" Type="http://schemas.openxmlformats.org/officeDocument/2006/relationships/hyperlink" Target="https://doi.org/10.1016/j.gca.2007.09.004" TargetMode="External"/><Relationship Id="rId467" Type="http://schemas.openxmlformats.org/officeDocument/2006/relationships/hyperlink" Target="https://doi.org/10.1016/j.gca.2007.09.004" TargetMode="External"/><Relationship Id="rId632" Type="http://schemas.openxmlformats.org/officeDocument/2006/relationships/hyperlink" Target="https://doi.org/10.1016/j.epsl.2025.119513" TargetMode="External"/><Relationship Id="rId271" Type="http://schemas.openxmlformats.org/officeDocument/2006/relationships/hyperlink" Target="https://doi.org/10.1016/j.gca.2007.09.004" TargetMode="External"/><Relationship Id="rId674" Type="http://schemas.openxmlformats.org/officeDocument/2006/relationships/hyperlink" Target="https://doi.org/10.1016/j.epsl.2021.116956" TargetMode="External"/><Relationship Id="rId24" Type="http://schemas.openxmlformats.org/officeDocument/2006/relationships/hyperlink" Target="https://doi.org/10.1130/B31818.1" TargetMode="External"/><Relationship Id="rId66" Type="http://schemas.openxmlformats.org/officeDocument/2006/relationships/hyperlink" Target="http://dx.doi.org/10.1016/j.chemgeo.2017.09.006" TargetMode="External"/><Relationship Id="rId131" Type="http://schemas.openxmlformats.org/officeDocument/2006/relationships/hyperlink" Target="http://dx.doi.org/10.1016/j.chemgeo.2017.09.006" TargetMode="External"/><Relationship Id="rId327" Type="http://schemas.openxmlformats.org/officeDocument/2006/relationships/hyperlink" Target="https://doi.org/10.1016/j.gca.2007.09.004" TargetMode="External"/><Relationship Id="rId369" Type="http://schemas.openxmlformats.org/officeDocument/2006/relationships/hyperlink" Target="https://doi.org/10.1016/j.gca.2007.09.004" TargetMode="External"/><Relationship Id="rId534" Type="http://schemas.openxmlformats.org/officeDocument/2006/relationships/hyperlink" Target="https://doi.org/10.1016/j.gca.2007.09.004" TargetMode="External"/><Relationship Id="rId576" Type="http://schemas.openxmlformats.org/officeDocument/2006/relationships/hyperlink" Target="https://doi.org/10.1016/j.epsl.2016.03.012" TargetMode="External"/><Relationship Id="rId173" Type="http://schemas.openxmlformats.org/officeDocument/2006/relationships/hyperlink" Target="https://doi.org/10.1073/pnas.0914065107" TargetMode="External"/><Relationship Id="rId229" Type="http://schemas.openxmlformats.org/officeDocument/2006/relationships/hyperlink" Target="https://doi.org/10.1126/science.289.5482.1176" TargetMode="External"/><Relationship Id="rId380" Type="http://schemas.openxmlformats.org/officeDocument/2006/relationships/hyperlink" Target="https://doi.org/10.1016/j.gca.2007.09.004" TargetMode="External"/><Relationship Id="rId436" Type="http://schemas.openxmlformats.org/officeDocument/2006/relationships/hyperlink" Target="https://doi.org/10.1016/j.gca.2007.09.004" TargetMode="External"/><Relationship Id="rId601" Type="http://schemas.openxmlformats.org/officeDocument/2006/relationships/hyperlink" Target="https://doi.org/10.1016/j.epsl.2024.119113" TargetMode="External"/><Relationship Id="rId643" Type="http://schemas.openxmlformats.org/officeDocument/2006/relationships/hyperlink" Target="https://doi.org/10.1016/j.epsl.2024.118876" TargetMode="External"/><Relationship Id="rId240" Type="http://schemas.openxmlformats.org/officeDocument/2006/relationships/hyperlink" Target="https://doi.org/10.1016/j.gca.2007.03.006" TargetMode="External"/><Relationship Id="rId478" Type="http://schemas.openxmlformats.org/officeDocument/2006/relationships/hyperlink" Target="https://doi.org/10.1016/j.gca.2007.09.004" TargetMode="External"/><Relationship Id="rId685" Type="http://schemas.openxmlformats.org/officeDocument/2006/relationships/hyperlink" Target="https://jscholarship.library.jhu.edu/items/f0f85516-571e-470d-91bd-946287870a53" TargetMode="External"/><Relationship Id="rId35" Type="http://schemas.openxmlformats.org/officeDocument/2006/relationships/hyperlink" Target="https://doi.org/10.1130/B31818.1" TargetMode="External"/><Relationship Id="rId77" Type="http://schemas.openxmlformats.org/officeDocument/2006/relationships/hyperlink" Target="http://dx.doi.org/10.1016/j.chemgeo.2017.09.006" TargetMode="External"/><Relationship Id="rId100" Type="http://schemas.openxmlformats.org/officeDocument/2006/relationships/hyperlink" Target="http://dx.doi.org/10.1016/j.chemgeo.2017.09.006" TargetMode="External"/><Relationship Id="rId282" Type="http://schemas.openxmlformats.org/officeDocument/2006/relationships/hyperlink" Target="https://doi.org/10.1016/j.gca.2007.09.004" TargetMode="External"/><Relationship Id="rId338" Type="http://schemas.openxmlformats.org/officeDocument/2006/relationships/hyperlink" Target="https://doi.org/10.1016/j.gca.2007.09.004" TargetMode="External"/><Relationship Id="rId503" Type="http://schemas.openxmlformats.org/officeDocument/2006/relationships/hyperlink" Target="https://doi.org/10.1016/j.gca.2007.09.004" TargetMode="External"/><Relationship Id="rId545" Type="http://schemas.openxmlformats.org/officeDocument/2006/relationships/hyperlink" Target="https://doi.org/10.1016/j.gca.2007.09.004" TargetMode="External"/><Relationship Id="rId587" Type="http://schemas.openxmlformats.org/officeDocument/2006/relationships/hyperlink" Target="https://doi.org/10.1016/j.epsl.2016.03.012" TargetMode="External"/><Relationship Id="rId8" Type="http://schemas.openxmlformats.org/officeDocument/2006/relationships/hyperlink" Target="https://doi.org/10.1130/B31818.1" TargetMode="External"/><Relationship Id="rId142" Type="http://schemas.openxmlformats.org/officeDocument/2006/relationships/hyperlink" Target="http://dx.doi.org/10.1016/j.chemgeo.2017.09.006" TargetMode="External"/><Relationship Id="rId184" Type="http://schemas.openxmlformats.org/officeDocument/2006/relationships/hyperlink" Target="https://doi.org/10.1073/pnas.0914065107" TargetMode="External"/><Relationship Id="rId391" Type="http://schemas.openxmlformats.org/officeDocument/2006/relationships/hyperlink" Target="https://doi.org/10.1016/j.gca.2007.09.004" TargetMode="External"/><Relationship Id="rId405" Type="http://schemas.openxmlformats.org/officeDocument/2006/relationships/hyperlink" Target="https://doi.org/10.1016/j.gca.2007.09.004" TargetMode="External"/><Relationship Id="rId447" Type="http://schemas.openxmlformats.org/officeDocument/2006/relationships/hyperlink" Target="https://doi.org/10.1016/j.gca.2007.09.004" TargetMode="External"/><Relationship Id="rId612" Type="http://schemas.openxmlformats.org/officeDocument/2006/relationships/hyperlink" Target="https://doi.org/10.1016/j.epsl.2024.119113" TargetMode="External"/><Relationship Id="rId251" Type="http://schemas.openxmlformats.org/officeDocument/2006/relationships/hyperlink" Target="https://doi.org/10.1016/j.gca.2007.03.006" TargetMode="External"/><Relationship Id="rId489" Type="http://schemas.openxmlformats.org/officeDocument/2006/relationships/hyperlink" Target="https://doi.org/10.1016/j.gca.2007.09.004" TargetMode="External"/><Relationship Id="rId654" Type="http://schemas.openxmlformats.org/officeDocument/2006/relationships/hyperlink" Target="https://doi.org/10.1016/j.chemgeo.2019.119319" TargetMode="External"/><Relationship Id="rId696" Type="http://schemas.openxmlformats.org/officeDocument/2006/relationships/hyperlink" Target="https://doi.org/10.1016/j.epsl.2016.06.038" TargetMode="External"/><Relationship Id="rId46" Type="http://schemas.openxmlformats.org/officeDocument/2006/relationships/hyperlink" Target="https://doi.org/10.1130/B31818.1" TargetMode="External"/><Relationship Id="rId293" Type="http://schemas.openxmlformats.org/officeDocument/2006/relationships/hyperlink" Target="https://doi.org/10.1016/j.gca.2007.09.004" TargetMode="External"/><Relationship Id="rId307" Type="http://schemas.openxmlformats.org/officeDocument/2006/relationships/hyperlink" Target="https://doi.org/10.1016/j.gca.2007.09.004" TargetMode="External"/><Relationship Id="rId349" Type="http://schemas.openxmlformats.org/officeDocument/2006/relationships/hyperlink" Target="https://doi.org/10.1016/j.gca.2007.09.004" TargetMode="External"/><Relationship Id="rId514" Type="http://schemas.openxmlformats.org/officeDocument/2006/relationships/hyperlink" Target="https://doi.org/10.1016/j.gca.2007.09.004" TargetMode="External"/><Relationship Id="rId556" Type="http://schemas.openxmlformats.org/officeDocument/2006/relationships/hyperlink" Target="https://doi.org/10.1016/j.epsl.2016.03.012" TargetMode="External"/><Relationship Id="rId88" Type="http://schemas.openxmlformats.org/officeDocument/2006/relationships/hyperlink" Target="http://dx.doi.org/10.1016/j.chemgeo.2017.09.006" TargetMode="External"/><Relationship Id="rId111" Type="http://schemas.openxmlformats.org/officeDocument/2006/relationships/hyperlink" Target="http://dx.doi.org/10.1016/j.chemgeo.2017.09.006" TargetMode="External"/><Relationship Id="rId153" Type="http://schemas.openxmlformats.org/officeDocument/2006/relationships/hyperlink" Target="http://dx.doi.org/10.1016/j.chemgeo.2017.09.006" TargetMode="External"/><Relationship Id="rId195" Type="http://schemas.openxmlformats.org/officeDocument/2006/relationships/hyperlink" Target="https://doi.org/10.1016/j.chemgeo.2020.119490" TargetMode="External"/><Relationship Id="rId209" Type="http://schemas.openxmlformats.org/officeDocument/2006/relationships/hyperlink" Target="https://doi.org/10.1016/j.chemgeo.2020.119490" TargetMode="External"/><Relationship Id="rId360" Type="http://schemas.openxmlformats.org/officeDocument/2006/relationships/hyperlink" Target="https://doi.org/10.1016/j.gca.2007.09.004" TargetMode="External"/><Relationship Id="rId416" Type="http://schemas.openxmlformats.org/officeDocument/2006/relationships/hyperlink" Target="https://doi.org/10.1016/j.gca.2007.09.004" TargetMode="External"/><Relationship Id="rId598" Type="http://schemas.openxmlformats.org/officeDocument/2006/relationships/hyperlink" Target="https://doi.org/10.1016/j.epsl.2024.119113" TargetMode="External"/><Relationship Id="rId220" Type="http://schemas.openxmlformats.org/officeDocument/2006/relationships/hyperlink" Target="https://doi.org/10.1126/science.289.5482.1176" TargetMode="External"/><Relationship Id="rId458" Type="http://schemas.openxmlformats.org/officeDocument/2006/relationships/hyperlink" Target="https://doi.org/10.1016/j.gca.2007.09.004" TargetMode="External"/><Relationship Id="rId623" Type="http://schemas.openxmlformats.org/officeDocument/2006/relationships/hyperlink" Target="https://doi.org/10.1016/j.epsl.2024.119113" TargetMode="External"/><Relationship Id="rId665" Type="http://schemas.openxmlformats.org/officeDocument/2006/relationships/hyperlink" Target="https://doi.org/10.1038/s43247-025-02388-w" TargetMode="External"/><Relationship Id="rId15" Type="http://schemas.openxmlformats.org/officeDocument/2006/relationships/hyperlink" Target="https://doi.org/10.1130/B31818.1" TargetMode="External"/><Relationship Id="rId57" Type="http://schemas.openxmlformats.org/officeDocument/2006/relationships/hyperlink" Target="https://doi-org.ezproxy.library.uvic.ca/10.1016/j.gca.2017.09.046" TargetMode="External"/><Relationship Id="rId262" Type="http://schemas.openxmlformats.org/officeDocument/2006/relationships/hyperlink" Target="https://doi.org/10.1016/j.gca.2007.03.006" TargetMode="External"/><Relationship Id="rId318" Type="http://schemas.openxmlformats.org/officeDocument/2006/relationships/hyperlink" Target="https://doi.org/10.1016/j.gca.2007.09.004" TargetMode="External"/><Relationship Id="rId525" Type="http://schemas.openxmlformats.org/officeDocument/2006/relationships/hyperlink" Target="https://doi.org/10.1016/j.gca.2007.09.004" TargetMode="External"/><Relationship Id="rId567" Type="http://schemas.openxmlformats.org/officeDocument/2006/relationships/hyperlink" Target="https://doi.org/10.1016/j.epsl.2016.03.012" TargetMode="External"/><Relationship Id="rId99" Type="http://schemas.openxmlformats.org/officeDocument/2006/relationships/hyperlink" Target="http://dx.doi.org/10.1016/j.chemgeo.2017.09.006" TargetMode="External"/><Relationship Id="rId122" Type="http://schemas.openxmlformats.org/officeDocument/2006/relationships/hyperlink" Target="http://dx.doi.org/10.1016/j.chemgeo.2017.09.006" TargetMode="External"/><Relationship Id="rId164" Type="http://schemas.openxmlformats.org/officeDocument/2006/relationships/hyperlink" Target="http://dx.doi.org/10.1016/j.chemgeo.2017.09.006" TargetMode="External"/><Relationship Id="rId371" Type="http://schemas.openxmlformats.org/officeDocument/2006/relationships/hyperlink" Target="https://doi.org/10.1016/j.gca.2007.09.004" TargetMode="External"/><Relationship Id="rId427" Type="http://schemas.openxmlformats.org/officeDocument/2006/relationships/hyperlink" Target="https://doi.org/10.1016/j.gca.2007.09.004" TargetMode="External"/><Relationship Id="rId469" Type="http://schemas.openxmlformats.org/officeDocument/2006/relationships/hyperlink" Target="https://doi.org/10.1016/j.gca.2007.09.004" TargetMode="External"/><Relationship Id="rId634" Type="http://schemas.openxmlformats.org/officeDocument/2006/relationships/hyperlink" Target="https://doi.org/10.1029/2021GB007235" TargetMode="External"/><Relationship Id="rId676" Type="http://schemas.openxmlformats.org/officeDocument/2006/relationships/hyperlink" Target="https://doi.org/10.1016/j.epsl.2021.117002" TargetMode="External"/><Relationship Id="rId26" Type="http://schemas.openxmlformats.org/officeDocument/2006/relationships/hyperlink" Target="https://doi.org/10.1130/B31818.1" TargetMode="External"/><Relationship Id="rId231" Type="http://schemas.openxmlformats.org/officeDocument/2006/relationships/hyperlink" Target="https://doi.org/10.1126/science.289.5482.1176" TargetMode="External"/><Relationship Id="rId273" Type="http://schemas.openxmlformats.org/officeDocument/2006/relationships/hyperlink" Target="https://doi.org/10.1016/j.gca.2007.09.004" TargetMode="External"/><Relationship Id="rId329" Type="http://schemas.openxmlformats.org/officeDocument/2006/relationships/hyperlink" Target="https://doi.org/10.1016/j.gca.2007.09.004" TargetMode="External"/><Relationship Id="rId480" Type="http://schemas.openxmlformats.org/officeDocument/2006/relationships/hyperlink" Target="https://doi.org/10.1016/j.gca.2007.09.004" TargetMode="External"/><Relationship Id="rId536" Type="http://schemas.openxmlformats.org/officeDocument/2006/relationships/hyperlink" Target="https://doi.org/10.1016/j.gca.2007.09.004" TargetMode="External"/><Relationship Id="rId701" Type="http://schemas.openxmlformats.org/officeDocument/2006/relationships/hyperlink" Target="https://doi.org/10.1016/j.gca.2015.03.012" TargetMode="External"/><Relationship Id="rId68" Type="http://schemas.openxmlformats.org/officeDocument/2006/relationships/hyperlink" Target="http://dx.doi.org/10.1016/j.chemgeo.2017.09.006" TargetMode="External"/><Relationship Id="rId133" Type="http://schemas.openxmlformats.org/officeDocument/2006/relationships/hyperlink" Target="http://dx.doi.org/10.1016/j.chemgeo.2017.09.006" TargetMode="External"/><Relationship Id="rId175" Type="http://schemas.openxmlformats.org/officeDocument/2006/relationships/hyperlink" Target="https://doi.org/10.1073/pnas.0914065107" TargetMode="External"/><Relationship Id="rId340" Type="http://schemas.openxmlformats.org/officeDocument/2006/relationships/hyperlink" Target="https://doi.org/10.1016/j.gca.2007.09.004" TargetMode="External"/><Relationship Id="rId578" Type="http://schemas.openxmlformats.org/officeDocument/2006/relationships/hyperlink" Target="https://doi.org/10.1016/j.epsl.2016.03.012" TargetMode="External"/><Relationship Id="rId200" Type="http://schemas.openxmlformats.org/officeDocument/2006/relationships/hyperlink" Target="https://doi.org/10.1016/j.chemgeo.2020.119490" TargetMode="External"/><Relationship Id="rId382" Type="http://schemas.openxmlformats.org/officeDocument/2006/relationships/hyperlink" Target="https://doi.org/10.1016/j.gca.2007.09.004" TargetMode="External"/><Relationship Id="rId438" Type="http://schemas.openxmlformats.org/officeDocument/2006/relationships/hyperlink" Target="https://doi.org/10.1016/j.gca.2007.09.004" TargetMode="External"/><Relationship Id="rId603" Type="http://schemas.openxmlformats.org/officeDocument/2006/relationships/hyperlink" Target="https://doi.org/10.1016/j.epsl.2024.119113" TargetMode="External"/><Relationship Id="rId645" Type="http://schemas.openxmlformats.org/officeDocument/2006/relationships/hyperlink" Target="https://doi.org/10.1016/j.gca.2022.04.027" TargetMode="External"/><Relationship Id="rId687" Type="http://schemas.openxmlformats.org/officeDocument/2006/relationships/hyperlink" Target="https://doi.org/10.1130/G46861.1" TargetMode="External"/><Relationship Id="rId242" Type="http://schemas.openxmlformats.org/officeDocument/2006/relationships/hyperlink" Target="https://doi.org/10.1016/j.gca.2007.03.006" TargetMode="External"/><Relationship Id="rId284" Type="http://schemas.openxmlformats.org/officeDocument/2006/relationships/hyperlink" Target="https://doi.org/10.1016/j.gca.2007.09.004" TargetMode="External"/><Relationship Id="rId491" Type="http://schemas.openxmlformats.org/officeDocument/2006/relationships/hyperlink" Target="https://doi.org/10.1016/j.gca.2007.09.004" TargetMode="External"/><Relationship Id="rId505" Type="http://schemas.openxmlformats.org/officeDocument/2006/relationships/hyperlink" Target="https://doi.org/10.1016/j.gca.2007.09.004" TargetMode="External"/><Relationship Id="rId37" Type="http://schemas.openxmlformats.org/officeDocument/2006/relationships/hyperlink" Target="https://doi.org/10.1130/B31818.1" TargetMode="External"/><Relationship Id="rId79" Type="http://schemas.openxmlformats.org/officeDocument/2006/relationships/hyperlink" Target="http://dx.doi.org/10.1016/j.chemgeo.2017.09.006" TargetMode="External"/><Relationship Id="rId102" Type="http://schemas.openxmlformats.org/officeDocument/2006/relationships/hyperlink" Target="http://dx.doi.org/10.1016/j.chemgeo.2017.09.006" TargetMode="External"/><Relationship Id="rId144" Type="http://schemas.openxmlformats.org/officeDocument/2006/relationships/hyperlink" Target="http://dx.doi.org/10.1016/j.chemgeo.2017.09.006" TargetMode="External"/><Relationship Id="rId547" Type="http://schemas.openxmlformats.org/officeDocument/2006/relationships/hyperlink" Target="https://doi.org/10.1016/j.gca.2007.09.004" TargetMode="External"/><Relationship Id="rId589" Type="http://schemas.openxmlformats.org/officeDocument/2006/relationships/hyperlink" Target="https://doi.org/10.1016/j.epsl.2016.03.012" TargetMode="External"/><Relationship Id="rId90" Type="http://schemas.openxmlformats.org/officeDocument/2006/relationships/hyperlink" Target="http://dx.doi.org/10.1016/j.chemgeo.2017.09.006" TargetMode="External"/><Relationship Id="rId186" Type="http://schemas.openxmlformats.org/officeDocument/2006/relationships/hyperlink" Target="https://doi.org/10.1073/pnas.0914065107" TargetMode="External"/><Relationship Id="rId351" Type="http://schemas.openxmlformats.org/officeDocument/2006/relationships/hyperlink" Target="https://doi.org/10.1016/j.gca.2007.09.004" TargetMode="External"/><Relationship Id="rId393" Type="http://schemas.openxmlformats.org/officeDocument/2006/relationships/hyperlink" Target="https://doi.org/10.1016/j.gca.2007.09.004" TargetMode="External"/><Relationship Id="rId407" Type="http://schemas.openxmlformats.org/officeDocument/2006/relationships/hyperlink" Target="https://doi.org/10.1016/j.gca.2007.09.004" TargetMode="External"/><Relationship Id="rId449" Type="http://schemas.openxmlformats.org/officeDocument/2006/relationships/hyperlink" Target="https://doi.org/10.1016/j.gca.2007.09.004" TargetMode="External"/><Relationship Id="rId614" Type="http://schemas.openxmlformats.org/officeDocument/2006/relationships/hyperlink" Target="https://doi.org/10.1016/j.epsl.2024.119113" TargetMode="External"/><Relationship Id="rId656" Type="http://schemas.openxmlformats.org/officeDocument/2006/relationships/hyperlink" Target="https://doi.org/10.1016/j.epsl.2004.12.006" TargetMode="External"/><Relationship Id="rId211" Type="http://schemas.openxmlformats.org/officeDocument/2006/relationships/hyperlink" Target="https://doi.org/10.1016/j.chemgeo.2020.119490" TargetMode="External"/><Relationship Id="rId253" Type="http://schemas.openxmlformats.org/officeDocument/2006/relationships/hyperlink" Target="https://doi.org/10.1016/j.gca.2007.03.006" TargetMode="External"/><Relationship Id="rId295" Type="http://schemas.openxmlformats.org/officeDocument/2006/relationships/hyperlink" Target="https://doi.org/10.1016/j.gca.2007.09.004" TargetMode="External"/><Relationship Id="rId309" Type="http://schemas.openxmlformats.org/officeDocument/2006/relationships/hyperlink" Target="https://doi.org/10.1016/j.gca.2007.09.004" TargetMode="External"/><Relationship Id="rId460" Type="http://schemas.openxmlformats.org/officeDocument/2006/relationships/hyperlink" Target="https://doi.org/10.1016/j.gca.2007.09.004" TargetMode="External"/><Relationship Id="rId516" Type="http://schemas.openxmlformats.org/officeDocument/2006/relationships/hyperlink" Target="https://doi.org/10.1016/j.gca.2007.09.004" TargetMode="External"/><Relationship Id="rId698" Type="http://schemas.openxmlformats.org/officeDocument/2006/relationships/hyperlink" Target="https://doi.org/10.1016/j.gca.2017.03.010" TargetMode="External"/><Relationship Id="rId48" Type="http://schemas.openxmlformats.org/officeDocument/2006/relationships/hyperlink" Target="https://doi.org/10.1130/B31818.1" TargetMode="External"/><Relationship Id="rId113" Type="http://schemas.openxmlformats.org/officeDocument/2006/relationships/hyperlink" Target="http://dx.doi.org/10.1016/j.chemgeo.2017.09.006" TargetMode="External"/><Relationship Id="rId320" Type="http://schemas.openxmlformats.org/officeDocument/2006/relationships/hyperlink" Target="https://doi.org/10.1016/j.gca.2007.09.004" TargetMode="External"/><Relationship Id="rId558" Type="http://schemas.openxmlformats.org/officeDocument/2006/relationships/hyperlink" Target="https://doi.org/10.1016/j.epsl.2016.03.012" TargetMode="External"/><Relationship Id="rId155" Type="http://schemas.openxmlformats.org/officeDocument/2006/relationships/hyperlink" Target="http://dx.doi.org/10.1016/j.chemgeo.2017.09.006" TargetMode="External"/><Relationship Id="rId197" Type="http://schemas.openxmlformats.org/officeDocument/2006/relationships/hyperlink" Target="https://doi.org/10.1016/j.chemgeo.2020.119490" TargetMode="External"/><Relationship Id="rId362" Type="http://schemas.openxmlformats.org/officeDocument/2006/relationships/hyperlink" Target="https://doi.org/10.1016/j.gca.2007.09.004" TargetMode="External"/><Relationship Id="rId418" Type="http://schemas.openxmlformats.org/officeDocument/2006/relationships/hyperlink" Target="https://doi.org/10.1016/j.gca.2007.09.004" TargetMode="External"/><Relationship Id="rId625" Type="http://schemas.openxmlformats.org/officeDocument/2006/relationships/hyperlink" Target="https://doi.org/10.1016/j.epsl.2024.119113" TargetMode="External"/><Relationship Id="rId222" Type="http://schemas.openxmlformats.org/officeDocument/2006/relationships/hyperlink" Target="https://doi.org/10.1126/science.289.5482.1176" TargetMode="External"/><Relationship Id="rId264" Type="http://schemas.openxmlformats.org/officeDocument/2006/relationships/hyperlink" Target="https://doi.org/10.1016/j.gca.2007.03.006" TargetMode="External"/><Relationship Id="rId471" Type="http://schemas.openxmlformats.org/officeDocument/2006/relationships/hyperlink" Target="https://doi.org/10.1016/j.gca.2007.09.004" TargetMode="External"/><Relationship Id="rId667" Type="http://schemas.openxmlformats.org/officeDocument/2006/relationships/hyperlink" Target="https://doi.org/10.1038/ngeo2844" TargetMode="External"/><Relationship Id="rId17" Type="http://schemas.openxmlformats.org/officeDocument/2006/relationships/hyperlink" Target="https://doi.org/10.1130/B31818.1" TargetMode="External"/><Relationship Id="rId59" Type="http://schemas.openxmlformats.org/officeDocument/2006/relationships/hyperlink" Target="http://dx.doi.org/10.1016/j.chemgeo.2017.09.006" TargetMode="External"/><Relationship Id="rId124" Type="http://schemas.openxmlformats.org/officeDocument/2006/relationships/hyperlink" Target="http://dx.doi.org/10.1016/j.chemgeo.2017.09.006" TargetMode="External"/><Relationship Id="rId527" Type="http://schemas.openxmlformats.org/officeDocument/2006/relationships/hyperlink" Target="https://doi.org/10.1016/j.gca.2007.09.004" TargetMode="External"/><Relationship Id="rId569" Type="http://schemas.openxmlformats.org/officeDocument/2006/relationships/hyperlink" Target="https://doi.org/10.1016/j.epsl.2016.03.012" TargetMode="External"/><Relationship Id="rId70" Type="http://schemas.openxmlformats.org/officeDocument/2006/relationships/hyperlink" Target="http://dx.doi.org/10.1016/j.chemgeo.2017.09.006" TargetMode="External"/><Relationship Id="rId166" Type="http://schemas.openxmlformats.org/officeDocument/2006/relationships/hyperlink" Target="https://doi.org/10.1073/pnas.0914065107" TargetMode="External"/><Relationship Id="rId331" Type="http://schemas.openxmlformats.org/officeDocument/2006/relationships/hyperlink" Target="https://doi.org/10.1016/j.gca.2007.09.004" TargetMode="External"/><Relationship Id="rId373" Type="http://schemas.openxmlformats.org/officeDocument/2006/relationships/hyperlink" Target="https://doi.org/10.1016/j.gca.2007.09.004" TargetMode="External"/><Relationship Id="rId429" Type="http://schemas.openxmlformats.org/officeDocument/2006/relationships/hyperlink" Target="https://doi.org/10.1016/j.gca.2007.09.004" TargetMode="External"/><Relationship Id="rId580" Type="http://schemas.openxmlformats.org/officeDocument/2006/relationships/hyperlink" Target="https://doi.org/10.1016/j.epsl.2016.03.012" TargetMode="External"/><Relationship Id="rId636" Type="http://schemas.openxmlformats.org/officeDocument/2006/relationships/hyperlink" Target="https://doi.org/10.1130/B36974.1" TargetMode="External"/><Relationship Id="rId1" Type="http://schemas.openxmlformats.org/officeDocument/2006/relationships/hyperlink" Target="https://doi.org/10.1130/B31818.1" TargetMode="External"/><Relationship Id="rId233" Type="http://schemas.openxmlformats.org/officeDocument/2006/relationships/hyperlink" Target="https://doi.org/10.1126/science.289.5482.1176" TargetMode="External"/><Relationship Id="rId440" Type="http://schemas.openxmlformats.org/officeDocument/2006/relationships/hyperlink" Target="https://doi.org/10.1016/j.gca.2007.09.004" TargetMode="External"/><Relationship Id="rId678" Type="http://schemas.openxmlformats.org/officeDocument/2006/relationships/hyperlink" Target="https://doi.org/10.1016/j.epsl.2021.117002" TargetMode="External"/><Relationship Id="rId28" Type="http://schemas.openxmlformats.org/officeDocument/2006/relationships/hyperlink" Target="https://doi.org/10.1130/B31818.1" TargetMode="External"/><Relationship Id="rId275" Type="http://schemas.openxmlformats.org/officeDocument/2006/relationships/hyperlink" Target="https://doi.org/10.1016/j.gca.2007.09.004" TargetMode="External"/><Relationship Id="rId300" Type="http://schemas.openxmlformats.org/officeDocument/2006/relationships/hyperlink" Target="https://doi.org/10.1016/j.gca.2007.09.004" TargetMode="External"/><Relationship Id="rId482" Type="http://schemas.openxmlformats.org/officeDocument/2006/relationships/hyperlink" Target="https://doi.org/10.1016/j.gca.2007.09.004" TargetMode="External"/><Relationship Id="rId538" Type="http://schemas.openxmlformats.org/officeDocument/2006/relationships/hyperlink" Target="https://doi.org/10.1016/j.gca.2007.09.004" TargetMode="External"/><Relationship Id="rId703" Type="http://schemas.openxmlformats.org/officeDocument/2006/relationships/hyperlink" Target="https://doi.org/10.1002/2016GC006724" TargetMode="External"/><Relationship Id="rId81" Type="http://schemas.openxmlformats.org/officeDocument/2006/relationships/hyperlink" Target="http://dx.doi.org/10.1016/j.chemgeo.2017.09.006" TargetMode="External"/><Relationship Id="rId135" Type="http://schemas.openxmlformats.org/officeDocument/2006/relationships/hyperlink" Target="http://dx.doi.org/10.1016/j.chemgeo.2017.09.006" TargetMode="External"/><Relationship Id="rId177" Type="http://schemas.openxmlformats.org/officeDocument/2006/relationships/hyperlink" Target="https://doi.org/10.1073/pnas.0914065107" TargetMode="External"/><Relationship Id="rId342" Type="http://schemas.openxmlformats.org/officeDocument/2006/relationships/hyperlink" Target="https://doi.org/10.1016/j.gca.2007.09.004" TargetMode="External"/><Relationship Id="rId384" Type="http://schemas.openxmlformats.org/officeDocument/2006/relationships/hyperlink" Target="https://doi.org/10.1016/j.gca.2007.09.004" TargetMode="External"/><Relationship Id="rId591" Type="http://schemas.openxmlformats.org/officeDocument/2006/relationships/hyperlink" Target="https://doi.org/10.1016/j.epsl.2024.119113" TargetMode="External"/><Relationship Id="rId605" Type="http://schemas.openxmlformats.org/officeDocument/2006/relationships/hyperlink" Target="https://doi.org/10.1016/j.epsl.2024.119113" TargetMode="External"/><Relationship Id="rId202" Type="http://schemas.openxmlformats.org/officeDocument/2006/relationships/hyperlink" Target="https://doi.org/10.1016/j.chemgeo.2020.119490" TargetMode="External"/><Relationship Id="rId244" Type="http://schemas.openxmlformats.org/officeDocument/2006/relationships/hyperlink" Target="https://doi.org/10.1016/j.gca.2007.03.006" TargetMode="External"/><Relationship Id="rId647" Type="http://schemas.openxmlformats.org/officeDocument/2006/relationships/hyperlink" Target="https://doi.org/10.1002/dep2.321" TargetMode="External"/><Relationship Id="rId689" Type="http://schemas.openxmlformats.org/officeDocument/2006/relationships/hyperlink" Target="https://doi.org/10.1130/G46861.1" TargetMode="External"/><Relationship Id="rId39" Type="http://schemas.openxmlformats.org/officeDocument/2006/relationships/hyperlink" Target="https://doi.org/10.1130/B31818.1" TargetMode="External"/><Relationship Id="rId286" Type="http://schemas.openxmlformats.org/officeDocument/2006/relationships/hyperlink" Target="https://doi.org/10.1016/j.gca.2007.09.004" TargetMode="External"/><Relationship Id="rId451" Type="http://schemas.openxmlformats.org/officeDocument/2006/relationships/hyperlink" Target="https://doi.org/10.1016/j.gca.2007.09.004" TargetMode="External"/><Relationship Id="rId493" Type="http://schemas.openxmlformats.org/officeDocument/2006/relationships/hyperlink" Target="https://doi.org/10.1016/j.gca.2007.09.004" TargetMode="External"/><Relationship Id="rId507" Type="http://schemas.openxmlformats.org/officeDocument/2006/relationships/hyperlink" Target="https://doi.org/10.1016/j.gca.2007.09.004" TargetMode="External"/><Relationship Id="rId549" Type="http://schemas.openxmlformats.org/officeDocument/2006/relationships/hyperlink" Target="https://doi.org/10.1016/j.gca.2007.09.004" TargetMode="External"/><Relationship Id="rId50" Type="http://schemas.openxmlformats.org/officeDocument/2006/relationships/hyperlink" Target="https://doi.org/10.1130/B31818.1" TargetMode="External"/><Relationship Id="rId104" Type="http://schemas.openxmlformats.org/officeDocument/2006/relationships/hyperlink" Target="http://dx.doi.org/10.1016/j.chemgeo.2017.09.006" TargetMode="External"/><Relationship Id="rId146" Type="http://schemas.openxmlformats.org/officeDocument/2006/relationships/hyperlink" Target="http://dx.doi.org/10.1016/j.chemgeo.2017.09.006" TargetMode="External"/><Relationship Id="rId188" Type="http://schemas.openxmlformats.org/officeDocument/2006/relationships/hyperlink" Target="https://doi.org/10.1073/pnas.0914065107" TargetMode="External"/><Relationship Id="rId311" Type="http://schemas.openxmlformats.org/officeDocument/2006/relationships/hyperlink" Target="https://doi.org/10.1016/j.gca.2007.09.004" TargetMode="External"/><Relationship Id="rId353" Type="http://schemas.openxmlformats.org/officeDocument/2006/relationships/hyperlink" Target="https://doi.org/10.1016/j.gca.2007.09.004" TargetMode="External"/><Relationship Id="rId395" Type="http://schemas.openxmlformats.org/officeDocument/2006/relationships/hyperlink" Target="https://doi.org/10.1016/j.gca.2007.09.004" TargetMode="External"/><Relationship Id="rId409" Type="http://schemas.openxmlformats.org/officeDocument/2006/relationships/hyperlink" Target="https://doi.org/10.1016/j.gca.2007.09.004" TargetMode="External"/><Relationship Id="rId560" Type="http://schemas.openxmlformats.org/officeDocument/2006/relationships/hyperlink" Target="https://doi.org/10.1016/j.epsl.2016.03.012" TargetMode="External"/><Relationship Id="rId92" Type="http://schemas.openxmlformats.org/officeDocument/2006/relationships/hyperlink" Target="http://dx.doi.org/10.1016/j.chemgeo.2017.09.006" TargetMode="External"/><Relationship Id="rId213" Type="http://schemas.openxmlformats.org/officeDocument/2006/relationships/hyperlink" Target="https://doi.org/10.1016/j.chemgeo.2020.119490" TargetMode="External"/><Relationship Id="rId420" Type="http://schemas.openxmlformats.org/officeDocument/2006/relationships/hyperlink" Target="https://doi.org/10.1016/j.gca.2007.09.004" TargetMode="External"/><Relationship Id="rId616" Type="http://schemas.openxmlformats.org/officeDocument/2006/relationships/hyperlink" Target="https://doi.org/10.1016/j.epsl.2024.119113" TargetMode="External"/><Relationship Id="rId658" Type="http://schemas.openxmlformats.org/officeDocument/2006/relationships/hyperlink" Target="https://doi.org/10.1016/j.chemgeo.2019.119319" TargetMode="External"/><Relationship Id="rId255" Type="http://schemas.openxmlformats.org/officeDocument/2006/relationships/hyperlink" Target="https://doi.org/10.1016/j.gca.2007.03.006" TargetMode="External"/><Relationship Id="rId297" Type="http://schemas.openxmlformats.org/officeDocument/2006/relationships/hyperlink" Target="https://doi.org/10.1016/j.gca.2007.09.004" TargetMode="External"/><Relationship Id="rId462" Type="http://schemas.openxmlformats.org/officeDocument/2006/relationships/hyperlink" Target="https://doi.org/10.1016/j.gca.2007.09.004" TargetMode="External"/><Relationship Id="rId518" Type="http://schemas.openxmlformats.org/officeDocument/2006/relationships/hyperlink" Target="https://doi.org/10.1016/j.gca.2007.09.004" TargetMode="External"/><Relationship Id="rId115" Type="http://schemas.openxmlformats.org/officeDocument/2006/relationships/hyperlink" Target="http://dx.doi.org/10.1016/j.chemgeo.2017.09.006" TargetMode="External"/><Relationship Id="rId157" Type="http://schemas.openxmlformats.org/officeDocument/2006/relationships/hyperlink" Target="http://dx.doi.org/10.1016/j.chemgeo.2017.09.006" TargetMode="External"/><Relationship Id="rId322" Type="http://schemas.openxmlformats.org/officeDocument/2006/relationships/hyperlink" Target="https://doi.org/10.1016/j.gca.2007.09.004" TargetMode="External"/><Relationship Id="rId364" Type="http://schemas.openxmlformats.org/officeDocument/2006/relationships/hyperlink" Target="https://doi.org/10.1016/j.gca.2007.09.004" TargetMode="External"/><Relationship Id="rId61" Type="http://schemas.openxmlformats.org/officeDocument/2006/relationships/hyperlink" Target="http://dx.doi.org/10.1016/j.chemgeo.2017.09.006" TargetMode="External"/><Relationship Id="rId199" Type="http://schemas.openxmlformats.org/officeDocument/2006/relationships/hyperlink" Target="https://doi.org/10.1016/j.chemgeo.2020.119490" TargetMode="External"/><Relationship Id="rId571" Type="http://schemas.openxmlformats.org/officeDocument/2006/relationships/hyperlink" Target="https://doi.org/10.1016/j.epsl.2016.03.012" TargetMode="External"/><Relationship Id="rId627" Type="http://schemas.openxmlformats.org/officeDocument/2006/relationships/hyperlink" Target="https://doi.org/10.1016/j.epsl.2024.119113" TargetMode="External"/><Relationship Id="rId669" Type="http://schemas.openxmlformats.org/officeDocument/2006/relationships/hyperlink" Target="https://doi.org/10.1016/j.epsl.2017.09.033" TargetMode="External"/><Relationship Id="rId19" Type="http://schemas.openxmlformats.org/officeDocument/2006/relationships/hyperlink" Target="https://doi.org/10.1130/B31818.1" TargetMode="External"/><Relationship Id="rId224" Type="http://schemas.openxmlformats.org/officeDocument/2006/relationships/hyperlink" Target="https://doi.org/10.1126/science.289.5482.1176" TargetMode="External"/><Relationship Id="rId266" Type="http://schemas.openxmlformats.org/officeDocument/2006/relationships/hyperlink" Target="https://doi.org/10.1016/j.gca.2007.03.006" TargetMode="External"/><Relationship Id="rId431" Type="http://schemas.openxmlformats.org/officeDocument/2006/relationships/hyperlink" Target="https://doi.org/10.1016/j.gca.2007.09.004" TargetMode="External"/><Relationship Id="rId473" Type="http://schemas.openxmlformats.org/officeDocument/2006/relationships/hyperlink" Target="https://doi.org/10.1016/j.gca.2007.09.004" TargetMode="External"/><Relationship Id="rId529" Type="http://schemas.openxmlformats.org/officeDocument/2006/relationships/hyperlink" Target="https://doi.org/10.1016/j.gca.2007.09.004" TargetMode="External"/><Relationship Id="rId680" Type="http://schemas.openxmlformats.org/officeDocument/2006/relationships/hyperlink" Target="https://doi.org/10.1130/G48213.1" TargetMode="External"/><Relationship Id="rId30" Type="http://schemas.openxmlformats.org/officeDocument/2006/relationships/hyperlink" Target="https://doi.org/10.1130/B31818.1" TargetMode="External"/><Relationship Id="rId126" Type="http://schemas.openxmlformats.org/officeDocument/2006/relationships/hyperlink" Target="http://dx.doi.org/10.1016/j.chemgeo.2017.09.006" TargetMode="External"/><Relationship Id="rId168" Type="http://schemas.openxmlformats.org/officeDocument/2006/relationships/hyperlink" Target="https://doi.org/10.1073/pnas.0914065107" TargetMode="External"/><Relationship Id="rId333" Type="http://schemas.openxmlformats.org/officeDocument/2006/relationships/hyperlink" Target="https://doi.org/10.1016/j.gca.2007.09.004" TargetMode="External"/><Relationship Id="rId540" Type="http://schemas.openxmlformats.org/officeDocument/2006/relationships/hyperlink" Target="https://doi.org/10.1016/j.gca.2007.09.004" TargetMode="External"/><Relationship Id="rId72" Type="http://schemas.openxmlformats.org/officeDocument/2006/relationships/hyperlink" Target="http://dx.doi.org/10.1016/j.chemgeo.2017.09.006" TargetMode="External"/><Relationship Id="rId375" Type="http://schemas.openxmlformats.org/officeDocument/2006/relationships/hyperlink" Target="https://doi.org/10.1016/j.gca.2007.09.004" TargetMode="External"/><Relationship Id="rId582" Type="http://schemas.openxmlformats.org/officeDocument/2006/relationships/hyperlink" Target="https://doi.org/10.1016/j.epsl.2016.03.012" TargetMode="External"/><Relationship Id="rId638" Type="http://schemas.openxmlformats.org/officeDocument/2006/relationships/hyperlink" Target="https://doi.org/10.1130/G52109.1" TargetMode="External"/><Relationship Id="rId3" Type="http://schemas.openxmlformats.org/officeDocument/2006/relationships/hyperlink" Target="https://doi.org/10.1130/B31818.1" TargetMode="External"/><Relationship Id="rId235" Type="http://schemas.openxmlformats.org/officeDocument/2006/relationships/hyperlink" Target="https://doi.org/10.1016/j.epsl.2005.06.024" TargetMode="External"/><Relationship Id="rId277" Type="http://schemas.openxmlformats.org/officeDocument/2006/relationships/hyperlink" Target="https://doi.org/10.1016/j.gca.2007.09.004" TargetMode="External"/><Relationship Id="rId400" Type="http://schemas.openxmlformats.org/officeDocument/2006/relationships/hyperlink" Target="https://doi.org/10.1016/j.gca.2007.09.004" TargetMode="External"/><Relationship Id="rId442" Type="http://schemas.openxmlformats.org/officeDocument/2006/relationships/hyperlink" Target="https://doi.org/10.1016/j.gca.2007.09.004" TargetMode="External"/><Relationship Id="rId484" Type="http://schemas.openxmlformats.org/officeDocument/2006/relationships/hyperlink" Target="https://doi.org/10.1016/j.gca.2007.09.004" TargetMode="External"/><Relationship Id="rId705" Type="http://schemas.openxmlformats.org/officeDocument/2006/relationships/comments" Target="../comments1.xml"/><Relationship Id="rId137" Type="http://schemas.openxmlformats.org/officeDocument/2006/relationships/hyperlink" Target="http://dx.doi.org/10.1016/j.chemgeo.2017.09.006" TargetMode="External"/><Relationship Id="rId302" Type="http://schemas.openxmlformats.org/officeDocument/2006/relationships/hyperlink" Target="https://doi.org/10.1016/j.gca.2007.09.004" TargetMode="External"/><Relationship Id="rId344" Type="http://schemas.openxmlformats.org/officeDocument/2006/relationships/hyperlink" Target="https://doi.org/10.1016/j.gca.2007.09.004" TargetMode="External"/><Relationship Id="rId691" Type="http://schemas.openxmlformats.org/officeDocument/2006/relationships/hyperlink" Target="https://doi.org/10.1130/G46861.1" TargetMode="External"/><Relationship Id="rId41" Type="http://schemas.openxmlformats.org/officeDocument/2006/relationships/hyperlink" Target="https://doi.org/10.1130/B31818.1" TargetMode="External"/><Relationship Id="rId83" Type="http://schemas.openxmlformats.org/officeDocument/2006/relationships/hyperlink" Target="http://dx.doi.org/10.1016/j.chemgeo.2017.09.006" TargetMode="External"/><Relationship Id="rId179" Type="http://schemas.openxmlformats.org/officeDocument/2006/relationships/hyperlink" Target="https://doi.org/10.1073/pnas.0914065107" TargetMode="External"/><Relationship Id="rId386" Type="http://schemas.openxmlformats.org/officeDocument/2006/relationships/hyperlink" Target="https://doi.org/10.1016/j.gca.2007.09.004" TargetMode="External"/><Relationship Id="rId551" Type="http://schemas.openxmlformats.org/officeDocument/2006/relationships/hyperlink" Target="https://doi.org/10.1016/j.epsl.2016.03.012" TargetMode="External"/><Relationship Id="rId593" Type="http://schemas.openxmlformats.org/officeDocument/2006/relationships/hyperlink" Target="https://doi.org/10.1016/j.epsl.2024.119113" TargetMode="External"/><Relationship Id="rId607" Type="http://schemas.openxmlformats.org/officeDocument/2006/relationships/hyperlink" Target="https://doi.org/10.1016/j.epsl.2024.119113" TargetMode="External"/><Relationship Id="rId649" Type="http://schemas.openxmlformats.org/officeDocument/2006/relationships/hyperlink" Target="https://doi.org/10.1016/j.gca.2024.01.004" TargetMode="External"/><Relationship Id="rId190" Type="http://schemas.openxmlformats.org/officeDocument/2006/relationships/hyperlink" Target="https://doi.org/10.1016/j.chemgeo.2020.119490" TargetMode="External"/><Relationship Id="rId204" Type="http://schemas.openxmlformats.org/officeDocument/2006/relationships/hyperlink" Target="https://doi.org/10.1016/j.chemgeo.2020.119490" TargetMode="External"/><Relationship Id="rId246" Type="http://schemas.openxmlformats.org/officeDocument/2006/relationships/hyperlink" Target="https://doi.org/10.1016/j.gca.2007.03.006" TargetMode="External"/><Relationship Id="rId288" Type="http://schemas.openxmlformats.org/officeDocument/2006/relationships/hyperlink" Target="https://doi.org/10.1016/j.gca.2007.09.004" TargetMode="External"/><Relationship Id="rId411" Type="http://schemas.openxmlformats.org/officeDocument/2006/relationships/hyperlink" Target="https://doi.org/10.1016/j.gca.2007.09.004" TargetMode="External"/><Relationship Id="rId453" Type="http://schemas.openxmlformats.org/officeDocument/2006/relationships/hyperlink" Target="https://doi.org/10.1016/j.gca.2007.09.004" TargetMode="External"/><Relationship Id="rId509" Type="http://schemas.openxmlformats.org/officeDocument/2006/relationships/hyperlink" Target="https://doi.org/10.1016/j.gca.2007.09.004" TargetMode="External"/><Relationship Id="rId660" Type="http://schemas.openxmlformats.org/officeDocument/2006/relationships/hyperlink" Target="https://doi.org/10.1016/j.gr.2013.03.008" TargetMode="External"/><Relationship Id="rId106" Type="http://schemas.openxmlformats.org/officeDocument/2006/relationships/hyperlink" Target="http://dx.doi.org/10.1016/j.chemgeo.2017.09.006" TargetMode="External"/><Relationship Id="rId313" Type="http://schemas.openxmlformats.org/officeDocument/2006/relationships/hyperlink" Target="https://doi.org/10.1016/j.gca.2007.09.004" TargetMode="External"/><Relationship Id="rId495" Type="http://schemas.openxmlformats.org/officeDocument/2006/relationships/hyperlink" Target="https://doi.org/10.1016/j.gca.2007.09.004" TargetMode="External"/><Relationship Id="rId10" Type="http://schemas.openxmlformats.org/officeDocument/2006/relationships/hyperlink" Target="https://doi.org/10.1130/B31818.1" TargetMode="External"/><Relationship Id="rId52" Type="http://schemas.openxmlformats.org/officeDocument/2006/relationships/hyperlink" Target="https://doi.org/10.1130/B31818.1" TargetMode="External"/><Relationship Id="rId94" Type="http://schemas.openxmlformats.org/officeDocument/2006/relationships/hyperlink" Target="http://dx.doi.org/10.1016/j.chemgeo.2017.09.006" TargetMode="External"/><Relationship Id="rId148" Type="http://schemas.openxmlformats.org/officeDocument/2006/relationships/hyperlink" Target="http://dx.doi.org/10.1016/j.chemgeo.2017.09.006" TargetMode="External"/><Relationship Id="rId355" Type="http://schemas.openxmlformats.org/officeDocument/2006/relationships/hyperlink" Target="https://doi.org/10.1016/j.gca.2007.09.004" TargetMode="External"/><Relationship Id="rId397" Type="http://schemas.openxmlformats.org/officeDocument/2006/relationships/hyperlink" Target="https://doi.org/10.1016/j.gca.2007.09.004" TargetMode="External"/><Relationship Id="rId520" Type="http://schemas.openxmlformats.org/officeDocument/2006/relationships/hyperlink" Target="https://doi.org/10.1016/j.gca.2007.09.004" TargetMode="External"/><Relationship Id="rId562" Type="http://schemas.openxmlformats.org/officeDocument/2006/relationships/hyperlink" Target="https://doi.org/10.1016/j.epsl.2016.03.012" TargetMode="External"/><Relationship Id="rId618" Type="http://schemas.openxmlformats.org/officeDocument/2006/relationships/hyperlink" Target="https://doi.org/10.1016/j.epsl.2024.119113" TargetMode="External"/><Relationship Id="rId215" Type="http://schemas.openxmlformats.org/officeDocument/2006/relationships/hyperlink" Target="https://doi.org/10.1016/j.chemgeo.2020.119490" TargetMode="External"/><Relationship Id="rId257" Type="http://schemas.openxmlformats.org/officeDocument/2006/relationships/hyperlink" Target="https://doi.org/10.1016/j.gca.2007.03.006" TargetMode="External"/><Relationship Id="rId422" Type="http://schemas.openxmlformats.org/officeDocument/2006/relationships/hyperlink" Target="https://doi.org/10.1016/j.gca.2007.09.004" TargetMode="External"/><Relationship Id="rId464" Type="http://schemas.openxmlformats.org/officeDocument/2006/relationships/hyperlink" Target="https://doi.org/10.1016/j.gca.2007.09.004" TargetMode="External"/><Relationship Id="rId299" Type="http://schemas.openxmlformats.org/officeDocument/2006/relationships/hyperlink" Target="https://doi.org/10.1016/j.gca.2007.09.004" TargetMode="External"/><Relationship Id="rId63" Type="http://schemas.openxmlformats.org/officeDocument/2006/relationships/hyperlink" Target="http://dx.doi.org/10.1016/j.chemgeo.2017.09.006" TargetMode="External"/><Relationship Id="rId159" Type="http://schemas.openxmlformats.org/officeDocument/2006/relationships/hyperlink" Target="http://dx.doi.org/10.1016/j.chemgeo.2017.09.006" TargetMode="External"/><Relationship Id="rId366" Type="http://schemas.openxmlformats.org/officeDocument/2006/relationships/hyperlink" Target="https://doi.org/10.1016/j.gca.2007.09.004" TargetMode="External"/><Relationship Id="rId573" Type="http://schemas.openxmlformats.org/officeDocument/2006/relationships/hyperlink" Target="https://doi.org/10.1016/j.epsl.2016.03.012" TargetMode="External"/><Relationship Id="rId226" Type="http://schemas.openxmlformats.org/officeDocument/2006/relationships/hyperlink" Target="https://doi.org/10.1126/science.289.5482.1176" TargetMode="External"/><Relationship Id="rId433" Type="http://schemas.openxmlformats.org/officeDocument/2006/relationships/hyperlink" Target="https://doi.org/10.1016/j.gca.2007.09.004" TargetMode="External"/><Relationship Id="rId640" Type="http://schemas.openxmlformats.org/officeDocument/2006/relationships/hyperlink" Target="https://doi.org/10.1002/dep2.321" TargetMode="External"/><Relationship Id="rId74" Type="http://schemas.openxmlformats.org/officeDocument/2006/relationships/hyperlink" Target="http://dx.doi.org/10.1016/j.chemgeo.2017.09.006" TargetMode="External"/><Relationship Id="rId377" Type="http://schemas.openxmlformats.org/officeDocument/2006/relationships/hyperlink" Target="https://doi.org/10.1016/j.gca.2007.09.004" TargetMode="External"/><Relationship Id="rId500" Type="http://schemas.openxmlformats.org/officeDocument/2006/relationships/hyperlink" Target="https://doi.org/10.1016/j.gca.2007.09.004" TargetMode="External"/><Relationship Id="rId584" Type="http://schemas.openxmlformats.org/officeDocument/2006/relationships/hyperlink" Target="https://doi.org/10.1016/j.epsl.2016.03.012" TargetMode="External"/><Relationship Id="rId5" Type="http://schemas.openxmlformats.org/officeDocument/2006/relationships/hyperlink" Target="https://doi.org/10.1130/B31818.1" TargetMode="External"/><Relationship Id="rId237" Type="http://schemas.openxmlformats.org/officeDocument/2006/relationships/hyperlink" Target="https://doi.org/10.1016/j.gca.2007.03.006" TargetMode="External"/><Relationship Id="rId444" Type="http://schemas.openxmlformats.org/officeDocument/2006/relationships/hyperlink" Target="https://doi.org/10.1016/j.gca.2007.09.004" TargetMode="External"/><Relationship Id="rId651" Type="http://schemas.openxmlformats.org/officeDocument/2006/relationships/hyperlink" Target="https://doi.org/10.1016/j.chemgeo.2024.122530" TargetMode="External"/><Relationship Id="rId290" Type="http://schemas.openxmlformats.org/officeDocument/2006/relationships/hyperlink" Target="https://doi.org/10.1016/j.gca.2007.09.004" TargetMode="External"/><Relationship Id="rId304" Type="http://schemas.openxmlformats.org/officeDocument/2006/relationships/hyperlink" Target="https://doi.org/10.1016/j.gca.2007.09.004" TargetMode="External"/><Relationship Id="rId388" Type="http://schemas.openxmlformats.org/officeDocument/2006/relationships/hyperlink" Target="https://doi.org/10.1016/j.gca.2007.09.004" TargetMode="External"/><Relationship Id="rId511" Type="http://schemas.openxmlformats.org/officeDocument/2006/relationships/hyperlink" Target="https://doi.org/10.1016/j.gca.2007.09.004" TargetMode="External"/><Relationship Id="rId609" Type="http://schemas.openxmlformats.org/officeDocument/2006/relationships/hyperlink" Target="https://doi.org/10.1016/j.epsl.2024.119113" TargetMode="External"/><Relationship Id="rId85" Type="http://schemas.openxmlformats.org/officeDocument/2006/relationships/hyperlink" Target="http://dx.doi.org/10.1016/j.chemgeo.2017.09.006" TargetMode="External"/><Relationship Id="rId150" Type="http://schemas.openxmlformats.org/officeDocument/2006/relationships/hyperlink" Target="http://dx.doi.org/10.1016/j.chemgeo.2017.09.006" TargetMode="External"/><Relationship Id="rId595" Type="http://schemas.openxmlformats.org/officeDocument/2006/relationships/hyperlink" Target="https://doi.org/10.1016/j.epsl.2024.119113" TargetMode="External"/><Relationship Id="rId248" Type="http://schemas.openxmlformats.org/officeDocument/2006/relationships/hyperlink" Target="https://doi.org/10.1016/j.gca.2007.03.006" TargetMode="External"/><Relationship Id="rId455" Type="http://schemas.openxmlformats.org/officeDocument/2006/relationships/hyperlink" Target="https://doi.org/10.1016/j.gca.2007.09.004" TargetMode="External"/><Relationship Id="rId662" Type="http://schemas.openxmlformats.org/officeDocument/2006/relationships/hyperlink" Target="https://doi.org/10.1016/j.gr.2013.03.008" TargetMode="External"/><Relationship Id="rId12" Type="http://schemas.openxmlformats.org/officeDocument/2006/relationships/hyperlink" Target="https://doi.org/10.1130/B31818.1" TargetMode="External"/><Relationship Id="rId108" Type="http://schemas.openxmlformats.org/officeDocument/2006/relationships/hyperlink" Target="http://dx.doi.org/10.1016/j.chemgeo.2017.09.006" TargetMode="External"/><Relationship Id="rId315" Type="http://schemas.openxmlformats.org/officeDocument/2006/relationships/hyperlink" Target="https://doi.org/10.1016/j.gca.2007.09.004" TargetMode="External"/><Relationship Id="rId522" Type="http://schemas.openxmlformats.org/officeDocument/2006/relationships/hyperlink" Target="https://doi.org/10.1016/j.gca.2007.09.004" TargetMode="External"/><Relationship Id="rId96" Type="http://schemas.openxmlformats.org/officeDocument/2006/relationships/hyperlink" Target="http://dx.doi.org/10.1016/j.chemgeo.2017.09.006" TargetMode="External"/><Relationship Id="rId161" Type="http://schemas.openxmlformats.org/officeDocument/2006/relationships/hyperlink" Target="http://dx.doi.org/10.1016/j.chemgeo.2017.09.006" TargetMode="External"/><Relationship Id="rId399" Type="http://schemas.openxmlformats.org/officeDocument/2006/relationships/hyperlink" Target="https://doi.org/10.1016/j.gca.2007.09.004" TargetMode="External"/><Relationship Id="rId259" Type="http://schemas.openxmlformats.org/officeDocument/2006/relationships/hyperlink" Target="https://doi.org/10.1016/j.gca.2007.03.006" TargetMode="External"/><Relationship Id="rId466" Type="http://schemas.openxmlformats.org/officeDocument/2006/relationships/hyperlink" Target="https://doi.org/10.1016/j.gca.2007.09.004" TargetMode="External"/><Relationship Id="rId673" Type="http://schemas.openxmlformats.org/officeDocument/2006/relationships/hyperlink" Target="https://doi.org/10.1016/j.epsl.2021.116956" TargetMode="External"/><Relationship Id="rId23" Type="http://schemas.openxmlformats.org/officeDocument/2006/relationships/hyperlink" Target="https://doi.org/10.1130/B31818.1" TargetMode="External"/><Relationship Id="rId119" Type="http://schemas.openxmlformats.org/officeDocument/2006/relationships/hyperlink" Target="http://dx.doi.org/10.1016/j.chemgeo.2017.09.006" TargetMode="External"/><Relationship Id="rId326" Type="http://schemas.openxmlformats.org/officeDocument/2006/relationships/hyperlink" Target="https://doi.org/10.1016/j.gca.2007.09.004" TargetMode="External"/><Relationship Id="rId533" Type="http://schemas.openxmlformats.org/officeDocument/2006/relationships/hyperlink" Target="https://doi.org/10.1016/j.gca.2007.09.004" TargetMode="External"/><Relationship Id="rId172" Type="http://schemas.openxmlformats.org/officeDocument/2006/relationships/hyperlink" Target="https://doi.org/10.1073/pnas.0914065107" TargetMode="External"/><Relationship Id="rId477" Type="http://schemas.openxmlformats.org/officeDocument/2006/relationships/hyperlink" Target="https://doi.org/10.1016/j.gca.2007.09.004" TargetMode="External"/><Relationship Id="rId600" Type="http://schemas.openxmlformats.org/officeDocument/2006/relationships/hyperlink" Target="https://doi.org/10.1016/j.epsl.2024.119113" TargetMode="External"/><Relationship Id="rId684" Type="http://schemas.openxmlformats.org/officeDocument/2006/relationships/hyperlink" Target="https://doi.org/10.1016/j.epsl.2022.117368" TargetMode="External"/><Relationship Id="rId337" Type="http://schemas.openxmlformats.org/officeDocument/2006/relationships/hyperlink" Target="https://doi.org/10.1016/j.gca.2007.09.004" TargetMode="External"/><Relationship Id="rId34" Type="http://schemas.openxmlformats.org/officeDocument/2006/relationships/hyperlink" Target="https://doi.org/10.1130/B31818.1" TargetMode="External"/><Relationship Id="rId544" Type="http://schemas.openxmlformats.org/officeDocument/2006/relationships/hyperlink" Target="https://doi.org/10.1016/j.gca.2007.09.004" TargetMode="External"/><Relationship Id="rId183" Type="http://schemas.openxmlformats.org/officeDocument/2006/relationships/hyperlink" Target="https://doi.org/10.1073/pnas.0914065107" TargetMode="External"/><Relationship Id="rId390" Type="http://schemas.openxmlformats.org/officeDocument/2006/relationships/hyperlink" Target="https://doi.org/10.1016/j.gca.2007.09.004" TargetMode="External"/><Relationship Id="rId404" Type="http://schemas.openxmlformats.org/officeDocument/2006/relationships/hyperlink" Target="https://doi.org/10.1016/j.gca.2007.09.004" TargetMode="External"/><Relationship Id="rId611" Type="http://schemas.openxmlformats.org/officeDocument/2006/relationships/hyperlink" Target="https://doi.org/10.1016/j.epsl.2024.119113" TargetMode="External"/><Relationship Id="rId250" Type="http://schemas.openxmlformats.org/officeDocument/2006/relationships/hyperlink" Target="https://doi.org/10.1016/j.gca.2007.03.006" TargetMode="External"/><Relationship Id="rId488" Type="http://schemas.openxmlformats.org/officeDocument/2006/relationships/hyperlink" Target="https://doi.org/10.1016/j.gca.2007.09.004" TargetMode="External"/><Relationship Id="rId695" Type="http://schemas.openxmlformats.org/officeDocument/2006/relationships/hyperlink" Target="https://doi.org/10.1130/G46861.1" TargetMode="External"/><Relationship Id="rId45" Type="http://schemas.openxmlformats.org/officeDocument/2006/relationships/hyperlink" Target="https://doi.org/10.1130/B31818.1" TargetMode="External"/><Relationship Id="rId110" Type="http://schemas.openxmlformats.org/officeDocument/2006/relationships/hyperlink" Target="http://dx.doi.org/10.1016/j.chemgeo.2017.09.006" TargetMode="External"/><Relationship Id="rId348" Type="http://schemas.openxmlformats.org/officeDocument/2006/relationships/hyperlink" Target="https://doi.org/10.1016/j.gca.2007.09.004" TargetMode="External"/><Relationship Id="rId555" Type="http://schemas.openxmlformats.org/officeDocument/2006/relationships/hyperlink" Target="https://doi.org/10.1016/j.epsl.2016.03.012" TargetMode="External"/><Relationship Id="rId194" Type="http://schemas.openxmlformats.org/officeDocument/2006/relationships/hyperlink" Target="https://doi.org/10.1016/j.chemgeo.2020.119490" TargetMode="External"/><Relationship Id="rId208" Type="http://schemas.openxmlformats.org/officeDocument/2006/relationships/hyperlink" Target="https://doi.org/10.1016/j.chemgeo.2020.119490" TargetMode="External"/><Relationship Id="rId415" Type="http://schemas.openxmlformats.org/officeDocument/2006/relationships/hyperlink" Target="https://doi.org/10.1016/j.gca.2007.09.004" TargetMode="External"/><Relationship Id="rId622" Type="http://schemas.openxmlformats.org/officeDocument/2006/relationships/hyperlink" Target="https://doi.org/10.1016/j.epsl.2024.119113" TargetMode="External"/><Relationship Id="rId261" Type="http://schemas.openxmlformats.org/officeDocument/2006/relationships/hyperlink" Target="https://doi.org/10.1016/j.gca.2007.03.006" TargetMode="External"/><Relationship Id="rId499" Type="http://schemas.openxmlformats.org/officeDocument/2006/relationships/hyperlink" Target="https://doi.org/10.1016/j.gca.2007.09.004" TargetMode="External"/><Relationship Id="rId56" Type="http://schemas.openxmlformats.org/officeDocument/2006/relationships/hyperlink" Target="https://doi.org/10.1130/B31818.1" TargetMode="External"/><Relationship Id="rId359" Type="http://schemas.openxmlformats.org/officeDocument/2006/relationships/hyperlink" Target="https://doi.org/10.1016/j.gca.2007.09.004" TargetMode="External"/><Relationship Id="rId566" Type="http://schemas.openxmlformats.org/officeDocument/2006/relationships/hyperlink" Target="https://doi.org/10.1016/j.epsl.2016.03.012" TargetMode="External"/><Relationship Id="rId121" Type="http://schemas.openxmlformats.org/officeDocument/2006/relationships/hyperlink" Target="http://dx.doi.org/10.1016/j.chemgeo.2017.09.006" TargetMode="External"/><Relationship Id="rId219" Type="http://schemas.openxmlformats.org/officeDocument/2006/relationships/hyperlink" Target="https://doi.org/10.1016/j.chemgeo.2020.119490" TargetMode="External"/><Relationship Id="rId426" Type="http://schemas.openxmlformats.org/officeDocument/2006/relationships/hyperlink" Target="https://doi.org/10.1016/j.gca.2007.09.004" TargetMode="External"/><Relationship Id="rId633" Type="http://schemas.openxmlformats.org/officeDocument/2006/relationships/hyperlink" Target="https://doi.org/10.1029/2021GB007235" TargetMode="External"/><Relationship Id="rId67" Type="http://schemas.openxmlformats.org/officeDocument/2006/relationships/hyperlink" Target="http://dx.doi.org/10.1016/j.chemgeo.2017.09.006" TargetMode="External"/><Relationship Id="rId272" Type="http://schemas.openxmlformats.org/officeDocument/2006/relationships/hyperlink" Target="https://doi.org/10.1016/j.gca.2007.09.004" TargetMode="External"/><Relationship Id="rId577" Type="http://schemas.openxmlformats.org/officeDocument/2006/relationships/hyperlink" Target="https://doi.org/10.1016/j.epsl.2016.03.012" TargetMode="External"/><Relationship Id="rId700" Type="http://schemas.openxmlformats.org/officeDocument/2006/relationships/hyperlink" Target="https://doi.org/10.1016/j.gca.2015.03.012" TargetMode="External"/><Relationship Id="rId132" Type="http://schemas.openxmlformats.org/officeDocument/2006/relationships/hyperlink" Target="http://dx.doi.org/10.1016/j.chemgeo.2017.09.006" TargetMode="External"/><Relationship Id="rId437" Type="http://schemas.openxmlformats.org/officeDocument/2006/relationships/hyperlink" Target="https://doi.org/10.1016/j.gca.2007.09.004" TargetMode="External"/><Relationship Id="rId644" Type="http://schemas.openxmlformats.org/officeDocument/2006/relationships/hyperlink" Target="https://doi.org/10.1016/j.gca.2022.04.027" TargetMode="External"/><Relationship Id="rId283" Type="http://schemas.openxmlformats.org/officeDocument/2006/relationships/hyperlink" Target="https://doi.org/10.1016/j.gca.2007.09.004" TargetMode="External"/><Relationship Id="rId490" Type="http://schemas.openxmlformats.org/officeDocument/2006/relationships/hyperlink" Target="https://doi.org/10.1016/j.gca.2007.09.004" TargetMode="External"/><Relationship Id="rId504" Type="http://schemas.openxmlformats.org/officeDocument/2006/relationships/hyperlink" Target="https://doi.org/10.1016/j.gca.2007.09.004" TargetMode="External"/><Relationship Id="rId78" Type="http://schemas.openxmlformats.org/officeDocument/2006/relationships/hyperlink" Target="http://dx.doi.org/10.1016/j.chemgeo.2017.09.006" TargetMode="External"/><Relationship Id="rId143" Type="http://schemas.openxmlformats.org/officeDocument/2006/relationships/hyperlink" Target="http://dx.doi.org/10.1016/j.chemgeo.2017.09.006" TargetMode="External"/><Relationship Id="rId350" Type="http://schemas.openxmlformats.org/officeDocument/2006/relationships/hyperlink" Target="https://doi.org/10.1016/j.gca.2007.09.004" TargetMode="External"/><Relationship Id="rId588" Type="http://schemas.openxmlformats.org/officeDocument/2006/relationships/hyperlink" Target="https://doi.org/10.1016/j.epsl.2016.03.012" TargetMode="External"/><Relationship Id="rId9" Type="http://schemas.openxmlformats.org/officeDocument/2006/relationships/hyperlink" Target="https://doi.org/10.1130/B31818.1" TargetMode="External"/><Relationship Id="rId210" Type="http://schemas.openxmlformats.org/officeDocument/2006/relationships/hyperlink" Target="https://doi.org/10.1016/j.chemgeo.2020.119490" TargetMode="External"/><Relationship Id="rId448" Type="http://schemas.openxmlformats.org/officeDocument/2006/relationships/hyperlink" Target="https://doi.org/10.1016/j.gca.2007.09.004" TargetMode="External"/><Relationship Id="rId655" Type="http://schemas.openxmlformats.org/officeDocument/2006/relationships/hyperlink" Target="https://doi.org/10.1016/j.chemgeo.2019.119319" TargetMode="External"/><Relationship Id="rId294" Type="http://schemas.openxmlformats.org/officeDocument/2006/relationships/hyperlink" Target="https://doi.org/10.1016/j.gca.2007.09.004" TargetMode="External"/><Relationship Id="rId308" Type="http://schemas.openxmlformats.org/officeDocument/2006/relationships/hyperlink" Target="https://doi.org/10.1016/j.gca.2007.09.004" TargetMode="External"/><Relationship Id="rId515" Type="http://schemas.openxmlformats.org/officeDocument/2006/relationships/hyperlink" Target="https://doi.org/10.1016/j.gca.2007.09.004" TargetMode="External"/><Relationship Id="rId89" Type="http://schemas.openxmlformats.org/officeDocument/2006/relationships/hyperlink" Target="http://dx.doi.org/10.1016/j.chemgeo.2017.09.006" TargetMode="External"/><Relationship Id="rId154" Type="http://schemas.openxmlformats.org/officeDocument/2006/relationships/hyperlink" Target="http://dx.doi.org/10.1016/j.chemgeo.2017.09.006" TargetMode="External"/><Relationship Id="rId361" Type="http://schemas.openxmlformats.org/officeDocument/2006/relationships/hyperlink" Target="https://doi.org/10.1016/j.gca.2007.09.004" TargetMode="External"/><Relationship Id="rId599" Type="http://schemas.openxmlformats.org/officeDocument/2006/relationships/hyperlink" Target="https://doi.org/10.1016/j.epsl.2024.119113" TargetMode="External"/><Relationship Id="rId459" Type="http://schemas.openxmlformats.org/officeDocument/2006/relationships/hyperlink" Target="https://doi.org/10.1016/j.gca.2007.09.004" TargetMode="External"/><Relationship Id="rId666" Type="http://schemas.openxmlformats.org/officeDocument/2006/relationships/hyperlink" Target="https://doi.org/10.1038/s43247-025-02388-w" TargetMode="External"/><Relationship Id="rId16" Type="http://schemas.openxmlformats.org/officeDocument/2006/relationships/hyperlink" Target="https://doi.org/10.1130/B31818.1" TargetMode="External"/><Relationship Id="rId221" Type="http://schemas.openxmlformats.org/officeDocument/2006/relationships/hyperlink" Target="https://doi.org/10.1126/science.289.5482.1176" TargetMode="External"/><Relationship Id="rId319" Type="http://schemas.openxmlformats.org/officeDocument/2006/relationships/hyperlink" Target="https://doi.org/10.1016/j.gca.2007.09.004" TargetMode="External"/><Relationship Id="rId526" Type="http://schemas.openxmlformats.org/officeDocument/2006/relationships/hyperlink" Target="https://doi.org/10.1016/j.gca.2007.09.004" TargetMode="External"/><Relationship Id="rId165" Type="http://schemas.openxmlformats.org/officeDocument/2006/relationships/hyperlink" Target="https://doi.org/10.1073/pnas.0914065107" TargetMode="External"/><Relationship Id="rId372" Type="http://schemas.openxmlformats.org/officeDocument/2006/relationships/hyperlink" Target="https://doi.org/10.1016/j.gca.2007.09.004" TargetMode="External"/><Relationship Id="rId677" Type="http://schemas.openxmlformats.org/officeDocument/2006/relationships/hyperlink" Target="https://doi.org/10.1016/j.epsl.2021.117002" TargetMode="External"/><Relationship Id="rId232" Type="http://schemas.openxmlformats.org/officeDocument/2006/relationships/hyperlink" Target="https://doi.org/10.1126/science.289.5482.1176" TargetMode="External"/><Relationship Id="rId27" Type="http://schemas.openxmlformats.org/officeDocument/2006/relationships/hyperlink" Target="https://doi.org/10.1130/B31818.1" TargetMode="External"/><Relationship Id="rId537" Type="http://schemas.openxmlformats.org/officeDocument/2006/relationships/hyperlink" Target="https://doi.org/10.1016/j.gca.2007.09.004" TargetMode="External"/><Relationship Id="rId80" Type="http://schemas.openxmlformats.org/officeDocument/2006/relationships/hyperlink" Target="http://dx.doi.org/10.1016/j.chemgeo.2017.09.006" TargetMode="External"/><Relationship Id="rId176" Type="http://schemas.openxmlformats.org/officeDocument/2006/relationships/hyperlink" Target="https://doi.org/10.1073/pnas.0914065107" TargetMode="External"/><Relationship Id="rId383" Type="http://schemas.openxmlformats.org/officeDocument/2006/relationships/hyperlink" Target="https://doi.org/10.1016/j.gca.2007.09.004" TargetMode="External"/><Relationship Id="rId590" Type="http://schemas.openxmlformats.org/officeDocument/2006/relationships/hyperlink" Target="https://doi-org.ezproxy.library.uvic.ca/10.1016/j.gca.2017.09.046" TargetMode="External"/><Relationship Id="rId604" Type="http://schemas.openxmlformats.org/officeDocument/2006/relationships/hyperlink" Target="https://doi.org/10.1016/j.epsl.2024.119113" TargetMode="External"/><Relationship Id="rId243" Type="http://schemas.openxmlformats.org/officeDocument/2006/relationships/hyperlink" Target="https://doi.org/10.1016/j.gca.2007.03.006" TargetMode="External"/><Relationship Id="rId450" Type="http://schemas.openxmlformats.org/officeDocument/2006/relationships/hyperlink" Target="https://doi.org/10.1016/j.gca.2007.09.004" TargetMode="External"/><Relationship Id="rId688" Type="http://schemas.openxmlformats.org/officeDocument/2006/relationships/hyperlink" Target="https://doi.org/10.1130/G46861.1" TargetMode="External"/><Relationship Id="rId38" Type="http://schemas.openxmlformats.org/officeDocument/2006/relationships/hyperlink" Target="https://doi.org/10.1130/B31818.1" TargetMode="External"/><Relationship Id="rId103" Type="http://schemas.openxmlformats.org/officeDocument/2006/relationships/hyperlink" Target="http://dx.doi.org/10.1016/j.chemgeo.2017.09.006" TargetMode="External"/><Relationship Id="rId310" Type="http://schemas.openxmlformats.org/officeDocument/2006/relationships/hyperlink" Target="https://doi.org/10.1016/j.gca.2007.09.004" TargetMode="External"/><Relationship Id="rId548" Type="http://schemas.openxmlformats.org/officeDocument/2006/relationships/hyperlink" Target="https://doi.org/10.1016/j.gca.2007.09.004" TargetMode="External"/><Relationship Id="rId91" Type="http://schemas.openxmlformats.org/officeDocument/2006/relationships/hyperlink" Target="http://dx.doi.org/10.1016/j.chemgeo.2017.09.006" TargetMode="External"/><Relationship Id="rId187" Type="http://schemas.openxmlformats.org/officeDocument/2006/relationships/hyperlink" Target="https://doi.org/10.1073/pnas.0914065107" TargetMode="External"/><Relationship Id="rId394" Type="http://schemas.openxmlformats.org/officeDocument/2006/relationships/hyperlink" Target="https://doi.org/10.1016/j.gca.2007.09.004" TargetMode="External"/><Relationship Id="rId408" Type="http://schemas.openxmlformats.org/officeDocument/2006/relationships/hyperlink" Target="https://doi.org/10.1016/j.gca.2007.09.004" TargetMode="External"/><Relationship Id="rId615" Type="http://schemas.openxmlformats.org/officeDocument/2006/relationships/hyperlink" Target="https://doi.org/10.1016/j.epsl.2024.119113" TargetMode="External"/><Relationship Id="rId254" Type="http://schemas.openxmlformats.org/officeDocument/2006/relationships/hyperlink" Target="https://doi.org/10.1016/j.gca.2007.03.006" TargetMode="External"/><Relationship Id="rId699" Type="http://schemas.openxmlformats.org/officeDocument/2006/relationships/hyperlink" Target="https://doi.org/10.1016/j.gca.2017.03.010" TargetMode="External"/><Relationship Id="rId49" Type="http://schemas.openxmlformats.org/officeDocument/2006/relationships/hyperlink" Target="https://doi.org/10.1130/B31818.1" TargetMode="External"/><Relationship Id="rId114" Type="http://schemas.openxmlformats.org/officeDocument/2006/relationships/hyperlink" Target="http://dx.doi.org/10.1016/j.chemgeo.2017.09.006" TargetMode="External"/><Relationship Id="rId461" Type="http://schemas.openxmlformats.org/officeDocument/2006/relationships/hyperlink" Target="https://doi.org/10.1016/j.gca.2007.09.004" TargetMode="External"/><Relationship Id="rId559" Type="http://schemas.openxmlformats.org/officeDocument/2006/relationships/hyperlink" Target="https://doi.org/10.1016/j.epsl.2016.03.012" TargetMode="External"/><Relationship Id="rId198" Type="http://schemas.openxmlformats.org/officeDocument/2006/relationships/hyperlink" Target="https://doi.org/10.1016/j.chemgeo.2020.119490" TargetMode="External"/><Relationship Id="rId321" Type="http://schemas.openxmlformats.org/officeDocument/2006/relationships/hyperlink" Target="https://doi.org/10.1016/j.gca.2007.09.004" TargetMode="External"/><Relationship Id="rId419" Type="http://schemas.openxmlformats.org/officeDocument/2006/relationships/hyperlink" Target="https://doi.org/10.1016/j.gca.2007.09.004" TargetMode="External"/><Relationship Id="rId626" Type="http://schemas.openxmlformats.org/officeDocument/2006/relationships/hyperlink" Target="https://doi.org/10.1016/j.epsl.2024.119113" TargetMode="External"/><Relationship Id="rId265" Type="http://schemas.openxmlformats.org/officeDocument/2006/relationships/hyperlink" Target="https://doi.org/10.1016/j.gca.2007.03.006" TargetMode="External"/><Relationship Id="rId472" Type="http://schemas.openxmlformats.org/officeDocument/2006/relationships/hyperlink" Target="https://doi.org/10.1016/j.gca.2007.09.00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1536-341C-4FF0-853E-900CE29B4E06}">
  <sheetPr codeName="Sheet1"/>
  <dimension ref="A1:S6037"/>
  <sheetViews>
    <sheetView tabSelected="1" zoomScale="92" zoomScaleNormal="85" workbookViewId="0">
      <pane ySplit="1" topLeftCell="A6010" activePane="bottomLeft" state="frozen"/>
      <selection pane="bottomLeft" activeCell="A6038" sqref="A6038"/>
    </sheetView>
  </sheetViews>
  <sheetFormatPr defaultRowHeight="14.5"/>
  <cols>
    <col min="1" max="1" width="29" bestFit="1" customWidth="1"/>
    <col min="2" max="2" width="29.453125" style="1" bestFit="1" customWidth="1"/>
    <col min="3" max="3" width="72.54296875" style="1" bestFit="1" customWidth="1"/>
    <col min="4" max="4" width="34.7265625" style="1" bestFit="1" customWidth="1"/>
    <col min="5" max="5" width="17.54296875" style="1" customWidth="1"/>
    <col min="6" max="6" width="19.54296875" customWidth="1"/>
    <col min="7" max="7" width="20.453125" bestFit="1" customWidth="1"/>
    <col min="8" max="8" width="23.453125" customWidth="1"/>
    <col min="9" max="9" width="38.1796875" style="1" bestFit="1" customWidth="1"/>
    <col min="10" max="10" width="103.453125" style="1" bestFit="1" customWidth="1"/>
    <col min="11" max="11" width="17.54296875" customWidth="1"/>
    <col min="12" max="12" width="8.81640625" bestFit="1" customWidth="1"/>
    <col min="13" max="13" width="19.7265625" style="1" bestFit="1" customWidth="1"/>
    <col min="14" max="14" width="10.1796875" customWidth="1"/>
    <col min="15" max="15" width="8.54296875" style="1" customWidth="1"/>
    <col min="16" max="16" width="14.54296875" style="3" customWidth="1"/>
    <col min="17" max="17" width="15.7265625" style="37" bestFit="1" customWidth="1"/>
    <col min="18" max="18" width="12.1796875" bestFit="1" customWidth="1"/>
    <col min="19" max="19" width="15.7265625" style="25" bestFit="1" customWidth="1"/>
  </cols>
  <sheetData>
    <row r="1" spans="1:19" ht="16.5" thickBot="1">
      <c r="A1" s="9" t="s">
        <v>0</v>
      </c>
      <c r="B1" s="9" t="s">
        <v>1</v>
      </c>
      <c r="C1" s="9" t="s">
        <v>2</v>
      </c>
      <c r="D1" s="9" t="s">
        <v>4086</v>
      </c>
      <c r="E1" s="9" t="s">
        <v>1208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19" t="s">
        <v>1293</v>
      </c>
    </row>
    <row r="2" spans="1:19">
      <c r="A2" s="10" t="s">
        <v>2119</v>
      </c>
      <c r="B2" s="11" t="s">
        <v>17</v>
      </c>
      <c r="C2" s="11" t="s">
        <v>18</v>
      </c>
      <c r="D2" s="11" t="s">
        <v>19</v>
      </c>
      <c r="E2" s="11" t="s">
        <v>25</v>
      </c>
      <c r="F2">
        <v>251.9</v>
      </c>
      <c r="G2">
        <v>254.14</v>
      </c>
      <c r="H2" s="12">
        <v>0</v>
      </c>
      <c r="I2" s="11" t="s">
        <v>20</v>
      </c>
      <c r="J2" s="11" t="s">
        <v>21</v>
      </c>
      <c r="K2" s="11" t="s">
        <v>22</v>
      </c>
      <c r="L2" s="12">
        <v>0.46586666666666698</v>
      </c>
      <c r="M2" s="12" t="s">
        <v>23</v>
      </c>
      <c r="N2" s="11" t="s">
        <v>24</v>
      </c>
      <c r="O2" s="13" t="s">
        <v>25</v>
      </c>
      <c r="P2" s="11" t="s">
        <v>25</v>
      </c>
      <c r="Q2" s="37" t="s">
        <v>25</v>
      </c>
      <c r="R2" s="12" t="s">
        <v>25</v>
      </c>
      <c r="S2" s="13">
        <f>IF(NOT(N2="SW"),L2-1.88,L2)</f>
        <v>-1.414133333333333</v>
      </c>
    </row>
    <row r="3" spans="1:19">
      <c r="A3" s="10" t="s">
        <v>2119</v>
      </c>
      <c r="B3" s="11" t="s">
        <v>26</v>
      </c>
      <c r="C3" s="11" t="s">
        <v>18</v>
      </c>
      <c r="D3" s="11" t="s">
        <v>27</v>
      </c>
      <c r="E3" s="11" t="s">
        <v>25</v>
      </c>
      <c r="F3">
        <v>251.9</v>
      </c>
      <c r="G3">
        <v>254.14</v>
      </c>
      <c r="H3" s="12">
        <v>9</v>
      </c>
      <c r="I3" s="11" t="s">
        <v>20</v>
      </c>
      <c r="J3" s="11" t="s">
        <v>21</v>
      </c>
      <c r="K3" s="11" t="s">
        <v>22</v>
      </c>
      <c r="L3" s="12">
        <v>0.40664999999999996</v>
      </c>
      <c r="M3" s="12" t="s">
        <v>23</v>
      </c>
      <c r="N3" s="11" t="s">
        <v>24</v>
      </c>
      <c r="O3" s="13">
        <v>504</v>
      </c>
      <c r="P3" s="11" t="s">
        <v>28</v>
      </c>
      <c r="Q3" s="37">
        <v>1.3448965977318212E-3</v>
      </c>
      <c r="R3" s="12" t="s">
        <v>29</v>
      </c>
      <c r="S3" s="13">
        <f t="shared" ref="S3:S66" si="0">IF(NOT(N3="SW"),L3-1.88,L3)</f>
        <v>-1.4733499999999999</v>
      </c>
    </row>
    <row r="4" spans="1:19">
      <c r="A4" s="10" t="s">
        <v>2119</v>
      </c>
      <c r="B4" s="11" t="s">
        <v>30</v>
      </c>
      <c r="C4" s="11" t="s">
        <v>18</v>
      </c>
      <c r="D4" s="11" t="s">
        <v>27</v>
      </c>
      <c r="E4" s="11" t="s">
        <v>25</v>
      </c>
      <c r="F4">
        <v>251.9</v>
      </c>
      <c r="G4">
        <v>254.14</v>
      </c>
      <c r="H4" s="12">
        <v>17</v>
      </c>
      <c r="I4" s="11" t="s">
        <v>20</v>
      </c>
      <c r="J4" s="11" t="s">
        <v>21</v>
      </c>
      <c r="K4" s="11" t="s">
        <v>22</v>
      </c>
      <c r="L4" s="12">
        <v>0.57999999999999996</v>
      </c>
      <c r="M4" s="12" t="s">
        <v>23</v>
      </c>
      <c r="N4" s="11" t="s">
        <v>24</v>
      </c>
      <c r="O4" s="13">
        <v>473.50000000000006</v>
      </c>
      <c r="P4" s="11" t="s">
        <v>28</v>
      </c>
      <c r="Q4" s="37">
        <v>1.2781751923336482E-3</v>
      </c>
      <c r="R4" s="12" t="s">
        <v>29</v>
      </c>
      <c r="S4" s="13">
        <f t="shared" si="0"/>
        <v>-1.2999999999999998</v>
      </c>
    </row>
    <row r="5" spans="1:19">
      <c r="A5" s="10" t="s">
        <v>2119</v>
      </c>
      <c r="B5" s="11" t="s">
        <v>31</v>
      </c>
      <c r="C5" s="11" t="s">
        <v>18</v>
      </c>
      <c r="D5" s="11" t="s">
        <v>27</v>
      </c>
      <c r="E5" s="11" t="s">
        <v>25</v>
      </c>
      <c r="F5">
        <v>251.9</v>
      </c>
      <c r="G5">
        <v>254.14</v>
      </c>
      <c r="H5" s="12">
        <v>26</v>
      </c>
      <c r="I5" s="11" t="s">
        <v>20</v>
      </c>
      <c r="J5" s="11" t="s">
        <v>21</v>
      </c>
      <c r="K5" s="11" t="s">
        <v>22</v>
      </c>
      <c r="L5" s="12">
        <v>0.71</v>
      </c>
      <c r="M5" s="12" t="s">
        <v>23</v>
      </c>
      <c r="N5" s="11" t="s">
        <v>24</v>
      </c>
      <c r="O5" s="13">
        <v>432.49999999999994</v>
      </c>
      <c r="P5" s="11" t="s">
        <v>28</v>
      </c>
      <c r="Q5" s="37">
        <v>1.0849115765709267E-3</v>
      </c>
      <c r="R5" s="12" t="s">
        <v>29</v>
      </c>
      <c r="S5" s="13">
        <f t="shared" si="0"/>
        <v>-1.17</v>
      </c>
    </row>
    <row r="6" spans="1:19">
      <c r="A6" s="10" t="s">
        <v>2119</v>
      </c>
      <c r="B6" s="11" t="s">
        <v>32</v>
      </c>
      <c r="C6" s="11" t="s">
        <v>18</v>
      </c>
      <c r="D6" s="11" t="s">
        <v>27</v>
      </c>
      <c r="E6" s="11" t="s">
        <v>25</v>
      </c>
      <c r="F6">
        <v>251.9</v>
      </c>
      <c r="G6">
        <v>254.14</v>
      </c>
      <c r="H6" s="12">
        <v>30</v>
      </c>
      <c r="I6" s="11" t="s">
        <v>20</v>
      </c>
      <c r="J6" s="11" t="s">
        <v>21</v>
      </c>
      <c r="K6" s="11" t="s">
        <v>22</v>
      </c>
      <c r="L6" s="12">
        <v>0.28999999999999992</v>
      </c>
      <c r="M6" s="12" t="s">
        <v>23</v>
      </c>
      <c r="N6" s="11" t="s">
        <v>24</v>
      </c>
      <c r="O6" s="13">
        <v>444.50000000000006</v>
      </c>
      <c r="P6" s="11" t="s">
        <v>28</v>
      </c>
      <c r="Q6" s="37">
        <v>1.1555959963603275E-3</v>
      </c>
      <c r="R6" s="12" t="s">
        <v>29</v>
      </c>
      <c r="S6" s="13">
        <f t="shared" si="0"/>
        <v>-1.5899999999999999</v>
      </c>
    </row>
    <row r="7" spans="1:19">
      <c r="A7" s="10" t="s">
        <v>2119</v>
      </c>
      <c r="B7" s="11" t="s">
        <v>33</v>
      </c>
      <c r="C7" s="11" t="s">
        <v>18</v>
      </c>
      <c r="D7" s="11" t="s">
        <v>27</v>
      </c>
      <c r="E7" s="11" t="s">
        <v>25</v>
      </c>
      <c r="F7">
        <v>251.9</v>
      </c>
      <c r="G7">
        <v>254.14</v>
      </c>
      <c r="H7" s="12">
        <v>33</v>
      </c>
      <c r="I7" s="11" t="s">
        <v>20</v>
      </c>
      <c r="J7" s="11" t="s">
        <v>21</v>
      </c>
      <c r="K7" s="11" t="s">
        <v>22</v>
      </c>
      <c r="L7" s="12">
        <v>0.4451666666666666</v>
      </c>
      <c r="M7" s="12" t="s">
        <v>23</v>
      </c>
      <c r="N7" s="11" t="s">
        <v>24</v>
      </c>
      <c r="O7" s="13">
        <v>445</v>
      </c>
      <c r="P7" s="11" t="s">
        <v>28</v>
      </c>
      <c r="Q7" s="37">
        <v>1.262232307474117E-3</v>
      </c>
      <c r="R7" s="12" t="s">
        <v>29</v>
      </c>
      <c r="S7" s="13">
        <f t="shared" si="0"/>
        <v>-1.4348333333333332</v>
      </c>
    </row>
    <row r="8" spans="1:19">
      <c r="A8" s="10" t="s">
        <v>2119</v>
      </c>
      <c r="B8" s="11" t="s">
        <v>34</v>
      </c>
      <c r="C8" s="11" t="s">
        <v>18</v>
      </c>
      <c r="D8" s="11" t="s">
        <v>27</v>
      </c>
      <c r="E8" s="11" t="s">
        <v>25</v>
      </c>
      <c r="F8">
        <v>251.9</v>
      </c>
      <c r="G8">
        <v>254.14</v>
      </c>
      <c r="H8" s="12">
        <v>39.700000000000003</v>
      </c>
      <c r="I8" s="11" t="s">
        <v>20</v>
      </c>
      <c r="J8" s="11" t="s">
        <v>21</v>
      </c>
      <c r="K8" s="11" t="s">
        <v>22</v>
      </c>
      <c r="L8" s="12">
        <v>0.34860000000000002</v>
      </c>
      <c r="M8" s="12" t="s">
        <v>23</v>
      </c>
      <c r="N8" s="11" t="s">
        <v>24</v>
      </c>
      <c r="O8" s="13">
        <v>801.99999999999989</v>
      </c>
      <c r="P8" s="11" t="s">
        <v>28</v>
      </c>
      <c r="Q8" s="37">
        <v>2.1861796374540001E-3</v>
      </c>
      <c r="R8" s="12" t="s">
        <v>29</v>
      </c>
      <c r="S8" s="13">
        <f t="shared" si="0"/>
        <v>-1.5313999999999999</v>
      </c>
    </row>
    <row r="9" spans="1:19">
      <c r="A9" s="10" t="s">
        <v>2119</v>
      </c>
      <c r="B9" s="11" t="s">
        <v>35</v>
      </c>
      <c r="C9" s="11" t="s">
        <v>18</v>
      </c>
      <c r="D9" s="11" t="s">
        <v>27</v>
      </c>
      <c r="E9" s="11" t="s">
        <v>25</v>
      </c>
      <c r="F9">
        <v>251.9</v>
      </c>
      <c r="G9">
        <v>254.14</v>
      </c>
      <c r="H9" s="12">
        <v>43</v>
      </c>
      <c r="I9" s="11" t="s">
        <v>20</v>
      </c>
      <c r="J9" s="11" t="s">
        <v>36</v>
      </c>
      <c r="K9" s="11" t="s">
        <v>22</v>
      </c>
      <c r="L9" s="12">
        <v>0.22999999999999998</v>
      </c>
      <c r="M9" s="12" t="s">
        <v>23</v>
      </c>
      <c r="N9" s="11" t="s">
        <v>24</v>
      </c>
      <c r="O9" s="13">
        <v>443.99999999999994</v>
      </c>
      <c r="P9" s="11" t="s">
        <v>28</v>
      </c>
      <c r="Q9" s="37">
        <v>1.2608263524066447E-3</v>
      </c>
      <c r="R9" s="12" t="s">
        <v>29</v>
      </c>
      <c r="S9" s="13">
        <f t="shared" si="0"/>
        <v>-1.65</v>
      </c>
    </row>
    <row r="10" spans="1:19">
      <c r="A10" s="10" t="s">
        <v>2119</v>
      </c>
      <c r="B10" s="11" t="s">
        <v>37</v>
      </c>
      <c r="C10" s="11" t="s">
        <v>18</v>
      </c>
      <c r="D10" s="11" t="s">
        <v>27</v>
      </c>
      <c r="E10" s="11" t="s">
        <v>25</v>
      </c>
      <c r="F10">
        <v>251.9</v>
      </c>
      <c r="G10">
        <v>254.14</v>
      </c>
      <c r="H10" s="12">
        <v>44.5</v>
      </c>
      <c r="I10" s="11" t="s">
        <v>20</v>
      </c>
      <c r="J10" s="11" t="s">
        <v>36</v>
      </c>
      <c r="K10" s="11" t="s">
        <v>22</v>
      </c>
      <c r="L10" s="12">
        <v>0.18999999999999995</v>
      </c>
      <c r="M10" s="12" t="s">
        <v>23</v>
      </c>
      <c r="N10" s="11" t="s">
        <v>24</v>
      </c>
      <c r="O10" s="13" t="s">
        <v>25</v>
      </c>
      <c r="P10" s="11" t="s">
        <v>25</v>
      </c>
      <c r="Q10" s="37" t="s">
        <v>25</v>
      </c>
      <c r="R10" s="12" t="s">
        <v>25</v>
      </c>
      <c r="S10" s="13">
        <f t="shared" si="0"/>
        <v>-1.69</v>
      </c>
    </row>
    <row r="11" spans="1:19">
      <c r="A11" s="10" t="s">
        <v>2119</v>
      </c>
      <c r="B11" s="11" t="s">
        <v>38</v>
      </c>
      <c r="C11" s="11" t="s">
        <v>18</v>
      </c>
      <c r="D11" s="11" t="s">
        <v>27</v>
      </c>
      <c r="E11" s="11" t="s">
        <v>25</v>
      </c>
      <c r="F11">
        <v>251.2</v>
      </c>
      <c r="G11">
        <v>251.9</v>
      </c>
      <c r="H11" s="12">
        <v>47</v>
      </c>
      <c r="I11" s="11" t="s">
        <v>20</v>
      </c>
      <c r="J11" s="11" t="s">
        <v>36</v>
      </c>
      <c r="K11" s="11" t="s">
        <v>22</v>
      </c>
      <c r="L11" s="12">
        <v>0.13</v>
      </c>
      <c r="M11" s="12" t="s">
        <v>23</v>
      </c>
      <c r="N11" s="11" t="s">
        <v>24</v>
      </c>
      <c r="O11" s="13">
        <v>433</v>
      </c>
      <c r="P11" s="11" t="s">
        <v>28</v>
      </c>
      <c r="Q11" s="37">
        <v>1.2430027271422418E-3</v>
      </c>
      <c r="R11" s="12" t="s">
        <v>29</v>
      </c>
      <c r="S11" s="13">
        <f t="shared" si="0"/>
        <v>-1.75</v>
      </c>
    </row>
    <row r="12" spans="1:19">
      <c r="A12" s="10" t="s">
        <v>2119</v>
      </c>
      <c r="B12" s="11" t="s">
        <v>39</v>
      </c>
      <c r="C12" s="11" t="s">
        <v>18</v>
      </c>
      <c r="D12" s="11" t="s">
        <v>27</v>
      </c>
      <c r="E12" s="11" t="s">
        <v>25</v>
      </c>
      <c r="F12">
        <v>251.2</v>
      </c>
      <c r="G12">
        <v>251.9</v>
      </c>
      <c r="H12" s="12">
        <v>50</v>
      </c>
      <c r="I12" s="11" t="s">
        <v>20</v>
      </c>
      <c r="J12" s="11" t="s">
        <v>36</v>
      </c>
      <c r="K12" s="11" t="s">
        <v>22</v>
      </c>
      <c r="L12" s="12">
        <v>7.999999999999996E-2</v>
      </c>
      <c r="M12" s="12" t="s">
        <v>23</v>
      </c>
      <c r="N12" s="11" t="s">
        <v>24</v>
      </c>
      <c r="O12" s="13" t="s">
        <v>25</v>
      </c>
      <c r="P12" s="11" t="s">
        <v>25</v>
      </c>
      <c r="Q12" s="37" t="s">
        <v>25</v>
      </c>
      <c r="R12" s="12" t="s">
        <v>25</v>
      </c>
      <c r="S12" s="13">
        <f t="shared" si="0"/>
        <v>-1.7999999999999998</v>
      </c>
    </row>
    <row r="13" spans="1:19">
      <c r="A13" s="10" t="s">
        <v>2119</v>
      </c>
      <c r="B13" s="11" t="s">
        <v>40</v>
      </c>
      <c r="C13" s="11" t="s">
        <v>18</v>
      </c>
      <c r="D13" s="11" t="s">
        <v>27</v>
      </c>
      <c r="E13" s="11" t="s">
        <v>25</v>
      </c>
      <c r="F13">
        <v>251.2</v>
      </c>
      <c r="G13">
        <v>251.9</v>
      </c>
      <c r="H13" s="12">
        <v>51.6</v>
      </c>
      <c r="I13" s="11" t="s">
        <v>20</v>
      </c>
      <c r="J13" s="11" t="s">
        <v>36</v>
      </c>
      <c r="K13" s="11" t="s">
        <v>22</v>
      </c>
      <c r="L13" s="12">
        <v>0.13074999999999992</v>
      </c>
      <c r="M13" s="12" t="s">
        <v>23</v>
      </c>
      <c r="N13" s="11" t="s">
        <v>24</v>
      </c>
      <c r="O13" s="13">
        <v>508</v>
      </c>
      <c r="P13" s="11" t="s">
        <v>28</v>
      </c>
      <c r="Q13" s="37">
        <v>1.3826891671203047E-3</v>
      </c>
      <c r="R13" s="12" t="s">
        <v>29</v>
      </c>
      <c r="S13" s="13">
        <f t="shared" si="0"/>
        <v>-1.74925</v>
      </c>
    </row>
    <row r="14" spans="1:19">
      <c r="A14" s="10" t="s">
        <v>2119</v>
      </c>
      <c r="B14" s="11" t="s">
        <v>41</v>
      </c>
      <c r="C14" s="11" t="s">
        <v>18</v>
      </c>
      <c r="D14" s="11" t="s">
        <v>27</v>
      </c>
      <c r="E14" s="11" t="s">
        <v>25</v>
      </c>
      <c r="F14">
        <v>251.2</v>
      </c>
      <c r="G14">
        <v>251.9</v>
      </c>
      <c r="H14" s="12">
        <v>54</v>
      </c>
      <c r="I14" s="11" t="s">
        <v>20</v>
      </c>
      <c r="J14" s="11" t="s">
        <v>36</v>
      </c>
      <c r="K14" s="11" t="s">
        <v>22</v>
      </c>
      <c r="L14" s="12">
        <v>0.26</v>
      </c>
      <c r="M14" s="12" t="s">
        <v>23</v>
      </c>
      <c r="N14" s="11" t="s">
        <v>24</v>
      </c>
      <c r="O14" s="13">
        <v>397.5</v>
      </c>
      <c r="P14" s="11" t="s">
        <v>28</v>
      </c>
      <c r="Q14" s="37">
        <v>1.2797810688989055E-3</v>
      </c>
      <c r="R14" s="12" t="s">
        <v>29</v>
      </c>
      <c r="S14" s="13">
        <f t="shared" si="0"/>
        <v>-1.6199999999999999</v>
      </c>
    </row>
    <row r="15" spans="1:19">
      <c r="A15" s="10" t="s">
        <v>2119</v>
      </c>
      <c r="B15" s="11" t="s">
        <v>42</v>
      </c>
      <c r="C15" s="11" t="s">
        <v>18</v>
      </c>
      <c r="D15" s="11" t="s">
        <v>27</v>
      </c>
      <c r="E15" s="11" t="s">
        <v>25</v>
      </c>
      <c r="F15">
        <v>251.2</v>
      </c>
      <c r="G15">
        <v>251.9</v>
      </c>
      <c r="H15" s="12">
        <v>56.4</v>
      </c>
      <c r="I15" s="11" t="s">
        <v>20</v>
      </c>
      <c r="J15" s="11" t="s">
        <v>36</v>
      </c>
      <c r="K15" s="11" t="s">
        <v>22</v>
      </c>
      <c r="L15" s="12">
        <v>0.24439999999999995</v>
      </c>
      <c r="M15" s="12" t="s">
        <v>23</v>
      </c>
      <c r="N15" s="11" t="s">
        <v>24</v>
      </c>
      <c r="O15" s="13">
        <v>412</v>
      </c>
      <c r="P15" s="11" t="s">
        <v>28</v>
      </c>
      <c r="Q15" s="37">
        <v>1.2875E-3</v>
      </c>
      <c r="R15" s="12" t="s">
        <v>29</v>
      </c>
      <c r="S15" s="13">
        <f t="shared" si="0"/>
        <v>-1.6355999999999999</v>
      </c>
    </row>
    <row r="16" spans="1:19">
      <c r="A16" s="10" t="s">
        <v>2119</v>
      </c>
      <c r="B16" s="11" t="s">
        <v>43</v>
      </c>
      <c r="C16" s="11" t="s">
        <v>18</v>
      </c>
      <c r="D16" s="11" t="s">
        <v>27</v>
      </c>
      <c r="E16" s="11" t="s">
        <v>25</v>
      </c>
      <c r="F16">
        <v>251.2</v>
      </c>
      <c r="G16">
        <v>251.9</v>
      </c>
      <c r="H16" s="12">
        <v>57.4</v>
      </c>
      <c r="I16" s="11" t="s">
        <v>20</v>
      </c>
      <c r="J16" s="11" t="s">
        <v>36</v>
      </c>
      <c r="K16" s="11" t="s">
        <v>22</v>
      </c>
      <c r="L16" s="12">
        <v>0.45399999999999996</v>
      </c>
      <c r="M16" s="12" t="s">
        <v>23</v>
      </c>
      <c r="N16" s="11" t="s">
        <v>24</v>
      </c>
      <c r="O16" s="13">
        <v>478.50000000000006</v>
      </c>
      <c r="P16" s="11" t="s">
        <v>28</v>
      </c>
      <c r="Q16" s="37">
        <v>1.5462918080465342E-3</v>
      </c>
      <c r="R16" s="12" t="s">
        <v>29</v>
      </c>
      <c r="S16" s="13">
        <f t="shared" si="0"/>
        <v>-1.4259999999999999</v>
      </c>
    </row>
    <row r="17" spans="1:19">
      <c r="A17" s="10" t="s">
        <v>2119</v>
      </c>
      <c r="B17" s="11" t="s">
        <v>44</v>
      </c>
      <c r="C17" s="11" t="s">
        <v>18</v>
      </c>
      <c r="D17" s="11" t="s">
        <v>27</v>
      </c>
      <c r="E17" s="11" t="s">
        <v>25</v>
      </c>
      <c r="F17">
        <v>251.2</v>
      </c>
      <c r="G17">
        <v>251.9</v>
      </c>
      <c r="H17" s="12">
        <v>60</v>
      </c>
      <c r="I17" s="11" t="s">
        <v>20</v>
      </c>
      <c r="J17" s="11" t="s">
        <v>45</v>
      </c>
      <c r="K17" s="11" t="s">
        <v>22</v>
      </c>
      <c r="L17" s="12">
        <v>0.13</v>
      </c>
      <c r="M17" s="12" t="s">
        <v>23</v>
      </c>
      <c r="N17" s="11" t="s">
        <v>24</v>
      </c>
      <c r="O17" s="13">
        <v>595.5</v>
      </c>
      <c r="P17" s="11" t="s">
        <v>28</v>
      </c>
      <c r="Q17" s="37">
        <v>1.7053264604810995E-3</v>
      </c>
      <c r="R17" s="12" t="s">
        <v>29</v>
      </c>
      <c r="S17" s="13">
        <f t="shared" si="0"/>
        <v>-1.75</v>
      </c>
    </row>
    <row r="18" spans="1:19">
      <c r="A18" s="10" t="s">
        <v>2119</v>
      </c>
      <c r="B18" s="11" t="s">
        <v>46</v>
      </c>
      <c r="C18" s="11" t="s">
        <v>18</v>
      </c>
      <c r="D18" s="11" t="s">
        <v>27</v>
      </c>
      <c r="E18" s="11" t="s">
        <v>25</v>
      </c>
      <c r="F18">
        <v>251.2</v>
      </c>
      <c r="G18">
        <v>251.9</v>
      </c>
      <c r="H18" s="12">
        <v>64</v>
      </c>
      <c r="I18" s="11" t="s">
        <v>20</v>
      </c>
      <c r="J18" s="11" t="s">
        <v>45</v>
      </c>
      <c r="K18" s="11" t="s">
        <v>22</v>
      </c>
      <c r="L18" s="12">
        <v>0.25</v>
      </c>
      <c r="M18" s="12" t="s">
        <v>23</v>
      </c>
      <c r="N18" s="11" t="s">
        <v>24</v>
      </c>
      <c r="O18" s="13">
        <v>723.99999999999989</v>
      </c>
      <c r="P18" s="11" t="s">
        <v>28</v>
      </c>
      <c r="Q18" s="37">
        <v>1.9556996218260394E-3</v>
      </c>
      <c r="R18" s="12" t="s">
        <v>29</v>
      </c>
      <c r="S18" s="13">
        <f t="shared" si="0"/>
        <v>-1.63</v>
      </c>
    </row>
    <row r="19" spans="1:19">
      <c r="A19" s="10" t="s">
        <v>2119</v>
      </c>
      <c r="B19" s="11" t="s">
        <v>47</v>
      </c>
      <c r="C19" s="11" t="s">
        <v>18</v>
      </c>
      <c r="D19" s="11" t="s">
        <v>27</v>
      </c>
      <c r="E19" s="11" t="s">
        <v>25</v>
      </c>
      <c r="F19">
        <v>251.2</v>
      </c>
      <c r="G19">
        <v>251.9</v>
      </c>
      <c r="H19" s="12">
        <v>66</v>
      </c>
      <c r="I19" s="11" t="s">
        <v>20</v>
      </c>
      <c r="J19" s="11" t="s">
        <v>45</v>
      </c>
      <c r="K19" s="11" t="s">
        <v>22</v>
      </c>
      <c r="L19" s="12">
        <v>0.16999999999999993</v>
      </c>
      <c r="M19" s="12" t="s">
        <v>23</v>
      </c>
      <c r="N19" s="11" t="s">
        <v>24</v>
      </c>
      <c r="O19" s="13">
        <v>961.5</v>
      </c>
      <c r="P19" s="11" t="s">
        <v>28</v>
      </c>
      <c r="Q19" s="37">
        <v>2.6853791369920404E-3</v>
      </c>
      <c r="R19" s="12" t="s">
        <v>29</v>
      </c>
      <c r="S19" s="13">
        <f t="shared" si="0"/>
        <v>-1.71</v>
      </c>
    </row>
    <row r="20" spans="1:19">
      <c r="A20" s="10" t="s">
        <v>2119</v>
      </c>
      <c r="B20" s="11" t="s">
        <v>48</v>
      </c>
      <c r="C20" s="11" t="s">
        <v>18</v>
      </c>
      <c r="D20" s="11" t="s">
        <v>27</v>
      </c>
      <c r="E20" s="11" t="s">
        <v>25</v>
      </c>
      <c r="F20">
        <v>251.2</v>
      </c>
      <c r="G20">
        <v>251.9</v>
      </c>
      <c r="H20" s="12">
        <v>70.099999999999994</v>
      </c>
      <c r="I20" s="11" t="s">
        <v>20</v>
      </c>
      <c r="J20" s="11" t="s">
        <v>45</v>
      </c>
      <c r="K20" s="11" t="s">
        <v>22</v>
      </c>
      <c r="L20" s="12">
        <v>0.22999999999999998</v>
      </c>
      <c r="M20" s="12" t="s">
        <v>23</v>
      </c>
      <c r="N20" s="11" t="s">
        <v>24</v>
      </c>
      <c r="O20" s="13">
        <v>1462.9999999999998</v>
      </c>
      <c r="P20" s="11" t="s">
        <v>28</v>
      </c>
      <c r="Q20" s="37">
        <v>4.1164884637028701E-3</v>
      </c>
      <c r="R20" s="12" t="s">
        <v>29</v>
      </c>
      <c r="S20" s="13">
        <f t="shared" si="0"/>
        <v>-1.65</v>
      </c>
    </row>
    <row r="21" spans="1:19">
      <c r="A21" s="10" t="s">
        <v>2119</v>
      </c>
      <c r="B21" s="11" t="s">
        <v>49</v>
      </c>
      <c r="C21" s="11" t="s">
        <v>18</v>
      </c>
      <c r="D21" s="11" t="s">
        <v>27</v>
      </c>
      <c r="E21" s="11" t="s">
        <v>25</v>
      </c>
      <c r="F21">
        <v>251.2</v>
      </c>
      <c r="G21">
        <v>251.9</v>
      </c>
      <c r="H21" s="12">
        <v>71</v>
      </c>
      <c r="I21" s="11" t="s">
        <v>20</v>
      </c>
      <c r="J21" s="11" t="s">
        <v>45</v>
      </c>
      <c r="K21" s="11" t="s">
        <v>22</v>
      </c>
      <c r="L21" s="12">
        <v>0.20999999999999996</v>
      </c>
      <c r="M21" s="12" t="s">
        <v>23</v>
      </c>
      <c r="N21" s="11" t="s">
        <v>24</v>
      </c>
      <c r="O21" s="13">
        <v>560.5</v>
      </c>
      <c r="P21" s="11" t="s">
        <v>28</v>
      </c>
      <c r="Q21" s="37" t="s">
        <v>25</v>
      </c>
      <c r="R21" s="12" t="s">
        <v>25</v>
      </c>
      <c r="S21" s="13">
        <f t="shared" si="0"/>
        <v>-1.67</v>
      </c>
    </row>
    <row r="22" spans="1:19">
      <c r="A22" s="10" t="s">
        <v>2119</v>
      </c>
      <c r="B22" s="11" t="s">
        <v>50</v>
      </c>
      <c r="C22" s="11" t="s">
        <v>18</v>
      </c>
      <c r="D22" s="11" t="s">
        <v>27</v>
      </c>
      <c r="E22" s="11" t="s">
        <v>25</v>
      </c>
      <c r="F22">
        <v>251.2</v>
      </c>
      <c r="G22">
        <v>251.9</v>
      </c>
      <c r="H22" s="12">
        <v>80</v>
      </c>
      <c r="I22" s="11" t="s">
        <v>20</v>
      </c>
      <c r="J22" s="11" t="s">
        <v>45</v>
      </c>
      <c r="K22" s="11" t="s">
        <v>22</v>
      </c>
      <c r="L22" s="12">
        <v>0.21999999999999997</v>
      </c>
      <c r="M22" s="12" t="s">
        <v>23</v>
      </c>
      <c r="N22" s="11" t="s">
        <v>24</v>
      </c>
      <c r="O22" s="13">
        <v>1451.5</v>
      </c>
      <c r="P22" s="11" t="s">
        <v>28</v>
      </c>
      <c r="Q22" s="37">
        <v>3.8227548064261262E-3</v>
      </c>
      <c r="R22" s="12" t="s">
        <v>29</v>
      </c>
      <c r="S22" s="13">
        <f t="shared" si="0"/>
        <v>-1.66</v>
      </c>
    </row>
    <row r="23" spans="1:19">
      <c r="A23" s="10" t="s">
        <v>2119</v>
      </c>
      <c r="B23" s="11" t="s">
        <v>51</v>
      </c>
      <c r="C23" s="11" t="s">
        <v>18</v>
      </c>
      <c r="D23" s="11" t="s">
        <v>27</v>
      </c>
      <c r="E23" s="11" t="s">
        <v>25</v>
      </c>
      <c r="F23">
        <v>251.2</v>
      </c>
      <c r="G23">
        <v>251.9</v>
      </c>
      <c r="H23" s="12">
        <v>87.6</v>
      </c>
      <c r="I23" s="11" t="s">
        <v>20</v>
      </c>
      <c r="J23" s="11" t="s">
        <v>45</v>
      </c>
      <c r="K23" s="11" t="s">
        <v>22</v>
      </c>
      <c r="L23" s="12">
        <v>0.12</v>
      </c>
      <c r="M23" s="12" t="s">
        <v>23</v>
      </c>
      <c r="N23" s="11" t="s">
        <v>24</v>
      </c>
      <c r="O23" s="13">
        <v>315.5</v>
      </c>
      <c r="P23" s="11" t="s">
        <v>28</v>
      </c>
      <c r="Q23" s="37">
        <v>8.5990733169801045E-4</v>
      </c>
      <c r="R23" s="12" t="s">
        <v>29</v>
      </c>
      <c r="S23" s="13">
        <f t="shared" si="0"/>
        <v>-1.7599999999999998</v>
      </c>
    </row>
    <row r="24" spans="1:19">
      <c r="A24" s="10" t="s">
        <v>2119</v>
      </c>
      <c r="B24" s="11" t="s">
        <v>52</v>
      </c>
      <c r="C24" s="11" t="s">
        <v>18</v>
      </c>
      <c r="D24" s="11" t="s">
        <v>27</v>
      </c>
      <c r="E24" s="11" t="s">
        <v>25</v>
      </c>
      <c r="F24">
        <v>251.2</v>
      </c>
      <c r="G24">
        <v>251.9</v>
      </c>
      <c r="H24" s="12">
        <v>93.8</v>
      </c>
      <c r="I24" s="11" t="s">
        <v>20</v>
      </c>
      <c r="J24" s="11" t="s">
        <v>45</v>
      </c>
      <c r="K24" s="11" t="s">
        <v>22</v>
      </c>
      <c r="L24" s="12">
        <v>0.19999999999999996</v>
      </c>
      <c r="M24" s="12" t="s">
        <v>23</v>
      </c>
      <c r="N24" s="11" t="s">
        <v>24</v>
      </c>
      <c r="O24" s="13" t="s">
        <v>25</v>
      </c>
      <c r="P24" s="11" t="s">
        <v>25</v>
      </c>
      <c r="Q24" s="37" t="s">
        <v>25</v>
      </c>
      <c r="R24" s="12" t="s">
        <v>25</v>
      </c>
      <c r="S24" s="13">
        <f t="shared" si="0"/>
        <v>-1.68</v>
      </c>
    </row>
    <row r="25" spans="1:19">
      <c r="A25" s="10" t="s">
        <v>2119</v>
      </c>
      <c r="B25" s="11" t="s">
        <v>53</v>
      </c>
      <c r="C25" s="11" t="s">
        <v>18</v>
      </c>
      <c r="D25" s="11" t="s">
        <v>27</v>
      </c>
      <c r="E25" s="11" t="s">
        <v>25</v>
      </c>
      <c r="F25">
        <v>251.2</v>
      </c>
      <c r="G25">
        <v>251.9</v>
      </c>
      <c r="H25" s="12">
        <v>100.4</v>
      </c>
      <c r="I25" s="11" t="s">
        <v>20</v>
      </c>
      <c r="J25" s="11" t="s">
        <v>45</v>
      </c>
      <c r="K25" s="11" t="s">
        <v>22</v>
      </c>
      <c r="L25" s="12">
        <v>0.49</v>
      </c>
      <c r="M25" s="12" t="s">
        <v>23</v>
      </c>
      <c r="N25" s="11" t="s">
        <v>24</v>
      </c>
      <c r="O25" s="13">
        <v>271</v>
      </c>
      <c r="P25" s="11" t="s">
        <v>28</v>
      </c>
      <c r="Q25" s="37">
        <v>7.6770538243626065E-4</v>
      </c>
      <c r="R25" s="12" t="s">
        <v>29</v>
      </c>
      <c r="S25" s="13">
        <f t="shared" si="0"/>
        <v>-1.39</v>
      </c>
    </row>
    <row r="26" spans="1:19">
      <c r="A26" s="10" t="s">
        <v>2119</v>
      </c>
      <c r="B26" s="11" t="s">
        <v>54</v>
      </c>
      <c r="C26" s="11" t="s">
        <v>18</v>
      </c>
      <c r="D26" s="11" t="s">
        <v>27</v>
      </c>
      <c r="E26" s="11" t="s">
        <v>25</v>
      </c>
      <c r="F26">
        <v>251.2</v>
      </c>
      <c r="G26">
        <v>251.9</v>
      </c>
      <c r="H26" s="12">
        <v>103</v>
      </c>
      <c r="I26" s="11" t="s">
        <v>20</v>
      </c>
      <c r="J26" s="11" t="s">
        <v>45</v>
      </c>
      <c r="K26" s="11" t="s">
        <v>22</v>
      </c>
      <c r="L26" s="12">
        <v>0.57999999999999985</v>
      </c>
      <c r="M26" s="12" t="s">
        <v>23</v>
      </c>
      <c r="N26" s="11" t="s">
        <v>24</v>
      </c>
      <c r="O26" s="13" t="s">
        <v>25</v>
      </c>
      <c r="P26" s="11" t="s">
        <v>25</v>
      </c>
      <c r="Q26" s="37" t="s">
        <v>25</v>
      </c>
      <c r="R26" s="12" t="s">
        <v>25</v>
      </c>
      <c r="S26" s="13">
        <f t="shared" si="0"/>
        <v>-1.3</v>
      </c>
    </row>
    <row r="27" spans="1:19">
      <c r="A27" s="10" t="s">
        <v>2119</v>
      </c>
      <c r="B27" s="11" t="s">
        <v>55</v>
      </c>
      <c r="C27" s="11" t="s">
        <v>18</v>
      </c>
      <c r="D27" s="11" t="s">
        <v>27</v>
      </c>
      <c r="E27" s="11" t="s">
        <v>25</v>
      </c>
      <c r="F27">
        <v>250.7</v>
      </c>
      <c r="G27">
        <v>251.2</v>
      </c>
      <c r="H27" s="12">
        <v>118.2</v>
      </c>
      <c r="I27" s="11" t="s">
        <v>20</v>
      </c>
      <c r="J27" s="11" t="s">
        <v>45</v>
      </c>
      <c r="K27" s="11" t="s">
        <v>22</v>
      </c>
      <c r="L27" s="12">
        <v>0.87999999999999989</v>
      </c>
      <c r="M27" s="12" t="s">
        <v>23</v>
      </c>
      <c r="N27" s="11" t="s">
        <v>24</v>
      </c>
      <c r="O27" s="13" t="s">
        <v>25</v>
      </c>
      <c r="P27" s="11" t="s">
        <v>25</v>
      </c>
      <c r="Q27" s="37" t="s">
        <v>25</v>
      </c>
      <c r="R27" s="12" t="s">
        <v>25</v>
      </c>
      <c r="S27" s="13">
        <f t="shared" si="0"/>
        <v>-1</v>
      </c>
    </row>
    <row r="28" spans="1:19">
      <c r="A28" s="10" t="s">
        <v>2119</v>
      </c>
      <c r="B28" s="11" t="s">
        <v>56</v>
      </c>
      <c r="C28" s="11" t="s">
        <v>18</v>
      </c>
      <c r="D28" s="11" t="s">
        <v>27</v>
      </c>
      <c r="E28" s="11" t="s">
        <v>25</v>
      </c>
      <c r="F28">
        <v>250.7</v>
      </c>
      <c r="G28">
        <v>251.2</v>
      </c>
      <c r="H28" s="12">
        <v>131</v>
      </c>
      <c r="I28" s="11" t="s">
        <v>20</v>
      </c>
      <c r="J28" s="11" t="s">
        <v>45</v>
      </c>
      <c r="K28" s="11" t="s">
        <v>22</v>
      </c>
      <c r="L28" s="12">
        <v>0.77</v>
      </c>
      <c r="M28" s="12" t="s">
        <v>23</v>
      </c>
      <c r="N28" s="11" t="s">
        <v>24</v>
      </c>
      <c r="O28" s="13" t="s">
        <v>25</v>
      </c>
      <c r="P28" s="11" t="s">
        <v>25</v>
      </c>
      <c r="Q28" s="37" t="s">
        <v>25</v>
      </c>
      <c r="R28" s="12" t="s">
        <v>25</v>
      </c>
      <c r="S28" s="13">
        <f t="shared" si="0"/>
        <v>-1.1099999999999999</v>
      </c>
    </row>
    <row r="29" spans="1:19">
      <c r="A29" s="10" t="s">
        <v>2119</v>
      </c>
      <c r="B29" s="11" t="s">
        <v>57</v>
      </c>
      <c r="C29" s="11" t="s">
        <v>18</v>
      </c>
      <c r="D29" s="11" t="s">
        <v>27</v>
      </c>
      <c r="E29" s="11" t="s">
        <v>25</v>
      </c>
      <c r="F29">
        <v>250.7</v>
      </c>
      <c r="G29">
        <v>251.2</v>
      </c>
      <c r="H29" s="12">
        <v>156.19999999999999</v>
      </c>
      <c r="I29" s="11" t="s">
        <v>20</v>
      </c>
      <c r="J29" s="11" t="s">
        <v>58</v>
      </c>
      <c r="K29" s="11" t="s">
        <v>22</v>
      </c>
      <c r="L29" s="12">
        <v>0.61404999999999998</v>
      </c>
      <c r="M29" s="12" t="s">
        <v>23</v>
      </c>
      <c r="N29" s="11" t="s">
        <v>24</v>
      </c>
      <c r="O29" s="13">
        <v>150.5</v>
      </c>
      <c r="P29" s="11" t="s">
        <v>28</v>
      </c>
      <c r="Q29" s="37">
        <v>6.9999999999999999E-4</v>
      </c>
      <c r="R29" s="12" t="s">
        <v>29</v>
      </c>
      <c r="S29" s="13">
        <f t="shared" si="0"/>
        <v>-1.2659499999999999</v>
      </c>
    </row>
    <row r="30" spans="1:19">
      <c r="A30" s="10" t="s">
        <v>2119</v>
      </c>
      <c r="B30" s="11" t="s">
        <v>59</v>
      </c>
      <c r="C30" s="11" t="s">
        <v>18</v>
      </c>
      <c r="D30" s="11" t="s">
        <v>27</v>
      </c>
      <c r="E30" s="11" t="s">
        <v>25</v>
      </c>
      <c r="F30">
        <v>250.7</v>
      </c>
      <c r="G30">
        <v>251.2</v>
      </c>
      <c r="H30" s="12">
        <v>176</v>
      </c>
      <c r="I30" s="11" t="s">
        <v>20</v>
      </c>
      <c r="J30" s="11" t="s">
        <v>58</v>
      </c>
      <c r="K30" s="11" t="s">
        <v>22</v>
      </c>
      <c r="L30" s="12">
        <v>1.0636999999999999</v>
      </c>
      <c r="M30" s="12" t="s">
        <v>23</v>
      </c>
      <c r="N30" s="11" t="s">
        <v>24</v>
      </c>
      <c r="O30" s="13">
        <v>214.5</v>
      </c>
      <c r="P30" s="11" t="s">
        <v>28</v>
      </c>
      <c r="Q30" s="37">
        <v>9.5375722543352608E-4</v>
      </c>
      <c r="R30" s="12" t="s">
        <v>29</v>
      </c>
      <c r="S30" s="13">
        <f t="shared" si="0"/>
        <v>-0.81630000000000003</v>
      </c>
    </row>
    <row r="31" spans="1:19">
      <c r="A31" s="10" t="s">
        <v>2119</v>
      </c>
      <c r="B31" s="11" t="s">
        <v>60</v>
      </c>
      <c r="C31" s="11" t="s">
        <v>18</v>
      </c>
      <c r="D31" s="11" t="s">
        <v>27</v>
      </c>
      <c r="E31" s="11" t="s">
        <v>25</v>
      </c>
      <c r="F31">
        <v>250.7</v>
      </c>
      <c r="G31">
        <v>251.2</v>
      </c>
      <c r="H31" s="12">
        <v>207.5</v>
      </c>
      <c r="I31" s="11" t="s">
        <v>20</v>
      </c>
      <c r="J31" s="11" t="s">
        <v>61</v>
      </c>
      <c r="K31" s="11" t="s">
        <v>22</v>
      </c>
      <c r="L31" s="12">
        <v>0.82</v>
      </c>
      <c r="M31" s="12" t="s">
        <v>23</v>
      </c>
      <c r="N31" s="11" t="s">
        <v>24</v>
      </c>
      <c r="O31" s="13">
        <v>597.5</v>
      </c>
      <c r="P31" s="11" t="s">
        <v>28</v>
      </c>
      <c r="Q31" s="37">
        <v>8.9999999999999998E-4</v>
      </c>
      <c r="R31" s="12" t="s">
        <v>29</v>
      </c>
      <c r="S31" s="13">
        <f t="shared" si="0"/>
        <v>-1.06</v>
      </c>
    </row>
    <row r="32" spans="1:19">
      <c r="A32" s="10" t="s">
        <v>2119</v>
      </c>
      <c r="B32" s="11" t="s">
        <v>62</v>
      </c>
      <c r="C32" s="11" t="s">
        <v>63</v>
      </c>
      <c r="D32" s="11" t="s">
        <v>64</v>
      </c>
      <c r="E32" s="11" t="s">
        <v>25</v>
      </c>
      <c r="F32">
        <v>250.7</v>
      </c>
      <c r="G32">
        <v>251.2</v>
      </c>
      <c r="H32" s="12">
        <v>198</v>
      </c>
      <c r="I32" s="11" t="s">
        <v>20</v>
      </c>
      <c r="J32" s="11" t="s">
        <v>61</v>
      </c>
      <c r="K32" s="11" t="s">
        <v>22</v>
      </c>
      <c r="L32" s="12">
        <v>0.9</v>
      </c>
      <c r="M32" s="12" t="s">
        <v>23</v>
      </c>
      <c r="N32" s="11" t="s">
        <v>24</v>
      </c>
      <c r="O32" s="12">
        <v>54</v>
      </c>
      <c r="P32" s="11" t="s">
        <v>28</v>
      </c>
      <c r="Q32" s="37">
        <v>1.9533141224334393E-4</v>
      </c>
      <c r="R32" s="12" t="s">
        <v>29</v>
      </c>
      <c r="S32" s="13">
        <f t="shared" si="0"/>
        <v>-0.97999999999999987</v>
      </c>
    </row>
    <row r="33" spans="1:19">
      <c r="A33" s="10" t="s">
        <v>2119</v>
      </c>
      <c r="B33" s="11" t="s">
        <v>65</v>
      </c>
      <c r="C33" s="11" t="s">
        <v>63</v>
      </c>
      <c r="D33" s="11" t="s">
        <v>64</v>
      </c>
      <c r="E33" s="11" t="s">
        <v>25</v>
      </c>
      <c r="F33">
        <v>251.2</v>
      </c>
      <c r="G33">
        <v>251.9</v>
      </c>
      <c r="H33" s="12">
        <v>190</v>
      </c>
      <c r="I33" s="11" t="s">
        <v>20</v>
      </c>
      <c r="J33" s="11" t="s">
        <v>61</v>
      </c>
      <c r="K33" s="11" t="s">
        <v>22</v>
      </c>
      <c r="L33" s="12">
        <v>0.95</v>
      </c>
      <c r="M33" s="12" t="s">
        <v>23</v>
      </c>
      <c r="N33" s="11" t="s">
        <v>24</v>
      </c>
      <c r="O33" s="12">
        <v>66</v>
      </c>
      <c r="P33" s="11" t="s">
        <v>28</v>
      </c>
      <c r="Q33" s="37">
        <v>2.2828968595364622E-4</v>
      </c>
      <c r="R33" s="12" t="s">
        <v>29</v>
      </c>
      <c r="S33" s="13">
        <f t="shared" si="0"/>
        <v>-0.92999999999999994</v>
      </c>
    </row>
    <row r="34" spans="1:19">
      <c r="A34" s="10" t="s">
        <v>2119</v>
      </c>
      <c r="B34" s="11" t="s">
        <v>66</v>
      </c>
      <c r="C34" s="11" t="s">
        <v>63</v>
      </c>
      <c r="D34" s="11" t="s">
        <v>64</v>
      </c>
      <c r="E34" s="11" t="s">
        <v>25</v>
      </c>
      <c r="F34">
        <v>251.2</v>
      </c>
      <c r="G34">
        <v>251.9</v>
      </c>
      <c r="H34" s="12">
        <v>182</v>
      </c>
      <c r="I34" s="11" t="s">
        <v>20</v>
      </c>
      <c r="J34" s="11" t="s">
        <v>61</v>
      </c>
      <c r="K34" s="11" t="s">
        <v>22</v>
      </c>
      <c r="L34" s="12">
        <v>1.24</v>
      </c>
      <c r="M34" s="12" t="s">
        <v>23</v>
      </c>
      <c r="N34" s="11" t="s">
        <v>24</v>
      </c>
      <c r="O34" s="12">
        <v>77</v>
      </c>
      <c r="P34" s="11" t="s">
        <v>28</v>
      </c>
      <c r="Q34" s="37">
        <v>2.4654365991710534E-4</v>
      </c>
      <c r="R34" s="12" t="s">
        <v>29</v>
      </c>
      <c r="S34" s="13">
        <f t="shared" si="0"/>
        <v>-0.6399999999999999</v>
      </c>
    </row>
    <row r="35" spans="1:19">
      <c r="A35" s="10" t="s">
        <v>2119</v>
      </c>
      <c r="B35" s="11" t="s">
        <v>67</v>
      </c>
      <c r="C35" s="11" t="s">
        <v>63</v>
      </c>
      <c r="D35" s="11" t="s">
        <v>64</v>
      </c>
      <c r="E35" s="11" t="s">
        <v>25</v>
      </c>
      <c r="F35">
        <v>251.2</v>
      </c>
      <c r="G35">
        <v>251.9</v>
      </c>
      <c r="H35" s="12">
        <v>174</v>
      </c>
      <c r="I35" s="11" t="s">
        <v>20</v>
      </c>
      <c r="J35" s="11" t="s">
        <v>61</v>
      </c>
      <c r="K35" s="11" t="s">
        <v>22</v>
      </c>
      <c r="L35" s="12">
        <v>0.95</v>
      </c>
      <c r="M35" s="12" t="s">
        <v>23</v>
      </c>
      <c r="N35" s="11" t="s">
        <v>24</v>
      </c>
      <c r="O35" s="12">
        <v>71.7</v>
      </c>
      <c r="P35" s="11" t="s">
        <v>28</v>
      </c>
      <c r="Q35" s="37">
        <v>2.2911480152392575E-4</v>
      </c>
      <c r="R35" s="12" t="s">
        <v>29</v>
      </c>
      <c r="S35" s="13">
        <f t="shared" si="0"/>
        <v>-0.92999999999999994</v>
      </c>
    </row>
    <row r="36" spans="1:19">
      <c r="A36" s="10" t="s">
        <v>2119</v>
      </c>
      <c r="B36" s="11" t="s">
        <v>68</v>
      </c>
      <c r="C36" s="11" t="s">
        <v>63</v>
      </c>
      <c r="D36" s="11" t="s">
        <v>64</v>
      </c>
      <c r="E36" s="11" t="s">
        <v>25</v>
      </c>
      <c r="F36">
        <v>251.2</v>
      </c>
      <c r="G36">
        <v>251.9</v>
      </c>
      <c r="H36" s="12">
        <v>166</v>
      </c>
      <c r="I36" s="11" t="s">
        <v>20</v>
      </c>
      <c r="J36" s="11" t="s">
        <v>61</v>
      </c>
      <c r="K36" s="11" t="s">
        <v>22</v>
      </c>
      <c r="L36" s="12">
        <v>0.65</v>
      </c>
      <c r="M36" s="12" t="s">
        <v>23</v>
      </c>
      <c r="N36" s="11" t="s">
        <v>24</v>
      </c>
      <c r="O36" s="12">
        <v>71</v>
      </c>
      <c r="P36" s="11" t="s">
        <v>28</v>
      </c>
      <c r="Q36" s="37">
        <v>2.0668428007072901E-4</v>
      </c>
      <c r="R36" s="12" t="s">
        <v>29</v>
      </c>
      <c r="S36" s="13">
        <f t="shared" si="0"/>
        <v>-1.23</v>
      </c>
    </row>
    <row r="37" spans="1:19">
      <c r="A37" s="10" t="s">
        <v>2119</v>
      </c>
      <c r="B37" s="11" t="s">
        <v>69</v>
      </c>
      <c r="C37" s="11" t="s">
        <v>63</v>
      </c>
      <c r="D37" s="11" t="s">
        <v>64</v>
      </c>
      <c r="E37" s="11" t="s">
        <v>25</v>
      </c>
      <c r="F37">
        <v>251.2</v>
      </c>
      <c r="G37">
        <v>251.9</v>
      </c>
      <c r="H37" s="12">
        <v>158</v>
      </c>
      <c r="I37" s="11" t="s">
        <v>20</v>
      </c>
      <c r="J37" s="11" t="s">
        <v>61</v>
      </c>
      <c r="K37" s="11" t="s">
        <v>22</v>
      </c>
      <c r="L37" s="12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37" t="s">
        <v>25</v>
      </c>
      <c r="R37" s="11" t="s">
        <v>25</v>
      </c>
      <c r="S37" s="13" t="s">
        <v>25</v>
      </c>
    </row>
    <row r="38" spans="1:19">
      <c r="A38" s="10" t="s">
        <v>2119</v>
      </c>
      <c r="B38" s="11" t="s">
        <v>70</v>
      </c>
      <c r="C38" s="11" t="s">
        <v>63</v>
      </c>
      <c r="D38" s="11" t="s">
        <v>64</v>
      </c>
      <c r="E38" s="11" t="s">
        <v>25</v>
      </c>
      <c r="F38">
        <v>251.2</v>
      </c>
      <c r="G38">
        <v>251.9</v>
      </c>
      <c r="H38" s="12">
        <v>150</v>
      </c>
      <c r="I38" s="11" t="s">
        <v>20</v>
      </c>
      <c r="J38" s="11" t="s">
        <v>61</v>
      </c>
      <c r="K38" s="11" t="s">
        <v>22</v>
      </c>
      <c r="L38" s="12">
        <v>0.8</v>
      </c>
      <c r="M38" s="12" t="s">
        <v>23</v>
      </c>
      <c r="N38" s="11" t="s">
        <v>24</v>
      </c>
      <c r="O38" s="12">
        <v>72</v>
      </c>
      <c r="P38" s="11" t="s">
        <v>28</v>
      </c>
      <c r="Q38" s="37">
        <v>2.255439939023948E-4</v>
      </c>
      <c r="R38" s="12" t="s">
        <v>29</v>
      </c>
      <c r="S38" s="13">
        <f t="shared" si="0"/>
        <v>-1.0799999999999998</v>
      </c>
    </row>
    <row r="39" spans="1:19">
      <c r="A39" s="10" t="s">
        <v>2119</v>
      </c>
      <c r="B39" s="11" t="s">
        <v>71</v>
      </c>
      <c r="C39" s="11" t="s">
        <v>63</v>
      </c>
      <c r="D39" s="11" t="s">
        <v>64</v>
      </c>
      <c r="E39" s="11" t="s">
        <v>25</v>
      </c>
      <c r="F39">
        <v>251.2</v>
      </c>
      <c r="G39">
        <v>251.9</v>
      </c>
      <c r="H39" s="12">
        <v>143</v>
      </c>
      <c r="I39" s="11" t="s">
        <v>20</v>
      </c>
      <c r="J39" s="11" t="s">
        <v>61</v>
      </c>
      <c r="K39" s="11" t="s">
        <v>22</v>
      </c>
      <c r="L39" s="12">
        <v>0.7</v>
      </c>
      <c r="M39" s="12" t="s">
        <v>23</v>
      </c>
      <c r="N39" s="11" t="s">
        <v>24</v>
      </c>
      <c r="O39" s="12">
        <v>77</v>
      </c>
      <c r="P39" s="11" t="s">
        <v>28</v>
      </c>
      <c r="Q39" s="37">
        <v>2.5412414113863723E-4</v>
      </c>
      <c r="R39" s="12" t="s">
        <v>29</v>
      </c>
      <c r="S39" s="13">
        <f t="shared" si="0"/>
        <v>-1.18</v>
      </c>
    </row>
    <row r="40" spans="1:19">
      <c r="A40" s="10" t="s">
        <v>2119</v>
      </c>
      <c r="B40" s="11" t="s">
        <v>72</v>
      </c>
      <c r="C40" s="11" t="s">
        <v>63</v>
      </c>
      <c r="D40" s="11" t="s">
        <v>64</v>
      </c>
      <c r="E40" s="11" t="s">
        <v>25</v>
      </c>
      <c r="F40">
        <v>251.2</v>
      </c>
      <c r="G40">
        <v>251.9</v>
      </c>
      <c r="H40" s="12">
        <v>133</v>
      </c>
      <c r="I40" s="11" t="s">
        <v>20</v>
      </c>
      <c r="J40" s="11" t="s">
        <v>61</v>
      </c>
      <c r="K40" s="11" t="s">
        <v>22</v>
      </c>
      <c r="L40" s="12">
        <v>0.85</v>
      </c>
      <c r="M40" s="12" t="s">
        <v>23</v>
      </c>
      <c r="N40" s="11" t="s">
        <v>24</v>
      </c>
      <c r="O40" s="12">
        <v>53</v>
      </c>
      <c r="P40" s="11" t="s">
        <v>28</v>
      </c>
      <c r="Q40" s="37">
        <v>2.0601413129394099E-4</v>
      </c>
      <c r="R40" s="12" t="s">
        <v>29</v>
      </c>
      <c r="S40" s="13">
        <f t="shared" si="0"/>
        <v>-1.0299999999999998</v>
      </c>
    </row>
    <row r="41" spans="1:19">
      <c r="A41" s="10" t="s">
        <v>2119</v>
      </c>
      <c r="B41" s="11" t="s">
        <v>73</v>
      </c>
      <c r="C41" s="11" t="s">
        <v>63</v>
      </c>
      <c r="D41" s="11" t="s">
        <v>64</v>
      </c>
      <c r="E41" s="11" t="s">
        <v>25</v>
      </c>
      <c r="F41">
        <v>251.9</v>
      </c>
      <c r="G41">
        <v>254.1</v>
      </c>
      <c r="H41" s="12">
        <v>130</v>
      </c>
      <c r="I41" s="11" t="s">
        <v>20</v>
      </c>
      <c r="J41" s="11" t="s">
        <v>74</v>
      </c>
      <c r="K41" s="11" t="s">
        <v>22</v>
      </c>
      <c r="L41" s="12">
        <v>0.47</v>
      </c>
      <c r="M41" s="12" t="s">
        <v>23</v>
      </c>
      <c r="N41" s="11" t="s">
        <v>24</v>
      </c>
      <c r="O41" s="12"/>
      <c r="P41" s="11"/>
      <c r="Q41" s="37">
        <v>2.0690376964202682E-4</v>
      </c>
      <c r="R41" s="12" t="s">
        <v>29</v>
      </c>
      <c r="S41" s="13">
        <f t="shared" si="0"/>
        <v>-1.41</v>
      </c>
    </row>
    <row r="42" spans="1:19">
      <c r="A42" s="10" t="s">
        <v>2119</v>
      </c>
      <c r="B42" s="11" t="s">
        <v>75</v>
      </c>
      <c r="C42" s="11" t="s">
        <v>63</v>
      </c>
      <c r="D42" s="11" t="s">
        <v>64</v>
      </c>
      <c r="E42" s="11" t="s">
        <v>25</v>
      </c>
      <c r="F42">
        <v>251.9</v>
      </c>
      <c r="G42">
        <v>254.1</v>
      </c>
      <c r="H42" s="12">
        <v>125</v>
      </c>
      <c r="I42" s="11" t="s">
        <v>20</v>
      </c>
      <c r="J42" s="11" t="s">
        <v>61</v>
      </c>
      <c r="K42" s="11" t="s">
        <v>22</v>
      </c>
      <c r="L42" s="12">
        <v>0.61</v>
      </c>
      <c r="M42" s="12" t="s">
        <v>23</v>
      </c>
      <c r="N42" s="11" t="s">
        <v>24</v>
      </c>
      <c r="O42" s="11" t="s">
        <v>25</v>
      </c>
      <c r="P42" s="11" t="s">
        <v>25</v>
      </c>
      <c r="Q42" s="37" t="s">
        <v>25</v>
      </c>
      <c r="R42" s="11" t="s">
        <v>25</v>
      </c>
      <c r="S42" s="13">
        <f t="shared" si="0"/>
        <v>-1.27</v>
      </c>
    </row>
    <row r="43" spans="1:19">
      <c r="A43" s="10" t="s">
        <v>2119</v>
      </c>
      <c r="B43" s="11" t="s">
        <v>76</v>
      </c>
      <c r="C43" s="11" t="s">
        <v>63</v>
      </c>
      <c r="D43" s="11" t="s">
        <v>64</v>
      </c>
      <c r="E43" s="11" t="s">
        <v>25</v>
      </c>
      <c r="F43">
        <v>251.9</v>
      </c>
      <c r="G43">
        <v>254.1</v>
      </c>
      <c r="H43" s="12">
        <v>124</v>
      </c>
      <c r="I43" s="11" t="s">
        <v>20</v>
      </c>
      <c r="J43" s="11" t="s">
        <v>61</v>
      </c>
      <c r="K43" s="11" t="s">
        <v>22</v>
      </c>
      <c r="L43" s="12">
        <v>0.95</v>
      </c>
      <c r="M43" s="12" t="s">
        <v>23</v>
      </c>
      <c r="N43" s="11" t="s">
        <v>24</v>
      </c>
      <c r="O43" s="12">
        <v>57.03</v>
      </c>
      <c r="P43" s="11" t="s">
        <v>28</v>
      </c>
      <c r="Q43" s="37">
        <v>2.8923762566752112E-4</v>
      </c>
      <c r="R43" s="12" t="s">
        <v>29</v>
      </c>
      <c r="S43" s="13">
        <f t="shared" si="0"/>
        <v>-0.92999999999999994</v>
      </c>
    </row>
    <row r="44" spans="1:19">
      <c r="A44" s="10" t="s">
        <v>2119</v>
      </c>
      <c r="B44" s="11" t="s">
        <v>77</v>
      </c>
      <c r="C44" s="11" t="s">
        <v>63</v>
      </c>
      <c r="D44" s="11" t="s">
        <v>64</v>
      </c>
      <c r="E44" s="11" t="s">
        <v>25</v>
      </c>
      <c r="F44">
        <v>251.9</v>
      </c>
      <c r="G44">
        <v>254.1</v>
      </c>
      <c r="H44" s="12">
        <v>121</v>
      </c>
      <c r="I44" s="11" t="s">
        <v>20</v>
      </c>
      <c r="J44" s="11" t="s">
        <v>61</v>
      </c>
      <c r="K44" s="11" t="s">
        <v>22</v>
      </c>
      <c r="L44" s="12">
        <v>1.1299999999999999</v>
      </c>
      <c r="M44" s="12" t="s">
        <v>23</v>
      </c>
      <c r="N44" s="11" t="s">
        <v>24</v>
      </c>
      <c r="O44" s="12">
        <v>40.630000000000003</v>
      </c>
      <c r="P44" s="11" t="s">
        <v>28</v>
      </c>
      <c r="Q44" s="37">
        <v>2.7338271414069349E-4</v>
      </c>
      <c r="R44" s="12" t="s">
        <v>29</v>
      </c>
      <c r="S44" s="13">
        <f t="shared" si="0"/>
        <v>-0.75</v>
      </c>
    </row>
    <row r="45" spans="1:19">
      <c r="A45" s="10" t="s">
        <v>2119</v>
      </c>
      <c r="B45" s="11" t="s">
        <v>78</v>
      </c>
      <c r="C45" s="11" t="s">
        <v>63</v>
      </c>
      <c r="D45" s="11" t="s">
        <v>64</v>
      </c>
      <c r="E45" s="11" t="s">
        <v>25</v>
      </c>
      <c r="F45">
        <v>251.9</v>
      </c>
      <c r="G45">
        <v>254.1</v>
      </c>
      <c r="H45" s="12">
        <v>105</v>
      </c>
      <c r="I45" s="11" t="s">
        <v>20</v>
      </c>
      <c r="J45" s="11" t="s">
        <v>79</v>
      </c>
      <c r="K45" s="11" t="s">
        <v>22</v>
      </c>
      <c r="L45" s="12">
        <v>1.19</v>
      </c>
      <c r="M45" s="12" t="s">
        <v>23</v>
      </c>
      <c r="N45" s="11" t="s">
        <v>24</v>
      </c>
      <c r="O45" s="12">
        <v>45.13</v>
      </c>
      <c r="P45" s="11" t="s">
        <v>28</v>
      </c>
      <c r="Q45" s="37">
        <v>2.7253542219425836E-4</v>
      </c>
      <c r="R45" s="12" t="s">
        <v>29</v>
      </c>
      <c r="S45" s="13">
        <f t="shared" si="0"/>
        <v>-0.69</v>
      </c>
    </row>
    <row r="46" spans="1:19">
      <c r="A46" s="10" t="s">
        <v>2119</v>
      </c>
      <c r="B46" s="11" t="s">
        <v>80</v>
      </c>
      <c r="C46" s="11" t="s">
        <v>63</v>
      </c>
      <c r="D46" s="11" t="s">
        <v>64</v>
      </c>
      <c r="E46" s="11" t="s">
        <v>25</v>
      </c>
      <c r="F46">
        <v>251.9</v>
      </c>
      <c r="G46">
        <v>254.1</v>
      </c>
      <c r="H46" s="12">
        <v>85</v>
      </c>
      <c r="I46" s="11" t="s">
        <v>20</v>
      </c>
      <c r="J46" s="11" t="s">
        <v>61</v>
      </c>
      <c r="K46" s="11" t="s">
        <v>22</v>
      </c>
      <c r="L46" s="12">
        <v>1.02</v>
      </c>
      <c r="M46" s="12" t="s">
        <v>23</v>
      </c>
      <c r="N46" s="11" t="s">
        <v>24</v>
      </c>
      <c r="O46" s="12">
        <v>41.3</v>
      </c>
      <c r="P46" s="11" t="s">
        <v>28</v>
      </c>
      <c r="Q46" s="37">
        <v>2.9213324582493065E-4</v>
      </c>
      <c r="R46" s="12" t="s">
        <v>29</v>
      </c>
      <c r="S46" s="13">
        <f t="shared" si="0"/>
        <v>-0.85999999999999988</v>
      </c>
    </row>
    <row r="47" spans="1:19">
      <c r="A47" s="10" t="s">
        <v>2119</v>
      </c>
      <c r="B47" s="11" t="s">
        <v>81</v>
      </c>
      <c r="C47" s="11" t="s">
        <v>63</v>
      </c>
      <c r="D47" s="11" t="s">
        <v>64</v>
      </c>
      <c r="E47" s="11" t="s">
        <v>25</v>
      </c>
      <c r="F47">
        <v>251.9</v>
      </c>
      <c r="G47">
        <v>254.1</v>
      </c>
      <c r="H47" s="12">
        <v>80</v>
      </c>
      <c r="I47" s="11" t="s">
        <v>20</v>
      </c>
      <c r="J47" s="11" t="s">
        <v>61</v>
      </c>
      <c r="K47" s="11" t="s">
        <v>22</v>
      </c>
      <c r="L47" s="12">
        <v>1.1100000000000001</v>
      </c>
      <c r="M47" s="12" t="s">
        <v>23</v>
      </c>
      <c r="N47" s="11" t="s">
        <v>24</v>
      </c>
      <c r="O47" s="12">
        <v>0.01</v>
      </c>
      <c r="P47" s="11" t="s">
        <v>28</v>
      </c>
      <c r="Q47" s="37">
        <v>1.7599613876717105E-4</v>
      </c>
      <c r="R47" s="12" t="s">
        <v>29</v>
      </c>
      <c r="S47" s="13">
        <f t="shared" si="0"/>
        <v>-0.7699999999999998</v>
      </c>
    </row>
    <row r="48" spans="1:19">
      <c r="A48" s="10" t="s">
        <v>2119</v>
      </c>
      <c r="B48" s="11" t="s">
        <v>82</v>
      </c>
      <c r="C48" s="11" t="s">
        <v>63</v>
      </c>
      <c r="D48" s="11" t="s">
        <v>64</v>
      </c>
      <c r="E48" s="11" t="s">
        <v>25</v>
      </c>
      <c r="F48">
        <v>251.9</v>
      </c>
      <c r="G48">
        <v>254.1</v>
      </c>
      <c r="H48" s="12">
        <v>40</v>
      </c>
      <c r="I48" s="11" t="s">
        <v>20</v>
      </c>
      <c r="J48" s="11" t="s">
        <v>61</v>
      </c>
      <c r="K48" s="11" t="s">
        <v>22</v>
      </c>
      <c r="L48" s="12">
        <v>0.69</v>
      </c>
      <c r="M48" s="12" t="s">
        <v>23</v>
      </c>
      <c r="N48" s="11" t="s">
        <v>24</v>
      </c>
      <c r="O48" s="12">
        <v>1.8</v>
      </c>
      <c r="P48" s="11" t="s">
        <v>28</v>
      </c>
      <c r="Q48" s="37">
        <v>2.0097052680049623E-4</v>
      </c>
      <c r="R48" s="12" t="s">
        <v>29</v>
      </c>
      <c r="S48" s="13">
        <f t="shared" si="0"/>
        <v>-1.19</v>
      </c>
    </row>
    <row r="49" spans="1:19">
      <c r="A49" s="10" t="s">
        <v>2119</v>
      </c>
      <c r="B49" s="11" t="s">
        <v>83</v>
      </c>
      <c r="C49" s="11" t="s">
        <v>63</v>
      </c>
      <c r="D49" s="11" t="s">
        <v>64</v>
      </c>
      <c r="E49" s="11" t="s">
        <v>25</v>
      </c>
      <c r="F49">
        <v>251.9</v>
      </c>
      <c r="G49">
        <v>254.1</v>
      </c>
      <c r="H49" s="12">
        <v>10</v>
      </c>
      <c r="I49" s="11" t="s">
        <v>20</v>
      </c>
      <c r="J49" s="11" t="s">
        <v>61</v>
      </c>
      <c r="K49" s="11" t="s">
        <v>22</v>
      </c>
      <c r="L49" s="12">
        <v>0.72</v>
      </c>
      <c r="M49" s="12" t="s">
        <v>23</v>
      </c>
      <c r="N49" s="11" t="s">
        <v>24</v>
      </c>
      <c r="O49" s="12">
        <v>5.3</v>
      </c>
      <c r="P49" s="11" t="s">
        <v>28</v>
      </c>
      <c r="Q49" s="37">
        <v>2.4980097121788866E-4</v>
      </c>
      <c r="R49" s="12" t="s">
        <v>29</v>
      </c>
      <c r="S49" s="13">
        <f t="shared" si="0"/>
        <v>-1.1599999999999999</v>
      </c>
    </row>
    <row r="50" spans="1:19">
      <c r="A50" s="10" t="s">
        <v>2119</v>
      </c>
      <c r="B50" s="11" t="s">
        <v>84</v>
      </c>
      <c r="C50" s="11" t="s">
        <v>63</v>
      </c>
      <c r="D50" s="11" t="s">
        <v>64</v>
      </c>
      <c r="E50" s="11" t="s">
        <v>25</v>
      </c>
      <c r="F50">
        <v>251.9</v>
      </c>
      <c r="G50">
        <v>254.1</v>
      </c>
      <c r="H50" s="12">
        <v>0</v>
      </c>
      <c r="I50" s="11" t="s">
        <v>20</v>
      </c>
      <c r="J50" s="11" t="s">
        <v>61</v>
      </c>
      <c r="K50" s="11" t="s">
        <v>22</v>
      </c>
      <c r="L50" s="12">
        <v>0.89</v>
      </c>
      <c r="M50" s="12" t="s">
        <v>23</v>
      </c>
      <c r="N50" s="11" t="s">
        <v>24</v>
      </c>
      <c r="O50" s="12">
        <v>18</v>
      </c>
      <c r="P50" s="11" t="s">
        <v>28</v>
      </c>
      <c r="Q50" s="37">
        <v>2.3404792953525013E-4</v>
      </c>
      <c r="R50" s="12" t="s">
        <v>29</v>
      </c>
      <c r="S50" s="13">
        <f t="shared" si="0"/>
        <v>-0.98999999999999988</v>
      </c>
    </row>
    <row r="51" spans="1:19">
      <c r="A51" s="10" t="s">
        <v>2119</v>
      </c>
      <c r="B51" s="11">
        <v>0</v>
      </c>
      <c r="C51" s="11" t="s">
        <v>85</v>
      </c>
      <c r="D51" s="11" t="s">
        <v>86</v>
      </c>
      <c r="E51" s="11" t="s">
        <v>25</v>
      </c>
      <c r="F51">
        <v>251.9</v>
      </c>
      <c r="G51">
        <v>254.1</v>
      </c>
      <c r="H51" s="12">
        <v>0</v>
      </c>
      <c r="I51" s="11" t="s">
        <v>20</v>
      </c>
      <c r="J51" s="11" t="s">
        <v>61</v>
      </c>
      <c r="K51" s="11" t="s">
        <v>22</v>
      </c>
      <c r="L51" s="12">
        <v>0.61999999999999988</v>
      </c>
      <c r="M51" s="12" t="s">
        <v>23</v>
      </c>
      <c r="N51" s="11" t="s">
        <v>24</v>
      </c>
      <c r="O51" s="11" t="s">
        <v>25</v>
      </c>
      <c r="P51" s="11" t="s">
        <v>25</v>
      </c>
      <c r="Q51" s="37" t="s">
        <v>25</v>
      </c>
      <c r="R51" s="11" t="s">
        <v>25</v>
      </c>
      <c r="S51" s="13">
        <f t="shared" si="0"/>
        <v>-1.26</v>
      </c>
    </row>
    <row r="52" spans="1:19">
      <c r="A52" s="10" t="s">
        <v>2119</v>
      </c>
      <c r="B52" s="11">
        <v>6</v>
      </c>
      <c r="C52" s="11" t="s">
        <v>85</v>
      </c>
      <c r="D52" s="11" t="s">
        <v>86</v>
      </c>
      <c r="E52" s="11" t="s">
        <v>25</v>
      </c>
      <c r="F52">
        <v>251.9</v>
      </c>
      <c r="G52">
        <v>254.1</v>
      </c>
      <c r="H52" s="12">
        <v>6</v>
      </c>
      <c r="I52" s="11" t="s">
        <v>20</v>
      </c>
      <c r="J52" s="11" t="s">
        <v>61</v>
      </c>
      <c r="K52" s="11" t="s">
        <v>22</v>
      </c>
      <c r="L52" s="12">
        <v>0.52</v>
      </c>
      <c r="M52" s="12" t="s">
        <v>23</v>
      </c>
      <c r="N52" s="11" t="s">
        <v>24</v>
      </c>
      <c r="O52" s="11" t="s">
        <v>25</v>
      </c>
      <c r="P52" s="11" t="s">
        <v>25</v>
      </c>
      <c r="Q52" s="37" t="s">
        <v>25</v>
      </c>
      <c r="R52" s="11" t="s">
        <v>25</v>
      </c>
      <c r="S52" s="13">
        <f t="shared" si="0"/>
        <v>-1.3599999999999999</v>
      </c>
    </row>
    <row r="53" spans="1:19">
      <c r="A53" s="10" t="s">
        <v>2119</v>
      </c>
      <c r="B53" s="11">
        <v>7</v>
      </c>
      <c r="C53" s="11" t="s">
        <v>85</v>
      </c>
      <c r="D53" s="11" t="s">
        <v>86</v>
      </c>
      <c r="E53" s="11" t="s">
        <v>25</v>
      </c>
      <c r="F53">
        <v>251.9</v>
      </c>
      <c r="G53">
        <v>254.1</v>
      </c>
      <c r="H53" s="12">
        <v>7</v>
      </c>
      <c r="I53" s="11" t="s">
        <v>20</v>
      </c>
      <c r="J53" s="11" t="s">
        <v>61</v>
      </c>
      <c r="K53" s="11" t="s">
        <v>22</v>
      </c>
      <c r="L53" s="12">
        <v>0.32000000000000006</v>
      </c>
      <c r="M53" s="12" t="s">
        <v>23</v>
      </c>
      <c r="N53" s="11" t="s">
        <v>24</v>
      </c>
      <c r="O53" s="12">
        <v>700</v>
      </c>
      <c r="P53" s="11" t="s">
        <v>28</v>
      </c>
      <c r="Q53" s="37">
        <v>1.4949193262600653E-3</v>
      </c>
      <c r="R53" s="12" t="s">
        <v>29</v>
      </c>
      <c r="S53" s="13">
        <f t="shared" si="0"/>
        <v>-1.5599999999999998</v>
      </c>
    </row>
    <row r="54" spans="1:19">
      <c r="A54" s="10" t="s">
        <v>2119</v>
      </c>
      <c r="B54" s="11">
        <v>10</v>
      </c>
      <c r="C54" s="11" t="s">
        <v>85</v>
      </c>
      <c r="D54" s="11" t="s">
        <v>86</v>
      </c>
      <c r="E54" s="11" t="s">
        <v>25</v>
      </c>
      <c r="F54">
        <v>251.9</v>
      </c>
      <c r="G54">
        <v>254.1</v>
      </c>
      <c r="H54" s="12">
        <v>10</v>
      </c>
      <c r="I54" s="11" t="s">
        <v>20</v>
      </c>
      <c r="J54" s="11" t="s">
        <v>61</v>
      </c>
      <c r="K54" s="11" t="s">
        <v>22</v>
      </c>
      <c r="L54" s="12">
        <v>0.25</v>
      </c>
      <c r="M54" s="12" t="s">
        <v>23</v>
      </c>
      <c r="N54" s="11" t="s">
        <v>24</v>
      </c>
      <c r="O54" s="11" t="s">
        <v>25</v>
      </c>
      <c r="P54" s="11" t="s">
        <v>25</v>
      </c>
      <c r="Q54" s="37" t="s">
        <v>25</v>
      </c>
      <c r="R54" s="11" t="s">
        <v>25</v>
      </c>
      <c r="S54" s="13">
        <f t="shared" si="0"/>
        <v>-1.63</v>
      </c>
    </row>
    <row r="55" spans="1:19">
      <c r="A55" s="10" t="s">
        <v>2119</v>
      </c>
      <c r="B55" s="11">
        <v>16</v>
      </c>
      <c r="C55" s="11" t="s">
        <v>85</v>
      </c>
      <c r="D55" s="11" t="s">
        <v>86</v>
      </c>
      <c r="E55" s="11" t="s">
        <v>25</v>
      </c>
      <c r="F55">
        <v>251.9</v>
      </c>
      <c r="G55">
        <v>254.1</v>
      </c>
      <c r="H55" s="12">
        <v>16</v>
      </c>
      <c r="I55" s="11" t="s">
        <v>20</v>
      </c>
      <c r="J55" s="11" t="s">
        <v>61</v>
      </c>
      <c r="K55" s="11" t="s">
        <v>22</v>
      </c>
      <c r="L55" s="12">
        <v>0.26</v>
      </c>
      <c r="M55" s="12" t="s">
        <v>23</v>
      </c>
      <c r="N55" s="11" t="s">
        <v>24</v>
      </c>
      <c r="O55" s="11" t="s">
        <v>25</v>
      </c>
      <c r="P55" s="11" t="s">
        <v>25</v>
      </c>
      <c r="Q55" s="37" t="s">
        <v>25</v>
      </c>
      <c r="R55" s="11" t="s">
        <v>25</v>
      </c>
      <c r="S55" s="13">
        <f t="shared" si="0"/>
        <v>-1.6199999999999999</v>
      </c>
    </row>
    <row r="56" spans="1:19">
      <c r="A56" s="10" t="s">
        <v>2119</v>
      </c>
      <c r="B56" s="11">
        <v>18</v>
      </c>
      <c r="C56" s="11" t="s">
        <v>85</v>
      </c>
      <c r="D56" s="11" t="s">
        <v>86</v>
      </c>
      <c r="E56" s="11" t="s">
        <v>25</v>
      </c>
      <c r="F56">
        <v>251.9</v>
      </c>
      <c r="G56">
        <v>254.1</v>
      </c>
      <c r="H56" s="12">
        <v>18</v>
      </c>
      <c r="I56" s="11" t="s">
        <v>20</v>
      </c>
      <c r="J56" s="11" t="s">
        <v>61</v>
      </c>
      <c r="K56" s="11" t="s">
        <v>22</v>
      </c>
      <c r="L56" s="12">
        <v>0.39999999999999991</v>
      </c>
      <c r="M56" s="12" t="s">
        <v>23</v>
      </c>
      <c r="N56" s="11" t="s">
        <v>24</v>
      </c>
      <c r="O56" s="12">
        <v>607.02</v>
      </c>
      <c r="P56" s="11" t="s">
        <v>28</v>
      </c>
      <c r="Q56" s="37">
        <v>1.1855759571451597E-3</v>
      </c>
      <c r="R56" s="12" t="s">
        <v>29</v>
      </c>
      <c r="S56" s="13">
        <f t="shared" si="0"/>
        <v>-1.48</v>
      </c>
    </row>
    <row r="57" spans="1:19">
      <c r="A57" s="10" t="s">
        <v>2119</v>
      </c>
      <c r="B57" s="11">
        <v>25</v>
      </c>
      <c r="C57" s="11" t="s">
        <v>85</v>
      </c>
      <c r="D57" s="11" t="s">
        <v>86</v>
      </c>
      <c r="E57" s="11" t="s">
        <v>25</v>
      </c>
      <c r="F57">
        <v>251.9</v>
      </c>
      <c r="G57">
        <v>254.1</v>
      </c>
      <c r="H57" s="12">
        <v>25</v>
      </c>
      <c r="I57" s="11" t="s">
        <v>20</v>
      </c>
      <c r="J57" s="11" t="s">
        <v>61</v>
      </c>
      <c r="K57" s="11" t="s">
        <v>22</v>
      </c>
      <c r="L57" s="12">
        <v>0.2</v>
      </c>
      <c r="M57" s="12" t="s">
        <v>23</v>
      </c>
      <c r="N57" s="11" t="s">
        <v>24</v>
      </c>
      <c r="O57" s="11" t="s">
        <v>25</v>
      </c>
      <c r="P57" s="11" t="s">
        <v>25</v>
      </c>
      <c r="Q57" s="37" t="s">
        <v>25</v>
      </c>
      <c r="R57" s="11" t="s">
        <v>25</v>
      </c>
      <c r="S57" s="13">
        <f t="shared" si="0"/>
        <v>-1.68</v>
      </c>
    </row>
    <row r="58" spans="1:19">
      <c r="A58" s="10" t="s">
        <v>2119</v>
      </c>
      <c r="B58" s="11">
        <v>35</v>
      </c>
      <c r="C58" s="11" t="s">
        <v>85</v>
      </c>
      <c r="D58" s="11" t="s">
        <v>86</v>
      </c>
      <c r="E58" s="11" t="s">
        <v>25</v>
      </c>
      <c r="F58">
        <v>251.9</v>
      </c>
      <c r="G58">
        <v>254.1</v>
      </c>
      <c r="H58" s="12">
        <v>35</v>
      </c>
      <c r="I58" s="11" t="s">
        <v>20</v>
      </c>
      <c r="J58" s="11" t="s">
        <v>61</v>
      </c>
      <c r="K58" s="11" t="s">
        <v>22</v>
      </c>
      <c r="L58" s="12">
        <v>8.9999999999999858E-2</v>
      </c>
      <c r="M58" s="12" t="s">
        <v>23</v>
      </c>
      <c r="N58" s="11" t="s">
        <v>24</v>
      </c>
      <c r="O58" s="12">
        <v>869.1</v>
      </c>
      <c r="P58" s="11" t="s">
        <v>28</v>
      </c>
      <c r="Q58" s="37">
        <v>1.6549856503495274E-3</v>
      </c>
      <c r="R58" s="12" t="s">
        <v>29</v>
      </c>
      <c r="S58" s="13">
        <f t="shared" si="0"/>
        <v>-1.79</v>
      </c>
    </row>
    <row r="59" spans="1:19">
      <c r="A59" s="10" t="s">
        <v>2119</v>
      </c>
      <c r="B59" s="11">
        <v>37</v>
      </c>
      <c r="C59" s="11" t="s">
        <v>85</v>
      </c>
      <c r="D59" s="11" t="s">
        <v>86</v>
      </c>
      <c r="E59" s="11" t="s">
        <v>25</v>
      </c>
      <c r="F59">
        <v>251.9</v>
      </c>
      <c r="G59">
        <v>254.1</v>
      </c>
      <c r="H59" s="12">
        <v>37</v>
      </c>
      <c r="I59" s="11" t="s">
        <v>20</v>
      </c>
      <c r="J59" s="11" t="s">
        <v>61</v>
      </c>
      <c r="K59" s="11" t="s">
        <v>22</v>
      </c>
      <c r="L59" s="12">
        <v>0.35999999999999988</v>
      </c>
      <c r="M59" s="12" t="s">
        <v>23</v>
      </c>
      <c r="N59" s="11" t="s">
        <v>24</v>
      </c>
      <c r="O59" s="12">
        <v>1287.3399999999999</v>
      </c>
      <c r="P59" s="11" t="s">
        <v>28</v>
      </c>
      <c r="Q59" s="37">
        <v>2.6309957824226563E-3</v>
      </c>
      <c r="R59" s="12" t="s">
        <v>29</v>
      </c>
      <c r="S59" s="13">
        <f t="shared" si="0"/>
        <v>-1.52</v>
      </c>
    </row>
    <row r="60" spans="1:19">
      <c r="A60" s="10" t="s">
        <v>2119</v>
      </c>
      <c r="B60" s="11">
        <v>40</v>
      </c>
      <c r="C60" s="11" t="s">
        <v>85</v>
      </c>
      <c r="D60" s="11" t="s">
        <v>86</v>
      </c>
      <c r="E60" s="11" t="s">
        <v>25</v>
      </c>
      <c r="F60">
        <v>251.9</v>
      </c>
      <c r="G60">
        <v>254.1</v>
      </c>
      <c r="H60" s="12">
        <v>40</v>
      </c>
      <c r="I60" s="11" t="s">
        <v>20</v>
      </c>
      <c r="J60" s="11" t="s">
        <v>61</v>
      </c>
      <c r="K60" s="11" t="s">
        <v>22</v>
      </c>
      <c r="L60" s="12">
        <v>1.0000000000000009E-2</v>
      </c>
      <c r="M60" s="12" t="s">
        <v>23</v>
      </c>
      <c r="N60" s="11" t="s">
        <v>24</v>
      </c>
      <c r="O60" s="11" t="s">
        <v>25</v>
      </c>
      <c r="P60" s="11" t="s">
        <v>25</v>
      </c>
      <c r="Q60" s="37" t="s">
        <v>25</v>
      </c>
      <c r="R60" s="11" t="s">
        <v>25</v>
      </c>
      <c r="S60" s="13">
        <f t="shared" si="0"/>
        <v>-1.8699999999999999</v>
      </c>
    </row>
    <row r="61" spans="1:19">
      <c r="A61" s="10" t="s">
        <v>2119</v>
      </c>
      <c r="B61" s="11">
        <v>44</v>
      </c>
      <c r="C61" s="11" t="s">
        <v>85</v>
      </c>
      <c r="D61" s="11" t="s">
        <v>86</v>
      </c>
      <c r="E61" s="11" t="s">
        <v>25</v>
      </c>
      <c r="F61">
        <v>251.9</v>
      </c>
      <c r="G61">
        <v>254.1</v>
      </c>
      <c r="H61" s="12">
        <v>44</v>
      </c>
      <c r="I61" s="11" t="s">
        <v>20</v>
      </c>
      <c r="J61" s="11" t="s">
        <v>61</v>
      </c>
      <c r="K61" s="11" t="s">
        <v>22</v>
      </c>
      <c r="L61" s="12">
        <v>0.18999999999999995</v>
      </c>
      <c r="M61" s="12" t="s">
        <v>23</v>
      </c>
      <c r="N61" s="11" t="s">
        <v>24</v>
      </c>
      <c r="O61" s="12">
        <v>618.37</v>
      </c>
      <c r="P61" s="11" t="s">
        <v>28</v>
      </c>
      <c r="Q61" s="37">
        <v>1.3445827839445412E-3</v>
      </c>
      <c r="R61" s="12" t="s">
        <v>29</v>
      </c>
      <c r="S61" s="13">
        <f t="shared" si="0"/>
        <v>-1.69</v>
      </c>
    </row>
    <row r="62" spans="1:19">
      <c r="A62" s="10" t="s">
        <v>2119</v>
      </c>
      <c r="B62" s="11">
        <v>47</v>
      </c>
      <c r="C62" s="11" t="s">
        <v>85</v>
      </c>
      <c r="D62" s="11" t="s">
        <v>86</v>
      </c>
      <c r="E62" s="11" t="s">
        <v>25</v>
      </c>
      <c r="F62">
        <v>251.9</v>
      </c>
      <c r="G62">
        <v>254.1</v>
      </c>
      <c r="H62" s="12">
        <v>47</v>
      </c>
      <c r="I62" s="11" t="s">
        <v>20</v>
      </c>
      <c r="J62" s="11" t="s">
        <v>61</v>
      </c>
      <c r="K62" s="11" t="s">
        <v>22</v>
      </c>
      <c r="L62" s="12">
        <v>-1.0000000000000009E-2</v>
      </c>
      <c r="M62" s="12" t="s">
        <v>23</v>
      </c>
      <c r="N62" s="11" t="s">
        <v>24</v>
      </c>
      <c r="O62" s="11" t="s">
        <v>25</v>
      </c>
      <c r="P62" s="11" t="s">
        <v>25</v>
      </c>
      <c r="Q62" s="37" t="s">
        <v>25</v>
      </c>
      <c r="R62" s="11" t="s">
        <v>25</v>
      </c>
      <c r="S62" s="13">
        <f t="shared" si="0"/>
        <v>-1.89</v>
      </c>
    </row>
    <row r="63" spans="1:19">
      <c r="A63" s="10" t="s">
        <v>2119</v>
      </c>
      <c r="B63" s="11">
        <v>47.5</v>
      </c>
      <c r="C63" s="11" t="s">
        <v>85</v>
      </c>
      <c r="D63" s="11" t="s">
        <v>86</v>
      </c>
      <c r="E63" s="11" t="s">
        <v>25</v>
      </c>
      <c r="F63">
        <v>251.9</v>
      </c>
      <c r="G63">
        <v>254.1</v>
      </c>
      <c r="H63" s="12">
        <v>47.5</v>
      </c>
      <c r="I63" s="11" t="s">
        <v>20</v>
      </c>
      <c r="J63" s="11" t="s">
        <v>61</v>
      </c>
      <c r="K63" s="11" t="s">
        <v>22</v>
      </c>
      <c r="L63" s="12">
        <v>0.28000000000000003</v>
      </c>
      <c r="M63" s="12" t="s">
        <v>23</v>
      </c>
      <c r="N63" s="11" t="s">
        <v>24</v>
      </c>
      <c r="O63" s="11" t="s">
        <v>25</v>
      </c>
      <c r="P63" s="11" t="s">
        <v>25</v>
      </c>
      <c r="Q63" s="37" t="s">
        <v>25</v>
      </c>
      <c r="R63" s="11" t="s">
        <v>25</v>
      </c>
      <c r="S63" s="13">
        <f t="shared" si="0"/>
        <v>-1.5999999999999999</v>
      </c>
    </row>
    <row r="64" spans="1:19">
      <c r="A64" s="10" t="s">
        <v>2119</v>
      </c>
      <c r="B64" s="11">
        <v>48</v>
      </c>
      <c r="C64" s="11" t="s">
        <v>85</v>
      </c>
      <c r="D64" s="11" t="s">
        <v>86</v>
      </c>
      <c r="E64" s="11" t="s">
        <v>25</v>
      </c>
      <c r="F64">
        <v>251.9</v>
      </c>
      <c r="G64">
        <v>254.1</v>
      </c>
      <c r="H64" s="12">
        <v>48</v>
      </c>
      <c r="I64" s="11" t="s">
        <v>20</v>
      </c>
      <c r="J64" s="11" t="s">
        <v>61</v>
      </c>
      <c r="K64" s="11" t="s">
        <v>22</v>
      </c>
      <c r="L64" s="12">
        <v>0.02</v>
      </c>
      <c r="M64" s="12" t="s">
        <v>23</v>
      </c>
      <c r="N64" s="11" t="s">
        <v>24</v>
      </c>
      <c r="O64" s="11" t="s">
        <v>25</v>
      </c>
      <c r="P64" s="11" t="s">
        <v>25</v>
      </c>
      <c r="Q64" s="37" t="s">
        <v>25</v>
      </c>
      <c r="R64" s="11" t="s">
        <v>25</v>
      </c>
      <c r="S64" s="13">
        <f t="shared" si="0"/>
        <v>-1.8599999999999999</v>
      </c>
    </row>
    <row r="65" spans="1:19">
      <c r="A65" s="10" t="s">
        <v>2119</v>
      </c>
      <c r="B65" s="11">
        <v>0.03</v>
      </c>
      <c r="C65" s="11" t="s">
        <v>85</v>
      </c>
      <c r="D65" s="11" t="s">
        <v>86</v>
      </c>
      <c r="E65" s="11" t="s">
        <v>25</v>
      </c>
      <c r="F65">
        <v>251.9</v>
      </c>
      <c r="G65">
        <v>254.1</v>
      </c>
      <c r="H65" s="12">
        <v>48.03</v>
      </c>
      <c r="I65" s="11" t="s">
        <v>20</v>
      </c>
      <c r="J65" s="11" t="s">
        <v>61</v>
      </c>
      <c r="K65" s="11" t="s">
        <v>22</v>
      </c>
      <c r="L65" s="12">
        <v>0.3</v>
      </c>
      <c r="M65" s="12" t="s">
        <v>23</v>
      </c>
      <c r="N65" s="11" t="s">
        <v>24</v>
      </c>
      <c r="O65" s="12">
        <v>687.83</v>
      </c>
      <c r="P65" s="11" t="s">
        <v>28</v>
      </c>
      <c r="Q65" s="37">
        <v>1.5194995156747862E-3</v>
      </c>
      <c r="R65" s="12" t="s">
        <v>29</v>
      </c>
      <c r="S65" s="13">
        <f t="shared" si="0"/>
        <v>-1.5799999999999998</v>
      </c>
    </row>
    <row r="66" spans="1:19">
      <c r="A66" s="10" t="s">
        <v>2119</v>
      </c>
      <c r="B66" s="11">
        <v>1.5</v>
      </c>
      <c r="C66" s="11" t="s">
        <v>85</v>
      </c>
      <c r="D66" s="11" t="s">
        <v>86</v>
      </c>
      <c r="E66" s="11" t="s">
        <v>25</v>
      </c>
      <c r="F66">
        <v>251.9</v>
      </c>
      <c r="G66">
        <v>254.1</v>
      </c>
      <c r="H66" s="12">
        <v>49.5</v>
      </c>
      <c r="I66" s="11" t="s">
        <v>20</v>
      </c>
      <c r="J66" s="11" t="s">
        <v>61</v>
      </c>
      <c r="K66" s="11" t="s">
        <v>22</v>
      </c>
      <c r="L66" s="12">
        <v>0.21999999999999997</v>
      </c>
      <c r="M66" s="12" t="s">
        <v>23</v>
      </c>
      <c r="N66" s="11" t="s">
        <v>24</v>
      </c>
      <c r="O66" s="12">
        <v>1059.56</v>
      </c>
      <c r="P66" s="11" t="s">
        <v>28</v>
      </c>
      <c r="Q66" s="37">
        <v>2.1440758856717504E-3</v>
      </c>
      <c r="R66" s="12" t="s">
        <v>29</v>
      </c>
      <c r="S66" s="13">
        <f t="shared" si="0"/>
        <v>-1.66</v>
      </c>
    </row>
    <row r="67" spans="1:19">
      <c r="A67" s="10" t="s">
        <v>2119</v>
      </c>
      <c r="B67" s="11">
        <v>2.15</v>
      </c>
      <c r="C67" s="11" t="s">
        <v>85</v>
      </c>
      <c r="D67" s="11" t="s">
        <v>86</v>
      </c>
      <c r="E67" s="11" t="s">
        <v>25</v>
      </c>
      <c r="F67">
        <v>251.9</v>
      </c>
      <c r="G67">
        <v>254.1</v>
      </c>
      <c r="H67" s="12">
        <v>50.15</v>
      </c>
      <c r="I67" s="11" t="s">
        <v>20</v>
      </c>
      <c r="J67" s="11" t="s">
        <v>61</v>
      </c>
      <c r="K67" s="11" t="s">
        <v>22</v>
      </c>
      <c r="L67" s="12">
        <v>0.3</v>
      </c>
      <c r="M67" s="12" t="s">
        <v>23</v>
      </c>
      <c r="N67" s="11" t="s">
        <v>24</v>
      </c>
      <c r="O67" s="12">
        <v>829.51</v>
      </c>
      <c r="P67" s="11" t="s">
        <v>28</v>
      </c>
      <c r="Q67" s="37">
        <v>1.7137894498014733E-3</v>
      </c>
      <c r="R67" s="12" t="s">
        <v>29</v>
      </c>
      <c r="S67" s="13">
        <f t="shared" ref="S67:S130" si="1">IF(NOT(N67="SW"),L67-1.88,L67)</f>
        <v>-1.5799999999999998</v>
      </c>
    </row>
    <row r="68" spans="1:19">
      <c r="A68" s="10" t="s">
        <v>2119</v>
      </c>
      <c r="B68" s="11">
        <v>2.9</v>
      </c>
      <c r="C68" s="11" t="s">
        <v>85</v>
      </c>
      <c r="D68" s="11" t="s">
        <v>86</v>
      </c>
      <c r="E68" s="11" t="s">
        <v>25</v>
      </c>
      <c r="F68">
        <v>251.2</v>
      </c>
      <c r="G68">
        <v>251.9</v>
      </c>
      <c r="H68" s="12">
        <v>50.9</v>
      </c>
      <c r="I68" s="11" t="s">
        <v>20</v>
      </c>
      <c r="J68" s="11" t="s">
        <v>87</v>
      </c>
      <c r="K68" s="11" t="s">
        <v>22</v>
      </c>
      <c r="L68" s="12">
        <v>0.2</v>
      </c>
      <c r="M68" s="12" t="s">
        <v>23</v>
      </c>
      <c r="N68" s="11" t="s">
        <v>24</v>
      </c>
      <c r="O68" s="12">
        <v>996.18</v>
      </c>
      <c r="P68" s="11" t="s">
        <v>28</v>
      </c>
      <c r="Q68" s="37">
        <v>1.9747295314992835E-3</v>
      </c>
      <c r="R68" s="12" t="s">
        <v>29</v>
      </c>
      <c r="S68" s="13">
        <f t="shared" si="1"/>
        <v>-1.68</v>
      </c>
    </row>
    <row r="69" spans="1:19">
      <c r="A69" s="10" t="s">
        <v>2119</v>
      </c>
      <c r="B69" s="11">
        <v>3.8</v>
      </c>
      <c r="C69" s="11" t="s">
        <v>85</v>
      </c>
      <c r="D69" s="11" t="s">
        <v>86</v>
      </c>
      <c r="E69" s="11" t="s">
        <v>25</v>
      </c>
      <c r="F69">
        <v>251.2</v>
      </c>
      <c r="G69">
        <v>251.9</v>
      </c>
      <c r="H69" s="12">
        <v>51.8</v>
      </c>
      <c r="I69" s="11" t="s">
        <v>20</v>
      </c>
      <c r="J69" s="11" t="s">
        <v>87</v>
      </c>
      <c r="K69" s="11" t="s">
        <v>22</v>
      </c>
      <c r="L69" s="12">
        <v>0.04</v>
      </c>
      <c r="M69" s="12" t="s">
        <v>23</v>
      </c>
      <c r="N69" s="11" t="s">
        <v>24</v>
      </c>
      <c r="O69" s="12">
        <v>626.95000000000005</v>
      </c>
      <c r="P69" s="11" t="s">
        <v>28</v>
      </c>
      <c r="Q69" s="37">
        <v>1.2336663323818874E-3</v>
      </c>
      <c r="R69" s="12" t="s">
        <v>29</v>
      </c>
      <c r="S69" s="13">
        <f t="shared" si="1"/>
        <v>-1.8399999999999999</v>
      </c>
    </row>
    <row r="70" spans="1:19">
      <c r="A70" s="10" t="s">
        <v>2119</v>
      </c>
      <c r="B70" s="11">
        <v>4.1500000000000004</v>
      </c>
      <c r="C70" s="11" t="s">
        <v>85</v>
      </c>
      <c r="D70" s="11" t="s">
        <v>88</v>
      </c>
      <c r="E70" s="11" t="s">
        <v>25</v>
      </c>
      <c r="F70">
        <v>251.2</v>
      </c>
      <c r="G70">
        <v>251.9</v>
      </c>
      <c r="H70" s="12">
        <v>52.15</v>
      </c>
      <c r="I70" s="11" t="s">
        <v>20</v>
      </c>
      <c r="J70" s="11" t="s">
        <v>45</v>
      </c>
      <c r="K70" s="11" t="s">
        <v>22</v>
      </c>
      <c r="L70" s="12">
        <v>0.19999999999999996</v>
      </c>
      <c r="M70" s="12" t="s">
        <v>23</v>
      </c>
      <c r="N70" s="11" t="s">
        <v>24</v>
      </c>
      <c r="O70" s="12">
        <v>874.69</v>
      </c>
      <c r="P70" s="11" t="s">
        <v>28</v>
      </c>
      <c r="Q70" s="37">
        <v>1.666718368431929E-3</v>
      </c>
      <c r="R70" s="12" t="s">
        <v>29</v>
      </c>
      <c r="S70" s="13">
        <f t="shared" si="1"/>
        <v>-1.68</v>
      </c>
    </row>
    <row r="71" spans="1:19">
      <c r="A71" s="10" t="s">
        <v>2119</v>
      </c>
      <c r="B71" s="11">
        <v>7.3</v>
      </c>
      <c r="C71" s="11" t="s">
        <v>85</v>
      </c>
      <c r="D71" s="11" t="s">
        <v>88</v>
      </c>
      <c r="E71" s="11" t="s">
        <v>25</v>
      </c>
      <c r="F71">
        <v>251.2</v>
      </c>
      <c r="G71">
        <v>251.9</v>
      </c>
      <c r="H71" s="12">
        <v>55.3</v>
      </c>
      <c r="I71" s="11" t="s">
        <v>20</v>
      </c>
      <c r="J71" s="11" t="s">
        <v>45</v>
      </c>
      <c r="K71" s="11" t="s">
        <v>22</v>
      </c>
      <c r="L71" s="12">
        <v>0.32000000000000006</v>
      </c>
      <c r="M71" s="12" t="s">
        <v>23</v>
      </c>
      <c r="N71" s="11" t="s">
        <v>24</v>
      </c>
      <c r="O71" s="12">
        <v>1554.81</v>
      </c>
      <c r="P71" s="11" t="s">
        <v>28</v>
      </c>
      <c r="Q71" s="37">
        <v>2.9749946694224943E-3</v>
      </c>
      <c r="R71" s="12" t="s">
        <v>29</v>
      </c>
      <c r="S71" s="13">
        <f t="shared" si="1"/>
        <v>-1.5599999999999998</v>
      </c>
    </row>
    <row r="72" spans="1:19">
      <c r="A72" s="10" t="s">
        <v>2119</v>
      </c>
      <c r="B72" s="11">
        <v>12.3</v>
      </c>
      <c r="C72" s="11" t="s">
        <v>85</v>
      </c>
      <c r="D72" s="11" t="s">
        <v>88</v>
      </c>
      <c r="E72" s="11" t="s">
        <v>25</v>
      </c>
      <c r="F72">
        <v>251.2</v>
      </c>
      <c r="G72">
        <v>251.9</v>
      </c>
      <c r="H72" s="12">
        <v>60.3</v>
      </c>
      <c r="I72" s="11" t="s">
        <v>20</v>
      </c>
      <c r="J72" s="11" t="s">
        <v>45</v>
      </c>
      <c r="K72" s="11" t="s">
        <v>22</v>
      </c>
      <c r="L72" s="12">
        <v>-4.0000000000000036E-2</v>
      </c>
      <c r="M72" s="12" t="s">
        <v>23</v>
      </c>
      <c r="N72" s="11" t="s">
        <v>24</v>
      </c>
      <c r="O72" s="12">
        <v>2618.5300000000002</v>
      </c>
      <c r="P72" s="11" t="s">
        <v>28</v>
      </c>
      <c r="Q72" s="37">
        <v>5.485587043470682E-3</v>
      </c>
      <c r="R72" s="12" t="s">
        <v>29</v>
      </c>
      <c r="S72" s="13">
        <f t="shared" si="1"/>
        <v>-1.92</v>
      </c>
    </row>
    <row r="73" spans="1:19">
      <c r="A73" s="10" t="s">
        <v>2119</v>
      </c>
      <c r="B73" s="11">
        <v>18.100000000000001</v>
      </c>
      <c r="C73" s="11" t="s">
        <v>85</v>
      </c>
      <c r="D73" s="11" t="s">
        <v>88</v>
      </c>
      <c r="E73" s="11" t="s">
        <v>25</v>
      </c>
      <c r="F73">
        <v>251.2</v>
      </c>
      <c r="G73">
        <v>251.9</v>
      </c>
      <c r="H73" s="12">
        <v>66.099999999999994</v>
      </c>
      <c r="I73" s="11" t="s">
        <v>20</v>
      </c>
      <c r="J73" s="11" t="s">
        <v>45</v>
      </c>
      <c r="K73" s="11" t="s">
        <v>22</v>
      </c>
      <c r="L73" s="12">
        <v>0.10999999999999988</v>
      </c>
      <c r="M73" s="12" t="s">
        <v>23</v>
      </c>
      <c r="N73" s="11" t="s">
        <v>24</v>
      </c>
      <c r="O73" s="12">
        <v>2675.94</v>
      </c>
      <c r="P73" s="11" t="s">
        <v>28</v>
      </c>
      <c r="Q73" s="37">
        <v>5.1679335155109495E-3</v>
      </c>
      <c r="R73" s="12" t="s">
        <v>29</v>
      </c>
      <c r="S73" s="13">
        <f t="shared" si="1"/>
        <v>-1.77</v>
      </c>
    </row>
    <row r="74" spans="1:19">
      <c r="A74" s="10" t="s">
        <v>2119</v>
      </c>
      <c r="B74" s="11">
        <v>27.1</v>
      </c>
      <c r="C74" s="11" t="s">
        <v>85</v>
      </c>
      <c r="D74" s="11" t="s">
        <v>88</v>
      </c>
      <c r="E74" s="11" t="s">
        <v>25</v>
      </c>
      <c r="F74">
        <v>251.2</v>
      </c>
      <c r="G74">
        <v>251.9</v>
      </c>
      <c r="H74" s="12">
        <v>75.099999999999994</v>
      </c>
      <c r="I74" s="11" t="s">
        <v>20</v>
      </c>
      <c r="J74" s="11" t="s">
        <v>89</v>
      </c>
      <c r="K74" s="11" t="s">
        <v>22</v>
      </c>
      <c r="L74" s="12">
        <v>0.12999999999999989</v>
      </c>
      <c r="M74" s="12" t="s">
        <v>23</v>
      </c>
      <c r="N74" s="11" t="s">
        <v>24</v>
      </c>
      <c r="O74" s="12">
        <v>3779.06</v>
      </c>
      <c r="P74" s="11" t="s">
        <v>28</v>
      </c>
      <c r="Q74" s="37">
        <v>6.8533791115482608E-3</v>
      </c>
      <c r="R74" s="12" t="s">
        <v>29</v>
      </c>
      <c r="S74" s="13">
        <f t="shared" si="1"/>
        <v>-1.75</v>
      </c>
    </row>
    <row r="75" spans="1:19">
      <c r="A75" s="10" t="s">
        <v>2119</v>
      </c>
      <c r="B75" s="11">
        <v>34.1</v>
      </c>
      <c r="C75" s="11" t="s">
        <v>85</v>
      </c>
      <c r="D75" s="11" t="s">
        <v>88</v>
      </c>
      <c r="E75" s="11" t="s">
        <v>25</v>
      </c>
      <c r="F75">
        <v>251.2</v>
      </c>
      <c r="G75">
        <v>251.9</v>
      </c>
      <c r="H75" s="12">
        <v>82.1</v>
      </c>
      <c r="I75" s="11" t="s">
        <v>20</v>
      </c>
      <c r="J75" s="11" t="s">
        <v>89</v>
      </c>
      <c r="K75" s="11" t="s">
        <v>22</v>
      </c>
      <c r="L75" s="12">
        <v>8.0000000000000071E-2</v>
      </c>
      <c r="M75" s="12" t="s">
        <v>23</v>
      </c>
      <c r="N75" s="11" t="s">
        <v>24</v>
      </c>
      <c r="O75" s="12">
        <v>2929.64</v>
      </c>
      <c r="P75" s="11" t="s">
        <v>28</v>
      </c>
      <c r="Q75" s="37">
        <v>5.4359022265353524E-3</v>
      </c>
      <c r="R75" s="12" t="s">
        <v>29</v>
      </c>
      <c r="S75" s="13">
        <f t="shared" si="1"/>
        <v>-1.7999999999999998</v>
      </c>
    </row>
    <row r="76" spans="1:19">
      <c r="A76" s="10" t="s">
        <v>2119</v>
      </c>
      <c r="B76" s="11">
        <v>40.1</v>
      </c>
      <c r="C76" s="11" t="s">
        <v>85</v>
      </c>
      <c r="D76" s="11" t="s">
        <v>88</v>
      </c>
      <c r="E76" s="11" t="s">
        <v>25</v>
      </c>
      <c r="F76">
        <v>251.2</v>
      </c>
      <c r="G76">
        <v>251.9</v>
      </c>
      <c r="H76" s="12">
        <v>88.1</v>
      </c>
      <c r="I76" s="11" t="s">
        <v>20</v>
      </c>
      <c r="J76" s="11" t="s">
        <v>89</v>
      </c>
      <c r="K76" s="11" t="s">
        <v>22</v>
      </c>
      <c r="L76" s="12">
        <v>9.9999999999999867E-2</v>
      </c>
      <c r="M76" s="12" t="s">
        <v>23</v>
      </c>
      <c r="N76" s="11" t="s">
        <v>24</v>
      </c>
      <c r="O76" s="12">
        <v>3270.72</v>
      </c>
      <c r="P76" s="11" t="s">
        <v>28</v>
      </c>
      <c r="Q76" s="37">
        <v>6.5893488390951034E-3</v>
      </c>
      <c r="R76" s="12" t="s">
        <v>29</v>
      </c>
      <c r="S76" s="13">
        <f t="shared" si="1"/>
        <v>-1.78</v>
      </c>
    </row>
    <row r="77" spans="1:19">
      <c r="A77" s="10" t="s">
        <v>2119</v>
      </c>
      <c r="B77" s="11">
        <v>45.5</v>
      </c>
      <c r="C77" s="11" t="s">
        <v>85</v>
      </c>
      <c r="D77" s="11" t="s">
        <v>88</v>
      </c>
      <c r="E77" s="11" t="s">
        <v>25</v>
      </c>
      <c r="F77">
        <v>251.2</v>
      </c>
      <c r="G77">
        <v>251.9</v>
      </c>
      <c r="H77" s="12">
        <v>93.5</v>
      </c>
      <c r="I77" s="11" t="s">
        <v>20</v>
      </c>
      <c r="J77" s="11" t="s">
        <v>89</v>
      </c>
      <c r="K77" s="11" t="s">
        <v>22</v>
      </c>
      <c r="L77" s="12">
        <v>3.0000000000000027E-2</v>
      </c>
      <c r="M77" s="12" t="s">
        <v>23</v>
      </c>
      <c r="N77" s="11" t="s">
        <v>24</v>
      </c>
      <c r="O77" s="12">
        <v>561.72</v>
      </c>
      <c r="P77" s="11" t="s">
        <v>28</v>
      </c>
      <c r="Q77" s="37">
        <v>1.086224709093932E-3</v>
      </c>
      <c r="R77" s="12" t="s">
        <v>29</v>
      </c>
      <c r="S77" s="13">
        <f t="shared" si="1"/>
        <v>-1.8499999999999999</v>
      </c>
    </row>
    <row r="78" spans="1:19">
      <c r="A78" s="10" t="s">
        <v>2119</v>
      </c>
      <c r="B78" s="11">
        <v>47</v>
      </c>
      <c r="C78" s="11" t="s">
        <v>85</v>
      </c>
      <c r="D78" s="11" t="s">
        <v>88</v>
      </c>
      <c r="E78" s="11" t="s">
        <v>25</v>
      </c>
      <c r="F78">
        <v>251.2</v>
      </c>
      <c r="G78">
        <v>251.9</v>
      </c>
      <c r="H78" s="12">
        <v>95</v>
      </c>
      <c r="I78" s="11" t="s">
        <v>20</v>
      </c>
      <c r="J78" s="11" t="s">
        <v>89</v>
      </c>
      <c r="K78" s="11" t="s">
        <v>22</v>
      </c>
      <c r="L78" s="12">
        <v>-1.0000000000000009E-2</v>
      </c>
      <c r="M78" s="12" t="s">
        <v>23</v>
      </c>
      <c r="N78" s="11" t="s">
        <v>24</v>
      </c>
      <c r="O78" s="12">
        <v>1301.02</v>
      </c>
      <c r="P78" s="11" t="s">
        <v>28</v>
      </c>
      <c r="Q78" s="37">
        <v>2.3868598751542727E-3</v>
      </c>
      <c r="R78" s="12" t="s">
        <v>29</v>
      </c>
      <c r="S78" s="13">
        <f t="shared" si="1"/>
        <v>-1.89</v>
      </c>
    </row>
    <row r="79" spans="1:19">
      <c r="A79" s="10" t="s">
        <v>2119</v>
      </c>
      <c r="B79" s="11">
        <v>48</v>
      </c>
      <c r="C79" s="11" t="s">
        <v>85</v>
      </c>
      <c r="D79" s="11" t="s">
        <v>88</v>
      </c>
      <c r="E79" s="11" t="s">
        <v>25</v>
      </c>
      <c r="F79">
        <v>251.2</v>
      </c>
      <c r="G79">
        <v>251.9</v>
      </c>
      <c r="H79" s="12">
        <v>96</v>
      </c>
      <c r="I79" s="11" t="s">
        <v>20</v>
      </c>
      <c r="J79" s="11" t="s">
        <v>89</v>
      </c>
      <c r="K79" s="11" t="s">
        <v>22</v>
      </c>
      <c r="L79" s="12">
        <v>0.30000000000000004</v>
      </c>
      <c r="M79" s="12" t="s">
        <v>23</v>
      </c>
      <c r="N79" s="11" t="s">
        <v>24</v>
      </c>
      <c r="O79" s="11" t="s">
        <v>25</v>
      </c>
      <c r="P79" s="11" t="s">
        <v>25</v>
      </c>
      <c r="Q79" s="37" t="s">
        <v>25</v>
      </c>
      <c r="R79" s="11" t="s">
        <v>25</v>
      </c>
      <c r="S79" s="13">
        <f t="shared" si="1"/>
        <v>-1.5799999999999998</v>
      </c>
    </row>
    <row r="80" spans="1:19">
      <c r="A80" s="10" t="s">
        <v>2119</v>
      </c>
      <c r="B80" s="11">
        <v>48.5</v>
      </c>
      <c r="C80" s="11" t="s">
        <v>85</v>
      </c>
      <c r="D80" s="11" t="s">
        <v>88</v>
      </c>
      <c r="E80" s="11" t="s">
        <v>25</v>
      </c>
      <c r="F80">
        <v>251.2</v>
      </c>
      <c r="G80">
        <v>251.9</v>
      </c>
      <c r="H80" s="12">
        <v>96.5</v>
      </c>
      <c r="I80" s="11" t="s">
        <v>20</v>
      </c>
      <c r="J80" s="11" t="s">
        <v>89</v>
      </c>
      <c r="K80" s="11" t="s">
        <v>22</v>
      </c>
      <c r="L80" s="12">
        <v>0.30000000000000004</v>
      </c>
      <c r="M80" s="12" t="s">
        <v>23</v>
      </c>
      <c r="N80" s="11" t="s">
        <v>24</v>
      </c>
      <c r="O80" s="11" t="s">
        <v>25</v>
      </c>
      <c r="P80" s="11" t="s">
        <v>25</v>
      </c>
      <c r="Q80" s="37" t="s">
        <v>25</v>
      </c>
      <c r="R80" s="11" t="s">
        <v>25</v>
      </c>
      <c r="S80" s="13">
        <f t="shared" si="1"/>
        <v>-1.5799999999999998</v>
      </c>
    </row>
    <row r="81" spans="1:19">
      <c r="A81" s="10" t="s">
        <v>2119</v>
      </c>
      <c r="B81" s="11">
        <v>54.5</v>
      </c>
      <c r="C81" s="11" t="s">
        <v>85</v>
      </c>
      <c r="D81" s="11" t="s">
        <v>88</v>
      </c>
      <c r="E81" s="11" t="s">
        <v>25</v>
      </c>
      <c r="F81">
        <v>251.2</v>
      </c>
      <c r="G81">
        <v>251.9</v>
      </c>
      <c r="H81" s="12">
        <v>102.5</v>
      </c>
      <c r="I81" s="11" t="s">
        <v>20</v>
      </c>
      <c r="J81" s="11" t="s">
        <v>61</v>
      </c>
      <c r="K81" s="11" t="s">
        <v>22</v>
      </c>
      <c r="L81" s="12">
        <v>0.26</v>
      </c>
      <c r="M81" s="12" t="s">
        <v>23</v>
      </c>
      <c r="N81" s="11" t="s">
        <v>24</v>
      </c>
      <c r="O81" s="12">
        <v>1118.42</v>
      </c>
      <c r="P81" s="11" t="s">
        <v>28</v>
      </c>
      <c r="Q81" s="37">
        <v>2.3326160088285269E-3</v>
      </c>
      <c r="R81" s="12" t="s">
        <v>29</v>
      </c>
      <c r="S81" s="13">
        <f t="shared" si="1"/>
        <v>-1.6199999999999999</v>
      </c>
    </row>
    <row r="82" spans="1:19">
      <c r="A82" s="10" t="s">
        <v>2119</v>
      </c>
      <c r="B82" s="11">
        <v>58.7</v>
      </c>
      <c r="C82" s="11" t="s">
        <v>85</v>
      </c>
      <c r="D82" s="11" t="s">
        <v>88</v>
      </c>
      <c r="E82" s="11" t="s">
        <v>25</v>
      </c>
      <c r="F82">
        <v>251.2</v>
      </c>
      <c r="G82">
        <v>251.9</v>
      </c>
      <c r="H82" s="12">
        <v>106.7</v>
      </c>
      <c r="I82" s="11" t="s">
        <v>20</v>
      </c>
      <c r="J82" s="11" t="s">
        <v>45</v>
      </c>
      <c r="K82" s="11" t="s">
        <v>22</v>
      </c>
      <c r="L82" s="12">
        <v>0.44999999999999996</v>
      </c>
      <c r="M82" s="12" t="s">
        <v>23</v>
      </c>
      <c r="N82" s="11" t="s">
        <v>24</v>
      </c>
      <c r="O82" s="11" t="s">
        <v>25</v>
      </c>
      <c r="P82" s="11" t="s">
        <v>25</v>
      </c>
      <c r="Q82" s="37" t="s">
        <v>25</v>
      </c>
      <c r="R82" s="11" t="s">
        <v>25</v>
      </c>
      <c r="S82" s="13">
        <f t="shared" si="1"/>
        <v>-1.43</v>
      </c>
    </row>
    <row r="83" spans="1:19">
      <c r="A83" s="10" t="s">
        <v>2119</v>
      </c>
      <c r="B83" s="11">
        <v>62</v>
      </c>
      <c r="C83" s="11" t="s">
        <v>85</v>
      </c>
      <c r="D83" s="11" t="s">
        <v>88</v>
      </c>
      <c r="E83" s="11" t="s">
        <v>25</v>
      </c>
      <c r="F83">
        <v>251.2</v>
      </c>
      <c r="G83">
        <v>251.9</v>
      </c>
      <c r="H83" s="12">
        <v>110</v>
      </c>
      <c r="I83" s="11" t="s">
        <v>20</v>
      </c>
      <c r="J83" s="11" t="s">
        <v>61</v>
      </c>
      <c r="K83" s="11" t="s">
        <v>22</v>
      </c>
      <c r="L83" s="12">
        <v>0.56000000000000005</v>
      </c>
      <c r="M83" s="12" t="s">
        <v>23</v>
      </c>
      <c r="N83" s="11" t="s">
        <v>24</v>
      </c>
      <c r="O83" s="12">
        <v>1909.45</v>
      </c>
      <c r="P83" s="11" t="s">
        <v>28</v>
      </c>
      <c r="Q83" s="37">
        <v>4.4384645075753728E-3</v>
      </c>
      <c r="R83" s="12" t="s">
        <v>29</v>
      </c>
      <c r="S83" s="13">
        <f t="shared" si="1"/>
        <v>-1.3199999999999998</v>
      </c>
    </row>
    <row r="84" spans="1:19">
      <c r="A84" s="10" t="s">
        <v>2119</v>
      </c>
      <c r="B84" s="11">
        <v>95</v>
      </c>
      <c r="C84" s="11" t="s">
        <v>85</v>
      </c>
      <c r="D84" s="11" t="s">
        <v>88</v>
      </c>
      <c r="E84" s="11" t="s">
        <v>25</v>
      </c>
      <c r="F84">
        <v>251.2</v>
      </c>
      <c r="G84">
        <v>251.9</v>
      </c>
      <c r="H84" s="12">
        <v>143</v>
      </c>
      <c r="I84" s="11" t="s">
        <v>20</v>
      </c>
      <c r="J84" s="11" t="s">
        <v>90</v>
      </c>
      <c r="K84" s="11" t="s">
        <v>22</v>
      </c>
      <c r="L84" s="12">
        <v>0.49</v>
      </c>
      <c r="M84" s="12" t="s">
        <v>23</v>
      </c>
      <c r="N84" s="11" t="s">
        <v>24</v>
      </c>
      <c r="O84" s="12">
        <v>2130.4899999999998</v>
      </c>
      <c r="P84" s="11" t="s">
        <v>28</v>
      </c>
      <c r="Q84" s="37">
        <v>4.47747569249741E-3</v>
      </c>
      <c r="R84" s="12" t="s">
        <v>29</v>
      </c>
      <c r="S84" s="13">
        <f t="shared" si="1"/>
        <v>-1.39</v>
      </c>
    </row>
    <row r="85" spans="1:19">
      <c r="A85" s="10" t="s">
        <v>2119</v>
      </c>
      <c r="B85" s="11">
        <v>109</v>
      </c>
      <c r="C85" s="11" t="s">
        <v>85</v>
      </c>
      <c r="D85" s="11" t="s">
        <v>88</v>
      </c>
      <c r="E85" s="11" t="s">
        <v>25</v>
      </c>
      <c r="F85">
        <v>251.2</v>
      </c>
      <c r="G85">
        <v>251.9</v>
      </c>
      <c r="H85" s="12">
        <v>157</v>
      </c>
      <c r="I85" s="11" t="s">
        <v>20</v>
      </c>
      <c r="J85" s="11" t="s">
        <v>45</v>
      </c>
      <c r="K85" s="11" t="s">
        <v>22</v>
      </c>
      <c r="L85" s="12">
        <v>0.65999999999999992</v>
      </c>
      <c r="M85" s="12" t="s">
        <v>23</v>
      </c>
      <c r="N85" s="11" t="s">
        <v>24</v>
      </c>
      <c r="O85" s="12">
        <v>1163.69</v>
      </c>
      <c r="P85" s="11" t="s">
        <v>28</v>
      </c>
      <c r="Q85" s="37">
        <v>2.4456316099124198E-3</v>
      </c>
      <c r="R85" s="12" t="s">
        <v>29</v>
      </c>
      <c r="S85" s="13">
        <f t="shared" si="1"/>
        <v>-1.22</v>
      </c>
    </row>
    <row r="86" spans="1:19">
      <c r="A86" s="10" t="s">
        <v>2119</v>
      </c>
      <c r="B86" s="11">
        <v>136.5</v>
      </c>
      <c r="C86" s="11" t="s">
        <v>85</v>
      </c>
      <c r="D86" s="11" t="s">
        <v>88</v>
      </c>
      <c r="E86" s="11" t="s">
        <v>25</v>
      </c>
      <c r="F86">
        <v>251.2</v>
      </c>
      <c r="G86">
        <v>251.9</v>
      </c>
      <c r="H86" s="12">
        <v>184.5</v>
      </c>
      <c r="I86" s="11" t="s">
        <v>20</v>
      </c>
      <c r="J86" s="11" t="s">
        <v>89</v>
      </c>
      <c r="K86" s="11" t="s">
        <v>22</v>
      </c>
      <c r="L86" s="12">
        <v>0.47</v>
      </c>
      <c r="M86" s="12" t="s">
        <v>23</v>
      </c>
      <c r="N86" s="11" t="s">
        <v>24</v>
      </c>
      <c r="O86" s="12">
        <v>2084.4499999999998</v>
      </c>
      <c r="P86" s="11" t="s">
        <v>28</v>
      </c>
      <c r="Q86" s="37">
        <v>4.7350589378820501E-3</v>
      </c>
      <c r="R86" s="12" t="s">
        <v>29</v>
      </c>
      <c r="S86" s="13">
        <f t="shared" si="1"/>
        <v>-1.41</v>
      </c>
    </row>
    <row r="87" spans="1:19">
      <c r="A87" s="10" t="s">
        <v>2119</v>
      </c>
      <c r="B87" s="11">
        <v>151</v>
      </c>
      <c r="C87" s="11" t="s">
        <v>85</v>
      </c>
      <c r="D87" s="11" t="s">
        <v>88</v>
      </c>
      <c r="E87" s="11" t="s">
        <v>25</v>
      </c>
      <c r="F87">
        <v>251.2</v>
      </c>
      <c r="G87">
        <v>251.9</v>
      </c>
      <c r="H87" s="12">
        <v>199</v>
      </c>
      <c r="I87" s="11" t="s">
        <v>20</v>
      </c>
      <c r="J87" s="11" t="s">
        <v>89</v>
      </c>
      <c r="K87" s="11" t="s">
        <v>22</v>
      </c>
      <c r="L87" s="12">
        <v>0.87999999999999989</v>
      </c>
      <c r="M87" s="12" t="s">
        <v>23</v>
      </c>
      <c r="N87" s="11" t="s">
        <v>24</v>
      </c>
      <c r="O87" s="12">
        <v>1476.1494425679202</v>
      </c>
      <c r="P87" s="11" t="s">
        <v>28</v>
      </c>
      <c r="Q87" s="37" t="s">
        <v>25</v>
      </c>
      <c r="R87" s="12" t="s">
        <v>25</v>
      </c>
      <c r="S87" s="13">
        <f t="shared" si="1"/>
        <v>-1</v>
      </c>
    </row>
    <row r="88" spans="1:19">
      <c r="A88" s="10" t="s">
        <v>2119</v>
      </c>
      <c r="B88" s="11">
        <v>176.2</v>
      </c>
      <c r="C88" s="11" t="s">
        <v>85</v>
      </c>
      <c r="D88" s="11" t="s">
        <v>88</v>
      </c>
      <c r="E88" s="11" t="s">
        <v>25</v>
      </c>
      <c r="F88">
        <v>251.2</v>
      </c>
      <c r="G88">
        <v>251.9</v>
      </c>
      <c r="H88" s="12">
        <v>224.2</v>
      </c>
      <c r="I88" s="11" t="s">
        <v>20</v>
      </c>
      <c r="J88" s="11" t="s">
        <v>89</v>
      </c>
      <c r="K88" s="11" t="s">
        <v>22</v>
      </c>
      <c r="L88" s="12">
        <v>0.51</v>
      </c>
      <c r="M88" s="12" t="s">
        <v>23</v>
      </c>
      <c r="N88" s="11" t="s">
        <v>24</v>
      </c>
      <c r="O88" s="12">
        <v>1436.28</v>
      </c>
      <c r="P88" s="11" t="s">
        <v>28</v>
      </c>
      <c r="Q88" s="37">
        <v>2.7071039659239057E-3</v>
      </c>
      <c r="R88" s="12" t="s">
        <v>29</v>
      </c>
      <c r="S88" s="13">
        <f t="shared" si="1"/>
        <v>-1.3699999999999999</v>
      </c>
    </row>
    <row r="89" spans="1:19">
      <c r="A89" s="10" t="s">
        <v>2119</v>
      </c>
      <c r="B89" s="11">
        <v>207</v>
      </c>
      <c r="C89" s="11" t="s">
        <v>85</v>
      </c>
      <c r="D89" s="11" t="s">
        <v>88</v>
      </c>
      <c r="E89" s="11" t="s">
        <v>25</v>
      </c>
      <c r="F89">
        <v>250.7</v>
      </c>
      <c r="G89">
        <v>251.2</v>
      </c>
      <c r="H89" s="12">
        <v>255</v>
      </c>
      <c r="I89" s="11" t="s">
        <v>20</v>
      </c>
      <c r="J89" s="11" t="s">
        <v>89</v>
      </c>
      <c r="K89" s="11" t="s">
        <v>22</v>
      </c>
      <c r="L89" s="12">
        <v>0.73</v>
      </c>
      <c r="M89" s="12" t="s">
        <v>23</v>
      </c>
      <c r="N89" s="11" t="s">
        <v>24</v>
      </c>
      <c r="O89" s="12">
        <v>89.1684388163481</v>
      </c>
      <c r="P89" s="11" t="s">
        <v>28</v>
      </c>
      <c r="Q89" s="37" t="s">
        <v>25</v>
      </c>
      <c r="R89" s="12" t="s">
        <v>25</v>
      </c>
      <c r="S89" s="13">
        <f t="shared" si="1"/>
        <v>-1.1499999999999999</v>
      </c>
    </row>
    <row r="90" spans="1:19">
      <c r="A90" s="10" t="s">
        <v>2119</v>
      </c>
      <c r="B90" s="11">
        <v>226</v>
      </c>
      <c r="C90" s="11" t="s">
        <v>85</v>
      </c>
      <c r="D90" s="11" t="s">
        <v>88</v>
      </c>
      <c r="E90" s="11" t="s">
        <v>25</v>
      </c>
      <c r="F90">
        <v>249.7</v>
      </c>
      <c r="G90">
        <v>250.7</v>
      </c>
      <c r="H90" s="12">
        <v>274</v>
      </c>
      <c r="I90" s="11" t="s">
        <v>20</v>
      </c>
      <c r="J90" s="11" t="s">
        <v>89</v>
      </c>
      <c r="K90" s="11" t="s">
        <v>22</v>
      </c>
      <c r="L90" s="12">
        <v>0.45999999999999996</v>
      </c>
      <c r="M90" s="12" t="s">
        <v>23</v>
      </c>
      <c r="N90" s="11" t="s">
        <v>24</v>
      </c>
      <c r="O90" s="11" t="s">
        <v>25</v>
      </c>
      <c r="P90" s="11" t="s">
        <v>25</v>
      </c>
      <c r="Q90" s="37" t="s">
        <v>25</v>
      </c>
      <c r="R90" s="11" t="s">
        <v>25</v>
      </c>
      <c r="S90" s="13">
        <f t="shared" si="1"/>
        <v>-1.42</v>
      </c>
    </row>
    <row r="91" spans="1:19">
      <c r="A91" s="10" t="s">
        <v>2119</v>
      </c>
      <c r="B91" s="11">
        <v>234</v>
      </c>
      <c r="C91" s="11" t="s">
        <v>85</v>
      </c>
      <c r="D91" s="11" t="s">
        <v>88</v>
      </c>
      <c r="E91" s="11" t="s">
        <v>25</v>
      </c>
      <c r="F91">
        <v>249.7</v>
      </c>
      <c r="G91">
        <v>250.7</v>
      </c>
      <c r="H91" s="12">
        <v>282</v>
      </c>
      <c r="I91" s="11" t="s">
        <v>20</v>
      </c>
      <c r="J91" s="11" t="s">
        <v>61</v>
      </c>
      <c r="K91" s="11" t="s">
        <v>22</v>
      </c>
      <c r="L91" s="12">
        <v>0.21999999999999997</v>
      </c>
      <c r="M91" s="12" t="s">
        <v>23</v>
      </c>
      <c r="N91" s="11" t="s">
        <v>24</v>
      </c>
      <c r="O91" s="12">
        <v>385.90207472344724</v>
      </c>
      <c r="P91" s="11" t="s">
        <v>28</v>
      </c>
      <c r="Q91" s="37" t="s">
        <v>25</v>
      </c>
      <c r="R91" s="12" t="s">
        <v>25</v>
      </c>
      <c r="S91" s="13">
        <f t="shared" si="1"/>
        <v>-1.66</v>
      </c>
    </row>
    <row r="92" spans="1:19">
      <c r="A92" s="10" t="s">
        <v>2119</v>
      </c>
      <c r="B92" s="11">
        <v>287</v>
      </c>
      <c r="C92" s="11" t="s">
        <v>85</v>
      </c>
      <c r="D92" s="11" t="s">
        <v>88</v>
      </c>
      <c r="E92" s="11" t="s">
        <v>25</v>
      </c>
      <c r="F92">
        <v>249.7</v>
      </c>
      <c r="G92">
        <v>250.7</v>
      </c>
      <c r="H92" s="12">
        <v>335</v>
      </c>
      <c r="I92" s="11" t="s">
        <v>20</v>
      </c>
      <c r="J92" s="11" t="s">
        <v>45</v>
      </c>
      <c r="K92" s="11" t="s">
        <v>22</v>
      </c>
      <c r="L92" s="12">
        <v>0.51</v>
      </c>
      <c r="M92" s="12" t="s">
        <v>23</v>
      </c>
      <c r="N92" s="11" t="s">
        <v>24</v>
      </c>
      <c r="O92" s="12">
        <v>311.62201943876283</v>
      </c>
      <c r="P92" s="11" t="s">
        <v>28</v>
      </c>
      <c r="Q92" s="37" t="s">
        <v>25</v>
      </c>
      <c r="R92" s="12" t="s">
        <v>25</v>
      </c>
      <c r="S92" s="13">
        <f t="shared" si="1"/>
        <v>-1.3699999999999999</v>
      </c>
    </row>
    <row r="93" spans="1:19">
      <c r="A93" s="10" t="s">
        <v>2119</v>
      </c>
      <c r="B93" s="11" t="s">
        <v>91</v>
      </c>
      <c r="C93" s="11" t="s">
        <v>92</v>
      </c>
      <c r="D93" s="11" t="s">
        <v>93</v>
      </c>
      <c r="E93" s="11" t="s">
        <v>25</v>
      </c>
      <c r="F93">
        <v>251.9</v>
      </c>
      <c r="G93">
        <v>254.14</v>
      </c>
      <c r="H93" s="12">
        <v>1.5</v>
      </c>
      <c r="I93" s="11" t="s">
        <v>20</v>
      </c>
      <c r="J93" s="11" t="s">
        <v>61</v>
      </c>
      <c r="K93" s="11" t="s">
        <v>22</v>
      </c>
      <c r="L93" s="12">
        <v>0.14999999999999991</v>
      </c>
      <c r="M93" s="12" t="s">
        <v>23</v>
      </c>
      <c r="N93" s="11" t="s">
        <v>24</v>
      </c>
      <c r="O93" s="12">
        <v>317.29862324202674</v>
      </c>
      <c r="P93" s="11" t="s">
        <v>28</v>
      </c>
      <c r="Q93" s="37">
        <v>3.5925399723108099E-4</v>
      </c>
      <c r="R93" s="12" t="s">
        <v>29</v>
      </c>
      <c r="S93" s="13">
        <f t="shared" si="1"/>
        <v>-1.73</v>
      </c>
    </row>
    <row r="94" spans="1:19">
      <c r="A94" s="10" t="s">
        <v>2119</v>
      </c>
      <c r="B94" s="11" t="s">
        <v>94</v>
      </c>
      <c r="C94" s="11" t="s">
        <v>92</v>
      </c>
      <c r="D94" s="11" t="s">
        <v>95</v>
      </c>
      <c r="E94" s="11" t="s">
        <v>25</v>
      </c>
      <c r="F94">
        <v>251.9</v>
      </c>
      <c r="G94">
        <v>254.14</v>
      </c>
      <c r="H94" s="12">
        <v>4.25</v>
      </c>
      <c r="I94" s="11" t="s">
        <v>20</v>
      </c>
      <c r="J94" s="11" t="s">
        <v>61</v>
      </c>
      <c r="K94" s="11" t="s">
        <v>22</v>
      </c>
      <c r="L94" s="12">
        <v>0.30000000000000004</v>
      </c>
      <c r="M94" s="12" t="s">
        <v>23</v>
      </c>
      <c r="N94" s="11" t="s">
        <v>24</v>
      </c>
      <c r="O94" s="11" t="s">
        <v>25</v>
      </c>
      <c r="P94" s="11" t="s">
        <v>25</v>
      </c>
      <c r="Q94" s="37" t="s">
        <v>25</v>
      </c>
      <c r="R94" s="11" t="s">
        <v>25</v>
      </c>
      <c r="S94" s="13">
        <f t="shared" si="1"/>
        <v>-1.5799999999999998</v>
      </c>
    </row>
    <row r="95" spans="1:19">
      <c r="A95" s="10" t="s">
        <v>2119</v>
      </c>
      <c r="B95" s="11" t="s">
        <v>96</v>
      </c>
      <c r="C95" s="11" t="s">
        <v>92</v>
      </c>
      <c r="D95" s="11" t="s">
        <v>95</v>
      </c>
      <c r="E95" s="11" t="s">
        <v>25</v>
      </c>
      <c r="F95">
        <v>251.9</v>
      </c>
      <c r="G95">
        <v>254.14</v>
      </c>
      <c r="H95" s="12">
        <v>5.45</v>
      </c>
      <c r="I95" s="11" t="s">
        <v>20</v>
      </c>
      <c r="J95" s="11" t="s">
        <v>61</v>
      </c>
      <c r="K95" s="11" t="s">
        <v>22</v>
      </c>
      <c r="L95" s="12">
        <v>0.32000000000000006</v>
      </c>
      <c r="M95" s="12" t="s">
        <v>23</v>
      </c>
      <c r="N95" s="11" t="s">
        <v>24</v>
      </c>
      <c r="O95" s="12">
        <v>144.90281467788168</v>
      </c>
      <c r="P95" s="11" t="s">
        <v>28</v>
      </c>
      <c r="Q95" s="37">
        <v>9.2410655200886001E-4</v>
      </c>
      <c r="R95" s="12" t="s">
        <v>29</v>
      </c>
      <c r="S95" s="13">
        <f t="shared" si="1"/>
        <v>-1.5599999999999998</v>
      </c>
    </row>
    <row r="96" spans="1:19">
      <c r="A96" s="10" t="s">
        <v>2119</v>
      </c>
      <c r="B96" s="11" t="s">
        <v>97</v>
      </c>
      <c r="C96" s="11" t="s">
        <v>92</v>
      </c>
      <c r="D96" s="11" t="s">
        <v>95</v>
      </c>
      <c r="E96" s="11" t="s">
        <v>25</v>
      </c>
      <c r="F96">
        <v>251.9</v>
      </c>
      <c r="G96">
        <v>254.14</v>
      </c>
      <c r="H96" s="12">
        <v>9.9499999999999993</v>
      </c>
      <c r="I96" s="11" t="s">
        <v>20</v>
      </c>
      <c r="J96" s="11" t="s">
        <v>61</v>
      </c>
      <c r="K96" s="11" t="s">
        <v>22</v>
      </c>
      <c r="L96" s="12">
        <v>0.35999999999999988</v>
      </c>
      <c r="M96" s="12" t="s">
        <v>23</v>
      </c>
      <c r="N96" s="11" t="s">
        <v>24</v>
      </c>
      <c r="O96" s="12">
        <v>353.54623779935855</v>
      </c>
      <c r="P96" s="11" t="s">
        <v>28</v>
      </c>
      <c r="Q96" s="37">
        <v>7.1912811253561297E-4</v>
      </c>
      <c r="R96" s="12" t="s">
        <v>29</v>
      </c>
      <c r="S96" s="13">
        <f t="shared" si="1"/>
        <v>-1.52</v>
      </c>
    </row>
    <row r="97" spans="1:19">
      <c r="A97" s="10" t="s">
        <v>2119</v>
      </c>
      <c r="B97" s="11" t="s">
        <v>98</v>
      </c>
      <c r="C97" s="11" t="s">
        <v>92</v>
      </c>
      <c r="D97" s="11" t="s">
        <v>95</v>
      </c>
      <c r="E97" s="11" t="s">
        <v>25</v>
      </c>
      <c r="F97">
        <v>251.9</v>
      </c>
      <c r="G97">
        <v>254.14</v>
      </c>
      <c r="H97" s="12">
        <v>11</v>
      </c>
      <c r="I97" s="11" t="s">
        <v>20</v>
      </c>
      <c r="J97" s="11" t="s">
        <v>61</v>
      </c>
      <c r="K97" s="11" t="s">
        <v>22</v>
      </c>
      <c r="L97" s="12">
        <v>0.35000000000000009</v>
      </c>
      <c r="M97" s="12" t="s">
        <v>23</v>
      </c>
      <c r="N97" s="11" t="s">
        <v>24</v>
      </c>
      <c r="O97" s="12">
        <v>189.15677357182037</v>
      </c>
      <c r="P97" s="11" t="s">
        <v>28</v>
      </c>
      <c r="Q97" s="37">
        <v>7.3571712199013998E-4</v>
      </c>
      <c r="R97" s="12" t="s">
        <v>29</v>
      </c>
      <c r="S97" s="13">
        <f t="shared" si="1"/>
        <v>-1.5299999999999998</v>
      </c>
    </row>
    <row r="98" spans="1:19">
      <c r="A98" s="10" t="s">
        <v>2119</v>
      </c>
      <c r="B98" s="11" t="s">
        <v>99</v>
      </c>
      <c r="C98" s="11" t="s">
        <v>92</v>
      </c>
      <c r="D98" s="11" t="s">
        <v>95</v>
      </c>
      <c r="E98" s="11" t="s">
        <v>25</v>
      </c>
      <c r="F98">
        <v>251.9</v>
      </c>
      <c r="G98">
        <v>254.14</v>
      </c>
      <c r="H98" s="12">
        <v>14.05</v>
      </c>
      <c r="I98" s="11" t="s">
        <v>20</v>
      </c>
      <c r="J98" s="11" t="s">
        <v>90</v>
      </c>
      <c r="K98" s="11" t="s">
        <v>22</v>
      </c>
      <c r="L98" s="12">
        <v>0.30000000000000004</v>
      </c>
      <c r="M98" s="12" t="s">
        <v>23</v>
      </c>
      <c r="N98" s="11" t="s">
        <v>24</v>
      </c>
      <c r="O98" s="12">
        <v>1586.630074293136</v>
      </c>
      <c r="P98" s="11" t="s">
        <v>28</v>
      </c>
      <c r="Q98" s="37" t="s">
        <v>25</v>
      </c>
      <c r="R98" s="12" t="s">
        <v>25</v>
      </c>
      <c r="S98" s="13">
        <f t="shared" si="1"/>
        <v>-1.5799999999999998</v>
      </c>
    </row>
    <row r="99" spans="1:19">
      <c r="A99" s="10" t="s">
        <v>2119</v>
      </c>
      <c r="B99" s="11" t="s">
        <v>100</v>
      </c>
      <c r="C99" s="11" t="s">
        <v>92</v>
      </c>
      <c r="D99" s="11" t="s">
        <v>95</v>
      </c>
      <c r="E99" s="11" t="s">
        <v>25</v>
      </c>
      <c r="F99">
        <v>251.9</v>
      </c>
      <c r="G99">
        <v>254.14</v>
      </c>
      <c r="H99" s="12">
        <v>16.899999999999999</v>
      </c>
      <c r="I99" s="11" t="s">
        <v>20</v>
      </c>
      <c r="J99" s="11" t="s">
        <v>90</v>
      </c>
      <c r="K99" s="11" t="s">
        <v>22</v>
      </c>
      <c r="L99" s="12">
        <v>0.12999999999999989</v>
      </c>
      <c r="M99" s="12" t="s">
        <v>23</v>
      </c>
      <c r="N99" s="11" t="s">
        <v>24</v>
      </c>
      <c r="O99" s="12">
        <v>851.01616246331832</v>
      </c>
      <c r="P99" s="11" t="s">
        <v>28</v>
      </c>
      <c r="Q99" s="37">
        <v>5.0396165815676903E-4</v>
      </c>
      <c r="R99" s="12" t="s">
        <v>29</v>
      </c>
      <c r="S99" s="13">
        <f t="shared" si="1"/>
        <v>-1.75</v>
      </c>
    </row>
    <row r="100" spans="1:19">
      <c r="A100" s="10" t="s">
        <v>2119</v>
      </c>
      <c r="B100" s="11" t="s">
        <v>101</v>
      </c>
      <c r="C100" s="11" t="s">
        <v>92</v>
      </c>
      <c r="D100" s="11" t="s">
        <v>95</v>
      </c>
      <c r="E100" s="11" t="s">
        <v>25</v>
      </c>
      <c r="F100">
        <v>251.9</v>
      </c>
      <c r="G100">
        <v>254.14</v>
      </c>
      <c r="H100" s="12">
        <v>17.3</v>
      </c>
      <c r="I100" s="11" t="s">
        <v>20</v>
      </c>
      <c r="J100" s="11" t="s">
        <v>61</v>
      </c>
      <c r="K100" s="11" t="s">
        <v>22</v>
      </c>
      <c r="L100" s="12">
        <v>0.22999999999999998</v>
      </c>
      <c r="M100" s="12" t="s">
        <v>23</v>
      </c>
      <c r="N100" s="11" t="s">
        <v>24</v>
      </c>
      <c r="O100" s="12">
        <v>292.86742454322166</v>
      </c>
      <c r="P100" s="11" t="s">
        <v>28</v>
      </c>
      <c r="Q100" s="37">
        <v>6.6925166290604998E-4</v>
      </c>
      <c r="R100" s="12" t="s">
        <v>29</v>
      </c>
      <c r="S100" s="13">
        <f t="shared" si="1"/>
        <v>-1.65</v>
      </c>
    </row>
    <row r="101" spans="1:19">
      <c r="A101" s="10" t="s">
        <v>2119</v>
      </c>
      <c r="B101" s="11" t="s">
        <v>102</v>
      </c>
      <c r="C101" s="11" t="s">
        <v>92</v>
      </c>
      <c r="D101" s="11" t="s">
        <v>103</v>
      </c>
      <c r="E101" s="11" t="s">
        <v>25</v>
      </c>
      <c r="F101">
        <v>251.9</v>
      </c>
      <c r="G101">
        <v>254.14</v>
      </c>
      <c r="H101" s="12">
        <v>18.600000000000001</v>
      </c>
      <c r="I101" s="11" t="s">
        <v>20</v>
      </c>
      <c r="J101" s="11" t="s">
        <v>58</v>
      </c>
      <c r="K101" s="11" t="s">
        <v>22</v>
      </c>
      <c r="L101" s="12">
        <v>-1.0000000000000009E-2</v>
      </c>
      <c r="M101" s="12" t="s">
        <v>23</v>
      </c>
      <c r="N101" s="11" t="s">
        <v>24</v>
      </c>
      <c r="O101" s="12">
        <v>534.34902698028134</v>
      </c>
      <c r="P101" s="11" t="s">
        <v>28</v>
      </c>
      <c r="Q101" s="37">
        <v>4.8995003347365902E-4</v>
      </c>
      <c r="R101" s="12" t="s">
        <v>29</v>
      </c>
      <c r="S101" s="13">
        <f t="shared" si="1"/>
        <v>-1.89</v>
      </c>
    </row>
    <row r="102" spans="1:19">
      <c r="A102" s="10" t="s">
        <v>2119</v>
      </c>
      <c r="B102" s="11" t="s">
        <v>104</v>
      </c>
      <c r="C102" s="11" t="s">
        <v>92</v>
      </c>
      <c r="D102" s="11" t="s">
        <v>103</v>
      </c>
      <c r="E102" s="11" t="s">
        <v>25</v>
      </c>
      <c r="F102">
        <v>251.9</v>
      </c>
      <c r="G102">
        <v>254.14</v>
      </c>
      <c r="H102" s="12">
        <v>18.899999999999999</v>
      </c>
      <c r="I102" s="11" t="s">
        <v>20</v>
      </c>
      <c r="J102" s="11" t="s">
        <v>58</v>
      </c>
      <c r="K102" s="11" t="s">
        <v>22</v>
      </c>
      <c r="L102" s="12">
        <v>0.22999999999999998</v>
      </c>
      <c r="M102" s="12" t="s">
        <v>23</v>
      </c>
      <c r="N102" s="11" t="s">
        <v>24</v>
      </c>
      <c r="O102" s="12">
        <v>445.85739094002952</v>
      </c>
      <c r="P102" s="11" t="s">
        <v>28</v>
      </c>
      <c r="Q102" s="37">
        <v>3.1327244664764399E-3</v>
      </c>
      <c r="R102" s="12" t="s">
        <v>29</v>
      </c>
      <c r="S102" s="13">
        <f t="shared" si="1"/>
        <v>-1.65</v>
      </c>
    </row>
    <row r="103" spans="1:19">
      <c r="A103" s="10" t="s">
        <v>2119</v>
      </c>
      <c r="B103" s="11" t="s">
        <v>105</v>
      </c>
      <c r="C103" s="11" t="s">
        <v>92</v>
      </c>
      <c r="D103" s="11" t="s">
        <v>103</v>
      </c>
      <c r="E103" s="11" t="s">
        <v>25</v>
      </c>
      <c r="F103">
        <v>251.9</v>
      </c>
      <c r="G103">
        <v>254.14</v>
      </c>
      <c r="H103" s="12">
        <v>20.3</v>
      </c>
      <c r="I103" s="11" t="s">
        <v>20</v>
      </c>
      <c r="J103" s="11" t="s">
        <v>58</v>
      </c>
      <c r="K103" s="11" t="s">
        <v>22</v>
      </c>
      <c r="L103" s="12">
        <v>3.0000000000000027E-2</v>
      </c>
      <c r="M103" s="12" t="s">
        <v>23</v>
      </c>
      <c r="N103" s="11" t="s">
        <v>24</v>
      </c>
      <c r="O103" s="12">
        <v>1332.4657264869286</v>
      </c>
      <c r="P103" s="11" t="s">
        <v>28</v>
      </c>
      <c r="Q103" s="37">
        <v>1.67322806986147E-3</v>
      </c>
      <c r="R103" s="12" t="s">
        <v>29</v>
      </c>
      <c r="S103" s="13">
        <f t="shared" si="1"/>
        <v>-1.8499999999999999</v>
      </c>
    </row>
    <row r="104" spans="1:19">
      <c r="A104" s="10" t="s">
        <v>2119</v>
      </c>
      <c r="B104" s="11" t="s">
        <v>106</v>
      </c>
      <c r="C104" s="11" t="s">
        <v>92</v>
      </c>
      <c r="D104" s="11" t="s">
        <v>103</v>
      </c>
      <c r="E104" s="11" t="s">
        <v>25</v>
      </c>
      <c r="F104">
        <v>251.9</v>
      </c>
      <c r="G104">
        <v>254.14</v>
      </c>
      <c r="H104" s="12">
        <v>22.65</v>
      </c>
      <c r="I104" s="11" t="s">
        <v>20</v>
      </c>
      <c r="J104" s="11" t="s">
        <v>58</v>
      </c>
      <c r="K104" s="11" t="s">
        <v>22</v>
      </c>
      <c r="L104" s="12">
        <v>0.22999999999999998</v>
      </c>
      <c r="M104" s="12" t="s">
        <v>23</v>
      </c>
      <c r="N104" s="11" t="s">
        <v>24</v>
      </c>
      <c r="O104" s="12">
        <v>175.24152829409107</v>
      </c>
      <c r="P104" s="11" t="s">
        <v>28</v>
      </c>
      <c r="Q104" s="37">
        <v>5.6123337941642196E-4</v>
      </c>
      <c r="R104" s="12" t="s">
        <v>29</v>
      </c>
      <c r="S104" s="13">
        <f t="shared" si="1"/>
        <v>-1.65</v>
      </c>
    </row>
    <row r="105" spans="1:19">
      <c r="A105" s="10" t="s">
        <v>2119</v>
      </c>
      <c r="B105" s="11" t="s">
        <v>107</v>
      </c>
      <c r="C105" s="11" t="s">
        <v>92</v>
      </c>
      <c r="D105" s="11" t="s">
        <v>103</v>
      </c>
      <c r="E105" s="11" t="s">
        <v>25</v>
      </c>
      <c r="F105">
        <v>251.9</v>
      </c>
      <c r="G105">
        <v>254.14</v>
      </c>
      <c r="H105" s="12">
        <v>22.9</v>
      </c>
      <c r="I105" s="11" t="s">
        <v>20</v>
      </c>
      <c r="J105" s="11" t="s">
        <v>58</v>
      </c>
      <c r="K105" s="11" t="s">
        <v>22</v>
      </c>
      <c r="L105" s="12">
        <v>-7.0000000000000062E-2</v>
      </c>
      <c r="M105" s="12" t="s">
        <v>23</v>
      </c>
      <c r="N105" s="11" t="s">
        <v>24</v>
      </c>
      <c r="O105" s="12">
        <v>276.35405635839498</v>
      </c>
      <c r="P105" s="11" t="s">
        <v>28</v>
      </c>
      <c r="Q105" s="37">
        <v>1.1261949149140599E-3</v>
      </c>
      <c r="R105" s="12" t="s">
        <v>29</v>
      </c>
      <c r="S105" s="13">
        <f t="shared" si="1"/>
        <v>-1.95</v>
      </c>
    </row>
    <row r="106" spans="1:19">
      <c r="A106" s="10" t="s">
        <v>2119</v>
      </c>
      <c r="B106" s="11" t="s">
        <v>108</v>
      </c>
      <c r="C106" s="11" t="s">
        <v>92</v>
      </c>
      <c r="D106" s="11" t="s">
        <v>103</v>
      </c>
      <c r="E106" s="11" t="s">
        <v>25</v>
      </c>
      <c r="F106">
        <v>251.9</v>
      </c>
      <c r="G106">
        <v>254.14</v>
      </c>
      <c r="H106" s="12">
        <v>23.25</v>
      </c>
      <c r="I106" s="11" t="s">
        <v>20</v>
      </c>
      <c r="J106" s="11" t="s">
        <v>58</v>
      </c>
      <c r="K106" s="11" t="s">
        <v>22</v>
      </c>
      <c r="L106" s="12">
        <v>0.12999999999999989</v>
      </c>
      <c r="M106" s="12" t="s">
        <v>23</v>
      </c>
      <c r="N106" s="11" t="s">
        <v>24</v>
      </c>
      <c r="O106" s="11" t="s">
        <v>25</v>
      </c>
      <c r="P106" s="11" t="s">
        <v>25</v>
      </c>
      <c r="Q106" s="37">
        <v>9.2462943394243304E-4</v>
      </c>
      <c r="R106" s="12" t="s">
        <v>29</v>
      </c>
      <c r="S106" s="13">
        <f t="shared" si="1"/>
        <v>-1.75</v>
      </c>
    </row>
    <row r="107" spans="1:19">
      <c r="A107" s="10" t="s">
        <v>2119</v>
      </c>
      <c r="B107" s="11" t="s">
        <v>109</v>
      </c>
      <c r="C107" s="11" t="s">
        <v>92</v>
      </c>
      <c r="D107" s="11" t="s">
        <v>103</v>
      </c>
      <c r="E107" s="11" t="s">
        <v>25</v>
      </c>
      <c r="F107">
        <v>251.9</v>
      </c>
      <c r="G107">
        <v>254.14</v>
      </c>
      <c r="H107" s="12">
        <v>23.7</v>
      </c>
      <c r="I107" s="11" t="s">
        <v>20</v>
      </c>
      <c r="J107" s="11" t="s">
        <v>58</v>
      </c>
      <c r="K107" s="11" t="s">
        <v>22</v>
      </c>
      <c r="L107" s="12">
        <v>-7.0000000000000062E-2</v>
      </c>
      <c r="M107" s="12" t="s">
        <v>23</v>
      </c>
      <c r="N107" s="11" t="s">
        <v>24</v>
      </c>
      <c r="O107" s="12">
        <v>335.13885688549669</v>
      </c>
      <c r="P107" s="11" t="s">
        <v>28</v>
      </c>
      <c r="Q107" s="37">
        <v>2.8928402738039498E-3</v>
      </c>
      <c r="R107" s="12" t="s">
        <v>29</v>
      </c>
      <c r="S107" s="13">
        <f t="shared" si="1"/>
        <v>-1.95</v>
      </c>
    </row>
    <row r="108" spans="1:19">
      <c r="A108" s="10" t="s">
        <v>2119</v>
      </c>
      <c r="B108" s="11" t="s">
        <v>110</v>
      </c>
      <c r="C108" s="11" t="s">
        <v>92</v>
      </c>
      <c r="D108" s="11" t="s">
        <v>111</v>
      </c>
      <c r="E108" s="11" t="s">
        <v>25</v>
      </c>
      <c r="F108">
        <v>251.2</v>
      </c>
      <c r="G108">
        <v>251.9</v>
      </c>
      <c r="H108" s="12">
        <v>25</v>
      </c>
      <c r="I108" s="11" t="s">
        <v>20</v>
      </c>
      <c r="J108" s="11" t="s">
        <v>89</v>
      </c>
      <c r="K108" s="11" t="s">
        <v>22</v>
      </c>
      <c r="L108" s="12">
        <v>0.22999999999999998</v>
      </c>
      <c r="M108" s="12" t="s">
        <v>23</v>
      </c>
      <c r="N108" s="11" t="s">
        <v>24</v>
      </c>
      <c r="O108" s="12">
        <v>2512.2528400992769</v>
      </c>
      <c r="P108" s="11" t="s">
        <v>28</v>
      </c>
      <c r="Q108" s="37">
        <v>5.3545996226162396E-4</v>
      </c>
      <c r="R108" s="12" t="s">
        <v>29</v>
      </c>
      <c r="S108" s="13">
        <f t="shared" si="1"/>
        <v>-1.65</v>
      </c>
    </row>
    <row r="109" spans="1:19">
      <c r="A109" s="10" t="s">
        <v>2119</v>
      </c>
      <c r="B109" s="11" t="s">
        <v>112</v>
      </c>
      <c r="C109" s="11" t="s">
        <v>92</v>
      </c>
      <c r="D109" s="11" t="s">
        <v>111</v>
      </c>
      <c r="E109" s="11" t="s">
        <v>25</v>
      </c>
      <c r="F109">
        <v>251.2</v>
      </c>
      <c r="G109">
        <v>251.9</v>
      </c>
      <c r="H109" s="12">
        <v>26.45</v>
      </c>
      <c r="I109" s="11" t="s">
        <v>20</v>
      </c>
      <c r="J109" s="11" t="s">
        <v>89</v>
      </c>
      <c r="K109" s="11" t="s">
        <v>22</v>
      </c>
      <c r="L109" s="12">
        <v>0.22999999999999998</v>
      </c>
      <c r="M109" s="12" t="s">
        <v>23</v>
      </c>
      <c r="N109" s="11" t="s">
        <v>24</v>
      </c>
      <c r="O109" s="12">
        <v>994.08531243590471</v>
      </c>
      <c r="P109" s="11" t="s">
        <v>28</v>
      </c>
      <c r="Q109" s="37">
        <v>9.4762387163175199E-4</v>
      </c>
      <c r="R109" s="12" t="s">
        <v>29</v>
      </c>
      <c r="S109" s="13">
        <f t="shared" si="1"/>
        <v>-1.65</v>
      </c>
    </row>
    <row r="110" spans="1:19">
      <c r="A110" s="10" t="s">
        <v>2119</v>
      </c>
      <c r="B110" s="11" t="s">
        <v>113</v>
      </c>
      <c r="C110" s="11" t="s">
        <v>92</v>
      </c>
      <c r="D110" s="11" t="s">
        <v>111</v>
      </c>
      <c r="E110" s="11" t="s">
        <v>25</v>
      </c>
      <c r="F110">
        <v>251.2</v>
      </c>
      <c r="G110">
        <v>251.9</v>
      </c>
      <c r="H110" s="12">
        <v>29.5</v>
      </c>
      <c r="I110" s="11" t="s">
        <v>20</v>
      </c>
      <c r="J110" s="11" t="s">
        <v>45</v>
      </c>
      <c r="K110" s="11" t="s">
        <v>22</v>
      </c>
      <c r="L110" s="12">
        <v>0.12999999999999989</v>
      </c>
      <c r="M110" s="12" t="s">
        <v>23</v>
      </c>
      <c r="N110" s="11" t="s">
        <v>24</v>
      </c>
      <c r="O110" s="11" t="s">
        <v>25</v>
      </c>
      <c r="P110" s="11" t="s">
        <v>25</v>
      </c>
      <c r="Q110" s="37" t="s">
        <v>25</v>
      </c>
      <c r="R110" s="11" t="s">
        <v>25</v>
      </c>
      <c r="S110" s="13">
        <f t="shared" si="1"/>
        <v>-1.75</v>
      </c>
    </row>
    <row r="111" spans="1:19">
      <c r="A111" s="10" t="s">
        <v>2119</v>
      </c>
      <c r="B111" s="11" t="s">
        <v>114</v>
      </c>
      <c r="C111" s="11" t="s">
        <v>92</v>
      </c>
      <c r="D111" s="11" t="s">
        <v>111</v>
      </c>
      <c r="E111" s="11" t="s">
        <v>25</v>
      </c>
      <c r="F111">
        <v>251.2</v>
      </c>
      <c r="G111">
        <v>251.9</v>
      </c>
      <c r="H111" s="12">
        <v>44.7</v>
      </c>
      <c r="I111" s="11" t="s">
        <v>20</v>
      </c>
      <c r="J111" s="11" t="s">
        <v>45</v>
      </c>
      <c r="K111" s="11" t="s">
        <v>22</v>
      </c>
      <c r="L111" s="12">
        <v>0.19999999999999996</v>
      </c>
      <c r="M111" s="12" t="s">
        <v>23</v>
      </c>
      <c r="N111" s="11" t="s">
        <v>24</v>
      </c>
      <c r="O111" s="11" t="s">
        <v>25</v>
      </c>
      <c r="P111" s="11" t="s">
        <v>25</v>
      </c>
      <c r="Q111" s="37">
        <v>9.0588000111294195E-4</v>
      </c>
      <c r="R111" s="12" t="s">
        <v>29</v>
      </c>
      <c r="S111" s="13">
        <f t="shared" si="1"/>
        <v>-1.68</v>
      </c>
    </row>
    <row r="112" spans="1:19">
      <c r="A112" s="10" t="s">
        <v>2119</v>
      </c>
      <c r="B112" s="11" t="s">
        <v>115</v>
      </c>
      <c r="C112" s="11" t="s">
        <v>92</v>
      </c>
      <c r="D112" s="11" t="s">
        <v>111</v>
      </c>
      <c r="E112" s="11" t="s">
        <v>25</v>
      </c>
      <c r="F112">
        <v>250.7</v>
      </c>
      <c r="G112">
        <v>251.2</v>
      </c>
      <c r="H112" s="12">
        <v>90</v>
      </c>
      <c r="I112" s="11" t="s">
        <v>20</v>
      </c>
      <c r="J112" s="11" t="s">
        <v>89</v>
      </c>
      <c r="K112" s="11" t="s">
        <v>22</v>
      </c>
      <c r="L112" s="12">
        <v>-7.0000000000000062E-2</v>
      </c>
      <c r="M112" s="12" t="s">
        <v>23</v>
      </c>
      <c r="N112" s="11" t="s">
        <v>24</v>
      </c>
      <c r="O112" s="11" t="s">
        <v>25</v>
      </c>
      <c r="P112" s="11" t="s">
        <v>25</v>
      </c>
      <c r="Q112" s="37">
        <v>5.2522763179559404E-3</v>
      </c>
      <c r="R112" s="12" t="s">
        <v>29</v>
      </c>
      <c r="S112" s="13">
        <f t="shared" si="1"/>
        <v>-1.95</v>
      </c>
    </row>
    <row r="113" spans="1:19">
      <c r="A113" s="10" t="s">
        <v>2119</v>
      </c>
      <c r="B113" s="11" t="s">
        <v>116</v>
      </c>
      <c r="C113" s="11" t="s">
        <v>92</v>
      </c>
      <c r="D113" s="11" t="s">
        <v>111</v>
      </c>
      <c r="E113" s="11" t="s">
        <v>25</v>
      </c>
      <c r="F113">
        <v>250.7</v>
      </c>
      <c r="G113">
        <v>251.2</v>
      </c>
      <c r="H113" s="12">
        <v>106</v>
      </c>
      <c r="I113" s="11" t="s">
        <v>20</v>
      </c>
      <c r="J113" s="11" t="s">
        <v>89</v>
      </c>
      <c r="K113" s="11" t="s">
        <v>22</v>
      </c>
      <c r="L113" s="12">
        <v>-7.0000000000000062E-2</v>
      </c>
      <c r="M113" s="12" t="s">
        <v>23</v>
      </c>
      <c r="N113" s="11" t="s">
        <v>24</v>
      </c>
      <c r="O113" s="11" t="s">
        <v>25</v>
      </c>
      <c r="P113" s="11" t="s">
        <v>25</v>
      </c>
      <c r="Q113" s="37">
        <v>1.8558288434343999E-3</v>
      </c>
      <c r="R113" s="12" t="s">
        <v>29</v>
      </c>
      <c r="S113" s="13">
        <f t="shared" si="1"/>
        <v>-1.95</v>
      </c>
    </row>
    <row r="114" spans="1:19">
      <c r="A114" s="10" t="s">
        <v>2119</v>
      </c>
      <c r="B114" s="11" t="s">
        <v>117</v>
      </c>
      <c r="C114" s="11" t="s">
        <v>118</v>
      </c>
      <c r="D114" s="11" t="s">
        <v>25</v>
      </c>
      <c r="E114" s="11" t="s">
        <v>25</v>
      </c>
      <c r="F114" t="s">
        <v>25</v>
      </c>
      <c r="G114" t="s">
        <v>25</v>
      </c>
      <c r="H114" s="12" t="s">
        <v>25</v>
      </c>
      <c r="I114" s="11" t="s">
        <v>119</v>
      </c>
      <c r="J114" s="11" t="s">
        <v>25</v>
      </c>
      <c r="K114" s="11" t="s">
        <v>25</v>
      </c>
      <c r="L114" s="12">
        <v>1.4</v>
      </c>
      <c r="M114" s="12" t="s">
        <v>23</v>
      </c>
      <c r="N114" s="11" t="s">
        <v>24</v>
      </c>
      <c r="O114" s="11" t="s">
        <v>25</v>
      </c>
      <c r="P114" s="11" t="s">
        <v>25</v>
      </c>
      <c r="Q114" s="37" t="s">
        <v>25</v>
      </c>
      <c r="R114" s="11" t="s">
        <v>25</v>
      </c>
      <c r="S114" s="13">
        <f t="shared" si="1"/>
        <v>-0.48</v>
      </c>
    </row>
    <row r="115" spans="1:19">
      <c r="A115" s="10" t="s">
        <v>2119</v>
      </c>
      <c r="B115" s="11" t="s">
        <v>120</v>
      </c>
      <c r="C115" s="11" t="s">
        <v>121</v>
      </c>
      <c r="D115" s="11" t="s">
        <v>25</v>
      </c>
      <c r="E115" s="11" t="s">
        <v>25</v>
      </c>
      <c r="F115" t="s">
        <v>25</v>
      </c>
      <c r="G115" t="s">
        <v>25</v>
      </c>
      <c r="H115" s="12" t="s">
        <v>25</v>
      </c>
      <c r="I115" s="11" t="s">
        <v>119</v>
      </c>
      <c r="J115" s="11" t="s">
        <v>25</v>
      </c>
      <c r="K115" s="11" t="s">
        <v>25</v>
      </c>
      <c r="L115" s="12">
        <v>1.1000000000000001</v>
      </c>
      <c r="M115" s="12" t="s">
        <v>23</v>
      </c>
      <c r="N115" s="11" t="s">
        <v>24</v>
      </c>
      <c r="O115" s="11" t="s">
        <v>25</v>
      </c>
      <c r="P115" s="11" t="s">
        <v>25</v>
      </c>
      <c r="Q115" s="37" t="s">
        <v>25</v>
      </c>
      <c r="R115" s="11" t="s">
        <v>25</v>
      </c>
      <c r="S115" s="13">
        <f t="shared" si="1"/>
        <v>-0.7799999999999998</v>
      </c>
    </row>
    <row r="116" spans="1:19" s="4" customFormat="1">
      <c r="Q116" s="38"/>
      <c r="S116" s="24"/>
    </row>
    <row r="117" spans="1:19">
      <c r="A117" s="14" t="s">
        <v>2120</v>
      </c>
      <c r="B117" s="12" t="s">
        <v>52</v>
      </c>
      <c r="C117" s="11" t="s">
        <v>18</v>
      </c>
      <c r="D117" s="11" t="s">
        <v>122</v>
      </c>
      <c r="E117" s="11" t="s">
        <v>25</v>
      </c>
      <c r="F117">
        <v>251.78200000000001</v>
      </c>
      <c r="G117">
        <v>251.78200000000001</v>
      </c>
      <c r="H117" s="12">
        <v>93.8</v>
      </c>
      <c r="I117" s="11" t="s">
        <v>20</v>
      </c>
      <c r="J117" s="11" t="s">
        <v>123</v>
      </c>
      <c r="K117" s="11" t="s">
        <v>25</v>
      </c>
      <c r="L117" s="12">
        <v>0.44</v>
      </c>
      <c r="M117" s="11" t="s">
        <v>23</v>
      </c>
      <c r="N117" s="11" t="s">
        <v>24</v>
      </c>
      <c r="O117" s="12">
        <v>109.6</v>
      </c>
      <c r="P117" s="11" t="s">
        <v>28</v>
      </c>
      <c r="Q117" s="37">
        <v>4.0000000000000002E-4</v>
      </c>
      <c r="R117" s="11" t="s">
        <v>29</v>
      </c>
      <c r="S117" s="13">
        <f t="shared" si="1"/>
        <v>-1.44</v>
      </c>
    </row>
    <row r="118" spans="1:19">
      <c r="A118" s="14" t="s">
        <v>2120</v>
      </c>
      <c r="B118" s="12" t="s">
        <v>54</v>
      </c>
      <c r="C118" s="11" t="s">
        <v>18</v>
      </c>
      <c r="D118" s="11" t="s">
        <v>122</v>
      </c>
      <c r="E118" s="11" t="s">
        <v>25</v>
      </c>
      <c r="F118">
        <v>251.75800000000001</v>
      </c>
      <c r="G118">
        <v>251.75800000000001</v>
      </c>
      <c r="H118" s="12">
        <v>103</v>
      </c>
      <c r="I118" s="11" t="s">
        <v>20</v>
      </c>
      <c r="J118" s="11" t="s">
        <v>123</v>
      </c>
      <c r="K118" s="11" t="s">
        <v>25</v>
      </c>
      <c r="L118" s="12">
        <v>0.61</v>
      </c>
      <c r="M118" s="12" t="s">
        <v>23</v>
      </c>
      <c r="N118" s="11" t="s">
        <v>24</v>
      </c>
      <c r="O118" s="12">
        <v>166.4</v>
      </c>
      <c r="P118" s="11" t="s">
        <v>28</v>
      </c>
      <c r="Q118" s="37">
        <v>5.0000000000000001E-4</v>
      </c>
      <c r="R118" s="11" t="s">
        <v>29</v>
      </c>
      <c r="S118" s="13">
        <f t="shared" si="1"/>
        <v>-1.27</v>
      </c>
    </row>
    <row r="119" spans="1:19">
      <c r="A119" s="14" t="s">
        <v>2120</v>
      </c>
      <c r="B119" s="12" t="s">
        <v>55</v>
      </c>
      <c r="C119" s="11" t="s">
        <v>18</v>
      </c>
      <c r="D119" s="11" t="s">
        <v>122</v>
      </c>
      <c r="E119" s="11" t="s">
        <v>25</v>
      </c>
      <c r="F119">
        <v>251.71700000000001</v>
      </c>
      <c r="G119">
        <v>251.71700000000001</v>
      </c>
      <c r="H119" s="12">
        <v>118.2</v>
      </c>
      <c r="I119" s="11" t="s">
        <v>20</v>
      </c>
      <c r="J119" s="11" t="s">
        <v>124</v>
      </c>
      <c r="K119" s="11" t="s">
        <v>25</v>
      </c>
      <c r="L119" s="12">
        <v>0.92</v>
      </c>
      <c r="M119" s="11" t="s">
        <v>23</v>
      </c>
      <c r="N119" s="11" t="s">
        <v>24</v>
      </c>
      <c r="O119" s="12">
        <v>100.2</v>
      </c>
      <c r="P119" s="11" t="s">
        <v>28</v>
      </c>
      <c r="Q119" s="37">
        <v>5.0000000000000001E-4</v>
      </c>
      <c r="R119" s="11" t="s">
        <v>29</v>
      </c>
      <c r="S119" s="13">
        <f t="shared" si="1"/>
        <v>-0.95999999999999985</v>
      </c>
    </row>
    <row r="120" spans="1:19">
      <c r="A120" s="14" t="s">
        <v>2120</v>
      </c>
      <c r="B120" s="12" t="s">
        <v>56</v>
      </c>
      <c r="C120" s="11" t="s">
        <v>18</v>
      </c>
      <c r="D120" s="11" t="s">
        <v>122</v>
      </c>
      <c r="E120" s="11" t="s">
        <v>25</v>
      </c>
      <c r="F120">
        <v>251.68299999999999</v>
      </c>
      <c r="G120">
        <v>251.68299999999999</v>
      </c>
      <c r="H120" s="12">
        <v>131</v>
      </c>
      <c r="I120" s="11" t="s">
        <v>20</v>
      </c>
      <c r="J120" s="11" t="s">
        <v>124</v>
      </c>
      <c r="K120" s="11" t="s">
        <v>25</v>
      </c>
      <c r="L120" s="12">
        <v>0.77</v>
      </c>
      <c r="M120" s="12" t="s">
        <v>23</v>
      </c>
      <c r="N120" s="11" t="s">
        <v>24</v>
      </c>
      <c r="O120" s="12">
        <v>49.3</v>
      </c>
      <c r="P120" s="11" t="s">
        <v>28</v>
      </c>
      <c r="Q120" s="37">
        <v>2.9999999999999997E-4</v>
      </c>
      <c r="R120" s="11" t="s">
        <v>29</v>
      </c>
      <c r="S120" s="13">
        <f t="shared" si="1"/>
        <v>-1.1099999999999999</v>
      </c>
    </row>
    <row r="121" spans="1:19">
      <c r="A121" s="14" t="s">
        <v>2120</v>
      </c>
      <c r="B121" s="12" t="s">
        <v>59</v>
      </c>
      <c r="C121" s="11" t="s">
        <v>18</v>
      </c>
      <c r="D121" s="11" t="s">
        <v>122</v>
      </c>
      <c r="E121" s="11" t="s">
        <v>25</v>
      </c>
      <c r="F121">
        <v>251.56399999999999</v>
      </c>
      <c r="G121">
        <v>251.56399999999999</v>
      </c>
      <c r="H121" s="12">
        <v>176</v>
      </c>
      <c r="I121" s="11" t="s">
        <v>20</v>
      </c>
      <c r="J121" s="11" t="s">
        <v>124</v>
      </c>
      <c r="K121" s="11" t="s">
        <v>25</v>
      </c>
      <c r="L121" s="12">
        <v>1.3</v>
      </c>
      <c r="M121" s="11" t="s">
        <v>23</v>
      </c>
      <c r="N121" s="11" t="s">
        <v>24</v>
      </c>
      <c r="O121" s="12">
        <v>214.5</v>
      </c>
      <c r="P121" s="11" t="s">
        <v>28</v>
      </c>
      <c r="Q121" s="37">
        <v>1E-3</v>
      </c>
      <c r="R121" s="11" t="s">
        <v>29</v>
      </c>
      <c r="S121" s="13">
        <f t="shared" si="1"/>
        <v>-0.57999999999999985</v>
      </c>
    </row>
    <row r="122" spans="1:19">
      <c r="A122" s="14" t="s">
        <v>2120</v>
      </c>
      <c r="B122" s="12" t="s">
        <v>60</v>
      </c>
      <c r="C122" s="11" t="s">
        <v>18</v>
      </c>
      <c r="D122" s="11" t="s">
        <v>122</v>
      </c>
      <c r="E122" s="11" t="s">
        <v>25</v>
      </c>
      <c r="F122">
        <v>251.48</v>
      </c>
      <c r="G122">
        <v>251.48</v>
      </c>
      <c r="H122" s="12">
        <v>207.5</v>
      </c>
      <c r="I122" s="11" t="s">
        <v>20</v>
      </c>
      <c r="J122" s="11" t="s">
        <v>36</v>
      </c>
      <c r="K122" s="11" t="s">
        <v>25</v>
      </c>
      <c r="L122" s="12">
        <v>1.06</v>
      </c>
      <c r="M122" s="12" t="s">
        <v>23</v>
      </c>
      <c r="N122" s="11" t="s">
        <v>24</v>
      </c>
      <c r="O122" s="12">
        <v>597.5</v>
      </c>
      <c r="P122" s="11" t="s">
        <v>28</v>
      </c>
      <c r="Q122" s="37">
        <v>1.6999999999999999E-3</v>
      </c>
      <c r="R122" s="11" t="s">
        <v>29</v>
      </c>
      <c r="S122" s="13">
        <f t="shared" si="1"/>
        <v>-0.81999999999999984</v>
      </c>
    </row>
    <row r="123" spans="1:19">
      <c r="A123" s="14" t="s">
        <v>2120</v>
      </c>
      <c r="B123" s="12" t="s">
        <v>125</v>
      </c>
      <c r="C123" s="11" t="s">
        <v>18</v>
      </c>
      <c r="D123" s="11" t="s">
        <v>122</v>
      </c>
      <c r="E123" s="11" t="s">
        <v>25</v>
      </c>
      <c r="F123">
        <v>251.45</v>
      </c>
      <c r="G123">
        <v>251.45</v>
      </c>
      <c r="H123" s="12">
        <v>218.8</v>
      </c>
      <c r="I123" s="11" t="s">
        <v>20</v>
      </c>
      <c r="J123" s="11" t="s">
        <v>21</v>
      </c>
      <c r="K123" s="11" t="s">
        <v>25</v>
      </c>
      <c r="L123" s="12">
        <v>0.52</v>
      </c>
      <c r="M123" s="11" t="s">
        <v>23</v>
      </c>
      <c r="N123" s="11" t="s">
        <v>24</v>
      </c>
      <c r="O123" s="12">
        <v>750</v>
      </c>
      <c r="P123" s="11" t="s">
        <v>28</v>
      </c>
      <c r="Q123" s="37">
        <v>2.3E-3</v>
      </c>
      <c r="R123" s="11" t="s">
        <v>29</v>
      </c>
      <c r="S123" s="13">
        <f t="shared" si="1"/>
        <v>-1.3599999999999999</v>
      </c>
    </row>
    <row r="124" spans="1:19">
      <c r="A124" s="14" t="s">
        <v>2120</v>
      </c>
      <c r="B124" s="12" t="s">
        <v>126</v>
      </c>
      <c r="C124" s="11" t="s">
        <v>18</v>
      </c>
      <c r="D124" s="11" t="s">
        <v>122</v>
      </c>
      <c r="E124" s="11" t="s">
        <v>25</v>
      </c>
      <c r="F124">
        <v>251.41800000000001</v>
      </c>
      <c r="G124">
        <v>251.41800000000001</v>
      </c>
      <c r="H124" s="12">
        <v>230.6</v>
      </c>
      <c r="I124" s="11" t="s">
        <v>20</v>
      </c>
      <c r="J124" s="11" t="s">
        <v>123</v>
      </c>
      <c r="K124" s="11" t="s">
        <v>25</v>
      </c>
      <c r="L124" s="12">
        <v>0.56000000000000005</v>
      </c>
      <c r="M124" s="12" t="s">
        <v>23</v>
      </c>
      <c r="N124" s="11" t="s">
        <v>24</v>
      </c>
      <c r="O124" s="12">
        <v>582.79999999999995</v>
      </c>
      <c r="P124" s="11" t="s">
        <v>28</v>
      </c>
      <c r="Q124" s="37">
        <v>1.6000000000000001E-3</v>
      </c>
      <c r="R124" s="11" t="s">
        <v>29</v>
      </c>
      <c r="S124" s="13">
        <f t="shared" si="1"/>
        <v>-1.3199999999999998</v>
      </c>
    </row>
    <row r="125" spans="1:19">
      <c r="A125" s="14" t="s">
        <v>2120</v>
      </c>
      <c r="B125" s="12" t="s">
        <v>127</v>
      </c>
      <c r="C125" s="11" t="s">
        <v>18</v>
      </c>
      <c r="D125" s="11" t="s">
        <v>122</v>
      </c>
      <c r="E125" s="11" t="s">
        <v>25</v>
      </c>
      <c r="F125">
        <v>251.4</v>
      </c>
      <c r="G125">
        <v>251.4</v>
      </c>
      <c r="H125" s="12">
        <v>237.75</v>
      </c>
      <c r="I125" s="11" t="s">
        <v>20</v>
      </c>
      <c r="J125" s="11" t="s">
        <v>123</v>
      </c>
      <c r="K125" s="11" t="s">
        <v>25</v>
      </c>
      <c r="L125" s="12">
        <v>0.57999999999999996</v>
      </c>
      <c r="M125" s="11" t="s">
        <v>23</v>
      </c>
      <c r="N125" s="11" t="s">
        <v>24</v>
      </c>
      <c r="O125" s="12">
        <v>415.4</v>
      </c>
      <c r="P125" s="11" t="s">
        <v>28</v>
      </c>
      <c r="Q125" s="37">
        <v>1.1999999999999999E-3</v>
      </c>
      <c r="R125" s="11" t="s">
        <v>29</v>
      </c>
      <c r="S125" s="13">
        <f t="shared" si="1"/>
        <v>-1.2999999999999998</v>
      </c>
    </row>
    <row r="126" spans="1:19">
      <c r="A126" s="14" t="s">
        <v>2120</v>
      </c>
      <c r="B126" s="12" t="s">
        <v>128</v>
      </c>
      <c r="C126" s="11" t="s">
        <v>18</v>
      </c>
      <c r="D126" s="11" t="s">
        <v>122</v>
      </c>
      <c r="E126" s="11" t="s">
        <v>25</v>
      </c>
      <c r="F126">
        <v>251.37799999999999</v>
      </c>
      <c r="G126">
        <v>251.37799999999999</v>
      </c>
      <c r="H126" s="12">
        <v>251</v>
      </c>
      <c r="I126" s="11" t="s">
        <v>20</v>
      </c>
      <c r="J126" s="11" t="s">
        <v>21</v>
      </c>
      <c r="K126" s="11" t="s">
        <v>25</v>
      </c>
      <c r="L126" s="12">
        <v>0.71</v>
      </c>
      <c r="M126" s="12" t="s">
        <v>23</v>
      </c>
      <c r="N126" s="11" t="s">
        <v>24</v>
      </c>
      <c r="O126" s="12">
        <v>997.8</v>
      </c>
      <c r="P126" s="11" t="s">
        <v>28</v>
      </c>
      <c r="Q126" s="37">
        <v>2.7000000000000001E-3</v>
      </c>
      <c r="R126" s="11" t="s">
        <v>29</v>
      </c>
      <c r="S126" s="13">
        <f t="shared" si="1"/>
        <v>-1.17</v>
      </c>
    </row>
    <row r="127" spans="1:19">
      <c r="A127" s="14" t="s">
        <v>2120</v>
      </c>
      <c r="B127" s="12" t="s">
        <v>129</v>
      </c>
      <c r="C127" s="11" t="s">
        <v>18</v>
      </c>
      <c r="D127" s="11" t="s">
        <v>122</v>
      </c>
      <c r="E127" s="11" t="s">
        <v>25</v>
      </c>
      <c r="F127">
        <v>251.34100000000001</v>
      </c>
      <c r="G127">
        <v>251.34100000000001</v>
      </c>
      <c r="H127" s="12">
        <v>274.10000000000002</v>
      </c>
      <c r="I127" s="11" t="s">
        <v>20</v>
      </c>
      <c r="J127" s="11" t="s">
        <v>21</v>
      </c>
      <c r="K127" s="11" t="s">
        <v>25</v>
      </c>
      <c r="L127" s="12">
        <v>0.44</v>
      </c>
      <c r="M127" s="11" t="s">
        <v>23</v>
      </c>
      <c r="N127" s="11" t="s">
        <v>24</v>
      </c>
      <c r="O127" s="12">
        <v>499.2</v>
      </c>
      <c r="P127" s="11" t="s">
        <v>28</v>
      </c>
      <c r="Q127" s="37">
        <v>1.8E-3</v>
      </c>
      <c r="R127" s="11" t="s">
        <v>29</v>
      </c>
      <c r="S127" s="13">
        <f t="shared" si="1"/>
        <v>-1.44</v>
      </c>
    </row>
    <row r="128" spans="1:19">
      <c r="A128" s="14" t="s">
        <v>2120</v>
      </c>
      <c r="B128" s="12" t="s">
        <v>130</v>
      </c>
      <c r="C128" s="11" t="s">
        <v>18</v>
      </c>
      <c r="D128" s="11" t="s">
        <v>122</v>
      </c>
      <c r="E128" s="11" t="s">
        <v>25</v>
      </c>
      <c r="F128">
        <v>251.327</v>
      </c>
      <c r="G128">
        <v>251.327</v>
      </c>
      <c r="H128" s="12">
        <v>282.2</v>
      </c>
      <c r="I128" s="11" t="s">
        <v>20</v>
      </c>
      <c r="J128" s="11" t="s">
        <v>123</v>
      </c>
      <c r="K128" s="11" t="s">
        <v>25</v>
      </c>
      <c r="L128" s="12">
        <v>0.4</v>
      </c>
      <c r="M128" s="12" t="s">
        <v>23</v>
      </c>
      <c r="N128" s="11" t="s">
        <v>24</v>
      </c>
      <c r="O128" s="12">
        <v>295.2</v>
      </c>
      <c r="P128" s="11" t="s">
        <v>28</v>
      </c>
      <c r="Q128" s="37">
        <v>8.9999999999999998E-4</v>
      </c>
      <c r="R128" s="11" t="s">
        <v>29</v>
      </c>
      <c r="S128" s="13">
        <f t="shared" si="1"/>
        <v>-1.48</v>
      </c>
    </row>
    <row r="129" spans="1:19">
      <c r="A129" s="14" t="s">
        <v>2120</v>
      </c>
      <c r="B129" s="12" t="s">
        <v>131</v>
      </c>
      <c r="C129" s="11" t="s">
        <v>18</v>
      </c>
      <c r="D129" s="11" t="s">
        <v>122</v>
      </c>
      <c r="E129" s="11" t="s">
        <v>25</v>
      </c>
      <c r="F129">
        <v>251.31100000000001</v>
      </c>
      <c r="G129">
        <v>251.31100000000001</v>
      </c>
      <c r="H129" s="12">
        <v>292.2</v>
      </c>
      <c r="I129" s="11" t="s">
        <v>20</v>
      </c>
      <c r="J129" s="11" t="s">
        <v>58</v>
      </c>
      <c r="K129" s="11" t="s">
        <v>25</v>
      </c>
      <c r="L129" s="12">
        <v>0.53</v>
      </c>
      <c r="M129" s="11" t="s">
        <v>23</v>
      </c>
      <c r="N129" s="11" t="s">
        <v>24</v>
      </c>
      <c r="O129" s="12">
        <v>488.5</v>
      </c>
      <c r="P129" s="11" t="s">
        <v>28</v>
      </c>
      <c r="Q129" s="37">
        <v>1.4E-3</v>
      </c>
      <c r="R129" s="11" t="s">
        <v>29</v>
      </c>
      <c r="S129" s="13">
        <f t="shared" si="1"/>
        <v>-1.3499999999999999</v>
      </c>
    </row>
    <row r="130" spans="1:19">
      <c r="A130" s="14" t="s">
        <v>2120</v>
      </c>
      <c r="B130" s="12" t="s">
        <v>132</v>
      </c>
      <c r="C130" s="11" t="s">
        <v>18</v>
      </c>
      <c r="D130" s="11" t="s">
        <v>122</v>
      </c>
      <c r="E130" s="11" t="s">
        <v>25</v>
      </c>
      <c r="F130">
        <v>251.297</v>
      </c>
      <c r="G130">
        <v>251.297</v>
      </c>
      <c r="H130" s="12">
        <v>301</v>
      </c>
      <c r="I130" s="11" t="s">
        <v>20</v>
      </c>
      <c r="J130" s="11" t="s">
        <v>123</v>
      </c>
      <c r="K130" s="11" t="s">
        <v>25</v>
      </c>
      <c r="L130" s="12">
        <v>0.56999999999999995</v>
      </c>
      <c r="M130" s="12" t="s">
        <v>23</v>
      </c>
      <c r="N130" s="11" t="s">
        <v>24</v>
      </c>
      <c r="O130" s="12">
        <v>280.56191230000002</v>
      </c>
      <c r="P130" s="11" t="s">
        <v>28</v>
      </c>
      <c r="Q130" s="37">
        <v>8.2467399999999996E-4</v>
      </c>
      <c r="R130" s="11" t="s">
        <v>29</v>
      </c>
      <c r="S130" s="13">
        <f t="shared" si="1"/>
        <v>-1.31</v>
      </c>
    </row>
    <row r="131" spans="1:19">
      <c r="A131" s="14" t="s">
        <v>2120</v>
      </c>
      <c r="B131" s="12" t="s">
        <v>133</v>
      </c>
      <c r="C131" s="11" t="s">
        <v>18</v>
      </c>
      <c r="D131" s="11" t="s">
        <v>122</v>
      </c>
      <c r="E131" s="11" t="s">
        <v>25</v>
      </c>
      <c r="F131">
        <v>251.28399999999999</v>
      </c>
      <c r="G131">
        <v>251.28399999999999</v>
      </c>
      <c r="H131" s="12">
        <v>309.10000000000002</v>
      </c>
      <c r="I131" s="11" t="s">
        <v>20</v>
      </c>
      <c r="J131" s="11" t="s">
        <v>123</v>
      </c>
      <c r="K131" s="11" t="s">
        <v>25</v>
      </c>
      <c r="L131" s="12">
        <v>0.71</v>
      </c>
      <c r="M131" s="11" t="s">
        <v>23</v>
      </c>
      <c r="N131" s="11" t="s">
        <v>24</v>
      </c>
      <c r="O131" s="12">
        <v>222.64963560000001</v>
      </c>
      <c r="P131" s="11" t="s">
        <v>28</v>
      </c>
      <c r="Q131" s="37">
        <v>7.8971800000000002E-4</v>
      </c>
      <c r="R131" s="11" t="s">
        <v>29</v>
      </c>
      <c r="S131" s="13">
        <f t="shared" ref="S131:S161" si="2">IF(NOT(N131="SW"),L131-1.88,L131)</f>
        <v>-1.17</v>
      </c>
    </row>
    <row r="132" spans="1:19">
      <c r="A132" s="14" t="s">
        <v>2120</v>
      </c>
      <c r="B132" s="12" t="s">
        <v>134</v>
      </c>
      <c r="C132" s="11" t="s">
        <v>18</v>
      </c>
      <c r="D132" s="11" t="s">
        <v>122</v>
      </c>
      <c r="E132" s="11" t="s">
        <v>25</v>
      </c>
      <c r="F132">
        <v>251.261</v>
      </c>
      <c r="G132">
        <v>251.261</v>
      </c>
      <c r="H132" s="12">
        <v>323.10000000000002</v>
      </c>
      <c r="I132" s="11" t="s">
        <v>20</v>
      </c>
      <c r="J132" s="11" t="s">
        <v>123</v>
      </c>
      <c r="K132" s="11" t="s">
        <v>25</v>
      </c>
      <c r="L132" s="12">
        <v>0.62819999999999998</v>
      </c>
      <c r="M132" s="12" t="s">
        <v>23</v>
      </c>
      <c r="N132" s="11" t="s">
        <v>24</v>
      </c>
      <c r="O132" s="12">
        <v>519</v>
      </c>
      <c r="P132" s="11" t="s">
        <v>28</v>
      </c>
      <c r="Q132" s="37">
        <v>1.4971870000000001E-3</v>
      </c>
      <c r="R132" s="11" t="s">
        <v>29</v>
      </c>
      <c r="S132" s="13">
        <f t="shared" si="2"/>
        <v>-1.2517999999999998</v>
      </c>
    </row>
    <row r="133" spans="1:19">
      <c r="A133" s="14" t="s">
        <v>2120</v>
      </c>
      <c r="B133" s="12" t="s">
        <v>135</v>
      </c>
      <c r="C133" s="11" t="s">
        <v>18</v>
      </c>
      <c r="D133" s="11" t="s">
        <v>122</v>
      </c>
      <c r="E133" s="11" t="s">
        <v>25</v>
      </c>
      <c r="F133">
        <v>251.25</v>
      </c>
      <c r="G133">
        <v>251.25</v>
      </c>
      <c r="H133" s="12">
        <v>329.7</v>
      </c>
      <c r="I133" s="11" t="s">
        <v>20</v>
      </c>
      <c r="J133" s="11" t="s">
        <v>21</v>
      </c>
      <c r="K133" s="11" t="s">
        <v>25</v>
      </c>
      <c r="L133" s="12">
        <v>0.52</v>
      </c>
      <c r="M133" s="11" t="s">
        <v>23</v>
      </c>
      <c r="N133" s="11" t="s">
        <v>24</v>
      </c>
      <c r="O133" s="12">
        <v>179.20339870000001</v>
      </c>
      <c r="P133" s="11" t="s">
        <v>28</v>
      </c>
      <c r="Q133" s="37">
        <v>4.9664399999999997E-4</v>
      </c>
      <c r="R133" s="11" t="s">
        <v>29</v>
      </c>
      <c r="S133" s="13">
        <f t="shared" si="2"/>
        <v>-1.3599999999999999</v>
      </c>
    </row>
    <row r="134" spans="1:19">
      <c r="A134" s="14" t="s">
        <v>2120</v>
      </c>
      <c r="B134" s="12" t="s">
        <v>136</v>
      </c>
      <c r="C134" s="11" t="s">
        <v>18</v>
      </c>
      <c r="D134" s="11" t="s">
        <v>122</v>
      </c>
      <c r="E134" s="11" t="s">
        <v>25</v>
      </c>
      <c r="F134">
        <v>251.239</v>
      </c>
      <c r="G134">
        <v>251.239</v>
      </c>
      <c r="H134" s="12">
        <v>336.6</v>
      </c>
      <c r="I134" s="11" t="s">
        <v>20</v>
      </c>
      <c r="J134" s="11" t="s">
        <v>123</v>
      </c>
      <c r="K134" s="11" t="s">
        <v>25</v>
      </c>
      <c r="L134" s="12">
        <v>0.72</v>
      </c>
      <c r="M134" s="12" t="s">
        <v>23</v>
      </c>
      <c r="N134" s="11" t="s">
        <v>24</v>
      </c>
      <c r="O134" s="12">
        <v>147.75750189999999</v>
      </c>
      <c r="P134" s="11" t="s">
        <v>28</v>
      </c>
      <c r="Q134" s="37">
        <v>4.4714599999999999E-4</v>
      </c>
      <c r="R134" s="11" t="s">
        <v>29</v>
      </c>
      <c r="S134" s="13">
        <f t="shared" si="2"/>
        <v>-1.1599999999999999</v>
      </c>
    </row>
    <row r="135" spans="1:19">
      <c r="A135" s="14" t="s">
        <v>2120</v>
      </c>
      <c r="B135" s="12" t="s">
        <v>137</v>
      </c>
      <c r="C135" s="11" t="s">
        <v>18</v>
      </c>
      <c r="D135" s="11" t="s">
        <v>122</v>
      </c>
      <c r="E135" s="11" t="s">
        <v>25</v>
      </c>
      <c r="F135">
        <v>251.23</v>
      </c>
      <c r="G135">
        <v>251.23</v>
      </c>
      <c r="H135" s="12">
        <v>342.3</v>
      </c>
      <c r="I135" s="11" t="s">
        <v>20</v>
      </c>
      <c r="J135" s="11" t="s">
        <v>123</v>
      </c>
      <c r="K135" s="11" t="s">
        <v>25</v>
      </c>
      <c r="L135" s="12">
        <v>0.57999999999999996</v>
      </c>
      <c r="M135" s="11" t="s">
        <v>23</v>
      </c>
      <c r="N135" s="11" t="s">
        <v>24</v>
      </c>
      <c r="O135" s="12">
        <v>726.22571010000001</v>
      </c>
      <c r="P135" s="11" t="s">
        <v>28</v>
      </c>
      <c r="Q135" s="37">
        <v>2.2450980000000001E-3</v>
      </c>
      <c r="R135" s="11" t="s">
        <v>29</v>
      </c>
      <c r="S135" s="13">
        <f t="shared" si="2"/>
        <v>-1.2999999999999998</v>
      </c>
    </row>
    <row r="136" spans="1:19">
      <c r="A136" s="14" t="s">
        <v>2120</v>
      </c>
      <c r="B136" s="12" t="s">
        <v>138</v>
      </c>
      <c r="C136" s="11" t="s">
        <v>18</v>
      </c>
      <c r="D136" s="11" t="s">
        <v>122</v>
      </c>
      <c r="E136" s="11" t="s">
        <v>25</v>
      </c>
      <c r="F136">
        <v>251.22</v>
      </c>
      <c r="G136">
        <v>251.22</v>
      </c>
      <c r="H136" s="12">
        <v>348.4</v>
      </c>
      <c r="I136" s="11" t="s">
        <v>20</v>
      </c>
      <c r="J136" s="11" t="s">
        <v>123</v>
      </c>
      <c r="K136" s="11" t="s">
        <v>25</v>
      </c>
      <c r="L136" s="12">
        <v>0.63</v>
      </c>
      <c r="M136" s="12" t="s">
        <v>23</v>
      </c>
      <c r="N136" s="11" t="s">
        <v>24</v>
      </c>
      <c r="O136" s="12">
        <v>354</v>
      </c>
      <c r="P136" s="11" t="s">
        <v>28</v>
      </c>
      <c r="Q136" s="37">
        <v>9.4652400000000002E-4</v>
      </c>
      <c r="R136" s="11" t="s">
        <v>29</v>
      </c>
      <c r="S136" s="13">
        <f t="shared" si="2"/>
        <v>-1.25</v>
      </c>
    </row>
    <row r="137" spans="1:19">
      <c r="A137" s="14" t="s">
        <v>2120</v>
      </c>
      <c r="B137" s="12" t="s">
        <v>139</v>
      </c>
      <c r="C137" s="11" t="s">
        <v>18</v>
      </c>
      <c r="D137" s="11" t="s">
        <v>122</v>
      </c>
      <c r="E137" s="11" t="s">
        <v>25</v>
      </c>
      <c r="F137">
        <v>251.2</v>
      </c>
      <c r="G137">
        <v>251.2</v>
      </c>
      <c r="H137" s="12">
        <v>351.9</v>
      </c>
      <c r="I137" s="11" t="s">
        <v>20</v>
      </c>
      <c r="J137" s="11" t="s">
        <v>58</v>
      </c>
      <c r="K137" s="11" t="s">
        <v>25</v>
      </c>
      <c r="L137" s="12">
        <v>0.71</v>
      </c>
      <c r="M137" s="11" t="s">
        <v>23</v>
      </c>
      <c r="N137" s="11" t="s">
        <v>24</v>
      </c>
      <c r="O137" s="12">
        <v>231.30926600000001</v>
      </c>
      <c r="P137" s="11" t="s">
        <v>28</v>
      </c>
      <c r="Q137" s="37">
        <v>7.1877400000000004E-4</v>
      </c>
      <c r="R137" s="11" t="s">
        <v>29</v>
      </c>
      <c r="S137" s="13">
        <f t="shared" si="2"/>
        <v>-1.17</v>
      </c>
    </row>
    <row r="138" spans="1:19">
      <c r="A138" s="14" t="s">
        <v>2120</v>
      </c>
      <c r="B138" s="12" t="s">
        <v>140</v>
      </c>
      <c r="C138" s="11" t="s">
        <v>18</v>
      </c>
      <c r="D138" s="11" t="s">
        <v>122</v>
      </c>
      <c r="E138" s="11" t="s">
        <v>25</v>
      </c>
      <c r="F138">
        <v>251.172</v>
      </c>
      <c r="G138">
        <v>251.172</v>
      </c>
      <c r="H138" s="12">
        <v>357</v>
      </c>
      <c r="I138" s="11" t="s">
        <v>20</v>
      </c>
      <c r="J138" s="11" t="s">
        <v>123</v>
      </c>
      <c r="K138" s="11" t="s">
        <v>25</v>
      </c>
      <c r="L138" s="12">
        <v>0.77</v>
      </c>
      <c r="M138" s="12" t="s">
        <v>23</v>
      </c>
      <c r="N138" s="11" t="s">
        <v>24</v>
      </c>
      <c r="O138" s="12">
        <v>33.92959261</v>
      </c>
      <c r="P138" s="11" t="s">
        <v>28</v>
      </c>
      <c r="Q138" s="37">
        <v>6.1331700000000005E-4</v>
      </c>
      <c r="R138" s="11" t="s">
        <v>29</v>
      </c>
      <c r="S138" s="13">
        <f t="shared" si="2"/>
        <v>-1.1099999999999999</v>
      </c>
    </row>
    <row r="139" spans="1:19">
      <c r="A139" s="14" t="s">
        <v>2120</v>
      </c>
      <c r="B139" s="12" t="s">
        <v>141</v>
      </c>
      <c r="C139" s="11" t="s">
        <v>18</v>
      </c>
      <c r="D139" s="11" t="s">
        <v>122</v>
      </c>
      <c r="E139" s="11" t="s">
        <v>25</v>
      </c>
      <c r="F139">
        <v>251.14099999999999</v>
      </c>
      <c r="G139">
        <v>251.14099999999999</v>
      </c>
      <c r="H139" s="12">
        <v>362.4</v>
      </c>
      <c r="I139" s="11" t="s">
        <v>20</v>
      </c>
      <c r="J139" s="11" t="s">
        <v>58</v>
      </c>
      <c r="K139" s="11" t="s">
        <v>25</v>
      </c>
      <c r="L139" s="12">
        <v>0.86</v>
      </c>
      <c r="M139" s="11" t="s">
        <v>23</v>
      </c>
      <c r="N139" s="11" t="s">
        <v>24</v>
      </c>
      <c r="O139" s="12">
        <v>181.1536035</v>
      </c>
      <c r="P139" s="11" t="s">
        <v>28</v>
      </c>
      <c r="Q139" s="37">
        <v>5.8581599999999996E-4</v>
      </c>
      <c r="R139" s="11" t="s">
        <v>29</v>
      </c>
      <c r="S139" s="13">
        <f t="shared" si="2"/>
        <v>-1.02</v>
      </c>
    </row>
    <row r="140" spans="1:19">
      <c r="A140" s="14" t="s">
        <v>2120</v>
      </c>
      <c r="B140" s="12" t="s">
        <v>142</v>
      </c>
      <c r="C140" s="11" t="s">
        <v>18</v>
      </c>
      <c r="D140" s="11" t="s">
        <v>122</v>
      </c>
      <c r="E140" s="11" t="s">
        <v>25</v>
      </c>
      <c r="F140">
        <v>251.10900000000001</v>
      </c>
      <c r="G140">
        <v>251.10900000000001</v>
      </c>
      <c r="H140" s="12">
        <v>368.2</v>
      </c>
      <c r="I140" s="11" t="s">
        <v>20</v>
      </c>
      <c r="J140" s="11" t="s">
        <v>123</v>
      </c>
      <c r="K140" s="11" t="s">
        <v>25</v>
      </c>
      <c r="L140" s="12">
        <v>0.78</v>
      </c>
      <c r="M140" s="12" t="s">
        <v>23</v>
      </c>
      <c r="N140" s="11" t="s">
        <v>24</v>
      </c>
      <c r="O140" s="12">
        <v>196.56390160000001</v>
      </c>
      <c r="P140" s="11" t="s">
        <v>28</v>
      </c>
      <c r="Q140" s="37">
        <v>7.1870899999999999E-4</v>
      </c>
      <c r="R140" s="11" t="s">
        <v>29</v>
      </c>
      <c r="S140" s="13">
        <f t="shared" si="2"/>
        <v>-1.0999999999999999</v>
      </c>
    </row>
    <row r="141" spans="1:19">
      <c r="A141" s="14" t="s">
        <v>2120</v>
      </c>
      <c r="B141" s="12" t="s">
        <v>143</v>
      </c>
      <c r="C141" s="11" t="s">
        <v>18</v>
      </c>
      <c r="D141" s="11" t="s">
        <v>122</v>
      </c>
      <c r="E141" s="11" t="s">
        <v>25</v>
      </c>
      <c r="F141">
        <v>251.011</v>
      </c>
      <c r="G141">
        <v>251.011</v>
      </c>
      <c r="H141" s="12">
        <v>385.7</v>
      </c>
      <c r="I141" s="11" t="s">
        <v>20</v>
      </c>
      <c r="J141" s="11" t="s">
        <v>21</v>
      </c>
      <c r="K141" s="11" t="s">
        <v>25</v>
      </c>
      <c r="L141" s="12">
        <v>0.88</v>
      </c>
      <c r="M141" s="11" t="s">
        <v>23</v>
      </c>
      <c r="N141" s="11" t="s">
        <v>24</v>
      </c>
      <c r="O141" s="12">
        <v>279</v>
      </c>
      <c r="P141" s="11" t="s">
        <v>28</v>
      </c>
      <c r="Q141" s="37">
        <v>8.5925499999999996E-4</v>
      </c>
      <c r="R141" s="11" t="s">
        <v>29</v>
      </c>
      <c r="S141" s="13">
        <f t="shared" si="2"/>
        <v>-0.99999999999999989</v>
      </c>
    </row>
    <row r="142" spans="1:19">
      <c r="A142" s="14" t="s">
        <v>2120</v>
      </c>
      <c r="B142" s="12" t="s">
        <v>144</v>
      </c>
      <c r="C142" s="11" t="s">
        <v>18</v>
      </c>
      <c r="D142" s="11" t="s">
        <v>122</v>
      </c>
      <c r="E142" s="11" t="s">
        <v>25</v>
      </c>
      <c r="F142">
        <v>250.93299999999999</v>
      </c>
      <c r="G142">
        <v>250.93299999999999</v>
      </c>
      <c r="H142" s="12">
        <v>399.5</v>
      </c>
      <c r="I142" s="11" t="s">
        <v>20</v>
      </c>
      <c r="J142" s="11" t="s">
        <v>124</v>
      </c>
      <c r="K142" s="11" t="s">
        <v>25</v>
      </c>
      <c r="L142" s="12">
        <v>1</v>
      </c>
      <c r="M142" s="12" t="s">
        <v>23</v>
      </c>
      <c r="N142" s="11" t="s">
        <v>24</v>
      </c>
      <c r="O142" s="12">
        <v>45.480736899999997</v>
      </c>
      <c r="P142" s="11" t="s">
        <v>28</v>
      </c>
      <c r="Q142" s="37">
        <v>3.6209600000000001E-4</v>
      </c>
      <c r="R142" s="11" t="s">
        <v>29</v>
      </c>
      <c r="S142" s="13">
        <f t="shared" si="2"/>
        <v>-0.87999999999999989</v>
      </c>
    </row>
    <row r="143" spans="1:19">
      <c r="A143" s="14" t="s">
        <v>2120</v>
      </c>
      <c r="B143" s="12" t="s">
        <v>145</v>
      </c>
      <c r="C143" s="11" t="s">
        <v>18</v>
      </c>
      <c r="D143" s="11" t="s">
        <v>122</v>
      </c>
      <c r="E143" s="11" t="s">
        <v>25</v>
      </c>
      <c r="F143">
        <v>250.893</v>
      </c>
      <c r="G143">
        <v>250.893</v>
      </c>
      <c r="H143" s="12">
        <v>406.7</v>
      </c>
      <c r="I143" s="11" t="s">
        <v>20</v>
      </c>
      <c r="J143" s="11" t="s">
        <v>124</v>
      </c>
      <c r="K143" s="11" t="s">
        <v>25</v>
      </c>
      <c r="L143" s="12">
        <v>1.1299999999999999</v>
      </c>
      <c r="M143" s="11" t="s">
        <v>23</v>
      </c>
      <c r="N143" s="11" t="s">
        <v>24</v>
      </c>
      <c r="O143" s="12">
        <v>214</v>
      </c>
      <c r="P143" s="11" t="s">
        <v>28</v>
      </c>
      <c r="Q143" s="37">
        <v>9.84361E-4</v>
      </c>
      <c r="R143" s="11" t="s">
        <v>29</v>
      </c>
      <c r="S143" s="13">
        <f t="shared" si="2"/>
        <v>-0.75</v>
      </c>
    </row>
    <row r="144" spans="1:19">
      <c r="A144" s="14" t="s">
        <v>2120</v>
      </c>
      <c r="B144" s="12" t="s">
        <v>146</v>
      </c>
      <c r="C144" s="11" t="s">
        <v>18</v>
      </c>
      <c r="D144" s="11" t="s">
        <v>122</v>
      </c>
      <c r="E144" s="11" t="s">
        <v>25</v>
      </c>
      <c r="F144">
        <v>250.86099999999999</v>
      </c>
      <c r="G144">
        <v>250.86099999999999</v>
      </c>
      <c r="H144" s="12">
        <v>412.35</v>
      </c>
      <c r="I144" s="11" t="s">
        <v>20</v>
      </c>
      <c r="J144" s="11" t="s">
        <v>21</v>
      </c>
      <c r="K144" s="11" t="s">
        <v>25</v>
      </c>
      <c r="L144" s="12">
        <v>0.86465000000000003</v>
      </c>
      <c r="M144" s="12" t="s">
        <v>23</v>
      </c>
      <c r="N144" s="11" t="s">
        <v>24</v>
      </c>
      <c r="O144" s="12">
        <v>294.5</v>
      </c>
      <c r="P144" s="11" t="s">
        <v>28</v>
      </c>
      <c r="Q144" s="37">
        <v>9.7034599999999997E-4</v>
      </c>
      <c r="R144" s="11" t="s">
        <v>29</v>
      </c>
      <c r="S144" s="13">
        <f t="shared" si="2"/>
        <v>-1.0153499999999998</v>
      </c>
    </row>
    <row r="145" spans="1:19">
      <c r="A145" s="14" t="s">
        <v>2120</v>
      </c>
      <c r="B145" s="12" t="s">
        <v>147</v>
      </c>
      <c r="C145" s="11" t="s">
        <v>18</v>
      </c>
      <c r="D145" s="11" t="s">
        <v>122</v>
      </c>
      <c r="E145" s="11" t="s">
        <v>25</v>
      </c>
      <c r="F145">
        <v>250.83799999999999</v>
      </c>
      <c r="G145">
        <v>250.83799999999999</v>
      </c>
      <c r="H145" s="12">
        <v>419.9</v>
      </c>
      <c r="I145" s="11" t="s">
        <v>20</v>
      </c>
      <c r="J145" s="11" t="s">
        <v>21</v>
      </c>
      <c r="K145" s="11" t="s">
        <v>25</v>
      </c>
      <c r="L145" s="12">
        <v>0.74080000000000001</v>
      </c>
      <c r="M145" s="11" t="s">
        <v>23</v>
      </c>
      <c r="N145" s="11" t="s">
        <v>24</v>
      </c>
      <c r="O145" s="12">
        <v>232</v>
      </c>
      <c r="P145" s="11" t="s">
        <v>28</v>
      </c>
      <c r="Q145" s="37">
        <v>7.2330500000000004E-4</v>
      </c>
      <c r="R145" s="11" t="s">
        <v>29</v>
      </c>
      <c r="S145" s="13">
        <f t="shared" si="2"/>
        <v>-1.1391999999999998</v>
      </c>
    </row>
    <row r="146" spans="1:19">
      <c r="A146" s="14" t="s">
        <v>2120</v>
      </c>
      <c r="B146" s="12" t="s">
        <v>148</v>
      </c>
      <c r="C146" s="11" t="s">
        <v>18</v>
      </c>
      <c r="D146" s="11" t="s">
        <v>122</v>
      </c>
      <c r="E146" s="11" t="s">
        <v>25</v>
      </c>
      <c r="F146">
        <v>250.78299999999999</v>
      </c>
      <c r="G146">
        <v>250.78299999999999</v>
      </c>
      <c r="H146" s="12">
        <v>445.9</v>
      </c>
      <c r="I146" s="11" t="s">
        <v>20</v>
      </c>
      <c r="J146" s="11" t="s">
        <v>124</v>
      </c>
      <c r="K146" s="11" t="s">
        <v>25</v>
      </c>
      <c r="L146" s="12">
        <v>0.90642473099999998</v>
      </c>
      <c r="M146" s="12" t="s">
        <v>23</v>
      </c>
      <c r="N146" s="11" t="s">
        <v>24</v>
      </c>
      <c r="O146" s="12">
        <v>70.032259719999999</v>
      </c>
      <c r="P146" s="11" t="s">
        <v>28</v>
      </c>
      <c r="Q146" s="37">
        <v>3.4057100000000002E-4</v>
      </c>
      <c r="R146" s="11" t="s">
        <v>29</v>
      </c>
      <c r="S146" s="13">
        <f t="shared" si="2"/>
        <v>-0.97357526899999991</v>
      </c>
    </row>
    <row r="147" spans="1:19">
      <c r="A147" s="14" t="s">
        <v>2120</v>
      </c>
      <c r="B147" s="12" t="s">
        <v>149</v>
      </c>
      <c r="C147" s="11" t="s">
        <v>18</v>
      </c>
      <c r="D147" s="11" t="s">
        <v>122</v>
      </c>
      <c r="E147" s="11" t="s">
        <v>25</v>
      </c>
      <c r="F147">
        <v>250.22499999999999</v>
      </c>
      <c r="G147">
        <v>250.22499999999999</v>
      </c>
      <c r="H147" s="12">
        <v>579.9</v>
      </c>
      <c r="I147" s="11" t="s">
        <v>20</v>
      </c>
      <c r="J147" s="11" t="s">
        <v>124</v>
      </c>
      <c r="K147" s="11" t="s">
        <v>25</v>
      </c>
      <c r="L147" s="12">
        <v>0.96666910299999997</v>
      </c>
      <c r="M147" s="11" t="s">
        <v>23</v>
      </c>
      <c r="N147" s="11" t="s">
        <v>24</v>
      </c>
      <c r="O147" s="12">
        <v>86.674051309999996</v>
      </c>
      <c r="P147" s="11" t="s">
        <v>28</v>
      </c>
      <c r="Q147" s="37">
        <v>4.3538799999999999E-4</v>
      </c>
      <c r="R147" s="11" t="s">
        <v>29</v>
      </c>
      <c r="S147" s="13">
        <f t="shared" si="2"/>
        <v>-0.91333089699999992</v>
      </c>
    </row>
    <row r="148" spans="1:19">
      <c r="A148" s="14" t="s">
        <v>2120</v>
      </c>
      <c r="B148" s="12" t="s">
        <v>150</v>
      </c>
      <c r="C148" s="11" t="s">
        <v>18</v>
      </c>
      <c r="D148" s="11" t="s">
        <v>122</v>
      </c>
      <c r="E148" s="11" t="s">
        <v>25</v>
      </c>
      <c r="F148">
        <v>249.61199999999999</v>
      </c>
      <c r="G148">
        <v>249.61199999999999</v>
      </c>
      <c r="H148" s="12">
        <v>624.29999999999995</v>
      </c>
      <c r="I148" s="11" t="s">
        <v>20</v>
      </c>
      <c r="J148" s="11" t="s">
        <v>124</v>
      </c>
      <c r="K148" s="11" t="s">
        <v>25</v>
      </c>
      <c r="L148" s="12">
        <v>0.88048726300000002</v>
      </c>
      <c r="M148" s="12" t="s">
        <v>23</v>
      </c>
      <c r="N148" s="11" t="s">
        <v>24</v>
      </c>
      <c r="O148" s="12">
        <v>95.049650940000006</v>
      </c>
      <c r="P148" s="11" t="s">
        <v>28</v>
      </c>
      <c r="Q148" s="37">
        <v>5.2679099999999998E-4</v>
      </c>
      <c r="R148" s="11" t="s">
        <v>29</v>
      </c>
      <c r="S148" s="13">
        <f t="shared" si="2"/>
        <v>-0.99951273699999987</v>
      </c>
    </row>
    <row r="149" spans="1:19">
      <c r="A149" s="14" t="s">
        <v>2120</v>
      </c>
      <c r="B149" s="12" t="s">
        <v>151</v>
      </c>
      <c r="C149" s="11" t="s">
        <v>18</v>
      </c>
      <c r="D149" s="11" t="s">
        <v>122</v>
      </c>
      <c r="E149" s="11" t="s">
        <v>25</v>
      </c>
      <c r="F149">
        <v>249.24299999999999</v>
      </c>
      <c r="G149">
        <v>249.24299999999999</v>
      </c>
      <c r="H149" s="12">
        <v>655.6</v>
      </c>
      <c r="I149" s="11" t="s">
        <v>20</v>
      </c>
      <c r="J149" s="11" t="s">
        <v>124</v>
      </c>
      <c r="K149" s="11" t="s">
        <v>25</v>
      </c>
      <c r="L149" s="12">
        <v>1.0360068549999999</v>
      </c>
      <c r="M149" s="11" t="s">
        <v>23</v>
      </c>
      <c r="N149" s="11" t="s">
        <v>24</v>
      </c>
      <c r="O149" s="12">
        <v>74.427915179999999</v>
      </c>
      <c r="P149" s="11" t="s">
        <v>28</v>
      </c>
      <c r="Q149" s="37">
        <v>4.0822999999999999E-4</v>
      </c>
      <c r="R149" s="11" t="s">
        <v>29</v>
      </c>
      <c r="S149" s="13">
        <f t="shared" si="2"/>
        <v>-0.843993145</v>
      </c>
    </row>
    <row r="150" spans="1:19">
      <c r="A150" s="14" t="s">
        <v>2120</v>
      </c>
      <c r="B150" s="12" t="s">
        <v>152</v>
      </c>
      <c r="C150" s="11" t="s">
        <v>18</v>
      </c>
      <c r="D150" s="11" t="s">
        <v>122</v>
      </c>
      <c r="E150" s="11" t="s">
        <v>25</v>
      </c>
      <c r="F150">
        <v>248.89500000000001</v>
      </c>
      <c r="G150">
        <v>248.89500000000001</v>
      </c>
      <c r="H150" s="12">
        <v>696.5</v>
      </c>
      <c r="I150" s="11" t="s">
        <v>20</v>
      </c>
      <c r="J150" s="11" t="s">
        <v>124</v>
      </c>
      <c r="K150" s="11" t="s">
        <v>25</v>
      </c>
      <c r="L150" s="12">
        <v>0.90949050099999995</v>
      </c>
      <c r="M150" s="12" t="s">
        <v>23</v>
      </c>
      <c r="N150" s="11" t="s">
        <v>24</v>
      </c>
      <c r="O150" s="12">
        <v>89.881938669999997</v>
      </c>
      <c r="P150" s="11" t="s">
        <v>28</v>
      </c>
      <c r="Q150" s="37">
        <v>4.8775799999999997E-4</v>
      </c>
      <c r="R150" s="11" t="s">
        <v>29</v>
      </c>
      <c r="S150" s="13">
        <f t="shared" si="2"/>
        <v>-0.97050949899999994</v>
      </c>
    </row>
    <row r="151" spans="1:19">
      <c r="A151" s="14" t="s">
        <v>2120</v>
      </c>
      <c r="B151" s="12" t="s">
        <v>153</v>
      </c>
      <c r="C151" s="11" t="s">
        <v>18</v>
      </c>
      <c r="D151" s="11" t="s">
        <v>122</v>
      </c>
      <c r="E151" s="11" t="s">
        <v>25</v>
      </c>
      <c r="F151">
        <v>248.50299999999999</v>
      </c>
      <c r="G151">
        <v>248.50299999999999</v>
      </c>
      <c r="H151" s="12">
        <v>742.6</v>
      </c>
      <c r="I151" s="11" t="s">
        <v>20</v>
      </c>
      <c r="J151" s="11" t="s">
        <v>124</v>
      </c>
      <c r="K151" s="11" t="s">
        <v>25</v>
      </c>
      <c r="L151" s="12">
        <v>0.88395264299999998</v>
      </c>
      <c r="M151" s="11" t="s">
        <v>23</v>
      </c>
      <c r="N151" s="11" t="s">
        <v>24</v>
      </c>
      <c r="O151" s="12">
        <v>77.265716920000003</v>
      </c>
      <c r="P151" s="11" t="s">
        <v>28</v>
      </c>
      <c r="Q151" s="37">
        <v>4.7994999999999998E-4</v>
      </c>
      <c r="R151" s="11" t="s">
        <v>29</v>
      </c>
      <c r="S151" s="13">
        <f t="shared" si="2"/>
        <v>-0.99604735699999991</v>
      </c>
    </row>
    <row r="152" spans="1:19">
      <c r="A152" s="14" t="s">
        <v>2120</v>
      </c>
      <c r="B152" s="12" t="s">
        <v>154</v>
      </c>
      <c r="C152" s="11" t="s">
        <v>18</v>
      </c>
      <c r="D152" s="11" t="s">
        <v>122</v>
      </c>
      <c r="E152" s="11" t="s">
        <v>25</v>
      </c>
      <c r="F152">
        <v>247.25800000000001</v>
      </c>
      <c r="G152">
        <v>247.25800000000001</v>
      </c>
      <c r="H152" s="12">
        <v>888.8</v>
      </c>
      <c r="I152" s="11" t="s">
        <v>20</v>
      </c>
      <c r="J152" s="11" t="s">
        <v>124</v>
      </c>
      <c r="K152" s="11" t="s">
        <v>25</v>
      </c>
      <c r="L152" s="12">
        <v>0.95842932599999997</v>
      </c>
      <c r="M152" s="12" t="s">
        <v>23</v>
      </c>
      <c r="N152" s="11" t="s">
        <v>24</v>
      </c>
      <c r="O152" s="12">
        <v>147.92244869999999</v>
      </c>
      <c r="P152" s="11" t="s">
        <v>28</v>
      </c>
      <c r="Q152" s="37">
        <v>6.5156299999999997E-4</v>
      </c>
      <c r="R152" s="11" t="s">
        <v>29</v>
      </c>
      <c r="S152" s="13">
        <f t="shared" si="2"/>
        <v>-0.92157067399999992</v>
      </c>
    </row>
    <row r="153" spans="1:19">
      <c r="A153" s="14" t="s">
        <v>2120</v>
      </c>
      <c r="B153" s="12" t="s">
        <v>155</v>
      </c>
      <c r="C153" s="11" t="s">
        <v>18</v>
      </c>
      <c r="D153" s="11" t="s">
        <v>122</v>
      </c>
      <c r="E153" s="11" t="s">
        <v>25</v>
      </c>
      <c r="F153">
        <v>246.25899999999999</v>
      </c>
      <c r="G153">
        <v>246.25899999999999</v>
      </c>
      <c r="H153" s="12">
        <v>1006.3</v>
      </c>
      <c r="I153" s="11" t="s">
        <v>20</v>
      </c>
      <c r="J153" s="11" t="s">
        <v>124</v>
      </c>
      <c r="K153" s="11" t="s">
        <v>25</v>
      </c>
      <c r="L153" s="12">
        <v>0.74099758900000001</v>
      </c>
      <c r="M153" s="11" t="s">
        <v>23</v>
      </c>
      <c r="N153" s="11" t="s">
        <v>24</v>
      </c>
      <c r="O153" s="12">
        <v>62.622348100000004</v>
      </c>
      <c r="P153" s="11" t="s">
        <v>28</v>
      </c>
      <c r="Q153" s="37">
        <v>3.4200499999999999E-4</v>
      </c>
      <c r="R153" s="11" t="s">
        <v>29</v>
      </c>
      <c r="S153" s="13">
        <f t="shared" si="2"/>
        <v>-1.1390024109999999</v>
      </c>
    </row>
    <row r="154" spans="1:19">
      <c r="A154" s="14" t="s">
        <v>2120</v>
      </c>
      <c r="B154" s="12" t="s">
        <v>156</v>
      </c>
      <c r="C154" s="11" t="s">
        <v>18</v>
      </c>
      <c r="D154" s="11" t="s">
        <v>122</v>
      </c>
      <c r="E154" s="11" t="s">
        <v>25</v>
      </c>
      <c r="F154">
        <v>245.40299999999999</v>
      </c>
      <c r="G154">
        <v>245.40299999999999</v>
      </c>
      <c r="H154" s="12">
        <v>1108.0999999999999</v>
      </c>
      <c r="I154" s="11" t="s">
        <v>20</v>
      </c>
      <c r="J154" s="11" t="s">
        <v>21</v>
      </c>
      <c r="K154" s="11" t="s">
        <v>25</v>
      </c>
      <c r="L154" s="12">
        <v>0.998094131</v>
      </c>
      <c r="M154" s="12" t="s">
        <v>23</v>
      </c>
      <c r="N154" s="11" t="s">
        <v>24</v>
      </c>
      <c r="O154" s="12">
        <v>132.89484390000001</v>
      </c>
      <c r="P154" s="11" t="s">
        <v>28</v>
      </c>
      <c r="Q154" s="37">
        <v>3.8804900000000001E-4</v>
      </c>
      <c r="R154" s="11" t="s">
        <v>29</v>
      </c>
      <c r="S154" s="13">
        <f t="shared" si="2"/>
        <v>-0.8819058689999999</v>
      </c>
    </row>
    <row r="155" spans="1:19">
      <c r="A155" s="14" t="s">
        <v>2120</v>
      </c>
      <c r="B155" s="12" t="s">
        <v>157</v>
      </c>
      <c r="C155" s="11" t="s">
        <v>18</v>
      </c>
      <c r="D155" s="11" t="s">
        <v>122</v>
      </c>
      <c r="E155" s="11" t="s">
        <v>25</v>
      </c>
      <c r="F155">
        <v>244.57300000000001</v>
      </c>
      <c r="G155">
        <v>244.57300000000001</v>
      </c>
      <c r="H155" s="12">
        <v>1226</v>
      </c>
      <c r="I155" s="11" t="s">
        <v>20</v>
      </c>
      <c r="J155" s="11" t="s">
        <v>21</v>
      </c>
      <c r="K155" s="11" t="s">
        <v>25</v>
      </c>
      <c r="L155" s="12">
        <v>1.1227636560000001</v>
      </c>
      <c r="M155" s="11" t="s">
        <v>23</v>
      </c>
      <c r="N155" s="11" t="s">
        <v>24</v>
      </c>
      <c r="O155" s="12">
        <v>195.63632860000001</v>
      </c>
      <c r="P155" s="11" t="s">
        <v>28</v>
      </c>
      <c r="Q155" s="37">
        <v>5.0975200000000003E-4</v>
      </c>
      <c r="R155" s="11" t="s">
        <v>29</v>
      </c>
      <c r="S155" s="13">
        <f t="shared" si="2"/>
        <v>-0.75723634399999984</v>
      </c>
    </row>
    <row r="156" spans="1:19">
      <c r="A156" s="14" t="s">
        <v>2120</v>
      </c>
      <c r="B156" s="12" t="s">
        <v>158</v>
      </c>
      <c r="C156" s="11" t="s">
        <v>18</v>
      </c>
      <c r="D156" s="11" t="s">
        <v>122</v>
      </c>
      <c r="E156" s="11" t="s">
        <v>25</v>
      </c>
      <c r="F156">
        <v>242.96600000000001</v>
      </c>
      <c r="G156">
        <v>242.96600000000001</v>
      </c>
      <c r="H156" s="12">
        <v>1424.8</v>
      </c>
      <c r="I156" s="11" t="s">
        <v>20</v>
      </c>
      <c r="J156" s="11" t="s">
        <v>21</v>
      </c>
      <c r="K156" s="11" t="s">
        <v>25</v>
      </c>
      <c r="L156" s="12">
        <v>0.99439418700000004</v>
      </c>
      <c r="M156" s="12" t="s">
        <v>23</v>
      </c>
      <c r="N156" s="11" t="s">
        <v>24</v>
      </c>
      <c r="O156" s="12">
        <v>144.78962039999999</v>
      </c>
      <c r="P156" s="11" t="s">
        <v>28</v>
      </c>
      <c r="Q156" s="37">
        <v>5.7577300000000002E-4</v>
      </c>
      <c r="R156" s="11" t="s">
        <v>29</v>
      </c>
      <c r="S156" s="13">
        <f t="shared" si="2"/>
        <v>-0.88560581299999985</v>
      </c>
    </row>
    <row r="157" spans="1:19">
      <c r="A157" s="14" t="s">
        <v>2120</v>
      </c>
      <c r="B157" s="12" t="s">
        <v>159</v>
      </c>
      <c r="C157" s="11" t="s">
        <v>18</v>
      </c>
      <c r="D157" s="11" t="s">
        <v>122</v>
      </c>
      <c r="E157" s="11" t="s">
        <v>25</v>
      </c>
      <c r="F157">
        <v>242.61199999999999</v>
      </c>
      <c r="G157">
        <v>242.61199999999999</v>
      </c>
      <c r="H157" s="12">
        <v>1470.9</v>
      </c>
      <c r="I157" s="11" t="s">
        <v>20</v>
      </c>
      <c r="J157" s="11" t="s">
        <v>21</v>
      </c>
      <c r="K157" s="11" t="s">
        <v>25</v>
      </c>
      <c r="L157" s="12">
        <v>1.0435533749999999</v>
      </c>
      <c r="M157" s="11" t="s">
        <v>23</v>
      </c>
      <c r="N157" s="11" t="s">
        <v>24</v>
      </c>
      <c r="O157" s="12">
        <v>112.4357176</v>
      </c>
      <c r="P157" s="11" t="s">
        <v>28</v>
      </c>
      <c r="Q157" s="37">
        <v>3.0499800000000001E-4</v>
      </c>
      <c r="R157" s="11" t="s">
        <v>29</v>
      </c>
      <c r="S157" s="13">
        <f t="shared" si="2"/>
        <v>-0.836446625</v>
      </c>
    </row>
    <row r="158" spans="1:19">
      <c r="A158" s="14" t="s">
        <v>2120</v>
      </c>
      <c r="B158" s="12" t="s">
        <v>160</v>
      </c>
      <c r="C158" s="11" t="s">
        <v>18</v>
      </c>
      <c r="D158" s="11" t="s">
        <v>122</v>
      </c>
      <c r="E158" s="11" t="s">
        <v>25</v>
      </c>
      <c r="F158">
        <v>240.32900000000001</v>
      </c>
      <c r="G158">
        <v>240.32900000000001</v>
      </c>
      <c r="H158" s="12">
        <v>1767.6</v>
      </c>
      <c r="I158" s="11" t="s">
        <v>20</v>
      </c>
      <c r="J158" s="11" t="s">
        <v>21</v>
      </c>
      <c r="K158" s="11" t="s">
        <v>25</v>
      </c>
      <c r="L158" s="12">
        <v>1.28703992</v>
      </c>
      <c r="M158" s="12" t="s">
        <v>23</v>
      </c>
      <c r="N158" s="11" t="s">
        <v>24</v>
      </c>
      <c r="O158" s="12">
        <v>141.04504130000001</v>
      </c>
      <c r="P158" s="11" t="s">
        <v>28</v>
      </c>
      <c r="Q158" s="37">
        <v>3.80746E-4</v>
      </c>
      <c r="R158" s="11" t="s">
        <v>29</v>
      </c>
      <c r="S158" s="13">
        <f t="shared" si="2"/>
        <v>-0.59296007999999989</v>
      </c>
    </row>
    <row r="159" spans="1:19">
      <c r="A159" s="14" t="s">
        <v>2120</v>
      </c>
      <c r="B159" s="12" t="s">
        <v>161</v>
      </c>
      <c r="C159" s="11" t="s">
        <v>18</v>
      </c>
      <c r="D159" s="11" t="s">
        <v>122</v>
      </c>
      <c r="E159" s="11" t="s">
        <v>25</v>
      </c>
      <c r="F159">
        <v>239.71299999999999</v>
      </c>
      <c r="G159">
        <v>239.71299999999999</v>
      </c>
      <c r="H159" s="12">
        <v>1847.7</v>
      </c>
      <c r="I159" s="11" t="s">
        <v>20</v>
      </c>
      <c r="J159" s="11" t="s">
        <v>21</v>
      </c>
      <c r="K159" s="11" t="s">
        <v>25</v>
      </c>
      <c r="L159" s="12">
        <v>1.32</v>
      </c>
      <c r="M159" s="11" t="s">
        <v>23</v>
      </c>
      <c r="N159" s="11" t="s">
        <v>24</v>
      </c>
      <c r="O159" s="12">
        <v>148.5044886</v>
      </c>
      <c r="P159" s="11" t="s">
        <v>28</v>
      </c>
      <c r="Q159" s="37">
        <v>5.0412299999999998E-4</v>
      </c>
      <c r="R159" s="11" t="s">
        <v>29</v>
      </c>
      <c r="S159" s="13">
        <f t="shared" si="2"/>
        <v>-0.55999999999999983</v>
      </c>
    </row>
    <row r="160" spans="1:19">
      <c r="A160" s="14" t="s">
        <v>2120</v>
      </c>
      <c r="B160" s="12" t="s">
        <v>162</v>
      </c>
      <c r="C160" s="11" t="s">
        <v>18</v>
      </c>
      <c r="D160" s="11" t="s">
        <v>122</v>
      </c>
      <c r="E160" s="11" t="s">
        <v>25</v>
      </c>
      <c r="F160">
        <v>237.23</v>
      </c>
      <c r="G160">
        <v>237.23</v>
      </c>
      <c r="H160" s="12">
        <v>2170.5</v>
      </c>
      <c r="I160" s="11" t="s">
        <v>20</v>
      </c>
      <c r="J160" s="11" t="s">
        <v>21</v>
      </c>
      <c r="K160" s="11" t="s">
        <v>25</v>
      </c>
      <c r="L160" s="12">
        <v>0.94293378500000002</v>
      </c>
      <c r="M160" s="12" t="s">
        <v>23</v>
      </c>
      <c r="N160" s="11" t="s">
        <v>24</v>
      </c>
      <c r="O160" s="12">
        <v>146.35597229999999</v>
      </c>
      <c r="P160" s="11" t="s">
        <v>28</v>
      </c>
      <c r="Q160" s="37">
        <v>3.9702900000000002E-4</v>
      </c>
      <c r="R160" s="11" t="s">
        <v>29</v>
      </c>
      <c r="S160" s="13">
        <f t="shared" si="2"/>
        <v>-0.93706621499999987</v>
      </c>
    </row>
    <row r="161" spans="1:19">
      <c r="A161" s="14" t="s">
        <v>2120</v>
      </c>
      <c r="B161" s="12" t="s">
        <v>163</v>
      </c>
      <c r="C161" s="11" t="s">
        <v>18</v>
      </c>
      <c r="D161" s="11" t="s">
        <v>122</v>
      </c>
      <c r="E161" s="11" t="s">
        <v>25</v>
      </c>
      <c r="F161">
        <v>235.29599999999999</v>
      </c>
      <c r="G161">
        <v>235.29599999999999</v>
      </c>
      <c r="H161" s="12">
        <v>2422</v>
      </c>
      <c r="I161" s="11" t="s">
        <v>20</v>
      </c>
      <c r="J161" s="11" t="s">
        <v>21</v>
      </c>
      <c r="K161" s="11" t="s">
        <v>25</v>
      </c>
      <c r="L161" s="12">
        <v>1.098772444</v>
      </c>
      <c r="M161" s="11" t="s">
        <v>23</v>
      </c>
      <c r="N161" s="11" t="s">
        <v>24</v>
      </c>
      <c r="O161" s="12">
        <v>208.86066080000001</v>
      </c>
      <c r="P161" s="11" t="s">
        <v>28</v>
      </c>
      <c r="Q161" s="37">
        <v>5.7112999999999999E-4</v>
      </c>
      <c r="R161" s="11" t="s">
        <v>29</v>
      </c>
      <c r="S161" s="13">
        <f t="shared" si="2"/>
        <v>-0.78122755599999993</v>
      </c>
    </row>
    <row r="162" spans="1:19">
      <c r="A162" s="14" t="s">
        <v>2120</v>
      </c>
      <c r="B162" s="12" t="s">
        <v>164</v>
      </c>
      <c r="C162" s="11" t="s">
        <v>165</v>
      </c>
      <c r="D162" s="12" t="s">
        <v>166</v>
      </c>
      <c r="E162" s="11" t="s">
        <v>25</v>
      </c>
      <c r="F162">
        <v>252.27271200000001</v>
      </c>
      <c r="G162">
        <v>252.27271200000001</v>
      </c>
      <c r="H162" s="12">
        <v>0</v>
      </c>
      <c r="I162" s="11" t="s">
        <v>20</v>
      </c>
      <c r="J162" s="11" t="s">
        <v>21</v>
      </c>
      <c r="K162" s="11" t="s">
        <v>25</v>
      </c>
      <c r="L162" s="12" t="s">
        <v>25</v>
      </c>
      <c r="M162" s="11" t="s">
        <v>25</v>
      </c>
      <c r="N162" s="11" t="s">
        <v>25</v>
      </c>
      <c r="O162" s="12">
        <v>403.4</v>
      </c>
      <c r="P162" s="11" t="s">
        <v>28</v>
      </c>
      <c r="Q162" s="37">
        <v>1.051616E-3</v>
      </c>
      <c r="R162" s="11" t="s">
        <v>29</v>
      </c>
      <c r="S162" s="13" t="s">
        <v>25</v>
      </c>
    </row>
    <row r="163" spans="1:19">
      <c r="A163" s="14" t="s">
        <v>2120</v>
      </c>
      <c r="B163" s="12" t="s">
        <v>167</v>
      </c>
      <c r="C163" s="11" t="s">
        <v>165</v>
      </c>
      <c r="D163" s="12" t="s">
        <v>166</v>
      </c>
      <c r="E163" s="11" t="s">
        <v>25</v>
      </c>
      <c r="F163">
        <v>252.23254510000001</v>
      </c>
      <c r="G163">
        <v>252.23254510000001</v>
      </c>
      <c r="H163" s="12">
        <v>6</v>
      </c>
      <c r="I163" s="11" t="s">
        <v>20</v>
      </c>
      <c r="J163" s="11" t="s">
        <v>21</v>
      </c>
      <c r="K163" s="11" t="s">
        <v>25</v>
      </c>
      <c r="L163" s="12" t="s">
        <v>25</v>
      </c>
      <c r="M163" s="11" t="s">
        <v>25</v>
      </c>
      <c r="N163" s="11" t="s">
        <v>25</v>
      </c>
      <c r="O163" s="12">
        <v>184.4071663</v>
      </c>
      <c r="P163" s="11" t="s">
        <v>28</v>
      </c>
      <c r="Q163" s="37">
        <v>1.216516E-3</v>
      </c>
      <c r="R163" s="11" t="s">
        <v>29</v>
      </c>
      <c r="S163" s="13" t="s">
        <v>25</v>
      </c>
    </row>
    <row r="164" spans="1:19">
      <c r="A164" s="14" t="s">
        <v>2120</v>
      </c>
      <c r="B164" s="12" t="s">
        <v>168</v>
      </c>
      <c r="C164" s="11" t="s">
        <v>165</v>
      </c>
      <c r="D164" s="12" t="s">
        <v>166</v>
      </c>
      <c r="E164" s="11" t="s">
        <v>25</v>
      </c>
      <c r="F164">
        <v>252.2258506</v>
      </c>
      <c r="G164">
        <v>252.2258506</v>
      </c>
      <c r="H164" s="12">
        <v>7</v>
      </c>
      <c r="I164" s="11" t="s">
        <v>20</v>
      </c>
      <c r="J164" s="11" t="s">
        <v>21</v>
      </c>
      <c r="K164" s="11" t="s">
        <v>25</v>
      </c>
      <c r="L164" s="12" t="s">
        <v>25</v>
      </c>
      <c r="M164" s="11" t="s">
        <v>25</v>
      </c>
      <c r="N164" s="11" t="s">
        <v>25</v>
      </c>
      <c r="O164" s="12">
        <v>762.32</v>
      </c>
      <c r="P164" s="11" t="s">
        <v>28</v>
      </c>
      <c r="Q164" s="37">
        <v>1.4949189999999999E-3</v>
      </c>
      <c r="R164" s="11" t="s">
        <v>29</v>
      </c>
      <c r="S164" s="13" t="s">
        <v>25</v>
      </c>
    </row>
    <row r="165" spans="1:19">
      <c r="A165" s="14" t="s">
        <v>2120</v>
      </c>
      <c r="B165" s="12" t="s">
        <v>169</v>
      </c>
      <c r="C165" s="11" t="s">
        <v>165</v>
      </c>
      <c r="D165" s="12" t="s">
        <v>166</v>
      </c>
      <c r="E165" s="11" t="s">
        <v>25</v>
      </c>
      <c r="F165">
        <v>252.2057671</v>
      </c>
      <c r="G165">
        <v>252.2057671</v>
      </c>
      <c r="H165" s="12">
        <v>10</v>
      </c>
      <c r="I165" s="11" t="s">
        <v>20</v>
      </c>
      <c r="J165" s="11" t="s">
        <v>21</v>
      </c>
      <c r="K165" s="11" t="s">
        <v>25</v>
      </c>
      <c r="L165" s="12" t="s">
        <v>25</v>
      </c>
      <c r="M165" s="11" t="s">
        <v>25</v>
      </c>
      <c r="N165" s="11" t="s">
        <v>25</v>
      </c>
      <c r="O165" s="12">
        <v>402.7748856</v>
      </c>
      <c r="P165" s="11" t="s">
        <v>28</v>
      </c>
      <c r="Q165" s="37">
        <v>1.444526E-3</v>
      </c>
      <c r="R165" s="11" t="s">
        <v>29</v>
      </c>
      <c r="S165" s="13" t="s">
        <v>25</v>
      </c>
    </row>
    <row r="166" spans="1:19">
      <c r="A166" s="14" t="s">
        <v>2120</v>
      </c>
      <c r="B166" s="12" t="s">
        <v>170</v>
      </c>
      <c r="C166" s="11" t="s">
        <v>165</v>
      </c>
      <c r="D166" s="12" t="s">
        <v>166</v>
      </c>
      <c r="E166" s="11" t="s">
        <v>25</v>
      </c>
      <c r="F166">
        <v>252.1656002</v>
      </c>
      <c r="G166">
        <v>252.1656002</v>
      </c>
      <c r="H166" s="12">
        <v>16</v>
      </c>
      <c r="I166" s="11" t="s">
        <v>20</v>
      </c>
      <c r="J166" s="11" t="s">
        <v>21</v>
      </c>
      <c r="K166" s="11" t="s">
        <v>25</v>
      </c>
      <c r="L166" s="12" t="s">
        <v>25</v>
      </c>
      <c r="M166" s="11" t="s">
        <v>25</v>
      </c>
      <c r="N166" s="11" t="s">
        <v>25</v>
      </c>
      <c r="O166" s="12">
        <v>524.56587569999999</v>
      </c>
      <c r="P166" s="11" t="s">
        <v>28</v>
      </c>
      <c r="Q166" s="37">
        <v>1.573381E-3</v>
      </c>
      <c r="R166" s="11" t="s">
        <v>29</v>
      </c>
      <c r="S166" s="13" t="s">
        <v>25</v>
      </c>
    </row>
    <row r="167" spans="1:19">
      <c r="A167" s="14" t="s">
        <v>2120</v>
      </c>
      <c r="B167" s="12" t="s">
        <v>171</v>
      </c>
      <c r="C167" s="11" t="s">
        <v>165</v>
      </c>
      <c r="D167" s="12" t="s">
        <v>166</v>
      </c>
      <c r="E167" s="11" t="s">
        <v>25</v>
      </c>
      <c r="F167">
        <v>252.15221120000001</v>
      </c>
      <c r="G167">
        <v>252.15221120000001</v>
      </c>
      <c r="H167" s="12">
        <v>18</v>
      </c>
      <c r="I167" s="11" t="s">
        <v>20</v>
      </c>
      <c r="J167" s="11" t="s">
        <v>21</v>
      </c>
      <c r="K167" s="11" t="s">
        <v>25</v>
      </c>
      <c r="L167" s="12" t="s">
        <v>25</v>
      </c>
      <c r="M167" s="11" t="s">
        <v>25</v>
      </c>
      <c r="N167" s="11" t="s">
        <v>25</v>
      </c>
      <c r="O167" s="12">
        <v>607.02</v>
      </c>
      <c r="P167" s="11" t="s">
        <v>28</v>
      </c>
      <c r="Q167" s="37">
        <v>1.185576E-3</v>
      </c>
      <c r="R167" s="11" t="s">
        <v>29</v>
      </c>
      <c r="S167" s="13" t="s">
        <v>25</v>
      </c>
    </row>
    <row r="168" spans="1:19">
      <c r="A168" s="14" t="s">
        <v>2120</v>
      </c>
      <c r="B168" s="12" t="s">
        <v>172</v>
      </c>
      <c r="C168" s="11" t="s">
        <v>165</v>
      </c>
      <c r="D168" s="12" t="s">
        <v>166</v>
      </c>
      <c r="E168" s="11" t="s">
        <v>25</v>
      </c>
      <c r="F168">
        <v>252.1053497</v>
      </c>
      <c r="G168">
        <v>252.1053497</v>
      </c>
      <c r="H168" s="12">
        <v>25</v>
      </c>
      <c r="I168" s="11" t="s">
        <v>20</v>
      </c>
      <c r="J168" s="11" t="s">
        <v>21</v>
      </c>
      <c r="K168" s="11" t="s">
        <v>25</v>
      </c>
      <c r="L168" s="12" t="s">
        <v>25</v>
      </c>
      <c r="M168" s="11" t="s">
        <v>25</v>
      </c>
      <c r="N168" s="11" t="s">
        <v>25</v>
      </c>
      <c r="O168" s="12">
        <v>467.5</v>
      </c>
      <c r="P168" s="11" t="s">
        <v>28</v>
      </c>
      <c r="Q168" s="37">
        <v>1.222222E-3</v>
      </c>
      <c r="R168" s="11" t="s">
        <v>29</v>
      </c>
      <c r="S168" s="13" t="s">
        <v>25</v>
      </c>
    </row>
    <row r="169" spans="1:19">
      <c r="A169" s="14" t="s">
        <v>2120</v>
      </c>
      <c r="B169" s="12" t="s">
        <v>173</v>
      </c>
      <c r="C169" s="11" t="s">
        <v>165</v>
      </c>
      <c r="D169" s="12" t="s">
        <v>166</v>
      </c>
      <c r="E169" s="11" t="s">
        <v>25</v>
      </c>
      <c r="F169">
        <v>252.0384048</v>
      </c>
      <c r="G169">
        <v>252.0384048</v>
      </c>
      <c r="H169" s="12">
        <v>35</v>
      </c>
      <c r="I169" s="11" t="s">
        <v>20</v>
      </c>
      <c r="J169" s="11" t="s">
        <v>21</v>
      </c>
      <c r="K169" s="11" t="s">
        <v>25</v>
      </c>
      <c r="L169" s="12" t="s">
        <v>25</v>
      </c>
      <c r="M169" s="11" t="s">
        <v>25</v>
      </c>
      <c r="N169" s="11" t="s">
        <v>25</v>
      </c>
      <c r="O169" s="12">
        <v>869.1</v>
      </c>
      <c r="P169" s="11" t="s">
        <v>28</v>
      </c>
      <c r="Q169" s="37">
        <v>1.654986E-3</v>
      </c>
      <c r="R169" s="11" t="s">
        <v>29</v>
      </c>
      <c r="S169" s="13" t="s">
        <v>25</v>
      </c>
    </row>
    <row r="170" spans="1:19">
      <c r="A170" s="14" t="s">
        <v>2120</v>
      </c>
      <c r="B170" s="12" t="s">
        <v>174</v>
      </c>
      <c r="C170" s="11" t="s">
        <v>165</v>
      </c>
      <c r="D170" s="12" t="s">
        <v>166</v>
      </c>
      <c r="E170" s="11" t="s">
        <v>25</v>
      </c>
      <c r="F170">
        <v>252.0250159</v>
      </c>
      <c r="G170">
        <v>252.0250159</v>
      </c>
      <c r="H170" s="12">
        <v>37</v>
      </c>
      <c r="I170" s="11" t="s">
        <v>20</v>
      </c>
      <c r="J170" s="11" t="s">
        <v>21</v>
      </c>
      <c r="K170" s="11" t="s">
        <v>25</v>
      </c>
      <c r="L170" s="12" t="s">
        <v>25</v>
      </c>
      <c r="M170" s="11" t="s">
        <v>25</v>
      </c>
      <c r="N170" s="11" t="s">
        <v>25</v>
      </c>
      <c r="O170" s="12">
        <v>1287.3399999999999</v>
      </c>
      <c r="P170" s="11" t="s">
        <v>28</v>
      </c>
      <c r="Q170" s="37">
        <v>2.630996E-3</v>
      </c>
      <c r="R170" s="11" t="s">
        <v>29</v>
      </c>
      <c r="S170" s="13" t="s">
        <v>25</v>
      </c>
    </row>
    <row r="171" spans="1:19">
      <c r="A171" s="14" t="s">
        <v>2120</v>
      </c>
      <c r="B171" s="12" t="s">
        <v>175</v>
      </c>
      <c r="C171" s="11" t="s">
        <v>165</v>
      </c>
      <c r="D171" s="12" t="s">
        <v>166</v>
      </c>
      <c r="E171" s="11" t="s">
        <v>25</v>
      </c>
      <c r="F171">
        <v>252.0049324</v>
      </c>
      <c r="G171">
        <v>252.0049324</v>
      </c>
      <c r="H171" s="12">
        <v>40</v>
      </c>
      <c r="I171" s="11" t="s">
        <v>20</v>
      </c>
      <c r="J171" s="11" t="s">
        <v>21</v>
      </c>
      <c r="K171" s="11" t="s">
        <v>25</v>
      </c>
      <c r="L171" s="12" t="s">
        <v>25</v>
      </c>
      <c r="M171" s="11" t="s">
        <v>25</v>
      </c>
      <c r="N171" s="11" t="s">
        <v>25</v>
      </c>
      <c r="O171" s="12">
        <v>640.23500000000001</v>
      </c>
      <c r="P171" s="11" t="s">
        <v>28</v>
      </c>
      <c r="Q171" s="37">
        <v>2.1021669999999998E-3</v>
      </c>
      <c r="R171" s="11" t="s">
        <v>29</v>
      </c>
      <c r="S171" s="13" t="s">
        <v>25</v>
      </c>
    </row>
    <row r="172" spans="1:19">
      <c r="A172" s="14" t="s">
        <v>2120</v>
      </c>
      <c r="B172" s="12" t="s">
        <v>176</v>
      </c>
      <c r="C172" s="11" t="s">
        <v>165</v>
      </c>
      <c r="D172" s="12" t="s">
        <v>166</v>
      </c>
      <c r="E172" s="11" t="s">
        <v>25</v>
      </c>
      <c r="F172">
        <v>251.97815439999999</v>
      </c>
      <c r="G172">
        <v>251.97815439999999</v>
      </c>
      <c r="H172" s="12">
        <v>44</v>
      </c>
      <c r="I172" s="11" t="s">
        <v>20</v>
      </c>
      <c r="J172" s="11" t="s">
        <v>21</v>
      </c>
      <c r="K172" s="11" t="s">
        <v>25</v>
      </c>
      <c r="L172" s="12" t="s">
        <v>25</v>
      </c>
      <c r="M172" s="11" t="s">
        <v>25</v>
      </c>
      <c r="N172" s="11" t="s">
        <v>25</v>
      </c>
      <c r="O172" s="12">
        <v>618.37</v>
      </c>
      <c r="P172" s="11" t="s">
        <v>28</v>
      </c>
      <c r="Q172" s="37">
        <v>1.5851579999999999E-3</v>
      </c>
      <c r="R172" s="11" t="s">
        <v>29</v>
      </c>
      <c r="S172" s="13" t="s">
        <v>25</v>
      </c>
    </row>
    <row r="173" spans="1:19">
      <c r="A173" s="14" t="s">
        <v>2120</v>
      </c>
      <c r="B173" s="12" t="s">
        <v>177</v>
      </c>
      <c r="C173" s="11" t="s">
        <v>165</v>
      </c>
      <c r="D173" s="12" t="s">
        <v>166</v>
      </c>
      <c r="E173" s="11" t="s">
        <v>25</v>
      </c>
      <c r="F173">
        <v>251.95807099999999</v>
      </c>
      <c r="G173">
        <v>251.95807099999999</v>
      </c>
      <c r="H173" s="12">
        <v>47</v>
      </c>
      <c r="I173" s="11" t="s">
        <v>20</v>
      </c>
      <c r="J173" s="11" t="s">
        <v>21</v>
      </c>
      <c r="K173" s="11" t="s">
        <v>25</v>
      </c>
      <c r="L173" s="12" t="s">
        <v>25</v>
      </c>
      <c r="M173" s="11" t="s">
        <v>25</v>
      </c>
      <c r="N173" s="11" t="s">
        <v>25</v>
      </c>
      <c r="O173" s="12">
        <v>620.63499999999999</v>
      </c>
      <c r="P173" s="11" t="s">
        <v>28</v>
      </c>
      <c r="Q173" s="37">
        <v>1.6053669999999999E-3</v>
      </c>
      <c r="R173" s="11" t="s">
        <v>29</v>
      </c>
      <c r="S173" s="13" t="s">
        <v>25</v>
      </c>
    </row>
    <row r="174" spans="1:19">
      <c r="A174" s="14" t="s">
        <v>2120</v>
      </c>
      <c r="B174" s="12" t="s">
        <v>178</v>
      </c>
      <c r="C174" s="11" t="s">
        <v>165</v>
      </c>
      <c r="D174" s="12" t="s">
        <v>166</v>
      </c>
      <c r="E174" s="11" t="s">
        <v>25</v>
      </c>
      <c r="F174">
        <v>251.95472369999999</v>
      </c>
      <c r="G174">
        <v>251.95472369999999</v>
      </c>
      <c r="H174" s="12">
        <v>47.5</v>
      </c>
      <c r="I174" s="11" t="s">
        <v>20</v>
      </c>
      <c r="J174" s="11" t="s">
        <v>21</v>
      </c>
      <c r="K174" s="11" t="s">
        <v>25</v>
      </c>
      <c r="L174" s="12" t="s">
        <v>25</v>
      </c>
      <c r="M174" s="11" t="s">
        <v>25</v>
      </c>
      <c r="N174" s="11" t="s">
        <v>25</v>
      </c>
      <c r="O174" s="12">
        <v>543.62644079999995</v>
      </c>
      <c r="P174" s="11" t="s">
        <v>28</v>
      </c>
      <c r="Q174" s="37">
        <v>2.1845929999999999E-3</v>
      </c>
      <c r="R174" s="11" t="s">
        <v>29</v>
      </c>
      <c r="S174" s="13" t="s">
        <v>25</v>
      </c>
    </row>
    <row r="175" spans="1:19">
      <c r="A175" s="14" t="s">
        <v>2120</v>
      </c>
      <c r="B175" s="12" t="s">
        <v>179</v>
      </c>
      <c r="C175" s="11" t="s">
        <v>165</v>
      </c>
      <c r="D175" s="12" t="s">
        <v>166</v>
      </c>
      <c r="E175" s="11" t="s">
        <v>25</v>
      </c>
      <c r="F175">
        <v>251.95920899999999</v>
      </c>
      <c r="G175">
        <v>251.95920899999999</v>
      </c>
      <c r="H175" s="12">
        <v>46.83</v>
      </c>
      <c r="I175" s="11" t="s">
        <v>20</v>
      </c>
      <c r="J175" s="11" t="s">
        <v>21</v>
      </c>
      <c r="K175" s="11" t="s">
        <v>25</v>
      </c>
      <c r="L175" s="12" t="s">
        <v>25</v>
      </c>
      <c r="M175" s="11" t="s">
        <v>25</v>
      </c>
      <c r="N175" s="11" t="s">
        <v>25</v>
      </c>
      <c r="O175" s="12">
        <v>687.83</v>
      </c>
      <c r="P175" s="11" t="s">
        <v>28</v>
      </c>
      <c r="Q175" s="37">
        <v>1.5195E-3</v>
      </c>
      <c r="R175" s="11" t="s">
        <v>29</v>
      </c>
      <c r="S175" s="13" t="s">
        <v>25</v>
      </c>
    </row>
    <row r="176" spans="1:19">
      <c r="A176" s="14" t="s">
        <v>2120</v>
      </c>
      <c r="B176" s="12" t="s">
        <v>180</v>
      </c>
      <c r="C176" s="11" t="s">
        <v>165</v>
      </c>
      <c r="D176" s="12" t="s">
        <v>166</v>
      </c>
      <c r="E176" s="11" t="s">
        <v>25</v>
      </c>
      <c r="F176">
        <v>251.94936809999999</v>
      </c>
      <c r="G176">
        <v>251.94936809999999</v>
      </c>
      <c r="H176" s="12">
        <v>48.3</v>
      </c>
      <c r="I176" s="11" t="s">
        <v>20</v>
      </c>
      <c r="J176" s="11" t="s">
        <v>21</v>
      </c>
      <c r="K176" s="11" t="s">
        <v>25</v>
      </c>
      <c r="L176" s="12" t="s">
        <v>25</v>
      </c>
      <c r="M176" s="11" t="s">
        <v>25</v>
      </c>
      <c r="N176" s="11" t="s">
        <v>25</v>
      </c>
      <c r="O176" s="12">
        <v>1059.56</v>
      </c>
      <c r="P176" s="11" t="s">
        <v>28</v>
      </c>
      <c r="Q176" s="37">
        <v>2.144076E-3</v>
      </c>
      <c r="R176" s="11" t="s">
        <v>29</v>
      </c>
      <c r="S176" s="13" t="s">
        <v>25</v>
      </c>
    </row>
    <row r="177" spans="1:19">
      <c r="A177" s="14" t="s">
        <v>2120</v>
      </c>
      <c r="B177" s="12" t="s">
        <v>181</v>
      </c>
      <c r="C177" s="11" t="s">
        <v>165</v>
      </c>
      <c r="D177" s="12" t="s">
        <v>166</v>
      </c>
      <c r="E177" s="11" t="s">
        <v>25</v>
      </c>
      <c r="F177">
        <v>251.9450167</v>
      </c>
      <c r="G177">
        <v>251.9450167</v>
      </c>
      <c r="H177" s="12">
        <v>48.95</v>
      </c>
      <c r="I177" s="11" t="s">
        <v>20</v>
      </c>
      <c r="J177" s="11" t="s">
        <v>123</v>
      </c>
      <c r="K177" s="11" t="s">
        <v>25</v>
      </c>
      <c r="L177" s="12" t="s">
        <v>25</v>
      </c>
      <c r="M177" s="11" t="s">
        <v>25</v>
      </c>
      <c r="N177" s="11" t="s">
        <v>25</v>
      </c>
      <c r="O177" s="12">
        <v>829.51</v>
      </c>
      <c r="P177" s="11" t="s">
        <v>28</v>
      </c>
      <c r="Q177" s="37">
        <v>1.7137890000000001E-3</v>
      </c>
      <c r="R177" s="11" t="s">
        <v>29</v>
      </c>
      <c r="S177" s="13" t="s">
        <v>25</v>
      </c>
    </row>
    <row r="178" spans="1:19">
      <c r="A178" s="14" t="s">
        <v>2120</v>
      </c>
      <c r="B178" s="12" t="s">
        <v>182</v>
      </c>
      <c r="C178" s="11" t="s">
        <v>165</v>
      </c>
      <c r="D178" s="12" t="s">
        <v>166</v>
      </c>
      <c r="E178" s="11" t="s">
        <v>25</v>
      </c>
      <c r="F178">
        <v>251.9360375</v>
      </c>
      <c r="G178">
        <v>251.9360375</v>
      </c>
      <c r="H178" s="12">
        <v>49.7</v>
      </c>
      <c r="I178" s="11" t="s">
        <v>20</v>
      </c>
      <c r="J178" s="11" t="s">
        <v>36</v>
      </c>
      <c r="K178" s="11" t="s">
        <v>25</v>
      </c>
      <c r="L178" s="12" t="s">
        <v>25</v>
      </c>
      <c r="M178" s="11" t="s">
        <v>25</v>
      </c>
      <c r="N178" s="11" t="s">
        <v>25</v>
      </c>
      <c r="O178" s="12">
        <v>996.18</v>
      </c>
      <c r="P178" s="11" t="s">
        <v>28</v>
      </c>
      <c r="Q178" s="37">
        <v>1.9747300000000001E-3</v>
      </c>
      <c r="R178" s="11" t="s">
        <v>29</v>
      </c>
      <c r="S178" s="13" t="s">
        <v>25</v>
      </c>
    </row>
    <row r="179" spans="1:19">
      <c r="A179" s="14" t="s">
        <v>2120</v>
      </c>
      <c r="B179" s="12" t="s">
        <v>183</v>
      </c>
      <c r="C179" s="11" t="s">
        <v>165</v>
      </c>
      <c r="D179" s="12" t="s">
        <v>166</v>
      </c>
      <c r="E179" s="11" t="s">
        <v>25</v>
      </c>
      <c r="F179">
        <v>251.92487019999999</v>
      </c>
      <c r="G179">
        <v>251.92487019999999</v>
      </c>
      <c r="H179" s="12">
        <v>50.6</v>
      </c>
      <c r="I179" s="11" t="s">
        <v>20</v>
      </c>
      <c r="J179" s="11" t="s">
        <v>36</v>
      </c>
      <c r="K179" s="11" t="s">
        <v>25</v>
      </c>
      <c r="L179" s="12" t="s">
        <v>25</v>
      </c>
      <c r="M179" s="11" t="s">
        <v>25</v>
      </c>
      <c r="N179" s="11" t="s">
        <v>25</v>
      </c>
      <c r="O179" s="12">
        <v>626.95000000000005</v>
      </c>
      <c r="P179" s="11" t="s">
        <v>28</v>
      </c>
      <c r="Q179" s="37">
        <v>1.233666E-3</v>
      </c>
      <c r="R179" s="11" t="s">
        <v>29</v>
      </c>
      <c r="S179" s="13" t="s">
        <v>25</v>
      </c>
    </row>
    <row r="180" spans="1:19">
      <c r="A180" s="14" t="s">
        <v>2120</v>
      </c>
      <c r="B180" s="12" t="s">
        <v>184</v>
      </c>
      <c r="C180" s="11" t="s">
        <v>165</v>
      </c>
      <c r="D180" s="12" t="s">
        <v>166</v>
      </c>
      <c r="E180" s="11" t="s">
        <v>25</v>
      </c>
      <c r="F180">
        <v>251.92451980000001</v>
      </c>
      <c r="G180">
        <v>251.92451980000001</v>
      </c>
      <c r="H180" s="12">
        <v>50.95</v>
      </c>
      <c r="I180" s="11" t="s">
        <v>20</v>
      </c>
      <c r="J180" s="11" t="s">
        <v>123</v>
      </c>
      <c r="K180" s="11" t="s">
        <v>25</v>
      </c>
      <c r="L180" s="12" t="s">
        <v>25</v>
      </c>
      <c r="M180" s="11" t="s">
        <v>25</v>
      </c>
      <c r="N180" s="11" t="s">
        <v>25</v>
      </c>
      <c r="O180" s="12">
        <v>874.69</v>
      </c>
      <c r="P180" s="11" t="s">
        <v>28</v>
      </c>
      <c r="Q180" s="37">
        <v>1.666718E-3</v>
      </c>
      <c r="R180" s="11" t="s">
        <v>29</v>
      </c>
      <c r="S180" s="13" t="s">
        <v>25</v>
      </c>
    </row>
    <row r="181" spans="1:19">
      <c r="A181" s="14" t="s">
        <v>2120</v>
      </c>
      <c r="B181" s="12" t="s">
        <v>185</v>
      </c>
      <c r="C181" s="11" t="s">
        <v>165</v>
      </c>
      <c r="D181" s="12" t="s">
        <v>166</v>
      </c>
      <c r="E181" s="11" t="s">
        <v>25</v>
      </c>
      <c r="F181">
        <v>251.9213657</v>
      </c>
      <c r="G181">
        <v>251.9213657</v>
      </c>
      <c r="H181" s="12">
        <v>54.1</v>
      </c>
      <c r="I181" s="11" t="s">
        <v>20</v>
      </c>
      <c r="J181" s="11" t="s">
        <v>123</v>
      </c>
      <c r="K181" s="11" t="s">
        <v>25</v>
      </c>
      <c r="L181" s="12" t="s">
        <v>25</v>
      </c>
      <c r="M181" s="11" t="s">
        <v>25</v>
      </c>
      <c r="N181" s="11" t="s">
        <v>25</v>
      </c>
      <c r="O181" s="12">
        <v>1554.81</v>
      </c>
      <c r="P181" s="11" t="s">
        <v>28</v>
      </c>
      <c r="Q181" s="37">
        <v>2.9749949999999998E-3</v>
      </c>
      <c r="R181" s="11" t="s">
        <v>29</v>
      </c>
      <c r="S181" s="13" t="s">
        <v>25</v>
      </c>
    </row>
    <row r="182" spans="1:19">
      <c r="A182" s="14" t="s">
        <v>2120</v>
      </c>
      <c r="B182" s="12" t="s">
        <v>186</v>
      </c>
      <c r="C182" s="11" t="s">
        <v>165</v>
      </c>
      <c r="D182" s="12" t="s">
        <v>166</v>
      </c>
      <c r="E182" s="11" t="s">
        <v>25</v>
      </c>
      <c r="F182">
        <v>251.91635919999999</v>
      </c>
      <c r="G182">
        <v>251.91635919999999</v>
      </c>
      <c r="H182" s="12">
        <v>59.4</v>
      </c>
      <c r="I182" s="11" t="s">
        <v>20</v>
      </c>
      <c r="J182" s="11" t="s">
        <v>123</v>
      </c>
      <c r="K182" s="11" t="s">
        <v>25</v>
      </c>
      <c r="L182" s="12" t="s">
        <v>25</v>
      </c>
      <c r="M182" s="11" t="s">
        <v>25</v>
      </c>
      <c r="N182" s="11" t="s">
        <v>25</v>
      </c>
      <c r="O182" s="12">
        <v>2618.5300000000002</v>
      </c>
      <c r="P182" s="11" t="s">
        <v>28</v>
      </c>
      <c r="Q182" s="37">
        <v>5.4855870000000001E-3</v>
      </c>
      <c r="R182" s="11" t="s">
        <v>29</v>
      </c>
      <c r="S182" s="13" t="s">
        <v>25</v>
      </c>
    </row>
    <row r="183" spans="1:19">
      <c r="A183" s="14" t="s">
        <v>2120</v>
      </c>
      <c r="B183" s="12" t="s">
        <v>187</v>
      </c>
      <c r="C183" s="11" t="s">
        <v>165</v>
      </c>
      <c r="D183" s="12" t="s">
        <v>166</v>
      </c>
      <c r="E183" s="11" t="s">
        <v>25</v>
      </c>
      <c r="F183">
        <v>251.91055170000001</v>
      </c>
      <c r="G183">
        <v>251.91055170000001</v>
      </c>
      <c r="H183" s="12">
        <v>64.900000000000006</v>
      </c>
      <c r="I183" s="11" t="s">
        <v>20</v>
      </c>
      <c r="J183" s="11" t="s">
        <v>123</v>
      </c>
      <c r="K183" s="11" t="s">
        <v>25</v>
      </c>
      <c r="L183" s="12" t="s">
        <v>25</v>
      </c>
      <c r="M183" s="11" t="s">
        <v>25</v>
      </c>
      <c r="N183" s="11" t="s">
        <v>25</v>
      </c>
      <c r="O183" s="12">
        <v>2675.94</v>
      </c>
      <c r="P183" s="11" t="s">
        <v>28</v>
      </c>
      <c r="Q183" s="37">
        <v>5.1679339999999999E-3</v>
      </c>
      <c r="R183" s="11" t="s">
        <v>29</v>
      </c>
      <c r="S183" s="13" t="s">
        <v>25</v>
      </c>
    </row>
    <row r="184" spans="1:19">
      <c r="A184" s="14" t="s">
        <v>2120</v>
      </c>
      <c r="B184" s="12" t="s">
        <v>188</v>
      </c>
      <c r="C184" s="11" t="s">
        <v>165</v>
      </c>
      <c r="D184" s="12" t="s">
        <v>166</v>
      </c>
      <c r="E184" s="11" t="s">
        <v>25</v>
      </c>
      <c r="F184">
        <v>251.90154000000001</v>
      </c>
      <c r="G184">
        <v>251.90154000000001</v>
      </c>
      <c r="H184" s="12">
        <v>73.900000000000006</v>
      </c>
      <c r="I184" s="11" t="s">
        <v>20</v>
      </c>
      <c r="J184" s="11" t="s">
        <v>58</v>
      </c>
      <c r="K184" s="11" t="s">
        <v>25</v>
      </c>
      <c r="L184" s="12" t="s">
        <v>25</v>
      </c>
      <c r="M184" s="11" t="s">
        <v>25</v>
      </c>
      <c r="N184" s="11" t="s">
        <v>25</v>
      </c>
      <c r="O184" s="12">
        <v>3779.06</v>
      </c>
      <c r="P184" s="11" t="s">
        <v>28</v>
      </c>
      <c r="Q184" s="37">
        <v>6.8533789999999997E-3</v>
      </c>
      <c r="R184" s="11" t="s">
        <v>29</v>
      </c>
      <c r="S184" s="13" t="s">
        <v>25</v>
      </c>
    </row>
    <row r="185" spans="1:19">
      <c r="A185" s="14" t="s">
        <v>2120</v>
      </c>
      <c r="B185" s="12" t="s">
        <v>189</v>
      </c>
      <c r="C185" s="11" t="s">
        <v>165</v>
      </c>
      <c r="D185" s="12" t="s">
        <v>166</v>
      </c>
      <c r="E185" s="11" t="s">
        <v>25</v>
      </c>
      <c r="F185">
        <v>251.89453090000001</v>
      </c>
      <c r="G185">
        <v>251.89453090000001</v>
      </c>
      <c r="H185" s="12">
        <v>80.900000000000006</v>
      </c>
      <c r="I185" s="11" t="s">
        <v>20</v>
      </c>
      <c r="J185" s="11" t="s">
        <v>58</v>
      </c>
      <c r="K185" s="11" t="s">
        <v>25</v>
      </c>
      <c r="L185" s="12" t="s">
        <v>25</v>
      </c>
      <c r="M185" s="11" t="s">
        <v>25</v>
      </c>
      <c r="N185" s="11" t="s">
        <v>25</v>
      </c>
      <c r="O185" s="12">
        <v>2929.64</v>
      </c>
      <c r="P185" s="11" t="s">
        <v>28</v>
      </c>
      <c r="Q185" s="37">
        <v>5.4359020000000003E-3</v>
      </c>
      <c r="R185" s="11" t="s">
        <v>29</v>
      </c>
      <c r="S185" s="13" t="s">
        <v>25</v>
      </c>
    </row>
    <row r="186" spans="1:19">
      <c r="A186" s="14" t="s">
        <v>2120</v>
      </c>
      <c r="B186" s="12" t="s">
        <v>190</v>
      </c>
      <c r="C186" s="11" t="s">
        <v>165</v>
      </c>
      <c r="D186" s="12" t="s">
        <v>166</v>
      </c>
      <c r="E186" s="11" t="s">
        <v>25</v>
      </c>
      <c r="F186">
        <v>251.88852309999999</v>
      </c>
      <c r="G186">
        <v>251.88852309999999</v>
      </c>
      <c r="H186" s="12">
        <v>86.9</v>
      </c>
      <c r="I186" s="11" t="s">
        <v>20</v>
      </c>
      <c r="J186" s="11" t="s">
        <v>58</v>
      </c>
      <c r="K186" s="11" t="s">
        <v>25</v>
      </c>
      <c r="L186" s="12" t="s">
        <v>25</v>
      </c>
      <c r="M186" s="11" t="s">
        <v>25</v>
      </c>
      <c r="N186" s="11" t="s">
        <v>25</v>
      </c>
      <c r="O186" s="12">
        <v>3270.72</v>
      </c>
      <c r="P186" s="11" t="s">
        <v>28</v>
      </c>
      <c r="Q186" s="37">
        <v>6.5893490000000004E-3</v>
      </c>
      <c r="R186" s="11" t="s">
        <v>29</v>
      </c>
      <c r="S186" s="13" t="s">
        <v>25</v>
      </c>
    </row>
    <row r="187" spans="1:19">
      <c r="A187" s="14" t="s">
        <v>2120</v>
      </c>
      <c r="B187" s="12" t="s">
        <v>191</v>
      </c>
      <c r="C187" s="11" t="s">
        <v>165</v>
      </c>
      <c r="D187" s="12" t="s">
        <v>166</v>
      </c>
      <c r="E187" s="11" t="s">
        <v>25</v>
      </c>
      <c r="F187">
        <v>251.8816142</v>
      </c>
      <c r="G187">
        <v>251.8816142</v>
      </c>
      <c r="H187" s="12">
        <v>92.3</v>
      </c>
      <c r="I187" s="11" t="s">
        <v>20</v>
      </c>
      <c r="J187" s="11" t="s">
        <v>58</v>
      </c>
      <c r="K187" s="11" t="s">
        <v>25</v>
      </c>
      <c r="L187" s="12" t="s">
        <v>25</v>
      </c>
      <c r="M187" s="11" t="s">
        <v>25</v>
      </c>
      <c r="N187" s="11" t="s">
        <v>25</v>
      </c>
      <c r="O187" s="12">
        <v>561.72</v>
      </c>
      <c r="P187" s="11" t="s">
        <v>28</v>
      </c>
      <c r="Q187" s="37">
        <v>1.0862249999999999E-3</v>
      </c>
      <c r="R187" s="11" t="s">
        <v>29</v>
      </c>
      <c r="S187" s="13" t="s">
        <v>25</v>
      </c>
    </row>
    <row r="188" spans="1:19">
      <c r="A188" s="14" t="s">
        <v>2120</v>
      </c>
      <c r="B188" s="12" t="s">
        <v>192</v>
      </c>
      <c r="C188" s="11" t="s">
        <v>165</v>
      </c>
      <c r="D188" s="12" t="s">
        <v>166</v>
      </c>
      <c r="E188" s="11" t="s">
        <v>25</v>
      </c>
      <c r="F188">
        <v>251.8816142</v>
      </c>
      <c r="G188">
        <v>251.8816142</v>
      </c>
      <c r="H188" s="12">
        <v>93.8</v>
      </c>
      <c r="I188" s="11" t="s">
        <v>20</v>
      </c>
      <c r="J188" s="11" t="s">
        <v>58</v>
      </c>
      <c r="K188" s="11" t="s">
        <v>25</v>
      </c>
      <c r="L188" s="12" t="s">
        <v>25</v>
      </c>
      <c r="M188" s="11" t="s">
        <v>25</v>
      </c>
      <c r="N188" s="11" t="s">
        <v>25</v>
      </c>
      <c r="O188" s="12">
        <v>1301.02</v>
      </c>
      <c r="P188" s="11" t="s">
        <v>28</v>
      </c>
      <c r="Q188" s="37">
        <v>2.3868600000000002E-3</v>
      </c>
      <c r="R188" s="11" t="s">
        <v>29</v>
      </c>
      <c r="S188" s="13" t="s">
        <v>25</v>
      </c>
    </row>
    <row r="189" spans="1:19">
      <c r="A189" s="14" t="s">
        <v>2120</v>
      </c>
      <c r="B189" s="12" t="s">
        <v>193</v>
      </c>
      <c r="C189" s="11" t="s">
        <v>165</v>
      </c>
      <c r="D189" s="12" t="s">
        <v>166</v>
      </c>
      <c r="E189" s="11" t="s">
        <v>25</v>
      </c>
      <c r="F189">
        <v>251.88011220000001</v>
      </c>
      <c r="G189">
        <v>251.88011220000001</v>
      </c>
      <c r="H189" s="12">
        <v>95.3</v>
      </c>
      <c r="I189" s="11" t="s">
        <v>20</v>
      </c>
      <c r="J189" s="11" t="s">
        <v>58</v>
      </c>
      <c r="K189" s="11" t="s">
        <v>25</v>
      </c>
      <c r="L189" s="12" t="s">
        <v>25</v>
      </c>
      <c r="M189" s="11" t="s">
        <v>25</v>
      </c>
      <c r="N189" s="11" t="s">
        <v>25</v>
      </c>
      <c r="O189" s="12">
        <v>811.43499999999995</v>
      </c>
      <c r="P189" s="11" t="s">
        <v>28</v>
      </c>
      <c r="Q189" s="37">
        <v>5.5919409999999996E-3</v>
      </c>
      <c r="R189" s="11" t="s">
        <v>29</v>
      </c>
      <c r="S189" s="13" t="s">
        <v>25</v>
      </c>
    </row>
    <row r="190" spans="1:19">
      <c r="A190" s="14" t="s">
        <v>2120</v>
      </c>
      <c r="B190" s="12" t="s">
        <v>194</v>
      </c>
      <c r="C190" s="11" t="s">
        <v>165</v>
      </c>
      <c r="D190" s="12" t="s">
        <v>166</v>
      </c>
      <c r="E190" s="11" t="s">
        <v>25</v>
      </c>
      <c r="F190">
        <v>251.86770519999999</v>
      </c>
      <c r="G190">
        <v>251.86770519999999</v>
      </c>
      <c r="H190" s="12">
        <v>101.3</v>
      </c>
      <c r="I190" s="11" t="s">
        <v>20</v>
      </c>
      <c r="J190" s="11" t="s">
        <v>21</v>
      </c>
      <c r="K190" s="11" t="s">
        <v>25</v>
      </c>
      <c r="L190" s="12" t="s">
        <v>25</v>
      </c>
      <c r="M190" s="11" t="s">
        <v>25</v>
      </c>
      <c r="N190" s="11" t="s">
        <v>25</v>
      </c>
      <c r="O190" s="12">
        <v>1118.42</v>
      </c>
      <c r="P190" s="11" t="s">
        <v>28</v>
      </c>
      <c r="Q190" s="37">
        <v>2.332616E-3</v>
      </c>
      <c r="R190" s="11" t="s">
        <v>29</v>
      </c>
      <c r="S190" s="13" t="s">
        <v>25</v>
      </c>
    </row>
    <row r="191" spans="1:19">
      <c r="A191" s="14" t="s">
        <v>2120</v>
      </c>
      <c r="B191" s="12" t="s">
        <v>195</v>
      </c>
      <c r="C191" s="11" t="s">
        <v>165</v>
      </c>
      <c r="D191" s="12" t="s">
        <v>166</v>
      </c>
      <c r="E191" s="11" t="s">
        <v>25</v>
      </c>
      <c r="F191">
        <v>251.85582059999999</v>
      </c>
      <c r="G191">
        <v>251.85582059999999</v>
      </c>
      <c r="H191" s="12">
        <v>105.5</v>
      </c>
      <c r="I191" s="11" t="s">
        <v>20</v>
      </c>
      <c r="J191" s="11" t="s">
        <v>21</v>
      </c>
      <c r="K191" s="11" t="s">
        <v>25</v>
      </c>
      <c r="L191" s="12" t="s">
        <v>25</v>
      </c>
      <c r="M191" s="11" t="s">
        <v>25</v>
      </c>
      <c r="N191" s="11" t="s">
        <v>25</v>
      </c>
      <c r="O191" s="12">
        <v>1654.3070150000001</v>
      </c>
      <c r="P191" s="11" t="s">
        <v>28</v>
      </c>
      <c r="Q191" s="37">
        <v>5.1188220000000003E-3</v>
      </c>
      <c r="R191" s="11" t="s">
        <v>29</v>
      </c>
      <c r="S191" s="13" t="s">
        <v>25</v>
      </c>
    </row>
    <row r="192" spans="1:19">
      <c r="A192" s="14" t="s">
        <v>2120</v>
      </c>
      <c r="B192" s="12" t="s">
        <v>196</v>
      </c>
      <c r="C192" s="11" t="s">
        <v>165</v>
      </c>
      <c r="D192" s="12" t="s">
        <v>166</v>
      </c>
      <c r="E192" s="11" t="s">
        <v>25</v>
      </c>
      <c r="F192">
        <v>251.83717899999999</v>
      </c>
      <c r="G192">
        <v>251.83717899999999</v>
      </c>
      <c r="H192" s="12">
        <v>108.8</v>
      </c>
      <c r="I192" s="11" t="s">
        <v>20</v>
      </c>
      <c r="J192" s="11" t="s">
        <v>21</v>
      </c>
      <c r="K192" s="11" t="s">
        <v>25</v>
      </c>
      <c r="L192" s="12" t="s">
        <v>25</v>
      </c>
      <c r="M192" s="11" t="s">
        <v>25</v>
      </c>
      <c r="N192" s="11" t="s">
        <v>25</v>
      </c>
      <c r="O192" s="12">
        <v>1909.45</v>
      </c>
      <c r="P192" s="11" t="s">
        <v>28</v>
      </c>
      <c r="Q192" s="37">
        <v>4.4384649999999999E-3</v>
      </c>
      <c r="R192" s="11" t="s">
        <v>29</v>
      </c>
      <c r="S192" s="13" t="s">
        <v>25</v>
      </c>
    </row>
    <row r="193" spans="1:19">
      <c r="A193" s="14" t="s">
        <v>2120</v>
      </c>
      <c r="B193" s="12" t="s">
        <v>197</v>
      </c>
      <c r="C193" s="11" t="s">
        <v>165</v>
      </c>
      <c r="D193" s="12" t="s">
        <v>166</v>
      </c>
      <c r="E193" s="11" t="s">
        <v>25</v>
      </c>
      <c r="F193">
        <v>251.75526880000001</v>
      </c>
      <c r="G193">
        <v>251.75526880000001</v>
      </c>
      <c r="H193" s="12">
        <v>123.3</v>
      </c>
      <c r="I193" s="11" t="s">
        <v>20</v>
      </c>
      <c r="J193" s="11" t="s">
        <v>21</v>
      </c>
      <c r="K193" s="11" t="s">
        <v>25</v>
      </c>
      <c r="L193" s="12" t="s">
        <v>25</v>
      </c>
      <c r="M193" s="11" t="s">
        <v>25</v>
      </c>
      <c r="N193" s="11" t="s">
        <v>25</v>
      </c>
      <c r="O193" s="12">
        <v>511.70706230000002</v>
      </c>
      <c r="P193" s="11" t="s">
        <v>28</v>
      </c>
      <c r="Q193" s="37">
        <v>1.6112279999999999E-3</v>
      </c>
      <c r="R193" s="11" t="s">
        <v>29</v>
      </c>
      <c r="S193" s="13" t="s">
        <v>25</v>
      </c>
    </row>
    <row r="194" spans="1:19">
      <c r="A194" s="14" t="s">
        <v>2120</v>
      </c>
      <c r="B194" s="12" t="s">
        <v>198</v>
      </c>
      <c r="C194" s="11" t="s">
        <v>165</v>
      </c>
      <c r="D194" s="12" t="s">
        <v>166</v>
      </c>
      <c r="E194" s="11" t="s">
        <v>25</v>
      </c>
      <c r="F194">
        <v>251.69030559999999</v>
      </c>
      <c r="G194">
        <v>251.69030559999999</v>
      </c>
      <c r="H194" s="12">
        <v>134.80000000000001</v>
      </c>
      <c r="I194" s="11" t="s">
        <v>20</v>
      </c>
      <c r="J194" s="11" t="s">
        <v>21</v>
      </c>
      <c r="K194" s="11" t="s">
        <v>25</v>
      </c>
      <c r="L194" s="12" t="s">
        <v>25</v>
      </c>
      <c r="M194" s="11" t="s">
        <v>25</v>
      </c>
      <c r="N194" s="11" t="s">
        <v>25</v>
      </c>
      <c r="O194" s="12">
        <v>1208</v>
      </c>
      <c r="P194" s="11" t="s">
        <v>28</v>
      </c>
      <c r="Q194" s="37">
        <v>3.2025449999999998E-3</v>
      </c>
      <c r="R194" s="11" t="s">
        <v>29</v>
      </c>
      <c r="S194" s="13" t="s">
        <v>25</v>
      </c>
    </row>
    <row r="195" spans="1:19">
      <c r="A195" s="14" t="s">
        <v>2120</v>
      </c>
      <c r="B195" s="12" t="s">
        <v>199</v>
      </c>
      <c r="C195" s="11" t="s">
        <v>165</v>
      </c>
      <c r="D195" s="12" t="s">
        <v>166</v>
      </c>
      <c r="E195" s="11" t="s">
        <v>25</v>
      </c>
      <c r="F195">
        <v>251.64793829999999</v>
      </c>
      <c r="G195">
        <v>251.64793829999999</v>
      </c>
      <c r="H195" s="12">
        <v>142.30000000000001</v>
      </c>
      <c r="I195" s="11" t="s">
        <v>20</v>
      </c>
      <c r="J195" s="11" t="s">
        <v>123</v>
      </c>
      <c r="K195" s="11" t="s">
        <v>25</v>
      </c>
      <c r="L195" s="12" t="s">
        <v>25</v>
      </c>
      <c r="M195" s="11" t="s">
        <v>25</v>
      </c>
      <c r="N195" s="11" t="s">
        <v>25</v>
      </c>
      <c r="O195" s="12">
        <v>2130.4899999999998</v>
      </c>
      <c r="P195" s="11" t="s">
        <v>28</v>
      </c>
      <c r="Q195" s="37">
        <v>4.4774760000000002E-3</v>
      </c>
      <c r="R195" s="11" t="s">
        <v>29</v>
      </c>
      <c r="S195" s="13" t="s">
        <v>25</v>
      </c>
    </row>
    <row r="196" spans="1:19">
      <c r="A196" s="14" t="s">
        <v>2120</v>
      </c>
      <c r="B196" s="12" t="s">
        <v>200</v>
      </c>
      <c r="C196" s="11" t="s">
        <v>165</v>
      </c>
      <c r="D196" s="12" t="s">
        <v>166</v>
      </c>
      <c r="E196" s="11" t="s">
        <v>25</v>
      </c>
      <c r="F196">
        <v>251.57167709999999</v>
      </c>
      <c r="G196">
        <v>251.57167709999999</v>
      </c>
      <c r="H196" s="12">
        <v>155.80000000000001</v>
      </c>
      <c r="I196" s="11" t="s">
        <v>20</v>
      </c>
      <c r="J196" s="11" t="s">
        <v>123</v>
      </c>
      <c r="K196" s="11" t="s">
        <v>25</v>
      </c>
      <c r="L196" s="12" t="s">
        <v>25</v>
      </c>
      <c r="M196" s="11" t="s">
        <v>25</v>
      </c>
      <c r="N196" s="11" t="s">
        <v>25</v>
      </c>
      <c r="O196" s="12">
        <v>1163.69</v>
      </c>
      <c r="P196" s="11" t="s">
        <v>28</v>
      </c>
      <c r="Q196" s="37">
        <v>2.6434509999999998E-3</v>
      </c>
      <c r="R196" s="11" t="s">
        <v>29</v>
      </c>
      <c r="S196" s="13" t="s">
        <v>25</v>
      </c>
    </row>
    <row r="197" spans="1:19">
      <c r="A197" s="14" t="s">
        <v>2120</v>
      </c>
      <c r="B197" s="12" t="s">
        <v>201</v>
      </c>
      <c r="C197" s="11" t="s">
        <v>165</v>
      </c>
      <c r="D197" s="12" t="s">
        <v>166</v>
      </c>
      <c r="E197" s="11" t="s">
        <v>25</v>
      </c>
      <c r="F197">
        <v>251.4643465</v>
      </c>
      <c r="G197">
        <v>251.4643465</v>
      </c>
      <c r="H197" s="12">
        <v>174.8</v>
      </c>
      <c r="I197" s="11" t="s">
        <v>20</v>
      </c>
      <c r="J197" s="11" t="s">
        <v>21</v>
      </c>
      <c r="K197" s="11" t="s">
        <v>25</v>
      </c>
      <c r="L197" s="12" t="s">
        <v>25</v>
      </c>
      <c r="M197" s="11" t="s">
        <v>25</v>
      </c>
      <c r="N197" s="11" t="s">
        <v>25</v>
      </c>
      <c r="O197" s="12">
        <v>1068.911648</v>
      </c>
      <c r="P197" s="11" t="s">
        <v>28</v>
      </c>
      <c r="Q197" s="37">
        <v>3.8095239999999999E-3</v>
      </c>
      <c r="R197" s="11" t="s">
        <v>29</v>
      </c>
      <c r="S197" s="13" t="s">
        <v>25</v>
      </c>
    </row>
    <row r="198" spans="1:19">
      <c r="A198" s="14" t="s">
        <v>2120</v>
      </c>
      <c r="B198" s="12" t="s">
        <v>202</v>
      </c>
      <c r="C198" s="11" t="s">
        <v>165</v>
      </c>
      <c r="D198" s="12" t="s">
        <v>166</v>
      </c>
      <c r="E198" s="11" t="s">
        <v>25</v>
      </c>
      <c r="F198">
        <v>251.42614420000001</v>
      </c>
      <c r="G198">
        <v>251.42614420000001</v>
      </c>
      <c r="H198" s="12">
        <v>183.3</v>
      </c>
      <c r="I198" s="11" t="s">
        <v>20</v>
      </c>
      <c r="J198" s="11" t="s">
        <v>21</v>
      </c>
      <c r="K198" s="11" t="s">
        <v>25</v>
      </c>
      <c r="L198" s="12" t="s">
        <v>25</v>
      </c>
      <c r="M198" s="11" t="s">
        <v>25</v>
      </c>
      <c r="N198" s="11" t="s">
        <v>25</v>
      </c>
      <c r="O198" s="12">
        <v>2084.4499999999998</v>
      </c>
      <c r="P198" s="11" t="s">
        <v>28</v>
      </c>
      <c r="Q198" s="37">
        <v>4.1807220000000004E-3</v>
      </c>
      <c r="R198" s="11" t="s">
        <v>29</v>
      </c>
      <c r="S198" s="13" t="s">
        <v>25</v>
      </c>
    </row>
    <row r="199" spans="1:19">
      <c r="A199" s="14" t="s">
        <v>2120</v>
      </c>
      <c r="B199" s="12" t="s">
        <v>203</v>
      </c>
      <c r="C199" s="11" t="s">
        <v>165</v>
      </c>
      <c r="D199" s="12" t="s">
        <v>166</v>
      </c>
      <c r="E199" s="11" t="s">
        <v>25</v>
      </c>
      <c r="F199">
        <v>251.41655779999999</v>
      </c>
      <c r="G199">
        <v>251.41655779999999</v>
      </c>
      <c r="H199" s="12">
        <v>186.3</v>
      </c>
      <c r="I199" s="11" t="s">
        <v>20</v>
      </c>
      <c r="J199" s="11" t="s">
        <v>124</v>
      </c>
      <c r="K199" s="11" t="s">
        <v>25</v>
      </c>
      <c r="L199" s="12" t="s">
        <v>25</v>
      </c>
      <c r="M199" s="11" t="s">
        <v>25</v>
      </c>
      <c r="N199" s="11" t="s">
        <v>25</v>
      </c>
      <c r="O199" s="12">
        <v>220.8</v>
      </c>
      <c r="P199" s="11" t="s">
        <v>28</v>
      </c>
      <c r="Q199" s="37">
        <v>7.8021199999999996E-4</v>
      </c>
      <c r="R199" s="11" t="s">
        <v>29</v>
      </c>
      <c r="S199" s="13" t="s">
        <v>25</v>
      </c>
    </row>
    <row r="200" spans="1:19">
      <c r="A200" s="14" t="s">
        <v>2120</v>
      </c>
      <c r="B200" s="12" t="s">
        <v>204</v>
      </c>
      <c r="C200" s="11" t="s">
        <v>165</v>
      </c>
      <c r="D200" s="12" t="s">
        <v>166</v>
      </c>
      <c r="E200" s="11" t="s">
        <v>25</v>
      </c>
      <c r="F200">
        <v>251.3798099</v>
      </c>
      <c r="G200">
        <v>251.3798099</v>
      </c>
      <c r="H200" s="12">
        <v>197.8</v>
      </c>
      <c r="I200" s="11" t="s">
        <v>20</v>
      </c>
      <c r="J200" s="11" t="s">
        <v>21</v>
      </c>
      <c r="K200" s="11" t="s">
        <v>25</v>
      </c>
      <c r="L200" s="12" t="s">
        <v>25</v>
      </c>
      <c r="M200" s="11" t="s">
        <v>25</v>
      </c>
      <c r="N200" s="11" t="s">
        <v>25</v>
      </c>
      <c r="O200" s="12">
        <v>1476.1489999999999</v>
      </c>
      <c r="P200" s="11" t="s">
        <v>28</v>
      </c>
      <c r="Q200" s="37">
        <v>2.7822490000000001E-3</v>
      </c>
      <c r="R200" s="11" t="s">
        <v>29</v>
      </c>
      <c r="S200" s="13" t="s">
        <v>25</v>
      </c>
    </row>
    <row r="201" spans="1:19">
      <c r="A201" s="14" t="s">
        <v>2120</v>
      </c>
      <c r="B201" s="12" t="s">
        <v>205</v>
      </c>
      <c r="C201" s="11" t="s">
        <v>165</v>
      </c>
      <c r="D201" s="12" t="s">
        <v>166</v>
      </c>
      <c r="E201" s="11" t="s">
        <v>25</v>
      </c>
      <c r="F201">
        <v>251.32229140000001</v>
      </c>
      <c r="G201">
        <v>251.32229140000001</v>
      </c>
      <c r="H201" s="12">
        <v>215.8</v>
      </c>
      <c r="I201" s="11" t="s">
        <v>20</v>
      </c>
      <c r="J201" s="11" t="s">
        <v>21</v>
      </c>
      <c r="K201" s="11" t="s">
        <v>25</v>
      </c>
      <c r="L201" s="12" t="s">
        <v>25</v>
      </c>
      <c r="M201" s="11" t="s">
        <v>25</v>
      </c>
      <c r="N201" s="11" t="s">
        <v>25</v>
      </c>
      <c r="O201" s="12">
        <v>470.73780429999999</v>
      </c>
      <c r="P201" s="11" t="s">
        <v>28</v>
      </c>
      <c r="Q201" s="37">
        <v>1.628532E-3</v>
      </c>
      <c r="R201" s="11" t="s">
        <v>29</v>
      </c>
      <c r="S201" s="13" t="s">
        <v>25</v>
      </c>
    </row>
    <row r="202" spans="1:19">
      <c r="A202" s="14" t="s">
        <v>2120</v>
      </c>
      <c r="B202" s="12" t="s">
        <v>206</v>
      </c>
      <c r="C202" s="11" t="s">
        <v>165</v>
      </c>
      <c r="D202" s="12" t="s">
        <v>166</v>
      </c>
      <c r="E202" s="11" t="s">
        <v>25</v>
      </c>
      <c r="F202">
        <v>251.299284</v>
      </c>
      <c r="G202">
        <v>251.299284</v>
      </c>
      <c r="H202" s="12">
        <v>223</v>
      </c>
      <c r="I202" s="11" t="s">
        <v>20</v>
      </c>
      <c r="J202" s="11" t="s">
        <v>21</v>
      </c>
      <c r="K202" s="11" t="s">
        <v>25</v>
      </c>
      <c r="L202" s="12" t="s">
        <v>25</v>
      </c>
      <c r="M202" s="11" t="s">
        <v>25</v>
      </c>
      <c r="N202" s="11" t="s">
        <v>25</v>
      </c>
      <c r="O202" s="12">
        <v>1436.28</v>
      </c>
      <c r="P202" s="11" t="s">
        <v>28</v>
      </c>
      <c r="Q202" s="37">
        <v>3.0276880000000002E-3</v>
      </c>
      <c r="R202" s="11" t="s">
        <v>29</v>
      </c>
      <c r="S202" s="13" t="s">
        <v>25</v>
      </c>
    </row>
    <row r="203" spans="1:19">
      <c r="A203" s="14" t="s">
        <v>2120</v>
      </c>
      <c r="B203" s="12" t="s">
        <v>207</v>
      </c>
      <c r="C203" s="11" t="s">
        <v>165</v>
      </c>
      <c r="D203" s="12" t="s">
        <v>166</v>
      </c>
      <c r="E203" s="11" t="s">
        <v>25</v>
      </c>
      <c r="F203">
        <v>251.2200363</v>
      </c>
      <c r="G203">
        <v>251.2200363</v>
      </c>
      <c r="H203" s="12">
        <v>247.8</v>
      </c>
      <c r="I203" s="11" t="s">
        <v>20</v>
      </c>
      <c r="J203" s="11" t="s">
        <v>21</v>
      </c>
      <c r="K203" s="11" t="s">
        <v>25</v>
      </c>
      <c r="L203" s="12" t="s">
        <v>25</v>
      </c>
      <c r="M203" s="11" t="s">
        <v>25</v>
      </c>
      <c r="N203" s="11" t="s">
        <v>25</v>
      </c>
      <c r="O203" s="12">
        <v>302.60000000000002</v>
      </c>
      <c r="P203" s="11" t="s">
        <v>28</v>
      </c>
      <c r="Q203" s="37">
        <v>8.8557200000000005E-4</v>
      </c>
      <c r="R203" s="11" t="s">
        <v>29</v>
      </c>
      <c r="S203" s="13" t="s">
        <v>25</v>
      </c>
    </row>
    <row r="204" spans="1:19">
      <c r="A204" s="14" t="s">
        <v>2120</v>
      </c>
      <c r="B204" s="11" t="s">
        <v>208</v>
      </c>
      <c r="C204" s="11" t="s">
        <v>165</v>
      </c>
      <c r="D204" s="12" t="s">
        <v>166</v>
      </c>
      <c r="E204" s="11" t="s">
        <v>25</v>
      </c>
      <c r="F204">
        <v>251.2008635</v>
      </c>
      <c r="G204">
        <v>251.2008635</v>
      </c>
      <c r="H204" s="12">
        <v>253.8</v>
      </c>
      <c r="I204" s="11" t="s">
        <v>20</v>
      </c>
      <c r="J204" s="11" t="s">
        <v>58</v>
      </c>
      <c r="K204" s="11" t="s">
        <v>25</v>
      </c>
      <c r="L204" s="12" t="s">
        <v>25</v>
      </c>
      <c r="M204" s="11" t="s">
        <v>25</v>
      </c>
      <c r="N204" s="11" t="s">
        <v>25</v>
      </c>
      <c r="O204" s="12">
        <v>358.25030870000001</v>
      </c>
      <c r="P204" s="11" t="s">
        <v>28</v>
      </c>
      <c r="Q204" s="37">
        <v>1.1960359999999999E-3</v>
      </c>
      <c r="R204" s="11" t="s">
        <v>29</v>
      </c>
      <c r="S204" s="13" t="s">
        <v>25</v>
      </c>
    </row>
    <row r="205" spans="1:19">
      <c r="A205" s="14" t="s">
        <v>2120</v>
      </c>
      <c r="B205" s="11" t="s">
        <v>209</v>
      </c>
      <c r="C205" s="11" t="s">
        <v>165</v>
      </c>
      <c r="D205" s="12" t="s">
        <v>166</v>
      </c>
      <c r="E205" s="11" t="s">
        <v>25</v>
      </c>
      <c r="F205">
        <v>251.11428319999999</v>
      </c>
      <c r="G205">
        <v>251.11428319999999</v>
      </c>
      <c r="H205" s="12">
        <v>272.8</v>
      </c>
      <c r="I205" s="11" t="s">
        <v>20</v>
      </c>
      <c r="J205" s="11" t="s">
        <v>21</v>
      </c>
      <c r="K205" s="11" t="s">
        <v>25</v>
      </c>
      <c r="L205" s="12" t="s">
        <v>25</v>
      </c>
      <c r="M205" s="11" t="s">
        <v>25</v>
      </c>
      <c r="N205" s="11" t="s">
        <v>25</v>
      </c>
      <c r="O205" s="12">
        <v>809.16360669999995</v>
      </c>
      <c r="P205" s="11" t="s">
        <v>28</v>
      </c>
      <c r="Q205" s="37">
        <v>2.9906469999999999E-3</v>
      </c>
      <c r="R205" s="11" t="s">
        <v>29</v>
      </c>
      <c r="S205" s="13" t="s">
        <v>25</v>
      </c>
    </row>
    <row r="206" spans="1:19">
      <c r="A206" s="14" t="s">
        <v>2120</v>
      </c>
      <c r="B206" s="11" t="s">
        <v>210</v>
      </c>
      <c r="C206" s="11" t="s">
        <v>165</v>
      </c>
      <c r="D206" s="12" t="s">
        <v>166</v>
      </c>
      <c r="E206" s="11" t="s">
        <v>25</v>
      </c>
      <c r="F206">
        <v>251.07782829999999</v>
      </c>
      <c r="G206">
        <v>251.07782829999999</v>
      </c>
      <c r="H206" s="12">
        <v>280.8</v>
      </c>
      <c r="I206" s="11" t="s">
        <v>20</v>
      </c>
      <c r="J206" s="11" t="s">
        <v>21</v>
      </c>
      <c r="K206" s="11" t="s">
        <v>25</v>
      </c>
      <c r="L206" s="12" t="s">
        <v>25</v>
      </c>
      <c r="M206" s="11" t="s">
        <v>25</v>
      </c>
      <c r="N206" s="11" t="s">
        <v>25</v>
      </c>
      <c r="O206" s="12">
        <v>728.47121919999995</v>
      </c>
      <c r="P206" s="11" t="s">
        <v>28</v>
      </c>
      <c r="Q206" s="37">
        <v>2.4144140000000001E-3</v>
      </c>
      <c r="R206" s="11" t="s">
        <v>29</v>
      </c>
      <c r="S206" s="13" t="s">
        <v>25</v>
      </c>
    </row>
    <row r="207" spans="1:19">
      <c r="A207" s="14" t="s">
        <v>2120</v>
      </c>
      <c r="B207" s="11" t="s">
        <v>211</v>
      </c>
      <c r="C207" s="11" t="s">
        <v>165</v>
      </c>
      <c r="D207" s="12" t="s">
        <v>166</v>
      </c>
      <c r="E207" s="11" t="s">
        <v>25</v>
      </c>
      <c r="F207">
        <v>250.9325791</v>
      </c>
      <c r="G207">
        <v>250.9325791</v>
      </c>
      <c r="H207" s="12">
        <v>312.3</v>
      </c>
      <c r="I207" s="11" t="s">
        <v>20</v>
      </c>
      <c r="J207" s="11" t="s">
        <v>58</v>
      </c>
      <c r="K207" s="11" t="s">
        <v>25</v>
      </c>
      <c r="L207" s="12" t="s">
        <v>25</v>
      </c>
      <c r="M207" s="11" t="s">
        <v>25</v>
      </c>
      <c r="N207" s="11" t="s">
        <v>25</v>
      </c>
      <c r="O207" s="12">
        <v>1111.512019</v>
      </c>
      <c r="P207" s="11" t="s">
        <v>28</v>
      </c>
      <c r="Q207" s="37">
        <v>4.002561E-3</v>
      </c>
      <c r="R207" s="11" t="s">
        <v>29</v>
      </c>
      <c r="S207" s="13" t="s">
        <v>25</v>
      </c>
    </row>
    <row r="208" spans="1:19">
      <c r="A208" s="14" t="s">
        <v>2120</v>
      </c>
      <c r="B208" s="11" t="s">
        <v>212</v>
      </c>
      <c r="C208" s="11" t="s">
        <v>165</v>
      </c>
      <c r="D208" s="12" t="s">
        <v>166</v>
      </c>
      <c r="E208" s="11" t="s">
        <v>25</v>
      </c>
      <c r="F208">
        <v>250.83327120000001</v>
      </c>
      <c r="G208">
        <v>250.83327120000001</v>
      </c>
      <c r="H208" s="12">
        <v>333.8</v>
      </c>
      <c r="I208" s="11" t="s">
        <v>20</v>
      </c>
      <c r="J208" s="11" t="s">
        <v>123</v>
      </c>
      <c r="K208" s="11" t="s">
        <v>25</v>
      </c>
      <c r="L208" s="12" t="s">
        <v>25</v>
      </c>
      <c r="M208" s="11" t="s">
        <v>25</v>
      </c>
      <c r="N208" s="11" t="s">
        <v>25</v>
      </c>
      <c r="O208" s="12">
        <v>1095</v>
      </c>
      <c r="P208" s="11" t="s">
        <v>28</v>
      </c>
      <c r="Q208" s="37">
        <v>3.7127089999999998E-3</v>
      </c>
      <c r="R208" s="11" t="s">
        <v>29</v>
      </c>
      <c r="S208" s="13" t="s">
        <v>25</v>
      </c>
    </row>
    <row r="209" spans="1:19">
      <c r="A209" s="14" t="s">
        <v>2120</v>
      </c>
      <c r="B209" s="11" t="s">
        <v>213</v>
      </c>
      <c r="C209" s="11" t="s">
        <v>165</v>
      </c>
      <c r="D209" s="12" t="s">
        <v>166</v>
      </c>
      <c r="E209" s="11" t="s">
        <v>25</v>
      </c>
      <c r="F209">
        <v>250.7501297</v>
      </c>
      <c r="G209">
        <v>250.7501297</v>
      </c>
      <c r="H209" s="12">
        <v>351.8</v>
      </c>
      <c r="I209" s="11" t="s">
        <v>20</v>
      </c>
      <c r="J209" s="11" t="s">
        <v>21</v>
      </c>
      <c r="K209" s="11" t="s">
        <v>25</v>
      </c>
      <c r="L209" s="12" t="s">
        <v>25</v>
      </c>
      <c r="M209" s="11" t="s">
        <v>25</v>
      </c>
      <c r="N209" s="11" t="s">
        <v>25</v>
      </c>
      <c r="O209" s="12">
        <v>1437.1935639999999</v>
      </c>
      <c r="P209" s="11" t="s">
        <v>28</v>
      </c>
      <c r="Q209" s="37">
        <v>5.0347350000000003E-3</v>
      </c>
      <c r="R209" s="11" t="s">
        <v>29</v>
      </c>
      <c r="S209" s="13" t="s">
        <v>25</v>
      </c>
    </row>
    <row r="210" spans="1:19">
      <c r="A210" s="14" t="s">
        <v>2120</v>
      </c>
      <c r="B210" s="11" t="s">
        <v>214</v>
      </c>
      <c r="C210" s="11" t="s">
        <v>165</v>
      </c>
      <c r="D210" s="12" t="s">
        <v>166</v>
      </c>
      <c r="E210" s="11" t="s">
        <v>25</v>
      </c>
      <c r="F210">
        <v>250.29421919999999</v>
      </c>
      <c r="G210">
        <v>250.29421919999999</v>
      </c>
      <c r="H210" s="12">
        <v>361.8</v>
      </c>
      <c r="I210" s="11" t="s">
        <v>20</v>
      </c>
      <c r="J210" s="11" t="s">
        <v>123</v>
      </c>
      <c r="K210" s="11" t="s">
        <v>25</v>
      </c>
      <c r="L210" s="12" t="s">
        <v>25</v>
      </c>
      <c r="M210" s="11" t="s">
        <v>25</v>
      </c>
      <c r="N210" s="11" t="s">
        <v>25</v>
      </c>
      <c r="O210" s="12">
        <v>2060</v>
      </c>
      <c r="P210" s="11" t="s">
        <v>28</v>
      </c>
      <c r="Q210" s="37">
        <v>5.1758790000000004E-3</v>
      </c>
      <c r="R210" s="11" t="s">
        <v>29</v>
      </c>
      <c r="S210" s="13" t="s">
        <v>25</v>
      </c>
    </row>
    <row r="211" spans="1:19">
      <c r="A211" s="14" t="s">
        <v>2120</v>
      </c>
      <c r="B211" s="11" t="s">
        <v>215</v>
      </c>
      <c r="C211" s="11" t="s">
        <v>165</v>
      </c>
      <c r="D211" s="12" t="s">
        <v>166</v>
      </c>
      <c r="E211" s="11" t="s">
        <v>25</v>
      </c>
      <c r="F211">
        <v>249.88830150000001</v>
      </c>
      <c r="G211">
        <v>249.88830150000001</v>
      </c>
      <c r="H211" s="12">
        <v>367.8</v>
      </c>
      <c r="I211" s="11" t="s">
        <v>20</v>
      </c>
      <c r="J211" s="11" t="s">
        <v>25</v>
      </c>
      <c r="K211" s="11" t="s">
        <v>25</v>
      </c>
      <c r="L211" s="12" t="s">
        <v>25</v>
      </c>
      <c r="M211" s="11" t="s">
        <v>25</v>
      </c>
      <c r="N211" s="11" t="s">
        <v>25</v>
      </c>
      <c r="O211" s="12">
        <v>575.04113359999997</v>
      </c>
      <c r="P211" s="11" t="s">
        <v>28</v>
      </c>
      <c r="Q211" s="37">
        <v>1.90369E-3</v>
      </c>
      <c r="R211" s="11" t="s">
        <v>29</v>
      </c>
      <c r="S211" s="13" t="s">
        <v>25</v>
      </c>
    </row>
    <row r="212" spans="1:19">
      <c r="A212" s="14" t="s">
        <v>2120</v>
      </c>
      <c r="B212" s="11" t="s">
        <v>216</v>
      </c>
      <c r="C212" s="11" t="s">
        <v>165</v>
      </c>
      <c r="D212" s="12" t="s">
        <v>166</v>
      </c>
      <c r="E212" s="11" t="s">
        <v>25</v>
      </c>
      <c r="F212">
        <v>249.19128280000001</v>
      </c>
      <c r="G212">
        <v>249.19128280000001</v>
      </c>
      <c r="H212" s="12">
        <v>397.8</v>
      </c>
      <c r="I212" s="11" t="s">
        <v>20</v>
      </c>
      <c r="J212" s="11" t="s">
        <v>123</v>
      </c>
      <c r="K212" s="11" t="s">
        <v>25</v>
      </c>
      <c r="L212" s="12" t="s">
        <v>25</v>
      </c>
      <c r="M212" s="11" t="s">
        <v>25</v>
      </c>
      <c r="N212" s="11" t="s">
        <v>25</v>
      </c>
      <c r="O212" s="12">
        <v>583.4</v>
      </c>
      <c r="P212" s="11" t="s">
        <v>28</v>
      </c>
      <c r="Q212" s="37">
        <v>1.646163E-3</v>
      </c>
      <c r="R212" s="11" t="s">
        <v>29</v>
      </c>
      <c r="S212" s="13" t="s">
        <v>25</v>
      </c>
    </row>
    <row r="213" spans="1:19">
      <c r="A213" s="14" t="s">
        <v>2120</v>
      </c>
      <c r="B213" s="11" t="s">
        <v>217</v>
      </c>
      <c r="C213" s="11" t="s">
        <v>165</v>
      </c>
      <c r="D213" s="12" t="s">
        <v>166</v>
      </c>
      <c r="E213" s="11" t="s">
        <v>25</v>
      </c>
      <c r="F213">
        <v>249.00362039999999</v>
      </c>
      <c r="G213">
        <v>249.00362039999999</v>
      </c>
      <c r="H213" s="12">
        <v>424.3</v>
      </c>
      <c r="I213" s="11" t="s">
        <v>20</v>
      </c>
      <c r="J213" s="11" t="s">
        <v>123</v>
      </c>
      <c r="K213" s="11" t="s">
        <v>25</v>
      </c>
      <c r="L213" s="12" t="s">
        <v>25</v>
      </c>
      <c r="M213" s="11" t="s">
        <v>25</v>
      </c>
      <c r="N213" s="11" t="s">
        <v>25</v>
      </c>
      <c r="O213" s="12">
        <v>923.7</v>
      </c>
      <c r="P213" s="11" t="s">
        <v>28</v>
      </c>
      <c r="Q213" s="37">
        <v>2.3343439999999999E-3</v>
      </c>
      <c r="R213" s="11" t="s">
        <v>29</v>
      </c>
      <c r="S213" s="13" t="s">
        <v>25</v>
      </c>
    </row>
    <row r="214" spans="1:19">
      <c r="A214" s="14" t="s">
        <v>2120</v>
      </c>
      <c r="B214" s="11" t="s">
        <v>218</v>
      </c>
      <c r="C214" s="11" t="s">
        <v>165</v>
      </c>
      <c r="D214" s="12" t="s">
        <v>166</v>
      </c>
      <c r="E214" s="11" t="s">
        <v>25</v>
      </c>
      <c r="F214">
        <v>248.4866638</v>
      </c>
      <c r="G214">
        <v>248.4866638</v>
      </c>
      <c r="H214" s="12">
        <v>497.3</v>
      </c>
      <c r="I214" s="11" t="s">
        <v>20</v>
      </c>
      <c r="J214" s="11" t="s">
        <v>123</v>
      </c>
      <c r="K214" s="11" t="s">
        <v>25</v>
      </c>
      <c r="L214" s="12" t="s">
        <v>25</v>
      </c>
      <c r="M214" s="11" t="s">
        <v>25</v>
      </c>
      <c r="N214" s="11" t="s">
        <v>25</v>
      </c>
      <c r="O214" s="12">
        <v>817.8580498</v>
      </c>
      <c r="P214" s="11" t="s">
        <v>28</v>
      </c>
      <c r="Q214" s="37">
        <v>2.7491730000000002E-3</v>
      </c>
      <c r="R214" s="11" t="s">
        <v>29</v>
      </c>
      <c r="S214" s="13" t="s">
        <v>25</v>
      </c>
    </row>
    <row r="215" spans="1:19">
      <c r="A215" s="14" t="s">
        <v>2120</v>
      </c>
      <c r="B215" s="11" t="s">
        <v>219</v>
      </c>
      <c r="C215" s="11" t="s">
        <v>165</v>
      </c>
      <c r="D215" s="12" t="s">
        <v>166</v>
      </c>
      <c r="E215" s="11" t="s">
        <v>25</v>
      </c>
      <c r="F215">
        <v>248.03725900000001</v>
      </c>
      <c r="G215">
        <v>248.03725900000001</v>
      </c>
      <c r="H215" s="12">
        <v>521.6</v>
      </c>
      <c r="I215" s="11" t="s">
        <v>20</v>
      </c>
      <c r="J215" s="11" t="s">
        <v>123</v>
      </c>
      <c r="K215" s="11" t="s">
        <v>25</v>
      </c>
      <c r="L215" s="12" t="s">
        <v>25</v>
      </c>
      <c r="M215" s="11" t="s">
        <v>25</v>
      </c>
      <c r="N215" s="11" t="s">
        <v>25</v>
      </c>
      <c r="O215" s="12">
        <v>220.89210059999999</v>
      </c>
      <c r="P215" s="11" t="s">
        <v>28</v>
      </c>
      <c r="Q215" s="37">
        <v>1.0631130000000001E-3</v>
      </c>
      <c r="R215" s="11" t="s">
        <v>29</v>
      </c>
      <c r="S215" s="13" t="s">
        <v>25</v>
      </c>
    </row>
    <row r="216" spans="1:19">
      <c r="A216" s="14" t="s">
        <v>2120</v>
      </c>
      <c r="B216" s="11" t="s">
        <v>220</v>
      </c>
      <c r="C216" s="11" t="s">
        <v>165</v>
      </c>
      <c r="D216" s="12" t="s">
        <v>166</v>
      </c>
      <c r="E216" s="11" t="s">
        <v>25</v>
      </c>
      <c r="F216">
        <v>247.62700000000001</v>
      </c>
      <c r="G216">
        <v>247.62700000000001</v>
      </c>
      <c r="H216" s="12">
        <v>536.29999999999995</v>
      </c>
      <c r="I216" s="11" t="s">
        <v>20</v>
      </c>
      <c r="J216" s="11" t="s">
        <v>123</v>
      </c>
      <c r="K216" s="11" t="s">
        <v>25</v>
      </c>
      <c r="L216" s="12" t="s">
        <v>25</v>
      </c>
      <c r="M216" s="11" t="s">
        <v>25</v>
      </c>
      <c r="N216" s="11" t="s">
        <v>25</v>
      </c>
      <c r="O216" s="12">
        <v>457.38259299999999</v>
      </c>
      <c r="P216" s="11" t="s">
        <v>28</v>
      </c>
      <c r="Q216" s="37">
        <v>1.5828490000000001E-3</v>
      </c>
      <c r="R216" s="11" t="s">
        <v>29</v>
      </c>
      <c r="S216" s="13" t="s">
        <v>25</v>
      </c>
    </row>
    <row r="217" spans="1:19">
      <c r="A217" s="14" t="s">
        <v>2120</v>
      </c>
      <c r="B217" s="11" t="s">
        <v>221</v>
      </c>
      <c r="C217" s="11" t="s">
        <v>165</v>
      </c>
      <c r="D217" s="12" t="s">
        <v>166</v>
      </c>
      <c r="E217" s="11" t="s">
        <v>25</v>
      </c>
      <c r="F217">
        <v>246.56800000000001</v>
      </c>
      <c r="G217">
        <v>246.56800000000001</v>
      </c>
      <c r="H217" s="12">
        <v>608.79999999999995</v>
      </c>
      <c r="I217" s="11" t="s">
        <v>20</v>
      </c>
      <c r="J217" s="11" t="s">
        <v>124</v>
      </c>
      <c r="K217" s="11" t="s">
        <v>25</v>
      </c>
      <c r="L217" s="12" t="s">
        <v>25</v>
      </c>
      <c r="M217" s="11" t="s">
        <v>25</v>
      </c>
      <c r="N217" s="11" t="s">
        <v>25</v>
      </c>
      <c r="O217" s="12">
        <v>99.154151850000005</v>
      </c>
      <c r="P217" s="11" t="s">
        <v>28</v>
      </c>
      <c r="Q217" s="37">
        <v>7.33659E-4</v>
      </c>
      <c r="R217" s="11" t="s">
        <v>29</v>
      </c>
      <c r="S217" s="13" t="s">
        <v>25</v>
      </c>
    </row>
    <row r="218" spans="1:19">
      <c r="A218" s="14" t="s">
        <v>2120</v>
      </c>
      <c r="B218" s="11" t="s">
        <v>222</v>
      </c>
      <c r="C218" s="11" t="s">
        <v>165</v>
      </c>
      <c r="D218" s="12" t="s">
        <v>166</v>
      </c>
      <c r="E218" s="11" t="s">
        <v>25</v>
      </c>
      <c r="F218">
        <v>246.07499999999999</v>
      </c>
      <c r="G218">
        <v>246.07499999999999</v>
      </c>
      <c r="H218" s="12">
        <v>673.8</v>
      </c>
      <c r="I218" s="11" t="s">
        <v>20</v>
      </c>
      <c r="J218" s="11" t="s">
        <v>123</v>
      </c>
      <c r="K218" s="11" t="s">
        <v>25</v>
      </c>
      <c r="L218" s="12" t="s">
        <v>25</v>
      </c>
      <c r="M218" s="11" t="s">
        <v>25</v>
      </c>
      <c r="N218" s="11" t="s">
        <v>25</v>
      </c>
      <c r="O218" s="12">
        <v>483.9</v>
      </c>
      <c r="P218" s="11" t="s">
        <v>28</v>
      </c>
      <c r="Q218" s="37">
        <v>1.2549270000000001E-3</v>
      </c>
      <c r="R218" s="11" t="s">
        <v>29</v>
      </c>
      <c r="S218" s="13" t="s">
        <v>25</v>
      </c>
    </row>
    <row r="219" spans="1:19">
      <c r="A219" s="14" t="s">
        <v>2120</v>
      </c>
      <c r="B219" s="11" t="s">
        <v>223</v>
      </c>
      <c r="C219" s="11" t="s">
        <v>165</v>
      </c>
      <c r="D219" s="12" t="s">
        <v>166</v>
      </c>
      <c r="E219" s="11" t="s">
        <v>25</v>
      </c>
      <c r="F219">
        <v>245.83841839999999</v>
      </c>
      <c r="G219">
        <v>245.83841839999999</v>
      </c>
      <c r="H219" s="12">
        <v>705</v>
      </c>
      <c r="I219" s="11" t="s">
        <v>20</v>
      </c>
      <c r="J219" s="11" t="s">
        <v>123</v>
      </c>
      <c r="K219" s="11" t="s">
        <v>25</v>
      </c>
      <c r="L219" s="12" t="s">
        <v>25</v>
      </c>
      <c r="M219" s="11" t="s">
        <v>25</v>
      </c>
      <c r="N219" s="11" t="s">
        <v>25</v>
      </c>
      <c r="O219" s="12">
        <v>1189.4564640000001</v>
      </c>
      <c r="P219" s="11" t="s">
        <v>28</v>
      </c>
      <c r="Q219" s="37">
        <v>4.2857140000000004E-3</v>
      </c>
      <c r="R219" s="11" t="s">
        <v>29</v>
      </c>
      <c r="S219" s="13" t="s">
        <v>25</v>
      </c>
    </row>
    <row r="220" spans="1:19">
      <c r="A220" s="14" t="s">
        <v>2120</v>
      </c>
      <c r="B220" s="11" t="s">
        <v>224</v>
      </c>
      <c r="C220" s="11" t="s">
        <v>165</v>
      </c>
      <c r="D220" s="12" t="s">
        <v>166</v>
      </c>
      <c r="E220" s="11" t="s">
        <v>25</v>
      </c>
      <c r="F220">
        <v>245.54489480000001</v>
      </c>
      <c r="G220">
        <v>245.54489480000001</v>
      </c>
      <c r="H220" s="12">
        <v>743.7</v>
      </c>
      <c r="I220" s="11" t="s">
        <v>20</v>
      </c>
      <c r="J220" s="11" t="s">
        <v>123</v>
      </c>
      <c r="K220" s="11" t="s">
        <v>25</v>
      </c>
      <c r="L220" s="12" t="s">
        <v>25</v>
      </c>
      <c r="M220" s="11" t="s">
        <v>25</v>
      </c>
      <c r="N220" s="11" t="s">
        <v>25</v>
      </c>
      <c r="O220" s="12">
        <v>676.59984999999995</v>
      </c>
      <c r="P220" s="11" t="s">
        <v>28</v>
      </c>
      <c r="Q220" s="37">
        <v>2.2451530000000002E-3</v>
      </c>
      <c r="R220" s="11" t="s">
        <v>29</v>
      </c>
      <c r="S220" s="13" t="s">
        <v>25</v>
      </c>
    </row>
    <row r="221" spans="1:19">
      <c r="A221" s="14" t="s">
        <v>2120</v>
      </c>
      <c r="B221" s="11" t="s">
        <v>225</v>
      </c>
      <c r="C221" s="11" t="s">
        <v>165</v>
      </c>
      <c r="D221" s="12" t="s">
        <v>166</v>
      </c>
      <c r="E221" s="11" t="s">
        <v>25</v>
      </c>
      <c r="F221">
        <v>244.37100000000001</v>
      </c>
      <c r="G221">
        <v>244.37100000000001</v>
      </c>
      <c r="H221" s="12">
        <v>898.5</v>
      </c>
      <c r="I221" s="11" t="s">
        <v>20</v>
      </c>
      <c r="J221" s="11" t="s">
        <v>21</v>
      </c>
      <c r="K221" s="11" t="s">
        <v>25</v>
      </c>
      <c r="L221" s="12" t="s">
        <v>25</v>
      </c>
      <c r="M221" s="11" t="s">
        <v>25</v>
      </c>
      <c r="N221" s="11" t="s">
        <v>25</v>
      </c>
      <c r="O221" s="12">
        <v>628.85319570000001</v>
      </c>
      <c r="P221" s="11" t="s">
        <v>28</v>
      </c>
      <c r="Q221" s="37">
        <v>2.1501659999999998E-3</v>
      </c>
      <c r="R221" s="11" t="s">
        <v>29</v>
      </c>
      <c r="S221" s="13" t="s">
        <v>25</v>
      </c>
    </row>
    <row r="222" spans="1:19" s="4" customFormat="1">
      <c r="B222" s="5"/>
      <c r="C222" s="5"/>
      <c r="D222" s="5"/>
      <c r="E222" s="33"/>
      <c r="I222" s="5"/>
      <c r="J222" s="5"/>
      <c r="K222" s="5"/>
      <c r="N222" s="5"/>
      <c r="P222" s="5"/>
      <c r="Q222" s="38"/>
      <c r="S222" s="24"/>
    </row>
    <row r="223" spans="1:19">
      <c r="A223" s="14" t="s">
        <v>2121</v>
      </c>
      <c r="B223" s="11" t="s">
        <v>226</v>
      </c>
      <c r="C223" s="11" t="s">
        <v>227</v>
      </c>
      <c r="D223" s="11" t="s">
        <v>25</v>
      </c>
      <c r="E223" s="11" t="s">
        <v>25</v>
      </c>
      <c r="F223">
        <v>1.17E-2</v>
      </c>
      <c r="G223">
        <v>5.33</v>
      </c>
      <c r="H223" s="12">
        <v>8.5</v>
      </c>
      <c r="I223" s="11" t="s">
        <v>228</v>
      </c>
      <c r="J223" s="11" t="s">
        <v>25</v>
      </c>
      <c r="K223" s="11" t="s">
        <v>229</v>
      </c>
      <c r="L223" s="12">
        <v>-0.95</v>
      </c>
      <c r="M223" s="11" t="s">
        <v>23</v>
      </c>
      <c r="N223" s="11" t="s">
        <v>230</v>
      </c>
      <c r="O223" s="11" t="s">
        <v>25</v>
      </c>
      <c r="P223" s="11" t="s">
        <v>25</v>
      </c>
      <c r="Q223" s="37">
        <v>4.13</v>
      </c>
      <c r="R223" s="11" t="s">
        <v>231</v>
      </c>
      <c r="S223" s="13">
        <f t="shared" ref="S223:S258" si="3">IF(NOT(N223="SW"),L223-1.88,L223)</f>
        <v>-0.95</v>
      </c>
    </row>
    <row r="224" spans="1:19">
      <c r="A224" s="14" t="s">
        <v>2121</v>
      </c>
      <c r="B224" s="11" t="s">
        <v>232</v>
      </c>
      <c r="C224" s="11" t="s">
        <v>227</v>
      </c>
      <c r="D224" s="11" t="s">
        <v>25</v>
      </c>
      <c r="E224" s="11" t="s">
        <v>25</v>
      </c>
      <c r="F224">
        <v>1.17E-2</v>
      </c>
      <c r="G224">
        <v>5.33</v>
      </c>
      <c r="H224" s="12">
        <v>13.5</v>
      </c>
      <c r="I224" s="11" t="s">
        <v>228</v>
      </c>
      <c r="J224" s="11" t="s">
        <v>25</v>
      </c>
      <c r="K224" s="11" t="s">
        <v>229</v>
      </c>
      <c r="L224" s="12">
        <v>-0.95</v>
      </c>
      <c r="M224" s="11" t="s">
        <v>23</v>
      </c>
      <c r="N224" s="11" t="s">
        <v>230</v>
      </c>
      <c r="O224" s="11" t="s">
        <v>25</v>
      </c>
      <c r="P224" s="11" t="s">
        <v>25</v>
      </c>
      <c r="Q224" s="37">
        <v>3.7</v>
      </c>
      <c r="R224" s="11" t="s">
        <v>231</v>
      </c>
      <c r="S224" s="13">
        <f t="shared" si="3"/>
        <v>-0.95</v>
      </c>
    </row>
    <row r="225" spans="1:19">
      <c r="A225" s="14" t="s">
        <v>2121</v>
      </c>
      <c r="B225" s="11" t="s">
        <v>233</v>
      </c>
      <c r="C225" s="11" t="s">
        <v>227</v>
      </c>
      <c r="D225" s="11" t="s">
        <v>25</v>
      </c>
      <c r="E225" s="11" t="s">
        <v>25</v>
      </c>
      <c r="F225">
        <v>1.17E-2</v>
      </c>
      <c r="G225">
        <v>5.33</v>
      </c>
      <c r="H225" s="12">
        <v>21.1</v>
      </c>
      <c r="I225" s="11" t="s">
        <v>228</v>
      </c>
      <c r="J225" s="11" t="s">
        <v>25</v>
      </c>
      <c r="K225" s="11" t="s">
        <v>229</v>
      </c>
      <c r="L225" s="12">
        <v>-0.93</v>
      </c>
      <c r="M225" s="11" t="s">
        <v>23</v>
      </c>
      <c r="N225" s="11" t="s">
        <v>230</v>
      </c>
      <c r="O225" s="11" t="s">
        <v>25</v>
      </c>
      <c r="P225" s="11" t="s">
        <v>25</v>
      </c>
      <c r="Q225" s="37">
        <v>3.57</v>
      </c>
      <c r="R225" s="11" t="s">
        <v>231</v>
      </c>
      <c r="S225" s="13">
        <f t="shared" si="3"/>
        <v>-0.93</v>
      </c>
    </row>
    <row r="226" spans="1:19">
      <c r="A226" s="14" t="s">
        <v>2121</v>
      </c>
      <c r="B226" s="11" t="s">
        <v>234</v>
      </c>
      <c r="C226" s="11" t="s">
        <v>227</v>
      </c>
      <c r="D226" s="11" t="s">
        <v>25</v>
      </c>
      <c r="E226" s="11" t="s">
        <v>25</v>
      </c>
      <c r="F226">
        <v>1.17E-2</v>
      </c>
      <c r="G226">
        <v>5.33</v>
      </c>
      <c r="H226" s="12">
        <v>26.2</v>
      </c>
      <c r="I226" s="11" t="s">
        <v>228</v>
      </c>
      <c r="J226" s="11" t="s">
        <v>25</v>
      </c>
      <c r="K226" s="11" t="s">
        <v>229</v>
      </c>
      <c r="L226" s="12">
        <v>-1.02</v>
      </c>
      <c r="M226" s="11" t="s">
        <v>23</v>
      </c>
      <c r="N226" s="11" t="s">
        <v>230</v>
      </c>
      <c r="O226" s="11" t="s">
        <v>25</v>
      </c>
      <c r="P226" s="11" t="s">
        <v>25</v>
      </c>
      <c r="Q226" s="37">
        <v>4.08</v>
      </c>
      <c r="R226" s="11" t="s">
        <v>231</v>
      </c>
      <c r="S226" s="13">
        <f t="shared" si="3"/>
        <v>-1.02</v>
      </c>
    </row>
    <row r="227" spans="1:19">
      <c r="A227" s="14" t="s">
        <v>2121</v>
      </c>
      <c r="B227" s="11" t="s">
        <v>235</v>
      </c>
      <c r="C227" s="11" t="s">
        <v>227</v>
      </c>
      <c r="D227" s="11" t="s">
        <v>25</v>
      </c>
      <c r="E227" s="11" t="s">
        <v>25</v>
      </c>
      <c r="F227">
        <v>1.17E-2</v>
      </c>
      <c r="G227">
        <v>5.33</v>
      </c>
      <c r="H227" s="12">
        <v>32.1</v>
      </c>
      <c r="I227" s="11" t="s">
        <v>228</v>
      </c>
      <c r="J227" s="11" t="s">
        <v>25</v>
      </c>
      <c r="K227" s="11" t="s">
        <v>229</v>
      </c>
      <c r="L227" s="12">
        <v>-1.0733333333333333</v>
      </c>
      <c r="M227" s="11" t="s">
        <v>23</v>
      </c>
      <c r="N227" s="11" t="s">
        <v>230</v>
      </c>
      <c r="O227" s="11" t="s">
        <v>25</v>
      </c>
      <c r="P227" s="11" t="s">
        <v>25</v>
      </c>
      <c r="Q227" s="37">
        <v>3.35</v>
      </c>
      <c r="R227" s="11" t="s">
        <v>231</v>
      </c>
      <c r="S227" s="13">
        <f t="shared" si="3"/>
        <v>-1.0733333333333333</v>
      </c>
    </row>
    <row r="228" spans="1:19">
      <c r="A228" s="14" t="s">
        <v>2121</v>
      </c>
      <c r="B228" s="11" t="s">
        <v>236</v>
      </c>
      <c r="C228" s="11" t="s">
        <v>227</v>
      </c>
      <c r="D228" s="11" t="s">
        <v>25</v>
      </c>
      <c r="E228" s="11" t="s">
        <v>25</v>
      </c>
      <c r="F228">
        <v>1.17E-2</v>
      </c>
      <c r="G228">
        <v>5.33</v>
      </c>
      <c r="H228" s="12">
        <v>40</v>
      </c>
      <c r="I228" s="11" t="s">
        <v>228</v>
      </c>
      <c r="J228" s="11" t="s">
        <v>25</v>
      </c>
      <c r="K228" s="11" t="s">
        <v>229</v>
      </c>
      <c r="L228" s="12">
        <v>-1.0649999999999999</v>
      </c>
      <c r="M228" s="11" t="s">
        <v>23</v>
      </c>
      <c r="N228" s="11" t="s">
        <v>230</v>
      </c>
      <c r="O228" s="11" t="s">
        <v>25</v>
      </c>
      <c r="P228" s="11" t="s">
        <v>25</v>
      </c>
      <c r="Q228" s="37">
        <v>3.6</v>
      </c>
      <c r="R228" s="11" t="s">
        <v>231</v>
      </c>
      <c r="S228" s="13">
        <f t="shared" si="3"/>
        <v>-1.0649999999999999</v>
      </c>
    </row>
    <row r="229" spans="1:19">
      <c r="A229" s="14" t="s">
        <v>2121</v>
      </c>
      <c r="B229" s="11" t="s">
        <v>237</v>
      </c>
      <c r="C229" s="11" t="s">
        <v>227</v>
      </c>
      <c r="D229" s="11" t="s">
        <v>25</v>
      </c>
      <c r="E229" s="11" t="s">
        <v>25</v>
      </c>
      <c r="F229">
        <v>1.17E-2</v>
      </c>
      <c r="G229">
        <v>5.33</v>
      </c>
      <c r="H229" s="12">
        <v>43.3</v>
      </c>
      <c r="I229" s="11" t="s">
        <v>228</v>
      </c>
      <c r="J229" s="11" t="s">
        <v>25</v>
      </c>
      <c r="K229" s="11" t="s">
        <v>229</v>
      </c>
      <c r="L229" s="12">
        <v>-1.1399999999999999</v>
      </c>
      <c r="M229" s="11" t="s">
        <v>23</v>
      </c>
      <c r="N229" s="11" t="s">
        <v>230</v>
      </c>
      <c r="O229" s="11" t="s">
        <v>25</v>
      </c>
      <c r="P229" s="11" t="s">
        <v>25</v>
      </c>
      <c r="Q229" s="37">
        <v>3.42</v>
      </c>
      <c r="R229" s="11" t="s">
        <v>231</v>
      </c>
      <c r="S229" s="13">
        <f t="shared" si="3"/>
        <v>-1.1399999999999999</v>
      </c>
    </row>
    <row r="230" spans="1:19">
      <c r="A230" s="14" t="s">
        <v>2121</v>
      </c>
      <c r="B230" s="11" t="s">
        <v>238</v>
      </c>
      <c r="C230" s="11" t="s">
        <v>227</v>
      </c>
      <c r="D230" s="11" t="s">
        <v>25</v>
      </c>
      <c r="E230" s="11" t="s">
        <v>25</v>
      </c>
      <c r="F230">
        <v>1.17E-2</v>
      </c>
      <c r="G230">
        <v>5.33</v>
      </c>
      <c r="H230" s="12">
        <v>52.9</v>
      </c>
      <c r="I230" s="11" t="s">
        <v>228</v>
      </c>
      <c r="J230" s="11" t="s">
        <v>25</v>
      </c>
      <c r="K230" s="11" t="s">
        <v>229</v>
      </c>
      <c r="L230" s="12">
        <v>-1.02</v>
      </c>
      <c r="M230" s="11" t="s">
        <v>23</v>
      </c>
      <c r="N230" s="11" t="s">
        <v>230</v>
      </c>
      <c r="O230" s="11" t="s">
        <v>25</v>
      </c>
      <c r="P230" s="11" t="s">
        <v>25</v>
      </c>
      <c r="Q230" s="37">
        <v>4.24</v>
      </c>
      <c r="R230" s="11" t="s">
        <v>231</v>
      </c>
      <c r="S230" s="13">
        <f t="shared" si="3"/>
        <v>-1.02</v>
      </c>
    </row>
    <row r="231" spans="1:19">
      <c r="A231" s="14" t="s">
        <v>2121</v>
      </c>
      <c r="B231" s="11" t="s">
        <v>239</v>
      </c>
      <c r="C231" s="11" t="s">
        <v>227</v>
      </c>
      <c r="D231" s="11" t="s">
        <v>25</v>
      </c>
      <c r="E231" s="11" t="s">
        <v>25</v>
      </c>
      <c r="F231">
        <v>1.17E-2</v>
      </c>
      <c r="G231">
        <v>5.33</v>
      </c>
      <c r="H231" s="12">
        <v>58.9</v>
      </c>
      <c r="I231" s="11" t="s">
        <v>228</v>
      </c>
      <c r="J231" s="11" t="s">
        <v>25</v>
      </c>
      <c r="K231" s="11" t="s">
        <v>229</v>
      </c>
      <c r="L231" s="12">
        <v>-1.135</v>
      </c>
      <c r="M231" s="11" t="s">
        <v>23</v>
      </c>
      <c r="N231" s="11" t="s">
        <v>230</v>
      </c>
      <c r="O231" s="11" t="s">
        <v>25</v>
      </c>
      <c r="P231" s="11" t="s">
        <v>25</v>
      </c>
      <c r="Q231" s="37">
        <v>4.2699999999999996</v>
      </c>
      <c r="R231" s="11" t="s">
        <v>231</v>
      </c>
      <c r="S231" s="13">
        <f t="shared" si="3"/>
        <v>-1.135</v>
      </c>
    </row>
    <row r="232" spans="1:19">
      <c r="A232" s="14" t="s">
        <v>2121</v>
      </c>
      <c r="B232" s="11" t="s">
        <v>240</v>
      </c>
      <c r="C232" s="11" t="s">
        <v>227</v>
      </c>
      <c r="D232" s="11" t="s">
        <v>25</v>
      </c>
      <c r="E232" s="11" t="s">
        <v>25</v>
      </c>
      <c r="F232">
        <v>1.17E-2</v>
      </c>
      <c r="G232">
        <v>5.33</v>
      </c>
      <c r="H232" s="12">
        <v>62.2</v>
      </c>
      <c r="I232" s="11" t="s">
        <v>228</v>
      </c>
      <c r="J232" s="11" t="s">
        <v>25</v>
      </c>
      <c r="K232" s="11" t="s">
        <v>229</v>
      </c>
      <c r="L232" s="12">
        <v>-1</v>
      </c>
      <c r="M232" s="11" t="s">
        <v>23</v>
      </c>
      <c r="N232" s="11" t="s">
        <v>230</v>
      </c>
      <c r="O232" s="11" t="s">
        <v>25</v>
      </c>
      <c r="P232" s="11" t="s">
        <v>25</v>
      </c>
      <c r="Q232" s="37">
        <v>4.3</v>
      </c>
      <c r="R232" s="11" t="s">
        <v>231</v>
      </c>
      <c r="S232" s="13">
        <f t="shared" si="3"/>
        <v>-1</v>
      </c>
    </row>
    <row r="233" spans="1:19">
      <c r="A233" s="14" t="s">
        <v>2121</v>
      </c>
      <c r="B233" s="11" t="s">
        <v>241</v>
      </c>
      <c r="C233" s="11" t="s">
        <v>227</v>
      </c>
      <c r="D233" s="11" t="s">
        <v>25</v>
      </c>
      <c r="E233" s="11" t="s">
        <v>25</v>
      </c>
      <c r="F233">
        <v>1.17E-2</v>
      </c>
      <c r="G233">
        <v>5.33</v>
      </c>
      <c r="H233" s="12">
        <v>66.099999999999994</v>
      </c>
      <c r="I233" s="11" t="s">
        <v>228</v>
      </c>
      <c r="J233" s="11" t="s">
        <v>25</v>
      </c>
      <c r="K233" s="11" t="s">
        <v>229</v>
      </c>
      <c r="L233" s="12">
        <v>-1.17</v>
      </c>
      <c r="M233" s="11" t="s">
        <v>23</v>
      </c>
      <c r="N233" s="11" t="s">
        <v>230</v>
      </c>
      <c r="O233" s="11" t="s">
        <v>25</v>
      </c>
      <c r="P233" s="11" t="s">
        <v>25</v>
      </c>
      <c r="Q233" s="37">
        <v>4.1900000000000004</v>
      </c>
      <c r="R233" s="11" t="s">
        <v>231</v>
      </c>
      <c r="S233" s="13">
        <f t="shared" si="3"/>
        <v>-1.17</v>
      </c>
    </row>
    <row r="234" spans="1:19">
      <c r="A234" s="14" t="s">
        <v>2121</v>
      </c>
      <c r="B234" s="11" t="s">
        <v>242</v>
      </c>
      <c r="C234" s="11" t="s">
        <v>227</v>
      </c>
      <c r="D234" s="11" t="s">
        <v>25</v>
      </c>
      <c r="E234" s="11" t="s">
        <v>25</v>
      </c>
      <c r="F234">
        <v>1.17E-2</v>
      </c>
      <c r="G234">
        <v>5.33</v>
      </c>
      <c r="H234" s="12">
        <v>70</v>
      </c>
      <c r="I234" s="11" t="s">
        <v>228</v>
      </c>
      <c r="J234" s="11" t="s">
        <v>25</v>
      </c>
      <c r="K234" s="11" t="s">
        <v>229</v>
      </c>
      <c r="L234" s="12">
        <v>-1.1200000000000001</v>
      </c>
      <c r="M234" s="11" t="s">
        <v>23</v>
      </c>
      <c r="N234" s="11" t="s">
        <v>230</v>
      </c>
      <c r="O234" s="11" t="s">
        <v>25</v>
      </c>
      <c r="P234" s="11" t="s">
        <v>25</v>
      </c>
      <c r="Q234" s="37">
        <v>3.75</v>
      </c>
      <c r="R234" s="11" t="s">
        <v>231</v>
      </c>
      <c r="S234" s="13">
        <f t="shared" si="3"/>
        <v>-1.1200000000000001</v>
      </c>
    </row>
    <row r="235" spans="1:19">
      <c r="A235" s="14" t="s">
        <v>2121</v>
      </c>
      <c r="B235" s="11" t="s">
        <v>243</v>
      </c>
      <c r="C235" s="11" t="s">
        <v>227</v>
      </c>
      <c r="D235" s="11" t="s">
        <v>25</v>
      </c>
      <c r="E235" s="11" t="s">
        <v>25</v>
      </c>
      <c r="F235">
        <v>1.17E-2</v>
      </c>
      <c r="G235">
        <v>5.33</v>
      </c>
      <c r="H235" s="12">
        <v>80.25</v>
      </c>
      <c r="I235" s="11" t="s">
        <v>228</v>
      </c>
      <c r="J235" s="11" t="s">
        <v>25</v>
      </c>
      <c r="K235" s="11" t="s">
        <v>229</v>
      </c>
      <c r="L235" s="12">
        <v>-1.03</v>
      </c>
      <c r="M235" s="11" t="s">
        <v>23</v>
      </c>
      <c r="N235" s="11" t="s">
        <v>230</v>
      </c>
      <c r="O235" s="11" t="s">
        <v>25</v>
      </c>
      <c r="P235" s="11" t="s">
        <v>25</v>
      </c>
      <c r="Q235" s="37">
        <v>3.7</v>
      </c>
      <c r="R235" s="11" t="s">
        <v>231</v>
      </c>
      <c r="S235" s="13">
        <f t="shared" si="3"/>
        <v>-1.03</v>
      </c>
    </row>
    <row r="236" spans="1:19">
      <c r="A236" s="14" t="s">
        <v>2121</v>
      </c>
      <c r="B236" s="11" t="s">
        <v>244</v>
      </c>
      <c r="C236" s="11" t="s">
        <v>227</v>
      </c>
      <c r="D236" s="11" t="s">
        <v>25</v>
      </c>
      <c r="E236" s="11" t="s">
        <v>25</v>
      </c>
      <c r="F236">
        <v>1.17E-2</v>
      </c>
      <c r="G236">
        <v>5.33</v>
      </c>
      <c r="H236" s="12">
        <v>86</v>
      </c>
      <c r="I236" s="11" t="s">
        <v>228</v>
      </c>
      <c r="J236" s="11" t="s">
        <v>25</v>
      </c>
      <c r="K236" s="11" t="s">
        <v>229</v>
      </c>
      <c r="L236" s="12">
        <v>-1.1399999999999999</v>
      </c>
      <c r="M236" s="11" t="s">
        <v>23</v>
      </c>
      <c r="N236" s="11" t="s">
        <v>230</v>
      </c>
      <c r="O236" s="11" t="s">
        <v>25</v>
      </c>
      <c r="P236" s="11" t="s">
        <v>25</v>
      </c>
      <c r="Q236" s="37">
        <v>3.3</v>
      </c>
      <c r="R236" s="11" t="s">
        <v>231</v>
      </c>
      <c r="S236" s="13">
        <f t="shared" si="3"/>
        <v>-1.1399999999999999</v>
      </c>
    </row>
    <row r="237" spans="1:19">
      <c r="A237" s="14" t="s">
        <v>2121</v>
      </c>
      <c r="B237" s="11" t="s">
        <v>245</v>
      </c>
      <c r="C237" s="11" t="s">
        <v>227</v>
      </c>
      <c r="D237" s="11" t="s">
        <v>25</v>
      </c>
      <c r="E237" s="11" t="s">
        <v>25</v>
      </c>
      <c r="F237">
        <v>1.17E-2</v>
      </c>
      <c r="G237">
        <v>5.33</v>
      </c>
      <c r="H237" s="12">
        <v>95.65</v>
      </c>
      <c r="I237" s="11" t="s">
        <v>228</v>
      </c>
      <c r="J237" s="11" t="s">
        <v>25</v>
      </c>
      <c r="K237" s="11" t="s">
        <v>229</v>
      </c>
      <c r="L237" s="12">
        <v>-1.1200000000000001</v>
      </c>
      <c r="M237" s="11" t="s">
        <v>23</v>
      </c>
      <c r="N237" s="11" t="s">
        <v>230</v>
      </c>
      <c r="O237" s="11" t="s">
        <v>25</v>
      </c>
      <c r="P237" s="11" t="s">
        <v>25</v>
      </c>
      <c r="Q237" s="37">
        <v>4.18</v>
      </c>
      <c r="R237" s="11" t="s">
        <v>231</v>
      </c>
      <c r="S237" s="13">
        <f t="shared" si="3"/>
        <v>-1.1200000000000001</v>
      </c>
    </row>
    <row r="238" spans="1:19">
      <c r="A238" s="14" t="s">
        <v>2121</v>
      </c>
      <c r="B238" s="11" t="s">
        <v>246</v>
      </c>
      <c r="C238" s="11" t="s">
        <v>227</v>
      </c>
      <c r="D238" s="11" t="s">
        <v>25</v>
      </c>
      <c r="E238" s="11" t="s">
        <v>25</v>
      </c>
      <c r="F238">
        <v>1.17E-2</v>
      </c>
      <c r="G238">
        <v>5.33</v>
      </c>
      <c r="H238" s="12">
        <v>107</v>
      </c>
      <c r="I238" s="11" t="s">
        <v>228</v>
      </c>
      <c r="J238" s="11" t="s">
        <v>25</v>
      </c>
      <c r="K238" s="11" t="s">
        <v>229</v>
      </c>
      <c r="L238" s="12">
        <v>-1.0533333333333335</v>
      </c>
      <c r="M238" s="11" t="s">
        <v>23</v>
      </c>
      <c r="N238" s="11" t="s">
        <v>230</v>
      </c>
      <c r="O238" s="11" t="s">
        <v>25</v>
      </c>
      <c r="P238" s="11" t="s">
        <v>25</v>
      </c>
      <c r="Q238" s="37">
        <v>4.22</v>
      </c>
      <c r="R238" s="11" t="s">
        <v>231</v>
      </c>
      <c r="S238" s="13">
        <f t="shared" si="3"/>
        <v>-1.0533333333333335</v>
      </c>
    </row>
    <row r="239" spans="1:19">
      <c r="A239" s="14" t="s">
        <v>2121</v>
      </c>
      <c r="B239" s="11" t="s">
        <v>247</v>
      </c>
      <c r="C239" s="11" t="s">
        <v>227</v>
      </c>
      <c r="D239" s="11" t="s">
        <v>25</v>
      </c>
      <c r="E239" s="11" t="s">
        <v>25</v>
      </c>
      <c r="F239">
        <v>1.17E-2</v>
      </c>
      <c r="G239">
        <v>5.33</v>
      </c>
      <c r="H239" s="12">
        <v>111.9</v>
      </c>
      <c r="I239" s="11" t="s">
        <v>228</v>
      </c>
      <c r="J239" s="11" t="s">
        <v>25</v>
      </c>
      <c r="K239" s="11" t="s">
        <v>229</v>
      </c>
      <c r="L239" s="12">
        <v>-1.18</v>
      </c>
      <c r="M239" s="11" t="s">
        <v>23</v>
      </c>
      <c r="N239" s="11" t="s">
        <v>230</v>
      </c>
      <c r="O239" s="11" t="s">
        <v>25</v>
      </c>
      <c r="P239" s="11" t="s">
        <v>25</v>
      </c>
      <c r="Q239" s="37">
        <v>3.98</v>
      </c>
      <c r="R239" s="11" t="s">
        <v>231</v>
      </c>
      <c r="S239" s="13">
        <f t="shared" si="3"/>
        <v>-1.18</v>
      </c>
    </row>
    <row r="240" spans="1:19">
      <c r="A240" s="14" t="s">
        <v>2121</v>
      </c>
      <c r="B240" s="11" t="s">
        <v>248</v>
      </c>
      <c r="C240" s="11" t="s">
        <v>227</v>
      </c>
      <c r="D240" s="11" t="s">
        <v>25</v>
      </c>
      <c r="E240" s="11" t="s">
        <v>25</v>
      </c>
      <c r="F240">
        <v>1.17E-2</v>
      </c>
      <c r="G240">
        <v>5.33</v>
      </c>
      <c r="H240" s="12">
        <v>122.6</v>
      </c>
      <c r="I240" s="11" t="s">
        <v>228</v>
      </c>
      <c r="J240" s="11" t="s">
        <v>25</v>
      </c>
      <c r="K240" s="11" t="s">
        <v>229</v>
      </c>
      <c r="L240" s="12">
        <v>-1.1000000000000001</v>
      </c>
      <c r="M240" s="11" t="s">
        <v>23</v>
      </c>
      <c r="N240" s="11" t="s">
        <v>230</v>
      </c>
      <c r="O240" s="11" t="s">
        <v>25</v>
      </c>
      <c r="P240" s="11" t="s">
        <v>25</v>
      </c>
      <c r="Q240" s="37">
        <v>3.0979999999999999</v>
      </c>
      <c r="R240" s="11" t="s">
        <v>231</v>
      </c>
      <c r="S240" s="13">
        <f t="shared" si="3"/>
        <v>-1.1000000000000001</v>
      </c>
    </row>
    <row r="241" spans="1:19">
      <c r="A241" s="14" t="s">
        <v>2121</v>
      </c>
      <c r="B241" s="11" t="s">
        <v>249</v>
      </c>
      <c r="C241" s="11" t="s">
        <v>227</v>
      </c>
      <c r="D241" s="11" t="s">
        <v>25</v>
      </c>
      <c r="E241" s="11" t="s">
        <v>25</v>
      </c>
      <c r="F241">
        <v>1.17E-2</v>
      </c>
      <c r="G241">
        <v>5.33</v>
      </c>
      <c r="H241" s="12">
        <v>130.30000000000001</v>
      </c>
      <c r="I241" s="11" t="s">
        <v>228</v>
      </c>
      <c r="J241" s="11" t="s">
        <v>25</v>
      </c>
      <c r="K241" s="11" t="s">
        <v>229</v>
      </c>
      <c r="L241" s="12">
        <v>-0.99</v>
      </c>
      <c r="M241" s="11" t="s">
        <v>23</v>
      </c>
      <c r="N241" s="11" t="s">
        <v>230</v>
      </c>
      <c r="O241" s="11" t="s">
        <v>25</v>
      </c>
      <c r="P241" s="11" t="s">
        <v>25</v>
      </c>
      <c r="Q241" s="37">
        <v>3.82</v>
      </c>
      <c r="R241" s="11" t="s">
        <v>231</v>
      </c>
      <c r="S241" s="13">
        <f t="shared" si="3"/>
        <v>-0.99</v>
      </c>
    </row>
    <row r="242" spans="1:19">
      <c r="A242" s="14" t="s">
        <v>2121</v>
      </c>
      <c r="B242" s="11" t="s">
        <v>250</v>
      </c>
      <c r="C242" s="11" t="s">
        <v>227</v>
      </c>
      <c r="D242" s="11" t="s">
        <v>25</v>
      </c>
      <c r="E242" s="11" t="s">
        <v>25</v>
      </c>
      <c r="F242">
        <v>1.17E-2</v>
      </c>
      <c r="G242">
        <v>5.33</v>
      </c>
      <c r="H242" s="12">
        <v>134.9</v>
      </c>
      <c r="I242" s="11" t="s">
        <v>228</v>
      </c>
      <c r="J242" s="11" t="s">
        <v>25</v>
      </c>
      <c r="K242" s="11" t="s">
        <v>229</v>
      </c>
      <c r="L242" s="12">
        <v>-1.1100000000000001</v>
      </c>
      <c r="M242" s="11" t="s">
        <v>23</v>
      </c>
      <c r="N242" s="11" t="s">
        <v>230</v>
      </c>
      <c r="O242" s="11" t="s">
        <v>25</v>
      </c>
      <c r="P242" s="11" t="s">
        <v>25</v>
      </c>
      <c r="Q242" s="37">
        <v>3.758</v>
      </c>
      <c r="R242" s="11" t="s">
        <v>231</v>
      </c>
      <c r="S242" s="13">
        <f t="shared" si="3"/>
        <v>-1.1100000000000001</v>
      </c>
    </row>
    <row r="243" spans="1:19">
      <c r="A243" s="14" t="s">
        <v>2121</v>
      </c>
      <c r="B243" s="11" t="s">
        <v>251</v>
      </c>
      <c r="C243" s="11" t="s">
        <v>227</v>
      </c>
      <c r="D243" s="11" t="s">
        <v>25</v>
      </c>
      <c r="E243" s="11" t="s">
        <v>25</v>
      </c>
      <c r="F243">
        <v>1.17E-2</v>
      </c>
      <c r="G243">
        <v>5.33</v>
      </c>
      <c r="H243" s="12">
        <v>141.85</v>
      </c>
      <c r="I243" s="11" t="s">
        <v>228</v>
      </c>
      <c r="J243" s="11" t="s">
        <v>25</v>
      </c>
      <c r="K243" s="11" t="s">
        <v>229</v>
      </c>
      <c r="L243" s="12">
        <v>-1.0249999999999999</v>
      </c>
      <c r="M243" s="11" t="s">
        <v>23</v>
      </c>
      <c r="N243" s="11" t="s">
        <v>230</v>
      </c>
      <c r="O243" s="11" t="s">
        <v>25</v>
      </c>
      <c r="P243" s="11" t="s">
        <v>25</v>
      </c>
      <c r="Q243" s="37">
        <v>3.55</v>
      </c>
      <c r="R243" s="11" t="s">
        <v>231</v>
      </c>
      <c r="S243" s="13">
        <f t="shared" si="3"/>
        <v>-1.0249999999999999</v>
      </c>
    </row>
    <row r="244" spans="1:19">
      <c r="A244" s="14" t="s">
        <v>2121</v>
      </c>
      <c r="B244" s="11" t="s">
        <v>252</v>
      </c>
      <c r="C244" s="11" t="s">
        <v>227</v>
      </c>
      <c r="D244" s="11" t="s">
        <v>25</v>
      </c>
      <c r="E244" s="11" t="s">
        <v>25</v>
      </c>
      <c r="F244">
        <v>1.17E-2</v>
      </c>
      <c r="G244">
        <v>5.33</v>
      </c>
      <c r="H244" s="12">
        <v>149.05000000000001</v>
      </c>
      <c r="I244" s="11" t="s">
        <v>228</v>
      </c>
      <c r="J244" s="11" t="s">
        <v>25</v>
      </c>
      <c r="K244" s="11" t="s">
        <v>229</v>
      </c>
      <c r="L244" s="12">
        <v>-1.1800000000000002</v>
      </c>
      <c r="M244" s="11" t="s">
        <v>23</v>
      </c>
      <c r="N244" s="11" t="s">
        <v>230</v>
      </c>
      <c r="O244" s="11" t="s">
        <v>25</v>
      </c>
      <c r="P244" s="11" t="s">
        <v>25</v>
      </c>
      <c r="Q244" s="37">
        <v>4.3</v>
      </c>
      <c r="R244" s="11" t="s">
        <v>231</v>
      </c>
      <c r="S244" s="13">
        <f t="shared" si="3"/>
        <v>-1.1800000000000002</v>
      </c>
    </row>
    <row r="245" spans="1:19">
      <c r="A245" s="14" t="s">
        <v>2121</v>
      </c>
      <c r="B245" s="11" t="s">
        <v>253</v>
      </c>
      <c r="C245" s="11" t="s">
        <v>227</v>
      </c>
      <c r="D245" s="11" t="s">
        <v>25</v>
      </c>
      <c r="E245" s="11" t="s">
        <v>25</v>
      </c>
      <c r="F245">
        <v>1.17E-2</v>
      </c>
      <c r="G245">
        <v>5.33</v>
      </c>
      <c r="H245" s="12">
        <v>154.19999999999999</v>
      </c>
      <c r="I245" s="11" t="s">
        <v>228</v>
      </c>
      <c r="J245" s="11" t="s">
        <v>25</v>
      </c>
      <c r="K245" s="11" t="s">
        <v>229</v>
      </c>
      <c r="L245" s="12">
        <v>-1.165</v>
      </c>
      <c r="M245" s="11" t="s">
        <v>23</v>
      </c>
      <c r="N245" s="11" t="s">
        <v>230</v>
      </c>
      <c r="O245" s="11" t="s">
        <v>25</v>
      </c>
      <c r="P245" s="11" t="s">
        <v>25</v>
      </c>
      <c r="Q245" s="37">
        <v>4.3890000000000002</v>
      </c>
      <c r="R245" s="11" t="s">
        <v>231</v>
      </c>
      <c r="S245" s="13">
        <f t="shared" si="3"/>
        <v>-1.165</v>
      </c>
    </row>
    <row r="246" spans="1:19">
      <c r="A246" s="14" t="s">
        <v>2121</v>
      </c>
      <c r="B246" s="11" t="s">
        <v>254</v>
      </c>
      <c r="C246" s="11" t="s">
        <v>227</v>
      </c>
      <c r="D246" s="11" t="s">
        <v>25</v>
      </c>
      <c r="E246" s="11" t="s">
        <v>25</v>
      </c>
      <c r="F246">
        <v>1.17E-2</v>
      </c>
      <c r="G246">
        <v>5.33</v>
      </c>
      <c r="H246" s="12">
        <v>160.9</v>
      </c>
      <c r="I246" s="11" t="s">
        <v>228</v>
      </c>
      <c r="J246" s="11" t="s">
        <v>25</v>
      </c>
      <c r="K246" s="11" t="s">
        <v>229</v>
      </c>
      <c r="L246" s="12">
        <v>-0.875</v>
      </c>
      <c r="M246" s="11" t="s">
        <v>23</v>
      </c>
      <c r="N246" s="11" t="s">
        <v>230</v>
      </c>
      <c r="O246" s="11" t="s">
        <v>25</v>
      </c>
      <c r="P246" s="11" t="s">
        <v>25</v>
      </c>
      <c r="Q246" s="37">
        <v>3.476</v>
      </c>
      <c r="R246" s="11" t="s">
        <v>231</v>
      </c>
      <c r="S246" s="13">
        <f t="shared" si="3"/>
        <v>-0.875</v>
      </c>
    </row>
    <row r="247" spans="1:19">
      <c r="A247" s="14" t="s">
        <v>2121</v>
      </c>
      <c r="B247" s="11" t="s">
        <v>255</v>
      </c>
      <c r="C247" s="11" t="s">
        <v>227</v>
      </c>
      <c r="D247" s="11" t="s">
        <v>25</v>
      </c>
      <c r="E247" s="11" t="s">
        <v>25</v>
      </c>
      <c r="F247">
        <v>1.17E-2</v>
      </c>
      <c r="G247">
        <v>5.33</v>
      </c>
      <c r="H247" s="12">
        <v>167.5</v>
      </c>
      <c r="I247" s="11" t="s">
        <v>228</v>
      </c>
      <c r="J247" s="11" t="s">
        <v>25</v>
      </c>
      <c r="K247" s="11" t="s">
        <v>229</v>
      </c>
      <c r="L247" s="12">
        <v>-1.0699999999999998</v>
      </c>
      <c r="M247" s="11" t="s">
        <v>23</v>
      </c>
      <c r="N247" s="11" t="s">
        <v>230</v>
      </c>
      <c r="O247" s="11" t="s">
        <v>25</v>
      </c>
      <c r="P247" s="11" t="s">
        <v>25</v>
      </c>
      <c r="Q247" s="37">
        <v>4.0359999999999996</v>
      </c>
      <c r="R247" s="11" t="s">
        <v>231</v>
      </c>
      <c r="S247" s="13">
        <f t="shared" si="3"/>
        <v>-1.0699999999999998</v>
      </c>
    </row>
    <row r="248" spans="1:19">
      <c r="A248" s="14" t="s">
        <v>2121</v>
      </c>
      <c r="B248" s="11" t="s">
        <v>256</v>
      </c>
      <c r="C248" s="11" t="s">
        <v>227</v>
      </c>
      <c r="D248" s="11" t="s">
        <v>25</v>
      </c>
      <c r="E248" s="11" t="s">
        <v>25</v>
      </c>
      <c r="F248">
        <v>1.17E-2</v>
      </c>
      <c r="G248">
        <v>5.33</v>
      </c>
      <c r="H248" s="12">
        <v>179.25</v>
      </c>
      <c r="I248" s="11" t="s">
        <v>228</v>
      </c>
      <c r="J248" s="11" t="s">
        <v>25</v>
      </c>
      <c r="K248" s="11" t="s">
        <v>229</v>
      </c>
      <c r="L248" s="12">
        <v>-1.0900000000000001</v>
      </c>
      <c r="M248" s="11" t="s">
        <v>23</v>
      </c>
      <c r="N248" s="11" t="s">
        <v>230</v>
      </c>
      <c r="O248" s="11" t="s">
        <v>25</v>
      </c>
      <c r="P248" s="11" t="s">
        <v>25</v>
      </c>
      <c r="Q248" s="37">
        <v>4.4320000000000004</v>
      </c>
      <c r="R248" s="11" t="s">
        <v>231</v>
      </c>
      <c r="S248" s="13">
        <f t="shared" si="3"/>
        <v>-1.0900000000000001</v>
      </c>
    </row>
    <row r="249" spans="1:19">
      <c r="A249" s="14" t="s">
        <v>2121</v>
      </c>
      <c r="B249" s="11" t="s">
        <v>257</v>
      </c>
      <c r="C249" s="11" t="s">
        <v>227</v>
      </c>
      <c r="D249" s="11" t="s">
        <v>25</v>
      </c>
      <c r="E249" s="11" t="s">
        <v>25</v>
      </c>
      <c r="F249">
        <v>1.17E-2</v>
      </c>
      <c r="G249">
        <v>5.33</v>
      </c>
      <c r="H249" s="12">
        <v>191.7</v>
      </c>
      <c r="I249" s="11" t="s">
        <v>228</v>
      </c>
      <c r="J249" s="11" t="s">
        <v>25</v>
      </c>
      <c r="K249" s="11" t="s">
        <v>229</v>
      </c>
      <c r="L249" s="12">
        <v>-1.2349999999999999</v>
      </c>
      <c r="M249" s="11" t="s">
        <v>23</v>
      </c>
      <c r="N249" s="11" t="s">
        <v>230</v>
      </c>
      <c r="O249" s="11" t="s">
        <v>25</v>
      </c>
      <c r="P249" s="11" t="s">
        <v>25</v>
      </c>
      <c r="Q249" s="37">
        <v>4.45</v>
      </c>
      <c r="R249" s="11" t="s">
        <v>231</v>
      </c>
      <c r="S249" s="13">
        <f t="shared" si="3"/>
        <v>-1.2349999999999999</v>
      </c>
    </row>
    <row r="250" spans="1:19">
      <c r="A250" s="14" t="s">
        <v>2121</v>
      </c>
      <c r="B250" s="11" t="s">
        <v>258</v>
      </c>
      <c r="C250" s="11" t="s">
        <v>227</v>
      </c>
      <c r="D250" s="11" t="s">
        <v>25</v>
      </c>
      <c r="E250" s="11" t="s">
        <v>25</v>
      </c>
      <c r="F250">
        <v>1.17E-2</v>
      </c>
      <c r="G250">
        <v>5.33</v>
      </c>
      <c r="H250" s="12">
        <v>220.3</v>
      </c>
      <c r="I250" s="11" t="s">
        <v>228</v>
      </c>
      <c r="J250" s="11" t="s">
        <v>25</v>
      </c>
      <c r="K250" s="11" t="s">
        <v>229</v>
      </c>
      <c r="L250" s="12">
        <v>-1.18</v>
      </c>
      <c r="M250" s="11" t="s">
        <v>23</v>
      </c>
      <c r="N250" s="11" t="s">
        <v>230</v>
      </c>
      <c r="O250" s="11" t="s">
        <v>25</v>
      </c>
      <c r="P250" s="11" t="s">
        <v>25</v>
      </c>
      <c r="Q250" s="37">
        <v>4.17</v>
      </c>
      <c r="R250" s="11" t="s">
        <v>231</v>
      </c>
      <c r="S250" s="13">
        <f t="shared" si="3"/>
        <v>-1.18</v>
      </c>
    </row>
    <row r="251" spans="1:19">
      <c r="A251" s="14" t="s">
        <v>2121</v>
      </c>
      <c r="B251" s="11" t="s">
        <v>259</v>
      </c>
      <c r="C251" s="11" t="s">
        <v>227</v>
      </c>
      <c r="D251" s="11" t="s">
        <v>25</v>
      </c>
      <c r="E251" s="11" t="s">
        <v>25</v>
      </c>
      <c r="F251">
        <v>1.17E-2</v>
      </c>
      <c r="G251">
        <v>5.33</v>
      </c>
      <c r="H251" s="12">
        <v>227.2</v>
      </c>
      <c r="I251" s="11" t="s">
        <v>228</v>
      </c>
      <c r="J251" s="11" t="s">
        <v>25</v>
      </c>
      <c r="K251" s="11" t="s">
        <v>229</v>
      </c>
      <c r="L251" s="12">
        <v>-1.1399999999999999</v>
      </c>
      <c r="M251" s="11" t="s">
        <v>23</v>
      </c>
      <c r="N251" s="11" t="s">
        <v>230</v>
      </c>
      <c r="O251" s="11" t="s">
        <v>25</v>
      </c>
      <c r="P251" s="11" t="s">
        <v>25</v>
      </c>
      <c r="Q251" s="37">
        <v>4</v>
      </c>
      <c r="R251" s="11" t="s">
        <v>231</v>
      </c>
      <c r="S251" s="13">
        <f t="shared" si="3"/>
        <v>-1.1399999999999999</v>
      </c>
    </row>
    <row r="252" spans="1:19">
      <c r="A252" s="14" t="s">
        <v>2121</v>
      </c>
      <c r="B252" s="11" t="s">
        <v>260</v>
      </c>
      <c r="C252" s="11" t="s">
        <v>227</v>
      </c>
      <c r="D252" s="11" t="s">
        <v>25</v>
      </c>
      <c r="E252" s="11" t="s">
        <v>25</v>
      </c>
      <c r="F252">
        <v>1.17E-2</v>
      </c>
      <c r="G252">
        <v>5.33</v>
      </c>
      <c r="H252" s="12">
        <v>245.2</v>
      </c>
      <c r="I252" s="11" t="s">
        <v>228</v>
      </c>
      <c r="J252" s="11" t="s">
        <v>25</v>
      </c>
      <c r="K252" s="11" t="s">
        <v>229</v>
      </c>
      <c r="L252" s="12">
        <v>-1.21</v>
      </c>
      <c r="M252" s="11" t="s">
        <v>23</v>
      </c>
      <c r="N252" s="11" t="s">
        <v>230</v>
      </c>
      <c r="O252" s="11" t="s">
        <v>25</v>
      </c>
      <c r="P252" s="11" t="s">
        <v>25</v>
      </c>
      <c r="Q252" s="37">
        <v>4.2</v>
      </c>
      <c r="R252" s="11" t="s">
        <v>231</v>
      </c>
      <c r="S252" s="13">
        <f t="shared" si="3"/>
        <v>-1.21</v>
      </c>
    </row>
    <row r="253" spans="1:19">
      <c r="A253" s="14" t="s">
        <v>2121</v>
      </c>
      <c r="B253" s="11" t="s">
        <v>261</v>
      </c>
      <c r="C253" s="11" t="s">
        <v>227</v>
      </c>
      <c r="D253" s="11" t="s">
        <v>25</v>
      </c>
      <c r="E253" s="11" t="s">
        <v>25</v>
      </c>
      <c r="F253">
        <v>1.17E-2</v>
      </c>
      <c r="G253">
        <v>5.33</v>
      </c>
      <c r="H253" s="12">
        <v>272.14999999999998</v>
      </c>
      <c r="I253" s="11" t="s">
        <v>228</v>
      </c>
      <c r="J253" s="11" t="s">
        <v>25</v>
      </c>
      <c r="K253" s="11" t="s">
        <v>229</v>
      </c>
      <c r="L253" s="12">
        <v>-1.1150000000000002</v>
      </c>
      <c r="M253" s="11" t="s">
        <v>23</v>
      </c>
      <c r="N253" s="11" t="s">
        <v>230</v>
      </c>
      <c r="O253" s="11" t="s">
        <v>25</v>
      </c>
      <c r="P253" s="11" t="s">
        <v>25</v>
      </c>
      <c r="Q253" s="37">
        <v>3.97</v>
      </c>
      <c r="R253" s="11" t="s">
        <v>231</v>
      </c>
      <c r="S253" s="13">
        <f t="shared" si="3"/>
        <v>-1.1150000000000002</v>
      </c>
    </row>
    <row r="254" spans="1:19">
      <c r="A254" s="14" t="s">
        <v>2121</v>
      </c>
      <c r="B254" s="11" t="s">
        <v>262</v>
      </c>
      <c r="C254" s="11" t="s">
        <v>227</v>
      </c>
      <c r="D254" s="11" t="s">
        <v>25</v>
      </c>
      <c r="E254" s="11" t="s">
        <v>25</v>
      </c>
      <c r="F254">
        <v>1.17E-2</v>
      </c>
      <c r="G254">
        <v>5.33</v>
      </c>
      <c r="H254" s="12">
        <v>298.14999999999998</v>
      </c>
      <c r="I254" s="11" t="s">
        <v>228</v>
      </c>
      <c r="J254" s="11" t="s">
        <v>25</v>
      </c>
      <c r="K254" s="11" t="s">
        <v>229</v>
      </c>
      <c r="L254" s="12">
        <v>-1.06</v>
      </c>
      <c r="M254" s="11" t="s">
        <v>23</v>
      </c>
      <c r="N254" s="11" t="s">
        <v>230</v>
      </c>
      <c r="O254" s="11" t="s">
        <v>25</v>
      </c>
      <c r="P254" s="11" t="s">
        <v>25</v>
      </c>
      <c r="Q254" s="37">
        <v>3.95</v>
      </c>
      <c r="R254" s="11" t="s">
        <v>231</v>
      </c>
      <c r="S254" s="13">
        <f t="shared" si="3"/>
        <v>-1.06</v>
      </c>
    </row>
    <row r="255" spans="1:19">
      <c r="A255" s="14" t="s">
        <v>2121</v>
      </c>
      <c r="B255" s="11" t="s">
        <v>263</v>
      </c>
      <c r="C255" s="11" t="s">
        <v>227</v>
      </c>
      <c r="D255" s="11" t="s">
        <v>25</v>
      </c>
      <c r="E255" s="11" t="s">
        <v>25</v>
      </c>
      <c r="F255">
        <v>1.17E-2</v>
      </c>
      <c r="G255">
        <v>5.33</v>
      </c>
      <c r="H255" s="12">
        <v>309.05</v>
      </c>
      <c r="I255" s="11" t="s">
        <v>228</v>
      </c>
      <c r="J255" s="11" t="s">
        <v>25</v>
      </c>
      <c r="K255" s="11" t="s">
        <v>229</v>
      </c>
      <c r="L255" s="12">
        <v>-1.18</v>
      </c>
      <c r="M255" s="11" t="s">
        <v>23</v>
      </c>
      <c r="N255" s="11" t="s">
        <v>230</v>
      </c>
      <c r="O255" s="11" t="s">
        <v>25</v>
      </c>
      <c r="P255" s="11" t="s">
        <v>25</v>
      </c>
      <c r="Q255" s="37">
        <v>3.33</v>
      </c>
      <c r="R255" s="11" t="s">
        <v>231</v>
      </c>
      <c r="S255" s="13">
        <f t="shared" si="3"/>
        <v>-1.18</v>
      </c>
    </row>
    <row r="256" spans="1:19">
      <c r="A256" s="14" t="s">
        <v>2121</v>
      </c>
      <c r="B256" s="11" t="s">
        <v>264</v>
      </c>
      <c r="C256" s="11" t="s">
        <v>227</v>
      </c>
      <c r="D256" s="11" t="s">
        <v>25</v>
      </c>
      <c r="E256" s="11" t="s">
        <v>25</v>
      </c>
      <c r="F256">
        <v>1.17E-2</v>
      </c>
      <c r="G256">
        <v>5.33</v>
      </c>
      <c r="H256" s="12">
        <v>329.35</v>
      </c>
      <c r="I256" s="11" t="s">
        <v>228</v>
      </c>
      <c r="J256" s="11" t="s">
        <v>25</v>
      </c>
      <c r="K256" s="11" t="s">
        <v>229</v>
      </c>
      <c r="L256" s="12">
        <v>-1.23</v>
      </c>
      <c r="M256" s="11" t="s">
        <v>23</v>
      </c>
      <c r="N256" s="11" t="s">
        <v>230</v>
      </c>
      <c r="O256" s="11" t="s">
        <v>25</v>
      </c>
      <c r="P256" s="11" t="s">
        <v>25</v>
      </c>
      <c r="Q256" s="37">
        <v>4.0039999999999996</v>
      </c>
      <c r="R256" s="11" t="s">
        <v>231</v>
      </c>
      <c r="S256" s="13">
        <f t="shared" si="3"/>
        <v>-1.23</v>
      </c>
    </row>
    <row r="257" spans="1:19">
      <c r="A257" s="14" t="s">
        <v>2121</v>
      </c>
      <c r="B257" s="11" t="s">
        <v>265</v>
      </c>
      <c r="C257" s="11" t="s">
        <v>227</v>
      </c>
      <c r="D257" s="11" t="s">
        <v>25</v>
      </c>
      <c r="E257" s="11" t="s">
        <v>25</v>
      </c>
      <c r="F257">
        <v>1.17E-2</v>
      </c>
      <c r="G257">
        <v>5.33</v>
      </c>
      <c r="H257" s="12">
        <v>346.8</v>
      </c>
      <c r="I257" s="11" t="s">
        <v>228</v>
      </c>
      <c r="J257" s="11" t="s">
        <v>25</v>
      </c>
      <c r="K257" s="11" t="s">
        <v>229</v>
      </c>
      <c r="L257" s="12">
        <v>-1.2166666666666668</v>
      </c>
      <c r="M257" s="11" t="s">
        <v>23</v>
      </c>
      <c r="N257" s="11" t="s">
        <v>230</v>
      </c>
      <c r="O257" s="11" t="s">
        <v>25</v>
      </c>
      <c r="P257" s="11" t="s">
        <v>25</v>
      </c>
      <c r="Q257" s="37">
        <v>2.722</v>
      </c>
      <c r="R257" s="11" t="s">
        <v>231</v>
      </c>
      <c r="S257" s="13">
        <f t="shared" si="3"/>
        <v>-1.2166666666666668</v>
      </c>
    </row>
    <row r="258" spans="1:19">
      <c r="A258" s="14" t="s">
        <v>2121</v>
      </c>
      <c r="B258" s="11" t="s">
        <v>266</v>
      </c>
      <c r="C258" s="11" t="s">
        <v>227</v>
      </c>
      <c r="D258" s="11" t="s">
        <v>25</v>
      </c>
      <c r="E258" s="11" t="s">
        <v>25</v>
      </c>
      <c r="F258">
        <v>1.17E-2</v>
      </c>
      <c r="G258">
        <v>5.33</v>
      </c>
      <c r="H258" s="12">
        <v>378.3</v>
      </c>
      <c r="I258" s="11" t="s">
        <v>228</v>
      </c>
      <c r="J258" s="11" t="s">
        <v>25</v>
      </c>
      <c r="K258" s="11" t="s">
        <v>229</v>
      </c>
      <c r="L258" s="12">
        <v>-1.1200000000000001</v>
      </c>
      <c r="M258" s="11" t="s">
        <v>23</v>
      </c>
      <c r="N258" s="11" t="s">
        <v>230</v>
      </c>
      <c r="O258" s="11" t="s">
        <v>25</v>
      </c>
      <c r="P258" s="11" t="s">
        <v>25</v>
      </c>
      <c r="Q258" s="37">
        <v>3.24</v>
      </c>
      <c r="R258" s="11" t="s">
        <v>231</v>
      </c>
      <c r="S258" s="13">
        <f t="shared" si="3"/>
        <v>-1.1200000000000001</v>
      </c>
    </row>
    <row r="259" spans="1:19">
      <c r="A259" s="14" t="s">
        <v>2121</v>
      </c>
      <c r="B259" s="11" t="s">
        <v>267</v>
      </c>
      <c r="C259" s="11" t="s">
        <v>227</v>
      </c>
      <c r="D259" s="11" t="s">
        <v>25</v>
      </c>
      <c r="E259" s="11" t="s">
        <v>25</v>
      </c>
      <c r="F259">
        <v>1.17E-2</v>
      </c>
      <c r="G259">
        <v>5.33</v>
      </c>
      <c r="H259" s="12">
        <v>406.2</v>
      </c>
      <c r="I259" s="11" t="s">
        <v>228</v>
      </c>
      <c r="J259" s="11" t="s">
        <v>25</v>
      </c>
      <c r="K259" s="11" t="s">
        <v>229</v>
      </c>
      <c r="L259" s="12">
        <v>-1.07</v>
      </c>
      <c r="M259" s="11" t="s">
        <v>23</v>
      </c>
      <c r="N259" s="11" t="s">
        <v>230</v>
      </c>
      <c r="O259" s="11" t="s">
        <v>25</v>
      </c>
      <c r="P259" s="11" t="s">
        <v>25</v>
      </c>
      <c r="Q259" s="37">
        <v>4.3600000000000003</v>
      </c>
      <c r="R259" s="11" t="s">
        <v>231</v>
      </c>
      <c r="S259" s="13">
        <f t="shared" ref="S259:S322" si="4">IF(NOT(N259="SW"),L259-1.88,L259)</f>
        <v>-1.07</v>
      </c>
    </row>
    <row r="260" spans="1:19">
      <c r="A260" s="14" t="s">
        <v>2121</v>
      </c>
      <c r="B260" s="11" t="s">
        <v>268</v>
      </c>
      <c r="C260" s="11" t="s">
        <v>227</v>
      </c>
      <c r="D260" s="11" t="s">
        <v>25</v>
      </c>
      <c r="E260" s="11" t="s">
        <v>25</v>
      </c>
      <c r="F260">
        <v>1.17E-2</v>
      </c>
      <c r="G260">
        <v>5.33</v>
      </c>
      <c r="H260" s="12">
        <v>414.35</v>
      </c>
      <c r="I260" s="11" t="s">
        <v>228</v>
      </c>
      <c r="J260" s="11" t="s">
        <v>25</v>
      </c>
      <c r="K260" s="11" t="s">
        <v>229</v>
      </c>
      <c r="L260" s="12">
        <v>-1.22</v>
      </c>
      <c r="M260" s="11" t="s">
        <v>23</v>
      </c>
      <c r="N260" s="11" t="s">
        <v>230</v>
      </c>
      <c r="O260" s="11" t="s">
        <v>25</v>
      </c>
      <c r="P260" s="11" t="s">
        <v>25</v>
      </c>
      <c r="Q260" s="37">
        <v>4.43</v>
      </c>
      <c r="R260" s="11" t="s">
        <v>231</v>
      </c>
      <c r="S260" s="13">
        <f t="shared" si="4"/>
        <v>-1.22</v>
      </c>
    </row>
    <row r="261" spans="1:19">
      <c r="A261" s="14" t="s">
        <v>2121</v>
      </c>
      <c r="B261" s="11" t="s">
        <v>269</v>
      </c>
      <c r="C261" s="11" t="s">
        <v>227</v>
      </c>
      <c r="D261" s="11" t="s">
        <v>25</v>
      </c>
      <c r="E261" s="11" t="s">
        <v>25</v>
      </c>
      <c r="F261">
        <v>1.17E-2</v>
      </c>
      <c r="G261">
        <v>5.33</v>
      </c>
      <c r="H261" s="12">
        <v>444</v>
      </c>
      <c r="I261" s="11" t="s">
        <v>228</v>
      </c>
      <c r="J261" s="11" t="s">
        <v>25</v>
      </c>
      <c r="K261" s="11" t="s">
        <v>229</v>
      </c>
      <c r="L261" s="12">
        <v>-1.1399999999999999</v>
      </c>
      <c r="M261" s="11" t="s">
        <v>23</v>
      </c>
      <c r="N261" s="11" t="s">
        <v>230</v>
      </c>
      <c r="O261" s="11" t="s">
        <v>25</v>
      </c>
      <c r="P261" s="11" t="s">
        <v>25</v>
      </c>
      <c r="Q261" s="37">
        <v>2.0030000000000001</v>
      </c>
      <c r="R261" s="11" t="s">
        <v>231</v>
      </c>
      <c r="S261" s="13">
        <f t="shared" si="4"/>
        <v>-1.1399999999999999</v>
      </c>
    </row>
    <row r="262" spans="1:19">
      <c r="A262" s="14" t="s">
        <v>2121</v>
      </c>
      <c r="B262" s="11" t="s">
        <v>270</v>
      </c>
      <c r="C262" s="11" t="s">
        <v>227</v>
      </c>
      <c r="D262" s="11" t="s">
        <v>25</v>
      </c>
      <c r="E262" s="11" t="s">
        <v>25</v>
      </c>
      <c r="F262">
        <v>1.17E-2</v>
      </c>
      <c r="G262">
        <v>5.33</v>
      </c>
      <c r="H262" s="12">
        <v>488.9</v>
      </c>
      <c r="I262" s="11" t="s">
        <v>228</v>
      </c>
      <c r="J262" s="11" t="s">
        <v>25</v>
      </c>
      <c r="K262" s="11" t="s">
        <v>229</v>
      </c>
      <c r="L262" s="12">
        <v>-1.05</v>
      </c>
      <c r="M262" s="11" t="s">
        <v>23</v>
      </c>
      <c r="N262" s="11" t="s">
        <v>230</v>
      </c>
      <c r="O262" s="11" t="s">
        <v>25</v>
      </c>
      <c r="P262" s="11" t="s">
        <v>25</v>
      </c>
      <c r="Q262" s="37">
        <v>1.78</v>
      </c>
      <c r="R262" s="11" t="s">
        <v>231</v>
      </c>
      <c r="S262" s="13">
        <f t="shared" si="4"/>
        <v>-1.05</v>
      </c>
    </row>
    <row r="263" spans="1:19">
      <c r="A263" s="14" t="s">
        <v>2121</v>
      </c>
      <c r="B263" s="11" t="s">
        <v>271</v>
      </c>
      <c r="C263" s="11" t="s">
        <v>227</v>
      </c>
      <c r="D263" s="11" t="s">
        <v>25</v>
      </c>
      <c r="E263" s="11" t="s">
        <v>25</v>
      </c>
      <c r="F263">
        <v>1.17E-2</v>
      </c>
      <c r="G263">
        <v>5.33</v>
      </c>
      <c r="H263" s="12">
        <v>505.25</v>
      </c>
      <c r="I263" s="11" t="s">
        <v>228</v>
      </c>
      <c r="J263" s="11" t="s">
        <v>25</v>
      </c>
      <c r="K263" s="11" t="s">
        <v>229</v>
      </c>
      <c r="L263" s="12">
        <v>-1.05</v>
      </c>
      <c r="M263" s="11" t="s">
        <v>23</v>
      </c>
      <c r="N263" s="11" t="s">
        <v>230</v>
      </c>
      <c r="O263" s="11" t="s">
        <v>25</v>
      </c>
      <c r="P263" s="11" t="s">
        <v>25</v>
      </c>
      <c r="Q263" s="37">
        <v>1.94</v>
      </c>
      <c r="R263" s="11" t="s">
        <v>231</v>
      </c>
      <c r="S263" s="13">
        <f t="shared" si="4"/>
        <v>-1.05</v>
      </c>
    </row>
    <row r="264" spans="1:19">
      <c r="A264" s="14" t="s">
        <v>2121</v>
      </c>
      <c r="B264" s="11" t="s">
        <v>272</v>
      </c>
      <c r="C264" s="11" t="s">
        <v>227</v>
      </c>
      <c r="D264" s="11" t="s">
        <v>25</v>
      </c>
      <c r="E264" s="11" t="s">
        <v>25</v>
      </c>
      <c r="F264">
        <v>1.17E-2</v>
      </c>
      <c r="G264">
        <v>5.33</v>
      </c>
      <c r="H264" s="12">
        <v>511.3</v>
      </c>
      <c r="I264" s="11" t="s">
        <v>228</v>
      </c>
      <c r="J264" s="11" t="s">
        <v>25</v>
      </c>
      <c r="K264" s="11" t="s">
        <v>229</v>
      </c>
      <c r="L264" s="12">
        <v>-1.0833333333333333</v>
      </c>
      <c r="M264" s="11" t="s">
        <v>23</v>
      </c>
      <c r="N264" s="11" t="s">
        <v>230</v>
      </c>
      <c r="O264" s="11" t="s">
        <v>25</v>
      </c>
      <c r="P264" s="11" t="s">
        <v>25</v>
      </c>
      <c r="Q264" s="37">
        <v>1.93</v>
      </c>
      <c r="R264" s="11" t="s">
        <v>231</v>
      </c>
      <c r="S264" s="13">
        <f t="shared" si="4"/>
        <v>-1.0833333333333333</v>
      </c>
    </row>
    <row r="265" spans="1:19">
      <c r="A265" s="14" t="s">
        <v>2121</v>
      </c>
      <c r="B265" s="11" t="s">
        <v>273</v>
      </c>
      <c r="C265" s="11" t="s">
        <v>227</v>
      </c>
      <c r="D265" s="11" t="s">
        <v>25</v>
      </c>
      <c r="E265" s="11" t="s">
        <v>25</v>
      </c>
      <c r="F265">
        <v>1.17E-2</v>
      </c>
      <c r="G265">
        <v>5.33</v>
      </c>
      <c r="H265" s="12">
        <v>521.5</v>
      </c>
      <c r="I265" s="11" t="s">
        <v>228</v>
      </c>
      <c r="J265" s="11" t="s">
        <v>25</v>
      </c>
      <c r="K265" s="11" t="s">
        <v>229</v>
      </c>
      <c r="L265" s="12">
        <v>-1.1100000000000001</v>
      </c>
      <c r="M265" s="11" t="s">
        <v>23</v>
      </c>
      <c r="N265" s="11" t="s">
        <v>230</v>
      </c>
      <c r="O265" s="11" t="s">
        <v>25</v>
      </c>
      <c r="P265" s="11" t="s">
        <v>25</v>
      </c>
      <c r="Q265" s="37">
        <v>1.96</v>
      </c>
      <c r="R265" s="11" t="s">
        <v>231</v>
      </c>
      <c r="S265" s="13">
        <f t="shared" si="4"/>
        <v>-1.1100000000000001</v>
      </c>
    </row>
    <row r="266" spans="1:19">
      <c r="A266" s="14" t="s">
        <v>2121</v>
      </c>
      <c r="B266" s="11" t="s">
        <v>274</v>
      </c>
      <c r="C266" s="11" t="s">
        <v>227</v>
      </c>
      <c r="D266" s="11" t="s">
        <v>25</v>
      </c>
      <c r="E266" s="11" t="s">
        <v>25</v>
      </c>
      <c r="F266">
        <v>1.17E-2</v>
      </c>
      <c r="G266">
        <v>5.33</v>
      </c>
      <c r="H266" s="12">
        <v>531.5</v>
      </c>
      <c r="I266" s="11" t="s">
        <v>228</v>
      </c>
      <c r="J266" s="11" t="s">
        <v>25</v>
      </c>
      <c r="K266" s="11" t="s">
        <v>229</v>
      </c>
      <c r="L266" s="12">
        <v>-1.1499999999999999</v>
      </c>
      <c r="M266" s="11" t="s">
        <v>23</v>
      </c>
      <c r="N266" s="11" t="s">
        <v>230</v>
      </c>
      <c r="O266" s="11" t="s">
        <v>25</v>
      </c>
      <c r="P266" s="11" t="s">
        <v>25</v>
      </c>
      <c r="Q266" s="37">
        <v>8.81</v>
      </c>
      <c r="R266" s="11" t="s">
        <v>231</v>
      </c>
      <c r="S266" s="13">
        <f t="shared" si="4"/>
        <v>-1.1499999999999999</v>
      </c>
    </row>
    <row r="267" spans="1:19">
      <c r="A267" s="14" t="s">
        <v>2121</v>
      </c>
      <c r="B267" s="11" t="s">
        <v>275</v>
      </c>
      <c r="C267" s="11" t="s">
        <v>276</v>
      </c>
      <c r="D267" s="11" t="s">
        <v>25</v>
      </c>
      <c r="E267" s="11" t="s">
        <v>25</v>
      </c>
      <c r="F267">
        <v>1.17E-2</v>
      </c>
      <c r="G267">
        <v>5.33</v>
      </c>
      <c r="H267" s="12">
        <v>2.5</v>
      </c>
      <c r="I267" s="11" t="s">
        <v>228</v>
      </c>
      <c r="J267" s="11" t="s">
        <v>25</v>
      </c>
      <c r="K267" s="11" t="s">
        <v>277</v>
      </c>
      <c r="L267" s="12">
        <v>-1.0730793980529785</v>
      </c>
      <c r="M267" s="11" t="s">
        <v>23</v>
      </c>
      <c r="N267" s="11" t="s">
        <v>230</v>
      </c>
      <c r="O267" s="11" t="s">
        <v>25</v>
      </c>
      <c r="P267" s="11" t="s">
        <v>25</v>
      </c>
      <c r="Q267" s="37">
        <v>5.9556629720075343</v>
      </c>
      <c r="R267" s="11" t="s">
        <v>231</v>
      </c>
      <c r="S267" s="13">
        <f t="shared" si="4"/>
        <v>-1.0730793980529785</v>
      </c>
    </row>
    <row r="268" spans="1:19">
      <c r="A268" s="14" t="s">
        <v>2121</v>
      </c>
      <c r="B268" s="11" t="s">
        <v>278</v>
      </c>
      <c r="C268" s="11" t="s">
        <v>276</v>
      </c>
      <c r="D268" s="11" t="s">
        <v>25</v>
      </c>
      <c r="E268" s="11" t="s">
        <v>25</v>
      </c>
      <c r="F268">
        <v>1.17E-2</v>
      </c>
      <c r="G268">
        <v>5.33</v>
      </c>
      <c r="H268" s="12">
        <v>17.7</v>
      </c>
      <c r="I268" s="11" t="s">
        <v>228</v>
      </c>
      <c r="J268" s="11" t="s">
        <v>25</v>
      </c>
      <c r="K268" s="11" t="s">
        <v>277</v>
      </c>
      <c r="L268" s="12">
        <v>-1.2154127625529254</v>
      </c>
      <c r="M268" s="11" t="s">
        <v>23</v>
      </c>
      <c r="N268" s="11" t="s">
        <v>230</v>
      </c>
      <c r="O268" s="11" t="s">
        <v>25</v>
      </c>
      <c r="P268" s="11" t="s">
        <v>25</v>
      </c>
      <c r="Q268" s="37">
        <v>7.7333655334318756</v>
      </c>
      <c r="R268" s="11" t="s">
        <v>231</v>
      </c>
      <c r="S268" s="13">
        <f t="shared" si="4"/>
        <v>-1.2154127625529254</v>
      </c>
    </row>
    <row r="269" spans="1:19">
      <c r="A269" s="14" t="s">
        <v>2121</v>
      </c>
      <c r="B269" s="11" t="s">
        <v>279</v>
      </c>
      <c r="C269" s="11" t="s">
        <v>276</v>
      </c>
      <c r="D269" s="11" t="s">
        <v>25</v>
      </c>
      <c r="E269" s="11" t="s">
        <v>25</v>
      </c>
      <c r="F269">
        <v>1.17E-2</v>
      </c>
      <c r="G269">
        <v>5.33</v>
      </c>
      <c r="H269" s="12">
        <v>23.6</v>
      </c>
      <c r="I269" s="11" t="s">
        <v>228</v>
      </c>
      <c r="J269" s="11" t="s">
        <v>25</v>
      </c>
      <c r="K269" s="11" t="s">
        <v>277</v>
      </c>
      <c r="L269" s="12">
        <v>-1.3100000000000003</v>
      </c>
      <c r="M269" s="11" t="s">
        <v>23</v>
      </c>
      <c r="N269" s="11" t="s">
        <v>230</v>
      </c>
      <c r="O269" s="11" t="s">
        <v>25</v>
      </c>
      <c r="P269" s="11" t="s">
        <v>25</v>
      </c>
      <c r="Q269" s="37">
        <v>8.3417362282902712</v>
      </c>
      <c r="R269" s="11" t="s">
        <v>231</v>
      </c>
      <c r="S269" s="13">
        <f t="shared" si="4"/>
        <v>-1.3100000000000003</v>
      </c>
    </row>
    <row r="270" spans="1:19">
      <c r="A270" s="14" t="s">
        <v>2121</v>
      </c>
      <c r="B270" s="11" t="s">
        <v>280</v>
      </c>
      <c r="C270" s="11" t="s">
        <v>276</v>
      </c>
      <c r="D270" s="11" t="s">
        <v>25</v>
      </c>
      <c r="E270" s="11" t="s">
        <v>25</v>
      </c>
      <c r="F270">
        <v>1.17E-2</v>
      </c>
      <c r="G270">
        <v>5.33</v>
      </c>
      <c r="H270" s="12">
        <v>33.6</v>
      </c>
      <c r="I270" s="11" t="s">
        <v>228</v>
      </c>
      <c r="J270" s="11" t="s">
        <v>25</v>
      </c>
      <c r="K270" s="11" t="s">
        <v>277</v>
      </c>
      <c r="L270" s="12">
        <v>-1.4466666666666665</v>
      </c>
      <c r="M270" s="11" t="s">
        <v>23</v>
      </c>
      <c r="N270" s="11" t="s">
        <v>230</v>
      </c>
      <c r="O270" s="11" t="s">
        <v>25</v>
      </c>
      <c r="P270" s="11" t="s">
        <v>25</v>
      </c>
      <c r="Q270" s="37">
        <v>8.9650700992224461</v>
      </c>
      <c r="R270" s="11" t="s">
        <v>231</v>
      </c>
      <c r="S270" s="13">
        <f t="shared" si="4"/>
        <v>-1.4466666666666665</v>
      </c>
    </row>
    <row r="271" spans="1:19">
      <c r="A271" s="14" t="s">
        <v>2121</v>
      </c>
      <c r="B271" s="11" t="s">
        <v>281</v>
      </c>
      <c r="C271" s="11" t="s">
        <v>276</v>
      </c>
      <c r="D271" s="11" t="s">
        <v>25</v>
      </c>
      <c r="E271" s="11" t="s">
        <v>25</v>
      </c>
      <c r="F271">
        <v>1.17E-2</v>
      </c>
      <c r="G271">
        <v>5.33</v>
      </c>
      <c r="H271" s="12">
        <v>48.2</v>
      </c>
      <c r="I271" s="11" t="s">
        <v>228</v>
      </c>
      <c r="J271" s="11" t="s">
        <v>25</v>
      </c>
      <c r="K271" s="11" t="s">
        <v>277</v>
      </c>
      <c r="L271" s="12">
        <v>-1.2108573246635306</v>
      </c>
      <c r="M271" s="11" t="s">
        <v>23</v>
      </c>
      <c r="N271" s="11" t="s">
        <v>230</v>
      </c>
      <c r="O271" s="11" t="s">
        <v>25</v>
      </c>
      <c r="P271" s="11" t="s">
        <v>25</v>
      </c>
      <c r="Q271" s="37">
        <v>6.8479171259482774</v>
      </c>
      <c r="R271" s="11" t="s">
        <v>231</v>
      </c>
      <c r="S271" s="13">
        <f t="shared" si="4"/>
        <v>-1.2108573246635306</v>
      </c>
    </row>
    <row r="272" spans="1:19">
      <c r="A272" s="14" t="s">
        <v>2121</v>
      </c>
      <c r="B272" s="11" t="s">
        <v>282</v>
      </c>
      <c r="C272" s="11" t="s">
        <v>276</v>
      </c>
      <c r="D272" s="11" t="s">
        <v>25</v>
      </c>
      <c r="E272" s="11" t="s">
        <v>25</v>
      </c>
      <c r="F272">
        <v>1.17E-2</v>
      </c>
      <c r="G272">
        <v>5.33</v>
      </c>
      <c r="H272" s="12">
        <v>62.7</v>
      </c>
      <c r="I272" s="11" t="s">
        <v>228</v>
      </c>
      <c r="J272" s="11" t="s">
        <v>25</v>
      </c>
      <c r="K272" s="11" t="s">
        <v>277</v>
      </c>
      <c r="L272" s="12">
        <v>-1.3649065262342384</v>
      </c>
      <c r="M272" s="11" t="s">
        <v>23</v>
      </c>
      <c r="N272" s="11" t="s">
        <v>230</v>
      </c>
      <c r="O272" s="11" t="s">
        <v>25</v>
      </c>
      <c r="P272" s="11" t="s">
        <v>25</v>
      </c>
      <c r="Q272" s="37">
        <v>10.700617092005924</v>
      </c>
      <c r="R272" s="11" t="s">
        <v>231</v>
      </c>
      <c r="S272" s="13">
        <f t="shared" si="4"/>
        <v>-1.3649065262342384</v>
      </c>
    </row>
    <row r="273" spans="1:19">
      <c r="A273" s="14" t="s">
        <v>2121</v>
      </c>
      <c r="B273" s="11" t="s">
        <v>283</v>
      </c>
      <c r="C273" s="11" t="s">
        <v>276</v>
      </c>
      <c r="D273" s="11" t="s">
        <v>25</v>
      </c>
      <c r="E273" s="11" t="s">
        <v>25</v>
      </c>
      <c r="F273">
        <v>1.17E-2</v>
      </c>
      <c r="G273">
        <v>5.33</v>
      </c>
      <c r="H273" s="12">
        <v>69.5</v>
      </c>
      <c r="I273" s="11" t="s">
        <v>228</v>
      </c>
      <c r="J273" s="11" t="s">
        <v>25</v>
      </c>
      <c r="K273" s="11" t="s">
        <v>277</v>
      </c>
      <c r="L273" s="12">
        <v>-1.45</v>
      </c>
      <c r="M273" s="11" t="s">
        <v>23</v>
      </c>
      <c r="N273" s="11" t="s">
        <v>230</v>
      </c>
      <c r="O273" s="11" t="s">
        <v>25</v>
      </c>
      <c r="P273" s="11" t="s">
        <v>25</v>
      </c>
      <c r="Q273" s="37">
        <v>10.352995718187698</v>
      </c>
      <c r="R273" s="11" t="s">
        <v>231</v>
      </c>
      <c r="S273" s="13">
        <f t="shared" si="4"/>
        <v>-1.45</v>
      </c>
    </row>
    <row r="274" spans="1:19">
      <c r="A274" s="14" t="s">
        <v>2121</v>
      </c>
      <c r="B274" s="11" t="s">
        <v>284</v>
      </c>
      <c r="C274" s="11" t="s">
        <v>276</v>
      </c>
      <c r="D274" s="11" t="s">
        <v>25</v>
      </c>
      <c r="E274" s="11" t="s">
        <v>25</v>
      </c>
      <c r="F274">
        <v>1.17E-2</v>
      </c>
      <c r="G274">
        <v>5.33</v>
      </c>
      <c r="H274" s="12">
        <v>79.099999999999994</v>
      </c>
      <c r="I274" s="11" t="s">
        <v>228</v>
      </c>
      <c r="J274" s="11" t="s">
        <v>25</v>
      </c>
      <c r="K274" s="11" t="s">
        <v>277</v>
      </c>
      <c r="L274" s="12">
        <v>-1.4398146663196152</v>
      </c>
      <c r="M274" s="11" t="s">
        <v>23</v>
      </c>
      <c r="N274" s="11" t="s">
        <v>230</v>
      </c>
      <c r="O274" s="11" t="s">
        <v>25</v>
      </c>
      <c r="P274" s="11" t="s">
        <v>25</v>
      </c>
      <c r="Q274" s="37">
        <v>10.871783482607867</v>
      </c>
      <c r="R274" s="11" t="s">
        <v>231</v>
      </c>
      <c r="S274" s="13">
        <f t="shared" si="4"/>
        <v>-1.4398146663196152</v>
      </c>
    </row>
    <row r="275" spans="1:19">
      <c r="A275" s="14" t="s">
        <v>2121</v>
      </c>
      <c r="B275" s="11" t="s">
        <v>285</v>
      </c>
      <c r="C275" s="11" t="s">
        <v>276</v>
      </c>
      <c r="D275" s="11" t="s">
        <v>25</v>
      </c>
      <c r="E275" s="11" t="s">
        <v>25</v>
      </c>
      <c r="F275">
        <v>1.17E-2</v>
      </c>
      <c r="G275">
        <v>5.33</v>
      </c>
      <c r="H275" s="12">
        <v>87.2</v>
      </c>
      <c r="I275" s="11" t="s">
        <v>228</v>
      </c>
      <c r="J275" s="11" t="s">
        <v>25</v>
      </c>
      <c r="K275" s="11" t="s">
        <v>277</v>
      </c>
      <c r="L275" s="12">
        <v>-1.3450000000000002</v>
      </c>
      <c r="M275" s="11" t="s">
        <v>23</v>
      </c>
      <c r="N275" s="11" t="s">
        <v>230</v>
      </c>
      <c r="O275" s="11" t="s">
        <v>25</v>
      </c>
      <c r="P275" s="11" t="s">
        <v>25</v>
      </c>
      <c r="Q275" s="37">
        <v>11.190478836926982</v>
      </c>
      <c r="R275" s="11" t="s">
        <v>231</v>
      </c>
      <c r="S275" s="13">
        <f t="shared" si="4"/>
        <v>-1.3450000000000002</v>
      </c>
    </row>
    <row r="276" spans="1:19">
      <c r="A276" s="14" t="s">
        <v>2121</v>
      </c>
      <c r="B276" s="11" t="s">
        <v>286</v>
      </c>
      <c r="C276" s="11" t="s">
        <v>276</v>
      </c>
      <c r="D276" s="11" t="s">
        <v>25</v>
      </c>
      <c r="E276" s="11" t="s">
        <v>25</v>
      </c>
      <c r="F276">
        <v>1.17E-2</v>
      </c>
      <c r="G276">
        <v>5.33</v>
      </c>
      <c r="H276" s="12">
        <v>93.7</v>
      </c>
      <c r="I276" s="11" t="s">
        <v>228</v>
      </c>
      <c r="J276" s="11" t="s">
        <v>25</v>
      </c>
      <c r="K276" s="11" t="s">
        <v>277</v>
      </c>
      <c r="L276" s="12">
        <v>-1.2074884012415048</v>
      </c>
      <c r="M276" s="11" t="s">
        <v>23</v>
      </c>
      <c r="N276" s="11" t="s">
        <v>230</v>
      </c>
      <c r="O276" s="11" t="s">
        <v>25</v>
      </c>
      <c r="P276" s="11" t="s">
        <v>25</v>
      </c>
      <c r="Q276" s="37">
        <v>8.6462261376489593</v>
      </c>
      <c r="R276" s="11" t="s">
        <v>231</v>
      </c>
      <c r="S276" s="13">
        <f t="shared" si="4"/>
        <v>-1.2074884012415048</v>
      </c>
    </row>
    <row r="277" spans="1:19">
      <c r="A277" s="14" t="s">
        <v>2121</v>
      </c>
      <c r="B277" s="11" t="s">
        <v>287</v>
      </c>
      <c r="C277" s="11" t="s">
        <v>276</v>
      </c>
      <c r="D277" s="11" t="s">
        <v>25</v>
      </c>
      <c r="E277" s="11" t="s">
        <v>25</v>
      </c>
      <c r="F277">
        <v>1.17E-2</v>
      </c>
      <c r="G277">
        <v>5.33</v>
      </c>
      <c r="H277" s="12">
        <v>101.3</v>
      </c>
      <c r="I277" s="11" t="s">
        <v>228</v>
      </c>
      <c r="J277" s="11" t="s">
        <v>25</v>
      </c>
      <c r="K277" s="11" t="s">
        <v>277</v>
      </c>
      <c r="L277" s="12">
        <v>-1.33</v>
      </c>
      <c r="M277" s="11" t="s">
        <v>23</v>
      </c>
      <c r="N277" s="11" t="s">
        <v>230</v>
      </c>
      <c r="O277" s="11" t="s">
        <v>25</v>
      </c>
      <c r="P277" s="11" t="s">
        <v>25</v>
      </c>
      <c r="Q277" s="37">
        <v>9.0123447151756242</v>
      </c>
      <c r="R277" s="11" t="s">
        <v>231</v>
      </c>
      <c r="S277" s="13">
        <f t="shared" si="4"/>
        <v>-1.33</v>
      </c>
    </row>
    <row r="278" spans="1:19">
      <c r="A278" s="14" t="s">
        <v>2121</v>
      </c>
      <c r="B278" s="11" t="s">
        <v>288</v>
      </c>
      <c r="C278" s="11" t="s">
        <v>276</v>
      </c>
      <c r="D278" s="11" t="s">
        <v>25</v>
      </c>
      <c r="E278" s="11" t="s">
        <v>25</v>
      </c>
      <c r="F278">
        <v>1.17E-2</v>
      </c>
      <c r="G278">
        <v>5.33</v>
      </c>
      <c r="H278" s="12">
        <v>110.6</v>
      </c>
      <c r="I278" s="11" t="s">
        <v>228</v>
      </c>
      <c r="J278" s="11" t="s">
        <v>25</v>
      </c>
      <c r="K278" s="11" t="s">
        <v>277</v>
      </c>
      <c r="L278" s="12">
        <v>-1.2931066488611362</v>
      </c>
      <c r="M278" s="11" t="s">
        <v>23</v>
      </c>
      <c r="N278" s="11" t="s">
        <v>230</v>
      </c>
      <c r="O278" s="11" t="s">
        <v>25</v>
      </c>
      <c r="P278" s="11" t="s">
        <v>25</v>
      </c>
      <c r="Q278" s="37">
        <v>10.096297932373265</v>
      </c>
      <c r="R278" s="11" t="s">
        <v>231</v>
      </c>
      <c r="S278" s="13">
        <f t="shared" si="4"/>
        <v>-1.2931066488611362</v>
      </c>
    </row>
    <row r="279" spans="1:19">
      <c r="A279" s="14" t="s">
        <v>2121</v>
      </c>
      <c r="B279" s="11" t="s">
        <v>289</v>
      </c>
      <c r="C279" s="11" t="s">
        <v>276</v>
      </c>
      <c r="D279" s="11" t="s">
        <v>25</v>
      </c>
      <c r="E279" s="11" t="s">
        <v>25</v>
      </c>
      <c r="F279">
        <v>1.17E-2</v>
      </c>
      <c r="G279">
        <v>5.33</v>
      </c>
      <c r="H279" s="12">
        <v>134.5</v>
      </c>
      <c r="I279" s="11" t="s">
        <v>228</v>
      </c>
      <c r="J279" s="11" t="s">
        <v>25</v>
      </c>
      <c r="K279" s="11" t="s">
        <v>277</v>
      </c>
      <c r="L279" s="12">
        <v>-1.21</v>
      </c>
      <c r="M279" s="11" t="s">
        <v>23</v>
      </c>
      <c r="N279" s="11" t="s">
        <v>230</v>
      </c>
      <c r="O279" s="11" t="s">
        <v>25</v>
      </c>
      <c r="P279" s="11" t="s">
        <v>25</v>
      </c>
      <c r="Q279" s="37">
        <v>5.9821924244158469</v>
      </c>
      <c r="R279" s="11" t="s">
        <v>231</v>
      </c>
      <c r="S279" s="13">
        <f t="shared" si="4"/>
        <v>-1.21</v>
      </c>
    </row>
    <row r="280" spans="1:19">
      <c r="A280" s="14" t="s">
        <v>2121</v>
      </c>
      <c r="B280" s="11" t="s">
        <v>290</v>
      </c>
      <c r="C280" s="11" t="s">
        <v>276</v>
      </c>
      <c r="D280" s="11" t="s">
        <v>25</v>
      </c>
      <c r="E280" s="11" t="s">
        <v>25</v>
      </c>
      <c r="F280">
        <v>1.17E-2</v>
      </c>
      <c r="G280">
        <v>5.33</v>
      </c>
      <c r="H280" s="12">
        <v>140.4</v>
      </c>
      <c r="I280" s="11" t="s">
        <v>228</v>
      </c>
      <c r="J280" s="11" t="s">
        <v>25</v>
      </c>
      <c r="K280" s="11" t="s">
        <v>277</v>
      </c>
      <c r="L280" s="12">
        <v>-1.2238299222492754</v>
      </c>
      <c r="M280" s="11" t="s">
        <v>23</v>
      </c>
      <c r="N280" s="11" t="s">
        <v>230</v>
      </c>
      <c r="O280" s="11" t="s">
        <v>25</v>
      </c>
      <c r="P280" s="11" t="s">
        <v>25</v>
      </c>
      <c r="Q280" s="37">
        <v>8.3483898818321318</v>
      </c>
      <c r="R280" s="11" t="s">
        <v>231</v>
      </c>
      <c r="S280" s="13">
        <f t="shared" si="4"/>
        <v>-1.2238299222492754</v>
      </c>
    </row>
    <row r="281" spans="1:19">
      <c r="A281" s="14" t="s">
        <v>2121</v>
      </c>
      <c r="B281" s="11" t="s">
        <v>291</v>
      </c>
      <c r="C281" s="11" t="s">
        <v>276</v>
      </c>
      <c r="D281" s="11" t="s">
        <v>25</v>
      </c>
      <c r="E281" s="11" t="s">
        <v>25</v>
      </c>
      <c r="F281">
        <v>1.17E-2</v>
      </c>
      <c r="G281">
        <v>5.33</v>
      </c>
      <c r="H281" s="12">
        <v>149.4</v>
      </c>
      <c r="I281" s="11" t="s">
        <v>228</v>
      </c>
      <c r="J281" s="11" t="s">
        <v>25</v>
      </c>
      <c r="K281" s="11" t="s">
        <v>277</v>
      </c>
      <c r="L281" s="12">
        <v>-1.27</v>
      </c>
      <c r="M281" s="11" t="s">
        <v>23</v>
      </c>
      <c r="N281" s="11" t="s">
        <v>230</v>
      </c>
      <c r="O281" s="11" t="s">
        <v>25</v>
      </c>
      <c r="P281" s="11" t="s">
        <v>25</v>
      </c>
      <c r="Q281" s="37">
        <v>8.464391086884044</v>
      </c>
      <c r="R281" s="11" t="s">
        <v>231</v>
      </c>
      <c r="S281" s="13">
        <f t="shared" si="4"/>
        <v>-1.27</v>
      </c>
    </row>
    <row r="282" spans="1:19">
      <c r="A282" s="14" t="s">
        <v>2121</v>
      </c>
      <c r="B282" s="11" t="s">
        <v>292</v>
      </c>
      <c r="C282" s="11" t="s">
        <v>276</v>
      </c>
      <c r="D282" s="11" t="s">
        <v>25</v>
      </c>
      <c r="E282" s="11" t="s">
        <v>25</v>
      </c>
      <c r="F282">
        <v>1.17E-2</v>
      </c>
      <c r="G282">
        <v>5.33</v>
      </c>
      <c r="H282" s="12">
        <v>152.5</v>
      </c>
      <c r="I282" s="11" t="s">
        <v>228</v>
      </c>
      <c r="J282" s="11" t="s">
        <v>25</v>
      </c>
      <c r="K282" s="11" t="s">
        <v>277</v>
      </c>
      <c r="L282" s="12">
        <v>-1.3493062291966089</v>
      </c>
      <c r="M282" s="11" t="s">
        <v>23</v>
      </c>
      <c r="N282" s="11" t="s">
        <v>230</v>
      </c>
      <c r="O282" s="11" t="s">
        <v>25</v>
      </c>
      <c r="P282" s="11" t="s">
        <v>25</v>
      </c>
      <c r="Q282" s="37">
        <v>9.5910680729490867</v>
      </c>
      <c r="R282" s="11" t="s">
        <v>231</v>
      </c>
      <c r="S282" s="13">
        <f t="shared" si="4"/>
        <v>-1.3493062291966089</v>
      </c>
    </row>
    <row r="283" spans="1:19">
      <c r="A283" s="14" t="s">
        <v>2121</v>
      </c>
      <c r="B283" s="11" t="s">
        <v>293</v>
      </c>
      <c r="C283" s="11" t="s">
        <v>276</v>
      </c>
      <c r="D283" s="11" t="s">
        <v>25</v>
      </c>
      <c r="E283" s="11" t="s">
        <v>25</v>
      </c>
      <c r="F283">
        <v>1.17E-2</v>
      </c>
      <c r="G283">
        <v>5.33</v>
      </c>
      <c r="H283" s="12">
        <v>166.2</v>
      </c>
      <c r="I283" s="11" t="s">
        <v>228</v>
      </c>
      <c r="J283" s="11" t="s">
        <v>25</v>
      </c>
      <c r="K283" s="11" t="s">
        <v>277</v>
      </c>
      <c r="L283" s="12">
        <v>-0.92</v>
      </c>
      <c r="M283" s="11" t="s">
        <v>23</v>
      </c>
      <c r="N283" s="11" t="s">
        <v>230</v>
      </c>
      <c r="O283" s="11" t="s">
        <v>25</v>
      </c>
      <c r="P283" s="11" t="s">
        <v>25</v>
      </c>
      <c r="Q283" s="37">
        <v>3.9637758052266578</v>
      </c>
      <c r="R283" s="11" t="s">
        <v>231</v>
      </c>
      <c r="S283" s="13">
        <f t="shared" si="4"/>
        <v>-0.92</v>
      </c>
    </row>
    <row r="284" spans="1:19">
      <c r="A284" s="14" t="s">
        <v>2121</v>
      </c>
      <c r="B284" s="11" t="s">
        <v>294</v>
      </c>
      <c r="C284" s="11" t="s">
        <v>276</v>
      </c>
      <c r="D284" s="11" t="s">
        <v>25</v>
      </c>
      <c r="E284" s="11" t="s">
        <v>25</v>
      </c>
      <c r="F284">
        <v>1.17E-2</v>
      </c>
      <c r="G284">
        <v>5.33</v>
      </c>
      <c r="H284" s="12">
        <v>175.5</v>
      </c>
      <c r="I284" s="11" t="s">
        <v>228</v>
      </c>
      <c r="J284" s="11" t="s">
        <v>25</v>
      </c>
      <c r="K284" s="11" t="s">
        <v>277</v>
      </c>
      <c r="L284" s="12">
        <v>-1.0205179530226232</v>
      </c>
      <c r="M284" s="11" t="s">
        <v>23</v>
      </c>
      <c r="N284" s="11" t="s">
        <v>230</v>
      </c>
      <c r="O284" s="11" t="s">
        <v>25</v>
      </c>
      <c r="P284" s="11" t="s">
        <v>25</v>
      </c>
      <c r="Q284" s="37">
        <v>3.5256761554002769</v>
      </c>
      <c r="R284" s="11" t="s">
        <v>231</v>
      </c>
      <c r="S284" s="13">
        <f t="shared" si="4"/>
        <v>-1.0205179530226232</v>
      </c>
    </row>
    <row r="285" spans="1:19">
      <c r="A285" s="14" t="s">
        <v>2121</v>
      </c>
      <c r="B285" s="11" t="s">
        <v>295</v>
      </c>
      <c r="C285" s="11" t="s">
        <v>276</v>
      </c>
      <c r="D285" s="11" t="s">
        <v>25</v>
      </c>
      <c r="E285" s="11" t="s">
        <v>25</v>
      </c>
      <c r="F285">
        <v>1.17E-2</v>
      </c>
      <c r="G285">
        <v>5.33</v>
      </c>
      <c r="H285" s="12">
        <v>184.7</v>
      </c>
      <c r="I285" s="11" t="s">
        <v>228</v>
      </c>
      <c r="J285" s="11" t="s">
        <v>25</v>
      </c>
      <c r="K285" s="11" t="s">
        <v>277</v>
      </c>
      <c r="L285" s="12">
        <v>-0.96</v>
      </c>
      <c r="M285" s="11" t="s">
        <v>23</v>
      </c>
      <c r="N285" s="11" t="s">
        <v>230</v>
      </c>
      <c r="O285" s="11" t="s">
        <v>25</v>
      </c>
      <c r="P285" s="11" t="s">
        <v>25</v>
      </c>
      <c r="Q285" s="37">
        <v>3.1456803245809284</v>
      </c>
      <c r="R285" s="11" t="s">
        <v>231</v>
      </c>
      <c r="S285" s="13">
        <f t="shared" si="4"/>
        <v>-0.96</v>
      </c>
    </row>
    <row r="286" spans="1:19">
      <c r="A286" s="14" t="s">
        <v>2121</v>
      </c>
      <c r="B286" s="11" t="s">
        <v>296</v>
      </c>
      <c r="C286" s="11" t="s">
        <v>276</v>
      </c>
      <c r="D286" s="11" t="s">
        <v>25</v>
      </c>
      <c r="E286" s="11" t="s">
        <v>25</v>
      </c>
      <c r="F286">
        <v>1.17E-2</v>
      </c>
      <c r="G286">
        <v>5.33</v>
      </c>
      <c r="H286" s="12">
        <v>205.1</v>
      </c>
      <c r="I286" s="11" t="s">
        <v>228</v>
      </c>
      <c r="J286" s="11" t="s">
        <v>25</v>
      </c>
      <c r="K286" s="11" t="s">
        <v>277</v>
      </c>
      <c r="L286" s="12">
        <v>-0.85218852804095346</v>
      </c>
      <c r="M286" s="11" t="s">
        <v>23</v>
      </c>
      <c r="N286" s="11" t="s">
        <v>230</v>
      </c>
      <c r="O286" s="11" t="s">
        <v>25</v>
      </c>
      <c r="P286" s="11" t="s">
        <v>25</v>
      </c>
      <c r="Q286" s="37">
        <v>1.9193784908597762</v>
      </c>
      <c r="R286" s="11" t="s">
        <v>231</v>
      </c>
      <c r="S286" s="13">
        <f t="shared" si="4"/>
        <v>-0.85218852804095346</v>
      </c>
    </row>
    <row r="287" spans="1:19">
      <c r="A287" s="14" t="s">
        <v>2121</v>
      </c>
      <c r="B287" s="11" t="s">
        <v>297</v>
      </c>
      <c r="C287" s="11" t="s">
        <v>276</v>
      </c>
      <c r="D287" s="11" t="s">
        <v>25</v>
      </c>
      <c r="E287" s="11" t="s">
        <v>25</v>
      </c>
      <c r="F287">
        <v>1.17E-2</v>
      </c>
      <c r="G287">
        <v>5.33</v>
      </c>
      <c r="H287" s="12">
        <v>207.1</v>
      </c>
      <c r="I287" s="11" t="s">
        <v>228</v>
      </c>
      <c r="J287" s="11" t="s">
        <v>25</v>
      </c>
      <c r="K287" s="11" t="s">
        <v>277</v>
      </c>
      <c r="L287" s="12">
        <v>-1.06</v>
      </c>
      <c r="M287" s="11" t="s">
        <v>23</v>
      </c>
      <c r="N287" s="11" t="s">
        <v>230</v>
      </c>
      <c r="O287" s="11" t="s">
        <v>25</v>
      </c>
      <c r="P287" s="11" t="s">
        <v>25</v>
      </c>
      <c r="Q287" s="37">
        <v>1.6484006055007929</v>
      </c>
      <c r="R287" s="11" t="s">
        <v>231</v>
      </c>
      <c r="S287" s="13">
        <f t="shared" si="4"/>
        <v>-1.06</v>
      </c>
    </row>
    <row r="288" spans="1:19">
      <c r="A288" s="14" t="s">
        <v>2121</v>
      </c>
      <c r="B288" s="11" t="s">
        <v>298</v>
      </c>
      <c r="C288" s="11" t="s">
        <v>276</v>
      </c>
      <c r="D288" s="11" t="s">
        <v>25</v>
      </c>
      <c r="E288" s="11" t="s">
        <v>25</v>
      </c>
      <c r="F288">
        <v>1.17E-2</v>
      </c>
      <c r="G288">
        <v>5.33</v>
      </c>
      <c r="H288" s="12">
        <v>220.4</v>
      </c>
      <c r="I288" s="11" t="s">
        <v>228</v>
      </c>
      <c r="J288" s="11" t="s">
        <v>25</v>
      </c>
      <c r="K288" s="11" t="s">
        <v>277</v>
      </c>
      <c r="L288" s="12">
        <v>-1.0302942830721999</v>
      </c>
      <c r="M288" s="11" t="s">
        <v>23</v>
      </c>
      <c r="N288" s="11" t="s">
        <v>230</v>
      </c>
      <c r="O288" s="11" t="s">
        <v>25</v>
      </c>
      <c r="P288" s="11" t="s">
        <v>25</v>
      </c>
      <c r="Q288" s="37">
        <v>1.6021620285825362</v>
      </c>
      <c r="R288" s="11" t="s">
        <v>231</v>
      </c>
      <c r="S288" s="13">
        <f t="shared" si="4"/>
        <v>-1.0302942830721999</v>
      </c>
    </row>
    <row r="289" spans="1:19">
      <c r="A289" s="14" t="s">
        <v>2121</v>
      </c>
      <c r="B289" s="11" t="s">
        <v>299</v>
      </c>
      <c r="C289" s="11" t="s">
        <v>276</v>
      </c>
      <c r="D289" s="11" t="s">
        <v>25</v>
      </c>
      <c r="E289" s="11" t="s">
        <v>25</v>
      </c>
      <c r="F289">
        <v>1.17E-2</v>
      </c>
      <c r="G289">
        <v>5.33</v>
      </c>
      <c r="H289" s="12">
        <v>229.5</v>
      </c>
      <c r="I289" s="11" t="s">
        <v>228</v>
      </c>
      <c r="J289" s="11" t="s">
        <v>25</v>
      </c>
      <c r="K289" s="11" t="s">
        <v>277</v>
      </c>
      <c r="L289" s="12">
        <v>-1.03</v>
      </c>
      <c r="M289" s="11" t="s">
        <v>23</v>
      </c>
      <c r="N289" s="11" t="s">
        <v>230</v>
      </c>
      <c r="O289" s="11" t="s">
        <v>25</v>
      </c>
      <c r="P289" s="11" t="s">
        <v>25</v>
      </c>
      <c r="Q289" s="37">
        <v>1.7646882249527267</v>
      </c>
      <c r="R289" s="11" t="s">
        <v>231</v>
      </c>
      <c r="S289" s="13">
        <f t="shared" si="4"/>
        <v>-1.03</v>
      </c>
    </row>
    <row r="290" spans="1:19">
      <c r="A290" s="14" t="s">
        <v>2121</v>
      </c>
      <c r="B290" s="11" t="s">
        <v>300</v>
      </c>
      <c r="C290" s="11" t="s">
        <v>276</v>
      </c>
      <c r="D290" s="11" t="s">
        <v>25</v>
      </c>
      <c r="E290" s="11" t="s">
        <v>25</v>
      </c>
      <c r="F290">
        <v>1.17E-2</v>
      </c>
      <c r="G290">
        <v>5.33</v>
      </c>
      <c r="H290" s="12">
        <v>238.6</v>
      </c>
      <c r="I290" s="11" t="s">
        <v>228</v>
      </c>
      <c r="J290" s="11" t="s">
        <v>25</v>
      </c>
      <c r="K290" s="11" t="s">
        <v>277</v>
      </c>
      <c r="L290" s="12">
        <v>-0.99493264817326887</v>
      </c>
      <c r="M290" s="11" t="s">
        <v>23</v>
      </c>
      <c r="N290" s="11" t="s">
        <v>230</v>
      </c>
      <c r="O290" s="11" t="s">
        <v>25</v>
      </c>
      <c r="P290" s="11" t="s">
        <v>25</v>
      </c>
      <c r="Q290" s="37">
        <v>1.4824821617445734</v>
      </c>
      <c r="R290" s="11" t="s">
        <v>231</v>
      </c>
      <c r="S290" s="13">
        <f t="shared" si="4"/>
        <v>-0.99493264817326887</v>
      </c>
    </row>
    <row r="291" spans="1:19">
      <c r="A291" s="14" t="s">
        <v>2121</v>
      </c>
      <c r="B291" s="11" t="s">
        <v>301</v>
      </c>
      <c r="C291" s="11" t="s">
        <v>276</v>
      </c>
      <c r="D291" s="11" t="s">
        <v>25</v>
      </c>
      <c r="E291" s="11" t="s">
        <v>25</v>
      </c>
      <c r="F291">
        <v>1.17E-2</v>
      </c>
      <c r="G291">
        <v>5.33</v>
      </c>
      <c r="H291" s="12">
        <v>254.1</v>
      </c>
      <c r="I291" s="11" t="s">
        <v>228</v>
      </c>
      <c r="J291" s="11" t="s">
        <v>25</v>
      </c>
      <c r="K291" s="11" t="s">
        <v>277</v>
      </c>
      <c r="L291" s="12">
        <v>-0.97039036274855217</v>
      </c>
      <c r="M291" s="11" t="s">
        <v>23</v>
      </c>
      <c r="N291" s="11" t="s">
        <v>230</v>
      </c>
      <c r="O291" s="11" t="s">
        <v>25</v>
      </c>
      <c r="P291" s="11" t="s">
        <v>25</v>
      </c>
      <c r="Q291" s="37">
        <v>1.268953838585954</v>
      </c>
      <c r="R291" s="11" t="s">
        <v>231</v>
      </c>
      <c r="S291" s="13">
        <f t="shared" si="4"/>
        <v>-0.97039036274855217</v>
      </c>
    </row>
    <row r="292" spans="1:19">
      <c r="A292" s="14" t="s">
        <v>2121</v>
      </c>
      <c r="B292" s="11" t="s">
        <v>302</v>
      </c>
      <c r="C292" s="11" t="s">
        <v>276</v>
      </c>
      <c r="D292" s="11" t="s">
        <v>25</v>
      </c>
      <c r="E292" s="11" t="s">
        <v>25</v>
      </c>
      <c r="F292">
        <v>1.17E-2</v>
      </c>
      <c r="G292">
        <v>5.33</v>
      </c>
      <c r="H292" s="12">
        <v>269.7</v>
      </c>
      <c r="I292" s="11" t="s">
        <v>228</v>
      </c>
      <c r="J292" s="11" t="s">
        <v>25</v>
      </c>
      <c r="K292" s="11" t="s">
        <v>277</v>
      </c>
      <c r="L292" s="12">
        <v>-0.89</v>
      </c>
      <c r="M292" s="11" t="s">
        <v>23</v>
      </c>
      <c r="N292" s="11" t="s">
        <v>230</v>
      </c>
      <c r="O292" s="11" t="s">
        <v>25</v>
      </c>
      <c r="P292" s="11" t="s">
        <v>25</v>
      </c>
      <c r="Q292" s="37">
        <v>1.4366763881551394</v>
      </c>
      <c r="R292" s="11" t="s">
        <v>231</v>
      </c>
      <c r="S292" s="13">
        <f t="shared" si="4"/>
        <v>-0.89</v>
      </c>
    </row>
    <row r="293" spans="1:19">
      <c r="A293" s="14" t="s">
        <v>2121</v>
      </c>
      <c r="B293" s="11" t="s">
        <v>303</v>
      </c>
      <c r="C293" s="11" t="s">
        <v>276</v>
      </c>
      <c r="D293" s="11" t="s">
        <v>25</v>
      </c>
      <c r="E293" s="11" t="s">
        <v>25</v>
      </c>
      <c r="F293">
        <v>1.17E-2</v>
      </c>
      <c r="G293">
        <v>5.33</v>
      </c>
      <c r="H293" s="12">
        <v>287</v>
      </c>
      <c r="I293" s="11" t="s">
        <v>228</v>
      </c>
      <c r="J293" s="11" t="s">
        <v>25</v>
      </c>
      <c r="K293" s="11" t="s">
        <v>277</v>
      </c>
      <c r="L293" s="12">
        <v>-1.016823542861083</v>
      </c>
      <c r="M293" s="11" t="s">
        <v>23</v>
      </c>
      <c r="N293" s="11" t="s">
        <v>230</v>
      </c>
      <c r="O293" s="11" t="s">
        <v>25</v>
      </c>
      <c r="P293" s="11" t="s">
        <v>25</v>
      </c>
      <c r="Q293" s="37">
        <v>1.652987200141713</v>
      </c>
      <c r="R293" s="11" t="s">
        <v>231</v>
      </c>
      <c r="S293" s="13">
        <f t="shared" si="4"/>
        <v>-1.016823542861083</v>
      </c>
    </row>
    <row r="294" spans="1:19">
      <c r="A294" s="14" t="s">
        <v>2121</v>
      </c>
      <c r="B294" s="11" t="s">
        <v>304</v>
      </c>
      <c r="C294" s="11" t="s">
        <v>276</v>
      </c>
      <c r="D294" s="11" t="s">
        <v>25</v>
      </c>
      <c r="E294" s="11" t="s">
        <v>25</v>
      </c>
      <c r="F294">
        <v>1.17E-2</v>
      </c>
      <c r="G294">
        <v>5.33</v>
      </c>
      <c r="H294" s="12">
        <v>295.2</v>
      </c>
      <c r="I294" s="11" t="s">
        <v>228</v>
      </c>
      <c r="J294" s="11" t="s">
        <v>25</v>
      </c>
      <c r="K294" s="11" t="s">
        <v>277</v>
      </c>
      <c r="L294" s="12">
        <v>-1.0550000000000002</v>
      </c>
      <c r="M294" s="11" t="s">
        <v>23</v>
      </c>
      <c r="N294" s="11" t="s">
        <v>230</v>
      </c>
      <c r="O294" s="11" t="s">
        <v>25</v>
      </c>
      <c r="P294" s="11" t="s">
        <v>25</v>
      </c>
      <c r="Q294" s="37">
        <v>1.4242601402507997</v>
      </c>
      <c r="R294" s="11" t="s">
        <v>231</v>
      </c>
      <c r="S294" s="13">
        <f t="shared" si="4"/>
        <v>-1.0550000000000002</v>
      </c>
    </row>
    <row r="295" spans="1:19">
      <c r="A295" s="14" t="s">
        <v>2121</v>
      </c>
      <c r="B295" s="11" t="s">
        <v>305</v>
      </c>
      <c r="C295" s="11" t="s">
        <v>276</v>
      </c>
      <c r="D295" s="11" t="s">
        <v>25</v>
      </c>
      <c r="E295" s="11" t="s">
        <v>25</v>
      </c>
      <c r="F295">
        <v>1.17E-2</v>
      </c>
      <c r="G295">
        <v>5.33</v>
      </c>
      <c r="H295" s="12">
        <v>304.5</v>
      </c>
      <c r="I295" s="11" t="s">
        <v>228</v>
      </c>
      <c r="J295" s="11" t="s">
        <v>25</v>
      </c>
      <c r="K295" s="11" t="s">
        <v>277</v>
      </c>
      <c r="L295" s="12">
        <v>-0.79538268598647954</v>
      </c>
      <c r="M295" s="11" t="s">
        <v>23</v>
      </c>
      <c r="N295" s="11" t="s">
        <v>230</v>
      </c>
      <c r="O295" s="11" t="s">
        <v>25</v>
      </c>
      <c r="P295" s="11" t="s">
        <v>25</v>
      </c>
      <c r="Q295" s="37">
        <v>1.6041830729503277</v>
      </c>
      <c r="R295" s="11" t="s">
        <v>231</v>
      </c>
      <c r="S295" s="13">
        <f t="shared" si="4"/>
        <v>-0.79538268598647954</v>
      </c>
    </row>
    <row r="296" spans="1:19">
      <c r="A296" s="14" t="s">
        <v>2121</v>
      </c>
      <c r="B296" s="11" t="s">
        <v>306</v>
      </c>
      <c r="C296" s="11" t="s">
        <v>276</v>
      </c>
      <c r="D296" s="11" t="s">
        <v>25</v>
      </c>
      <c r="E296" s="11" t="s">
        <v>25</v>
      </c>
      <c r="F296">
        <v>1.17E-2</v>
      </c>
      <c r="G296">
        <v>5.33</v>
      </c>
      <c r="H296" s="12">
        <v>322.89999999999998</v>
      </c>
      <c r="I296" s="11" t="s">
        <v>228</v>
      </c>
      <c r="J296" s="11" t="s">
        <v>25</v>
      </c>
      <c r="K296" s="11" t="s">
        <v>277</v>
      </c>
      <c r="L296" s="12">
        <v>-1.1611133892095338</v>
      </c>
      <c r="M296" s="11" t="s">
        <v>23</v>
      </c>
      <c r="N296" s="11" t="s">
        <v>230</v>
      </c>
      <c r="O296" s="11" t="s">
        <v>25</v>
      </c>
      <c r="P296" s="11" t="s">
        <v>25</v>
      </c>
      <c r="Q296" s="37">
        <v>1.5368610822431767</v>
      </c>
      <c r="R296" s="11" t="s">
        <v>231</v>
      </c>
      <c r="S296" s="13">
        <f t="shared" si="4"/>
        <v>-1.1611133892095338</v>
      </c>
    </row>
    <row r="297" spans="1:19">
      <c r="A297" s="14" t="s">
        <v>2121</v>
      </c>
      <c r="B297" s="11" t="s">
        <v>307</v>
      </c>
      <c r="C297" s="11" t="s">
        <v>276</v>
      </c>
      <c r="D297" s="11" t="s">
        <v>25</v>
      </c>
      <c r="E297" s="11" t="s">
        <v>25</v>
      </c>
      <c r="F297">
        <v>1.17E-2</v>
      </c>
      <c r="G297">
        <v>5.33</v>
      </c>
      <c r="H297" s="12">
        <v>332.2</v>
      </c>
      <c r="I297" s="11" t="s">
        <v>228</v>
      </c>
      <c r="J297" s="11" t="s">
        <v>25</v>
      </c>
      <c r="K297" s="11" t="s">
        <v>277</v>
      </c>
      <c r="L297" s="12">
        <v>-0.87</v>
      </c>
      <c r="M297" s="11" t="s">
        <v>23</v>
      </c>
      <c r="N297" s="11" t="s">
        <v>230</v>
      </c>
      <c r="O297" s="11" t="s">
        <v>25</v>
      </c>
      <c r="P297" s="11" t="s">
        <v>25</v>
      </c>
      <c r="Q297" s="37">
        <v>1.8736592746561997</v>
      </c>
      <c r="R297" s="11" t="s">
        <v>231</v>
      </c>
      <c r="S297" s="13">
        <f t="shared" si="4"/>
        <v>-0.87</v>
      </c>
    </row>
    <row r="298" spans="1:19">
      <c r="A298" s="14" t="s">
        <v>2121</v>
      </c>
      <c r="B298" s="11" t="s">
        <v>308</v>
      </c>
      <c r="C298" s="11" t="s">
        <v>276</v>
      </c>
      <c r="D298" s="11" t="s">
        <v>25</v>
      </c>
      <c r="E298" s="11" t="s">
        <v>25</v>
      </c>
      <c r="F298">
        <v>1.17E-2</v>
      </c>
      <c r="G298">
        <v>5.33</v>
      </c>
      <c r="H298" s="12">
        <v>341.4</v>
      </c>
      <c r="I298" s="11" t="s">
        <v>228</v>
      </c>
      <c r="J298" s="11" t="s">
        <v>25</v>
      </c>
      <c r="K298" s="11" t="s">
        <v>277</v>
      </c>
      <c r="L298" s="12">
        <v>-1.1265789044114518</v>
      </c>
      <c r="M298" s="11" t="s">
        <v>23</v>
      </c>
      <c r="N298" s="11" t="s">
        <v>230</v>
      </c>
      <c r="O298" s="11" t="s">
        <v>25</v>
      </c>
      <c r="P298" s="11" t="s">
        <v>25</v>
      </c>
      <c r="Q298" s="37">
        <v>1.7105084266980937</v>
      </c>
      <c r="R298" s="11" t="s">
        <v>231</v>
      </c>
      <c r="S298" s="13">
        <f t="shared" si="4"/>
        <v>-1.1265789044114518</v>
      </c>
    </row>
    <row r="299" spans="1:19">
      <c r="A299" s="14" t="s">
        <v>2121</v>
      </c>
      <c r="B299" s="11" t="s">
        <v>309</v>
      </c>
      <c r="C299" s="11" t="s">
        <v>276</v>
      </c>
      <c r="D299" s="11" t="s">
        <v>25</v>
      </c>
      <c r="E299" s="11" t="s">
        <v>25</v>
      </c>
      <c r="F299">
        <v>1.17E-2</v>
      </c>
      <c r="G299">
        <v>5.33</v>
      </c>
      <c r="H299" s="12">
        <v>350.6</v>
      </c>
      <c r="I299" s="11" t="s">
        <v>228</v>
      </c>
      <c r="J299" s="11" t="s">
        <v>25</v>
      </c>
      <c r="K299" s="11" t="s">
        <v>277</v>
      </c>
      <c r="L299" s="12">
        <v>-0.93</v>
      </c>
      <c r="M299" s="11" t="s">
        <v>23</v>
      </c>
      <c r="N299" s="11" t="s">
        <v>230</v>
      </c>
      <c r="O299" s="11" t="s">
        <v>25</v>
      </c>
      <c r="P299" s="11" t="s">
        <v>25</v>
      </c>
      <c r="Q299" s="37">
        <v>2.1241345297202989</v>
      </c>
      <c r="R299" s="11" t="s">
        <v>231</v>
      </c>
      <c r="S299" s="13">
        <f t="shared" si="4"/>
        <v>-0.93</v>
      </c>
    </row>
    <row r="300" spans="1:19">
      <c r="A300" s="14" t="s">
        <v>2121</v>
      </c>
      <c r="B300" s="11" t="s">
        <v>310</v>
      </c>
      <c r="C300" s="11" t="s">
        <v>276</v>
      </c>
      <c r="D300" s="11" t="s">
        <v>25</v>
      </c>
      <c r="E300" s="11" t="s">
        <v>25</v>
      </c>
      <c r="F300">
        <v>1.17E-2</v>
      </c>
      <c r="G300">
        <v>5.33</v>
      </c>
      <c r="H300" s="12">
        <v>359.8</v>
      </c>
      <c r="I300" s="11" t="s">
        <v>228</v>
      </c>
      <c r="J300" s="11" t="s">
        <v>25</v>
      </c>
      <c r="K300" s="11" t="s">
        <v>277</v>
      </c>
      <c r="L300" s="12">
        <v>-1.052806537936934</v>
      </c>
      <c r="M300" s="11" t="s">
        <v>23</v>
      </c>
      <c r="N300" s="11" t="s">
        <v>230</v>
      </c>
      <c r="O300" s="11" t="s">
        <v>25</v>
      </c>
      <c r="P300" s="11" t="s">
        <v>25</v>
      </c>
      <c r="Q300" s="37">
        <v>1.9997451940720463</v>
      </c>
      <c r="R300" s="11" t="s">
        <v>231</v>
      </c>
      <c r="S300" s="13">
        <f t="shared" si="4"/>
        <v>-1.052806537936934</v>
      </c>
    </row>
    <row r="301" spans="1:19">
      <c r="A301" s="14" t="s">
        <v>2121</v>
      </c>
      <c r="B301" s="11" t="s">
        <v>311</v>
      </c>
      <c r="C301" s="11" t="s">
        <v>276</v>
      </c>
      <c r="D301" s="11" t="s">
        <v>25</v>
      </c>
      <c r="E301" s="11" t="s">
        <v>25</v>
      </c>
      <c r="F301">
        <v>1.17E-2</v>
      </c>
      <c r="G301">
        <v>5.33</v>
      </c>
      <c r="H301" s="12">
        <v>368.5</v>
      </c>
      <c r="I301" s="11" t="s">
        <v>228</v>
      </c>
      <c r="J301" s="11" t="s">
        <v>25</v>
      </c>
      <c r="K301" s="11" t="s">
        <v>277</v>
      </c>
      <c r="L301" s="12">
        <v>-1.08</v>
      </c>
      <c r="M301" s="11" t="s">
        <v>23</v>
      </c>
      <c r="N301" s="11" t="s">
        <v>230</v>
      </c>
      <c r="O301" s="11" t="s">
        <v>25</v>
      </c>
      <c r="P301" s="11" t="s">
        <v>25</v>
      </c>
      <c r="Q301" s="37">
        <v>1.7035751541010979</v>
      </c>
      <c r="R301" s="11" t="s">
        <v>231</v>
      </c>
      <c r="S301" s="13">
        <f t="shared" si="4"/>
        <v>-1.08</v>
      </c>
    </row>
    <row r="302" spans="1:19">
      <c r="A302" s="14" t="s">
        <v>2121</v>
      </c>
      <c r="B302" s="11" t="s">
        <v>312</v>
      </c>
      <c r="C302" s="11" t="s">
        <v>276</v>
      </c>
      <c r="D302" s="11" t="s">
        <v>25</v>
      </c>
      <c r="E302" s="11" t="s">
        <v>25</v>
      </c>
      <c r="F302">
        <v>1.17E-2</v>
      </c>
      <c r="G302">
        <v>5.33</v>
      </c>
      <c r="H302" s="12">
        <v>497.4</v>
      </c>
      <c r="I302" s="11" t="s">
        <v>228</v>
      </c>
      <c r="J302" s="11" t="s">
        <v>25</v>
      </c>
      <c r="K302" s="11" t="s">
        <v>277</v>
      </c>
      <c r="L302" s="12">
        <v>-1.2059460942323867</v>
      </c>
      <c r="M302" s="11" t="s">
        <v>23</v>
      </c>
      <c r="N302" s="11" t="s">
        <v>230</v>
      </c>
      <c r="O302" s="11" t="s">
        <v>25</v>
      </c>
      <c r="P302" s="11" t="s">
        <v>25</v>
      </c>
      <c r="Q302" s="37">
        <v>3.7462701394318123</v>
      </c>
      <c r="R302" s="11" t="s">
        <v>231</v>
      </c>
      <c r="S302" s="13">
        <f t="shared" si="4"/>
        <v>-1.2059460942323867</v>
      </c>
    </row>
    <row r="303" spans="1:19">
      <c r="A303" s="14" t="s">
        <v>2121</v>
      </c>
      <c r="B303" s="11" t="s">
        <v>313</v>
      </c>
      <c r="C303" s="11" t="s">
        <v>276</v>
      </c>
      <c r="D303" s="11" t="s">
        <v>25</v>
      </c>
      <c r="E303" s="11" t="s">
        <v>25</v>
      </c>
      <c r="F303">
        <v>1.17E-2</v>
      </c>
      <c r="G303">
        <v>5.33</v>
      </c>
      <c r="H303" s="12">
        <v>513.9</v>
      </c>
      <c r="I303" s="11" t="s">
        <v>228</v>
      </c>
      <c r="J303" s="11" t="s">
        <v>25</v>
      </c>
      <c r="K303" s="11" t="s">
        <v>277</v>
      </c>
      <c r="L303" s="12">
        <v>-1.1000000000000001</v>
      </c>
      <c r="M303" s="11" t="s">
        <v>23</v>
      </c>
      <c r="N303" s="11" t="s">
        <v>230</v>
      </c>
      <c r="O303" s="11" t="s">
        <v>25</v>
      </c>
      <c r="P303" s="11" t="s">
        <v>25</v>
      </c>
      <c r="Q303" s="37">
        <v>4.5786407513952057</v>
      </c>
      <c r="R303" s="11" t="s">
        <v>231</v>
      </c>
      <c r="S303" s="13">
        <f t="shared" si="4"/>
        <v>-1.1000000000000001</v>
      </c>
    </row>
    <row r="304" spans="1:19">
      <c r="A304" s="14" t="s">
        <v>2121</v>
      </c>
      <c r="B304" s="11" t="s">
        <v>314</v>
      </c>
      <c r="C304" s="11" t="s">
        <v>276</v>
      </c>
      <c r="D304" s="11" t="s">
        <v>25</v>
      </c>
      <c r="E304" s="11" t="s">
        <v>25</v>
      </c>
      <c r="F304">
        <v>1.17E-2</v>
      </c>
      <c r="G304">
        <v>5.33</v>
      </c>
      <c r="H304" s="12">
        <v>524</v>
      </c>
      <c r="I304" s="11" t="s">
        <v>228</v>
      </c>
      <c r="J304" s="11" t="s">
        <v>25</v>
      </c>
      <c r="K304" s="11" t="s">
        <v>277</v>
      </c>
      <c r="L304" s="12">
        <v>-1.3114250890664731</v>
      </c>
      <c r="M304" s="11" t="s">
        <v>23</v>
      </c>
      <c r="N304" s="11" t="s">
        <v>230</v>
      </c>
      <c r="O304" s="11" t="s">
        <v>25</v>
      </c>
      <c r="P304" s="11" t="s">
        <v>25</v>
      </c>
      <c r="Q304" s="37">
        <v>3.3745582355014698</v>
      </c>
      <c r="R304" s="11" t="s">
        <v>231</v>
      </c>
      <c r="S304" s="13">
        <f t="shared" si="4"/>
        <v>-1.3114250890664731</v>
      </c>
    </row>
    <row r="305" spans="1:19">
      <c r="A305" s="14" t="s">
        <v>2121</v>
      </c>
      <c r="B305" s="11" t="s">
        <v>315</v>
      </c>
      <c r="C305" s="11" t="s">
        <v>276</v>
      </c>
      <c r="D305" s="11" t="s">
        <v>25</v>
      </c>
      <c r="E305" s="11" t="s">
        <v>25</v>
      </c>
      <c r="F305">
        <v>1.17E-2</v>
      </c>
      <c r="G305">
        <v>5.33</v>
      </c>
      <c r="H305" s="12">
        <v>533.5</v>
      </c>
      <c r="I305" s="11" t="s">
        <v>228</v>
      </c>
      <c r="J305" s="11" t="s">
        <v>25</v>
      </c>
      <c r="K305" s="11" t="s">
        <v>277</v>
      </c>
      <c r="L305" s="12">
        <v>-1.0433333333333332</v>
      </c>
      <c r="M305" s="11" t="s">
        <v>23</v>
      </c>
      <c r="N305" s="11" t="s">
        <v>230</v>
      </c>
      <c r="O305" s="11" t="s">
        <v>25</v>
      </c>
      <c r="P305" s="11" t="s">
        <v>25</v>
      </c>
      <c r="Q305" s="37">
        <v>3.3456764361008933</v>
      </c>
      <c r="R305" s="11" t="s">
        <v>231</v>
      </c>
      <c r="S305" s="13">
        <f t="shared" si="4"/>
        <v>-1.0433333333333332</v>
      </c>
    </row>
    <row r="306" spans="1:19">
      <c r="A306" s="14" t="s">
        <v>2121</v>
      </c>
      <c r="B306" s="11" t="s">
        <v>316</v>
      </c>
      <c r="C306" s="11" t="s">
        <v>276</v>
      </c>
      <c r="D306" s="11" t="s">
        <v>25</v>
      </c>
      <c r="E306" s="11" t="s">
        <v>25</v>
      </c>
      <c r="F306">
        <v>1.17E-2</v>
      </c>
      <c r="G306">
        <v>5.33</v>
      </c>
      <c r="H306" s="12">
        <v>629.5</v>
      </c>
      <c r="I306" s="11" t="s">
        <v>228</v>
      </c>
      <c r="J306" s="11" t="s">
        <v>25</v>
      </c>
      <c r="K306" s="11" t="s">
        <v>277</v>
      </c>
      <c r="L306" s="12">
        <v>-1.1150465205842248</v>
      </c>
      <c r="M306" s="11" t="s">
        <v>23</v>
      </c>
      <c r="N306" s="11" t="s">
        <v>230</v>
      </c>
      <c r="O306" s="11" t="s">
        <v>25</v>
      </c>
      <c r="P306" s="11" t="s">
        <v>25</v>
      </c>
      <c r="Q306" s="37">
        <v>3.9025762397118817</v>
      </c>
      <c r="R306" s="11" t="s">
        <v>231</v>
      </c>
      <c r="S306" s="13">
        <f t="shared" si="4"/>
        <v>-1.1150465205842248</v>
      </c>
    </row>
    <row r="307" spans="1:19">
      <c r="A307" s="14" t="s">
        <v>2121</v>
      </c>
      <c r="B307" s="11" t="s">
        <v>317</v>
      </c>
      <c r="C307" s="11" t="s">
        <v>276</v>
      </c>
      <c r="D307" s="11" t="s">
        <v>25</v>
      </c>
      <c r="E307" s="11" t="s">
        <v>25</v>
      </c>
      <c r="F307">
        <v>1.17E-2</v>
      </c>
      <c r="G307">
        <v>5.33</v>
      </c>
      <c r="H307" s="12">
        <v>648.5</v>
      </c>
      <c r="I307" s="11" t="s">
        <v>228</v>
      </c>
      <c r="J307" s="11" t="s">
        <v>25</v>
      </c>
      <c r="K307" s="11" t="s">
        <v>277</v>
      </c>
      <c r="L307" s="12">
        <v>-1.1400000000000001</v>
      </c>
      <c r="M307" s="11" t="s">
        <v>23</v>
      </c>
      <c r="N307" s="11" t="s">
        <v>230</v>
      </c>
      <c r="O307" s="11" t="s">
        <v>25</v>
      </c>
      <c r="P307" s="11" t="s">
        <v>25</v>
      </c>
      <c r="Q307" s="37">
        <v>3.9202637143805075</v>
      </c>
      <c r="R307" s="11" t="s">
        <v>231</v>
      </c>
      <c r="S307" s="13">
        <f t="shared" si="4"/>
        <v>-1.1400000000000001</v>
      </c>
    </row>
    <row r="308" spans="1:19">
      <c r="A308" s="14" t="s">
        <v>2121</v>
      </c>
      <c r="B308" s="11" t="s">
        <v>318</v>
      </c>
      <c r="C308" s="11" t="s">
        <v>276</v>
      </c>
      <c r="D308" s="11" t="s">
        <v>25</v>
      </c>
      <c r="E308" s="11" t="s">
        <v>25</v>
      </c>
      <c r="F308">
        <v>1.17E-2</v>
      </c>
      <c r="G308">
        <v>5.33</v>
      </c>
      <c r="H308" s="12">
        <v>658.2</v>
      </c>
      <c r="I308" s="11" t="s">
        <v>228</v>
      </c>
      <c r="J308" s="11" t="s">
        <v>25</v>
      </c>
      <c r="K308" s="11" t="s">
        <v>277</v>
      </c>
      <c r="L308" s="12">
        <v>-1.1499999999999999</v>
      </c>
      <c r="M308" s="11" t="s">
        <v>23</v>
      </c>
      <c r="N308" s="11" t="s">
        <v>230</v>
      </c>
      <c r="O308" s="11" t="s">
        <v>25</v>
      </c>
      <c r="P308" s="11" t="s">
        <v>25</v>
      </c>
      <c r="Q308" s="37">
        <v>5.2521822897034225</v>
      </c>
      <c r="R308" s="11" t="s">
        <v>231</v>
      </c>
      <c r="S308" s="13">
        <f t="shared" si="4"/>
        <v>-1.1499999999999999</v>
      </c>
    </row>
    <row r="309" spans="1:19">
      <c r="A309" s="14" t="s">
        <v>2121</v>
      </c>
      <c r="B309" s="11" t="s">
        <v>319</v>
      </c>
      <c r="C309" s="11" t="s">
        <v>276</v>
      </c>
      <c r="D309" s="11" t="s">
        <v>25</v>
      </c>
      <c r="E309" s="11" t="s">
        <v>25</v>
      </c>
      <c r="F309">
        <v>1.17E-2</v>
      </c>
      <c r="G309">
        <v>5.33</v>
      </c>
      <c r="H309" s="12">
        <v>677.5</v>
      </c>
      <c r="I309" s="11" t="s">
        <v>228</v>
      </c>
      <c r="J309" s="11" t="s">
        <v>25</v>
      </c>
      <c r="K309" s="11" t="s">
        <v>277</v>
      </c>
      <c r="L309" s="12">
        <v>-1.19</v>
      </c>
      <c r="M309" s="11" t="s">
        <v>23</v>
      </c>
      <c r="N309" s="11" t="s">
        <v>230</v>
      </c>
      <c r="O309" s="11" t="s">
        <v>25</v>
      </c>
      <c r="P309" s="11" t="s">
        <v>25</v>
      </c>
      <c r="Q309" s="37">
        <v>3.9947320398557542</v>
      </c>
      <c r="R309" s="11" t="s">
        <v>231</v>
      </c>
      <c r="S309" s="13">
        <f t="shared" si="4"/>
        <v>-1.19</v>
      </c>
    </row>
    <row r="310" spans="1:19">
      <c r="A310" s="14" t="s">
        <v>2121</v>
      </c>
      <c r="B310" s="11" t="s">
        <v>320</v>
      </c>
      <c r="C310" s="11" t="s">
        <v>276</v>
      </c>
      <c r="D310" s="11" t="s">
        <v>25</v>
      </c>
      <c r="E310" s="11" t="s">
        <v>25</v>
      </c>
      <c r="F310">
        <v>1.17E-2</v>
      </c>
      <c r="G310">
        <v>5.33</v>
      </c>
      <c r="H310" s="12">
        <v>687.3</v>
      </c>
      <c r="I310" s="11" t="s">
        <v>228</v>
      </c>
      <c r="J310" s="11" t="s">
        <v>25</v>
      </c>
      <c r="K310" s="11" t="s">
        <v>277</v>
      </c>
      <c r="L310" s="12">
        <v>-1.23</v>
      </c>
      <c r="M310" s="11" t="s">
        <v>23</v>
      </c>
      <c r="N310" s="11" t="s">
        <v>230</v>
      </c>
      <c r="O310" s="11" t="s">
        <v>25</v>
      </c>
      <c r="P310" s="11" t="s">
        <v>25</v>
      </c>
      <c r="Q310" s="37">
        <v>7.106296681491707</v>
      </c>
      <c r="R310" s="11" t="s">
        <v>231</v>
      </c>
      <c r="S310" s="13">
        <f t="shared" si="4"/>
        <v>-1.23</v>
      </c>
    </row>
    <row r="311" spans="1:19">
      <c r="A311" s="14" t="s">
        <v>2121</v>
      </c>
      <c r="B311" s="11" t="s">
        <v>321</v>
      </c>
      <c r="C311" s="11" t="s">
        <v>276</v>
      </c>
      <c r="D311" s="11" t="s">
        <v>25</v>
      </c>
      <c r="E311" s="11" t="s">
        <v>25</v>
      </c>
      <c r="F311">
        <v>1.17E-2</v>
      </c>
      <c r="G311">
        <v>5.33</v>
      </c>
      <c r="H311" s="12">
        <v>696.7</v>
      </c>
      <c r="I311" s="11" t="s">
        <v>228</v>
      </c>
      <c r="J311" s="11" t="s">
        <v>25</v>
      </c>
      <c r="K311" s="11" t="s">
        <v>277</v>
      </c>
      <c r="L311" s="12">
        <v>-1.1764318155942755</v>
      </c>
      <c r="M311" s="11" t="s">
        <v>23</v>
      </c>
      <c r="N311" s="11" t="s">
        <v>230</v>
      </c>
      <c r="O311" s="11" t="s">
        <v>25</v>
      </c>
      <c r="P311" s="11" t="s">
        <v>25</v>
      </c>
      <c r="Q311" s="37">
        <v>4.7261802011569989</v>
      </c>
      <c r="R311" s="11" t="s">
        <v>231</v>
      </c>
      <c r="S311" s="13">
        <f t="shared" si="4"/>
        <v>-1.1764318155942755</v>
      </c>
    </row>
    <row r="312" spans="1:19">
      <c r="A312" s="14" t="s">
        <v>2121</v>
      </c>
      <c r="B312" s="11" t="s">
        <v>322</v>
      </c>
      <c r="C312" s="11" t="s">
        <v>276</v>
      </c>
      <c r="D312" s="11" t="s">
        <v>25</v>
      </c>
      <c r="E312" s="11" t="s">
        <v>25</v>
      </c>
      <c r="F312">
        <v>1.17E-2</v>
      </c>
      <c r="G312">
        <v>5.33</v>
      </c>
      <c r="H312" s="12">
        <v>706.4</v>
      </c>
      <c r="I312" s="11" t="s">
        <v>228</v>
      </c>
      <c r="J312" s="11" t="s">
        <v>25</v>
      </c>
      <c r="K312" s="11" t="s">
        <v>277</v>
      </c>
      <c r="L312" s="12">
        <v>-1.1733333333333336</v>
      </c>
      <c r="M312" s="11" t="s">
        <v>23</v>
      </c>
      <c r="N312" s="11" t="s">
        <v>230</v>
      </c>
      <c r="O312" s="11" t="s">
        <v>25</v>
      </c>
      <c r="P312" s="11" t="s">
        <v>25</v>
      </c>
      <c r="Q312" s="37">
        <v>4.277852508303476</v>
      </c>
      <c r="R312" s="11" t="s">
        <v>231</v>
      </c>
      <c r="S312" s="13">
        <f t="shared" si="4"/>
        <v>-1.1733333333333336</v>
      </c>
    </row>
    <row r="313" spans="1:19">
      <c r="A313" s="14" t="s">
        <v>2121</v>
      </c>
      <c r="B313" s="11" t="s">
        <v>323</v>
      </c>
      <c r="C313" s="11" t="s">
        <v>276</v>
      </c>
      <c r="D313" s="11" t="s">
        <v>25</v>
      </c>
      <c r="E313" s="11" t="s">
        <v>25</v>
      </c>
      <c r="F313">
        <v>1.17E-2</v>
      </c>
      <c r="G313">
        <v>5.33</v>
      </c>
      <c r="H313" s="12">
        <v>716</v>
      </c>
      <c r="I313" s="11" t="s">
        <v>228</v>
      </c>
      <c r="J313" s="11" t="s">
        <v>25</v>
      </c>
      <c r="K313" s="11" t="s">
        <v>277</v>
      </c>
      <c r="L313" s="12">
        <v>-1.1034413480212386</v>
      </c>
      <c r="M313" s="11" t="s">
        <v>23</v>
      </c>
      <c r="N313" s="11" t="s">
        <v>230</v>
      </c>
      <c r="O313" s="11" t="s">
        <v>25</v>
      </c>
      <c r="P313" s="11" t="s">
        <v>25</v>
      </c>
      <c r="Q313" s="37">
        <v>3.8193060593768187</v>
      </c>
      <c r="R313" s="11" t="s">
        <v>231</v>
      </c>
      <c r="S313" s="13">
        <f t="shared" si="4"/>
        <v>-1.1034413480212386</v>
      </c>
    </row>
    <row r="314" spans="1:19">
      <c r="A314" s="14" t="s">
        <v>2121</v>
      </c>
      <c r="B314" s="11" t="s">
        <v>324</v>
      </c>
      <c r="C314" s="11" t="s">
        <v>276</v>
      </c>
      <c r="D314" s="11" t="s">
        <v>25</v>
      </c>
      <c r="E314" s="11" t="s">
        <v>25</v>
      </c>
      <c r="F314">
        <v>1.17E-2</v>
      </c>
      <c r="G314">
        <v>5.33</v>
      </c>
      <c r="H314" s="12">
        <v>725.6</v>
      </c>
      <c r="I314" s="11" t="s">
        <v>228</v>
      </c>
      <c r="J314" s="11" t="s">
        <v>25</v>
      </c>
      <c r="K314" s="11" t="s">
        <v>277</v>
      </c>
      <c r="L314" s="12">
        <v>-1.27</v>
      </c>
      <c r="M314" s="11" t="s">
        <v>23</v>
      </c>
      <c r="N314" s="11" t="s">
        <v>230</v>
      </c>
      <c r="O314" s="11" t="s">
        <v>25</v>
      </c>
      <c r="P314" s="11" t="s">
        <v>25</v>
      </c>
      <c r="Q314" s="37">
        <v>6.4861785914851442</v>
      </c>
      <c r="R314" s="11" t="s">
        <v>231</v>
      </c>
      <c r="S314" s="13">
        <f t="shared" si="4"/>
        <v>-1.27</v>
      </c>
    </row>
    <row r="315" spans="1:19">
      <c r="A315" s="14" t="s">
        <v>2121</v>
      </c>
      <c r="B315" s="11" t="s">
        <v>325</v>
      </c>
      <c r="C315" s="11" t="s">
        <v>276</v>
      </c>
      <c r="D315" s="11" t="s">
        <v>25</v>
      </c>
      <c r="E315" s="11" t="s">
        <v>25</v>
      </c>
      <c r="F315">
        <v>1.17E-2</v>
      </c>
      <c r="G315">
        <v>5.33</v>
      </c>
      <c r="H315" s="12">
        <v>735.2</v>
      </c>
      <c r="I315" s="11" t="s">
        <v>228</v>
      </c>
      <c r="J315" s="11" t="s">
        <v>25</v>
      </c>
      <c r="K315" s="11" t="s">
        <v>277</v>
      </c>
      <c r="L315" s="12">
        <v>-1.2349999999999999</v>
      </c>
      <c r="M315" s="11" t="s">
        <v>23</v>
      </c>
      <c r="N315" s="11" t="s">
        <v>230</v>
      </c>
      <c r="O315" s="11" t="s">
        <v>25</v>
      </c>
      <c r="P315" s="11" t="s">
        <v>25</v>
      </c>
      <c r="Q315" s="37">
        <v>5.0190032851121185</v>
      </c>
      <c r="R315" s="11" t="s">
        <v>231</v>
      </c>
      <c r="S315" s="13">
        <f t="shared" si="4"/>
        <v>-1.2349999999999999</v>
      </c>
    </row>
    <row r="316" spans="1:19">
      <c r="A316" s="14" t="s">
        <v>2121</v>
      </c>
      <c r="B316" s="11" t="s">
        <v>326</v>
      </c>
      <c r="C316" s="11" t="s">
        <v>276</v>
      </c>
      <c r="D316" s="11" t="s">
        <v>25</v>
      </c>
      <c r="E316" s="11" t="s">
        <v>25</v>
      </c>
      <c r="F316">
        <v>1.17E-2</v>
      </c>
      <c r="G316">
        <v>5.33</v>
      </c>
      <c r="H316" s="12">
        <v>744.8</v>
      </c>
      <c r="I316" s="11" t="s">
        <v>228</v>
      </c>
      <c r="J316" s="11" t="s">
        <v>25</v>
      </c>
      <c r="K316" s="11" t="s">
        <v>277</v>
      </c>
      <c r="L316" s="12">
        <v>-1.135</v>
      </c>
      <c r="M316" s="11" t="s">
        <v>23</v>
      </c>
      <c r="N316" s="11" t="s">
        <v>230</v>
      </c>
      <c r="O316" s="11" t="s">
        <v>25</v>
      </c>
      <c r="P316" s="11" t="s">
        <v>25</v>
      </c>
      <c r="Q316" s="37">
        <v>5.2699725967167863</v>
      </c>
      <c r="R316" s="11" t="s">
        <v>231</v>
      </c>
      <c r="S316" s="13">
        <f t="shared" si="4"/>
        <v>-1.135</v>
      </c>
    </row>
    <row r="317" spans="1:19">
      <c r="A317" s="14" t="s">
        <v>2121</v>
      </c>
      <c r="B317" s="11" t="s">
        <v>327</v>
      </c>
      <c r="C317" s="11" t="s">
        <v>276</v>
      </c>
      <c r="D317" s="11" t="s">
        <v>25</v>
      </c>
      <c r="E317" s="11" t="s">
        <v>25</v>
      </c>
      <c r="F317">
        <v>1.17E-2</v>
      </c>
      <c r="G317">
        <v>5.33</v>
      </c>
      <c r="H317" s="12">
        <v>754.5</v>
      </c>
      <c r="I317" s="11" t="s">
        <v>228</v>
      </c>
      <c r="J317" s="11" t="s">
        <v>25</v>
      </c>
      <c r="K317" s="11" t="s">
        <v>277</v>
      </c>
      <c r="L317" s="12">
        <v>-1.3306151811898259</v>
      </c>
      <c r="M317" s="11" t="s">
        <v>23</v>
      </c>
      <c r="N317" s="11" t="s">
        <v>230</v>
      </c>
      <c r="O317" s="11" t="s">
        <v>25</v>
      </c>
      <c r="P317" s="11" t="s">
        <v>25</v>
      </c>
      <c r="Q317" s="37">
        <v>4.7760829023610274</v>
      </c>
      <c r="R317" s="11" t="s">
        <v>231</v>
      </c>
      <c r="S317" s="13">
        <f t="shared" si="4"/>
        <v>-1.3306151811898259</v>
      </c>
    </row>
    <row r="318" spans="1:19">
      <c r="A318" s="14" t="s">
        <v>2121</v>
      </c>
      <c r="B318" s="11" t="s">
        <v>328</v>
      </c>
      <c r="C318" s="11" t="s">
        <v>276</v>
      </c>
      <c r="D318" s="11" t="s">
        <v>25</v>
      </c>
      <c r="E318" s="11" t="s">
        <v>25</v>
      </c>
      <c r="F318">
        <v>1.17E-2</v>
      </c>
      <c r="G318">
        <v>5.33</v>
      </c>
      <c r="H318" s="12">
        <v>766.7</v>
      </c>
      <c r="I318" s="11" t="s">
        <v>228</v>
      </c>
      <c r="J318" s="11" t="s">
        <v>25</v>
      </c>
      <c r="K318" s="11" t="s">
        <v>277</v>
      </c>
      <c r="L318" s="12">
        <v>-1.26</v>
      </c>
      <c r="M318" s="11" t="s">
        <v>23</v>
      </c>
      <c r="N318" s="11" t="s">
        <v>230</v>
      </c>
      <c r="O318" s="11" t="s">
        <v>25</v>
      </c>
      <c r="P318" s="11" t="s">
        <v>25</v>
      </c>
      <c r="Q318" s="37">
        <v>4.4984482370637684</v>
      </c>
      <c r="R318" s="11" t="s">
        <v>231</v>
      </c>
      <c r="S318" s="13">
        <f t="shared" si="4"/>
        <v>-1.26</v>
      </c>
    </row>
    <row r="319" spans="1:19">
      <c r="A319" s="14" t="s">
        <v>2121</v>
      </c>
      <c r="B319" s="11" t="s">
        <v>329</v>
      </c>
      <c r="C319" s="11" t="s">
        <v>276</v>
      </c>
      <c r="D319" s="11" t="s">
        <v>25</v>
      </c>
      <c r="E319" s="11" t="s">
        <v>25</v>
      </c>
      <c r="F319">
        <v>1.17E-2</v>
      </c>
      <c r="G319">
        <v>5.33</v>
      </c>
      <c r="H319" s="12">
        <v>783.4</v>
      </c>
      <c r="I319" s="11" t="s">
        <v>228</v>
      </c>
      <c r="J319" s="11" t="s">
        <v>25</v>
      </c>
      <c r="K319" s="11" t="s">
        <v>277</v>
      </c>
      <c r="L319" s="12">
        <v>-1.2497002286314007</v>
      </c>
      <c r="M319" s="11" t="s">
        <v>23</v>
      </c>
      <c r="N319" s="11" t="s">
        <v>230</v>
      </c>
      <c r="O319" s="11" t="s">
        <v>25</v>
      </c>
      <c r="P319" s="11" t="s">
        <v>25</v>
      </c>
      <c r="Q319" s="37">
        <v>3.001096006936625</v>
      </c>
      <c r="R319" s="11" t="s">
        <v>231</v>
      </c>
      <c r="S319" s="13">
        <f t="shared" si="4"/>
        <v>-1.2497002286314007</v>
      </c>
    </row>
    <row r="320" spans="1:19">
      <c r="A320" s="14" t="s">
        <v>2121</v>
      </c>
      <c r="B320" s="11" t="s">
        <v>330</v>
      </c>
      <c r="C320" s="11" t="s">
        <v>276</v>
      </c>
      <c r="D320" s="11" t="s">
        <v>25</v>
      </c>
      <c r="E320" s="11" t="s">
        <v>25</v>
      </c>
      <c r="F320">
        <v>1.17E-2</v>
      </c>
      <c r="G320">
        <v>5.33</v>
      </c>
      <c r="H320" s="12">
        <v>793</v>
      </c>
      <c r="I320" s="11" t="s">
        <v>228</v>
      </c>
      <c r="J320" s="11" t="s">
        <v>25</v>
      </c>
      <c r="K320" s="11" t="s">
        <v>277</v>
      </c>
      <c r="L320" s="12">
        <v>-1.1399999999999999</v>
      </c>
      <c r="M320" s="11" t="s">
        <v>23</v>
      </c>
      <c r="N320" s="11" t="s">
        <v>230</v>
      </c>
      <c r="O320" s="11" t="s">
        <v>25</v>
      </c>
      <c r="P320" s="11" t="s">
        <v>25</v>
      </c>
      <c r="Q320" s="37">
        <v>3.662222161134232</v>
      </c>
      <c r="R320" s="11" t="s">
        <v>231</v>
      </c>
      <c r="S320" s="13">
        <f t="shared" si="4"/>
        <v>-1.1399999999999999</v>
      </c>
    </row>
    <row r="321" spans="1:19">
      <c r="A321" s="14" t="s">
        <v>2121</v>
      </c>
      <c r="B321" s="11" t="s">
        <v>331</v>
      </c>
      <c r="C321" s="11" t="s">
        <v>276</v>
      </c>
      <c r="D321" s="11" t="s">
        <v>25</v>
      </c>
      <c r="E321" s="11" t="s">
        <v>25</v>
      </c>
      <c r="F321">
        <v>1.17E-2</v>
      </c>
      <c r="G321">
        <v>5.33</v>
      </c>
      <c r="H321" s="12">
        <v>802.6</v>
      </c>
      <c r="I321" s="11" t="s">
        <v>228</v>
      </c>
      <c r="J321" s="11" t="s">
        <v>25</v>
      </c>
      <c r="K321" s="11" t="s">
        <v>277</v>
      </c>
      <c r="L321" s="12">
        <v>-1.3253928768267254</v>
      </c>
      <c r="M321" s="11" t="s">
        <v>23</v>
      </c>
      <c r="N321" s="11" t="s">
        <v>230</v>
      </c>
      <c r="O321" s="11" t="s">
        <v>25</v>
      </c>
      <c r="P321" s="11" t="s">
        <v>25</v>
      </c>
      <c r="Q321" s="37">
        <v>3.7109652135798363</v>
      </c>
      <c r="R321" s="11" t="s">
        <v>231</v>
      </c>
      <c r="S321" s="13">
        <f t="shared" si="4"/>
        <v>-1.3253928768267254</v>
      </c>
    </row>
    <row r="322" spans="1:19">
      <c r="A322" s="14" t="s">
        <v>2121</v>
      </c>
      <c r="B322" s="11" t="s">
        <v>332</v>
      </c>
      <c r="C322" s="11" t="s">
        <v>276</v>
      </c>
      <c r="D322" s="11" t="s">
        <v>25</v>
      </c>
      <c r="E322" s="11" t="s">
        <v>25</v>
      </c>
      <c r="F322">
        <v>1.17E-2</v>
      </c>
      <c r="G322">
        <v>5.33</v>
      </c>
      <c r="H322" s="12">
        <v>815</v>
      </c>
      <c r="I322" s="11" t="s">
        <v>228</v>
      </c>
      <c r="J322" s="11" t="s">
        <v>25</v>
      </c>
      <c r="K322" s="11" t="s">
        <v>277</v>
      </c>
      <c r="L322" s="12">
        <v>-1.37</v>
      </c>
      <c r="M322" s="11" t="s">
        <v>23</v>
      </c>
      <c r="N322" s="11" t="s">
        <v>230</v>
      </c>
      <c r="O322" s="11" t="s">
        <v>25</v>
      </c>
      <c r="P322" s="11" t="s">
        <v>25</v>
      </c>
      <c r="Q322" s="37">
        <v>4.4384604564246128</v>
      </c>
      <c r="R322" s="11" t="s">
        <v>231</v>
      </c>
      <c r="S322" s="13">
        <f t="shared" si="4"/>
        <v>-1.37</v>
      </c>
    </row>
    <row r="323" spans="1:19">
      <c r="A323" s="14" t="s">
        <v>2121</v>
      </c>
      <c r="B323" s="11" t="s">
        <v>333</v>
      </c>
      <c r="C323" s="11" t="s">
        <v>276</v>
      </c>
      <c r="D323" s="11" t="s">
        <v>25</v>
      </c>
      <c r="E323" s="11" t="s">
        <v>25</v>
      </c>
      <c r="F323">
        <v>1.17E-2</v>
      </c>
      <c r="G323">
        <v>5.33</v>
      </c>
      <c r="H323" s="12">
        <v>824.5</v>
      </c>
      <c r="I323" s="11" t="s">
        <v>228</v>
      </c>
      <c r="J323" s="11" t="s">
        <v>25</v>
      </c>
      <c r="K323" s="11" t="s">
        <v>277</v>
      </c>
      <c r="L323" s="12">
        <v>-1.461045293506108</v>
      </c>
      <c r="M323" s="11" t="s">
        <v>23</v>
      </c>
      <c r="N323" s="11" t="s">
        <v>230</v>
      </c>
      <c r="O323" s="11" t="s">
        <v>25</v>
      </c>
      <c r="P323" s="11" t="s">
        <v>25</v>
      </c>
      <c r="Q323" s="37">
        <v>3.5151570801832031</v>
      </c>
      <c r="R323" s="11" t="s">
        <v>231</v>
      </c>
      <c r="S323" s="13">
        <f t="shared" ref="S323:S386" si="5">IF(NOT(N323="SW"),L323-1.88,L323)</f>
        <v>-1.461045293506108</v>
      </c>
    </row>
    <row r="324" spans="1:19">
      <c r="A324" s="14" t="s">
        <v>2121</v>
      </c>
      <c r="B324" s="11" t="s">
        <v>334</v>
      </c>
      <c r="C324" s="11" t="s">
        <v>276</v>
      </c>
      <c r="D324" s="11" t="s">
        <v>25</v>
      </c>
      <c r="E324" s="11" t="s">
        <v>25</v>
      </c>
      <c r="F324">
        <v>1.17E-2</v>
      </c>
      <c r="G324">
        <v>5.33</v>
      </c>
      <c r="H324" s="12">
        <v>841.1</v>
      </c>
      <c r="I324" s="11" t="s">
        <v>228</v>
      </c>
      <c r="J324" s="11" t="s">
        <v>25</v>
      </c>
      <c r="K324" s="11" t="s">
        <v>277</v>
      </c>
      <c r="L324" s="12">
        <v>-1.06</v>
      </c>
      <c r="M324" s="11" t="s">
        <v>23</v>
      </c>
      <c r="N324" s="11" t="s">
        <v>230</v>
      </c>
      <c r="O324" s="11" t="s">
        <v>25</v>
      </c>
      <c r="P324" s="11" t="s">
        <v>25</v>
      </c>
      <c r="Q324" s="37">
        <v>2.9371027074633549</v>
      </c>
      <c r="R324" s="11" t="s">
        <v>231</v>
      </c>
      <c r="S324" s="13">
        <f t="shared" si="5"/>
        <v>-1.06</v>
      </c>
    </row>
    <row r="325" spans="1:19">
      <c r="A325" s="14" t="s">
        <v>2121</v>
      </c>
      <c r="B325" s="11" t="s">
        <v>335</v>
      </c>
      <c r="C325" s="11" t="s">
        <v>276</v>
      </c>
      <c r="D325" s="11" t="s">
        <v>25</v>
      </c>
      <c r="E325" s="11" t="s">
        <v>25</v>
      </c>
      <c r="F325">
        <v>1.17E-2</v>
      </c>
      <c r="G325">
        <v>5.33</v>
      </c>
      <c r="H325" s="12">
        <v>860.3</v>
      </c>
      <c r="I325" s="11" t="s">
        <v>228</v>
      </c>
      <c r="J325" s="11" t="s">
        <v>25</v>
      </c>
      <c r="K325" s="11" t="s">
        <v>277</v>
      </c>
      <c r="L325" s="12">
        <v>-1.29</v>
      </c>
      <c r="M325" s="11" t="s">
        <v>23</v>
      </c>
      <c r="N325" s="11" t="s">
        <v>230</v>
      </c>
      <c r="O325" s="11" t="s">
        <v>25</v>
      </c>
      <c r="P325" s="11" t="s">
        <v>25</v>
      </c>
      <c r="Q325" s="37">
        <v>3.1724780492415734</v>
      </c>
      <c r="R325" s="11" t="s">
        <v>231</v>
      </c>
      <c r="S325" s="13">
        <f t="shared" si="5"/>
        <v>-1.29</v>
      </c>
    </row>
    <row r="326" spans="1:19">
      <c r="A326" s="14" t="s">
        <v>2121</v>
      </c>
      <c r="B326" s="11" t="s">
        <v>336</v>
      </c>
      <c r="C326" s="11" t="s">
        <v>276</v>
      </c>
      <c r="D326" s="11" t="s">
        <v>25</v>
      </c>
      <c r="E326" s="11" t="s">
        <v>25</v>
      </c>
      <c r="F326">
        <v>1.17E-2</v>
      </c>
      <c r="G326">
        <v>5.33</v>
      </c>
      <c r="H326" s="12">
        <v>879.5</v>
      </c>
      <c r="I326" s="11" t="s">
        <v>228</v>
      </c>
      <c r="J326" s="11" t="s">
        <v>25</v>
      </c>
      <c r="K326" s="11" t="s">
        <v>277</v>
      </c>
      <c r="L326" s="12">
        <v>-1.23</v>
      </c>
      <c r="M326" s="11" t="s">
        <v>23</v>
      </c>
      <c r="N326" s="11" t="s">
        <v>230</v>
      </c>
      <c r="O326" s="11" t="s">
        <v>25</v>
      </c>
      <c r="P326" s="11" t="s">
        <v>25</v>
      </c>
      <c r="Q326" s="37">
        <v>3.549130321207667</v>
      </c>
      <c r="R326" s="11" t="s">
        <v>231</v>
      </c>
      <c r="S326" s="13">
        <f t="shared" si="5"/>
        <v>-1.23</v>
      </c>
    </row>
    <row r="327" spans="1:19">
      <c r="A327" s="14" t="s">
        <v>2121</v>
      </c>
      <c r="B327" s="11" t="s">
        <v>337</v>
      </c>
      <c r="C327" s="11" t="s">
        <v>276</v>
      </c>
      <c r="D327" s="11" t="s">
        <v>25</v>
      </c>
      <c r="E327" s="11" t="s">
        <v>25</v>
      </c>
      <c r="F327">
        <v>1.17E-2</v>
      </c>
      <c r="G327">
        <v>5.33</v>
      </c>
      <c r="H327" s="12">
        <v>898.8</v>
      </c>
      <c r="I327" s="11" t="s">
        <v>228</v>
      </c>
      <c r="J327" s="11" t="s">
        <v>25</v>
      </c>
      <c r="K327" s="11" t="s">
        <v>277</v>
      </c>
      <c r="L327" s="12">
        <v>-1.1724279957199113</v>
      </c>
      <c r="M327" s="11" t="s">
        <v>23</v>
      </c>
      <c r="N327" s="11" t="s">
        <v>230</v>
      </c>
      <c r="O327" s="11" t="s">
        <v>25</v>
      </c>
      <c r="P327" s="11" t="s">
        <v>25</v>
      </c>
      <c r="Q327" s="37">
        <v>3.1427609434574313</v>
      </c>
      <c r="R327" s="11" t="s">
        <v>231</v>
      </c>
      <c r="S327" s="13">
        <f t="shared" si="5"/>
        <v>-1.1724279957199113</v>
      </c>
    </row>
    <row r="328" spans="1:19">
      <c r="A328" s="14" t="s">
        <v>2121</v>
      </c>
      <c r="B328" s="11" t="s">
        <v>338</v>
      </c>
      <c r="C328" s="11" t="s">
        <v>276</v>
      </c>
      <c r="D328" s="11" t="s">
        <v>25</v>
      </c>
      <c r="E328" s="11" t="s">
        <v>25</v>
      </c>
      <c r="F328">
        <v>1.17E-2</v>
      </c>
      <c r="G328">
        <v>5.33</v>
      </c>
      <c r="H328" s="12">
        <v>908</v>
      </c>
      <c r="I328" s="11" t="s">
        <v>228</v>
      </c>
      <c r="J328" s="11" t="s">
        <v>25</v>
      </c>
      <c r="K328" s="11" t="s">
        <v>277</v>
      </c>
      <c r="L328" s="12">
        <v>-1.5</v>
      </c>
      <c r="M328" s="11" t="s">
        <v>23</v>
      </c>
      <c r="N328" s="11" t="s">
        <v>230</v>
      </c>
      <c r="O328" s="11" t="s">
        <v>25</v>
      </c>
      <c r="P328" s="11" t="s">
        <v>25</v>
      </c>
      <c r="Q328" s="37">
        <v>3.5836786505048224</v>
      </c>
      <c r="R328" s="11" t="s">
        <v>231</v>
      </c>
      <c r="S328" s="13">
        <f t="shared" si="5"/>
        <v>-1.5</v>
      </c>
    </row>
    <row r="329" spans="1:19">
      <c r="A329" s="14" t="s">
        <v>2121</v>
      </c>
      <c r="B329" s="11" t="s">
        <v>339</v>
      </c>
      <c r="C329" s="11" t="s">
        <v>276</v>
      </c>
      <c r="D329" s="11" t="s">
        <v>25</v>
      </c>
      <c r="E329" s="11" t="s">
        <v>25</v>
      </c>
      <c r="F329">
        <v>1.17E-2</v>
      </c>
      <c r="G329">
        <v>5.33</v>
      </c>
      <c r="H329" s="12">
        <v>937.3</v>
      </c>
      <c r="I329" s="11" t="s">
        <v>228</v>
      </c>
      <c r="J329" s="11" t="s">
        <v>25</v>
      </c>
      <c r="K329" s="11" t="s">
        <v>277</v>
      </c>
      <c r="L329" s="12">
        <v>-1.46</v>
      </c>
      <c r="M329" s="11" t="s">
        <v>23</v>
      </c>
      <c r="N329" s="11" t="s">
        <v>230</v>
      </c>
      <c r="O329" s="11" t="s">
        <v>25</v>
      </c>
      <c r="P329" s="11" t="s">
        <v>25</v>
      </c>
      <c r="Q329" s="37">
        <v>3.9566207154616575</v>
      </c>
      <c r="R329" s="11" t="s">
        <v>231</v>
      </c>
      <c r="S329" s="13">
        <f t="shared" si="5"/>
        <v>-1.46</v>
      </c>
    </row>
    <row r="330" spans="1:19">
      <c r="A330" s="14" t="s">
        <v>2121</v>
      </c>
      <c r="B330" s="11" t="s">
        <v>340</v>
      </c>
      <c r="C330" s="11" t="s">
        <v>276</v>
      </c>
      <c r="D330" s="11" t="s">
        <v>25</v>
      </c>
      <c r="E330" s="11" t="s">
        <v>25</v>
      </c>
      <c r="F330">
        <v>1.17E-2</v>
      </c>
      <c r="G330">
        <v>5.33</v>
      </c>
      <c r="H330" s="12">
        <v>956.5</v>
      </c>
      <c r="I330" s="11" t="s">
        <v>228</v>
      </c>
      <c r="J330" s="11" t="s">
        <v>25</v>
      </c>
      <c r="K330" s="11" t="s">
        <v>277</v>
      </c>
      <c r="L330" s="12">
        <v>-1.26</v>
      </c>
      <c r="M330" s="11" t="s">
        <v>23</v>
      </c>
      <c r="N330" s="11" t="s">
        <v>230</v>
      </c>
      <c r="O330" s="11" t="s">
        <v>25</v>
      </c>
      <c r="P330" s="11" t="s">
        <v>25</v>
      </c>
      <c r="Q330" s="37">
        <v>2.8677048855270209</v>
      </c>
      <c r="R330" s="11" t="s">
        <v>231</v>
      </c>
      <c r="S330" s="13">
        <f t="shared" si="5"/>
        <v>-1.26</v>
      </c>
    </row>
    <row r="331" spans="1:19">
      <c r="A331" s="14" t="s">
        <v>2121</v>
      </c>
      <c r="B331" s="11" t="s">
        <v>341</v>
      </c>
      <c r="C331" s="11" t="s">
        <v>276</v>
      </c>
      <c r="D331" s="11" t="s">
        <v>25</v>
      </c>
      <c r="E331" s="11" t="s">
        <v>25</v>
      </c>
      <c r="F331">
        <v>1.17E-2</v>
      </c>
      <c r="G331">
        <v>5.33</v>
      </c>
      <c r="H331" s="12">
        <v>975.7</v>
      </c>
      <c r="I331" s="11" t="s">
        <v>228</v>
      </c>
      <c r="J331" s="11" t="s">
        <v>25</v>
      </c>
      <c r="K331" s="11" t="s">
        <v>277</v>
      </c>
      <c r="L331" s="12">
        <v>-1.085</v>
      </c>
      <c r="M331" s="11" t="s">
        <v>23</v>
      </c>
      <c r="N331" s="11" t="s">
        <v>230</v>
      </c>
      <c r="O331" s="11" t="s">
        <v>25</v>
      </c>
      <c r="P331" s="11" t="s">
        <v>25</v>
      </c>
      <c r="Q331" s="37">
        <v>3.7934326500186546</v>
      </c>
      <c r="R331" s="11" t="s">
        <v>231</v>
      </c>
      <c r="S331" s="13">
        <f t="shared" si="5"/>
        <v>-1.085</v>
      </c>
    </row>
    <row r="332" spans="1:19">
      <c r="A332" s="14" t="s">
        <v>2121</v>
      </c>
      <c r="B332" s="11" t="s">
        <v>342</v>
      </c>
      <c r="C332" s="11" t="s">
        <v>276</v>
      </c>
      <c r="D332" s="11" t="s">
        <v>25</v>
      </c>
      <c r="E332" s="11" t="s">
        <v>25</v>
      </c>
      <c r="F332">
        <v>1.17E-2</v>
      </c>
      <c r="G332">
        <v>5.33</v>
      </c>
      <c r="H332" s="12">
        <v>995</v>
      </c>
      <c r="I332" s="11" t="s">
        <v>228</v>
      </c>
      <c r="J332" s="11" t="s">
        <v>25</v>
      </c>
      <c r="K332" s="11" t="s">
        <v>277</v>
      </c>
      <c r="L332" s="12">
        <v>-1.2735264440156913</v>
      </c>
      <c r="M332" s="11" t="s">
        <v>23</v>
      </c>
      <c r="N332" s="11" t="s">
        <v>230</v>
      </c>
      <c r="O332" s="11" t="s">
        <v>25</v>
      </c>
      <c r="P332" s="11" t="s">
        <v>25</v>
      </c>
      <c r="Q332" s="37">
        <v>3.4845780868436749</v>
      </c>
      <c r="R332" s="11" t="s">
        <v>231</v>
      </c>
      <c r="S332" s="13">
        <f t="shared" si="5"/>
        <v>-1.2735264440156913</v>
      </c>
    </row>
    <row r="333" spans="1:19">
      <c r="A333" s="14" t="s">
        <v>2121</v>
      </c>
      <c r="B333" s="11" t="s">
        <v>343</v>
      </c>
      <c r="C333" s="11" t="s">
        <v>276</v>
      </c>
      <c r="D333" s="11" t="s">
        <v>25</v>
      </c>
      <c r="E333" s="11" t="s">
        <v>25</v>
      </c>
      <c r="F333">
        <v>1.17E-2</v>
      </c>
      <c r="G333">
        <v>5.33</v>
      </c>
      <c r="H333" s="12">
        <v>1016.9</v>
      </c>
      <c r="I333" s="11" t="s">
        <v>228</v>
      </c>
      <c r="J333" s="11" t="s">
        <v>25</v>
      </c>
      <c r="K333" s="11" t="s">
        <v>277</v>
      </c>
      <c r="L333" s="12">
        <v>-1.22</v>
      </c>
      <c r="M333" s="11" t="s">
        <v>23</v>
      </c>
      <c r="N333" s="11" t="s">
        <v>230</v>
      </c>
      <c r="O333" s="11" t="s">
        <v>25</v>
      </c>
      <c r="P333" s="11" t="s">
        <v>25</v>
      </c>
      <c r="Q333" s="37">
        <v>2.7445556656392367</v>
      </c>
      <c r="R333" s="11" t="s">
        <v>231</v>
      </c>
      <c r="S333" s="13">
        <f t="shared" si="5"/>
        <v>-1.22</v>
      </c>
    </row>
    <row r="334" spans="1:19">
      <c r="A334" s="14" t="s">
        <v>2121</v>
      </c>
      <c r="B334" s="11" t="s">
        <v>344</v>
      </c>
      <c r="C334" s="11" t="s">
        <v>276</v>
      </c>
      <c r="D334" s="11" t="s">
        <v>25</v>
      </c>
      <c r="E334" s="11" t="s">
        <v>25</v>
      </c>
      <c r="F334">
        <v>1.17E-2</v>
      </c>
      <c r="G334">
        <v>5.33</v>
      </c>
      <c r="H334" s="12">
        <v>1023.9</v>
      </c>
      <c r="I334" s="11" t="s">
        <v>228</v>
      </c>
      <c r="J334" s="11" t="s">
        <v>25</v>
      </c>
      <c r="K334" s="11" t="s">
        <v>277</v>
      </c>
      <c r="L334" s="12">
        <v>-1.10872448186215</v>
      </c>
      <c r="M334" s="11" t="s">
        <v>23</v>
      </c>
      <c r="N334" s="11" t="s">
        <v>230</v>
      </c>
      <c r="O334" s="11" t="s">
        <v>25</v>
      </c>
      <c r="P334" s="11" t="s">
        <v>25</v>
      </c>
      <c r="Q334" s="37">
        <v>3.0193752389307091</v>
      </c>
      <c r="R334" s="11" t="s">
        <v>231</v>
      </c>
      <c r="S334" s="13">
        <f t="shared" si="5"/>
        <v>-1.10872448186215</v>
      </c>
    </row>
    <row r="335" spans="1:19">
      <c r="A335" s="14" t="s">
        <v>2121</v>
      </c>
      <c r="B335" s="11" t="s">
        <v>345</v>
      </c>
      <c r="C335" s="11" t="s">
        <v>276</v>
      </c>
      <c r="D335" s="11" t="s">
        <v>25</v>
      </c>
      <c r="E335" s="11" t="s">
        <v>25</v>
      </c>
      <c r="F335">
        <v>1.17E-2</v>
      </c>
      <c r="G335">
        <v>5.33</v>
      </c>
      <c r="H335" s="12">
        <v>9</v>
      </c>
      <c r="I335" s="11" t="s">
        <v>346</v>
      </c>
      <c r="J335" s="11" t="s">
        <v>25</v>
      </c>
      <c r="K335" s="11" t="s">
        <v>25</v>
      </c>
      <c r="L335" s="12">
        <v>-7.9003876596421121E-2</v>
      </c>
      <c r="M335" s="11" t="s">
        <v>23</v>
      </c>
      <c r="N335" s="11" t="s">
        <v>230</v>
      </c>
      <c r="O335" s="12">
        <v>130</v>
      </c>
      <c r="P335" s="11" t="s">
        <v>347</v>
      </c>
      <c r="Q335" s="37" t="s">
        <v>25</v>
      </c>
      <c r="R335" s="11" t="s">
        <v>25</v>
      </c>
      <c r="S335" s="13">
        <f t="shared" si="5"/>
        <v>-7.9003876596421121E-2</v>
      </c>
    </row>
    <row r="336" spans="1:19">
      <c r="A336" s="14" t="s">
        <v>2121</v>
      </c>
      <c r="B336" s="11" t="s">
        <v>348</v>
      </c>
      <c r="C336" s="11" t="s">
        <v>276</v>
      </c>
      <c r="D336" s="11" t="s">
        <v>25</v>
      </c>
      <c r="E336" s="11" t="s">
        <v>25</v>
      </c>
      <c r="F336">
        <v>1.17E-2</v>
      </c>
      <c r="G336">
        <v>5.33</v>
      </c>
      <c r="H336" s="12">
        <v>12.4</v>
      </c>
      <c r="I336" s="11" t="s">
        <v>346</v>
      </c>
      <c r="J336" s="11" t="s">
        <v>25</v>
      </c>
      <c r="K336" s="11" t="s">
        <v>25</v>
      </c>
      <c r="L336" s="12">
        <v>-7.5539991339405435E-2</v>
      </c>
      <c r="M336" s="11" t="s">
        <v>23</v>
      </c>
      <c r="N336" s="11" t="s">
        <v>230</v>
      </c>
      <c r="O336" s="12">
        <v>128</v>
      </c>
      <c r="P336" s="11" t="s">
        <v>347</v>
      </c>
      <c r="Q336" s="37" t="s">
        <v>25</v>
      </c>
      <c r="R336" s="11" t="s">
        <v>25</v>
      </c>
      <c r="S336" s="13">
        <f t="shared" si="5"/>
        <v>-7.5539991339405435E-2</v>
      </c>
    </row>
    <row r="337" spans="1:19">
      <c r="A337" s="14" t="s">
        <v>2121</v>
      </c>
      <c r="B337" s="11" t="s">
        <v>349</v>
      </c>
      <c r="C337" s="11" t="s">
        <v>276</v>
      </c>
      <c r="D337" s="11" t="s">
        <v>25</v>
      </c>
      <c r="E337" s="11" t="s">
        <v>25</v>
      </c>
      <c r="F337">
        <v>1.17E-2</v>
      </c>
      <c r="G337">
        <v>5.33</v>
      </c>
      <c r="H337" s="12">
        <v>15.4</v>
      </c>
      <c r="I337" s="11" t="s">
        <v>346</v>
      </c>
      <c r="J337" s="11" t="s">
        <v>25</v>
      </c>
      <c r="K337" s="11" t="s">
        <v>25</v>
      </c>
      <c r="L337" s="12">
        <v>-0.18311546538859397</v>
      </c>
      <c r="M337" s="11" t="s">
        <v>23</v>
      </c>
      <c r="N337" s="11" t="s">
        <v>230</v>
      </c>
      <c r="O337" s="12">
        <v>145</v>
      </c>
      <c r="P337" s="11" t="s">
        <v>347</v>
      </c>
      <c r="Q337" s="37" t="s">
        <v>25</v>
      </c>
      <c r="R337" s="11" t="s">
        <v>25</v>
      </c>
      <c r="S337" s="13">
        <f t="shared" si="5"/>
        <v>-0.18311546538859397</v>
      </c>
    </row>
    <row r="338" spans="1:19">
      <c r="A338" s="14" t="s">
        <v>2121</v>
      </c>
      <c r="B338" s="11" t="s">
        <v>350</v>
      </c>
      <c r="C338" s="11" t="s">
        <v>276</v>
      </c>
      <c r="D338" s="11" t="s">
        <v>25</v>
      </c>
      <c r="E338" s="11" t="s">
        <v>25</v>
      </c>
      <c r="F338">
        <v>1.17E-2</v>
      </c>
      <c r="G338">
        <v>5.33</v>
      </c>
      <c r="H338" s="12">
        <v>21.9</v>
      </c>
      <c r="I338" s="11" t="s">
        <v>346</v>
      </c>
      <c r="J338" s="11" t="s">
        <v>25</v>
      </c>
      <c r="K338" s="11" t="s">
        <v>25</v>
      </c>
      <c r="L338" s="12">
        <v>-0.48387463862480323</v>
      </c>
      <c r="M338" s="11" t="s">
        <v>23</v>
      </c>
      <c r="N338" s="11" t="s">
        <v>230</v>
      </c>
      <c r="O338" s="12">
        <v>190</v>
      </c>
      <c r="P338" s="11" t="s">
        <v>347</v>
      </c>
      <c r="Q338" s="37" t="s">
        <v>25</v>
      </c>
      <c r="R338" s="11" t="s">
        <v>25</v>
      </c>
      <c r="S338" s="13">
        <f t="shared" si="5"/>
        <v>-0.48387463862480323</v>
      </c>
    </row>
    <row r="339" spans="1:19">
      <c r="A339" s="14" t="s">
        <v>2121</v>
      </c>
      <c r="B339" s="11" t="s">
        <v>351</v>
      </c>
      <c r="C339" s="11" t="s">
        <v>276</v>
      </c>
      <c r="D339" s="11" t="s">
        <v>25</v>
      </c>
      <c r="E339" s="11" t="s">
        <v>25</v>
      </c>
      <c r="F339">
        <v>1.17E-2</v>
      </c>
      <c r="G339">
        <v>5.33</v>
      </c>
      <c r="H339" s="12">
        <v>24.9</v>
      </c>
      <c r="I339" s="11" t="s">
        <v>346</v>
      </c>
      <c r="J339" s="11" t="s">
        <v>25</v>
      </c>
      <c r="K339" s="11" t="s">
        <v>25</v>
      </c>
      <c r="L339" s="12">
        <v>-0.58347994232734235</v>
      </c>
      <c r="M339" s="11" t="s">
        <v>23</v>
      </c>
      <c r="N339" s="11" t="s">
        <v>230</v>
      </c>
      <c r="O339" s="12">
        <v>240</v>
      </c>
      <c r="P339" s="11" t="s">
        <v>347</v>
      </c>
      <c r="Q339" s="37" t="s">
        <v>25</v>
      </c>
      <c r="R339" s="11" t="s">
        <v>25</v>
      </c>
      <c r="S339" s="13">
        <f t="shared" si="5"/>
        <v>-0.58347994232734235</v>
      </c>
    </row>
    <row r="340" spans="1:19">
      <c r="A340" s="14" t="s">
        <v>2121</v>
      </c>
      <c r="B340" s="11" t="s">
        <v>352</v>
      </c>
      <c r="C340" s="11" t="s">
        <v>276</v>
      </c>
      <c r="D340" s="11" t="s">
        <v>25</v>
      </c>
      <c r="E340" s="11" t="s">
        <v>25</v>
      </c>
      <c r="F340">
        <v>1.17E-2</v>
      </c>
      <c r="G340">
        <v>5.33</v>
      </c>
      <c r="H340" s="12">
        <v>47.4</v>
      </c>
      <c r="I340" s="11" t="s">
        <v>346</v>
      </c>
      <c r="J340" s="11" t="s">
        <v>25</v>
      </c>
      <c r="K340" s="11" t="s">
        <v>25</v>
      </c>
      <c r="L340" s="12">
        <v>-0.78775394068881599</v>
      </c>
      <c r="M340" s="11" t="s">
        <v>23</v>
      </c>
      <c r="N340" s="11" t="s">
        <v>230</v>
      </c>
      <c r="O340" s="12">
        <v>794</v>
      </c>
      <c r="P340" s="11" t="s">
        <v>347</v>
      </c>
      <c r="Q340" s="37" t="s">
        <v>25</v>
      </c>
      <c r="R340" s="11" t="s">
        <v>25</v>
      </c>
      <c r="S340" s="13">
        <f t="shared" si="5"/>
        <v>-0.78775394068881599</v>
      </c>
    </row>
    <row r="341" spans="1:19">
      <c r="A341" s="14" t="s">
        <v>2121</v>
      </c>
      <c r="B341" s="11" t="s">
        <v>353</v>
      </c>
      <c r="C341" s="11" t="s">
        <v>276</v>
      </c>
      <c r="D341" s="11" t="s">
        <v>25</v>
      </c>
      <c r="E341" s="11" t="s">
        <v>25</v>
      </c>
      <c r="F341">
        <v>1.17E-2</v>
      </c>
      <c r="G341">
        <v>5.33</v>
      </c>
      <c r="H341" s="12">
        <v>64.900000000000006</v>
      </c>
      <c r="I341" s="11" t="s">
        <v>346</v>
      </c>
      <c r="J341" s="11" t="s">
        <v>25</v>
      </c>
      <c r="K341" s="11" t="s">
        <v>25</v>
      </c>
      <c r="L341" s="12">
        <v>-0.96</v>
      </c>
      <c r="M341" s="11" t="s">
        <v>23</v>
      </c>
      <c r="N341" s="11" t="s">
        <v>230</v>
      </c>
      <c r="O341" s="12">
        <v>860</v>
      </c>
      <c r="P341" s="11" t="s">
        <v>347</v>
      </c>
      <c r="Q341" s="37" t="s">
        <v>25</v>
      </c>
      <c r="R341" s="11" t="s">
        <v>25</v>
      </c>
      <c r="S341" s="13">
        <f t="shared" si="5"/>
        <v>-0.96</v>
      </c>
    </row>
    <row r="342" spans="1:19">
      <c r="A342" s="14" t="s">
        <v>2121</v>
      </c>
      <c r="B342" s="11" t="s">
        <v>354</v>
      </c>
      <c r="C342" s="11" t="s">
        <v>276</v>
      </c>
      <c r="D342" s="11" t="s">
        <v>25</v>
      </c>
      <c r="E342" s="11" t="s">
        <v>25</v>
      </c>
      <c r="F342">
        <v>1.17E-2</v>
      </c>
      <c r="G342">
        <v>5.33</v>
      </c>
      <c r="H342" s="12">
        <v>72.8</v>
      </c>
      <c r="I342" s="11" t="s">
        <v>346</v>
      </c>
      <c r="J342" s="11" t="s">
        <v>25</v>
      </c>
      <c r="K342" s="11" t="s">
        <v>25</v>
      </c>
      <c r="L342" s="12">
        <v>-1.1000000000000001</v>
      </c>
      <c r="M342" s="11" t="s">
        <v>23</v>
      </c>
      <c r="N342" s="11" t="s">
        <v>230</v>
      </c>
      <c r="O342" s="12">
        <v>968</v>
      </c>
      <c r="P342" s="11" t="s">
        <v>347</v>
      </c>
      <c r="Q342" s="37" t="s">
        <v>25</v>
      </c>
      <c r="R342" s="11" t="s">
        <v>25</v>
      </c>
      <c r="S342" s="13">
        <f t="shared" si="5"/>
        <v>-1.1000000000000001</v>
      </c>
    </row>
    <row r="343" spans="1:19">
      <c r="A343" s="14" t="s">
        <v>2121</v>
      </c>
      <c r="B343" s="11" t="s">
        <v>355</v>
      </c>
      <c r="C343" s="11" t="s">
        <v>276</v>
      </c>
      <c r="D343" s="11" t="s">
        <v>25</v>
      </c>
      <c r="E343" s="11" t="s">
        <v>25</v>
      </c>
      <c r="F343">
        <v>1.17E-2</v>
      </c>
      <c r="G343">
        <v>5.33</v>
      </c>
      <c r="H343" s="12">
        <v>136.9</v>
      </c>
      <c r="I343" s="11" t="s">
        <v>346</v>
      </c>
      <c r="J343" s="11" t="s">
        <v>25</v>
      </c>
      <c r="K343" s="11" t="s">
        <v>25</v>
      </c>
      <c r="L343" s="12">
        <v>-0.96</v>
      </c>
      <c r="M343" s="11" t="s">
        <v>23</v>
      </c>
      <c r="N343" s="11" t="s">
        <v>230</v>
      </c>
      <c r="O343" s="12">
        <v>1071</v>
      </c>
      <c r="P343" s="11" t="s">
        <v>347</v>
      </c>
      <c r="Q343" s="37" t="s">
        <v>25</v>
      </c>
      <c r="R343" s="11" t="s">
        <v>25</v>
      </c>
      <c r="S343" s="13">
        <f t="shared" si="5"/>
        <v>-0.96</v>
      </c>
    </row>
    <row r="344" spans="1:19">
      <c r="A344" s="14" t="s">
        <v>2121</v>
      </c>
      <c r="B344" s="11" t="s">
        <v>356</v>
      </c>
      <c r="C344" s="11" t="s">
        <v>276</v>
      </c>
      <c r="D344" s="11" t="s">
        <v>25</v>
      </c>
      <c r="E344" s="11" t="s">
        <v>25</v>
      </c>
      <c r="F344">
        <v>1.17E-2</v>
      </c>
      <c r="G344">
        <v>5.33</v>
      </c>
      <c r="H344" s="12">
        <v>142.80000000000001</v>
      </c>
      <c r="I344" s="11" t="s">
        <v>346</v>
      </c>
      <c r="J344" s="11" t="s">
        <v>25</v>
      </c>
      <c r="K344" s="11" t="s">
        <v>25</v>
      </c>
      <c r="L344" s="12">
        <v>-0.9721703574239271</v>
      </c>
      <c r="M344" s="11" t="s">
        <v>23</v>
      </c>
      <c r="N344" s="11" t="s">
        <v>230</v>
      </c>
      <c r="O344" s="12">
        <v>999</v>
      </c>
      <c r="P344" s="11" t="s">
        <v>347</v>
      </c>
      <c r="Q344" s="37" t="s">
        <v>25</v>
      </c>
      <c r="R344" s="11" t="s">
        <v>25</v>
      </c>
      <c r="S344" s="13">
        <f t="shared" si="5"/>
        <v>-0.9721703574239271</v>
      </c>
    </row>
    <row r="345" spans="1:19">
      <c r="A345" s="14" t="s">
        <v>2121</v>
      </c>
      <c r="B345" s="11" t="s">
        <v>357</v>
      </c>
      <c r="C345" s="11" t="s">
        <v>276</v>
      </c>
      <c r="D345" s="11" t="s">
        <v>25</v>
      </c>
      <c r="E345" s="11" t="s">
        <v>25</v>
      </c>
      <c r="F345">
        <v>1.17E-2</v>
      </c>
      <c r="G345">
        <v>5.33</v>
      </c>
      <c r="H345" s="12">
        <v>153.19999999999999</v>
      </c>
      <c r="I345" s="11" t="s">
        <v>346</v>
      </c>
      <c r="J345" s="11" t="s">
        <v>25</v>
      </c>
      <c r="K345" s="11" t="s">
        <v>25</v>
      </c>
      <c r="L345" s="12">
        <v>-0.7564573603811745</v>
      </c>
      <c r="M345" s="11" t="s">
        <v>23</v>
      </c>
      <c r="N345" s="11" t="s">
        <v>230</v>
      </c>
      <c r="O345" s="12">
        <v>1004</v>
      </c>
      <c r="P345" s="11" t="s">
        <v>347</v>
      </c>
      <c r="Q345" s="37" t="s">
        <v>25</v>
      </c>
      <c r="R345" s="11" t="s">
        <v>25</v>
      </c>
      <c r="S345" s="13">
        <f t="shared" si="5"/>
        <v>-0.7564573603811745</v>
      </c>
    </row>
    <row r="346" spans="1:19">
      <c r="A346" s="14" t="s">
        <v>2121</v>
      </c>
      <c r="B346" s="11" t="s">
        <v>358</v>
      </c>
      <c r="C346" s="11" t="s">
        <v>276</v>
      </c>
      <c r="D346" s="11" t="s">
        <v>25</v>
      </c>
      <c r="E346" s="11" t="s">
        <v>25</v>
      </c>
      <c r="F346">
        <v>1.17E-2</v>
      </c>
      <c r="G346">
        <v>5.33</v>
      </c>
      <c r="H346" s="12">
        <v>209</v>
      </c>
      <c r="I346" s="11" t="s">
        <v>346</v>
      </c>
      <c r="J346" s="11" t="s">
        <v>25</v>
      </c>
      <c r="K346" s="11" t="s">
        <v>25</v>
      </c>
      <c r="L346" s="12">
        <v>-1.0108989747369213</v>
      </c>
      <c r="M346" s="11" t="s">
        <v>23</v>
      </c>
      <c r="N346" s="11" t="s">
        <v>230</v>
      </c>
      <c r="O346" s="12">
        <v>824</v>
      </c>
      <c r="P346" s="11" t="s">
        <v>347</v>
      </c>
      <c r="Q346" s="37" t="s">
        <v>25</v>
      </c>
      <c r="R346" s="11" t="s">
        <v>25</v>
      </c>
      <c r="S346" s="13">
        <f t="shared" si="5"/>
        <v>-1.0108989747369213</v>
      </c>
    </row>
    <row r="347" spans="1:19">
      <c r="A347" s="14" t="s">
        <v>2121</v>
      </c>
      <c r="B347" s="11" t="s">
        <v>359</v>
      </c>
      <c r="C347" s="11" t="s">
        <v>276</v>
      </c>
      <c r="D347" s="11" t="s">
        <v>25</v>
      </c>
      <c r="E347" s="11" t="s">
        <v>25</v>
      </c>
      <c r="F347">
        <v>1.17E-2</v>
      </c>
      <c r="G347">
        <v>5.33</v>
      </c>
      <c r="H347" s="12">
        <v>219.8</v>
      </c>
      <c r="I347" s="11" t="s">
        <v>346</v>
      </c>
      <c r="J347" s="11" t="s">
        <v>25</v>
      </c>
      <c r="K347" s="11" t="s">
        <v>25</v>
      </c>
      <c r="L347" s="12">
        <v>-0.93487911923640077</v>
      </c>
      <c r="M347" s="11" t="s">
        <v>23</v>
      </c>
      <c r="N347" s="11" t="s">
        <v>230</v>
      </c>
      <c r="O347" s="12">
        <v>765</v>
      </c>
      <c r="P347" s="11" t="s">
        <v>347</v>
      </c>
      <c r="Q347" s="37" t="s">
        <v>25</v>
      </c>
      <c r="R347" s="11" t="s">
        <v>25</v>
      </c>
      <c r="S347" s="13">
        <f t="shared" si="5"/>
        <v>-0.93487911923640077</v>
      </c>
    </row>
    <row r="348" spans="1:19">
      <c r="A348" s="14" t="s">
        <v>2121</v>
      </c>
      <c r="B348" s="11" t="s">
        <v>360</v>
      </c>
      <c r="C348" s="11" t="s">
        <v>276</v>
      </c>
      <c r="D348" s="11" t="s">
        <v>25</v>
      </c>
      <c r="E348" s="11" t="s">
        <v>25</v>
      </c>
      <c r="F348">
        <v>1.17E-2</v>
      </c>
      <c r="G348">
        <v>5.33</v>
      </c>
      <c r="H348" s="12">
        <v>238</v>
      </c>
      <c r="I348" s="11" t="s">
        <v>346</v>
      </c>
      <c r="J348" s="11" t="s">
        <v>25</v>
      </c>
      <c r="K348" s="11" t="s">
        <v>25</v>
      </c>
      <c r="L348" s="12">
        <v>-1.1850000000000001</v>
      </c>
      <c r="M348" s="11" t="s">
        <v>23</v>
      </c>
      <c r="N348" s="11" t="s">
        <v>230</v>
      </c>
      <c r="O348" s="12">
        <v>806</v>
      </c>
      <c r="P348" s="11" t="s">
        <v>347</v>
      </c>
      <c r="Q348" s="37" t="s">
        <v>25</v>
      </c>
      <c r="R348" s="11" t="s">
        <v>25</v>
      </c>
      <c r="S348" s="13">
        <f t="shared" si="5"/>
        <v>-1.1850000000000001</v>
      </c>
    </row>
    <row r="349" spans="1:19">
      <c r="A349" s="14" t="s">
        <v>2121</v>
      </c>
      <c r="B349" s="11" t="s">
        <v>361</v>
      </c>
      <c r="C349" s="11" t="s">
        <v>276</v>
      </c>
      <c r="D349" s="11" t="s">
        <v>25</v>
      </c>
      <c r="E349" s="11" t="s">
        <v>25</v>
      </c>
      <c r="F349">
        <v>1.17E-2</v>
      </c>
      <c r="G349">
        <v>5.33</v>
      </c>
      <c r="H349" s="12">
        <v>270.60000000000002</v>
      </c>
      <c r="I349" s="11" t="s">
        <v>346</v>
      </c>
      <c r="J349" s="11" t="s">
        <v>25</v>
      </c>
      <c r="K349" s="11" t="s">
        <v>25</v>
      </c>
      <c r="L349" s="12">
        <v>-0.90407964724132184</v>
      </c>
      <c r="M349" s="11" t="s">
        <v>23</v>
      </c>
      <c r="N349" s="11" t="s">
        <v>230</v>
      </c>
      <c r="O349" s="12">
        <v>754</v>
      </c>
      <c r="P349" s="11" t="s">
        <v>347</v>
      </c>
      <c r="Q349" s="37" t="s">
        <v>25</v>
      </c>
      <c r="R349" s="11" t="s">
        <v>25</v>
      </c>
      <c r="S349" s="13">
        <f t="shared" si="5"/>
        <v>-0.90407964724132184</v>
      </c>
    </row>
    <row r="350" spans="1:19">
      <c r="A350" s="14" t="s">
        <v>2121</v>
      </c>
      <c r="B350" s="11" t="s">
        <v>362</v>
      </c>
      <c r="C350" s="11" t="s">
        <v>276</v>
      </c>
      <c r="D350" s="11" t="s">
        <v>25</v>
      </c>
      <c r="E350" s="11" t="s">
        <v>25</v>
      </c>
      <c r="F350">
        <v>1.17E-2</v>
      </c>
      <c r="G350">
        <v>5.33</v>
      </c>
      <c r="H350" s="12">
        <v>341.1</v>
      </c>
      <c r="I350" s="11" t="s">
        <v>346</v>
      </c>
      <c r="J350" s="11" t="s">
        <v>25</v>
      </c>
      <c r="K350" s="11" t="s">
        <v>25</v>
      </c>
      <c r="L350" s="12">
        <v>-1.168523006509905</v>
      </c>
      <c r="M350" s="11" t="s">
        <v>23</v>
      </c>
      <c r="N350" s="11" t="s">
        <v>230</v>
      </c>
      <c r="O350" s="12">
        <v>708</v>
      </c>
      <c r="P350" s="11" t="s">
        <v>347</v>
      </c>
      <c r="Q350" s="37" t="s">
        <v>25</v>
      </c>
      <c r="R350" s="11" t="s">
        <v>25</v>
      </c>
      <c r="S350" s="13">
        <f t="shared" si="5"/>
        <v>-1.168523006509905</v>
      </c>
    </row>
    <row r="351" spans="1:19">
      <c r="A351" s="14" t="s">
        <v>2121</v>
      </c>
      <c r="B351" s="11" t="s">
        <v>363</v>
      </c>
      <c r="C351" s="11" t="s">
        <v>276</v>
      </c>
      <c r="D351" s="11" t="s">
        <v>25</v>
      </c>
      <c r="E351" s="11" t="s">
        <v>25</v>
      </c>
      <c r="F351">
        <v>1.17E-2</v>
      </c>
      <c r="G351">
        <v>5.33</v>
      </c>
      <c r="H351" s="12">
        <v>428.1</v>
      </c>
      <c r="I351" s="11" t="s">
        <v>346</v>
      </c>
      <c r="J351" s="11" t="s">
        <v>25</v>
      </c>
      <c r="K351" s="11" t="s">
        <v>25</v>
      </c>
      <c r="L351" s="12">
        <v>-0.97830274416856389</v>
      </c>
      <c r="M351" s="11" t="s">
        <v>23</v>
      </c>
      <c r="N351" s="11" t="s">
        <v>230</v>
      </c>
      <c r="O351" s="12">
        <v>917</v>
      </c>
      <c r="P351" s="11" t="s">
        <v>347</v>
      </c>
      <c r="Q351" s="37" t="s">
        <v>25</v>
      </c>
      <c r="R351" s="11" t="s">
        <v>25</v>
      </c>
      <c r="S351" s="13">
        <f t="shared" si="5"/>
        <v>-0.97830274416856389</v>
      </c>
    </row>
    <row r="352" spans="1:19">
      <c r="A352" s="14" t="s">
        <v>2121</v>
      </c>
      <c r="B352" s="11" t="s">
        <v>364</v>
      </c>
      <c r="C352" s="11" t="s">
        <v>276</v>
      </c>
      <c r="D352" s="11" t="s">
        <v>25</v>
      </c>
      <c r="E352" s="11" t="s">
        <v>25</v>
      </c>
      <c r="F352">
        <v>1.17E-2</v>
      </c>
      <c r="G352">
        <v>5.33</v>
      </c>
      <c r="H352" s="12">
        <v>497</v>
      </c>
      <c r="I352" s="11" t="s">
        <v>346</v>
      </c>
      <c r="J352" s="11" t="s">
        <v>25</v>
      </c>
      <c r="K352" s="11" t="s">
        <v>25</v>
      </c>
      <c r="L352" s="12">
        <v>-1.0312393224501011</v>
      </c>
      <c r="M352" s="11" t="s">
        <v>23</v>
      </c>
      <c r="N352" s="11" t="s">
        <v>230</v>
      </c>
      <c r="O352" s="12">
        <v>1347</v>
      </c>
      <c r="P352" s="11" t="s">
        <v>347</v>
      </c>
      <c r="Q352" s="37" t="s">
        <v>25</v>
      </c>
      <c r="R352" s="11" t="s">
        <v>25</v>
      </c>
      <c r="S352" s="13">
        <f t="shared" si="5"/>
        <v>-1.0312393224501011</v>
      </c>
    </row>
    <row r="353" spans="1:19">
      <c r="A353" s="14" t="s">
        <v>2121</v>
      </c>
      <c r="B353" s="11" t="s">
        <v>365</v>
      </c>
      <c r="C353" s="11" t="s">
        <v>276</v>
      </c>
      <c r="D353" s="11" t="s">
        <v>25</v>
      </c>
      <c r="E353" s="11" t="s">
        <v>25</v>
      </c>
      <c r="F353">
        <v>1.17E-2</v>
      </c>
      <c r="G353">
        <v>5.33</v>
      </c>
      <c r="H353" s="12">
        <v>620.79999999999995</v>
      </c>
      <c r="I353" s="11" t="s">
        <v>346</v>
      </c>
      <c r="J353" s="11" t="s">
        <v>25</v>
      </c>
      <c r="K353" s="11" t="s">
        <v>25</v>
      </c>
      <c r="L353" s="12">
        <v>-1.0086359614479989</v>
      </c>
      <c r="M353" s="11" t="s">
        <v>23</v>
      </c>
      <c r="N353" s="11" t="s">
        <v>230</v>
      </c>
      <c r="O353" s="12">
        <v>4030</v>
      </c>
      <c r="P353" s="11" t="s">
        <v>347</v>
      </c>
      <c r="Q353" s="37" t="s">
        <v>25</v>
      </c>
      <c r="R353" s="11" t="s">
        <v>25</v>
      </c>
      <c r="S353" s="13">
        <f t="shared" si="5"/>
        <v>-1.0086359614479989</v>
      </c>
    </row>
    <row r="354" spans="1:19">
      <c r="A354" s="14" t="s">
        <v>2121</v>
      </c>
      <c r="B354" s="11" t="s">
        <v>366</v>
      </c>
      <c r="C354" s="11" t="s">
        <v>276</v>
      </c>
      <c r="D354" s="11" t="s">
        <v>25</v>
      </c>
      <c r="E354" s="11" t="s">
        <v>25</v>
      </c>
      <c r="F354">
        <v>1.17E-2</v>
      </c>
      <c r="G354">
        <v>5.33</v>
      </c>
      <c r="H354" s="12">
        <v>708.3</v>
      </c>
      <c r="I354" s="11" t="s">
        <v>346</v>
      </c>
      <c r="J354" s="11" t="s">
        <v>25</v>
      </c>
      <c r="K354" s="11" t="s">
        <v>25</v>
      </c>
      <c r="L354" s="12">
        <v>-1.0356474230650223</v>
      </c>
      <c r="M354" s="11" t="s">
        <v>23</v>
      </c>
      <c r="N354" s="11" t="s">
        <v>230</v>
      </c>
      <c r="O354" s="12">
        <v>3725</v>
      </c>
      <c r="P354" s="11" t="s">
        <v>347</v>
      </c>
      <c r="Q354" s="37" t="s">
        <v>25</v>
      </c>
      <c r="R354" s="11" t="s">
        <v>25</v>
      </c>
      <c r="S354" s="13">
        <f t="shared" si="5"/>
        <v>-1.0356474230650223</v>
      </c>
    </row>
    <row r="355" spans="1:19">
      <c r="A355" s="14" t="s">
        <v>2121</v>
      </c>
      <c r="B355" s="11" t="s">
        <v>367</v>
      </c>
      <c r="C355" s="11" t="s">
        <v>276</v>
      </c>
      <c r="D355" s="11" t="s">
        <v>25</v>
      </c>
      <c r="E355" s="11" t="s">
        <v>25</v>
      </c>
      <c r="F355">
        <v>1.17E-2</v>
      </c>
      <c r="G355">
        <v>5.33</v>
      </c>
      <c r="H355" s="12">
        <v>1</v>
      </c>
      <c r="I355" s="11" t="s">
        <v>228</v>
      </c>
      <c r="J355" s="11" t="s">
        <v>25</v>
      </c>
      <c r="K355" s="11" t="s">
        <v>25</v>
      </c>
      <c r="L355" s="12">
        <v>-1.31</v>
      </c>
      <c r="M355" s="11" t="s">
        <v>23</v>
      </c>
      <c r="N355" s="11" t="s">
        <v>230</v>
      </c>
      <c r="O355" s="11" t="s">
        <v>25</v>
      </c>
      <c r="P355" s="11" t="s">
        <v>25</v>
      </c>
      <c r="Q355" s="37">
        <v>9.2799999999999994</v>
      </c>
      <c r="R355" s="11" t="s">
        <v>231</v>
      </c>
      <c r="S355" s="13">
        <f t="shared" si="5"/>
        <v>-1.31</v>
      </c>
    </row>
    <row r="356" spans="1:19">
      <c r="A356" s="14" t="s">
        <v>2121</v>
      </c>
      <c r="B356" s="11" t="s">
        <v>368</v>
      </c>
      <c r="C356" s="11" t="s">
        <v>276</v>
      </c>
      <c r="D356" s="11" t="s">
        <v>25</v>
      </c>
      <c r="E356" s="11" t="s">
        <v>25</v>
      </c>
      <c r="F356">
        <v>1.17E-2</v>
      </c>
      <c r="G356">
        <v>5.33</v>
      </c>
      <c r="H356" s="12">
        <v>6</v>
      </c>
      <c r="I356" s="11" t="s">
        <v>228</v>
      </c>
      <c r="J356" s="11" t="s">
        <v>25</v>
      </c>
      <c r="K356" s="11" t="s">
        <v>25</v>
      </c>
      <c r="L356" s="12">
        <v>-1.4449999999999998</v>
      </c>
      <c r="M356" s="11" t="s">
        <v>23</v>
      </c>
      <c r="N356" s="11" t="s">
        <v>230</v>
      </c>
      <c r="O356" s="11" t="s">
        <v>25</v>
      </c>
      <c r="P356" s="11" t="s">
        <v>25</v>
      </c>
      <c r="Q356" s="37">
        <v>10.220000000000001</v>
      </c>
      <c r="R356" s="11" t="s">
        <v>231</v>
      </c>
      <c r="S356" s="13">
        <f t="shared" si="5"/>
        <v>-1.4449999999999998</v>
      </c>
    </row>
    <row r="357" spans="1:19">
      <c r="A357" s="14" t="s">
        <v>2121</v>
      </c>
      <c r="B357" s="11" t="s">
        <v>369</v>
      </c>
      <c r="C357" s="11" t="s">
        <v>276</v>
      </c>
      <c r="D357" s="11" t="s">
        <v>25</v>
      </c>
      <c r="E357" s="11" t="s">
        <v>25</v>
      </c>
      <c r="F357">
        <v>1.17E-2</v>
      </c>
      <c r="G357">
        <v>5.33</v>
      </c>
      <c r="H357" s="12">
        <v>9</v>
      </c>
      <c r="I357" s="11" t="s">
        <v>228</v>
      </c>
      <c r="J357" s="11" t="s">
        <v>25</v>
      </c>
      <c r="K357" s="11" t="s">
        <v>25</v>
      </c>
      <c r="L357" s="12">
        <v>-1.39</v>
      </c>
      <c r="M357" s="11" t="s">
        <v>23</v>
      </c>
      <c r="N357" s="11" t="s">
        <v>230</v>
      </c>
      <c r="O357" s="11" t="s">
        <v>25</v>
      </c>
      <c r="P357" s="11" t="s">
        <v>25</v>
      </c>
      <c r="Q357" s="37">
        <v>8.9965380747957298</v>
      </c>
      <c r="R357" s="11" t="s">
        <v>231</v>
      </c>
      <c r="S357" s="13">
        <f t="shared" si="5"/>
        <v>-1.39</v>
      </c>
    </row>
    <row r="358" spans="1:19">
      <c r="A358" s="14" t="s">
        <v>2121</v>
      </c>
      <c r="B358" s="11" t="s">
        <v>370</v>
      </c>
      <c r="C358" s="11" t="s">
        <v>276</v>
      </c>
      <c r="D358" s="11" t="s">
        <v>25</v>
      </c>
      <c r="E358" s="11" t="s">
        <v>25</v>
      </c>
      <c r="F358">
        <v>1.17E-2</v>
      </c>
      <c r="G358">
        <v>5.33</v>
      </c>
      <c r="H358" s="12">
        <v>12.3</v>
      </c>
      <c r="I358" s="11" t="s">
        <v>228</v>
      </c>
      <c r="J358" s="11" t="s">
        <v>25</v>
      </c>
      <c r="K358" s="11" t="s">
        <v>25</v>
      </c>
      <c r="L358" s="12">
        <v>-1.56</v>
      </c>
      <c r="M358" s="11" t="s">
        <v>23</v>
      </c>
      <c r="N358" s="11" t="s">
        <v>230</v>
      </c>
      <c r="O358" s="11" t="s">
        <v>25</v>
      </c>
      <c r="P358" s="11" t="s">
        <v>25</v>
      </c>
      <c r="Q358" s="37">
        <v>7.3202381000000001</v>
      </c>
      <c r="R358" s="11" t="s">
        <v>231</v>
      </c>
      <c r="S358" s="13">
        <f t="shared" si="5"/>
        <v>-1.56</v>
      </c>
    </row>
    <row r="359" spans="1:19">
      <c r="A359" s="14" t="s">
        <v>2121</v>
      </c>
      <c r="B359" s="11" t="s">
        <v>371</v>
      </c>
      <c r="C359" s="11" t="s">
        <v>276</v>
      </c>
      <c r="D359" s="11" t="s">
        <v>25</v>
      </c>
      <c r="E359" s="11" t="s">
        <v>25</v>
      </c>
      <c r="F359">
        <v>1.17E-2</v>
      </c>
      <c r="G359">
        <v>5.33</v>
      </c>
      <c r="H359" s="12">
        <v>18</v>
      </c>
      <c r="I359" s="11" t="s">
        <v>228</v>
      </c>
      <c r="J359" s="11" t="s">
        <v>25</v>
      </c>
      <c r="K359" s="11" t="s">
        <v>25</v>
      </c>
      <c r="L359" s="12">
        <v>-1.44</v>
      </c>
      <c r="M359" s="11" t="s">
        <v>23</v>
      </c>
      <c r="N359" s="11" t="s">
        <v>230</v>
      </c>
      <c r="O359" s="11" t="s">
        <v>25</v>
      </c>
      <c r="P359" s="11" t="s">
        <v>25</v>
      </c>
      <c r="Q359" s="37">
        <v>6.7188859000000001</v>
      </c>
      <c r="R359" s="11" t="s">
        <v>231</v>
      </c>
      <c r="S359" s="13">
        <f t="shared" si="5"/>
        <v>-1.44</v>
      </c>
    </row>
    <row r="360" spans="1:19">
      <c r="A360" s="14" t="s">
        <v>2121</v>
      </c>
      <c r="B360" s="11" t="s">
        <v>372</v>
      </c>
      <c r="C360" s="11" t="s">
        <v>276</v>
      </c>
      <c r="D360" s="11" t="s">
        <v>25</v>
      </c>
      <c r="E360" s="11" t="s">
        <v>25</v>
      </c>
      <c r="F360">
        <v>1.17E-2</v>
      </c>
      <c r="G360">
        <v>5.33</v>
      </c>
      <c r="H360" s="12">
        <v>24</v>
      </c>
      <c r="I360" s="11" t="s">
        <v>228</v>
      </c>
      <c r="J360" s="11" t="s">
        <v>25</v>
      </c>
      <c r="K360" s="11" t="s">
        <v>25</v>
      </c>
      <c r="L360" s="12">
        <v>-1.2450000000000001</v>
      </c>
      <c r="M360" s="11" t="s">
        <v>23</v>
      </c>
      <c r="N360" s="11" t="s">
        <v>230</v>
      </c>
      <c r="O360" s="11" t="s">
        <v>25</v>
      </c>
      <c r="P360" s="11" t="s">
        <v>25</v>
      </c>
      <c r="Q360" s="37">
        <v>7.8226152999999998</v>
      </c>
      <c r="R360" s="11" t="s">
        <v>231</v>
      </c>
      <c r="S360" s="13">
        <f t="shared" si="5"/>
        <v>-1.2450000000000001</v>
      </c>
    </row>
    <row r="361" spans="1:19">
      <c r="A361" s="14" t="s">
        <v>2121</v>
      </c>
      <c r="B361" s="11" t="s">
        <v>373</v>
      </c>
      <c r="C361" s="11" t="s">
        <v>276</v>
      </c>
      <c r="D361" s="11" t="s">
        <v>25</v>
      </c>
      <c r="E361" s="11" t="s">
        <v>25</v>
      </c>
      <c r="F361">
        <v>1.17E-2</v>
      </c>
      <c r="G361">
        <v>5.33</v>
      </c>
      <c r="H361" s="12">
        <v>44.5</v>
      </c>
      <c r="I361" s="11" t="s">
        <v>228</v>
      </c>
      <c r="J361" s="11" t="s">
        <v>25</v>
      </c>
      <c r="K361" s="11" t="s">
        <v>25</v>
      </c>
      <c r="L361" s="12">
        <v>-1.51</v>
      </c>
      <c r="M361" s="11" t="s">
        <v>23</v>
      </c>
      <c r="N361" s="11" t="s">
        <v>230</v>
      </c>
      <c r="O361" s="11" t="s">
        <v>25</v>
      </c>
      <c r="P361" s="11" t="s">
        <v>25</v>
      </c>
      <c r="Q361" s="37">
        <v>10.373791900000001</v>
      </c>
      <c r="R361" s="11" t="s">
        <v>231</v>
      </c>
      <c r="S361" s="13">
        <f t="shared" si="5"/>
        <v>-1.51</v>
      </c>
    </row>
    <row r="362" spans="1:19">
      <c r="A362" s="14" t="s">
        <v>2121</v>
      </c>
      <c r="B362" s="11" t="s">
        <v>374</v>
      </c>
      <c r="C362" s="11" t="s">
        <v>276</v>
      </c>
      <c r="D362" s="11" t="s">
        <v>25</v>
      </c>
      <c r="E362" s="11" t="s">
        <v>25</v>
      </c>
      <c r="F362">
        <v>1.17E-2</v>
      </c>
      <c r="G362">
        <v>5.33</v>
      </c>
      <c r="H362" s="12">
        <v>49.5</v>
      </c>
      <c r="I362" s="11" t="s">
        <v>228</v>
      </c>
      <c r="J362" s="11" t="s">
        <v>25</v>
      </c>
      <c r="K362" s="11" t="s">
        <v>25</v>
      </c>
      <c r="L362" s="12">
        <v>-1.1000000000000001</v>
      </c>
      <c r="M362" s="11" t="s">
        <v>23</v>
      </c>
      <c r="N362" s="11" t="s">
        <v>230</v>
      </c>
      <c r="O362" s="11" t="s">
        <v>25</v>
      </c>
      <c r="P362" s="11" t="s">
        <v>25</v>
      </c>
      <c r="Q362" s="37">
        <v>5.4818365</v>
      </c>
      <c r="R362" s="11" t="s">
        <v>231</v>
      </c>
      <c r="S362" s="13">
        <f t="shared" si="5"/>
        <v>-1.1000000000000001</v>
      </c>
    </row>
    <row r="363" spans="1:19">
      <c r="A363" s="14" t="s">
        <v>2121</v>
      </c>
      <c r="B363" s="11" t="s">
        <v>375</v>
      </c>
      <c r="C363" s="11" t="s">
        <v>276</v>
      </c>
      <c r="D363" s="11" t="s">
        <v>25</v>
      </c>
      <c r="E363" s="11" t="s">
        <v>25</v>
      </c>
      <c r="F363">
        <v>1.17E-2</v>
      </c>
      <c r="G363">
        <v>5.33</v>
      </c>
      <c r="H363" s="12">
        <v>64</v>
      </c>
      <c r="I363" s="11" t="s">
        <v>228</v>
      </c>
      <c r="J363" s="11" t="s">
        <v>25</v>
      </c>
      <c r="K363" s="11" t="s">
        <v>25</v>
      </c>
      <c r="L363" s="12">
        <v>-1.01</v>
      </c>
      <c r="M363" s="11" t="s">
        <v>23</v>
      </c>
      <c r="N363" s="11" t="s">
        <v>230</v>
      </c>
      <c r="O363" s="11" t="s">
        <v>25</v>
      </c>
      <c r="P363" s="11" t="s">
        <v>25</v>
      </c>
      <c r="Q363" s="37">
        <v>3.74</v>
      </c>
      <c r="R363" s="11" t="s">
        <v>231</v>
      </c>
      <c r="S363" s="13">
        <f t="shared" si="5"/>
        <v>-1.01</v>
      </c>
    </row>
    <row r="364" spans="1:19">
      <c r="A364" s="14" t="s">
        <v>2121</v>
      </c>
      <c r="B364" s="11" t="s">
        <v>376</v>
      </c>
      <c r="C364" s="11" t="s">
        <v>276</v>
      </c>
      <c r="D364" s="11" t="s">
        <v>25</v>
      </c>
      <c r="E364" s="11" t="s">
        <v>25</v>
      </c>
      <c r="F364">
        <v>1.17E-2</v>
      </c>
      <c r="G364">
        <v>5.33</v>
      </c>
      <c r="H364" s="12">
        <v>68.5</v>
      </c>
      <c r="I364" s="11" t="s">
        <v>228</v>
      </c>
      <c r="J364" s="11" t="s">
        <v>25</v>
      </c>
      <c r="K364" s="11" t="s">
        <v>25</v>
      </c>
      <c r="L364" s="12">
        <v>-1.19</v>
      </c>
      <c r="M364" s="11" t="s">
        <v>23</v>
      </c>
      <c r="N364" s="11" t="s">
        <v>230</v>
      </c>
      <c r="O364" s="11" t="s">
        <v>25</v>
      </c>
      <c r="P364" s="11" t="s">
        <v>25</v>
      </c>
      <c r="Q364" s="37">
        <v>5.4735968999999995</v>
      </c>
      <c r="R364" s="11" t="s">
        <v>231</v>
      </c>
      <c r="S364" s="13">
        <f t="shared" si="5"/>
        <v>-1.19</v>
      </c>
    </row>
    <row r="365" spans="1:19">
      <c r="A365" s="14" t="s">
        <v>2121</v>
      </c>
      <c r="B365" s="11" t="s">
        <v>377</v>
      </c>
      <c r="C365" s="11" t="s">
        <v>276</v>
      </c>
      <c r="D365" s="11" t="s">
        <v>25</v>
      </c>
      <c r="E365" s="11" t="s">
        <v>25</v>
      </c>
      <c r="F365">
        <v>1.17E-2</v>
      </c>
      <c r="G365">
        <v>5.33</v>
      </c>
      <c r="H365" s="12">
        <v>75</v>
      </c>
      <c r="I365" s="11" t="s">
        <v>228</v>
      </c>
      <c r="J365" s="11" t="s">
        <v>25</v>
      </c>
      <c r="K365" s="11" t="s">
        <v>25</v>
      </c>
      <c r="L365" s="12">
        <v>-1.35</v>
      </c>
      <c r="M365" s="11" t="s">
        <v>23</v>
      </c>
      <c r="N365" s="11" t="s">
        <v>230</v>
      </c>
      <c r="O365" s="11" t="s">
        <v>25</v>
      </c>
      <c r="P365" s="11" t="s">
        <v>25</v>
      </c>
      <c r="Q365" s="37">
        <v>8.2981654999999996</v>
      </c>
      <c r="R365" s="11" t="s">
        <v>231</v>
      </c>
      <c r="S365" s="13">
        <f t="shared" si="5"/>
        <v>-1.35</v>
      </c>
    </row>
    <row r="366" spans="1:19">
      <c r="A366" s="14" t="s">
        <v>2121</v>
      </c>
      <c r="B366" s="11" t="s">
        <v>378</v>
      </c>
      <c r="C366" s="11" t="s">
        <v>276</v>
      </c>
      <c r="D366" s="11" t="s">
        <v>25</v>
      </c>
      <c r="E366" s="11" t="s">
        <v>25</v>
      </c>
      <c r="F366">
        <v>1.17E-2</v>
      </c>
      <c r="G366">
        <v>5.33</v>
      </c>
      <c r="H366" s="12">
        <v>86.3</v>
      </c>
      <c r="I366" s="11" t="s">
        <v>228</v>
      </c>
      <c r="J366" s="11" t="s">
        <v>25</v>
      </c>
      <c r="K366" s="11" t="s">
        <v>25</v>
      </c>
      <c r="L366" s="12">
        <v>-1.32</v>
      </c>
      <c r="M366" s="11" t="s">
        <v>23</v>
      </c>
      <c r="N366" s="11" t="s">
        <v>230</v>
      </c>
      <c r="O366" s="11" t="s">
        <v>25</v>
      </c>
      <c r="P366" s="11" t="s">
        <v>25</v>
      </c>
      <c r="Q366" s="37">
        <v>8.6050655000000003</v>
      </c>
      <c r="R366" s="11" t="s">
        <v>231</v>
      </c>
      <c r="S366" s="13">
        <f t="shared" si="5"/>
        <v>-1.32</v>
      </c>
    </row>
    <row r="367" spans="1:19">
      <c r="A367" s="14" t="s">
        <v>2121</v>
      </c>
      <c r="B367" s="11" t="s">
        <v>379</v>
      </c>
      <c r="C367" s="11" t="s">
        <v>276</v>
      </c>
      <c r="D367" s="11" t="s">
        <v>25</v>
      </c>
      <c r="E367" s="11" t="s">
        <v>25</v>
      </c>
      <c r="F367">
        <v>1.17E-2</v>
      </c>
      <c r="G367">
        <v>5.33</v>
      </c>
      <c r="H367" s="12">
        <v>93</v>
      </c>
      <c r="I367" s="11" t="s">
        <v>228</v>
      </c>
      <c r="J367" s="11" t="s">
        <v>25</v>
      </c>
      <c r="K367" s="11" t="s">
        <v>25</v>
      </c>
      <c r="L367" s="12">
        <v>-1.29</v>
      </c>
      <c r="M367" s="11" t="s">
        <v>23</v>
      </c>
      <c r="N367" s="11" t="s">
        <v>230</v>
      </c>
      <c r="O367" s="11" t="s">
        <v>25</v>
      </c>
      <c r="P367" s="11" t="s">
        <v>25</v>
      </c>
      <c r="Q367" s="37">
        <v>10.874540608548708</v>
      </c>
      <c r="R367" s="11" t="s">
        <v>231</v>
      </c>
      <c r="S367" s="13">
        <f t="shared" si="5"/>
        <v>-1.29</v>
      </c>
    </row>
    <row r="368" spans="1:19">
      <c r="A368" s="14" t="s">
        <v>2121</v>
      </c>
      <c r="B368" s="11" t="s">
        <v>380</v>
      </c>
      <c r="C368" s="11" t="s">
        <v>276</v>
      </c>
      <c r="D368" s="11" t="s">
        <v>25</v>
      </c>
      <c r="E368" s="11" t="s">
        <v>25</v>
      </c>
      <c r="F368">
        <v>1.17E-2</v>
      </c>
      <c r="G368">
        <v>5.33</v>
      </c>
      <c r="H368" s="12">
        <v>103</v>
      </c>
      <c r="I368" s="11" t="s">
        <v>228</v>
      </c>
      <c r="J368" s="11" t="s">
        <v>25</v>
      </c>
      <c r="K368" s="11" t="s">
        <v>25</v>
      </c>
      <c r="L368" s="12">
        <v>-1.03</v>
      </c>
      <c r="M368" s="11" t="s">
        <v>23</v>
      </c>
      <c r="N368" s="11" t="s">
        <v>230</v>
      </c>
      <c r="O368" s="11" t="s">
        <v>25</v>
      </c>
      <c r="P368" s="11" t="s">
        <v>25</v>
      </c>
      <c r="Q368" s="37">
        <v>7.083212067613351</v>
      </c>
      <c r="R368" s="11" t="s">
        <v>231</v>
      </c>
      <c r="S368" s="13">
        <f t="shared" si="5"/>
        <v>-1.03</v>
      </c>
    </row>
    <row r="369" spans="1:19">
      <c r="A369" s="14" t="s">
        <v>2121</v>
      </c>
      <c r="B369" s="11" t="s">
        <v>381</v>
      </c>
      <c r="C369" s="11" t="s">
        <v>276</v>
      </c>
      <c r="D369" s="11" t="s">
        <v>25</v>
      </c>
      <c r="E369" s="11" t="s">
        <v>25</v>
      </c>
      <c r="F369">
        <v>1.17E-2</v>
      </c>
      <c r="G369">
        <v>5.33</v>
      </c>
      <c r="H369" s="12">
        <v>114.1</v>
      </c>
      <c r="I369" s="11" t="s">
        <v>228</v>
      </c>
      <c r="J369" s="11" t="s">
        <v>25</v>
      </c>
      <c r="K369" s="11" t="s">
        <v>25</v>
      </c>
      <c r="L369" s="12">
        <v>-1.21</v>
      </c>
      <c r="M369" s="11" t="s">
        <v>23</v>
      </c>
      <c r="N369" s="11" t="s">
        <v>230</v>
      </c>
      <c r="O369" s="11" t="s">
        <v>25</v>
      </c>
      <c r="P369" s="11" t="s">
        <v>25</v>
      </c>
      <c r="Q369" s="37">
        <v>8.1260025999999996</v>
      </c>
      <c r="R369" s="11" t="s">
        <v>231</v>
      </c>
      <c r="S369" s="13">
        <f t="shared" si="5"/>
        <v>-1.21</v>
      </c>
    </row>
    <row r="370" spans="1:19">
      <c r="A370" s="14" t="s">
        <v>2121</v>
      </c>
      <c r="B370" s="11" t="s">
        <v>382</v>
      </c>
      <c r="C370" s="11" t="s">
        <v>276</v>
      </c>
      <c r="D370" s="11" t="s">
        <v>25</v>
      </c>
      <c r="E370" s="11" t="s">
        <v>25</v>
      </c>
      <c r="F370">
        <v>1.17E-2</v>
      </c>
      <c r="G370">
        <v>5.33</v>
      </c>
      <c r="H370" s="12">
        <v>118.6</v>
      </c>
      <c r="I370" s="11" t="s">
        <v>228</v>
      </c>
      <c r="J370" s="11" t="s">
        <v>25</v>
      </c>
      <c r="K370" s="11" t="s">
        <v>25</v>
      </c>
      <c r="L370" s="12">
        <v>-0.98</v>
      </c>
      <c r="M370" s="11" t="s">
        <v>23</v>
      </c>
      <c r="N370" s="11" t="s">
        <v>230</v>
      </c>
      <c r="O370" s="11" t="s">
        <v>25</v>
      </c>
      <c r="P370" s="11" t="s">
        <v>25</v>
      </c>
      <c r="Q370" s="37">
        <v>5.6262983000000002</v>
      </c>
      <c r="R370" s="11" t="s">
        <v>231</v>
      </c>
      <c r="S370" s="13">
        <f t="shared" si="5"/>
        <v>-0.98</v>
      </c>
    </row>
    <row r="371" spans="1:19">
      <c r="A371" s="14" t="s">
        <v>2121</v>
      </c>
      <c r="B371" s="11" t="s">
        <v>383</v>
      </c>
      <c r="C371" s="11" t="s">
        <v>276</v>
      </c>
      <c r="D371" s="11" t="s">
        <v>25</v>
      </c>
      <c r="E371" s="11" t="s">
        <v>25</v>
      </c>
      <c r="F371">
        <v>1.17E-2</v>
      </c>
      <c r="G371">
        <v>5.33</v>
      </c>
      <c r="H371" s="12">
        <v>123.7</v>
      </c>
      <c r="I371" s="11" t="s">
        <v>228</v>
      </c>
      <c r="J371" s="11" t="s">
        <v>25</v>
      </c>
      <c r="K371" s="11" t="s">
        <v>25</v>
      </c>
      <c r="L371" s="12">
        <v>-1.05</v>
      </c>
      <c r="M371" s="11" t="s">
        <v>23</v>
      </c>
      <c r="N371" s="11" t="s">
        <v>230</v>
      </c>
      <c r="O371" s="11" t="s">
        <v>25</v>
      </c>
      <c r="P371" s="11" t="s">
        <v>25</v>
      </c>
      <c r="Q371" s="37">
        <v>9.8611512999999995</v>
      </c>
      <c r="R371" s="11" t="s">
        <v>231</v>
      </c>
      <c r="S371" s="13">
        <f t="shared" si="5"/>
        <v>-1.05</v>
      </c>
    </row>
    <row r="372" spans="1:19">
      <c r="A372" s="14" t="s">
        <v>2121</v>
      </c>
      <c r="B372" s="11" t="s">
        <v>384</v>
      </c>
      <c r="C372" s="11" t="s">
        <v>276</v>
      </c>
      <c r="D372" s="11" t="s">
        <v>25</v>
      </c>
      <c r="E372" s="11" t="s">
        <v>25</v>
      </c>
      <c r="F372">
        <v>1.17E-2</v>
      </c>
      <c r="G372">
        <v>5.33</v>
      </c>
      <c r="H372" s="12">
        <v>130.30000000000001</v>
      </c>
      <c r="I372" s="11" t="s">
        <v>228</v>
      </c>
      <c r="J372" s="11" t="s">
        <v>25</v>
      </c>
      <c r="K372" s="11" t="s">
        <v>25</v>
      </c>
      <c r="L372" s="12">
        <v>-0.98</v>
      </c>
      <c r="M372" s="11" t="s">
        <v>23</v>
      </c>
      <c r="N372" s="11" t="s">
        <v>230</v>
      </c>
      <c r="O372" s="11" t="s">
        <v>25</v>
      </c>
      <c r="P372" s="11" t="s">
        <v>25</v>
      </c>
      <c r="Q372" s="37">
        <v>4.0722016999999999</v>
      </c>
      <c r="R372" s="11" t="s">
        <v>231</v>
      </c>
      <c r="S372" s="13">
        <f t="shared" si="5"/>
        <v>-0.98</v>
      </c>
    </row>
    <row r="373" spans="1:19">
      <c r="A373" s="14" t="s">
        <v>2121</v>
      </c>
      <c r="B373" s="11" t="s">
        <v>385</v>
      </c>
      <c r="C373" s="11" t="s">
        <v>276</v>
      </c>
      <c r="D373" s="11" t="s">
        <v>25</v>
      </c>
      <c r="E373" s="11" t="s">
        <v>25</v>
      </c>
      <c r="F373">
        <v>1.17E-2</v>
      </c>
      <c r="G373">
        <v>5.33</v>
      </c>
      <c r="H373" s="12">
        <v>140</v>
      </c>
      <c r="I373" s="11" t="s">
        <v>228</v>
      </c>
      <c r="J373" s="11" t="s">
        <v>25</v>
      </c>
      <c r="K373" s="11" t="s">
        <v>25</v>
      </c>
      <c r="L373" s="12">
        <v>-0.9</v>
      </c>
      <c r="M373" s="11" t="s">
        <v>23</v>
      </c>
      <c r="N373" s="11" t="s">
        <v>230</v>
      </c>
      <c r="O373" s="11" t="s">
        <v>25</v>
      </c>
      <c r="P373" s="11" t="s">
        <v>25</v>
      </c>
      <c r="Q373" s="37">
        <v>2.8310801643653551</v>
      </c>
      <c r="R373" s="11" t="s">
        <v>231</v>
      </c>
      <c r="S373" s="13">
        <f t="shared" si="5"/>
        <v>-0.9</v>
      </c>
    </row>
    <row r="374" spans="1:19">
      <c r="A374" s="14" t="s">
        <v>2121</v>
      </c>
      <c r="B374" s="11" t="s">
        <v>386</v>
      </c>
      <c r="C374" s="11" t="s">
        <v>276</v>
      </c>
      <c r="D374" s="11" t="s">
        <v>25</v>
      </c>
      <c r="E374" s="11" t="s">
        <v>25</v>
      </c>
      <c r="F374">
        <v>1.17E-2</v>
      </c>
      <c r="G374">
        <v>5.33</v>
      </c>
      <c r="H374" s="12">
        <v>145.9</v>
      </c>
      <c r="I374" s="11" t="s">
        <v>228</v>
      </c>
      <c r="J374" s="11" t="s">
        <v>25</v>
      </c>
      <c r="K374" s="11" t="s">
        <v>25</v>
      </c>
      <c r="L374" s="12">
        <v>-0.94</v>
      </c>
      <c r="M374" s="11" t="s">
        <v>23</v>
      </c>
      <c r="N374" s="11" t="s">
        <v>230</v>
      </c>
      <c r="O374" s="11" t="s">
        <v>25</v>
      </c>
      <c r="P374" s="11" t="s">
        <v>25</v>
      </c>
      <c r="Q374" s="37">
        <v>2.7073166999999998</v>
      </c>
      <c r="R374" s="11" t="s">
        <v>231</v>
      </c>
      <c r="S374" s="13">
        <f t="shared" si="5"/>
        <v>-0.94</v>
      </c>
    </row>
    <row r="375" spans="1:19">
      <c r="A375" s="14" t="s">
        <v>2121</v>
      </c>
      <c r="B375" s="11" t="s">
        <v>387</v>
      </c>
      <c r="C375" s="11" t="s">
        <v>276</v>
      </c>
      <c r="D375" s="11" t="s">
        <v>25</v>
      </c>
      <c r="E375" s="11" t="s">
        <v>25</v>
      </c>
      <c r="F375">
        <v>1.17E-2</v>
      </c>
      <c r="G375">
        <v>5.33</v>
      </c>
      <c r="H375" s="12">
        <v>151.1</v>
      </c>
      <c r="I375" s="11" t="s">
        <v>228</v>
      </c>
      <c r="J375" s="11" t="s">
        <v>25</v>
      </c>
      <c r="K375" s="11" t="s">
        <v>25</v>
      </c>
      <c r="L375" s="12">
        <v>-0.98</v>
      </c>
      <c r="M375" s="11" t="s">
        <v>23</v>
      </c>
      <c r="N375" s="11" t="s">
        <v>230</v>
      </c>
      <c r="O375" s="11" t="s">
        <v>25</v>
      </c>
      <c r="P375" s="11" t="s">
        <v>25</v>
      </c>
      <c r="Q375" s="37">
        <v>2.7214236000000001</v>
      </c>
      <c r="R375" s="11" t="s">
        <v>231</v>
      </c>
      <c r="S375" s="13">
        <f t="shared" si="5"/>
        <v>-0.98</v>
      </c>
    </row>
    <row r="376" spans="1:19">
      <c r="A376" s="14" t="s">
        <v>2121</v>
      </c>
      <c r="B376" s="11" t="s">
        <v>388</v>
      </c>
      <c r="C376" s="11" t="s">
        <v>276</v>
      </c>
      <c r="D376" s="11" t="s">
        <v>25</v>
      </c>
      <c r="E376" s="11" t="s">
        <v>25</v>
      </c>
      <c r="F376">
        <v>1.17E-2</v>
      </c>
      <c r="G376">
        <v>5.33</v>
      </c>
      <c r="H376" s="12">
        <v>160.69999999999999</v>
      </c>
      <c r="I376" s="11" t="s">
        <v>228</v>
      </c>
      <c r="J376" s="11" t="s">
        <v>25</v>
      </c>
      <c r="K376" s="11" t="s">
        <v>25</v>
      </c>
      <c r="L376" s="12">
        <v>-0.85</v>
      </c>
      <c r="M376" s="11" t="s">
        <v>23</v>
      </c>
      <c r="N376" s="11" t="s">
        <v>230</v>
      </c>
      <c r="O376" s="11" t="s">
        <v>25</v>
      </c>
      <c r="P376" s="11" t="s">
        <v>25</v>
      </c>
      <c r="Q376" s="37">
        <v>1.5090465</v>
      </c>
      <c r="R376" s="11" t="s">
        <v>231</v>
      </c>
      <c r="S376" s="13">
        <f t="shared" si="5"/>
        <v>-0.85</v>
      </c>
    </row>
    <row r="377" spans="1:19">
      <c r="A377" s="14" t="s">
        <v>2121</v>
      </c>
      <c r="B377" s="11" t="s">
        <v>389</v>
      </c>
      <c r="C377" s="11" t="s">
        <v>276</v>
      </c>
      <c r="D377" s="11" t="s">
        <v>25</v>
      </c>
      <c r="E377" s="11" t="s">
        <v>25</v>
      </c>
      <c r="F377">
        <v>1.17E-2</v>
      </c>
      <c r="G377">
        <v>5.33</v>
      </c>
      <c r="H377" s="12">
        <v>189</v>
      </c>
      <c r="I377" s="11" t="s">
        <v>228</v>
      </c>
      <c r="J377" s="11" t="s">
        <v>25</v>
      </c>
      <c r="K377" s="11" t="s">
        <v>25</v>
      </c>
      <c r="L377" s="12">
        <v>-1.06</v>
      </c>
      <c r="M377" s="11" t="s">
        <v>23</v>
      </c>
      <c r="N377" s="11" t="s">
        <v>230</v>
      </c>
      <c r="O377" s="11" t="s">
        <v>25</v>
      </c>
      <c r="P377" s="11" t="s">
        <v>25</v>
      </c>
      <c r="Q377" s="37">
        <v>1.4013784212883811</v>
      </c>
      <c r="R377" s="11" t="s">
        <v>231</v>
      </c>
      <c r="S377" s="13">
        <f t="shared" si="5"/>
        <v>-1.06</v>
      </c>
    </row>
    <row r="378" spans="1:19">
      <c r="A378" s="14" t="s">
        <v>2121</v>
      </c>
      <c r="B378" s="11" t="s">
        <v>390</v>
      </c>
      <c r="C378" s="11" t="s">
        <v>276</v>
      </c>
      <c r="D378" s="11" t="s">
        <v>25</v>
      </c>
      <c r="E378" s="11" t="s">
        <v>25</v>
      </c>
      <c r="F378">
        <v>1.17E-2</v>
      </c>
      <c r="G378">
        <v>5.33</v>
      </c>
      <c r="H378" s="12">
        <v>194.1</v>
      </c>
      <c r="I378" s="11" t="s">
        <v>228</v>
      </c>
      <c r="J378" s="11" t="s">
        <v>25</v>
      </c>
      <c r="K378" s="11" t="s">
        <v>25</v>
      </c>
      <c r="L378" s="12">
        <v>-0.8</v>
      </c>
      <c r="M378" s="11" t="s">
        <v>23</v>
      </c>
      <c r="N378" s="11" t="s">
        <v>230</v>
      </c>
      <c r="O378" s="11" t="s">
        <v>25</v>
      </c>
      <c r="P378" s="11" t="s">
        <v>25</v>
      </c>
      <c r="Q378" s="37">
        <v>1.4295692</v>
      </c>
      <c r="R378" s="11" t="s">
        <v>231</v>
      </c>
      <c r="S378" s="13">
        <f t="shared" si="5"/>
        <v>-0.8</v>
      </c>
    </row>
    <row r="379" spans="1:19">
      <c r="A379" s="14" t="s">
        <v>2121</v>
      </c>
      <c r="B379" s="11" t="s">
        <v>391</v>
      </c>
      <c r="C379" s="11" t="s">
        <v>276</v>
      </c>
      <c r="D379" s="11" t="s">
        <v>25</v>
      </c>
      <c r="E379" s="11" t="s">
        <v>25</v>
      </c>
      <c r="F379">
        <v>1.17E-2</v>
      </c>
      <c r="G379">
        <v>5.33</v>
      </c>
      <c r="H379" s="12">
        <v>238</v>
      </c>
      <c r="I379" s="11" t="s">
        <v>228</v>
      </c>
      <c r="J379" s="11" t="s">
        <v>25</v>
      </c>
      <c r="K379" s="11" t="s">
        <v>25</v>
      </c>
      <c r="L379" s="12">
        <v>-0.89500000000000002</v>
      </c>
      <c r="M379" s="11" t="s">
        <v>23</v>
      </c>
      <c r="N379" s="11" t="s">
        <v>230</v>
      </c>
      <c r="O379" s="11" t="s">
        <v>25</v>
      </c>
      <c r="P379" s="11" t="s">
        <v>25</v>
      </c>
      <c r="Q379" s="37">
        <v>1.6386814863533943</v>
      </c>
      <c r="R379" s="11" t="s">
        <v>231</v>
      </c>
      <c r="S379" s="13">
        <f t="shared" si="5"/>
        <v>-0.89500000000000002</v>
      </c>
    </row>
    <row r="380" spans="1:19">
      <c r="A380" s="14" t="s">
        <v>2121</v>
      </c>
      <c r="B380" s="11" t="s">
        <v>392</v>
      </c>
      <c r="C380" s="11" t="s">
        <v>276</v>
      </c>
      <c r="D380" s="11" t="s">
        <v>25</v>
      </c>
      <c r="E380" s="11" t="s">
        <v>25</v>
      </c>
      <c r="F380">
        <v>1.17E-2</v>
      </c>
      <c r="G380">
        <v>5.33</v>
      </c>
      <c r="H380" s="12">
        <v>175.6</v>
      </c>
      <c r="I380" s="11" t="s">
        <v>228</v>
      </c>
      <c r="J380" s="11" t="s">
        <v>25</v>
      </c>
      <c r="K380" s="11" t="s">
        <v>25</v>
      </c>
      <c r="L380" s="12">
        <v>-0.83</v>
      </c>
      <c r="M380" s="11" t="s">
        <v>23</v>
      </c>
      <c r="N380" s="11" t="s">
        <v>230</v>
      </c>
      <c r="O380" s="11" t="s">
        <v>25</v>
      </c>
      <c r="P380" s="11" t="s">
        <v>25</v>
      </c>
      <c r="Q380" s="37">
        <v>1.5058815999999999</v>
      </c>
      <c r="R380" s="11" t="s">
        <v>231</v>
      </c>
      <c r="S380" s="13">
        <f t="shared" si="5"/>
        <v>-0.83</v>
      </c>
    </row>
    <row r="381" spans="1:19">
      <c r="A381" s="14" t="s">
        <v>2121</v>
      </c>
      <c r="B381" s="11" t="s">
        <v>393</v>
      </c>
      <c r="C381" s="11" t="s">
        <v>276</v>
      </c>
      <c r="D381" s="11" t="s">
        <v>25</v>
      </c>
      <c r="E381" s="11" t="s">
        <v>25</v>
      </c>
      <c r="F381">
        <v>1.17E-2</v>
      </c>
      <c r="G381">
        <v>5.33</v>
      </c>
      <c r="H381" s="12">
        <v>183.1</v>
      </c>
      <c r="I381" s="11" t="s">
        <v>228</v>
      </c>
      <c r="J381" s="11" t="s">
        <v>25</v>
      </c>
      <c r="K381" s="11" t="s">
        <v>25</v>
      </c>
      <c r="L381" s="12">
        <v>-0.89</v>
      </c>
      <c r="M381" s="11" t="s">
        <v>23</v>
      </c>
      <c r="N381" s="11" t="s">
        <v>230</v>
      </c>
      <c r="O381" s="11" t="s">
        <v>25</v>
      </c>
      <c r="P381" s="11" t="s">
        <v>25</v>
      </c>
      <c r="Q381" s="37">
        <v>1.1240964</v>
      </c>
      <c r="R381" s="11" t="s">
        <v>231</v>
      </c>
      <c r="S381" s="13">
        <f t="shared" si="5"/>
        <v>-0.89</v>
      </c>
    </row>
    <row r="382" spans="1:19">
      <c r="A382" s="14" t="s">
        <v>2121</v>
      </c>
      <c r="B382" s="11" t="s">
        <v>394</v>
      </c>
      <c r="C382" s="11" t="s">
        <v>276</v>
      </c>
      <c r="D382" s="11" t="s">
        <v>25</v>
      </c>
      <c r="E382" s="11" t="s">
        <v>25</v>
      </c>
      <c r="F382">
        <v>1.17E-2</v>
      </c>
      <c r="G382">
        <v>5.33</v>
      </c>
      <c r="H382" s="12">
        <v>189.8</v>
      </c>
      <c r="I382" s="11" t="s">
        <v>228</v>
      </c>
      <c r="J382" s="11" t="s">
        <v>25</v>
      </c>
      <c r="K382" s="11" t="s">
        <v>25</v>
      </c>
      <c r="L382" s="12">
        <v>-0.86333333333333329</v>
      </c>
      <c r="M382" s="11" t="s">
        <v>23</v>
      </c>
      <c r="N382" s="11" t="s">
        <v>230</v>
      </c>
      <c r="O382" s="11" t="s">
        <v>25</v>
      </c>
      <c r="P382" s="11" t="s">
        <v>25</v>
      </c>
      <c r="Q382" s="37">
        <v>5.6763849000000004</v>
      </c>
      <c r="R382" s="11" t="s">
        <v>231</v>
      </c>
      <c r="S382" s="13">
        <f t="shared" si="5"/>
        <v>-0.86333333333333329</v>
      </c>
    </row>
    <row r="383" spans="1:19">
      <c r="A383" s="14" t="s">
        <v>2121</v>
      </c>
      <c r="B383" s="11" t="s">
        <v>395</v>
      </c>
      <c r="C383" s="11" t="s">
        <v>276</v>
      </c>
      <c r="D383" s="11" t="s">
        <v>25</v>
      </c>
      <c r="E383" s="11" t="s">
        <v>25</v>
      </c>
      <c r="F383">
        <v>1.17E-2</v>
      </c>
      <c r="G383">
        <v>5.33</v>
      </c>
      <c r="H383" s="12">
        <v>207.7</v>
      </c>
      <c r="I383" s="11" t="s">
        <v>228</v>
      </c>
      <c r="J383" s="11" t="s">
        <v>25</v>
      </c>
      <c r="K383" s="11" t="s">
        <v>25</v>
      </c>
      <c r="L383" s="12">
        <v>-0.82</v>
      </c>
      <c r="M383" s="11" t="s">
        <v>23</v>
      </c>
      <c r="N383" s="11" t="s">
        <v>230</v>
      </c>
      <c r="O383" s="11" t="s">
        <v>25</v>
      </c>
      <c r="P383" s="11" t="s">
        <v>25</v>
      </c>
      <c r="Q383" s="37">
        <v>1.5735003999999999</v>
      </c>
      <c r="R383" s="11" t="s">
        <v>231</v>
      </c>
      <c r="S383" s="13">
        <f t="shared" si="5"/>
        <v>-0.82</v>
      </c>
    </row>
    <row r="384" spans="1:19">
      <c r="A384" s="14" t="s">
        <v>2121</v>
      </c>
      <c r="B384" s="11" t="s">
        <v>396</v>
      </c>
      <c r="C384" s="11" t="s">
        <v>276</v>
      </c>
      <c r="D384" s="11" t="s">
        <v>25</v>
      </c>
      <c r="E384" s="11" t="s">
        <v>25</v>
      </c>
      <c r="F384">
        <v>1.17E-2</v>
      </c>
      <c r="G384">
        <v>5.33</v>
      </c>
      <c r="H384" s="12">
        <v>235</v>
      </c>
      <c r="I384" s="11" t="s">
        <v>228</v>
      </c>
      <c r="J384" s="11" t="s">
        <v>25</v>
      </c>
      <c r="K384" s="11" t="s">
        <v>25</v>
      </c>
      <c r="L384" s="12">
        <v>-0.84</v>
      </c>
      <c r="M384" s="11" t="s">
        <v>23</v>
      </c>
      <c r="N384" s="11" t="s">
        <v>230</v>
      </c>
      <c r="O384" s="11" t="s">
        <v>25</v>
      </c>
      <c r="P384" s="11" t="s">
        <v>25</v>
      </c>
      <c r="Q384" s="37">
        <v>1.1011321809347578</v>
      </c>
      <c r="R384" s="11" t="s">
        <v>231</v>
      </c>
      <c r="S384" s="13">
        <f t="shared" si="5"/>
        <v>-0.84</v>
      </c>
    </row>
    <row r="385" spans="1:19">
      <c r="A385" s="14" t="s">
        <v>2121</v>
      </c>
      <c r="B385" s="11" t="s">
        <v>397</v>
      </c>
      <c r="C385" s="11" t="s">
        <v>276</v>
      </c>
      <c r="D385" s="11" t="s">
        <v>25</v>
      </c>
      <c r="E385" s="11" t="s">
        <v>25</v>
      </c>
      <c r="F385">
        <v>1.17E-2</v>
      </c>
      <c r="G385">
        <v>5.33</v>
      </c>
      <c r="H385" s="12">
        <v>243.3</v>
      </c>
      <c r="I385" s="11" t="s">
        <v>228</v>
      </c>
      <c r="J385" s="11" t="s">
        <v>25</v>
      </c>
      <c r="K385" s="11" t="s">
        <v>25</v>
      </c>
      <c r="L385" s="12">
        <v>-1.05</v>
      </c>
      <c r="M385" s="11" t="s">
        <v>23</v>
      </c>
      <c r="N385" s="11" t="s">
        <v>230</v>
      </c>
      <c r="O385" s="11" t="s">
        <v>25</v>
      </c>
      <c r="P385" s="11" t="s">
        <v>25</v>
      </c>
      <c r="Q385" s="37">
        <v>1.7957573</v>
      </c>
      <c r="R385" s="11" t="s">
        <v>231</v>
      </c>
      <c r="S385" s="13">
        <f t="shared" si="5"/>
        <v>-1.05</v>
      </c>
    </row>
    <row r="386" spans="1:19">
      <c r="A386" s="14" t="s">
        <v>2121</v>
      </c>
      <c r="B386" s="11" t="s">
        <v>398</v>
      </c>
      <c r="C386" s="11" t="s">
        <v>276</v>
      </c>
      <c r="D386" s="11" t="s">
        <v>25</v>
      </c>
      <c r="E386" s="11" t="s">
        <v>25</v>
      </c>
      <c r="F386">
        <v>1.17E-2</v>
      </c>
      <c r="G386">
        <v>5.33</v>
      </c>
      <c r="H386" s="12">
        <v>252.9</v>
      </c>
      <c r="I386" s="11" t="s">
        <v>228</v>
      </c>
      <c r="J386" s="11" t="s">
        <v>25</v>
      </c>
      <c r="K386" s="11" t="s">
        <v>25</v>
      </c>
      <c r="L386" s="12">
        <v>-1.04</v>
      </c>
      <c r="M386" s="11" t="s">
        <v>23</v>
      </c>
      <c r="N386" s="11" t="s">
        <v>230</v>
      </c>
      <c r="O386" s="11" t="s">
        <v>25</v>
      </c>
      <c r="P386" s="11" t="s">
        <v>25</v>
      </c>
      <c r="Q386" s="37">
        <v>1.9948144000000001</v>
      </c>
      <c r="R386" s="11" t="s">
        <v>231</v>
      </c>
      <c r="S386" s="13">
        <f t="shared" si="5"/>
        <v>-1.04</v>
      </c>
    </row>
    <row r="387" spans="1:19">
      <c r="A387" s="14" t="s">
        <v>2121</v>
      </c>
      <c r="B387" s="11" t="s">
        <v>399</v>
      </c>
      <c r="C387" s="11" t="s">
        <v>276</v>
      </c>
      <c r="D387" s="11" t="s">
        <v>25</v>
      </c>
      <c r="E387" s="11" t="s">
        <v>25</v>
      </c>
      <c r="F387">
        <v>1.17E-2</v>
      </c>
      <c r="G387">
        <v>5.33</v>
      </c>
      <c r="H387" s="12">
        <v>262.5</v>
      </c>
      <c r="I387" s="11" t="s">
        <v>228</v>
      </c>
      <c r="J387" s="11" t="s">
        <v>25</v>
      </c>
      <c r="K387" s="11" t="s">
        <v>25</v>
      </c>
      <c r="L387" s="12">
        <v>-1.06</v>
      </c>
      <c r="M387" s="11" t="s">
        <v>23</v>
      </c>
      <c r="N387" s="11" t="s">
        <v>230</v>
      </c>
      <c r="O387" s="11" t="s">
        <v>25</v>
      </c>
      <c r="P387" s="11" t="s">
        <v>25</v>
      </c>
      <c r="Q387" s="37">
        <v>1.4628076000000001</v>
      </c>
      <c r="R387" s="11" t="s">
        <v>231</v>
      </c>
      <c r="S387" s="13">
        <f t="shared" ref="S387:S450" si="6">IF(NOT(N387="SW"),L387-1.88,L387)</f>
        <v>-1.06</v>
      </c>
    </row>
    <row r="388" spans="1:19">
      <c r="A388" s="14" t="s">
        <v>2121</v>
      </c>
      <c r="B388" s="11" t="s">
        <v>400</v>
      </c>
      <c r="C388" s="11" t="s">
        <v>276</v>
      </c>
      <c r="D388" s="11" t="s">
        <v>25</v>
      </c>
      <c r="E388" s="11" t="s">
        <v>25</v>
      </c>
      <c r="F388">
        <v>1.17E-2</v>
      </c>
      <c r="G388">
        <v>5.33</v>
      </c>
      <c r="H388" s="12">
        <v>283</v>
      </c>
      <c r="I388" s="11" t="s">
        <v>228</v>
      </c>
      <c r="J388" s="11" t="s">
        <v>25</v>
      </c>
      <c r="K388" s="11" t="s">
        <v>25</v>
      </c>
      <c r="L388" s="12">
        <v>-0.96</v>
      </c>
      <c r="M388" s="11" t="s">
        <v>23</v>
      </c>
      <c r="N388" s="11" t="s">
        <v>230</v>
      </c>
      <c r="O388" s="11" t="s">
        <v>25</v>
      </c>
      <c r="P388" s="11" t="s">
        <v>25</v>
      </c>
      <c r="Q388" s="37">
        <v>1.4412228130555484</v>
      </c>
      <c r="R388" s="11" t="s">
        <v>231</v>
      </c>
      <c r="S388" s="13">
        <f t="shared" si="6"/>
        <v>-0.96</v>
      </c>
    </row>
    <row r="389" spans="1:19">
      <c r="A389" s="14" t="s">
        <v>2121</v>
      </c>
      <c r="B389" s="11" t="s">
        <v>401</v>
      </c>
      <c r="C389" s="11" t="s">
        <v>276</v>
      </c>
      <c r="D389" s="11" t="s">
        <v>25</v>
      </c>
      <c r="E389" s="11" t="s">
        <v>25</v>
      </c>
      <c r="F389">
        <v>1.17E-2</v>
      </c>
      <c r="G389">
        <v>5.33</v>
      </c>
      <c r="H389" s="12">
        <v>292.89999999999998</v>
      </c>
      <c r="I389" s="11" t="s">
        <v>228</v>
      </c>
      <c r="J389" s="11" t="s">
        <v>25</v>
      </c>
      <c r="K389" s="11" t="s">
        <v>25</v>
      </c>
      <c r="L389" s="12">
        <v>-0.99</v>
      </c>
      <c r="M389" s="11" t="s">
        <v>23</v>
      </c>
      <c r="N389" s="11" t="s">
        <v>230</v>
      </c>
      <c r="O389" s="11" t="s">
        <v>25</v>
      </c>
      <c r="P389" s="11" t="s">
        <v>25</v>
      </c>
      <c r="Q389" s="37">
        <v>1.6563801</v>
      </c>
      <c r="R389" s="11" t="s">
        <v>231</v>
      </c>
      <c r="S389" s="13">
        <f t="shared" si="6"/>
        <v>-0.99</v>
      </c>
    </row>
    <row r="390" spans="1:19">
      <c r="A390" s="14" t="s">
        <v>2121</v>
      </c>
      <c r="B390" s="11" t="s">
        <v>402</v>
      </c>
      <c r="C390" s="11" t="s">
        <v>276</v>
      </c>
      <c r="D390" s="11" t="s">
        <v>25</v>
      </c>
      <c r="E390" s="11" t="s">
        <v>25</v>
      </c>
      <c r="F390">
        <v>1.17E-2</v>
      </c>
      <c r="G390">
        <v>5.33</v>
      </c>
      <c r="H390" s="12">
        <v>310.60000000000002</v>
      </c>
      <c r="I390" s="11" t="s">
        <v>228</v>
      </c>
      <c r="J390" s="11" t="s">
        <v>25</v>
      </c>
      <c r="K390" s="11" t="s">
        <v>25</v>
      </c>
      <c r="L390" s="12">
        <v>-1.03</v>
      </c>
      <c r="M390" s="11" t="s">
        <v>23</v>
      </c>
      <c r="N390" s="11" t="s">
        <v>230</v>
      </c>
      <c r="O390" s="11" t="s">
        <v>25</v>
      </c>
      <c r="P390" s="11" t="s">
        <v>25</v>
      </c>
      <c r="Q390" s="37">
        <v>2.2873190000000001</v>
      </c>
      <c r="R390" s="11" t="s">
        <v>231</v>
      </c>
      <c r="S390" s="13">
        <f t="shared" si="6"/>
        <v>-1.03</v>
      </c>
    </row>
    <row r="391" spans="1:19">
      <c r="A391" s="14" t="s">
        <v>2121</v>
      </c>
      <c r="B391" s="11" t="s">
        <v>403</v>
      </c>
      <c r="C391" s="11" t="s">
        <v>276</v>
      </c>
      <c r="D391" s="11" t="s">
        <v>25</v>
      </c>
      <c r="E391" s="11" t="s">
        <v>25</v>
      </c>
      <c r="F391">
        <v>1.17E-2</v>
      </c>
      <c r="G391">
        <v>5.33</v>
      </c>
      <c r="H391" s="12">
        <v>321.5</v>
      </c>
      <c r="I391" s="11" t="s">
        <v>228</v>
      </c>
      <c r="J391" s="11" t="s">
        <v>25</v>
      </c>
      <c r="K391" s="11" t="s">
        <v>25</v>
      </c>
      <c r="L391" s="12">
        <v>-1.01</v>
      </c>
      <c r="M391" s="11" t="s">
        <v>23</v>
      </c>
      <c r="N391" s="11" t="s">
        <v>230</v>
      </c>
      <c r="O391" s="11" t="s">
        <v>25</v>
      </c>
      <c r="P391" s="11" t="s">
        <v>25</v>
      </c>
      <c r="Q391" s="37">
        <v>2.3370320000000002</v>
      </c>
      <c r="R391" s="11" t="s">
        <v>231</v>
      </c>
      <c r="S391" s="13">
        <f t="shared" si="6"/>
        <v>-1.01</v>
      </c>
    </row>
    <row r="392" spans="1:19">
      <c r="A392" s="14" t="s">
        <v>2121</v>
      </c>
      <c r="B392" s="11" t="s">
        <v>404</v>
      </c>
      <c r="C392" s="11" t="s">
        <v>276</v>
      </c>
      <c r="D392" s="11" t="s">
        <v>25</v>
      </c>
      <c r="E392" s="11" t="s">
        <v>25</v>
      </c>
      <c r="F392">
        <v>1.17E-2</v>
      </c>
      <c r="G392">
        <v>5.33</v>
      </c>
      <c r="H392" s="12">
        <v>329.9</v>
      </c>
      <c r="I392" s="11" t="s">
        <v>228</v>
      </c>
      <c r="J392" s="11" t="s">
        <v>25</v>
      </c>
      <c r="K392" s="11" t="s">
        <v>25</v>
      </c>
      <c r="L392" s="12">
        <v>-1.02</v>
      </c>
      <c r="M392" s="11" t="s">
        <v>23</v>
      </c>
      <c r="N392" s="11" t="s">
        <v>230</v>
      </c>
      <c r="O392" s="11" t="s">
        <v>25</v>
      </c>
      <c r="P392" s="11" t="s">
        <v>25</v>
      </c>
      <c r="Q392" s="37">
        <v>2.5626449</v>
      </c>
      <c r="R392" s="11" t="s">
        <v>231</v>
      </c>
      <c r="S392" s="13">
        <f t="shared" si="6"/>
        <v>-1.02</v>
      </c>
    </row>
    <row r="393" spans="1:19">
      <c r="A393" s="14" t="s">
        <v>2121</v>
      </c>
      <c r="B393" s="11" t="s">
        <v>405</v>
      </c>
      <c r="C393" s="11" t="s">
        <v>276</v>
      </c>
      <c r="D393" s="11" t="s">
        <v>25</v>
      </c>
      <c r="E393" s="11" t="s">
        <v>25</v>
      </c>
      <c r="F393">
        <v>1.17E-2</v>
      </c>
      <c r="G393">
        <v>5.33</v>
      </c>
      <c r="H393" s="12">
        <v>339.4</v>
      </c>
      <c r="I393" s="11" t="s">
        <v>228</v>
      </c>
      <c r="J393" s="11" t="s">
        <v>25</v>
      </c>
      <c r="K393" s="11" t="s">
        <v>25</v>
      </c>
      <c r="L393" s="12">
        <v>-1.1000000000000001</v>
      </c>
      <c r="M393" s="11" t="s">
        <v>23</v>
      </c>
      <c r="N393" s="11" t="s">
        <v>230</v>
      </c>
      <c r="O393" s="11" t="s">
        <v>25</v>
      </c>
      <c r="P393" s="11" t="s">
        <v>25</v>
      </c>
      <c r="Q393" s="37">
        <v>3.9854362000000001</v>
      </c>
      <c r="R393" s="11" t="s">
        <v>231</v>
      </c>
      <c r="S393" s="13">
        <f t="shared" si="6"/>
        <v>-1.1000000000000001</v>
      </c>
    </row>
    <row r="394" spans="1:19">
      <c r="A394" s="14" t="s">
        <v>2121</v>
      </c>
      <c r="B394" s="11" t="s">
        <v>406</v>
      </c>
      <c r="C394" s="11" t="s">
        <v>276</v>
      </c>
      <c r="D394" s="11" t="s">
        <v>25</v>
      </c>
      <c r="E394" s="11" t="s">
        <v>25</v>
      </c>
      <c r="F394">
        <v>1.17E-2</v>
      </c>
      <c r="G394">
        <v>5.33</v>
      </c>
      <c r="H394" s="12">
        <v>350.5</v>
      </c>
      <c r="I394" s="11" t="s">
        <v>228</v>
      </c>
      <c r="J394" s="11" t="s">
        <v>25</v>
      </c>
      <c r="K394" s="11" t="s">
        <v>25</v>
      </c>
      <c r="L394" s="12">
        <v>-0.85</v>
      </c>
      <c r="M394" s="11" t="s">
        <v>23</v>
      </c>
      <c r="N394" s="11" t="s">
        <v>230</v>
      </c>
      <c r="O394" s="11" t="s">
        <v>25</v>
      </c>
      <c r="P394" s="11" t="s">
        <v>25</v>
      </c>
      <c r="Q394" s="37">
        <v>1.79</v>
      </c>
      <c r="R394" s="11" t="s">
        <v>231</v>
      </c>
      <c r="S394" s="13">
        <f t="shared" si="6"/>
        <v>-0.85</v>
      </c>
    </row>
    <row r="395" spans="1:19">
      <c r="A395" s="14" t="s">
        <v>2121</v>
      </c>
      <c r="B395" s="11" t="s">
        <v>407</v>
      </c>
      <c r="C395" s="11" t="s">
        <v>276</v>
      </c>
      <c r="D395" s="11" t="s">
        <v>25</v>
      </c>
      <c r="E395" s="11" t="s">
        <v>25</v>
      </c>
      <c r="F395">
        <v>1.17E-2</v>
      </c>
      <c r="G395">
        <v>5.33</v>
      </c>
      <c r="H395" s="12">
        <v>358.6</v>
      </c>
      <c r="I395" s="11" t="s">
        <v>228</v>
      </c>
      <c r="J395" s="11" t="s">
        <v>25</v>
      </c>
      <c r="K395" s="11" t="s">
        <v>25</v>
      </c>
      <c r="L395" s="12">
        <v>-1</v>
      </c>
      <c r="M395" s="11" t="s">
        <v>23</v>
      </c>
      <c r="N395" s="11" t="s">
        <v>230</v>
      </c>
      <c r="O395" s="11" t="s">
        <v>25</v>
      </c>
      <c r="P395" s="11" t="s">
        <v>25</v>
      </c>
      <c r="Q395" s="37">
        <v>2.2152222999999998</v>
      </c>
      <c r="R395" s="11" t="s">
        <v>231</v>
      </c>
      <c r="S395" s="13">
        <f t="shared" si="6"/>
        <v>-1</v>
      </c>
    </row>
    <row r="396" spans="1:19">
      <c r="A396" s="14" t="s">
        <v>2121</v>
      </c>
      <c r="B396" s="11" t="s">
        <v>408</v>
      </c>
      <c r="C396" s="11" t="s">
        <v>276</v>
      </c>
      <c r="D396" s="11" t="s">
        <v>25</v>
      </c>
      <c r="E396" s="11" t="s">
        <v>25</v>
      </c>
      <c r="F396">
        <v>1.17E-2</v>
      </c>
      <c r="G396">
        <v>5.33</v>
      </c>
      <c r="H396" s="12">
        <v>368.2</v>
      </c>
      <c r="I396" s="11" t="s">
        <v>228</v>
      </c>
      <c r="J396" s="11" t="s">
        <v>25</v>
      </c>
      <c r="K396" s="11" t="s">
        <v>25</v>
      </c>
      <c r="L396" s="12">
        <v>-1.07</v>
      </c>
      <c r="M396" s="11" t="s">
        <v>23</v>
      </c>
      <c r="N396" s="11" t="s">
        <v>230</v>
      </c>
      <c r="O396" s="11" t="s">
        <v>25</v>
      </c>
      <c r="P396" s="11" t="s">
        <v>25</v>
      </c>
      <c r="Q396" s="37">
        <v>2.2429277000000001</v>
      </c>
      <c r="R396" s="11" t="s">
        <v>231</v>
      </c>
      <c r="S396" s="13">
        <f t="shared" si="6"/>
        <v>-1.07</v>
      </c>
    </row>
    <row r="397" spans="1:19">
      <c r="A397" s="14" t="s">
        <v>2121</v>
      </c>
      <c r="B397" s="11" t="s">
        <v>409</v>
      </c>
      <c r="C397" s="11" t="s">
        <v>276</v>
      </c>
      <c r="D397" s="11" t="s">
        <v>25</v>
      </c>
      <c r="E397" s="11" t="s">
        <v>25</v>
      </c>
      <c r="F397">
        <v>1.17E-2</v>
      </c>
      <c r="G397">
        <v>5.33</v>
      </c>
      <c r="H397" s="12">
        <v>377.9</v>
      </c>
      <c r="I397" s="11" t="s">
        <v>228</v>
      </c>
      <c r="J397" s="11" t="s">
        <v>25</v>
      </c>
      <c r="K397" s="11" t="s">
        <v>25</v>
      </c>
      <c r="L397" s="12">
        <v>-1.02</v>
      </c>
      <c r="M397" s="11" t="s">
        <v>23</v>
      </c>
      <c r="N397" s="11" t="s">
        <v>230</v>
      </c>
      <c r="O397" s="11" t="s">
        <v>25</v>
      </c>
      <c r="P397" s="11" t="s">
        <v>25</v>
      </c>
      <c r="Q397" s="37">
        <v>2.3596944999999998</v>
      </c>
      <c r="R397" s="11" t="s">
        <v>231</v>
      </c>
      <c r="S397" s="13">
        <f t="shared" si="6"/>
        <v>-1.02</v>
      </c>
    </row>
    <row r="398" spans="1:19">
      <c r="A398" s="14" t="s">
        <v>2121</v>
      </c>
      <c r="B398" s="11" t="s">
        <v>410</v>
      </c>
      <c r="C398" s="11" t="s">
        <v>276</v>
      </c>
      <c r="D398" s="11" t="s">
        <v>25</v>
      </c>
      <c r="E398" s="11" t="s">
        <v>25</v>
      </c>
      <c r="F398">
        <v>1.17E-2</v>
      </c>
      <c r="G398">
        <v>5.33</v>
      </c>
      <c r="H398" s="12">
        <v>390</v>
      </c>
      <c r="I398" s="11" t="s">
        <v>228</v>
      </c>
      <c r="J398" s="11" t="s">
        <v>25</v>
      </c>
      <c r="K398" s="11" t="s">
        <v>25</v>
      </c>
      <c r="L398" s="12">
        <v>-1.03</v>
      </c>
      <c r="M398" s="11" t="s">
        <v>23</v>
      </c>
      <c r="N398" s="11" t="s">
        <v>230</v>
      </c>
      <c r="O398" s="11" t="s">
        <v>25</v>
      </c>
      <c r="P398" s="11" t="s">
        <v>25</v>
      </c>
      <c r="Q398" s="37">
        <v>2.2817316131383247</v>
      </c>
      <c r="R398" s="11" t="s">
        <v>231</v>
      </c>
      <c r="S398" s="13">
        <f t="shared" si="6"/>
        <v>-1.03</v>
      </c>
    </row>
    <row r="399" spans="1:19">
      <c r="A399" s="14" t="s">
        <v>2121</v>
      </c>
      <c r="B399" s="11" t="s">
        <v>411</v>
      </c>
      <c r="C399" s="11" t="s">
        <v>276</v>
      </c>
      <c r="D399" s="11" t="s">
        <v>25</v>
      </c>
      <c r="E399" s="11" t="s">
        <v>25</v>
      </c>
      <c r="F399">
        <v>1.17E-2</v>
      </c>
      <c r="G399">
        <v>5.33</v>
      </c>
      <c r="H399" s="12">
        <v>406.8</v>
      </c>
      <c r="I399" s="11" t="s">
        <v>228</v>
      </c>
      <c r="J399" s="11" t="s">
        <v>25</v>
      </c>
      <c r="K399" s="11" t="s">
        <v>25</v>
      </c>
      <c r="L399" s="12">
        <v>-1.08</v>
      </c>
      <c r="M399" s="11" t="s">
        <v>23</v>
      </c>
      <c r="N399" s="11" t="s">
        <v>230</v>
      </c>
      <c r="O399" s="11" t="s">
        <v>25</v>
      </c>
      <c r="P399" s="11" t="s">
        <v>25</v>
      </c>
      <c r="Q399" s="37">
        <v>2.5147060000000003</v>
      </c>
      <c r="R399" s="11" t="s">
        <v>231</v>
      </c>
      <c r="S399" s="13">
        <f t="shared" si="6"/>
        <v>-1.08</v>
      </c>
    </row>
    <row r="400" spans="1:19">
      <c r="A400" s="14" t="s">
        <v>2121</v>
      </c>
      <c r="B400" s="11" t="s">
        <v>412</v>
      </c>
      <c r="C400" s="11" t="s">
        <v>276</v>
      </c>
      <c r="D400" s="11" t="s">
        <v>25</v>
      </c>
      <c r="E400" s="11" t="s">
        <v>25</v>
      </c>
      <c r="F400">
        <v>1.17E-2</v>
      </c>
      <c r="G400">
        <v>5.33</v>
      </c>
      <c r="H400" s="12">
        <v>426.1</v>
      </c>
      <c r="I400" s="11" t="s">
        <v>228</v>
      </c>
      <c r="J400" s="11" t="s">
        <v>25</v>
      </c>
      <c r="K400" s="11" t="s">
        <v>25</v>
      </c>
      <c r="L400" s="12">
        <v>-1.07</v>
      </c>
      <c r="M400" s="11" t="s">
        <v>23</v>
      </c>
      <c r="N400" s="11" t="s">
        <v>230</v>
      </c>
      <c r="O400" s="11" t="s">
        <v>25</v>
      </c>
      <c r="P400" s="11" t="s">
        <v>25</v>
      </c>
      <c r="Q400" s="37">
        <v>2.7494727999999999</v>
      </c>
      <c r="R400" s="11" t="s">
        <v>231</v>
      </c>
      <c r="S400" s="13">
        <f t="shared" si="6"/>
        <v>-1.07</v>
      </c>
    </row>
    <row r="401" spans="1:19">
      <c r="A401" s="14" t="s">
        <v>2121</v>
      </c>
      <c r="B401" s="11" t="s">
        <v>413</v>
      </c>
      <c r="C401" s="11" t="s">
        <v>276</v>
      </c>
      <c r="D401" s="11" t="s">
        <v>25</v>
      </c>
      <c r="E401" s="11" t="s">
        <v>25</v>
      </c>
      <c r="F401">
        <v>1.17E-2</v>
      </c>
      <c r="G401">
        <v>5.33</v>
      </c>
      <c r="H401" s="12">
        <v>445.3</v>
      </c>
      <c r="I401" s="11" t="s">
        <v>228</v>
      </c>
      <c r="J401" s="11" t="s">
        <v>25</v>
      </c>
      <c r="K401" s="11" t="s">
        <v>25</v>
      </c>
      <c r="L401" s="12">
        <v>-0.96</v>
      </c>
      <c r="M401" s="11" t="s">
        <v>23</v>
      </c>
      <c r="N401" s="11" t="s">
        <v>230</v>
      </c>
      <c r="O401" s="11" t="s">
        <v>25</v>
      </c>
      <c r="P401" s="11" t="s">
        <v>25</v>
      </c>
      <c r="Q401" s="37">
        <v>2.2042013000000003</v>
      </c>
      <c r="R401" s="11" t="s">
        <v>231</v>
      </c>
      <c r="S401" s="13">
        <f t="shared" si="6"/>
        <v>-0.96</v>
      </c>
    </row>
    <row r="402" spans="1:19">
      <c r="A402" s="14" t="s">
        <v>2121</v>
      </c>
      <c r="B402" s="11" t="s">
        <v>414</v>
      </c>
      <c r="C402" s="11" t="s">
        <v>276</v>
      </c>
      <c r="D402" s="11" t="s">
        <v>25</v>
      </c>
      <c r="E402" s="11" t="s">
        <v>25</v>
      </c>
      <c r="F402">
        <v>1.17E-2</v>
      </c>
      <c r="G402">
        <v>5.33</v>
      </c>
      <c r="H402" s="12">
        <v>456</v>
      </c>
      <c r="I402" s="11" t="s">
        <v>228</v>
      </c>
      <c r="J402" s="11" t="s">
        <v>25</v>
      </c>
      <c r="K402" s="11" t="s">
        <v>25</v>
      </c>
      <c r="L402" s="12">
        <v>-0.99</v>
      </c>
      <c r="M402" s="11" t="s">
        <v>23</v>
      </c>
      <c r="N402" s="11" t="s">
        <v>230</v>
      </c>
      <c r="O402" s="11" t="s">
        <v>25</v>
      </c>
      <c r="P402" s="11" t="s">
        <v>25</v>
      </c>
      <c r="Q402" s="37">
        <v>2.4704595806105547</v>
      </c>
      <c r="R402" s="11" t="s">
        <v>231</v>
      </c>
      <c r="S402" s="13">
        <f t="shared" si="6"/>
        <v>-0.99</v>
      </c>
    </row>
    <row r="403" spans="1:19">
      <c r="A403" s="14" t="s">
        <v>2121</v>
      </c>
      <c r="B403" s="11" t="s">
        <v>415</v>
      </c>
      <c r="C403" s="11" t="s">
        <v>276</v>
      </c>
      <c r="D403" s="11" t="s">
        <v>25</v>
      </c>
      <c r="E403" s="11" t="s">
        <v>25</v>
      </c>
      <c r="F403">
        <v>1.17E-2</v>
      </c>
      <c r="G403">
        <v>5.33</v>
      </c>
      <c r="H403" s="12">
        <v>464.6</v>
      </c>
      <c r="I403" s="11" t="s">
        <v>228</v>
      </c>
      <c r="J403" s="11" t="s">
        <v>25</v>
      </c>
      <c r="K403" s="11" t="s">
        <v>25</v>
      </c>
      <c r="L403" s="12">
        <v>-1.0950000000000002</v>
      </c>
      <c r="M403" s="11" t="s">
        <v>23</v>
      </c>
      <c r="N403" s="11" t="s">
        <v>230</v>
      </c>
      <c r="O403" s="11" t="s">
        <v>25</v>
      </c>
      <c r="P403" s="11" t="s">
        <v>25</v>
      </c>
      <c r="Q403" s="37">
        <v>2.7061187000000002</v>
      </c>
      <c r="R403" s="11" t="s">
        <v>231</v>
      </c>
      <c r="S403" s="13">
        <f t="shared" si="6"/>
        <v>-1.0950000000000002</v>
      </c>
    </row>
    <row r="404" spans="1:19">
      <c r="A404" s="14" t="s">
        <v>2121</v>
      </c>
      <c r="B404" s="11" t="s">
        <v>416</v>
      </c>
      <c r="C404" s="11" t="s">
        <v>276</v>
      </c>
      <c r="D404" s="11" t="s">
        <v>25</v>
      </c>
      <c r="E404" s="11" t="s">
        <v>25</v>
      </c>
      <c r="F404">
        <v>1.17E-2</v>
      </c>
      <c r="G404">
        <v>5.33</v>
      </c>
      <c r="H404" s="12">
        <v>483.9</v>
      </c>
      <c r="I404" s="11" t="s">
        <v>228</v>
      </c>
      <c r="J404" s="11" t="s">
        <v>25</v>
      </c>
      <c r="K404" s="11" t="s">
        <v>25</v>
      </c>
      <c r="L404" s="12">
        <v>-1.0750000000000002</v>
      </c>
      <c r="M404" s="11" t="s">
        <v>23</v>
      </c>
      <c r="N404" s="11" t="s">
        <v>230</v>
      </c>
      <c r="O404" s="11" t="s">
        <v>25</v>
      </c>
      <c r="P404" s="11" t="s">
        <v>25</v>
      </c>
      <c r="Q404" s="37">
        <v>1.9615969</v>
      </c>
      <c r="R404" s="11" t="s">
        <v>231</v>
      </c>
      <c r="S404" s="13">
        <f t="shared" si="6"/>
        <v>-1.0750000000000002</v>
      </c>
    </row>
    <row r="405" spans="1:19">
      <c r="A405" s="14" t="s">
        <v>2121</v>
      </c>
      <c r="B405" s="11" t="s">
        <v>417</v>
      </c>
      <c r="C405" s="11" t="s">
        <v>276</v>
      </c>
      <c r="D405" s="11" t="s">
        <v>25</v>
      </c>
      <c r="E405" s="11" t="s">
        <v>25</v>
      </c>
      <c r="F405">
        <v>1.17E-2</v>
      </c>
      <c r="G405">
        <v>5.33</v>
      </c>
      <c r="H405" s="12">
        <v>503.90000000000003</v>
      </c>
      <c r="I405" s="11" t="s">
        <v>228</v>
      </c>
      <c r="J405" s="11" t="s">
        <v>25</v>
      </c>
      <c r="K405" s="11" t="s">
        <v>25</v>
      </c>
      <c r="L405" s="12">
        <v>-1.1499999999999999</v>
      </c>
      <c r="M405" s="11" t="s">
        <v>23</v>
      </c>
      <c r="N405" s="11" t="s">
        <v>230</v>
      </c>
      <c r="O405" s="11" t="s">
        <v>25</v>
      </c>
      <c r="P405" s="11" t="s">
        <v>25</v>
      </c>
      <c r="Q405" s="37">
        <v>2.7103999000000001</v>
      </c>
      <c r="R405" s="11" t="s">
        <v>231</v>
      </c>
      <c r="S405" s="13">
        <f t="shared" si="6"/>
        <v>-1.1499999999999999</v>
      </c>
    </row>
    <row r="406" spans="1:19">
      <c r="A406" s="14" t="s">
        <v>2121</v>
      </c>
      <c r="B406" s="11" t="s">
        <v>418</v>
      </c>
      <c r="C406" s="11" t="s">
        <v>276</v>
      </c>
      <c r="D406" s="11" t="s">
        <v>25</v>
      </c>
      <c r="E406" s="11" t="s">
        <v>25</v>
      </c>
      <c r="F406">
        <v>1.17E-2</v>
      </c>
      <c r="G406">
        <v>5.33</v>
      </c>
      <c r="H406" s="12">
        <v>513</v>
      </c>
      <c r="I406" s="11" t="s">
        <v>228</v>
      </c>
      <c r="J406" s="11" t="s">
        <v>25</v>
      </c>
      <c r="K406" s="11" t="s">
        <v>25</v>
      </c>
      <c r="L406" s="12">
        <v>-1</v>
      </c>
      <c r="M406" s="11" t="s">
        <v>23</v>
      </c>
      <c r="N406" s="11" t="s">
        <v>230</v>
      </c>
      <c r="O406" s="11" t="s">
        <v>25</v>
      </c>
      <c r="P406" s="11" t="s">
        <v>25</v>
      </c>
      <c r="Q406" s="37">
        <v>1.2054009477075671</v>
      </c>
      <c r="R406" s="11" t="s">
        <v>231</v>
      </c>
      <c r="S406" s="13">
        <f t="shared" si="6"/>
        <v>-1</v>
      </c>
    </row>
    <row r="407" spans="1:19">
      <c r="A407" s="14" t="s">
        <v>2121</v>
      </c>
      <c r="B407" s="11" t="s">
        <v>419</v>
      </c>
      <c r="C407" s="11" t="s">
        <v>276</v>
      </c>
      <c r="D407" s="11" t="s">
        <v>25</v>
      </c>
      <c r="E407" s="11" t="s">
        <v>25</v>
      </c>
      <c r="F407">
        <v>1.17E-2</v>
      </c>
      <c r="G407">
        <v>5.33</v>
      </c>
      <c r="H407" s="12">
        <v>494</v>
      </c>
      <c r="I407" s="11" t="s">
        <v>228</v>
      </c>
      <c r="J407" s="11" t="s">
        <v>25</v>
      </c>
      <c r="K407" s="11" t="s">
        <v>25</v>
      </c>
      <c r="L407" s="12">
        <v>-0.99</v>
      </c>
      <c r="M407" s="11" t="s">
        <v>23</v>
      </c>
      <c r="N407" s="11" t="s">
        <v>230</v>
      </c>
      <c r="O407" s="11" t="s">
        <v>25</v>
      </c>
      <c r="P407" s="11" t="s">
        <v>25</v>
      </c>
      <c r="Q407" s="37">
        <v>4.0995808382893184</v>
      </c>
      <c r="R407" s="11" t="s">
        <v>231</v>
      </c>
      <c r="S407" s="13">
        <f t="shared" si="6"/>
        <v>-0.99</v>
      </c>
    </row>
    <row r="408" spans="1:19">
      <c r="A408" s="14" t="s">
        <v>2121</v>
      </c>
      <c r="B408" s="11" t="s">
        <v>420</v>
      </c>
      <c r="C408" s="11" t="s">
        <v>276</v>
      </c>
      <c r="D408" s="11" t="s">
        <v>25</v>
      </c>
      <c r="E408" s="11" t="s">
        <v>25</v>
      </c>
      <c r="F408">
        <v>1.17E-2</v>
      </c>
      <c r="G408">
        <v>5.33</v>
      </c>
      <c r="H408" s="12">
        <v>533</v>
      </c>
      <c r="I408" s="11" t="s">
        <v>228</v>
      </c>
      <c r="J408" s="11" t="s">
        <v>25</v>
      </c>
      <c r="K408" s="11" t="s">
        <v>25</v>
      </c>
      <c r="L408" s="12">
        <v>-1.1399999999999999</v>
      </c>
      <c r="M408" s="11" t="s">
        <v>23</v>
      </c>
      <c r="N408" s="11" t="s">
        <v>230</v>
      </c>
      <c r="O408" s="11" t="s">
        <v>25</v>
      </c>
      <c r="P408" s="11" t="s">
        <v>25</v>
      </c>
      <c r="Q408" s="37" t="s">
        <v>25</v>
      </c>
      <c r="R408" s="11" t="s">
        <v>231</v>
      </c>
      <c r="S408" s="13">
        <f t="shared" si="6"/>
        <v>-1.1399999999999999</v>
      </c>
    </row>
    <row r="409" spans="1:19">
      <c r="A409" s="14" t="s">
        <v>2121</v>
      </c>
      <c r="B409" s="11" t="s">
        <v>421</v>
      </c>
      <c r="C409" s="11" t="s">
        <v>276</v>
      </c>
      <c r="D409" s="11" t="s">
        <v>25</v>
      </c>
      <c r="E409" s="11" t="s">
        <v>25</v>
      </c>
      <c r="F409">
        <v>1.17E-2</v>
      </c>
      <c r="G409">
        <v>5.33</v>
      </c>
      <c r="H409" s="12">
        <v>549.70000000000005</v>
      </c>
      <c r="I409" s="11" t="s">
        <v>228</v>
      </c>
      <c r="J409" s="11" t="s">
        <v>25</v>
      </c>
      <c r="K409" s="11" t="s">
        <v>25</v>
      </c>
      <c r="L409" s="12">
        <v>-1.0900000000000001</v>
      </c>
      <c r="M409" s="11" t="s">
        <v>23</v>
      </c>
      <c r="N409" s="11" t="s">
        <v>230</v>
      </c>
      <c r="O409" s="11" t="s">
        <v>25</v>
      </c>
      <c r="P409" s="11" t="s">
        <v>25</v>
      </c>
      <c r="Q409" s="37">
        <v>1.2370789</v>
      </c>
      <c r="R409" s="11" t="s">
        <v>231</v>
      </c>
      <c r="S409" s="13">
        <f t="shared" si="6"/>
        <v>-1.0900000000000001</v>
      </c>
    </row>
    <row r="410" spans="1:19">
      <c r="A410" s="14" t="s">
        <v>2121</v>
      </c>
      <c r="B410" s="11" t="s">
        <v>422</v>
      </c>
      <c r="C410" s="11" t="s">
        <v>276</v>
      </c>
      <c r="D410" s="11" t="s">
        <v>25</v>
      </c>
      <c r="E410" s="11" t="s">
        <v>25</v>
      </c>
      <c r="F410">
        <v>1.17E-2</v>
      </c>
      <c r="G410">
        <v>5.33</v>
      </c>
      <c r="H410" s="12">
        <v>588.29999999999995</v>
      </c>
      <c r="I410" s="11" t="s">
        <v>228</v>
      </c>
      <c r="J410" s="11" t="s">
        <v>25</v>
      </c>
      <c r="K410" s="11" t="s">
        <v>25</v>
      </c>
      <c r="L410" s="12">
        <v>-1.1000000000000001</v>
      </c>
      <c r="M410" s="11" t="s">
        <v>23</v>
      </c>
      <c r="N410" s="11" t="s">
        <v>230</v>
      </c>
      <c r="O410" s="11" t="s">
        <v>25</v>
      </c>
      <c r="P410" s="11" t="s">
        <v>25</v>
      </c>
      <c r="Q410" s="37">
        <v>2.732907</v>
      </c>
      <c r="R410" s="11" t="s">
        <v>231</v>
      </c>
      <c r="S410" s="13">
        <f t="shared" si="6"/>
        <v>-1.1000000000000001</v>
      </c>
    </row>
    <row r="411" spans="1:19">
      <c r="A411" s="14" t="s">
        <v>2121</v>
      </c>
      <c r="B411" s="11" t="s">
        <v>423</v>
      </c>
      <c r="C411" s="11" t="s">
        <v>276</v>
      </c>
      <c r="D411" s="11" t="s">
        <v>25</v>
      </c>
      <c r="E411" s="11" t="s">
        <v>25</v>
      </c>
      <c r="F411">
        <v>1.17E-2</v>
      </c>
      <c r="G411">
        <v>5.33</v>
      </c>
      <c r="H411" s="12">
        <v>628</v>
      </c>
      <c r="I411" s="11" t="s">
        <v>228</v>
      </c>
      <c r="J411" s="11" t="s">
        <v>25</v>
      </c>
      <c r="K411" s="11" t="s">
        <v>25</v>
      </c>
      <c r="L411" s="12">
        <v>-1.08</v>
      </c>
      <c r="M411" s="11" t="s">
        <v>23</v>
      </c>
      <c r="N411" s="11" t="s">
        <v>230</v>
      </c>
      <c r="O411" s="11" t="s">
        <v>25</v>
      </c>
      <c r="P411" s="11" t="s">
        <v>25</v>
      </c>
      <c r="Q411" s="37">
        <v>1.7190946162690701</v>
      </c>
      <c r="R411" s="11" t="s">
        <v>231</v>
      </c>
      <c r="S411" s="13">
        <f t="shared" si="6"/>
        <v>-1.08</v>
      </c>
    </row>
    <row r="412" spans="1:19">
      <c r="A412" s="14" t="s">
        <v>2121</v>
      </c>
      <c r="B412" s="11" t="s">
        <v>424</v>
      </c>
      <c r="C412" s="11" t="s">
        <v>276</v>
      </c>
      <c r="D412" s="11" t="s">
        <v>25</v>
      </c>
      <c r="E412" s="11" t="s">
        <v>25</v>
      </c>
      <c r="F412">
        <v>1.17E-2</v>
      </c>
      <c r="G412">
        <v>5.33</v>
      </c>
      <c r="H412" s="12">
        <v>655.7</v>
      </c>
      <c r="I412" s="11" t="s">
        <v>228</v>
      </c>
      <c r="J412" s="11" t="s">
        <v>25</v>
      </c>
      <c r="K412" s="11" t="s">
        <v>25</v>
      </c>
      <c r="L412" s="12">
        <v>-1.22</v>
      </c>
      <c r="M412" s="11" t="s">
        <v>23</v>
      </c>
      <c r="N412" s="11" t="s">
        <v>230</v>
      </c>
      <c r="O412" s="11" t="s">
        <v>25</v>
      </c>
      <c r="P412" s="11" t="s">
        <v>25</v>
      </c>
      <c r="Q412" s="37">
        <v>2.1800000000000002</v>
      </c>
      <c r="R412" s="11" t="s">
        <v>231</v>
      </c>
      <c r="S412" s="13">
        <f t="shared" si="6"/>
        <v>-1.22</v>
      </c>
    </row>
    <row r="413" spans="1:19">
      <c r="A413" s="14" t="s">
        <v>2121</v>
      </c>
      <c r="B413" s="11" t="s">
        <v>425</v>
      </c>
      <c r="C413" s="11" t="s">
        <v>276</v>
      </c>
      <c r="D413" s="11" t="s">
        <v>25</v>
      </c>
      <c r="E413" s="11" t="s">
        <v>25</v>
      </c>
      <c r="F413">
        <v>1.17E-2</v>
      </c>
      <c r="G413">
        <v>5.33</v>
      </c>
      <c r="H413" s="12">
        <v>686</v>
      </c>
      <c r="I413" s="11" t="s">
        <v>228</v>
      </c>
      <c r="J413" s="11" t="s">
        <v>25</v>
      </c>
      <c r="K413" s="11" t="s">
        <v>25</v>
      </c>
      <c r="L413" s="12">
        <v>-1.06</v>
      </c>
      <c r="M413" s="11" t="s">
        <v>23</v>
      </c>
      <c r="N413" s="11" t="s">
        <v>230</v>
      </c>
      <c r="O413" s="11" t="s">
        <v>25</v>
      </c>
      <c r="P413" s="11" t="s">
        <v>25</v>
      </c>
      <c r="Q413" s="37" t="s">
        <v>25</v>
      </c>
      <c r="R413" s="11" t="s">
        <v>231</v>
      </c>
      <c r="S413" s="13">
        <f t="shared" si="6"/>
        <v>-1.06</v>
      </c>
    </row>
    <row r="414" spans="1:19">
      <c r="A414" s="14" t="s">
        <v>2121</v>
      </c>
      <c r="B414" s="11" t="s">
        <v>426</v>
      </c>
      <c r="C414" s="11" t="s">
        <v>276</v>
      </c>
      <c r="D414" s="11" t="s">
        <v>25</v>
      </c>
      <c r="E414" s="11" t="s">
        <v>25</v>
      </c>
      <c r="F414">
        <v>1.17E-2</v>
      </c>
      <c r="G414">
        <v>5.33</v>
      </c>
      <c r="H414" s="12">
        <v>724.19999999999993</v>
      </c>
      <c r="I414" s="11" t="s">
        <v>228</v>
      </c>
      <c r="J414" s="11" t="s">
        <v>25</v>
      </c>
      <c r="K414" s="11" t="s">
        <v>25</v>
      </c>
      <c r="L414" s="12">
        <v>-1.03</v>
      </c>
      <c r="M414" s="11" t="s">
        <v>23</v>
      </c>
      <c r="N414" s="11" t="s">
        <v>230</v>
      </c>
      <c r="O414" s="11" t="s">
        <v>25</v>
      </c>
      <c r="P414" s="11" t="s">
        <v>25</v>
      </c>
      <c r="Q414" s="37">
        <v>1.8532743</v>
      </c>
      <c r="R414" s="11" t="s">
        <v>231</v>
      </c>
      <c r="S414" s="13">
        <f t="shared" si="6"/>
        <v>-1.03</v>
      </c>
    </row>
    <row r="415" spans="1:19">
      <c r="A415" s="14" t="s">
        <v>2121</v>
      </c>
      <c r="B415" s="11" t="s">
        <v>427</v>
      </c>
      <c r="C415" s="11" t="s">
        <v>276</v>
      </c>
      <c r="D415" s="11" t="s">
        <v>25</v>
      </c>
      <c r="E415" s="11" t="s">
        <v>25</v>
      </c>
      <c r="F415">
        <v>1.17E-2</v>
      </c>
      <c r="G415">
        <v>5.33</v>
      </c>
      <c r="H415" s="12">
        <v>754</v>
      </c>
      <c r="I415" s="11" t="s">
        <v>228</v>
      </c>
      <c r="J415" s="11" t="s">
        <v>25</v>
      </c>
      <c r="K415" s="11" t="s">
        <v>25</v>
      </c>
      <c r="L415" s="12">
        <v>-1.0900000000000001</v>
      </c>
      <c r="M415" s="11" t="s">
        <v>23</v>
      </c>
      <c r="N415" s="11" t="s">
        <v>230</v>
      </c>
      <c r="O415" s="11" t="s">
        <v>25</v>
      </c>
      <c r="P415" s="11" t="s">
        <v>25</v>
      </c>
      <c r="Q415" s="37">
        <v>3.1959609999999996</v>
      </c>
      <c r="R415" s="11" t="s">
        <v>231</v>
      </c>
      <c r="S415" s="13">
        <f t="shared" si="6"/>
        <v>-1.0900000000000001</v>
      </c>
    </row>
    <row r="416" spans="1:19">
      <c r="A416" s="14" t="s">
        <v>2121</v>
      </c>
      <c r="B416" s="11" t="s">
        <v>428</v>
      </c>
      <c r="C416" s="11" t="s">
        <v>276</v>
      </c>
      <c r="D416" s="11" t="s">
        <v>25</v>
      </c>
      <c r="E416" s="11" t="s">
        <v>25</v>
      </c>
      <c r="F416">
        <v>1.17E-2</v>
      </c>
      <c r="G416">
        <v>5.33</v>
      </c>
      <c r="H416" s="12">
        <v>773.59999999999991</v>
      </c>
      <c r="I416" s="11" t="s">
        <v>228</v>
      </c>
      <c r="J416" s="11" t="s">
        <v>25</v>
      </c>
      <c r="K416" s="11" t="s">
        <v>25</v>
      </c>
      <c r="L416" s="12">
        <v>-1.1399999999999999</v>
      </c>
      <c r="M416" s="11" t="s">
        <v>23</v>
      </c>
      <c r="N416" s="11" t="s">
        <v>230</v>
      </c>
      <c r="O416" s="11" t="s">
        <v>25</v>
      </c>
      <c r="P416" s="11" t="s">
        <v>25</v>
      </c>
      <c r="Q416" s="37">
        <v>3.4512672000000002</v>
      </c>
      <c r="R416" s="11" t="s">
        <v>231</v>
      </c>
      <c r="S416" s="13">
        <f t="shared" si="6"/>
        <v>-1.1399999999999999</v>
      </c>
    </row>
    <row r="417" spans="1:19">
      <c r="A417" s="14" t="s">
        <v>2121</v>
      </c>
      <c r="B417" s="11" t="s">
        <v>429</v>
      </c>
      <c r="C417" s="11" t="s">
        <v>276</v>
      </c>
      <c r="D417" s="11" t="s">
        <v>25</v>
      </c>
      <c r="E417" s="11" t="s">
        <v>25</v>
      </c>
      <c r="F417">
        <v>1.17E-2</v>
      </c>
      <c r="G417">
        <v>5.33</v>
      </c>
      <c r="H417" s="12">
        <v>792.9</v>
      </c>
      <c r="I417" s="11" t="s">
        <v>228</v>
      </c>
      <c r="J417" s="11" t="s">
        <v>25</v>
      </c>
      <c r="K417" s="11" t="s">
        <v>25</v>
      </c>
      <c r="L417" s="12">
        <v>-1.23</v>
      </c>
      <c r="M417" s="11" t="s">
        <v>23</v>
      </c>
      <c r="N417" s="11" t="s">
        <v>230</v>
      </c>
      <c r="O417" s="11" t="s">
        <v>25</v>
      </c>
      <c r="P417" s="11" t="s">
        <v>25</v>
      </c>
      <c r="Q417" s="37">
        <v>3.7424659</v>
      </c>
      <c r="R417" s="11" t="s">
        <v>231</v>
      </c>
      <c r="S417" s="13">
        <f t="shared" si="6"/>
        <v>-1.23</v>
      </c>
    </row>
    <row r="418" spans="1:19">
      <c r="A418" s="14" t="s">
        <v>2121</v>
      </c>
      <c r="B418" s="11" t="s">
        <v>430</v>
      </c>
      <c r="C418" s="11" t="s">
        <v>276</v>
      </c>
      <c r="D418" s="11" t="s">
        <v>25</v>
      </c>
      <c r="E418" s="11" t="s">
        <v>25</v>
      </c>
      <c r="F418">
        <v>1.17E-2</v>
      </c>
      <c r="G418">
        <v>5.33</v>
      </c>
      <c r="H418" s="12">
        <v>839.5</v>
      </c>
      <c r="I418" s="11" t="s">
        <v>228</v>
      </c>
      <c r="J418" s="11" t="s">
        <v>25</v>
      </c>
      <c r="K418" s="11" t="s">
        <v>25</v>
      </c>
      <c r="L418" s="12">
        <v>-1.29</v>
      </c>
      <c r="M418" s="11" t="s">
        <v>23</v>
      </c>
      <c r="N418" s="11" t="s">
        <v>230</v>
      </c>
      <c r="O418" s="11" t="s">
        <v>25</v>
      </c>
      <c r="P418" s="11" t="s">
        <v>25</v>
      </c>
      <c r="Q418" s="37">
        <v>4.6379457000000004</v>
      </c>
      <c r="R418" s="11" t="s">
        <v>231</v>
      </c>
      <c r="S418" s="13">
        <f t="shared" si="6"/>
        <v>-1.29</v>
      </c>
    </row>
    <row r="419" spans="1:19">
      <c r="A419" s="14" t="s">
        <v>2121</v>
      </c>
      <c r="B419" s="11" t="s">
        <v>431</v>
      </c>
      <c r="C419" s="11" t="s">
        <v>276</v>
      </c>
      <c r="D419" s="11" t="s">
        <v>25</v>
      </c>
      <c r="E419" s="11" t="s">
        <v>25</v>
      </c>
      <c r="F419">
        <v>1.17E-2</v>
      </c>
      <c r="G419">
        <v>5.33</v>
      </c>
      <c r="H419" s="12">
        <v>857.5</v>
      </c>
      <c r="I419" s="11" t="s">
        <v>228</v>
      </c>
      <c r="J419" s="11" t="s">
        <v>25</v>
      </c>
      <c r="K419" s="11" t="s">
        <v>25</v>
      </c>
      <c r="L419" s="12">
        <v>-1.28</v>
      </c>
      <c r="M419" s="11" t="s">
        <v>23</v>
      </c>
      <c r="N419" s="11" t="s">
        <v>230</v>
      </c>
      <c r="O419" s="11" t="s">
        <v>25</v>
      </c>
      <c r="P419" s="11" t="s">
        <v>25</v>
      </c>
      <c r="Q419" s="37">
        <v>4.3830182999999998</v>
      </c>
      <c r="R419" s="11" t="s">
        <v>231</v>
      </c>
      <c r="S419" s="13">
        <f t="shared" si="6"/>
        <v>-1.28</v>
      </c>
    </row>
    <row r="420" spans="1:19">
      <c r="A420" s="14" t="s">
        <v>2121</v>
      </c>
      <c r="B420" s="11" t="s">
        <v>432</v>
      </c>
      <c r="C420" s="11" t="s">
        <v>276</v>
      </c>
      <c r="D420" s="11" t="s">
        <v>25</v>
      </c>
      <c r="E420" s="11" t="s">
        <v>25</v>
      </c>
      <c r="F420">
        <v>1.17E-2</v>
      </c>
      <c r="G420">
        <v>5.33</v>
      </c>
      <c r="H420" s="12">
        <v>878.1</v>
      </c>
      <c r="I420" s="11" t="s">
        <v>228</v>
      </c>
      <c r="J420" s="11" t="s">
        <v>25</v>
      </c>
      <c r="K420" s="11" t="s">
        <v>25</v>
      </c>
      <c r="L420" s="12">
        <v>-1.22</v>
      </c>
      <c r="M420" s="11" t="s">
        <v>23</v>
      </c>
      <c r="N420" s="11" t="s">
        <v>230</v>
      </c>
      <c r="O420" s="11" t="s">
        <v>25</v>
      </c>
      <c r="P420" s="11" t="s">
        <v>25</v>
      </c>
      <c r="Q420" s="37">
        <v>2.9433387999999998</v>
      </c>
      <c r="R420" s="11" t="s">
        <v>231</v>
      </c>
      <c r="S420" s="13">
        <f t="shared" si="6"/>
        <v>-1.22</v>
      </c>
    </row>
    <row r="421" spans="1:19">
      <c r="A421" s="14" t="s">
        <v>2121</v>
      </c>
      <c r="B421" s="11" t="s">
        <v>433</v>
      </c>
      <c r="C421" s="11" t="s">
        <v>276</v>
      </c>
      <c r="D421" s="11" t="s">
        <v>25</v>
      </c>
      <c r="E421" s="11" t="s">
        <v>25</v>
      </c>
      <c r="F421">
        <v>1.17E-2</v>
      </c>
      <c r="G421">
        <v>5.33</v>
      </c>
      <c r="H421" s="12">
        <v>907.6</v>
      </c>
      <c r="I421" s="11" t="s">
        <v>228</v>
      </c>
      <c r="J421" s="11" t="s">
        <v>25</v>
      </c>
      <c r="K421" s="11" t="s">
        <v>25</v>
      </c>
      <c r="L421" s="12">
        <v>-1.29</v>
      </c>
      <c r="M421" s="11" t="s">
        <v>23</v>
      </c>
      <c r="N421" s="11" t="s">
        <v>230</v>
      </c>
      <c r="O421" s="11" t="s">
        <v>25</v>
      </c>
      <c r="P421" s="11" t="s">
        <v>25</v>
      </c>
      <c r="Q421" s="37">
        <v>2.8694036999999999</v>
      </c>
      <c r="R421" s="11" t="s">
        <v>231</v>
      </c>
      <c r="S421" s="13">
        <f t="shared" si="6"/>
        <v>-1.29</v>
      </c>
    </row>
    <row r="422" spans="1:19">
      <c r="A422" s="14" t="s">
        <v>2121</v>
      </c>
      <c r="B422" s="11" t="s">
        <v>434</v>
      </c>
      <c r="C422" s="11" t="s">
        <v>276</v>
      </c>
      <c r="D422" s="11" t="s">
        <v>25</v>
      </c>
      <c r="E422" s="11" t="s">
        <v>25</v>
      </c>
      <c r="F422">
        <v>1.17E-2</v>
      </c>
      <c r="G422">
        <v>5.33</v>
      </c>
      <c r="H422" s="12">
        <v>926.3</v>
      </c>
      <c r="I422" s="11" t="s">
        <v>228</v>
      </c>
      <c r="J422" s="11" t="s">
        <v>25</v>
      </c>
      <c r="K422" s="11" t="s">
        <v>25</v>
      </c>
      <c r="L422" s="12">
        <v>-1.28</v>
      </c>
      <c r="M422" s="11" t="s">
        <v>23</v>
      </c>
      <c r="N422" s="11" t="s">
        <v>230</v>
      </c>
      <c r="O422" s="11" t="s">
        <v>25</v>
      </c>
      <c r="P422" s="11" t="s">
        <v>25</v>
      </c>
      <c r="Q422" s="37">
        <v>3.8049110000000002</v>
      </c>
      <c r="R422" s="11" t="s">
        <v>231</v>
      </c>
      <c r="S422" s="13">
        <f t="shared" si="6"/>
        <v>-1.28</v>
      </c>
    </row>
    <row r="423" spans="1:19">
      <c r="A423" s="14" t="s">
        <v>2121</v>
      </c>
      <c r="B423" s="11" t="s">
        <v>435</v>
      </c>
      <c r="C423" s="11" t="s">
        <v>276</v>
      </c>
      <c r="D423" s="11" t="s">
        <v>25</v>
      </c>
      <c r="E423" s="11" t="s">
        <v>25</v>
      </c>
      <c r="F423">
        <v>1.17E-2</v>
      </c>
      <c r="G423">
        <v>5.33</v>
      </c>
      <c r="H423" s="12">
        <v>945.6</v>
      </c>
      <c r="I423" s="11" t="s">
        <v>228</v>
      </c>
      <c r="J423" s="11" t="s">
        <v>25</v>
      </c>
      <c r="K423" s="11" t="s">
        <v>25</v>
      </c>
      <c r="L423" s="12">
        <v>-1.38</v>
      </c>
      <c r="M423" s="11" t="s">
        <v>23</v>
      </c>
      <c r="N423" s="11" t="s">
        <v>230</v>
      </c>
      <c r="O423" s="11" t="s">
        <v>25</v>
      </c>
      <c r="P423" s="11" t="s">
        <v>25</v>
      </c>
      <c r="Q423" s="37">
        <v>4.7205029000000005</v>
      </c>
      <c r="R423" s="11" t="s">
        <v>231</v>
      </c>
      <c r="S423" s="13">
        <f t="shared" si="6"/>
        <v>-1.38</v>
      </c>
    </row>
    <row r="424" spans="1:19">
      <c r="A424" s="14" t="s">
        <v>2121</v>
      </c>
      <c r="B424" s="11" t="s">
        <v>436</v>
      </c>
      <c r="C424" s="11" t="s">
        <v>276</v>
      </c>
      <c r="D424" s="11" t="s">
        <v>25</v>
      </c>
      <c r="E424" s="11" t="s">
        <v>25</v>
      </c>
      <c r="F424">
        <v>1.17E-2</v>
      </c>
      <c r="G424">
        <v>5.33</v>
      </c>
      <c r="H424" s="12">
        <v>966.3</v>
      </c>
      <c r="I424" s="11" t="s">
        <v>228</v>
      </c>
      <c r="J424" s="11" t="s">
        <v>25</v>
      </c>
      <c r="K424" s="11" t="s">
        <v>25</v>
      </c>
      <c r="L424" s="12">
        <v>-1.26</v>
      </c>
      <c r="M424" s="11" t="s">
        <v>23</v>
      </c>
      <c r="N424" s="11" t="s">
        <v>230</v>
      </c>
      <c r="O424" s="11" t="s">
        <v>25</v>
      </c>
      <c r="P424" s="11" t="s">
        <v>25</v>
      </c>
      <c r="Q424" s="37">
        <v>3.8222577000000002</v>
      </c>
      <c r="R424" s="11" t="s">
        <v>231</v>
      </c>
      <c r="S424" s="13">
        <f t="shared" si="6"/>
        <v>-1.26</v>
      </c>
    </row>
    <row r="425" spans="1:19">
      <c r="A425" s="14" t="s">
        <v>2121</v>
      </c>
      <c r="B425" s="11" t="s">
        <v>437</v>
      </c>
      <c r="C425" s="11" t="s">
        <v>276</v>
      </c>
      <c r="D425" s="11" t="s">
        <v>25</v>
      </c>
      <c r="E425" s="11" t="s">
        <v>25</v>
      </c>
      <c r="F425">
        <v>1.17E-2</v>
      </c>
      <c r="G425">
        <v>5.33</v>
      </c>
      <c r="H425" s="12">
        <v>974.5</v>
      </c>
      <c r="I425" s="11" t="s">
        <v>228</v>
      </c>
      <c r="J425" s="11" t="s">
        <v>25</v>
      </c>
      <c r="K425" s="11" t="s">
        <v>25</v>
      </c>
      <c r="L425" s="12">
        <v>-1.4</v>
      </c>
      <c r="M425" s="11" t="s">
        <v>23</v>
      </c>
      <c r="N425" s="11" t="s">
        <v>230</v>
      </c>
      <c r="O425" s="11" t="s">
        <v>25</v>
      </c>
      <c r="P425" s="11" t="s">
        <v>25</v>
      </c>
      <c r="Q425" s="37">
        <v>5.8514511000000002</v>
      </c>
      <c r="R425" s="11" t="s">
        <v>231</v>
      </c>
      <c r="S425" s="13">
        <f t="shared" si="6"/>
        <v>-1.4</v>
      </c>
    </row>
    <row r="426" spans="1:19">
      <c r="A426" s="14" t="s">
        <v>2121</v>
      </c>
      <c r="B426" s="11" t="s">
        <v>438</v>
      </c>
      <c r="C426" s="11" t="s">
        <v>276</v>
      </c>
      <c r="D426" s="11" t="s">
        <v>25</v>
      </c>
      <c r="E426" s="11" t="s">
        <v>25</v>
      </c>
      <c r="F426">
        <v>1.17E-2</v>
      </c>
      <c r="G426">
        <v>5.33</v>
      </c>
      <c r="H426" s="12">
        <v>1003.3</v>
      </c>
      <c r="I426" s="11" t="s">
        <v>228</v>
      </c>
      <c r="J426" s="11" t="s">
        <v>25</v>
      </c>
      <c r="K426" s="11" t="s">
        <v>25</v>
      </c>
      <c r="L426" s="12">
        <v>-1.29</v>
      </c>
      <c r="M426" s="11" t="s">
        <v>23</v>
      </c>
      <c r="N426" s="11" t="s">
        <v>230</v>
      </c>
      <c r="O426" s="11" t="s">
        <v>25</v>
      </c>
      <c r="P426" s="11" t="s">
        <v>25</v>
      </c>
      <c r="Q426" s="37">
        <v>5.5970217</v>
      </c>
      <c r="R426" s="11" t="s">
        <v>231</v>
      </c>
      <c r="S426" s="13">
        <f t="shared" si="6"/>
        <v>-1.29</v>
      </c>
    </row>
    <row r="427" spans="1:19">
      <c r="A427" s="14" t="s">
        <v>2121</v>
      </c>
      <c r="B427" s="11" t="s">
        <v>439</v>
      </c>
      <c r="C427" s="11" t="s">
        <v>276</v>
      </c>
      <c r="D427" s="11" t="s">
        <v>25</v>
      </c>
      <c r="E427" s="11" t="s">
        <v>25</v>
      </c>
      <c r="F427">
        <v>1.17E-2</v>
      </c>
      <c r="G427">
        <v>5.33</v>
      </c>
      <c r="H427" s="12">
        <v>1012.6999999999999</v>
      </c>
      <c r="I427" s="11" t="s">
        <v>228</v>
      </c>
      <c r="J427" s="11" t="s">
        <v>25</v>
      </c>
      <c r="K427" s="11" t="s">
        <v>25</v>
      </c>
      <c r="L427" s="12">
        <v>-1.39</v>
      </c>
      <c r="M427" s="11" t="s">
        <v>23</v>
      </c>
      <c r="N427" s="11" t="s">
        <v>230</v>
      </c>
      <c r="O427" s="11" t="s">
        <v>25</v>
      </c>
      <c r="P427" s="11" t="s">
        <v>25</v>
      </c>
      <c r="Q427" s="37">
        <v>5.6892490000000002</v>
      </c>
      <c r="R427" s="11" t="s">
        <v>231</v>
      </c>
      <c r="S427" s="13">
        <f t="shared" si="6"/>
        <v>-1.39</v>
      </c>
    </row>
    <row r="428" spans="1:19">
      <c r="A428" s="14" t="s">
        <v>2121</v>
      </c>
      <c r="B428" s="11" t="s">
        <v>440</v>
      </c>
      <c r="C428" s="11" t="s">
        <v>276</v>
      </c>
      <c r="D428" s="11" t="s">
        <v>25</v>
      </c>
      <c r="E428" s="11" t="s">
        <v>25</v>
      </c>
      <c r="F428">
        <v>1.17E-2</v>
      </c>
      <c r="G428">
        <v>5.33</v>
      </c>
      <c r="H428" s="12">
        <v>1032.2</v>
      </c>
      <c r="I428" s="11" t="s">
        <v>228</v>
      </c>
      <c r="J428" s="11" t="s">
        <v>25</v>
      </c>
      <c r="K428" s="11" t="s">
        <v>25</v>
      </c>
      <c r="L428" s="12">
        <v>-1.37</v>
      </c>
      <c r="M428" s="11" t="s">
        <v>23</v>
      </c>
      <c r="N428" s="11" t="s">
        <v>230</v>
      </c>
      <c r="O428" s="11" t="s">
        <v>25</v>
      </c>
      <c r="P428" s="11" t="s">
        <v>25</v>
      </c>
      <c r="Q428" s="37">
        <v>3.5190028999999998</v>
      </c>
      <c r="R428" s="11" t="s">
        <v>231</v>
      </c>
      <c r="S428" s="13">
        <f t="shared" si="6"/>
        <v>-1.37</v>
      </c>
    </row>
    <row r="429" spans="1:19">
      <c r="A429" s="14" t="s">
        <v>2121</v>
      </c>
      <c r="B429" s="11" t="s">
        <v>441</v>
      </c>
      <c r="C429" s="11" t="s">
        <v>276</v>
      </c>
      <c r="D429" s="11" t="s">
        <v>25</v>
      </c>
      <c r="E429" s="11" t="s">
        <v>25</v>
      </c>
      <c r="F429">
        <v>1.17E-2</v>
      </c>
      <c r="G429">
        <v>5.33</v>
      </c>
      <c r="H429" s="12">
        <v>1050</v>
      </c>
      <c r="I429" s="11" t="s">
        <v>228</v>
      </c>
      <c r="J429" s="11" t="s">
        <v>25</v>
      </c>
      <c r="K429" s="11" t="s">
        <v>25</v>
      </c>
      <c r="L429" s="12">
        <v>-1.365</v>
      </c>
      <c r="M429" s="11" t="s">
        <v>23</v>
      </c>
      <c r="N429" s="11" t="s">
        <v>230</v>
      </c>
      <c r="O429" s="11" t="s">
        <v>25</v>
      </c>
      <c r="P429" s="11" t="s">
        <v>25</v>
      </c>
      <c r="Q429" s="37">
        <v>4.3035775999999997</v>
      </c>
      <c r="R429" s="11" t="s">
        <v>231</v>
      </c>
      <c r="S429" s="13">
        <f t="shared" si="6"/>
        <v>-1.365</v>
      </c>
    </row>
    <row r="430" spans="1:19">
      <c r="A430" s="14" t="s">
        <v>2121</v>
      </c>
      <c r="B430" s="11" t="s">
        <v>442</v>
      </c>
      <c r="C430" s="11" t="s">
        <v>276</v>
      </c>
      <c r="D430" s="11" t="s">
        <v>25</v>
      </c>
      <c r="E430" s="11" t="s">
        <v>25</v>
      </c>
      <c r="F430">
        <v>1.17E-2</v>
      </c>
      <c r="G430">
        <v>5.33</v>
      </c>
      <c r="H430" s="12">
        <v>1070.7</v>
      </c>
      <c r="I430" s="11" t="s">
        <v>228</v>
      </c>
      <c r="J430" s="11" t="s">
        <v>25</v>
      </c>
      <c r="K430" s="11" t="s">
        <v>25</v>
      </c>
      <c r="L430" s="12">
        <v>-1.3</v>
      </c>
      <c r="M430" s="11" t="s">
        <v>23</v>
      </c>
      <c r="N430" s="11" t="s">
        <v>230</v>
      </c>
      <c r="O430" s="11" t="s">
        <v>25</v>
      </c>
      <c r="P430" s="11" t="s">
        <v>25</v>
      </c>
      <c r="Q430" s="37">
        <v>3.4727226</v>
      </c>
      <c r="R430" s="11" t="s">
        <v>231</v>
      </c>
      <c r="S430" s="13">
        <f t="shared" si="6"/>
        <v>-1.3</v>
      </c>
    </row>
    <row r="431" spans="1:19">
      <c r="A431" s="14" t="s">
        <v>2121</v>
      </c>
      <c r="B431" s="11" t="s">
        <v>443</v>
      </c>
      <c r="C431" s="11" t="s">
        <v>276</v>
      </c>
      <c r="D431" s="11" t="s">
        <v>25</v>
      </c>
      <c r="E431" s="11" t="s">
        <v>25</v>
      </c>
      <c r="F431">
        <v>1.17E-2</v>
      </c>
      <c r="G431">
        <v>5.33</v>
      </c>
      <c r="H431" s="12">
        <v>1084.4000000000001</v>
      </c>
      <c r="I431" s="11" t="s">
        <v>228</v>
      </c>
      <c r="J431" s="11" t="s">
        <v>25</v>
      </c>
      <c r="K431" s="11" t="s">
        <v>25</v>
      </c>
      <c r="L431" s="12">
        <v>-1.34</v>
      </c>
      <c r="M431" s="11" t="s">
        <v>23</v>
      </c>
      <c r="N431" s="11" t="s">
        <v>230</v>
      </c>
      <c r="O431" s="11" t="s">
        <v>25</v>
      </c>
      <c r="P431" s="11" t="s">
        <v>25</v>
      </c>
      <c r="Q431" s="37">
        <v>3.3246363999999997</v>
      </c>
      <c r="R431" s="11" t="s">
        <v>231</v>
      </c>
      <c r="S431" s="13">
        <f t="shared" si="6"/>
        <v>-1.34</v>
      </c>
    </row>
    <row r="432" spans="1:19">
      <c r="A432" s="14" t="s">
        <v>2121</v>
      </c>
      <c r="B432" s="11" t="s">
        <v>444</v>
      </c>
      <c r="C432" s="11" t="s">
        <v>276</v>
      </c>
      <c r="D432" s="11" t="s">
        <v>25</v>
      </c>
      <c r="E432" s="11" t="s">
        <v>25</v>
      </c>
      <c r="F432">
        <v>1.17E-2</v>
      </c>
      <c r="G432">
        <v>5.33</v>
      </c>
      <c r="H432" s="12">
        <v>1100.8</v>
      </c>
      <c r="I432" s="11" t="s">
        <v>228</v>
      </c>
      <c r="J432" s="11" t="s">
        <v>25</v>
      </c>
      <c r="K432" s="11" t="s">
        <v>25</v>
      </c>
      <c r="L432" s="12">
        <v>-1.31</v>
      </c>
      <c r="M432" s="11" t="s">
        <v>23</v>
      </c>
      <c r="N432" s="11" t="s">
        <v>230</v>
      </c>
      <c r="O432" s="11" t="s">
        <v>25</v>
      </c>
      <c r="P432" s="11" t="s">
        <v>25</v>
      </c>
      <c r="Q432" s="37">
        <v>4.0063677000000002</v>
      </c>
      <c r="R432" s="11" t="s">
        <v>231</v>
      </c>
      <c r="S432" s="13">
        <f t="shared" si="6"/>
        <v>-1.31</v>
      </c>
    </row>
    <row r="433" spans="1:19">
      <c r="A433" s="14" t="s">
        <v>2121</v>
      </c>
      <c r="B433" s="11" t="s">
        <v>445</v>
      </c>
      <c r="C433" s="11" t="s">
        <v>276</v>
      </c>
      <c r="D433" s="11" t="s">
        <v>25</v>
      </c>
      <c r="E433" s="11" t="s">
        <v>25</v>
      </c>
      <c r="F433">
        <v>1.17E-2</v>
      </c>
      <c r="G433">
        <v>5.33</v>
      </c>
      <c r="H433" s="12">
        <v>1118</v>
      </c>
      <c r="I433" s="11" t="s">
        <v>228</v>
      </c>
      <c r="J433" s="11" t="s">
        <v>25</v>
      </c>
      <c r="K433" s="11" t="s">
        <v>25</v>
      </c>
      <c r="L433" s="12">
        <v>-1.2</v>
      </c>
      <c r="M433" s="11" t="s">
        <v>23</v>
      </c>
      <c r="N433" s="11" t="s">
        <v>230</v>
      </c>
      <c r="O433" s="11" t="s">
        <v>25</v>
      </c>
      <c r="P433" s="11" t="s">
        <v>25</v>
      </c>
      <c r="Q433" s="37">
        <v>3.2833867037055118</v>
      </c>
      <c r="R433" s="11" t="s">
        <v>231</v>
      </c>
      <c r="S433" s="13">
        <f t="shared" si="6"/>
        <v>-1.2</v>
      </c>
    </row>
    <row r="434" spans="1:19">
      <c r="A434" s="14" t="s">
        <v>2121</v>
      </c>
      <c r="B434" s="11" t="s">
        <v>446</v>
      </c>
      <c r="C434" s="11" t="s">
        <v>276</v>
      </c>
      <c r="D434" s="11" t="s">
        <v>25</v>
      </c>
      <c r="E434" s="11" t="s">
        <v>25</v>
      </c>
      <c r="F434">
        <v>1.17E-2</v>
      </c>
      <c r="G434">
        <v>5.33</v>
      </c>
      <c r="H434" s="12">
        <v>1140.4000000000001</v>
      </c>
      <c r="I434" s="11" t="s">
        <v>228</v>
      </c>
      <c r="J434" s="11" t="s">
        <v>25</v>
      </c>
      <c r="K434" s="11" t="s">
        <v>25</v>
      </c>
      <c r="L434" s="12">
        <v>-1.36</v>
      </c>
      <c r="M434" s="11" t="s">
        <v>23</v>
      </c>
      <c r="N434" s="11" t="s">
        <v>230</v>
      </c>
      <c r="O434" s="11" t="s">
        <v>25</v>
      </c>
      <c r="P434" s="11" t="s">
        <v>25</v>
      </c>
      <c r="Q434" s="37">
        <v>3.5457053000000003</v>
      </c>
      <c r="R434" s="11" t="s">
        <v>231</v>
      </c>
      <c r="S434" s="13">
        <f t="shared" si="6"/>
        <v>-1.36</v>
      </c>
    </row>
    <row r="435" spans="1:19">
      <c r="A435" s="14" t="s">
        <v>2121</v>
      </c>
      <c r="B435" s="11" t="s">
        <v>447</v>
      </c>
      <c r="C435" s="11" t="s">
        <v>276</v>
      </c>
      <c r="D435" s="11" t="s">
        <v>25</v>
      </c>
      <c r="E435" s="11" t="s">
        <v>25</v>
      </c>
      <c r="F435">
        <v>1.17E-2</v>
      </c>
      <c r="G435">
        <v>5.33</v>
      </c>
      <c r="H435" s="12">
        <v>1181.3</v>
      </c>
      <c r="I435" s="11" t="s">
        <v>228</v>
      </c>
      <c r="J435" s="11" t="s">
        <v>25</v>
      </c>
      <c r="K435" s="11" t="s">
        <v>25</v>
      </c>
      <c r="L435" s="12">
        <v>-1.34</v>
      </c>
      <c r="M435" s="11" t="s">
        <v>23</v>
      </c>
      <c r="N435" s="11" t="s">
        <v>230</v>
      </c>
      <c r="O435" s="11" t="s">
        <v>25</v>
      </c>
      <c r="P435" s="11" t="s">
        <v>25</v>
      </c>
      <c r="Q435" s="37">
        <v>3.5566727999999999</v>
      </c>
      <c r="R435" s="11" t="s">
        <v>231</v>
      </c>
      <c r="S435" s="13">
        <f t="shared" si="6"/>
        <v>-1.34</v>
      </c>
    </row>
    <row r="436" spans="1:19">
      <c r="A436" s="14" t="s">
        <v>2121</v>
      </c>
      <c r="B436" s="11" t="s">
        <v>448</v>
      </c>
      <c r="C436" s="11" t="s">
        <v>276</v>
      </c>
      <c r="D436" s="11" t="s">
        <v>25</v>
      </c>
      <c r="E436" s="11" t="s">
        <v>25</v>
      </c>
      <c r="F436">
        <v>1.17E-2</v>
      </c>
      <c r="G436">
        <v>5.33</v>
      </c>
      <c r="H436" s="12">
        <v>1197.2</v>
      </c>
      <c r="I436" s="11" t="s">
        <v>228</v>
      </c>
      <c r="J436" s="11" t="s">
        <v>25</v>
      </c>
      <c r="K436" s="11" t="s">
        <v>25</v>
      </c>
      <c r="L436" s="12">
        <v>-1.2</v>
      </c>
      <c r="M436" s="11" t="s">
        <v>23</v>
      </c>
      <c r="N436" s="11" t="s">
        <v>230</v>
      </c>
      <c r="O436" s="11" t="s">
        <v>25</v>
      </c>
      <c r="P436" s="11" t="s">
        <v>25</v>
      </c>
      <c r="Q436" s="37">
        <v>3.5937262999999997</v>
      </c>
      <c r="R436" s="11" t="s">
        <v>231</v>
      </c>
      <c r="S436" s="13">
        <f t="shared" si="6"/>
        <v>-1.2</v>
      </c>
    </row>
    <row r="437" spans="1:19">
      <c r="A437" s="14" t="s">
        <v>2121</v>
      </c>
      <c r="B437" s="11" t="s">
        <v>449</v>
      </c>
      <c r="C437" s="11" t="s">
        <v>276</v>
      </c>
      <c r="D437" s="11" t="s">
        <v>25</v>
      </c>
      <c r="E437" s="11" t="s">
        <v>25</v>
      </c>
      <c r="F437">
        <v>1.17E-2</v>
      </c>
      <c r="G437">
        <v>5.33</v>
      </c>
      <c r="H437" s="12">
        <v>1209.0999999999999</v>
      </c>
      <c r="I437" s="11" t="s">
        <v>228</v>
      </c>
      <c r="J437" s="11" t="s">
        <v>25</v>
      </c>
      <c r="K437" s="11" t="s">
        <v>25</v>
      </c>
      <c r="L437" s="12">
        <v>-1.31</v>
      </c>
      <c r="M437" s="11" t="s">
        <v>23</v>
      </c>
      <c r="N437" s="11" t="s">
        <v>230</v>
      </c>
      <c r="O437" s="11" t="s">
        <v>25</v>
      </c>
      <c r="P437" s="11" t="s">
        <v>25</v>
      </c>
      <c r="Q437" s="37">
        <v>3.5345214</v>
      </c>
      <c r="R437" s="11" t="s">
        <v>231</v>
      </c>
      <c r="S437" s="13">
        <f t="shared" si="6"/>
        <v>-1.31</v>
      </c>
    </row>
    <row r="438" spans="1:19">
      <c r="A438" s="14" t="s">
        <v>2121</v>
      </c>
      <c r="B438" s="11" t="s">
        <v>450</v>
      </c>
      <c r="C438" s="11" t="s">
        <v>276</v>
      </c>
      <c r="D438" s="11" t="s">
        <v>25</v>
      </c>
      <c r="E438" s="11" t="s">
        <v>25</v>
      </c>
      <c r="F438">
        <v>1.17E-2</v>
      </c>
      <c r="G438">
        <v>5.33</v>
      </c>
      <c r="H438" s="12">
        <v>1227.3</v>
      </c>
      <c r="I438" s="11" t="s">
        <v>228</v>
      </c>
      <c r="J438" s="11" t="s">
        <v>25</v>
      </c>
      <c r="K438" s="11" t="s">
        <v>25</v>
      </c>
      <c r="L438" s="12">
        <v>-1.06</v>
      </c>
      <c r="M438" s="11" t="s">
        <v>23</v>
      </c>
      <c r="N438" s="11" t="s">
        <v>230</v>
      </c>
      <c r="O438" s="11" t="s">
        <v>25</v>
      </c>
      <c r="P438" s="11" t="s">
        <v>25</v>
      </c>
      <c r="Q438" s="37">
        <v>3.7122748000000003</v>
      </c>
      <c r="R438" s="11" t="s">
        <v>231</v>
      </c>
      <c r="S438" s="13">
        <f t="shared" si="6"/>
        <v>-1.06</v>
      </c>
    </row>
    <row r="439" spans="1:19">
      <c r="A439" s="14" t="s">
        <v>2121</v>
      </c>
      <c r="B439" s="11" t="s">
        <v>451</v>
      </c>
      <c r="C439" s="11" t="s">
        <v>276</v>
      </c>
      <c r="D439" s="11" t="s">
        <v>25</v>
      </c>
      <c r="E439" s="11" t="s">
        <v>25</v>
      </c>
      <c r="F439">
        <v>1.17E-2</v>
      </c>
      <c r="G439">
        <v>5.33</v>
      </c>
      <c r="H439" s="12">
        <v>1265.9000000000001</v>
      </c>
      <c r="I439" s="11" t="s">
        <v>228</v>
      </c>
      <c r="J439" s="11" t="s">
        <v>25</v>
      </c>
      <c r="K439" s="11" t="s">
        <v>25</v>
      </c>
      <c r="L439" s="12">
        <v>-1.27</v>
      </c>
      <c r="M439" s="11" t="s">
        <v>23</v>
      </c>
      <c r="N439" s="11" t="s">
        <v>230</v>
      </c>
      <c r="O439" s="11" t="s">
        <v>25</v>
      </c>
      <c r="P439" s="11" t="s">
        <v>25</v>
      </c>
      <c r="Q439" s="37">
        <v>2.9550331000000001</v>
      </c>
      <c r="R439" s="11" t="s">
        <v>231</v>
      </c>
      <c r="S439" s="13">
        <f t="shared" si="6"/>
        <v>-1.27</v>
      </c>
    </row>
    <row r="440" spans="1:19">
      <c r="A440" s="14" t="s">
        <v>2121</v>
      </c>
      <c r="B440" s="11" t="s">
        <v>452</v>
      </c>
      <c r="C440" s="11" t="s">
        <v>276</v>
      </c>
      <c r="D440" s="11" t="s">
        <v>25</v>
      </c>
      <c r="E440" s="11" t="s">
        <v>25</v>
      </c>
      <c r="F440">
        <v>1.17E-2</v>
      </c>
      <c r="G440">
        <v>5.33</v>
      </c>
      <c r="H440" s="12">
        <v>1273</v>
      </c>
      <c r="I440" s="11" t="s">
        <v>228</v>
      </c>
      <c r="J440" s="11" t="s">
        <v>25</v>
      </c>
      <c r="K440" s="11" t="s">
        <v>25</v>
      </c>
      <c r="L440" s="12">
        <v>-1.27</v>
      </c>
      <c r="M440" s="11" t="s">
        <v>23</v>
      </c>
      <c r="N440" s="11" t="s">
        <v>230</v>
      </c>
      <c r="O440" s="11" t="s">
        <v>25</v>
      </c>
      <c r="P440" s="11" t="s">
        <v>25</v>
      </c>
      <c r="Q440" s="37">
        <v>3.3875595999999999</v>
      </c>
      <c r="R440" s="11" t="s">
        <v>231</v>
      </c>
      <c r="S440" s="13">
        <f t="shared" si="6"/>
        <v>-1.27</v>
      </c>
    </row>
    <row r="441" spans="1:19">
      <c r="A441" s="14" t="s">
        <v>2121</v>
      </c>
      <c r="B441" s="11" t="s">
        <v>453</v>
      </c>
      <c r="C441" s="11" t="s">
        <v>276</v>
      </c>
      <c r="D441" s="11" t="s">
        <v>25</v>
      </c>
      <c r="E441" s="11" t="s">
        <v>25</v>
      </c>
      <c r="F441">
        <v>1.17E-2</v>
      </c>
      <c r="G441">
        <v>5.33</v>
      </c>
      <c r="H441" s="12">
        <v>1284.9000000000001</v>
      </c>
      <c r="I441" s="11" t="s">
        <v>228</v>
      </c>
      <c r="J441" s="11" t="s">
        <v>25</v>
      </c>
      <c r="K441" s="11" t="s">
        <v>25</v>
      </c>
      <c r="L441" s="12">
        <v>-1.23</v>
      </c>
      <c r="M441" s="11" t="s">
        <v>23</v>
      </c>
      <c r="N441" s="11" t="s">
        <v>230</v>
      </c>
      <c r="O441" s="11" t="s">
        <v>25</v>
      </c>
      <c r="P441" s="11" t="s">
        <v>25</v>
      </c>
      <c r="Q441" s="37">
        <v>4.1676260000000003</v>
      </c>
      <c r="R441" s="11" t="s">
        <v>231</v>
      </c>
      <c r="S441" s="13">
        <f t="shared" si="6"/>
        <v>-1.23</v>
      </c>
    </row>
    <row r="442" spans="1:19">
      <c r="A442" s="14" t="s">
        <v>2121</v>
      </c>
      <c r="B442" s="11" t="s">
        <v>454</v>
      </c>
      <c r="C442" s="11" t="s">
        <v>276</v>
      </c>
      <c r="D442" s="11" t="s">
        <v>25</v>
      </c>
      <c r="E442" s="11" t="s">
        <v>25</v>
      </c>
      <c r="F442">
        <v>1.17E-2</v>
      </c>
      <c r="G442">
        <v>5.33</v>
      </c>
      <c r="H442" s="12">
        <v>1293.4000000000001</v>
      </c>
      <c r="I442" s="11" t="s">
        <v>228</v>
      </c>
      <c r="J442" s="11" t="s">
        <v>25</v>
      </c>
      <c r="K442" s="11" t="s">
        <v>25</v>
      </c>
      <c r="L442" s="12">
        <v>-1.38</v>
      </c>
      <c r="M442" s="11" t="s">
        <v>23</v>
      </c>
      <c r="N442" s="11" t="s">
        <v>230</v>
      </c>
      <c r="O442" s="11" t="s">
        <v>25</v>
      </c>
      <c r="P442" s="11" t="s">
        <v>25</v>
      </c>
      <c r="Q442" s="37">
        <v>3.3196469</v>
      </c>
      <c r="R442" s="11" t="s">
        <v>231</v>
      </c>
      <c r="S442" s="13">
        <f t="shared" si="6"/>
        <v>-1.38</v>
      </c>
    </row>
    <row r="443" spans="1:19">
      <c r="A443" s="14" t="s">
        <v>2121</v>
      </c>
      <c r="B443" s="11" t="s">
        <v>455</v>
      </c>
      <c r="C443" s="11" t="s">
        <v>276</v>
      </c>
      <c r="D443" s="11" t="s">
        <v>25</v>
      </c>
      <c r="E443" s="11" t="s">
        <v>25</v>
      </c>
      <c r="F443">
        <v>1.17E-2</v>
      </c>
      <c r="G443">
        <v>5.33</v>
      </c>
      <c r="H443" s="12">
        <v>0</v>
      </c>
      <c r="I443" s="11" t="s">
        <v>346</v>
      </c>
      <c r="J443" s="11" t="s">
        <v>25</v>
      </c>
      <c r="K443" s="11" t="s">
        <v>25</v>
      </c>
      <c r="L443" s="12" t="s">
        <v>25</v>
      </c>
      <c r="M443" s="11" t="s">
        <v>23</v>
      </c>
      <c r="N443" s="11" t="s">
        <v>230</v>
      </c>
      <c r="O443" s="12">
        <v>94</v>
      </c>
      <c r="P443" s="11" t="s">
        <v>347</v>
      </c>
      <c r="Q443" s="37" t="s">
        <v>25</v>
      </c>
      <c r="R443" s="11" t="s">
        <v>25</v>
      </c>
      <c r="S443" s="13" t="str">
        <f t="shared" si="6"/>
        <v>Na</v>
      </c>
    </row>
    <row r="444" spans="1:19">
      <c r="A444" s="14" t="s">
        <v>2121</v>
      </c>
      <c r="B444" s="11" t="s">
        <v>456</v>
      </c>
      <c r="C444" s="11" t="s">
        <v>276</v>
      </c>
      <c r="D444" s="11" t="s">
        <v>25</v>
      </c>
      <c r="E444" s="11" t="s">
        <v>25</v>
      </c>
      <c r="F444">
        <v>1.17E-2</v>
      </c>
      <c r="G444">
        <v>5.33</v>
      </c>
      <c r="H444" s="12">
        <v>1</v>
      </c>
      <c r="I444" s="11" t="s">
        <v>346</v>
      </c>
      <c r="J444" s="11" t="s">
        <v>25</v>
      </c>
      <c r="K444" s="11" t="s">
        <v>25</v>
      </c>
      <c r="L444" s="12">
        <v>5.0051465100232305E-3</v>
      </c>
      <c r="M444" s="11" t="s">
        <v>23</v>
      </c>
      <c r="N444" s="11" t="s">
        <v>230</v>
      </c>
      <c r="O444" s="12">
        <v>97</v>
      </c>
      <c r="P444" s="11" t="s">
        <v>347</v>
      </c>
      <c r="Q444" s="37" t="s">
        <v>25</v>
      </c>
      <c r="R444" s="11" t="s">
        <v>25</v>
      </c>
      <c r="S444" s="13">
        <f t="shared" si="6"/>
        <v>5.0051465100232305E-3</v>
      </c>
    </row>
    <row r="445" spans="1:19">
      <c r="A445" s="14" t="s">
        <v>2121</v>
      </c>
      <c r="B445" s="11" t="s">
        <v>457</v>
      </c>
      <c r="C445" s="11" t="s">
        <v>276</v>
      </c>
      <c r="D445" s="11" t="s">
        <v>25</v>
      </c>
      <c r="E445" s="11" t="s">
        <v>25</v>
      </c>
      <c r="F445">
        <v>1.17E-2</v>
      </c>
      <c r="G445">
        <v>5.33</v>
      </c>
      <c r="H445" s="12">
        <v>3</v>
      </c>
      <c r="I445" s="11" t="s">
        <v>346</v>
      </c>
      <c r="J445" s="11" t="s">
        <v>25</v>
      </c>
      <c r="K445" s="11" t="s">
        <v>25</v>
      </c>
      <c r="L445" s="12">
        <v>6.2334726737509054E-2</v>
      </c>
      <c r="M445" s="11" t="s">
        <v>23</v>
      </c>
      <c r="N445" s="11" t="s">
        <v>230</v>
      </c>
      <c r="O445" s="12">
        <v>93</v>
      </c>
      <c r="P445" s="11" t="s">
        <v>347</v>
      </c>
      <c r="Q445" s="37" t="s">
        <v>25</v>
      </c>
      <c r="R445" s="11" t="s">
        <v>25</v>
      </c>
      <c r="S445" s="13">
        <f t="shared" si="6"/>
        <v>6.2334726737509054E-2</v>
      </c>
    </row>
    <row r="446" spans="1:19">
      <c r="A446" s="14" t="s">
        <v>2121</v>
      </c>
      <c r="B446" s="11" t="s">
        <v>458</v>
      </c>
      <c r="C446" s="11" t="s">
        <v>276</v>
      </c>
      <c r="D446" s="11" t="s">
        <v>25</v>
      </c>
      <c r="E446" s="11" t="s">
        <v>25</v>
      </c>
      <c r="F446">
        <v>1.17E-2</v>
      </c>
      <c r="G446">
        <v>5.33</v>
      </c>
      <c r="H446" s="12">
        <v>4</v>
      </c>
      <c r="I446" s="11" t="s">
        <v>346</v>
      </c>
      <c r="J446" s="11" t="s">
        <v>25</v>
      </c>
      <c r="K446" s="11" t="s">
        <v>25</v>
      </c>
      <c r="L446" s="12">
        <v>-3.8484814635056291E-2</v>
      </c>
      <c r="M446" s="11" t="s">
        <v>23</v>
      </c>
      <c r="N446" s="11" t="s">
        <v>230</v>
      </c>
      <c r="O446" s="12">
        <v>94</v>
      </c>
      <c r="P446" s="11" t="s">
        <v>347</v>
      </c>
      <c r="Q446" s="37" t="s">
        <v>25</v>
      </c>
      <c r="R446" s="11" t="s">
        <v>25</v>
      </c>
      <c r="S446" s="13">
        <f t="shared" si="6"/>
        <v>-3.8484814635056291E-2</v>
      </c>
    </row>
    <row r="447" spans="1:19">
      <c r="A447" s="14" t="s">
        <v>2121</v>
      </c>
      <c r="B447" s="11" t="s">
        <v>459</v>
      </c>
      <c r="C447" s="11" t="s">
        <v>276</v>
      </c>
      <c r="D447" s="11" t="s">
        <v>25</v>
      </c>
      <c r="E447" s="11" t="s">
        <v>25</v>
      </c>
      <c r="F447">
        <v>1.17E-2</v>
      </c>
      <c r="G447">
        <v>5.33</v>
      </c>
      <c r="H447" s="12">
        <v>6</v>
      </c>
      <c r="I447" s="11" t="s">
        <v>346</v>
      </c>
      <c r="J447" s="11" t="s">
        <v>25</v>
      </c>
      <c r="K447" s="11" t="s">
        <v>25</v>
      </c>
      <c r="L447" s="12" t="s">
        <v>25</v>
      </c>
      <c r="M447" s="11" t="s">
        <v>23</v>
      </c>
      <c r="N447" s="11" t="s">
        <v>230</v>
      </c>
      <c r="O447" s="12">
        <v>96</v>
      </c>
      <c r="P447" s="11" t="s">
        <v>347</v>
      </c>
      <c r="Q447" s="37" t="s">
        <v>25</v>
      </c>
      <c r="R447" s="11" t="s">
        <v>25</v>
      </c>
      <c r="S447" s="13" t="str">
        <f t="shared" si="6"/>
        <v>Na</v>
      </c>
    </row>
    <row r="448" spans="1:19">
      <c r="A448" s="14" t="s">
        <v>2121</v>
      </c>
      <c r="B448" s="11" t="s">
        <v>460</v>
      </c>
      <c r="C448" s="11" t="s">
        <v>276</v>
      </c>
      <c r="D448" s="11" t="s">
        <v>25</v>
      </c>
      <c r="E448" s="11" t="s">
        <v>25</v>
      </c>
      <c r="F448">
        <v>1.17E-2</v>
      </c>
      <c r="G448">
        <v>5.33</v>
      </c>
      <c r="H448" s="12">
        <v>8</v>
      </c>
      <c r="I448" s="11" t="s">
        <v>346</v>
      </c>
      <c r="J448" s="11" t="s">
        <v>25</v>
      </c>
      <c r="K448" s="11" t="s">
        <v>25</v>
      </c>
      <c r="L448" s="12" t="s">
        <v>25</v>
      </c>
      <c r="M448" s="11" t="s">
        <v>23</v>
      </c>
      <c r="N448" s="11" t="s">
        <v>230</v>
      </c>
      <c r="O448" s="12">
        <v>98</v>
      </c>
      <c r="P448" s="11" t="s">
        <v>347</v>
      </c>
      <c r="Q448" s="37" t="s">
        <v>25</v>
      </c>
      <c r="R448" s="11" t="s">
        <v>25</v>
      </c>
      <c r="S448" s="13" t="str">
        <f t="shared" si="6"/>
        <v>Na</v>
      </c>
    </row>
    <row r="449" spans="1:19">
      <c r="A449" s="14" t="s">
        <v>2121</v>
      </c>
      <c r="B449" s="11" t="s">
        <v>461</v>
      </c>
      <c r="C449" s="11" t="s">
        <v>276</v>
      </c>
      <c r="D449" s="11" t="s">
        <v>25</v>
      </c>
      <c r="E449" s="11" t="s">
        <v>25</v>
      </c>
      <c r="F449">
        <v>1.17E-2</v>
      </c>
      <c r="G449">
        <v>5.33</v>
      </c>
      <c r="H449" s="12">
        <v>10</v>
      </c>
      <c r="I449" s="11" t="s">
        <v>346</v>
      </c>
      <c r="J449" s="11" t="s">
        <v>25</v>
      </c>
      <c r="K449" s="11" t="s">
        <v>25</v>
      </c>
      <c r="L449" s="12">
        <v>-2.7327377916641558E-2</v>
      </c>
      <c r="M449" s="11" t="s">
        <v>23</v>
      </c>
      <c r="N449" s="11" t="s">
        <v>230</v>
      </c>
      <c r="O449" s="12">
        <v>98</v>
      </c>
      <c r="P449" s="11" t="s">
        <v>347</v>
      </c>
      <c r="Q449" s="37" t="s">
        <v>25</v>
      </c>
      <c r="R449" s="11" t="s">
        <v>25</v>
      </c>
      <c r="S449" s="13">
        <f t="shared" si="6"/>
        <v>-2.7327377916641558E-2</v>
      </c>
    </row>
    <row r="450" spans="1:19">
      <c r="A450" s="14" t="s">
        <v>2121</v>
      </c>
      <c r="B450" s="11" t="s">
        <v>462</v>
      </c>
      <c r="C450" s="11" t="s">
        <v>276</v>
      </c>
      <c r="D450" s="11" t="s">
        <v>25</v>
      </c>
      <c r="E450" s="11" t="s">
        <v>25</v>
      </c>
      <c r="F450">
        <v>1.17E-2</v>
      </c>
      <c r="G450">
        <v>5.33</v>
      </c>
      <c r="H450" s="12">
        <v>11</v>
      </c>
      <c r="I450" s="11" t="s">
        <v>346</v>
      </c>
      <c r="J450" s="11" t="s">
        <v>25</v>
      </c>
      <c r="K450" s="11" t="s">
        <v>25</v>
      </c>
      <c r="L450" s="12">
        <v>-0.10770766324010239</v>
      </c>
      <c r="M450" s="11" t="s">
        <v>23</v>
      </c>
      <c r="N450" s="11" t="s">
        <v>230</v>
      </c>
      <c r="O450" s="12">
        <v>99</v>
      </c>
      <c r="P450" s="11" t="s">
        <v>347</v>
      </c>
      <c r="Q450" s="37" t="s">
        <v>25</v>
      </c>
      <c r="R450" s="11" t="s">
        <v>25</v>
      </c>
      <c r="S450" s="13">
        <f t="shared" si="6"/>
        <v>-0.10770766324010239</v>
      </c>
    </row>
    <row r="451" spans="1:19">
      <c r="A451" s="14" t="s">
        <v>2121</v>
      </c>
      <c r="B451" s="11" t="s">
        <v>463</v>
      </c>
      <c r="C451" s="11" t="s">
        <v>276</v>
      </c>
      <c r="D451" s="11" t="s">
        <v>25</v>
      </c>
      <c r="E451" s="11" t="s">
        <v>25</v>
      </c>
      <c r="F451">
        <v>1.17E-2</v>
      </c>
      <c r="G451">
        <v>5.33</v>
      </c>
      <c r="H451" s="12">
        <v>15</v>
      </c>
      <c r="I451" s="11" t="s">
        <v>346</v>
      </c>
      <c r="J451" s="11" t="s">
        <v>25</v>
      </c>
      <c r="K451" s="11" t="s">
        <v>25</v>
      </c>
      <c r="L451" s="12">
        <v>-0.24769828155967755</v>
      </c>
      <c r="M451" s="11" t="s">
        <v>23</v>
      </c>
      <c r="N451" s="11" t="s">
        <v>230</v>
      </c>
      <c r="O451" s="12">
        <v>121</v>
      </c>
      <c r="P451" s="11" t="s">
        <v>347</v>
      </c>
      <c r="Q451" s="37" t="s">
        <v>25</v>
      </c>
      <c r="R451" s="11" t="s">
        <v>25</v>
      </c>
      <c r="S451" s="13">
        <f t="shared" ref="S451:S514" si="7">IF(NOT(N451="SW"),L451-1.88,L451)</f>
        <v>-0.24769828155967755</v>
      </c>
    </row>
    <row r="452" spans="1:19">
      <c r="A452" s="14" t="s">
        <v>2121</v>
      </c>
      <c r="B452" s="11" t="s">
        <v>464</v>
      </c>
      <c r="C452" s="11" t="s">
        <v>276</v>
      </c>
      <c r="D452" s="11" t="s">
        <v>25</v>
      </c>
      <c r="E452" s="11" t="s">
        <v>25</v>
      </c>
      <c r="F452">
        <v>1.17E-2</v>
      </c>
      <c r="G452">
        <v>5.33</v>
      </c>
      <c r="H452" s="12">
        <v>24</v>
      </c>
      <c r="I452" s="11" t="s">
        <v>346</v>
      </c>
      <c r="J452" s="11" t="s">
        <v>25</v>
      </c>
      <c r="K452" s="11" t="s">
        <v>25</v>
      </c>
      <c r="L452" s="12">
        <v>-0.41481974709832159</v>
      </c>
      <c r="M452" s="11" t="s">
        <v>23</v>
      </c>
      <c r="N452" s="11" t="s">
        <v>230</v>
      </c>
      <c r="O452" s="12">
        <v>140</v>
      </c>
      <c r="P452" s="11" t="s">
        <v>347</v>
      </c>
      <c r="Q452" s="37" t="s">
        <v>25</v>
      </c>
      <c r="R452" s="11" t="s">
        <v>25</v>
      </c>
      <c r="S452" s="13">
        <f t="shared" si="7"/>
        <v>-0.41481974709832159</v>
      </c>
    </row>
    <row r="453" spans="1:19">
      <c r="A453" s="14" t="s">
        <v>2121</v>
      </c>
      <c r="B453" s="11" t="s">
        <v>465</v>
      </c>
      <c r="C453" s="11" t="s">
        <v>276</v>
      </c>
      <c r="D453" s="11" t="s">
        <v>25</v>
      </c>
      <c r="E453" s="11" t="s">
        <v>25</v>
      </c>
      <c r="F453">
        <v>1.17E-2</v>
      </c>
      <c r="G453">
        <v>5.33</v>
      </c>
      <c r="H453" s="12">
        <v>29</v>
      </c>
      <c r="I453" s="11" t="s">
        <v>346</v>
      </c>
      <c r="J453" s="11" t="s">
        <v>25</v>
      </c>
      <c r="K453" s="11" t="s">
        <v>25</v>
      </c>
      <c r="L453" s="12">
        <v>-0.23631532026841995</v>
      </c>
      <c r="M453" s="11" t="s">
        <v>23</v>
      </c>
      <c r="N453" s="11" t="s">
        <v>230</v>
      </c>
      <c r="O453" s="12">
        <v>119</v>
      </c>
      <c r="P453" s="11" t="s">
        <v>347</v>
      </c>
      <c r="Q453" s="37" t="s">
        <v>25</v>
      </c>
      <c r="R453" s="11" t="s">
        <v>25</v>
      </c>
      <c r="S453" s="13">
        <f t="shared" si="7"/>
        <v>-0.23631532026841995</v>
      </c>
    </row>
    <row r="454" spans="1:19">
      <c r="A454" s="14" t="s">
        <v>2121</v>
      </c>
      <c r="B454" s="11" t="s">
        <v>466</v>
      </c>
      <c r="C454" s="11" t="s">
        <v>276</v>
      </c>
      <c r="D454" s="11" t="s">
        <v>25</v>
      </c>
      <c r="E454" s="11" t="s">
        <v>25</v>
      </c>
      <c r="F454">
        <v>1.17E-2</v>
      </c>
      <c r="G454">
        <v>5.33</v>
      </c>
      <c r="H454" s="12">
        <v>43</v>
      </c>
      <c r="I454" s="11" t="s">
        <v>346</v>
      </c>
      <c r="J454" s="11" t="s">
        <v>25</v>
      </c>
      <c r="K454" s="11" t="s">
        <v>25</v>
      </c>
      <c r="L454" s="12">
        <v>-0.56761526474718738</v>
      </c>
      <c r="M454" s="11" t="s">
        <v>23</v>
      </c>
      <c r="N454" s="11" t="s">
        <v>230</v>
      </c>
      <c r="O454" s="12">
        <v>239</v>
      </c>
      <c r="P454" s="11" t="s">
        <v>347</v>
      </c>
      <c r="Q454" s="37" t="s">
        <v>25</v>
      </c>
      <c r="R454" s="11" t="s">
        <v>25</v>
      </c>
      <c r="S454" s="13">
        <f t="shared" si="7"/>
        <v>-0.56761526474718738</v>
      </c>
    </row>
    <row r="455" spans="1:19">
      <c r="A455" s="14" t="s">
        <v>2121</v>
      </c>
      <c r="B455" s="11" t="s">
        <v>467</v>
      </c>
      <c r="C455" s="11" t="s">
        <v>276</v>
      </c>
      <c r="D455" s="11" t="s">
        <v>25</v>
      </c>
      <c r="E455" s="11" t="s">
        <v>25</v>
      </c>
      <c r="F455">
        <v>1.17E-2</v>
      </c>
      <c r="G455">
        <v>5.33</v>
      </c>
      <c r="H455" s="12">
        <v>52</v>
      </c>
      <c r="I455" s="11" t="s">
        <v>346</v>
      </c>
      <c r="J455" s="11" t="s">
        <v>25</v>
      </c>
      <c r="K455" s="11" t="s">
        <v>25</v>
      </c>
      <c r="L455" s="12">
        <v>-0.5583315705232833</v>
      </c>
      <c r="M455" s="11" t="s">
        <v>23</v>
      </c>
      <c r="N455" s="11" t="s">
        <v>230</v>
      </c>
      <c r="O455" s="12">
        <v>270</v>
      </c>
      <c r="P455" s="11" t="s">
        <v>347</v>
      </c>
      <c r="Q455" s="37" t="s">
        <v>25</v>
      </c>
      <c r="R455" s="11" t="s">
        <v>25</v>
      </c>
      <c r="S455" s="13">
        <f t="shared" si="7"/>
        <v>-0.5583315705232833</v>
      </c>
    </row>
    <row r="456" spans="1:19">
      <c r="A456" s="14" t="s">
        <v>2121</v>
      </c>
      <c r="B456" s="11" t="s">
        <v>468</v>
      </c>
      <c r="C456" s="11" t="s">
        <v>276</v>
      </c>
      <c r="D456" s="11" t="s">
        <v>25</v>
      </c>
      <c r="E456" s="11" t="s">
        <v>25</v>
      </c>
      <c r="F456">
        <v>1.17E-2</v>
      </c>
      <c r="G456">
        <v>5.33</v>
      </c>
      <c r="H456" s="12">
        <v>62</v>
      </c>
      <c r="I456" s="11" t="s">
        <v>346</v>
      </c>
      <c r="J456" s="11" t="s">
        <v>25</v>
      </c>
      <c r="K456" s="11" t="s">
        <v>25</v>
      </c>
      <c r="L456" s="12" t="s">
        <v>25</v>
      </c>
      <c r="M456" s="11" t="s">
        <v>23</v>
      </c>
      <c r="N456" s="11" t="s">
        <v>230</v>
      </c>
      <c r="O456" s="12">
        <v>409</v>
      </c>
      <c r="P456" s="11" t="s">
        <v>347</v>
      </c>
      <c r="Q456" s="37" t="s">
        <v>25</v>
      </c>
      <c r="R456" s="11" t="s">
        <v>25</v>
      </c>
      <c r="S456" s="13" t="str">
        <f t="shared" si="7"/>
        <v>Na</v>
      </c>
    </row>
    <row r="457" spans="1:19">
      <c r="A457" s="14" t="s">
        <v>2121</v>
      </c>
      <c r="B457" s="11" t="s">
        <v>469</v>
      </c>
      <c r="C457" s="11" t="s">
        <v>276</v>
      </c>
      <c r="D457" s="11" t="s">
        <v>25</v>
      </c>
      <c r="E457" s="11" t="s">
        <v>25</v>
      </c>
      <c r="F457">
        <v>1.17E-2</v>
      </c>
      <c r="G457">
        <v>5.33</v>
      </c>
      <c r="H457" s="12">
        <v>71</v>
      </c>
      <c r="I457" s="11" t="s">
        <v>346</v>
      </c>
      <c r="J457" s="11" t="s">
        <v>25</v>
      </c>
      <c r="K457" s="11" t="s">
        <v>25</v>
      </c>
      <c r="L457" s="12">
        <v>-0.66755785993417371</v>
      </c>
      <c r="M457" s="11" t="s">
        <v>23</v>
      </c>
      <c r="N457" s="11" t="s">
        <v>230</v>
      </c>
      <c r="O457" s="12">
        <v>789</v>
      </c>
      <c r="P457" s="11" t="s">
        <v>347</v>
      </c>
      <c r="Q457" s="37" t="s">
        <v>25</v>
      </c>
      <c r="R457" s="11" t="s">
        <v>25</v>
      </c>
      <c r="S457" s="13">
        <f t="shared" si="7"/>
        <v>-0.66755785993417371</v>
      </c>
    </row>
    <row r="458" spans="1:19">
      <c r="A458" s="14" t="s">
        <v>2121</v>
      </c>
      <c r="B458" s="11" t="s">
        <v>470</v>
      </c>
      <c r="C458" s="11" t="s">
        <v>276</v>
      </c>
      <c r="D458" s="11" t="s">
        <v>25</v>
      </c>
      <c r="E458" s="11" t="s">
        <v>25</v>
      </c>
      <c r="F458">
        <v>1.17E-2</v>
      </c>
      <c r="G458">
        <v>5.33</v>
      </c>
      <c r="H458" s="12">
        <v>75</v>
      </c>
      <c r="I458" s="11" t="s">
        <v>346</v>
      </c>
      <c r="J458" s="11" t="s">
        <v>25</v>
      </c>
      <c r="K458" s="11" t="s">
        <v>25</v>
      </c>
      <c r="L458" s="12" t="s">
        <v>25</v>
      </c>
      <c r="M458" s="11" t="s">
        <v>23</v>
      </c>
      <c r="N458" s="11" t="s">
        <v>230</v>
      </c>
      <c r="O458" s="12">
        <v>851</v>
      </c>
      <c r="P458" s="11" t="s">
        <v>347</v>
      </c>
      <c r="Q458" s="37" t="s">
        <v>25</v>
      </c>
      <c r="R458" s="11" t="s">
        <v>25</v>
      </c>
      <c r="S458" s="13" t="str">
        <f t="shared" si="7"/>
        <v>Na</v>
      </c>
    </row>
    <row r="459" spans="1:19">
      <c r="A459" s="14" t="s">
        <v>2121</v>
      </c>
      <c r="B459" s="11" t="s">
        <v>471</v>
      </c>
      <c r="C459" s="11" t="s">
        <v>276</v>
      </c>
      <c r="D459" s="11" t="s">
        <v>25</v>
      </c>
      <c r="E459" s="11" t="s">
        <v>25</v>
      </c>
      <c r="F459">
        <v>1.17E-2</v>
      </c>
      <c r="G459">
        <v>5.33</v>
      </c>
      <c r="H459" s="12">
        <v>86</v>
      </c>
      <c r="I459" s="11" t="s">
        <v>346</v>
      </c>
      <c r="J459" s="11" t="s">
        <v>25</v>
      </c>
      <c r="K459" s="11" t="s">
        <v>25</v>
      </c>
      <c r="L459" s="12">
        <v>-1.1130831541653534</v>
      </c>
      <c r="M459" s="11" t="s">
        <v>23</v>
      </c>
      <c r="N459" s="11" t="s">
        <v>230</v>
      </c>
      <c r="O459" s="12">
        <v>1005</v>
      </c>
      <c r="P459" s="11" t="s">
        <v>347</v>
      </c>
      <c r="Q459" s="37" t="s">
        <v>25</v>
      </c>
      <c r="R459" s="11" t="s">
        <v>25</v>
      </c>
      <c r="S459" s="13">
        <f t="shared" si="7"/>
        <v>-1.1130831541653534</v>
      </c>
    </row>
    <row r="460" spans="1:19">
      <c r="A460" s="14" t="s">
        <v>2121</v>
      </c>
      <c r="B460" s="11" t="s">
        <v>472</v>
      </c>
      <c r="C460" s="11" t="s">
        <v>276</v>
      </c>
      <c r="D460" s="11" t="s">
        <v>25</v>
      </c>
      <c r="E460" s="11" t="s">
        <v>25</v>
      </c>
      <c r="F460">
        <v>1.17E-2</v>
      </c>
      <c r="G460">
        <v>5.33</v>
      </c>
      <c r="H460" s="12">
        <v>95</v>
      </c>
      <c r="I460" s="11" t="s">
        <v>346</v>
      </c>
      <c r="J460" s="11" t="s">
        <v>25</v>
      </c>
      <c r="K460" s="11" t="s">
        <v>25</v>
      </c>
      <c r="L460" s="12">
        <v>-1.08</v>
      </c>
      <c r="M460" s="11" t="s">
        <v>23</v>
      </c>
      <c r="N460" s="11" t="s">
        <v>230</v>
      </c>
      <c r="O460" s="12">
        <v>999</v>
      </c>
      <c r="P460" s="11" t="s">
        <v>347</v>
      </c>
      <c r="Q460" s="37" t="s">
        <v>25</v>
      </c>
      <c r="R460" s="11" t="s">
        <v>25</v>
      </c>
      <c r="S460" s="13">
        <f t="shared" si="7"/>
        <v>-1.08</v>
      </c>
    </row>
    <row r="461" spans="1:19">
      <c r="A461" s="14" t="s">
        <v>2121</v>
      </c>
      <c r="B461" s="11" t="s">
        <v>473</v>
      </c>
      <c r="C461" s="11" t="s">
        <v>276</v>
      </c>
      <c r="D461" s="11" t="s">
        <v>25</v>
      </c>
      <c r="E461" s="11" t="s">
        <v>25</v>
      </c>
      <c r="F461">
        <v>1.17E-2</v>
      </c>
      <c r="G461">
        <v>5.33</v>
      </c>
      <c r="H461" s="12">
        <v>108</v>
      </c>
      <c r="I461" s="11" t="s">
        <v>346</v>
      </c>
      <c r="J461" s="11" t="s">
        <v>25</v>
      </c>
      <c r="K461" s="11" t="s">
        <v>25</v>
      </c>
      <c r="L461" s="12">
        <v>-1.18</v>
      </c>
      <c r="M461" s="11" t="s">
        <v>23</v>
      </c>
      <c r="N461" s="11" t="s">
        <v>230</v>
      </c>
      <c r="O461" s="12">
        <v>999</v>
      </c>
      <c r="P461" s="11" t="s">
        <v>347</v>
      </c>
      <c r="Q461" s="37" t="s">
        <v>25</v>
      </c>
      <c r="R461" s="11" t="s">
        <v>25</v>
      </c>
      <c r="S461" s="13">
        <f t="shared" si="7"/>
        <v>-1.18</v>
      </c>
    </row>
    <row r="462" spans="1:19">
      <c r="A462" s="14" t="s">
        <v>2121</v>
      </c>
      <c r="B462" s="11" t="s">
        <v>474</v>
      </c>
      <c r="C462" s="11" t="s">
        <v>276</v>
      </c>
      <c r="D462" s="11" t="s">
        <v>25</v>
      </c>
      <c r="E462" s="11" t="s">
        <v>25</v>
      </c>
      <c r="F462">
        <v>1.17E-2</v>
      </c>
      <c r="G462">
        <v>5.33</v>
      </c>
      <c r="H462" s="12">
        <v>119</v>
      </c>
      <c r="I462" s="11" t="s">
        <v>346</v>
      </c>
      <c r="J462" s="11" t="s">
        <v>25</v>
      </c>
      <c r="K462" s="11" t="s">
        <v>25</v>
      </c>
      <c r="L462" s="12">
        <v>-1.1633114233779072</v>
      </c>
      <c r="M462" s="11" t="s">
        <v>23</v>
      </c>
      <c r="N462" s="11" t="s">
        <v>230</v>
      </c>
      <c r="O462" s="12">
        <v>1027</v>
      </c>
      <c r="P462" s="11" t="s">
        <v>347</v>
      </c>
      <c r="Q462" s="37" t="s">
        <v>25</v>
      </c>
      <c r="R462" s="11" t="s">
        <v>25</v>
      </c>
      <c r="S462" s="13">
        <f t="shared" si="7"/>
        <v>-1.1633114233779072</v>
      </c>
    </row>
    <row r="463" spans="1:19">
      <c r="A463" s="14" t="s">
        <v>2121</v>
      </c>
      <c r="B463" s="11" t="s">
        <v>475</v>
      </c>
      <c r="C463" s="11" t="s">
        <v>276</v>
      </c>
      <c r="D463" s="11" t="s">
        <v>25</v>
      </c>
      <c r="E463" s="11" t="s">
        <v>25</v>
      </c>
      <c r="F463">
        <v>1.17E-2</v>
      </c>
      <c r="G463">
        <v>5.33</v>
      </c>
      <c r="H463" s="12">
        <v>125</v>
      </c>
      <c r="I463" s="11" t="s">
        <v>346</v>
      </c>
      <c r="J463" s="11" t="s">
        <v>25</v>
      </c>
      <c r="K463" s="11" t="s">
        <v>25</v>
      </c>
      <c r="L463" s="12" t="s">
        <v>25</v>
      </c>
      <c r="M463" s="11" t="s">
        <v>23</v>
      </c>
      <c r="N463" s="11" t="s">
        <v>230</v>
      </c>
      <c r="O463" s="12">
        <v>1235</v>
      </c>
      <c r="P463" s="11" t="s">
        <v>347</v>
      </c>
      <c r="Q463" s="37" t="s">
        <v>25</v>
      </c>
      <c r="R463" s="11" t="s">
        <v>25</v>
      </c>
      <c r="S463" s="13" t="str">
        <f t="shared" si="7"/>
        <v>Na</v>
      </c>
    </row>
    <row r="464" spans="1:19">
      <c r="A464" s="14" t="s">
        <v>2121</v>
      </c>
      <c r="B464" s="11" t="s">
        <v>476</v>
      </c>
      <c r="C464" s="11" t="s">
        <v>276</v>
      </c>
      <c r="D464" s="11" t="s">
        <v>25</v>
      </c>
      <c r="E464" s="11" t="s">
        <v>25</v>
      </c>
      <c r="F464">
        <v>1.17E-2</v>
      </c>
      <c r="G464">
        <v>5.33</v>
      </c>
      <c r="H464" s="12">
        <v>146</v>
      </c>
      <c r="I464" s="11" t="s">
        <v>346</v>
      </c>
      <c r="J464" s="11" t="s">
        <v>25</v>
      </c>
      <c r="K464" s="11" t="s">
        <v>25</v>
      </c>
      <c r="L464" s="12">
        <v>-1.1399999999999999</v>
      </c>
      <c r="M464" s="11" t="s">
        <v>23</v>
      </c>
      <c r="N464" s="11" t="s">
        <v>230</v>
      </c>
      <c r="O464" s="12">
        <v>1136</v>
      </c>
      <c r="P464" s="11" t="s">
        <v>347</v>
      </c>
      <c r="Q464" s="37" t="s">
        <v>25</v>
      </c>
      <c r="R464" s="11" t="s">
        <v>25</v>
      </c>
      <c r="S464" s="13">
        <f t="shared" si="7"/>
        <v>-1.1399999999999999</v>
      </c>
    </row>
    <row r="465" spans="1:19">
      <c r="A465" s="14" t="s">
        <v>2121</v>
      </c>
      <c r="B465" s="11" t="s">
        <v>477</v>
      </c>
      <c r="C465" s="11" t="s">
        <v>276</v>
      </c>
      <c r="D465" s="11" t="s">
        <v>25</v>
      </c>
      <c r="E465" s="11" t="s">
        <v>25</v>
      </c>
      <c r="F465">
        <v>1.17E-2</v>
      </c>
      <c r="G465">
        <v>5.33</v>
      </c>
      <c r="H465" s="12">
        <v>154</v>
      </c>
      <c r="I465" s="11" t="s">
        <v>346</v>
      </c>
      <c r="J465" s="11" t="s">
        <v>25</v>
      </c>
      <c r="K465" s="11" t="s">
        <v>25</v>
      </c>
      <c r="L465" s="12" t="s">
        <v>25</v>
      </c>
      <c r="M465" s="11" t="s">
        <v>23</v>
      </c>
      <c r="N465" s="11" t="s">
        <v>230</v>
      </c>
      <c r="O465" s="12">
        <v>1284</v>
      </c>
      <c r="P465" s="11" t="s">
        <v>347</v>
      </c>
      <c r="Q465" s="37" t="s">
        <v>25</v>
      </c>
      <c r="R465" s="11" t="s">
        <v>25</v>
      </c>
      <c r="S465" s="13" t="str">
        <f t="shared" si="7"/>
        <v>Na</v>
      </c>
    </row>
    <row r="466" spans="1:19">
      <c r="A466" s="14" t="s">
        <v>2121</v>
      </c>
      <c r="B466" s="11" t="s">
        <v>478</v>
      </c>
      <c r="C466" s="11" t="s">
        <v>276</v>
      </c>
      <c r="D466" s="11" t="s">
        <v>25</v>
      </c>
      <c r="E466" s="11" t="s">
        <v>25</v>
      </c>
      <c r="F466">
        <v>1.17E-2</v>
      </c>
      <c r="G466">
        <v>5.33</v>
      </c>
      <c r="H466" s="12">
        <v>161</v>
      </c>
      <c r="I466" s="11" t="s">
        <v>346</v>
      </c>
      <c r="J466" s="11" t="s">
        <v>25</v>
      </c>
      <c r="K466" s="11" t="s">
        <v>25</v>
      </c>
      <c r="L466" s="12" t="s">
        <v>25</v>
      </c>
      <c r="M466" s="11" t="s">
        <v>23</v>
      </c>
      <c r="N466" s="11" t="s">
        <v>230</v>
      </c>
      <c r="O466" s="12">
        <v>1152</v>
      </c>
      <c r="P466" s="11" t="s">
        <v>347</v>
      </c>
      <c r="Q466" s="37" t="s">
        <v>25</v>
      </c>
      <c r="R466" s="11" t="s">
        <v>25</v>
      </c>
      <c r="S466" s="13" t="str">
        <f t="shared" si="7"/>
        <v>Na</v>
      </c>
    </row>
    <row r="467" spans="1:19">
      <c r="A467" s="14" t="s">
        <v>2121</v>
      </c>
      <c r="B467" s="11" t="s">
        <v>479</v>
      </c>
      <c r="C467" s="11" t="s">
        <v>276</v>
      </c>
      <c r="D467" s="11" t="s">
        <v>25</v>
      </c>
      <c r="E467" s="11" t="s">
        <v>25</v>
      </c>
      <c r="F467">
        <v>1.17E-2</v>
      </c>
      <c r="G467">
        <v>5.33</v>
      </c>
      <c r="H467" s="12">
        <v>195</v>
      </c>
      <c r="I467" s="11" t="s">
        <v>346</v>
      </c>
      <c r="J467" s="11" t="s">
        <v>25</v>
      </c>
      <c r="K467" s="11" t="s">
        <v>25</v>
      </c>
      <c r="L467" s="12" t="s">
        <v>25</v>
      </c>
      <c r="M467" s="11" t="s">
        <v>23</v>
      </c>
      <c r="N467" s="11" t="s">
        <v>230</v>
      </c>
      <c r="O467" s="12">
        <v>1182</v>
      </c>
      <c r="P467" s="11" t="s">
        <v>347</v>
      </c>
      <c r="Q467" s="37" t="s">
        <v>25</v>
      </c>
      <c r="R467" s="11" t="s">
        <v>25</v>
      </c>
      <c r="S467" s="13" t="str">
        <f t="shared" si="7"/>
        <v>Na</v>
      </c>
    </row>
    <row r="468" spans="1:19">
      <c r="A468" s="14" t="s">
        <v>2121</v>
      </c>
      <c r="B468" s="11" t="s">
        <v>480</v>
      </c>
      <c r="C468" s="11" t="s">
        <v>276</v>
      </c>
      <c r="D468" s="11" t="s">
        <v>25</v>
      </c>
      <c r="E468" s="11" t="s">
        <v>25</v>
      </c>
      <c r="F468">
        <v>1.17E-2</v>
      </c>
      <c r="G468">
        <v>5.33</v>
      </c>
      <c r="H468" s="12">
        <v>181</v>
      </c>
      <c r="I468" s="11" t="s">
        <v>346</v>
      </c>
      <c r="J468" s="11" t="s">
        <v>25</v>
      </c>
      <c r="K468" s="11" t="s">
        <v>25</v>
      </c>
      <c r="L468" s="12" t="s">
        <v>25</v>
      </c>
      <c r="M468" s="11" t="s">
        <v>23</v>
      </c>
      <c r="N468" s="11" t="s">
        <v>230</v>
      </c>
      <c r="O468" s="12">
        <v>1187</v>
      </c>
      <c r="P468" s="11" t="s">
        <v>347</v>
      </c>
      <c r="Q468" s="37" t="s">
        <v>25</v>
      </c>
      <c r="R468" s="11" t="s">
        <v>25</v>
      </c>
      <c r="S468" s="13" t="str">
        <f t="shared" si="7"/>
        <v>Na</v>
      </c>
    </row>
    <row r="469" spans="1:19">
      <c r="A469" s="14" t="s">
        <v>2121</v>
      </c>
      <c r="B469" s="11" t="s">
        <v>481</v>
      </c>
      <c r="C469" s="11" t="s">
        <v>276</v>
      </c>
      <c r="D469" s="11" t="s">
        <v>25</v>
      </c>
      <c r="E469" s="11" t="s">
        <v>25</v>
      </c>
      <c r="F469">
        <v>1.17E-2</v>
      </c>
      <c r="G469">
        <v>5.33</v>
      </c>
      <c r="H469" s="12">
        <v>193</v>
      </c>
      <c r="I469" s="11" t="s">
        <v>346</v>
      </c>
      <c r="J469" s="11" t="s">
        <v>25</v>
      </c>
      <c r="K469" s="11" t="s">
        <v>25</v>
      </c>
      <c r="L469" s="12">
        <v>-0.9850000000000001</v>
      </c>
      <c r="M469" s="11" t="s">
        <v>23</v>
      </c>
      <c r="N469" s="11" t="s">
        <v>230</v>
      </c>
      <c r="O469" s="12">
        <v>1195</v>
      </c>
      <c r="P469" s="11" t="s">
        <v>347</v>
      </c>
      <c r="Q469" s="37" t="s">
        <v>25</v>
      </c>
      <c r="R469" s="11" t="s">
        <v>25</v>
      </c>
      <c r="S469" s="13">
        <f t="shared" si="7"/>
        <v>-0.9850000000000001</v>
      </c>
    </row>
    <row r="470" spans="1:19">
      <c r="A470" s="14" t="s">
        <v>2121</v>
      </c>
      <c r="B470" s="11" t="s">
        <v>482</v>
      </c>
      <c r="C470" s="11" t="s">
        <v>276</v>
      </c>
      <c r="D470" s="11" t="s">
        <v>25</v>
      </c>
      <c r="E470" s="11" t="s">
        <v>25</v>
      </c>
      <c r="F470">
        <v>1.17E-2</v>
      </c>
      <c r="G470">
        <v>5.33</v>
      </c>
      <c r="H470" s="12">
        <v>199</v>
      </c>
      <c r="I470" s="11" t="s">
        <v>346</v>
      </c>
      <c r="J470" s="11" t="s">
        <v>25</v>
      </c>
      <c r="K470" s="11" t="s">
        <v>25</v>
      </c>
      <c r="L470" s="12">
        <v>-0.99</v>
      </c>
      <c r="M470" s="11" t="s">
        <v>23</v>
      </c>
      <c r="N470" s="11" t="s">
        <v>230</v>
      </c>
      <c r="O470" s="12">
        <v>1137</v>
      </c>
      <c r="P470" s="11" t="s">
        <v>347</v>
      </c>
      <c r="Q470" s="37" t="s">
        <v>25</v>
      </c>
      <c r="R470" s="11" t="s">
        <v>25</v>
      </c>
      <c r="S470" s="13">
        <f t="shared" si="7"/>
        <v>-0.99</v>
      </c>
    </row>
    <row r="471" spans="1:19">
      <c r="A471" s="14" t="s">
        <v>2121</v>
      </c>
      <c r="B471" s="11" t="s">
        <v>483</v>
      </c>
      <c r="C471" s="11" t="s">
        <v>276</v>
      </c>
      <c r="D471" s="11" t="s">
        <v>25</v>
      </c>
      <c r="E471" s="11" t="s">
        <v>25</v>
      </c>
      <c r="F471">
        <v>1.17E-2</v>
      </c>
      <c r="G471">
        <v>5.33</v>
      </c>
      <c r="H471" s="12">
        <v>208</v>
      </c>
      <c r="I471" s="11" t="s">
        <v>346</v>
      </c>
      <c r="J471" s="11" t="s">
        <v>25</v>
      </c>
      <c r="K471" s="11" t="s">
        <v>25</v>
      </c>
      <c r="L471" s="12" t="s">
        <v>25</v>
      </c>
      <c r="M471" s="11" t="s">
        <v>23</v>
      </c>
      <c r="N471" s="11" t="s">
        <v>230</v>
      </c>
      <c r="O471" s="12">
        <v>1095</v>
      </c>
      <c r="P471" s="11" t="s">
        <v>347</v>
      </c>
      <c r="Q471" s="37" t="s">
        <v>25</v>
      </c>
      <c r="R471" s="11" t="s">
        <v>25</v>
      </c>
      <c r="S471" s="13" t="str">
        <f t="shared" si="7"/>
        <v>Na</v>
      </c>
    </row>
    <row r="472" spans="1:19">
      <c r="A472" s="14" t="s">
        <v>2121</v>
      </c>
      <c r="B472" s="11" t="s">
        <v>484</v>
      </c>
      <c r="C472" s="11" t="s">
        <v>276</v>
      </c>
      <c r="D472" s="11" t="s">
        <v>25</v>
      </c>
      <c r="E472" s="11" t="s">
        <v>25</v>
      </c>
      <c r="F472">
        <v>1.17E-2</v>
      </c>
      <c r="G472">
        <v>5.33</v>
      </c>
      <c r="H472" s="12">
        <v>219</v>
      </c>
      <c r="I472" s="11" t="s">
        <v>346</v>
      </c>
      <c r="J472" s="11" t="s">
        <v>25</v>
      </c>
      <c r="K472" s="11" t="s">
        <v>25</v>
      </c>
      <c r="L472" s="12">
        <v>-1.0688767607026017</v>
      </c>
      <c r="M472" s="11" t="s">
        <v>23</v>
      </c>
      <c r="N472" s="11" t="s">
        <v>230</v>
      </c>
      <c r="O472" s="12">
        <v>1098</v>
      </c>
      <c r="P472" s="11" t="s">
        <v>347</v>
      </c>
      <c r="Q472" s="37" t="s">
        <v>25</v>
      </c>
      <c r="R472" s="11" t="s">
        <v>25</v>
      </c>
      <c r="S472" s="13">
        <f t="shared" si="7"/>
        <v>-1.0688767607026017</v>
      </c>
    </row>
    <row r="473" spans="1:19">
      <c r="A473" s="14" t="s">
        <v>2121</v>
      </c>
      <c r="B473" s="11" t="s">
        <v>485</v>
      </c>
      <c r="C473" s="11" t="s">
        <v>276</v>
      </c>
      <c r="D473" s="11" t="s">
        <v>25</v>
      </c>
      <c r="E473" s="11" t="s">
        <v>25</v>
      </c>
      <c r="F473">
        <v>1.17E-2</v>
      </c>
      <c r="G473">
        <v>5.33</v>
      </c>
      <c r="H473" s="12">
        <v>283</v>
      </c>
      <c r="I473" s="11" t="s">
        <v>346</v>
      </c>
      <c r="J473" s="11" t="s">
        <v>25</v>
      </c>
      <c r="K473" s="11" t="s">
        <v>25</v>
      </c>
      <c r="L473" s="12">
        <v>-1.04</v>
      </c>
      <c r="M473" s="11" t="s">
        <v>23</v>
      </c>
      <c r="N473" s="11" t="s">
        <v>230</v>
      </c>
      <c r="O473" s="12">
        <v>742</v>
      </c>
      <c r="P473" s="11" t="s">
        <v>347</v>
      </c>
      <c r="Q473" s="37" t="s">
        <v>25</v>
      </c>
      <c r="R473" s="11" t="s">
        <v>25</v>
      </c>
      <c r="S473" s="13">
        <f t="shared" si="7"/>
        <v>-1.04</v>
      </c>
    </row>
    <row r="474" spans="1:19">
      <c r="A474" s="14" t="s">
        <v>2121</v>
      </c>
      <c r="B474" s="11" t="s">
        <v>486</v>
      </c>
      <c r="C474" s="11" t="s">
        <v>276</v>
      </c>
      <c r="D474" s="11" t="s">
        <v>25</v>
      </c>
      <c r="E474" s="11" t="s">
        <v>25</v>
      </c>
      <c r="F474">
        <v>1.17E-2</v>
      </c>
      <c r="G474">
        <v>5.33</v>
      </c>
      <c r="H474" s="12">
        <v>294</v>
      </c>
      <c r="I474" s="11" t="s">
        <v>346</v>
      </c>
      <c r="J474" s="11" t="s">
        <v>25</v>
      </c>
      <c r="K474" s="11" t="s">
        <v>25</v>
      </c>
      <c r="L474" s="12">
        <v>-1.0963045425200182</v>
      </c>
      <c r="M474" s="11" t="s">
        <v>23</v>
      </c>
      <c r="N474" s="11" t="s">
        <v>230</v>
      </c>
      <c r="O474" s="12">
        <v>796</v>
      </c>
      <c r="P474" s="11" t="s">
        <v>347</v>
      </c>
      <c r="Q474" s="37" t="s">
        <v>25</v>
      </c>
      <c r="R474" s="11" t="s">
        <v>25</v>
      </c>
      <c r="S474" s="13">
        <f t="shared" si="7"/>
        <v>-1.0963045425200182</v>
      </c>
    </row>
    <row r="475" spans="1:19">
      <c r="A475" s="14" t="s">
        <v>2121</v>
      </c>
      <c r="B475" s="11" t="s">
        <v>487</v>
      </c>
      <c r="C475" s="11" t="s">
        <v>276</v>
      </c>
      <c r="D475" s="11" t="s">
        <v>25</v>
      </c>
      <c r="E475" s="11" t="s">
        <v>25</v>
      </c>
      <c r="F475">
        <v>1.17E-2</v>
      </c>
      <c r="G475">
        <v>5.33</v>
      </c>
      <c r="H475" s="12">
        <v>322</v>
      </c>
      <c r="I475" s="11" t="s">
        <v>346</v>
      </c>
      <c r="J475" s="11" t="s">
        <v>25</v>
      </c>
      <c r="K475" s="11" t="s">
        <v>25</v>
      </c>
      <c r="L475" s="12" t="s">
        <v>25</v>
      </c>
      <c r="M475" s="11" t="s">
        <v>23</v>
      </c>
      <c r="N475" s="11" t="s">
        <v>230</v>
      </c>
      <c r="O475" s="12">
        <v>834</v>
      </c>
      <c r="P475" s="11" t="s">
        <v>347</v>
      </c>
      <c r="Q475" s="37" t="s">
        <v>25</v>
      </c>
      <c r="R475" s="11" t="s">
        <v>25</v>
      </c>
      <c r="S475" s="13" t="str">
        <f t="shared" si="7"/>
        <v>Na</v>
      </c>
    </row>
    <row r="476" spans="1:19">
      <c r="A476" s="14" t="s">
        <v>2121</v>
      </c>
      <c r="B476" s="11" t="s">
        <v>488</v>
      </c>
      <c r="C476" s="11" t="s">
        <v>276</v>
      </c>
      <c r="D476" s="11" t="s">
        <v>25</v>
      </c>
      <c r="E476" s="11" t="s">
        <v>25</v>
      </c>
      <c r="F476">
        <v>1.17E-2</v>
      </c>
      <c r="G476">
        <v>5.33</v>
      </c>
      <c r="H476" s="12">
        <v>333</v>
      </c>
      <c r="I476" s="11" t="s">
        <v>346</v>
      </c>
      <c r="J476" s="11" t="s">
        <v>25</v>
      </c>
      <c r="K476" s="11" t="s">
        <v>25</v>
      </c>
      <c r="L476" s="12" t="s">
        <v>25</v>
      </c>
      <c r="M476" s="11" t="s">
        <v>23</v>
      </c>
      <c r="N476" s="11" t="s">
        <v>230</v>
      </c>
      <c r="O476" s="12">
        <v>800</v>
      </c>
      <c r="P476" s="11" t="s">
        <v>347</v>
      </c>
      <c r="Q476" s="37" t="s">
        <v>25</v>
      </c>
      <c r="R476" s="11" t="s">
        <v>25</v>
      </c>
      <c r="S476" s="13" t="str">
        <f t="shared" si="7"/>
        <v>Na</v>
      </c>
    </row>
    <row r="477" spans="1:19">
      <c r="A477" s="14" t="s">
        <v>2121</v>
      </c>
      <c r="B477" s="11" t="s">
        <v>489</v>
      </c>
      <c r="C477" s="11" t="s">
        <v>276</v>
      </c>
      <c r="D477" s="11" t="s">
        <v>25</v>
      </c>
      <c r="E477" s="11" t="s">
        <v>25</v>
      </c>
      <c r="F477">
        <v>1.17E-2</v>
      </c>
      <c r="G477">
        <v>5.33</v>
      </c>
      <c r="H477" s="12">
        <v>360</v>
      </c>
      <c r="I477" s="11" t="s">
        <v>346</v>
      </c>
      <c r="J477" s="11" t="s">
        <v>25</v>
      </c>
      <c r="K477" s="11" t="s">
        <v>25</v>
      </c>
      <c r="L477" s="12">
        <v>-1.1619456920039073</v>
      </c>
      <c r="M477" s="11" t="s">
        <v>23</v>
      </c>
      <c r="N477" s="11" t="s">
        <v>230</v>
      </c>
      <c r="O477" s="12">
        <v>854</v>
      </c>
      <c r="P477" s="11" t="s">
        <v>347</v>
      </c>
      <c r="Q477" s="37" t="s">
        <v>25</v>
      </c>
      <c r="R477" s="11" t="s">
        <v>25</v>
      </c>
      <c r="S477" s="13">
        <f t="shared" si="7"/>
        <v>-1.1619456920039073</v>
      </c>
    </row>
    <row r="478" spans="1:19">
      <c r="A478" s="14" t="s">
        <v>2121</v>
      </c>
      <c r="B478" s="11" t="s">
        <v>490</v>
      </c>
      <c r="C478" s="11" t="s">
        <v>276</v>
      </c>
      <c r="D478" s="11" t="s">
        <v>25</v>
      </c>
      <c r="E478" s="11" t="s">
        <v>25</v>
      </c>
      <c r="F478">
        <v>1.17E-2</v>
      </c>
      <c r="G478">
        <v>5.33</v>
      </c>
      <c r="H478" s="12">
        <v>446</v>
      </c>
      <c r="I478" s="11" t="s">
        <v>346</v>
      </c>
      <c r="J478" s="11" t="s">
        <v>25</v>
      </c>
      <c r="K478" s="11" t="s">
        <v>25</v>
      </c>
      <c r="L478" s="12" t="s">
        <v>25</v>
      </c>
      <c r="M478" s="11" t="s">
        <v>23</v>
      </c>
      <c r="N478" s="11" t="s">
        <v>230</v>
      </c>
      <c r="O478" s="12">
        <v>708</v>
      </c>
      <c r="P478" s="11" t="s">
        <v>347</v>
      </c>
      <c r="Q478" s="37" t="s">
        <v>25</v>
      </c>
      <c r="R478" s="11" t="s">
        <v>25</v>
      </c>
      <c r="S478" s="13" t="str">
        <f t="shared" si="7"/>
        <v>Na</v>
      </c>
    </row>
    <row r="479" spans="1:19">
      <c r="A479" s="14" t="s">
        <v>2121</v>
      </c>
      <c r="B479" s="11" t="s">
        <v>491</v>
      </c>
      <c r="C479" s="11" t="s">
        <v>276</v>
      </c>
      <c r="D479" s="11" t="s">
        <v>25</v>
      </c>
      <c r="E479" s="11" t="s">
        <v>25</v>
      </c>
      <c r="F479">
        <v>1.17E-2</v>
      </c>
      <c r="G479">
        <v>5.33</v>
      </c>
      <c r="H479" s="12">
        <v>455</v>
      </c>
      <c r="I479" s="11" t="s">
        <v>346</v>
      </c>
      <c r="J479" s="11" t="s">
        <v>25</v>
      </c>
      <c r="K479" s="11" t="s">
        <v>25</v>
      </c>
      <c r="L479" s="12">
        <v>-1.099955949242809</v>
      </c>
      <c r="M479" s="11" t="s">
        <v>23</v>
      </c>
      <c r="N479" s="11" t="s">
        <v>230</v>
      </c>
      <c r="O479" s="12">
        <v>749</v>
      </c>
      <c r="P479" s="11" t="s">
        <v>347</v>
      </c>
      <c r="Q479" s="37" t="s">
        <v>25</v>
      </c>
      <c r="R479" s="11" t="s">
        <v>25</v>
      </c>
      <c r="S479" s="13">
        <f t="shared" si="7"/>
        <v>-1.099955949242809</v>
      </c>
    </row>
    <row r="480" spans="1:19">
      <c r="A480" s="14" t="s">
        <v>2121</v>
      </c>
      <c r="B480" s="11" t="s">
        <v>492</v>
      </c>
      <c r="C480" s="11" t="s">
        <v>276</v>
      </c>
      <c r="D480" s="11" t="s">
        <v>25</v>
      </c>
      <c r="E480" s="11" t="s">
        <v>25</v>
      </c>
      <c r="F480">
        <v>1.17E-2</v>
      </c>
      <c r="G480">
        <v>5.33</v>
      </c>
      <c r="H480" s="12">
        <v>466</v>
      </c>
      <c r="I480" s="11" t="s">
        <v>346</v>
      </c>
      <c r="J480" s="11" t="s">
        <v>25</v>
      </c>
      <c r="K480" s="11" t="s">
        <v>25</v>
      </c>
      <c r="L480" s="12" t="s">
        <v>25</v>
      </c>
      <c r="M480" s="11" t="s">
        <v>23</v>
      </c>
      <c r="N480" s="11" t="s">
        <v>230</v>
      </c>
      <c r="O480" s="12">
        <v>742</v>
      </c>
      <c r="P480" s="11" t="s">
        <v>347</v>
      </c>
      <c r="Q480" s="37" t="s">
        <v>25</v>
      </c>
      <c r="R480" s="11" t="s">
        <v>25</v>
      </c>
      <c r="S480" s="13" t="str">
        <f t="shared" si="7"/>
        <v>Na</v>
      </c>
    </row>
    <row r="481" spans="1:19">
      <c r="A481" s="14" t="s">
        <v>2121</v>
      </c>
      <c r="B481" s="11" t="s">
        <v>493</v>
      </c>
      <c r="C481" s="11" t="s">
        <v>276</v>
      </c>
      <c r="D481" s="11" t="s">
        <v>25</v>
      </c>
      <c r="E481" s="11" t="s">
        <v>25</v>
      </c>
      <c r="F481">
        <v>1.17E-2</v>
      </c>
      <c r="G481">
        <v>5.33</v>
      </c>
      <c r="H481" s="12">
        <v>504</v>
      </c>
      <c r="I481" s="11" t="s">
        <v>346</v>
      </c>
      <c r="J481" s="11" t="s">
        <v>25</v>
      </c>
      <c r="K481" s="11" t="s">
        <v>25</v>
      </c>
      <c r="L481" s="12" t="s">
        <v>25</v>
      </c>
      <c r="M481" s="11" t="s">
        <v>23</v>
      </c>
      <c r="N481" s="11" t="s">
        <v>230</v>
      </c>
      <c r="O481" s="12">
        <v>383</v>
      </c>
      <c r="P481" s="11" t="s">
        <v>347</v>
      </c>
      <c r="Q481" s="37" t="s">
        <v>25</v>
      </c>
      <c r="R481" s="11" t="s">
        <v>25</v>
      </c>
      <c r="S481" s="13" t="str">
        <f t="shared" si="7"/>
        <v>Na</v>
      </c>
    </row>
    <row r="482" spans="1:19">
      <c r="A482" s="14" t="s">
        <v>2121</v>
      </c>
      <c r="B482" s="11" t="s">
        <v>494</v>
      </c>
      <c r="C482" s="11" t="s">
        <v>276</v>
      </c>
      <c r="D482" s="11" t="s">
        <v>25</v>
      </c>
      <c r="E482" s="11" t="s">
        <v>25</v>
      </c>
      <c r="F482">
        <v>1.17E-2</v>
      </c>
      <c r="G482">
        <v>5.33</v>
      </c>
      <c r="H482" s="12">
        <v>659</v>
      </c>
      <c r="I482" s="11" t="s">
        <v>346</v>
      </c>
      <c r="J482" s="11" t="s">
        <v>25</v>
      </c>
      <c r="K482" s="11" t="s">
        <v>25</v>
      </c>
      <c r="L482" s="12" t="s">
        <v>25</v>
      </c>
      <c r="M482" s="11" t="s">
        <v>23</v>
      </c>
      <c r="N482" s="11" t="s">
        <v>230</v>
      </c>
      <c r="O482" s="12">
        <v>557</v>
      </c>
      <c r="P482" s="11" t="s">
        <v>347</v>
      </c>
      <c r="Q482" s="37" t="s">
        <v>25</v>
      </c>
      <c r="R482" s="11" t="s">
        <v>25</v>
      </c>
      <c r="S482" s="13" t="str">
        <f t="shared" si="7"/>
        <v>Na</v>
      </c>
    </row>
    <row r="483" spans="1:19">
      <c r="A483" s="14" t="s">
        <v>2121</v>
      </c>
      <c r="B483" s="11" t="s">
        <v>495</v>
      </c>
      <c r="C483" s="11" t="s">
        <v>276</v>
      </c>
      <c r="D483" s="11" t="s">
        <v>25</v>
      </c>
      <c r="E483" s="11" t="s">
        <v>25</v>
      </c>
      <c r="F483">
        <v>1.17E-2</v>
      </c>
      <c r="G483">
        <v>5.33</v>
      </c>
      <c r="H483" s="12">
        <v>685</v>
      </c>
      <c r="I483" s="11" t="s">
        <v>346</v>
      </c>
      <c r="J483" s="11" t="s">
        <v>25</v>
      </c>
      <c r="K483" s="11" t="s">
        <v>25</v>
      </c>
      <c r="L483" s="12" t="s">
        <v>25</v>
      </c>
      <c r="M483" s="11" t="s">
        <v>23</v>
      </c>
      <c r="N483" s="11" t="s">
        <v>230</v>
      </c>
      <c r="O483" s="12">
        <v>530</v>
      </c>
      <c r="P483" s="11" t="s">
        <v>347</v>
      </c>
      <c r="Q483" s="37" t="s">
        <v>25</v>
      </c>
      <c r="R483" s="11" t="s">
        <v>25</v>
      </c>
      <c r="S483" s="13" t="str">
        <f t="shared" si="7"/>
        <v>Na</v>
      </c>
    </row>
    <row r="484" spans="1:19">
      <c r="A484" s="14" t="s">
        <v>2121</v>
      </c>
      <c r="B484" s="11" t="s">
        <v>496</v>
      </c>
      <c r="C484" s="11" t="s">
        <v>276</v>
      </c>
      <c r="D484" s="11" t="s">
        <v>25</v>
      </c>
      <c r="E484" s="11" t="s">
        <v>25</v>
      </c>
      <c r="F484">
        <v>1.17E-2</v>
      </c>
      <c r="G484">
        <v>5.33</v>
      </c>
      <c r="H484" s="12">
        <v>737</v>
      </c>
      <c r="I484" s="11" t="s">
        <v>346</v>
      </c>
      <c r="J484" s="11" t="s">
        <v>25</v>
      </c>
      <c r="K484" s="11" t="s">
        <v>25</v>
      </c>
      <c r="L484" s="12" t="s">
        <v>25</v>
      </c>
      <c r="M484" s="11" t="s">
        <v>23</v>
      </c>
      <c r="N484" s="11" t="s">
        <v>230</v>
      </c>
      <c r="O484" s="12">
        <v>697</v>
      </c>
      <c r="P484" s="11" t="s">
        <v>347</v>
      </c>
      <c r="Q484" s="37" t="s">
        <v>25</v>
      </c>
      <c r="R484" s="11" t="s">
        <v>25</v>
      </c>
      <c r="S484" s="13" t="str">
        <f t="shared" si="7"/>
        <v>Na</v>
      </c>
    </row>
    <row r="485" spans="1:19">
      <c r="A485" s="14" t="s">
        <v>2121</v>
      </c>
      <c r="B485" s="11" t="s">
        <v>497</v>
      </c>
      <c r="C485" s="11" t="s">
        <v>276</v>
      </c>
      <c r="D485" s="11" t="s">
        <v>25</v>
      </c>
      <c r="E485" s="11" t="s">
        <v>25</v>
      </c>
      <c r="F485">
        <v>1.17E-2</v>
      </c>
      <c r="G485">
        <v>5.33</v>
      </c>
      <c r="H485" s="12">
        <v>760</v>
      </c>
      <c r="I485" s="11" t="s">
        <v>346</v>
      </c>
      <c r="J485" s="11" t="s">
        <v>25</v>
      </c>
      <c r="K485" s="11" t="s">
        <v>25</v>
      </c>
      <c r="L485" s="12" t="s">
        <v>25</v>
      </c>
      <c r="M485" s="11" t="s">
        <v>23</v>
      </c>
      <c r="N485" s="11" t="s">
        <v>230</v>
      </c>
      <c r="O485" s="12">
        <v>791</v>
      </c>
      <c r="P485" s="11" t="s">
        <v>347</v>
      </c>
      <c r="Q485" s="37" t="s">
        <v>25</v>
      </c>
      <c r="R485" s="11" t="s">
        <v>25</v>
      </c>
      <c r="S485" s="13" t="str">
        <f t="shared" si="7"/>
        <v>Na</v>
      </c>
    </row>
    <row r="486" spans="1:19">
      <c r="A486" s="14" t="s">
        <v>2121</v>
      </c>
      <c r="B486" s="11" t="s">
        <v>498</v>
      </c>
      <c r="C486" s="11" t="s">
        <v>276</v>
      </c>
      <c r="D486" s="11" t="s">
        <v>25</v>
      </c>
      <c r="E486" s="11" t="s">
        <v>25</v>
      </c>
      <c r="F486">
        <v>1.17E-2</v>
      </c>
      <c r="G486">
        <v>5.33</v>
      </c>
      <c r="H486" s="12">
        <v>774</v>
      </c>
      <c r="I486" s="11" t="s">
        <v>346</v>
      </c>
      <c r="J486" s="11" t="s">
        <v>25</v>
      </c>
      <c r="K486" s="11" t="s">
        <v>25</v>
      </c>
      <c r="L486" s="12" t="s">
        <v>25</v>
      </c>
      <c r="M486" s="11" t="s">
        <v>23</v>
      </c>
      <c r="N486" s="11" t="s">
        <v>230</v>
      </c>
      <c r="O486" s="12">
        <v>788</v>
      </c>
      <c r="P486" s="11" t="s">
        <v>347</v>
      </c>
      <c r="Q486" s="37" t="s">
        <v>25</v>
      </c>
      <c r="R486" s="11" t="s">
        <v>25</v>
      </c>
      <c r="S486" s="13" t="str">
        <f t="shared" si="7"/>
        <v>Na</v>
      </c>
    </row>
    <row r="487" spans="1:19">
      <c r="A487" s="14" t="s">
        <v>2121</v>
      </c>
      <c r="B487" s="11" t="s">
        <v>499</v>
      </c>
      <c r="C487" s="11" t="s">
        <v>276</v>
      </c>
      <c r="D487" s="11" t="s">
        <v>25</v>
      </c>
      <c r="E487" s="11" t="s">
        <v>25</v>
      </c>
      <c r="F487">
        <v>1.17E-2</v>
      </c>
      <c r="G487">
        <v>5.33</v>
      </c>
      <c r="H487" s="12">
        <v>820</v>
      </c>
      <c r="I487" s="11" t="s">
        <v>346</v>
      </c>
      <c r="J487" s="11" t="s">
        <v>25</v>
      </c>
      <c r="K487" s="11" t="s">
        <v>25</v>
      </c>
      <c r="L487" s="12" t="s">
        <v>25</v>
      </c>
      <c r="M487" s="11" t="s">
        <v>23</v>
      </c>
      <c r="N487" s="11" t="s">
        <v>230</v>
      </c>
      <c r="O487" s="12">
        <v>771</v>
      </c>
      <c r="P487" s="11" t="s">
        <v>347</v>
      </c>
      <c r="Q487" s="37" t="s">
        <v>25</v>
      </c>
      <c r="R487" s="11" t="s">
        <v>25</v>
      </c>
      <c r="S487" s="13" t="str">
        <f t="shared" si="7"/>
        <v>Na</v>
      </c>
    </row>
    <row r="488" spans="1:19">
      <c r="A488" s="14" t="s">
        <v>2121</v>
      </c>
      <c r="B488" s="11" t="s">
        <v>500</v>
      </c>
      <c r="C488" s="11" t="s">
        <v>276</v>
      </c>
      <c r="D488" s="11" t="s">
        <v>25</v>
      </c>
      <c r="E488" s="11" t="s">
        <v>25</v>
      </c>
      <c r="F488">
        <v>1.17E-2</v>
      </c>
      <c r="G488">
        <v>5.33</v>
      </c>
      <c r="H488" s="12">
        <v>910</v>
      </c>
      <c r="I488" s="11" t="s">
        <v>346</v>
      </c>
      <c r="J488" s="11" t="s">
        <v>25</v>
      </c>
      <c r="K488" s="11" t="s">
        <v>25</v>
      </c>
      <c r="L488" s="12" t="s">
        <v>25</v>
      </c>
      <c r="M488" s="11" t="s">
        <v>23</v>
      </c>
      <c r="N488" s="11" t="s">
        <v>230</v>
      </c>
      <c r="O488" s="12">
        <v>1384</v>
      </c>
      <c r="P488" s="11" t="s">
        <v>347</v>
      </c>
      <c r="Q488" s="37" t="s">
        <v>25</v>
      </c>
      <c r="R488" s="11" t="s">
        <v>25</v>
      </c>
      <c r="S488" s="13" t="str">
        <f t="shared" si="7"/>
        <v>Na</v>
      </c>
    </row>
    <row r="489" spans="1:19">
      <c r="A489" s="14" t="s">
        <v>2121</v>
      </c>
      <c r="B489" s="11" t="s">
        <v>501</v>
      </c>
      <c r="C489" s="11" t="s">
        <v>276</v>
      </c>
      <c r="D489" s="11" t="s">
        <v>25</v>
      </c>
      <c r="E489" s="11" t="s">
        <v>25</v>
      </c>
      <c r="F489">
        <v>1.17E-2</v>
      </c>
      <c r="G489">
        <v>5.33</v>
      </c>
      <c r="H489" s="12">
        <v>1002</v>
      </c>
      <c r="I489" s="11" t="s">
        <v>346</v>
      </c>
      <c r="J489" s="11" t="s">
        <v>25</v>
      </c>
      <c r="K489" s="11" t="s">
        <v>25</v>
      </c>
      <c r="L489" s="12" t="s">
        <v>25</v>
      </c>
      <c r="M489" s="11" t="s">
        <v>23</v>
      </c>
      <c r="N489" s="11" t="s">
        <v>230</v>
      </c>
      <c r="O489" s="12">
        <v>2946</v>
      </c>
      <c r="P489" s="11" t="s">
        <v>347</v>
      </c>
      <c r="Q489" s="37" t="s">
        <v>25</v>
      </c>
      <c r="R489" s="11" t="s">
        <v>25</v>
      </c>
      <c r="S489" s="13" t="str">
        <f t="shared" si="7"/>
        <v>Na</v>
      </c>
    </row>
    <row r="490" spans="1:19">
      <c r="A490" s="14" t="s">
        <v>2121</v>
      </c>
      <c r="B490" s="11" t="s">
        <v>502</v>
      </c>
      <c r="C490" s="11" t="s">
        <v>276</v>
      </c>
      <c r="D490" s="11" t="s">
        <v>25</v>
      </c>
      <c r="E490" s="11" t="s">
        <v>25</v>
      </c>
      <c r="F490">
        <v>1.17E-2</v>
      </c>
      <c r="G490">
        <v>5.33</v>
      </c>
      <c r="H490" s="12">
        <v>1024</v>
      </c>
      <c r="I490" s="11" t="s">
        <v>346</v>
      </c>
      <c r="J490" s="11" t="s">
        <v>25</v>
      </c>
      <c r="K490" s="11" t="s">
        <v>25</v>
      </c>
      <c r="L490" s="12" t="s">
        <v>25</v>
      </c>
      <c r="M490" s="11" t="s">
        <v>23</v>
      </c>
      <c r="N490" s="11" t="s">
        <v>230</v>
      </c>
      <c r="O490" s="12">
        <v>3654</v>
      </c>
      <c r="P490" s="11" t="s">
        <v>347</v>
      </c>
      <c r="Q490" s="37" t="s">
        <v>25</v>
      </c>
      <c r="R490" s="11" t="s">
        <v>25</v>
      </c>
      <c r="S490" s="13" t="str">
        <f t="shared" si="7"/>
        <v>Na</v>
      </c>
    </row>
    <row r="491" spans="1:19">
      <c r="A491" s="14" t="s">
        <v>2121</v>
      </c>
      <c r="B491" s="11" t="s">
        <v>503</v>
      </c>
      <c r="C491" s="11" t="s">
        <v>276</v>
      </c>
      <c r="D491" s="11" t="s">
        <v>25</v>
      </c>
      <c r="E491" s="11" t="s">
        <v>25</v>
      </c>
      <c r="F491">
        <v>1.17E-2</v>
      </c>
      <c r="G491">
        <v>5.33</v>
      </c>
      <c r="H491" s="12">
        <v>1032</v>
      </c>
      <c r="I491" s="11" t="s">
        <v>346</v>
      </c>
      <c r="J491" s="11" t="s">
        <v>25</v>
      </c>
      <c r="K491" s="11" t="s">
        <v>25</v>
      </c>
      <c r="L491" s="12" t="s">
        <v>25</v>
      </c>
      <c r="M491" s="11" t="s">
        <v>23</v>
      </c>
      <c r="N491" s="11" t="s">
        <v>230</v>
      </c>
      <c r="O491" s="12">
        <v>3804</v>
      </c>
      <c r="P491" s="11" t="s">
        <v>347</v>
      </c>
      <c r="Q491" s="37" t="s">
        <v>25</v>
      </c>
      <c r="R491" s="11" t="s">
        <v>25</v>
      </c>
      <c r="S491" s="13" t="str">
        <f t="shared" si="7"/>
        <v>Na</v>
      </c>
    </row>
    <row r="492" spans="1:19">
      <c r="A492" s="14" t="s">
        <v>2121</v>
      </c>
      <c r="B492" s="11" t="s">
        <v>504</v>
      </c>
      <c r="C492" s="11" t="s">
        <v>276</v>
      </c>
      <c r="D492" s="11" t="s">
        <v>25</v>
      </c>
      <c r="E492" s="11" t="s">
        <v>25</v>
      </c>
      <c r="F492">
        <v>1.17E-2</v>
      </c>
      <c r="G492">
        <v>5.33</v>
      </c>
      <c r="H492" s="12">
        <v>1084</v>
      </c>
      <c r="I492" s="11" t="s">
        <v>346</v>
      </c>
      <c r="J492" s="11" t="s">
        <v>25</v>
      </c>
      <c r="K492" s="11" t="s">
        <v>25</v>
      </c>
      <c r="L492" s="12" t="s">
        <v>25</v>
      </c>
      <c r="M492" s="11" t="s">
        <v>23</v>
      </c>
      <c r="N492" s="11" t="s">
        <v>230</v>
      </c>
      <c r="O492" s="12">
        <v>4380</v>
      </c>
      <c r="P492" s="11" t="s">
        <v>347</v>
      </c>
      <c r="Q492" s="37" t="s">
        <v>25</v>
      </c>
      <c r="R492" s="11" t="s">
        <v>25</v>
      </c>
      <c r="S492" s="13" t="str">
        <f t="shared" si="7"/>
        <v>Na</v>
      </c>
    </row>
    <row r="493" spans="1:19">
      <c r="A493" s="14" t="s">
        <v>2121</v>
      </c>
      <c r="B493" s="11" t="s">
        <v>505</v>
      </c>
      <c r="C493" s="11" t="s">
        <v>276</v>
      </c>
      <c r="D493" s="11" t="s">
        <v>25</v>
      </c>
      <c r="E493" s="11" t="s">
        <v>25</v>
      </c>
      <c r="F493">
        <v>1.17E-2</v>
      </c>
      <c r="G493">
        <v>5.33</v>
      </c>
      <c r="H493" s="12">
        <v>0.4</v>
      </c>
      <c r="I493" s="11" t="s">
        <v>228</v>
      </c>
      <c r="J493" s="11" t="s">
        <v>25</v>
      </c>
      <c r="K493" s="11" t="s">
        <v>25</v>
      </c>
      <c r="L493" s="12">
        <v>-1.4062629804009186</v>
      </c>
      <c r="M493" s="11" t="s">
        <v>23</v>
      </c>
      <c r="N493" s="11" t="s">
        <v>230</v>
      </c>
      <c r="O493" s="11" t="s">
        <v>25</v>
      </c>
      <c r="P493" s="11" t="s">
        <v>25</v>
      </c>
      <c r="Q493" s="37" t="s">
        <v>25</v>
      </c>
      <c r="R493" s="11" t="s">
        <v>25</v>
      </c>
      <c r="S493" s="13">
        <f t="shared" si="7"/>
        <v>-1.4062629804009186</v>
      </c>
    </row>
    <row r="494" spans="1:19">
      <c r="A494" s="14" t="s">
        <v>2121</v>
      </c>
      <c r="B494" s="11" t="s">
        <v>506</v>
      </c>
      <c r="C494" s="11" t="s">
        <v>276</v>
      </c>
      <c r="D494" s="11" t="s">
        <v>25</v>
      </c>
      <c r="E494" s="11" t="s">
        <v>25</v>
      </c>
      <c r="F494">
        <v>1.17E-2</v>
      </c>
      <c r="G494">
        <v>5.33</v>
      </c>
      <c r="H494" s="12">
        <v>1.9</v>
      </c>
      <c r="I494" s="11" t="s">
        <v>228</v>
      </c>
      <c r="J494" s="11" t="s">
        <v>25</v>
      </c>
      <c r="K494" s="11" t="s">
        <v>25</v>
      </c>
      <c r="L494" s="12">
        <v>-1.3939013204327111</v>
      </c>
      <c r="M494" s="11" t="s">
        <v>23</v>
      </c>
      <c r="N494" s="11" t="s">
        <v>230</v>
      </c>
      <c r="O494" s="11" t="s">
        <v>25</v>
      </c>
      <c r="P494" s="11" t="s">
        <v>25</v>
      </c>
      <c r="Q494" s="37" t="s">
        <v>25</v>
      </c>
      <c r="R494" s="11" t="s">
        <v>25</v>
      </c>
      <c r="S494" s="13">
        <f t="shared" si="7"/>
        <v>-1.3939013204327111</v>
      </c>
    </row>
    <row r="495" spans="1:19">
      <c r="A495" s="14" t="s">
        <v>2121</v>
      </c>
      <c r="B495" s="11" t="s">
        <v>507</v>
      </c>
      <c r="C495" s="11" t="s">
        <v>276</v>
      </c>
      <c r="D495" s="11" t="s">
        <v>25</v>
      </c>
      <c r="E495" s="11" t="s">
        <v>25</v>
      </c>
      <c r="F495">
        <v>1.17E-2</v>
      </c>
      <c r="G495">
        <v>5.33</v>
      </c>
      <c r="H495" s="12">
        <v>4.4000000000000004</v>
      </c>
      <c r="I495" s="11" t="s">
        <v>228</v>
      </c>
      <c r="J495" s="11" t="s">
        <v>25</v>
      </c>
      <c r="K495" s="11" t="s">
        <v>25</v>
      </c>
      <c r="L495" s="12">
        <v>-1.4675650398001672</v>
      </c>
      <c r="M495" s="11" t="s">
        <v>23</v>
      </c>
      <c r="N495" s="11" t="s">
        <v>230</v>
      </c>
      <c r="O495" s="11" t="s">
        <v>25</v>
      </c>
      <c r="P495" s="11" t="s">
        <v>25</v>
      </c>
      <c r="Q495" s="37" t="s">
        <v>25</v>
      </c>
      <c r="R495" s="11" t="s">
        <v>25</v>
      </c>
      <c r="S495" s="13">
        <f t="shared" si="7"/>
        <v>-1.4675650398001672</v>
      </c>
    </row>
    <row r="496" spans="1:19">
      <c r="A496" s="14" t="s">
        <v>2121</v>
      </c>
      <c r="B496" s="11" t="s">
        <v>508</v>
      </c>
      <c r="C496" s="11" t="s">
        <v>276</v>
      </c>
      <c r="D496" s="11" t="s">
        <v>25</v>
      </c>
      <c r="E496" s="11" t="s">
        <v>25</v>
      </c>
      <c r="F496">
        <v>1.17E-2</v>
      </c>
      <c r="G496">
        <v>5.33</v>
      </c>
      <c r="H496" s="12">
        <v>7.4</v>
      </c>
      <c r="I496" s="11" t="s">
        <v>228</v>
      </c>
      <c r="J496" s="11" t="s">
        <v>25</v>
      </c>
      <c r="K496" s="11" t="s">
        <v>25</v>
      </c>
      <c r="L496" s="12">
        <v>-1.3906918891340991</v>
      </c>
      <c r="M496" s="11" t="s">
        <v>23</v>
      </c>
      <c r="N496" s="11" t="s">
        <v>230</v>
      </c>
      <c r="O496" s="11" t="s">
        <v>25</v>
      </c>
      <c r="P496" s="11" t="s">
        <v>25</v>
      </c>
      <c r="Q496" s="37" t="s">
        <v>25</v>
      </c>
      <c r="R496" s="11" t="s">
        <v>25</v>
      </c>
      <c r="S496" s="13">
        <f t="shared" si="7"/>
        <v>-1.3906918891340991</v>
      </c>
    </row>
    <row r="497" spans="1:19">
      <c r="A497" s="14" t="s">
        <v>2121</v>
      </c>
      <c r="B497" s="11" t="s">
        <v>509</v>
      </c>
      <c r="C497" s="11" t="s">
        <v>276</v>
      </c>
      <c r="D497" s="11" t="s">
        <v>25</v>
      </c>
      <c r="E497" s="11" t="s">
        <v>25</v>
      </c>
      <c r="F497">
        <v>1.17E-2</v>
      </c>
      <c r="G497">
        <v>5.33</v>
      </c>
      <c r="H497" s="12">
        <v>19.399999999999999</v>
      </c>
      <c r="I497" s="11" t="s">
        <v>228</v>
      </c>
      <c r="J497" s="11" t="s">
        <v>25</v>
      </c>
      <c r="K497" s="11" t="s">
        <v>25</v>
      </c>
      <c r="L497" s="12">
        <v>-1.3884320030885799</v>
      </c>
      <c r="M497" s="11" t="s">
        <v>23</v>
      </c>
      <c r="N497" s="11" t="s">
        <v>230</v>
      </c>
      <c r="O497" s="11" t="s">
        <v>25</v>
      </c>
      <c r="P497" s="11" t="s">
        <v>25</v>
      </c>
      <c r="Q497" s="37" t="s">
        <v>25</v>
      </c>
      <c r="R497" s="11" t="s">
        <v>25</v>
      </c>
      <c r="S497" s="13">
        <f t="shared" si="7"/>
        <v>-1.3884320030885799</v>
      </c>
    </row>
    <row r="498" spans="1:19">
      <c r="A498" s="14" t="s">
        <v>2121</v>
      </c>
      <c r="B498" s="11" t="s">
        <v>510</v>
      </c>
      <c r="C498" s="11" t="s">
        <v>276</v>
      </c>
      <c r="D498" s="11" t="s">
        <v>25</v>
      </c>
      <c r="E498" s="11" t="s">
        <v>25</v>
      </c>
      <c r="F498">
        <v>1.17E-2</v>
      </c>
      <c r="G498">
        <v>5.33</v>
      </c>
      <c r="H498" s="12">
        <v>20.9</v>
      </c>
      <c r="I498" s="11" t="s">
        <v>228</v>
      </c>
      <c r="J498" s="11" t="s">
        <v>25</v>
      </c>
      <c r="K498" s="11" t="s">
        <v>25</v>
      </c>
      <c r="L498" s="12">
        <v>-1.374586443754322</v>
      </c>
      <c r="M498" s="11" t="s">
        <v>23</v>
      </c>
      <c r="N498" s="11" t="s">
        <v>230</v>
      </c>
      <c r="O498" s="11" t="s">
        <v>25</v>
      </c>
      <c r="P498" s="11" t="s">
        <v>25</v>
      </c>
      <c r="Q498" s="37" t="s">
        <v>25</v>
      </c>
      <c r="R498" s="11" t="s">
        <v>25</v>
      </c>
      <c r="S498" s="13">
        <f t="shared" si="7"/>
        <v>-1.374586443754322</v>
      </c>
    </row>
    <row r="499" spans="1:19">
      <c r="A499" s="14" t="s">
        <v>2121</v>
      </c>
      <c r="B499" s="11" t="s">
        <v>511</v>
      </c>
      <c r="C499" s="11" t="s">
        <v>276</v>
      </c>
      <c r="D499" s="11" t="s">
        <v>25</v>
      </c>
      <c r="E499" s="11" t="s">
        <v>25</v>
      </c>
      <c r="F499">
        <v>1.17E-2</v>
      </c>
      <c r="G499">
        <v>5.33</v>
      </c>
      <c r="H499" s="12">
        <v>27.4</v>
      </c>
      <c r="I499" s="11" t="s">
        <v>228</v>
      </c>
      <c r="J499" s="11" t="s">
        <v>25</v>
      </c>
      <c r="K499" s="11" t="s">
        <v>25</v>
      </c>
      <c r="L499" s="12">
        <v>-1.2890675970018695</v>
      </c>
      <c r="M499" s="11" t="s">
        <v>23</v>
      </c>
      <c r="N499" s="11" t="s">
        <v>230</v>
      </c>
      <c r="O499" s="11" t="s">
        <v>25</v>
      </c>
      <c r="P499" s="11" t="s">
        <v>25</v>
      </c>
      <c r="Q499" s="37" t="s">
        <v>25</v>
      </c>
      <c r="R499" s="11" t="s">
        <v>25</v>
      </c>
      <c r="S499" s="13">
        <f t="shared" si="7"/>
        <v>-1.2890675970018695</v>
      </c>
    </row>
    <row r="500" spans="1:19">
      <c r="A500" s="14" t="s">
        <v>2121</v>
      </c>
      <c r="B500" s="11" t="s">
        <v>512</v>
      </c>
      <c r="C500" s="11" t="s">
        <v>276</v>
      </c>
      <c r="D500" s="11" t="s">
        <v>25</v>
      </c>
      <c r="E500" s="11" t="s">
        <v>25</v>
      </c>
      <c r="F500">
        <v>1.17E-2</v>
      </c>
      <c r="G500">
        <v>5.33</v>
      </c>
      <c r="H500" s="12">
        <v>34.9</v>
      </c>
      <c r="I500" s="11" t="s">
        <v>228</v>
      </c>
      <c r="J500" s="11" t="s">
        <v>25</v>
      </c>
      <c r="K500" s="11" t="s">
        <v>25</v>
      </c>
      <c r="L500" s="12">
        <v>-1.1051432624249458</v>
      </c>
      <c r="M500" s="11" t="s">
        <v>23</v>
      </c>
      <c r="N500" s="11" t="s">
        <v>230</v>
      </c>
      <c r="O500" s="11" t="s">
        <v>25</v>
      </c>
      <c r="P500" s="11" t="s">
        <v>25</v>
      </c>
      <c r="Q500" s="37" t="s">
        <v>25</v>
      </c>
      <c r="R500" s="11" t="s">
        <v>25</v>
      </c>
      <c r="S500" s="13">
        <f t="shared" si="7"/>
        <v>-1.1051432624249458</v>
      </c>
    </row>
    <row r="501" spans="1:19">
      <c r="A501" s="14" t="s">
        <v>2121</v>
      </c>
      <c r="B501" s="11" t="s">
        <v>513</v>
      </c>
      <c r="C501" s="11" t="s">
        <v>276</v>
      </c>
      <c r="D501" s="11" t="s">
        <v>25</v>
      </c>
      <c r="E501" s="11" t="s">
        <v>25</v>
      </c>
      <c r="F501">
        <v>1.17E-2</v>
      </c>
      <c r="G501">
        <v>5.33</v>
      </c>
      <c r="H501" s="12">
        <v>38.4</v>
      </c>
      <c r="I501" s="11" t="s">
        <v>228</v>
      </c>
      <c r="J501" s="11" t="s">
        <v>25</v>
      </c>
      <c r="K501" s="11" t="s">
        <v>25</v>
      </c>
      <c r="L501" s="12">
        <v>-1.3881419811360152</v>
      </c>
      <c r="M501" s="11" t="s">
        <v>23</v>
      </c>
      <c r="N501" s="11" t="s">
        <v>230</v>
      </c>
      <c r="O501" s="11" t="s">
        <v>25</v>
      </c>
      <c r="P501" s="11" t="s">
        <v>25</v>
      </c>
      <c r="Q501" s="37" t="s">
        <v>25</v>
      </c>
      <c r="R501" s="11" t="s">
        <v>25</v>
      </c>
      <c r="S501" s="13">
        <f t="shared" si="7"/>
        <v>-1.3881419811360152</v>
      </c>
    </row>
    <row r="502" spans="1:19">
      <c r="A502" s="14" t="s">
        <v>2121</v>
      </c>
      <c r="B502" s="11" t="s">
        <v>514</v>
      </c>
      <c r="C502" s="11" t="s">
        <v>276</v>
      </c>
      <c r="D502" s="11" t="s">
        <v>25</v>
      </c>
      <c r="E502" s="11" t="s">
        <v>25</v>
      </c>
      <c r="F502">
        <v>1.17E-2</v>
      </c>
      <c r="G502">
        <v>5.33</v>
      </c>
      <c r="H502" s="12">
        <v>44.4</v>
      </c>
      <c r="I502" s="11" t="s">
        <v>228</v>
      </c>
      <c r="J502" s="11" t="s">
        <v>25</v>
      </c>
      <c r="K502" s="11" t="s">
        <v>25</v>
      </c>
      <c r="L502" s="12">
        <v>-1.3271626801070191</v>
      </c>
      <c r="M502" s="11" t="s">
        <v>23</v>
      </c>
      <c r="N502" s="11" t="s">
        <v>230</v>
      </c>
      <c r="O502" s="11" t="s">
        <v>25</v>
      </c>
      <c r="P502" s="11" t="s">
        <v>25</v>
      </c>
      <c r="Q502" s="37" t="s">
        <v>25</v>
      </c>
      <c r="R502" s="11" t="s">
        <v>25</v>
      </c>
      <c r="S502" s="13">
        <f t="shared" si="7"/>
        <v>-1.3271626801070191</v>
      </c>
    </row>
    <row r="503" spans="1:19">
      <c r="A503" s="14" t="s">
        <v>2121</v>
      </c>
      <c r="B503" s="11" t="s">
        <v>515</v>
      </c>
      <c r="C503" s="11" t="s">
        <v>276</v>
      </c>
      <c r="D503" s="11" t="s">
        <v>25</v>
      </c>
      <c r="E503" s="11" t="s">
        <v>25</v>
      </c>
      <c r="F503">
        <v>1.17E-2</v>
      </c>
      <c r="G503">
        <v>5.33</v>
      </c>
      <c r="H503" s="12">
        <v>46.4</v>
      </c>
      <c r="I503" s="11" t="s">
        <v>228</v>
      </c>
      <c r="J503" s="11" t="s">
        <v>25</v>
      </c>
      <c r="K503" s="11" t="s">
        <v>25</v>
      </c>
      <c r="L503" s="12">
        <v>-1.4440277891527575</v>
      </c>
      <c r="M503" s="11" t="s">
        <v>23</v>
      </c>
      <c r="N503" s="11" t="s">
        <v>230</v>
      </c>
      <c r="O503" s="11" t="s">
        <v>25</v>
      </c>
      <c r="P503" s="11" t="s">
        <v>25</v>
      </c>
      <c r="Q503" s="37" t="s">
        <v>25</v>
      </c>
      <c r="R503" s="11" t="s">
        <v>25</v>
      </c>
      <c r="S503" s="13">
        <f t="shared" si="7"/>
        <v>-1.4440277891527575</v>
      </c>
    </row>
    <row r="504" spans="1:19">
      <c r="A504" s="14" t="s">
        <v>2121</v>
      </c>
      <c r="B504" s="11" t="s">
        <v>516</v>
      </c>
      <c r="C504" s="11" t="s">
        <v>276</v>
      </c>
      <c r="D504" s="11" t="s">
        <v>25</v>
      </c>
      <c r="E504" s="11" t="s">
        <v>25</v>
      </c>
      <c r="F504">
        <v>1.17E-2</v>
      </c>
      <c r="G504">
        <v>5.33</v>
      </c>
      <c r="H504" s="12">
        <v>49.4</v>
      </c>
      <c r="I504" s="11" t="s">
        <v>228</v>
      </c>
      <c r="J504" s="11" t="s">
        <v>25</v>
      </c>
      <c r="K504" s="11" t="s">
        <v>25</v>
      </c>
      <c r="L504" s="12">
        <v>-1.3875757719311599</v>
      </c>
      <c r="M504" s="11" t="s">
        <v>23</v>
      </c>
      <c r="N504" s="11" t="s">
        <v>230</v>
      </c>
      <c r="O504" s="11" t="s">
        <v>25</v>
      </c>
      <c r="P504" s="11" t="s">
        <v>25</v>
      </c>
      <c r="Q504" s="37" t="s">
        <v>25</v>
      </c>
      <c r="R504" s="11" t="s">
        <v>25</v>
      </c>
      <c r="S504" s="13">
        <f t="shared" si="7"/>
        <v>-1.3875757719311599</v>
      </c>
    </row>
    <row r="505" spans="1:19">
      <c r="A505" s="14" t="s">
        <v>2121</v>
      </c>
      <c r="B505" s="11" t="s">
        <v>517</v>
      </c>
      <c r="C505" s="11" t="s">
        <v>276</v>
      </c>
      <c r="D505" s="11" t="s">
        <v>25</v>
      </c>
      <c r="E505" s="11" t="s">
        <v>25</v>
      </c>
      <c r="F505">
        <v>1.17E-2</v>
      </c>
      <c r="G505">
        <v>5.33</v>
      </c>
      <c r="H505" s="12">
        <v>52.4</v>
      </c>
      <c r="I505" s="11" t="s">
        <v>228</v>
      </c>
      <c r="J505" s="11" t="s">
        <v>25</v>
      </c>
      <c r="K505" s="11" t="s">
        <v>25</v>
      </c>
      <c r="L505" s="12">
        <v>-1.253429739759615</v>
      </c>
      <c r="M505" s="11" t="s">
        <v>23</v>
      </c>
      <c r="N505" s="11" t="s">
        <v>230</v>
      </c>
      <c r="O505" s="11" t="s">
        <v>25</v>
      </c>
      <c r="P505" s="11" t="s">
        <v>25</v>
      </c>
      <c r="Q505" s="37" t="s">
        <v>25</v>
      </c>
      <c r="R505" s="11" t="s">
        <v>25</v>
      </c>
      <c r="S505" s="13">
        <f t="shared" si="7"/>
        <v>-1.253429739759615</v>
      </c>
    </row>
    <row r="506" spans="1:19">
      <c r="A506" s="14" t="s">
        <v>2121</v>
      </c>
      <c r="B506" s="11" t="s">
        <v>518</v>
      </c>
      <c r="C506" s="11" t="s">
        <v>276</v>
      </c>
      <c r="D506" s="11" t="s">
        <v>25</v>
      </c>
      <c r="E506" s="11" t="s">
        <v>25</v>
      </c>
      <c r="F506">
        <v>1.17E-2</v>
      </c>
      <c r="G506">
        <v>5.33</v>
      </c>
      <c r="H506" s="12">
        <v>53.9</v>
      </c>
      <c r="I506" s="11" t="s">
        <v>228</v>
      </c>
      <c r="J506" s="11" t="s">
        <v>25</v>
      </c>
      <c r="K506" s="11" t="s">
        <v>25</v>
      </c>
      <c r="L506" s="12">
        <v>-1.3038417335731189</v>
      </c>
      <c r="M506" s="11" t="s">
        <v>23</v>
      </c>
      <c r="N506" s="11" t="s">
        <v>230</v>
      </c>
      <c r="O506" s="11" t="s">
        <v>25</v>
      </c>
      <c r="P506" s="11" t="s">
        <v>25</v>
      </c>
      <c r="Q506" s="37" t="s">
        <v>25</v>
      </c>
      <c r="R506" s="11" t="s">
        <v>25</v>
      </c>
      <c r="S506" s="13">
        <f t="shared" si="7"/>
        <v>-1.3038417335731189</v>
      </c>
    </row>
    <row r="507" spans="1:19">
      <c r="A507" s="14" t="s">
        <v>2121</v>
      </c>
      <c r="B507" s="11" t="s">
        <v>519</v>
      </c>
      <c r="C507" s="11" t="s">
        <v>276</v>
      </c>
      <c r="D507" s="11" t="s">
        <v>25</v>
      </c>
      <c r="E507" s="11" t="s">
        <v>25</v>
      </c>
      <c r="F507">
        <v>1.17E-2</v>
      </c>
      <c r="G507">
        <v>5.33</v>
      </c>
      <c r="H507" s="12">
        <v>56.92</v>
      </c>
      <c r="I507" s="11" t="s">
        <v>228</v>
      </c>
      <c r="J507" s="11" t="s">
        <v>25</v>
      </c>
      <c r="K507" s="11" t="s">
        <v>25</v>
      </c>
      <c r="L507" s="12">
        <v>-1.2755973220137662</v>
      </c>
      <c r="M507" s="11" t="s">
        <v>23</v>
      </c>
      <c r="N507" s="11" t="s">
        <v>230</v>
      </c>
      <c r="O507" s="11" t="s">
        <v>25</v>
      </c>
      <c r="P507" s="11" t="s">
        <v>25</v>
      </c>
      <c r="Q507" s="37" t="s">
        <v>25</v>
      </c>
      <c r="R507" s="11" t="s">
        <v>25</v>
      </c>
      <c r="S507" s="13">
        <f t="shared" si="7"/>
        <v>-1.2755973220137662</v>
      </c>
    </row>
    <row r="508" spans="1:19">
      <c r="A508" s="14" t="s">
        <v>2121</v>
      </c>
      <c r="B508" s="11" t="s">
        <v>520</v>
      </c>
      <c r="C508" s="11" t="s">
        <v>276</v>
      </c>
      <c r="D508" s="11" t="s">
        <v>25</v>
      </c>
      <c r="E508" s="11" t="s">
        <v>25</v>
      </c>
      <c r="F508">
        <v>1.17E-2</v>
      </c>
      <c r="G508">
        <v>5.33</v>
      </c>
      <c r="H508" s="12">
        <v>58.4</v>
      </c>
      <c r="I508" s="11" t="s">
        <v>228</v>
      </c>
      <c r="J508" s="11" t="s">
        <v>25</v>
      </c>
      <c r="K508" s="11" t="s">
        <v>25</v>
      </c>
      <c r="L508" s="12">
        <v>-1.3904800383806037</v>
      </c>
      <c r="M508" s="11" t="s">
        <v>23</v>
      </c>
      <c r="N508" s="11" t="s">
        <v>230</v>
      </c>
      <c r="O508" s="11" t="s">
        <v>25</v>
      </c>
      <c r="P508" s="11" t="s">
        <v>25</v>
      </c>
      <c r="Q508" s="37" t="s">
        <v>25</v>
      </c>
      <c r="R508" s="11" t="s">
        <v>25</v>
      </c>
      <c r="S508" s="13">
        <f t="shared" si="7"/>
        <v>-1.3904800383806037</v>
      </c>
    </row>
    <row r="509" spans="1:19">
      <c r="A509" s="14" t="s">
        <v>2121</v>
      </c>
      <c r="B509" s="11" t="s">
        <v>521</v>
      </c>
      <c r="C509" s="11" t="s">
        <v>276</v>
      </c>
      <c r="D509" s="11" t="s">
        <v>25</v>
      </c>
      <c r="E509" s="11" t="s">
        <v>25</v>
      </c>
      <c r="F509">
        <v>1.17E-2</v>
      </c>
      <c r="G509">
        <v>5.33</v>
      </c>
      <c r="H509" s="12">
        <v>64.900000000000006</v>
      </c>
      <c r="I509" s="11" t="s">
        <v>228</v>
      </c>
      <c r="J509" s="11" t="s">
        <v>25</v>
      </c>
      <c r="K509" s="11" t="s">
        <v>25</v>
      </c>
      <c r="L509" s="12">
        <v>-1.1289540450239999</v>
      </c>
      <c r="M509" s="11" t="s">
        <v>23</v>
      </c>
      <c r="N509" s="11" t="s">
        <v>230</v>
      </c>
      <c r="O509" s="11" t="s">
        <v>25</v>
      </c>
      <c r="P509" s="11" t="s">
        <v>25</v>
      </c>
      <c r="Q509" s="37" t="s">
        <v>25</v>
      </c>
      <c r="R509" s="11" t="s">
        <v>25</v>
      </c>
      <c r="S509" s="13">
        <f t="shared" si="7"/>
        <v>-1.1289540450239999</v>
      </c>
    </row>
    <row r="510" spans="1:19">
      <c r="A510" s="14" t="s">
        <v>2121</v>
      </c>
      <c r="B510" s="11" t="s">
        <v>522</v>
      </c>
      <c r="C510" s="11" t="s">
        <v>276</v>
      </c>
      <c r="D510" s="11" t="s">
        <v>25</v>
      </c>
      <c r="E510" s="11" t="s">
        <v>25</v>
      </c>
      <c r="F510">
        <v>1.17E-2</v>
      </c>
      <c r="G510">
        <v>5.33</v>
      </c>
      <c r="H510" s="12">
        <v>67.900000000000006</v>
      </c>
      <c r="I510" s="11" t="s">
        <v>228</v>
      </c>
      <c r="J510" s="11" t="s">
        <v>25</v>
      </c>
      <c r="K510" s="11" t="s">
        <v>25</v>
      </c>
      <c r="L510" s="12">
        <v>-1.2611937325142097</v>
      </c>
      <c r="M510" s="11" t="s">
        <v>23</v>
      </c>
      <c r="N510" s="11" t="s">
        <v>230</v>
      </c>
      <c r="O510" s="11" t="s">
        <v>25</v>
      </c>
      <c r="P510" s="11" t="s">
        <v>25</v>
      </c>
      <c r="Q510" s="37" t="s">
        <v>25</v>
      </c>
      <c r="R510" s="11" t="s">
        <v>25</v>
      </c>
      <c r="S510" s="13">
        <f t="shared" si="7"/>
        <v>-1.2611937325142097</v>
      </c>
    </row>
    <row r="511" spans="1:19">
      <c r="A511" s="14" t="s">
        <v>2121</v>
      </c>
      <c r="B511" s="11" t="s">
        <v>523</v>
      </c>
      <c r="C511" s="11" t="s">
        <v>276</v>
      </c>
      <c r="D511" s="11" t="s">
        <v>25</v>
      </c>
      <c r="E511" s="11" t="s">
        <v>25</v>
      </c>
      <c r="F511">
        <v>1.17E-2</v>
      </c>
      <c r="G511">
        <v>5.33</v>
      </c>
      <c r="H511" s="12">
        <v>70.900000000000006</v>
      </c>
      <c r="I511" s="11" t="s">
        <v>228</v>
      </c>
      <c r="J511" s="11" t="s">
        <v>25</v>
      </c>
      <c r="K511" s="11" t="s">
        <v>25</v>
      </c>
      <c r="L511" s="12">
        <v>-1.3386426711767818</v>
      </c>
      <c r="M511" s="11" t="s">
        <v>23</v>
      </c>
      <c r="N511" s="11" t="s">
        <v>230</v>
      </c>
      <c r="O511" s="11" t="s">
        <v>25</v>
      </c>
      <c r="P511" s="11" t="s">
        <v>25</v>
      </c>
      <c r="Q511" s="37" t="s">
        <v>25</v>
      </c>
      <c r="R511" s="11" t="s">
        <v>25</v>
      </c>
      <c r="S511" s="13">
        <f t="shared" si="7"/>
        <v>-1.3386426711767818</v>
      </c>
    </row>
    <row r="512" spans="1:19">
      <c r="A512" s="14" t="s">
        <v>2121</v>
      </c>
      <c r="B512" s="11" t="s">
        <v>524</v>
      </c>
      <c r="C512" s="11" t="s">
        <v>276</v>
      </c>
      <c r="D512" s="11" t="s">
        <v>25</v>
      </c>
      <c r="E512" s="11" t="s">
        <v>25</v>
      </c>
      <c r="F512">
        <v>1.17E-2</v>
      </c>
      <c r="G512">
        <v>5.33</v>
      </c>
      <c r="H512" s="12">
        <v>252.7456</v>
      </c>
      <c r="I512" s="11" t="s">
        <v>228</v>
      </c>
      <c r="J512" s="11" t="s">
        <v>25</v>
      </c>
      <c r="K512" s="11" t="s">
        <v>25</v>
      </c>
      <c r="L512" s="12">
        <v>-0.43</v>
      </c>
      <c r="M512" s="11" t="s">
        <v>23</v>
      </c>
      <c r="N512" s="11" t="s">
        <v>230</v>
      </c>
      <c r="O512" s="11" t="s">
        <v>25</v>
      </c>
      <c r="P512" s="11" t="s">
        <v>25</v>
      </c>
      <c r="Q512" s="37">
        <v>0.56999999999999995</v>
      </c>
      <c r="R512" s="11" t="s">
        <v>231</v>
      </c>
      <c r="S512" s="13">
        <f t="shared" si="7"/>
        <v>-0.43</v>
      </c>
    </row>
    <row r="513" spans="1:19">
      <c r="A513" s="14" t="s">
        <v>2121</v>
      </c>
      <c r="B513" s="11" t="s">
        <v>525</v>
      </c>
      <c r="C513" s="11" t="s">
        <v>276</v>
      </c>
      <c r="D513" s="11" t="s">
        <v>25</v>
      </c>
      <c r="E513" s="11" t="s">
        <v>25</v>
      </c>
      <c r="F513">
        <v>1.17E-2</v>
      </c>
      <c r="G513">
        <v>5.33</v>
      </c>
      <c r="H513" s="12">
        <v>267.82400000000001</v>
      </c>
      <c r="I513" s="11" t="s">
        <v>228</v>
      </c>
      <c r="J513" s="11" t="s">
        <v>25</v>
      </c>
      <c r="K513" s="11" t="s">
        <v>25</v>
      </c>
      <c r="L513" s="12">
        <v>-0.42</v>
      </c>
      <c r="M513" s="11" t="s">
        <v>23</v>
      </c>
      <c r="N513" s="11" t="s">
        <v>230</v>
      </c>
      <c r="O513" s="11" t="s">
        <v>25</v>
      </c>
      <c r="P513" s="11" t="s">
        <v>25</v>
      </c>
      <c r="Q513" s="37">
        <v>0.42</v>
      </c>
      <c r="R513" s="11" t="s">
        <v>231</v>
      </c>
      <c r="S513" s="13">
        <f t="shared" si="7"/>
        <v>-0.42</v>
      </c>
    </row>
    <row r="514" spans="1:19">
      <c r="A514" s="14" t="s">
        <v>2121</v>
      </c>
      <c r="B514" s="11" t="s">
        <v>526</v>
      </c>
      <c r="C514" s="11" t="s">
        <v>276</v>
      </c>
      <c r="D514" s="11" t="s">
        <v>25</v>
      </c>
      <c r="E514" s="11" t="s">
        <v>25</v>
      </c>
      <c r="F514">
        <v>1.17E-2</v>
      </c>
      <c r="G514">
        <v>5.33</v>
      </c>
      <c r="H514" s="12">
        <v>291.83999999999997</v>
      </c>
      <c r="I514" s="11" t="s">
        <v>228</v>
      </c>
      <c r="J514" s="11" t="s">
        <v>25</v>
      </c>
      <c r="K514" s="11" t="s">
        <v>25</v>
      </c>
      <c r="L514" s="12">
        <v>-0.4</v>
      </c>
      <c r="M514" s="11" t="s">
        <v>23</v>
      </c>
      <c r="N514" s="11" t="s">
        <v>230</v>
      </c>
      <c r="O514" s="11" t="s">
        <v>25</v>
      </c>
      <c r="P514" s="11" t="s">
        <v>25</v>
      </c>
      <c r="Q514" s="37">
        <v>0.72</v>
      </c>
      <c r="R514" s="11" t="s">
        <v>231</v>
      </c>
      <c r="S514" s="13">
        <f t="shared" si="7"/>
        <v>-0.4</v>
      </c>
    </row>
    <row r="515" spans="1:19">
      <c r="A515" s="14" t="s">
        <v>2121</v>
      </c>
      <c r="B515" s="11" t="s">
        <v>527</v>
      </c>
      <c r="C515" s="11" t="s">
        <v>276</v>
      </c>
      <c r="D515" s="11" t="s">
        <v>25</v>
      </c>
      <c r="E515" s="11" t="s">
        <v>25</v>
      </c>
      <c r="F515">
        <v>1.17E-2</v>
      </c>
      <c r="G515">
        <v>5.33</v>
      </c>
      <c r="H515" s="12">
        <v>323.45600000000002</v>
      </c>
      <c r="I515" s="11" t="s">
        <v>228</v>
      </c>
      <c r="J515" s="11" t="s">
        <v>25</v>
      </c>
      <c r="K515" s="11" t="s">
        <v>25</v>
      </c>
      <c r="L515" s="12">
        <v>-0.56999999999999995</v>
      </c>
      <c r="M515" s="11" t="s">
        <v>23</v>
      </c>
      <c r="N515" s="11" t="s">
        <v>230</v>
      </c>
      <c r="O515" s="11" t="s">
        <v>25</v>
      </c>
      <c r="P515" s="11" t="s">
        <v>25</v>
      </c>
      <c r="Q515" s="37">
        <v>0.44</v>
      </c>
      <c r="R515" s="11" t="s">
        <v>231</v>
      </c>
      <c r="S515" s="13">
        <f t="shared" ref="S515:S578" si="8">IF(NOT(N515="SW"),L515-1.88,L515)</f>
        <v>-0.56999999999999995</v>
      </c>
    </row>
    <row r="516" spans="1:19">
      <c r="A516" s="14" t="s">
        <v>2121</v>
      </c>
      <c r="B516" s="11" t="s">
        <v>528</v>
      </c>
      <c r="C516" s="11" t="s">
        <v>276</v>
      </c>
      <c r="D516" s="11" t="s">
        <v>25</v>
      </c>
      <c r="E516" s="11" t="s">
        <v>25</v>
      </c>
      <c r="F516">
        <v>1.17E-2</v>
      </c>
      <c r="G516">
        <v>5.33</v>
      </c>
      <c r="H516" s="12">
        <v>184.52500000000001</v>
      </c>
      <c r="I516" s="11" t="s">
        <v>228</v>
      </c>
      <c r="J516" s="11" t="s">
        <v>25</v>
      </c>
      <c r="K516" s="11" t="s">
        <v>25</v>
      </c>
      <c r="L516" s="12">
        <v>-1.1850000000000001</v>
      </c>
      <c r="M516" s="11" t="s">
        <v>23</v>
      </c>
      <c r="N516" s="11" t="s">
        <v>230</v>
      </c>
      <c r="O516" s="11" t="s">
        <v>25</v>
      </c>
      <c r="P516" s="11" t="s">
        <v>25</v>
      </c>
      <c r="Q516" s="37">
        <v>2.1800000000000002</v>
      </c>
      <c r="R516" s="11" t="s">
        <v>231</v>
      </c>
      <c r="S516" s="13">
        <f t="shared" si="8"/>
        <v>-1.1850000000000001</v>
      </c>
    </row>
    <row r="517" spans="1:19">
      <c r="A517" s="14" t="s">
        <v>2121</v>
      </c>
      <c r="B517" s="11" t="s">
        <v>529</v>
      </c>
      <c r="C517" s="11" t="s">
        <v>276</v>
      </c>
      <c r="D517" s="11" t="s">
        <v>25</v>
      </c>
      <c r="E517" s="11" t="s">
        <v>25</v>
      </c>
      <c r="F517">
        <v>1.17E-2</v>
      </c>
      <c r="G517">
        <v>5.33</v>
      </c>
      <c r="H517" s="12">
        <v>197.64</v>
      </c>
      <c r="I517" s="11" t="s">
        <v>228</v>
      </c>
      <c r="J517" s="11" t="s">
        <v>25</v>
      </c>
      <c r="K517" s="11" t="s">
        <v>25</v>
      </c>
      <c r="L517" s="12">
        <v>-1.1399999999999999</v>
      </c>
      <c r="M517" s="11" t="s">
        <v>23</v>
      </c>
      <c r="N517" s="11" t="s">
        <v>230</v>
      </c>
      <c r="O517" s="11" t="s">
        <v>25</v>
      </c>
      <c r="P517" s="11" t="s">
        <v>25</v>
      </c>
      <c r="Q517" s="37">
        <v>3.53</v>
      </c>
      <c r="R517" s="11" t="s">
        <v>231</v>
      </c>
      <c r="S517" s="13">
        <f t="shared" si="8"/>
        <v>-1.1399999999999999</v>
      </c>
    </row>
    <row r="518" spans="1:19">
      <c r="A518" s="14" t="s">
        <v>2121</v>
      </c>
      <c r="B518" s="11" t="s">
        <v>530</v>
      </c>
      <c r="C518" s="11" t="s">
        <v>276</v>
      </c>
      <c r="D518" s="11" t="s">
        <v>25</v>
      </c>
      <c r="E518" s="11" t="s">
        <v>25</v>
      </c>
      <c r="F518">
        <v>1.17E-2</v>
      </c>
      <c r="G518">
        <v>5.33</v>
      </c>
      <c r="H518" s="12">
        <v>213.80500000000001</v>
      </c>
      <c r="I518" s="11" t="s">
        <v>228</v>
      </c>
      <c r="J518" s="11" t="s">
        <v>25</v>
      </c>
      <c r="K518" s="11" t="s">
        <v>25</v>
      </c>
      <c r="L518" s="12">
        <v>-1.3900000000000001</v>
      </c>
      <c r="M518" s="11" t="s">
        <v>23</v>
      </c>
      <c r="N518" s="11" t="s">
        <v>230</v>
      </c>
      <c r="O518" s="11" t="s">
        <v>25</v>
      </c>
      <c r="P518" s="11" t="s">
        <v>25</v>
      </c>
      <c r="Q518" s="37">
        <v>4.58</v>
      </c>
      <c r="R518" s="11" t="s">
        <v>231</v>
      </c>
      <c r="S518" s="13">
        <f t="shared" si="8"/>
        <v>-1.3900000000000001</v>
      </c>
    </row>
    <row r="519" spans="1:19">
      <c r="A519" s="14" t="s">
        <v>2121</v>
      </c>
      <c r="B519" s="11" t="s">
        <v>531</v>
      </c>
      <c r="C519" s="11" t="s">
        <v>276</v>
      </c>
      <c r="D519" s="11" t="s">
        <v>25</v>
      </c>
      <c r="E519" s="11" t="s">
        <v>25</v>
      </c>
      <c r="F519">
        <v>1.17E-2</v>
      </c>
      <c r="G519">
        <v>5.33</v>
      </c>
      <c r="H519" s="12">
        <v>228.75</v>
      </c>
      <c r="I519" s="11" t="s">
        <v>228</v>
      </c>
      <c r="J519" s="11" t="s">
        <v>25</v>
      </c>
      <c r="K519" s="11" t="s">
        <v>25</v>
      </c>
      <c r="L519" s="12">
        <v>-1.38</v>
      </c>
      <c r="M519" s="11" t="s">
        <v>23</v>
      </c>
      <c r="N519" s="11" t="s">
        <v>230</v>
      </c>
      <c r="O519" s="11" t="s">
        <v>25</v>
      </c>
      <c r="P519" s="11" t="s">
        <v>25</v>
      </c>
      <c r="Q519" s="37">
        <v>2.96</v>
      </c>
      <c r="R519" s="11" t="s">
        <v>231</v>
      </c>
      <c r="S519" s="13">
        <f t="shared" si="8"/>
        <v>-1.38</v>
      </c>
    </row>
    <row r="520" spans="1:19">
      <c r="A520" s="14" t="s">
        <v>2121</v>
      </c>
      <c r="B520" s="11" t="s">
        <v>532</v>
      </c>
      <c r="C520" s="11" t="s">
        <v>276</v>
      </c>
      <c r="D520" s="11" t="s">
        <v>25</v>
      </c>
      <c r="E520" s="11" t="s">
        <v>25</v>
      </c>
      <c r="F520">
        <v>1.17E-2</v>
      </c>
      <c r="G520">
        <v>5.33</v>
      </c>
      <c r="H520" s="12">
        <v>230.27500000000001</v>
      </c>
      <c r="I520" s="11" t="s">
        <v>228</v>
      </c>
      <c r="J520" s="11" t="s">
        <v>25</v>
      </c>
      <c r="K520" s="11" t="s">
        <v>25</v>
      </c>
      <c r="L520" s="12">
        <v>-1.425</v>
      </c>
      <c r="M520" s="11" t="s">
        <v>23</v>
      </c>
      <c r="N520" s="11" t="s">
        <v>230</v>
      </c>
      <c r="O520" s="11" t="s">
        <v>25</v>
      </c>
      <c r="P520" s="11" t="s">
        <v>25</v>
      </c>
      <c r="Q520" s="37">
        <v>5.4390000000000001</v>
      </c>
      <c r="R520" s="11" t="s">
        <v>231</v>
      </c>
      <c r="S520" s="13">
        <f t="shared" si="8"/>
        <v>-1.425</v>
      </c>
    </row>
    <row r="521" spans="1:19">
      <c r="A521" s="14" t="s">
        <v>2121</v>
      </c>
      <c r="B521" s="11" t="s">
        <v>533</v>
      </c>
      <c r="C521" s="11" t="s">
        <v>276</v>
      </c>
      <c r="D521" s="11" t="s">
        <v>25</v>
      </c>
      <c r="E521" s="11" t="s">
        <v>25</v>
      </c>
      <c r="F521">
        <v>1.17E-2</v>
      </c>
      <c r="G521">
        <v>5.33</v>
      </c>
      <c r="H521" s="12">
        <v>244</v>
      </c>
      <c r="I521" s="11" t="s">
        <v>228</v>
      </c>
      <c r="J521" s="11" t="s">
        <v>25</v>
      </c>
      <c r="K521" s="11" t="s">
        <v>25</v>
      </c>
      <c r="L521" s="12">
        <v>-1.35</v>
      </c>
      <c r="M521" s="11" t="s">
        <v>23</v>
      </c>
      <c r="N521" s="11" t="s">
        <v>230</v>
      </c>
      <c r="O521" s="11" t="s">
        <v>25</v>
      </c>
      <c r="P521" s="11" t="s">
        <v>25</v>
      </c>
      <c r="Q521" s="37">
        <v>5.86</v>
      </c>
      <c r="R521" s="11" t="s">
        <v>231</v>
      </c>
      <c r="S521" s="13">
        <f t="shared" si="8"/>
        <v>-1.35</v>
      </c>
    </row>
    <row r="522" spans="1:19">
      <c r="A522" s="14" t="s">
        <v>2121</v>
      </c>
      <c r="B522" s="11" t="s">
        <v>534</v>
      </c>
      <c r="C522" s="11" t="s">
        <v>276</v>
      </c>
      <c r="D522" s="11" t="s">
        <v>25</v>
      </c>
      <c r="E522" s="11" t="s">
        <v>25</v>
      </c>
      <c r="F522">
        <v>1.17E-2</v>
      </c>
      <c r="G522">
        <v>5.33</v>
      </c>
      <c r="H522" s="12">
        <v>261.38499999999999</v>
      </c>
      <c r="I522" s="11" t="s">
        <v>228</v>
      </c>
      <c r="J522" s="11" t="s">
        <v>25</v>
      </c>
      <c r="K522" s="11" t="s">
        <v>25</v>
      </c>
      <c r="L522" s="12">
        <v>-1.085</v>
      </c>
      <c r="M522" s="11" t="s">
        <v>23</v>
      </c>
      <c r="N522" s="11" t="s">
        <v>230</v>
      </c>
      <c r="O522" s="11" t="s">
        <v>25</v>
      </c>
      <c r="P522" s="11" t="s">
        <v>25</v>
      </c>
      <c r="Q522" s="37">
        <v>3.93</v>
      </c>
      <c r="R522" s="11" t="s">
        <v>231</v>
      </c>
      <c r="S522" s="13">
        <f t="shared" si="8"/>
        <v>-1.085</v>
      </c>
    </row>
    <row r="523" spans="1:19">
      <c r="A523" s="14" t="s">
        <v>2121</v>
      </c>
      <c r="B523" s="11" t="s">
        <v>535</v>
      </c>
      <c r="C523" s="11" t="s">
        <v>276</v>
      </c>
      <c r="D523" s="11" t="s">
        <v>25</v>
      </c>
      <c r="E523" s="11" t="s">
        <v>25</v>
      </c>
      <c r="F523">
        <v>1.17E-2</v>
      </c>
      <c r="G523">
        <v>5.33</v>
      </c>
      <c r="H523" s="12">
        <v>276.02499999999998</v>
      </c>
      <c r="I523" s="11" t="s">
        <v>228</v>
      </c>
      <c r="J523" s="11" t="s">
        <v>25</v>
      </c>
      <c r="K523" s="11" t="s">
        <v>25</v>
      </c>
      <c r="L523" s="12">
        <v>-1.27</v>
      </c>
      <c r="M523" s="11" t="s">
        <v>23</v>
      </c>
      <c r="N523" s="11" t="s">
        <v>230</v>
      </c>
      <c r="O523" s="11" t="s">
        <v>25</v>
      </c>
      <c r="P523" s="11" t="s">
        <v>25</v>
      </c>
      <c r="Q523" s="37">
        <v>4.75</v>
      </c>
      <c r="R523" s="11" t="s">
        <v>231</v>
      </c>
      <c r="S523" s="13">
        <f t="shared" si="8"/>
        <v>-1.27</v>
      </c>
    </row>
    <row r="524" spans="1:19">
      <c r="A524" s="14" t="s">
        <v>2121</v>
      </c>
      <c r="B524" s="11" t="s">
        <v>536</v>
      </c>
      <c r="C524" s="11" t="s">
        <v>276</v>
      </c>
      <c r="D524" s="11" t="s">
        <v>25</v>
      </c>
      <c r="E524" s="11" t="s">
        <v>25</v>
      </c>
      <c r="F524">
        <v>1.17E-2</v>
      </c>
      <c r="G524">
        <v>5.33</v>
      </c>
      <c r="H524" s="12">
        <v>287.005</v>
      </c>
      <c r="I524" s="11" t="s">
        <v>228</v>
      </c>
      <c r="J524" s="11" t="s">
        <v>25</v>
      </c>
      <c r="K524" s="11" t="s">
        <v>25</v>
      </c>
      <c r="L524" s="12">
        <v>-1.3</v>
      </c>
      <c r="M524" s="11" t="s">
        <v>23</v>
      </c>
      <c r="N524" s="11" t="s">
        <v>230</v>
      </c>
      <c r="O524" s="11" t="s">
        <v>25</v>
      </c>
      <c r="P524" s="11" t="s">
        <v>25</v>
      </c>
      <c r="Q524" s="37">
        <v>5.65</v>
      </c>
      <c r="R524" s="11" t="s">
        <v>231</v>
      </c>
      <c r="S524" s="13">
        <f t="shared" si="8"/>
        <v>-1.3</v>
      </c>
    </row>
    <row r="525" spans="1:19">
      <c r="A525" s="14" t="s">
        <v>2121</v>
      </c>
      <c r="B525" s="11" t="s">
        <v>537</v>
      </c>
      <c r="C525" s="11" t="s">
        <v>276</v>
      </c>
      <c r="D525" s="11" t="s">
        <v>25</v>
      </c>
      <c r="E525" s="11" t="s">
        <v>25</v>
      </c>
      <c r="F525">
        <v>1.17E-2</v>
      </c>
      <c r="G525">
        <v>5.33</v>
      </c>
      <c r="H525" s="12">
        <v>288.52999999999997</v>
      </c>
      <c r="I525" s="11" t="s">
        <v>228</v>
      </c>
      <c r="J525" s="11" t="s">
        <v>25</v>
      </c>
      <c r="K525" s="11" t="s">
        <v>25</v>
      </c>
      <c r="L525" s="12">
        <v>-1.39</v>
      </c>
      <c r="M525" s="11" t="s">
        <v>23</v>
      </c>
      <c r="N525" s="11" t="s">
        <v>230</v>
      </c>
      <c r="O525" s="11" t="s">
        <v>25</v>
      </c>
      <c r="P525" s="11" t="s">
        <v>25</v>
      </c>
      <c r="Q525" s="37">
        <v>6.67</v>
      </c>
      <c r="R525" s="11" t="s">
        <v>231</v>
      </c>
      <c r="S525" s="13">
        <f t="shared" si="8"/>
        <v>-1.39</v>
      </c>
    </row>
    <row r="526" spans="1:19">
      <c r="A526" s="14" t="s">
        <v>2121</v>
      </c>
      <c r="B526" s="11" t="s">
        <v>538</v>
      </c>
      <c r="C526" s="11" t="s">
        <v>276</v>
      </c>
      <c r="D526" s="11" t="s">
        <v>25</v>
      </c>
      <c r="E526" s="11" t="s">
        <v>25</v>
      </c>
      <c r="F526">
        <v>1.17E-2</v>
      </c>
      <c r="G526">
        <v>5.33</v>
      </c>
      <c r="H526" s="12">
        <v>295.24</v>
      </c>
      <c r="I526" s="11" t="s">
        <v>228</v>
      </c>
      <c r="J526" s="11" t="s">
        <v>25</v>
      </c>
      <c r="K526" s="11" t="s">
        <v>25</v>
      </c>
      <c r="L526" s="12">
        <v>-1.43</v>
      </c>
      <c r="M526" s="11" t="s">
        <v>23</v>
      </c>
      <c r="N526" s="11" t="s">
        <v>230</v>
      </c>
      <c r="O526" s="11" t="s">
        <v>25</v>
      </c>
      <c r="P526" s="11" t="s">
        <v>25</v>
      </c>
      <c r="Q526" s="37">
        <v>7.3</v>
      </c>
      <c r="R526" s="11" t="s">
        <v>231</v>
      </c>
      <c r="S526" s="13">
        <f t="shared" si="8"/>
        <v>-1.43</v>
      </c>
    </row>
    <row r="527" spans="1:19">
      <c r="A527" s="14" t="s">
        <v>2121</v>
      </c>
      <c r="B527" s="11" t="s">
        <v>539</v>
      </c>
      <c r="C527" s="11" t="s">
        <v>276</v>
      </c>
      <c r="D527" s="11" t="s">
        <v>25</v>
      </c>
      <c r="E527" s="11" t="s">
        <v>25</v>
      </c>
      <c r="F527">
        <v>1.17E-2</v>
      </c>
      <c r="G527">
        <v>5.33</v>
      </c>
      <c r="H527" s="12">
        <v>305.30500000000001</v>
      </c>
      <c r="I527" s="11" t="s">
        <v>228</v>
      </c>
      <c r="J527" s="11" t="s">
        <v>25</v>
      </c>
      <c r="K527" s="11" t="s">
        <v>25</v>
      </c>
      <c r="L527" s="12">
        <v>-1.41</v>
      </c>
      <c r="M527" s="11" t="s">
        <v>23</v>
      </c>
      <c r="N527" s="11" t="s">
        <v>230</v>
      </c>
      <c r="O527" s="11" t="s">
        <v>25</v>
      </c>
      <c r="P527" s="11" t="s">
        <v>25</v>
      </c>
      <c r="Q527" s="37">
        <v>8.15</v>
      </c>
      <c r="R527" s="11" t="s">
        <v>231</v>
      </c>
      <c r="S527" s="13">
        <f t="shared" si="8"/>
        <v>-1.41</v>
      </c>
    </row>
    <row r="528" spans="1:19">
      <c r="A528" s="14" t="s">
        <v>2121</v>
      </c>
      <c r="B528" s="11" t="s">
        <v>540</v>
      </c>
      <c r="C528" s="11" t="s">
        <v>276</v>
      </c>
      <c r="D528" s="11" t="s">
        <v>25</v>
      </c>
      <c r="E528" s="11" t="s">
        <v>25</v>
      </c>
      <c r="F528">
        <v>1.17E-2</v>
      </c>
      <c r="G528">
        <v>5.33</v>
      </c>
      <c r="H528" s="12">
        <v>319.94499999999999</v>
      </c>
      <c r="I528" s="11" t="s">
        <v>228</v>
      </c>
      <c r="J528" s="11" t="s">
        <v>25</v>
      </c>
      <c r="K528" s="11" t="s">
        <v>25</v>
      </c>
      <c r="L528" s="12">
        <v>-1.36</v>
      </c>
      <c r="M528" s="11" t="s">
        <v>23</v>
      </c>
      <c r="N528" s="11" t="s">
        <v>230</v>
      </c>
      <c r="O528" s="11" t="s">
        <v>25</v>
      </c>
      <c r="P528" s="11" t="s">
        <v>25</v>
      </c>
      <c r="Q528" s="37">
        <v>8.93</v>
      </c>
      <c r="R528" s="11" t="s">
        <v>231</v>
      </c>
      <c r="S528" s="13">
        <f t="shared" si="8"/>
        <v>-1.36</v>
      </c>
    </row>
    <row r="529" spans="1:19">
      <c r="A529" s="14" t="s">
        <v>2121</v>
      </c>
      <c r="B529" s="11" t="s">
        <v>541</v>
      </c>
      <c r="C529" s="11" t="s">
        <v>276</v>
      </c>
      <c r="D529" s="11" t="s">
        <v>25</v>
      </c>
      <c r="E529" s="11" t="s">
        <v>25</v>
      </c>
      <c r="F529">
        <v>1.17E-2</v>
      </c>
      <c r="G529">
        <v>5.33</v>
      </c>
      <c r="H529" s="12">
        <v>335.80500000000001</v>
      </c>
      <c r="I529" s="11" t="s">
        <v>228</v>
      </c>
      <c r="J529" s="11" t="s">
        <v>25</v>
      </c>
      <c r="K529" s="11" t="s">
        <v>25</v>
      </c>
      <c r="L529" s="12">
        <v>-1.33</v>
      </c>
      <c r="M529" s="11" t="s">
        <v>23</v>
      </c>
      <c r="N529" s="11" t="s">
        <v>230</v>
      </c>
      <c r="O529" s="11" t="s">
        <v>25</v>
      </c>
      <c r="P529" s="11" t="s">
        <v>25</v>
      </c>
      <c r="Q529" s="37">
        <v>8.4</v>
      </c>
      <c r="R529" s="11" t="s">
        <v>231</v>
      </c>
      <c r="S529" s="13">
        <f t="shared" si="8"/>
        <v>-1.33</v>
      </c>
    </row>
    <row r="530" spans="1:19">
      <c r="A530" s="14" t="s">
        <v>2121</v>
      </c>
      <c r="B530" s="11" t="s">
        <v>542</v>
      </c>
      <c r="C530" s="11" t="s">
        <v>276</v>
      </c>
      <c r="D530" s="11" t="s">
        <v>25</v>
      </c>
      <c r="E530" s="11" t="s">
        <v>25</v>
      </c>
      <c r="F530">
        <v>1.17E-2</v>
      </c>
      <c r="G530">
        <v>5.33</v>
      </c>
      <c r="H530" s="12">
        <v>351.36</v>
      </c>
      <c r="I530" s="11" t="s">
        <v>228</v>
      </c>
      <c r="J530" s="11" t="s">
        <v>25</v>
      </c>
      <c r="K530" s="11" t="s">
        <v>25</v>
      </c>
      <c r="L530" s="12">
        <v>-1.24</v>
      </c>
      <c r="M530" s="11" t="s">
        <v>23</v>
      </c>
      <c r="N530" s="11" t="s">
        <v>230</v>
      </c>
      <c r="O530" s="11" t="s">
        <v>25</v>
      </c>
      <c r="P530" s="11" t="s">
        <v>25</v>
      </c>
      <c r="Q530" s="37">
        <v>34.4</v>
      </c>
      <c r="R530" s="11" t="s">
        <v>231</v>
      </c>
      <c r="S530" s="13">
        <f t="shared" si="8"/>
        <v>-1.24</v>
      </c>
    </row>
    <row r="531" spans="1:19">
      <c r="A531" s="14" t="s">
        <v>2121</v>
      </c>
      <c r="B531" s="11" t="s">
        <v>543</v>
      </c>
      <c r="C531" s="11" t="s">
        <v>276</v>
      </c>
      <c r="D531" s="11" t="s">
        <v>25</v>
      </c>
      <c r="E531" s="11" t="s">
        <v>25</v>
      </c>
      <c r="F531">
        <v>1.17E-2</v>
      </c>
      <c r="G531">
        <v>5.33</v>
      </c>
      <c r="H531" s="12">
        <v>366.01599999999996</v>
      </c>
      <c r="I531" s="11" t="s">
        <v>228</v>
      </c>
      <c r="J531" s="11" t="s">
        <v>25</v>
      </c>
      <c r="K531" s="11" t="s">
        <v>25</v>
      </c>
      <c r="L531" s="12">
        <v>-1.0024999999999999</v>
      </c>
      <c r="M531" s="11" t="s">
        <v>23</v>
      </c>
      <c r="N531" s="11" t="s">
        <v>230</v>
      </c>
      <c r="O531" s="11" t="s">
        <v>25</v>
      </c>
      <c r="P531" s="11" t="s">
        <v>25</v>
      </c>
      <c r="Q531" s="37">
        <v>2.33</v>
      </c>
      <c r="R531" s="11" t="s">
        <v>231</v>
      </c>
      <c r="S531" s="13">
        <f t="shared" si="8"/>
        <v>-1.0024999999999999</v>
      </c>
    </row>
    <row r="532" spans="1:19">
      <c r="A532" s="14" t="s">
        <v>2121</v>
      </c>
      <c r="B532" s="11" t="s">
        <v>544</v>
      </c>
      <c r="C532" s="11" t="s">
        <v>276</v>
      </c>
      <c r="D532" s="11" t="s">
        <v>25</v>
      </c>
      <c r="E532" s="11" t="s">
        <v>25</v>
      </c>
      <c r="F532">
        <v>1.17E-2</v>
      </c>
      <c r="G532">
        <v>5.33</v>
      </c>
      <c r="H532" s="12">
        <v>366.01599999999996</v>
      </c>
      <c r="I532" s="11" t="s">
        <v>228</v>
      </c>
      <c r="J532" s="11" t="s">
        <v>25</v>
      </c>
      <c r="K532" s="11" t="s">
        <v>25</v>
      </c>
      <c r="L532" s="12">
        <v>-1.25</v>
      </c>
      <c r="M532" s="11" t="s">
        <v>23</v>
      </c>
      <c r="N532" s="11" t="s">
        <v>230</v>
      </c>
      <c r="O532" s="11" t="s">
        <v>25</v>
      </c>
      <c r="P532" s="11" t="s">
        <v>25</v>
      </c>
      <c r="Q532" s="37">
        <v>2.6349999999999998</v>
      </c>
      <c r="R532" s="11" t="s">
        <v>231</v>
      </c>
      <c r="S532" s="13">
        <f t="shared" si="8"/>
        <v>-1.25</v>
      </c>
    </row>
    <row r="533" spans="1:19">
      <c r="A533" s="14" t="s">
        <v>2121</v>
      </c>
      <c r="B533" s="11" t="s">
        <v>545</v>
      </c>
      <c r="C533" s="11" t="s">
        <v>276</v>
      </c>
      <c r="D533" s="11" t="s">
        <v>25</v>
      </c>
      <c r="E533" s="11" t="s">
        <v>25</v>
      </c>
      <c r="F533">
        <v>1.17E-2</v>
      </c>
      <c r="G533">
        <v>5.33</v>
      </c>
      <c r="H533" s="12">
        <v>366.01599999999996</v>
      </c>
      <c r="I533" s="11" t="s">
        <v>228</v>
      </c>
      <c r="J533" s="11" t="s">
        <v>25</v>
      </c>
      <c r="K533" s="11" t="s">
        <v>25</v>
      </c>
      <c r="L533" s="12">
        <v>-1.1299999999999999</v>
      </c>
      <c r="M533" s="11" t="s">
        <v>23</v>
      </c>
      <c r="N533" s="11" t="s">
        <v>230</v>
      </c>
      <c r="O533" s="11" t="s">
        <v>25</v>
      </c>
      <c r="P533" s="11" t="s">
        <v>25</v>
      </c>
      <c r="Q533" s="37">
        <v>3.2170000000000001</v>
      </c>
      <c r="R533" s="11" t="s">
        <v>231</v>
      </c>
      <c r="S533" s="13">
        <f t="shared" si="8"/>
        <v>-1.1299999999999999</v>
      </c>
    </row>
    <row r="534" spans="1:19">
      <c r="A534" s="14" t="s">
        <v>2121</v>
      </c>
      <c r="B534" s="11" t="s">
        <v>546</v>
      </c>
      <c r="C534" s="11" t="s">
        <v>276</v>
      </c>
      <c r="D534" s="11" t="s">
        <v>25</v>
      </c>
      <c r="E534" s="11" t="s">
        <v>25</v>
      </c>
      <c r="F534">
        <v>1.17E-2</v>
      </c>
      <c r="G534">
        <v>5.33</v>
      </c>
      <c r="H534" s="12">
        <v>368.14400000000001</v>
      </c>
      <c r="I534" s="11" t="s">
        <v>228</v>
      </c>
      <c r="J534" s="11" t="s">
        <v>25</v>
      </c>
      <c r="K534" s="11" t="s">
        <v>25</v>
      </c>
      <c r="L534" s="12">
        <v>-1.1000000000000001</v>
      </c>
      <c r="M534" s="11" t="s">
        <v>23</v>
      </c>
      <c r="N534" s="11" t="s">
        <v>230</v>
      </c>
      <c r="O534" s="11" t="s">
        <v>25</v>
      </c>
      <c r="P534" s="11" t="s">
        <v>25</v>
      </c>
      <c r="Q534" s="37">
        <v>2.8650000000000002</v>
      </c>
      <c r="R534" s="11" t="s">
        <v>231</v>
      </c>
      <c r="S534" s="13">
        <f t="shared" si="8"/>
        <v>-1.1000000000000001</v>
      </c>
    </row>
    <row r="535" spans="1:19">
      <c r="A535" s="14" t="s">
        <v>2121</v>
      </c>
      <c r="B535" s="11" t="s">
        <v>547</v>
      </c>
      <c r="C535" s="11" t="s">
        <v>276</v>
      </c>
      <c r="D535" s="11" t="s">
        <v>25</v>
      </c>
      <c r="E535" s="11" t="s">
        <v>25</v>
      </c>
      <c r="F535">
        <v>1.17E-2</v>
      </c>
      <c r="G535">
        <v>5.33</v>
      </c>
      <c r="H535" s="12">
        <v>368.14400000000001</v>
      </c>
      <c r="I535" s="11" t="s">
        <v>228</v>
      </c>
      <c r="J535" s="11" t="s">
        <v>25</v>
      </c>
      <c r="K535" s="11" t="s">
        <v>25</v>
      </c>
      <c r="L535" s="12">
        <v>-1.125</v>
      </c>
      <c r="M535" s="11" t="s">
        <v>23</v>
      </c>
      <c r="N535" s="11" t="s">
        <v>230</v>
      </c>
      <c r="O535" s="11" t="s">
        <v>25</v>
      </c>
      <c r="P535" s="11" t="s">
        <v>25</v>
      </c>
      <c r="Q535" s="37">
        <v>2.6</v>
      </c>
      <c r="R535" s="11" t="s">
        <v>231</v>
      </c>
      <c r="S535" s="13">
        <f t="shared" si="8"/>
        <v>-1.125</v>
      </c>
    </row>
    <row r="536" spans="1:19">
      <c r="A536" s="14" t="s">
        <v>2121</v>
      </c>
      <c r="B536" s="11" t="s">
        <v>548</v>
      </c>
      <c r="C536" s="11" t="s">
        <v>276</v>
      </c>
      <c r="D536" s="11" t="s">
        <v>25</v>
      </c>
      <c r="E536" s="11" t="s">
        <v>25</v>
      </c>
      <c r="F536">
        <v>1.17E-2</v>
      </c>
      <c r="G536">
        <v>5.33</v>
      </c>
      <c r="H536" s="12">
        <v>368.14400000000001</v>
      </c>
      <c r="I536" s="11" t="s">
        <v>228</v>
      </c>
      <c r="J536" s="11" t="s">
        <v>25</v>
      </c>
      <c r="K536" s="11" t="s">
        <v>25</v>
      </c>
      <c r="L536" s="12">
        <v>-1.3</v>
      </c>
      <c r="M536" s="11" t="s">
        <v>23</v>
      </c>
      <c r="N536" s="11" t="s">
        <v>230</v>
      </c>
      <c r="O536" s="11" t="s">
        <v>25</v>
      </c>
      <c r="P536" s="11" t="s">
        <v>25</v>
      </c>
      <c r="Q536" s="37">
        <v>2.4500000000000002</v>
      </c>
      <c r="R536" s="11" t="s">
        <v>231</v>
      </c>
      <c r="S536" s="13">
        <f t="shared" si="8"/>
        <v>-1.3</v>
      </c>
    </row>
    <row r="537" spans="1:19">
      <c r="A537" s="14" t="s">
        <v>2121</v>
      </c>
      <c r="B537" s="11" t="s">
        <v>549</v>
      </c>
      <c r="C537" s="11" t="s">
        <v>276</v>
      </c>
      <c r="D537" s="11" t="s">
        <v>25</v>
      </c>
      <c r="E537" s="11" t="s">
        <v>25</v>
      </c>
      <c r="F537">
        <v>1.17E-2</v>
      </c>
      <c r="G537">
        <v>5.33</v>
      </c>
      <c r="H537" s="12">
        <v>374.48239999999998</v>
      </c>
      <c r="I537" s="11" t="s">
        <v>228</v>
      </c>
      <c r="J537" s="11" t="s">
        <v>25</v>
      </c>
      <c r="K537" s="11" t="s">
        <v>25</v>
      </c>
      <c r="L537" s="12">
        <v>-0.92</v>
      </c>
      <c r="M537" s="11" t="s">
        <v>23</v>
      </c>
      <c r="N537" s="11" t="s">
        <v>230</v>
      </c>
      <c r="O537" s="11" t="s">
        <v>25</v>
      </c>
      <c r="P537" s="11" t="s">
        <v>25</v>
      </c>
      <c r="Q537" s="37">
        <v>3.7629999999999999</v>
      </c>
      <c r="R537" s="11" t="s">
        <v>231</v>
      </c>
      <c r="S537" s="13">
        <f t="shared" si="8"/>
        <v>-0.92</v>
      </c>
    </row>
    <row r="538" spans="1:19">
      <c r="A538" s="14" t="s">
        <v>2121</v>
      </c>
      <c r="B538" s="11" t="s">
        <v>550</v>
      </c>
      <c r="C538" s="11" t="s">
        <v>276</v>
      </c>
      <c r="D538" s="11" t="s">
        <v>25</v>
      </c>
      <c r="E538" s="11" t="s">
        <v>25</v>
      </c>
      <c r="F538">
        <v>1.17E-2</v>
      </c>
      <c r="G538">
        <v>5.33</v>
      </c>
      <c r="H538" s="12">
        <v>374.48239999999998</v>
      </c>
      <c r="I538" s="11" t="s">
        <v>228</v>
      </c>
      <c r="J538" s="11" t="s">
        <v>25</v>
      </c>
      <c r="K538" s="11" t="s">
        <v>25</v>
      </c>
      <c r="L538" s="12">
        <v>-0.97</v>
      </c>
      <c r="M538" s="11" t="s">
        <v>23</v>
      </c>
      <c r="N538" s="11" t="s">
        <v>230</v>
      </c>
      <c r="O538" s="11" t="s">
        <v>25</v>
      </c>
      <c r="P538" s="11" t="s">
        <v>25</v>
      </c>
      <c r="Q538" s="37">
        <v>3.4830000000000001</v>
      </c>
      <c r="R538" s="11" t="s">
        <v>231</v>
      </c>
      <c r="S538" s="13">
        <f t="shared" si="8"/>
        <v>-0.97</v>
      </c>
    </row>
    <row r="539" spans="1:19">
      <c r="A539" s="14" t="s">
        <v>2121</v>
      </c>
      <c r="B539" s="11" t="s">
        <v>551</v>
      </c>
      <c r="C539" s="11" t="s">
        <v>276</v>
      </c>
      <c r="D539" s="11" t="s">
        <v>25</v>
      </c>
      <c r="E539" s="11" t="s">
        <v>25</v>
      </c>
      <c r="F539">
        <v>1.17E-2</v>
      </c>
      <c r="G539">
        <v>5.33</v>
      </c>
      <c r="H539" s="12">
        <v>374.48239999999998</v>
      </c>
      <c r="I539" s="11" t="s">
        <v>228</v>
      </c>
      <c r="J539" s="11" t="s">
        <v>25</v>
      </c>
      <c r="K539" s="11" t="s">
        <v>25</v>
      </c>
      <c r="L539" s="12">
        <v>-1.04</v>
      </c>
      <c r="M539" s="11" t="s">
        <v>23</v>
      </c>
      <c r="N539" s="11" t="s">
        <v>230</v>
      </c>
      <c r="O539" s="11" t="s">
        <v>25</v>
      </c>
      <c r="P539" s="11" t="s">
        <v>25</v>
      </c>
      <c r="Q539" s="37">
        <v>4.3099999999999996</v>
      </c>
      <c r="R539" s="11" t="s">
        <v>231</v>
      </c>
      <c r="S539" s="13">
        <f t="shared" si="8"/>
        <v>-1.04</v>
      </c>
    </row>
    <row r="540" spans="1:19">
      <c r="A540" s="14" t="s">
        <v>2121</v>
      </c>
      <c r="B540" s="11" t="s">
        <v>552</v>
      </c>
      <c r="C540" s="11" t="s">
        <v>276</v>
      </c>
      <c r="D540" s="11" t="s">
        <v>25</v>
      </c>
      <c r="E540" s="11" t="s">
        <v>25</v>
      </c>
      <c r="F540">
        <v>1.17E-2</v>
      </c>
      <c r="G540">
        <v>5.33</v>
      </c>
      <c r="H540" s="12">
        <v>377.89631999999995</v>
      </c>
      <c r="I540" s="11" t="s">
        <v>228</v>
      </c>
      <c r="J540" s="11" t="s">
        <v>25</v>
      </c>
      <c r="K540" s="11" t="s">
        <v>25</v>
      </c>
      <c r="L540" s="12">
        <v>-0.96</v>
      </c>
      <c r="M540" s="11" t="s">
        <v>23</v>
      </c>
      <c r="N540" s="11" t="s">
        <v>230</v>
      </c>
      <c r="O540" s="11" t="s">
        <v>25</v>
      </c>
      <c r="P540" s="11" t="s">
        <v>25</v>
      </c>
      <c r="Q540" s="37">
        <v>3.04</v>
      </c>
      <c r="R540" s="11" t="s">
        <v>231</v>
      </c>
      <c r="S540" s="13">
        <f t="shared" si="8"/>
        <v>-0.96</v>
      </c>
    </row>
    <row r="541" spans="1:19">
      <c r="A541" s="14" t="s">
        <v>2121</v>
      </c>
      <c r="B541" s="11" t="s">
        <v>553</v>
      </c>
      <c r="C541" s="11" t="s">
        <v>276</v>
      </c>
      <c r="D541" s="11" t="s">
        <v>25</v>
      </c>
      <c r="E541" s="11" t="s">
        <v>25</v>
      </c>
      <c r="F541">
        <v>1.17E-2</v>
      </c>
      <c r="G541">
        <v>5.33</v>
      </c>
      <c r="H541" s="12">
        <v>377.89631999999995</v>
      </c>
      <c r="I541" s="11" t="s">
        <v>228</v>
      </c>
      <c r="J541" s="11" t="s">
        <v>25</v>
      </c>
      <c r="K541" s="11" t="s">
        <v>25</v>
      </c>
      <c r="L541" s="12">
        <v>-1.02</v>
      </c>
      <c r="M541" s="11" t="s">
        <v>23</v>
      </c>
      <c r="N541" s="11" t="s">
        <v>230</v>
      </c>
      <c r="O541" s="11" t="s">
        <v>25</v>
      </c>
      <c r="P541" s="11" t="s">
        <v>25</v>
      </c>
      <c r="Q541" s="37">
        <v>3.9660000000000002</v>
      </c>
      <c r="R541" s="11" t="s">
        <v>231</v>
      </c>
      <c r="S541" s="13">
        <f t="shared" si="8"/>
        <v>-1.02</v>
      </c>
    </row>
    <row r="542" spans="1:19">
      <c r="A542" s="14" t="s">
        <v>2121</v>
      </c>
      <c r="B542" s="11" t="s">
        <v>554</v>
      </c>
      <c r="C542" s="11" t="s">
        <v>276</v>
      </c>
      <c r="D542" s="11" t="s">
        <v>25</v>
      </c>
      <c r="E542" s="11" t="s">
        <v>25</v>
      </c>
      <c r="F542">
        <v>1.17E-2</v>
      </c>
      <c r="G542">
        <v>5.33</v>
      </c>
      <c r="H542" s="12">
        <v>377.89631999999995</v>
      </c>
      <c r="I542" s="11" t="s">
        <v>228</v>
      </c>
      <c r="J542" s="11" t="s">
        <v>25</v>
      </c>
      <c r="K542" s="11" t="s">
        <v>25</v>
      </c>
      <c r="L542" s="12">
        <v>-1.0249999999999999</v>
      </c>
      <c r="M542" s="11" t="s">
        <v>23</v>
      </c>
      <c r="N542" s="11" t="s">
        <v>230</v>
      </c>
      <c r="O542" s="11" t="s">
        <v>25</v>
      </c>
      <c r="P542" s="11" t="s">
        <v>25</v>
      </c>
      <c r="Q542" s="37">
        <v>5.44</v>
      </c>
      <c r="R542" s="11" t="s">
        <v>231</v>
      </c>
      <c r="S542" s="13">
        <f t="shared" si="8"/>
        <v>-1.0249999999999999</v>
      </c>
    </row>
    <row r="543" spans="1:19">
      <c r="A543" s="14" t="s">
        <v>2121</v>
      </c>
      <c r="B543" s="11" t="s">
        <v>555</v>
      </c>
      <c r="C543" s="11" t="s">
        <v>276</v>
      </c>
      <c r="D543" s="11" t="s">
        <v>25</v>
      </c>
      <c r="E543" s="11" t="s">
        <v>25</v>
      </c>
      <c r="F543">
        <v>1.17E-2</v>
      </c>
      <c r="G543">
        <v>5.33</v>
      </c>
      <c r="H543" s="12">
        <v>378.06047999999998</v>
      </c>
      <c r="I543" s="11" t="s">
        <v>228</v>
      </c>
      <c r="J543" s="11" t="s">
        <v>25</v>
      </c>
      <c r="K543" s="11" t="s">
        <v>25</v>
      </c>
      <c r="L543" s="12">
        <v>-0.89500000000000002</v>
      </c>
      <c r="M543" s="11" t="s">
        <v>23</v>
      </c>
      <c r="N543" s="11" t="s">
        <v>230</v>
      </c>
      <c r="O543" s="11" t="s">
        <v>25</v>
      </c>
      <c r="P543" s="11" t="s">
        <v>25</v>
      </c>
      <c r="Q543" s="37">
        <v>3.4940000000000002</v>
      </c>
      <c r="R543" s="11" t="s">
        <v>231</v>
      </c>
      <c r="S543" s="13">
        <f t="shared" si="8"/>
        <v>-0.89500000000000002</v>
      </c>
    </row>
    <row r="544" spans="1:19">
      <c r="A544" s="14" t="s">
        <v>2121</v>
      </c>
      <c r="B544" s="11" t="s">
        <v>556</v>
      </c>
      <c r="C544" s="11" t="s">
        <v>276</v>
      </c>
      <c r="D544" s="11" t="s">
        <v>25</v>
      </c>
      <c r="E544" s="11" t="s">
        <v>25</v>
      </c>
      <c r="F544">
        <v>1.17E-2</v>
      </c>
      <c r="G544">
        <v>5.33</v>
      </c>
      <c r="H544" s="12">
        <v>378.06047999999998</v>
      </c>
      <c r="I544" s="11" t="s">
        <v>228</v>
      </c>
      <c r="J544" s="11" t="s">
        <v>25</v>
      </c>
      <c r="K544" s="11" t="s">
        <v>25</v>
      </c>
      <c r="L544" s="12">
        <v>-0.99</v>
      </c>
      <c r="M544" s="11" t="s">
        <v>23</v>
      </c>
      <c r="N544" s="11" t="s">
        <v>230</v>
      </c>
      <c r="O544" s="11" t="s">
        <v>25</v>
      </c>
      <c r="P544" s="11" t="s">
        <v>25</v>
      </c>
      <c r="Q544" s="37">
        <v>3.5019999999999998</v>
      </c>
      <c r="R544" s="11" t="s">
        <v>231</v>
      </c>
      <c r="S544" s="13">
        <f t="shared" si="8"/>
        <v>-0.99</v>
      </c>
    </row>
    <row r="545" spans="1:19">
      <c r="A545" s="14" t="s">
        <v>2121</v>
      </c>
      <c r="B545" s="11" t="s">
        <v>557</v>
      </c>
      <c r="C545" s="11" t="s">
        <v>276</v>
      </c>
      <c r="D545" s="11" t="s">
        <v>25</v>
      </c>
      <c r="E545" s="11" t="s">
        <v>25</v>
      </c>
      <c r="F545">
        <v>1.17E-2</v>
      </c>
      <c r="G545">
        <v>5.33</v>
      </c>
      <c r="H545" s="12">
        <v>378.06047999999998</v>
      </c>
      <c r="I545" s="11" t="s">
        <v>228</v>
      </c>
      <c r="J545" s="11" t="s">
        <v>25</v>
      </c>
      <c r="K545" s="11" t="s">
        <v>25</v>
      </c>
      <c r="L545" s="12">
        <v>-1.085</v>
      </c>
      <c r="M545" s="11" t="s">
        <v>23</v>
      </c>
      <c r="N545" s="11" t="s">
        <v>230</v>
      </c>
      <c r="O545" s="11" t="s">
        <v>25</v>
      </c>
      <c r="P545" s="11" t="s">
        <v>25</v>
      </c>
      <c r="Q545" s="37">
        <v>5.42</v>
      </c>
      <c r="R545" s="11" t="s">
        <v>231</v>
      </c>
      <c r="S545" s="13">
        <f t="shared" si="8"/>
        <v>-1.085</v>
      </c>
    </row>
    <row r="546" spans="1:19">
      <c r="A546" s="14" t="s">
        <v>2121</v>
      </c>
      <c r="B546" s="11" t="s">
        <v>558</v>
      </c>
      <c r="C546" s="11" t="s">
        <v>276</v>
      </c>
      <c r="D546" s="11" t="s">
        <v>25</v>
      </c>
      <c r="E546" s="11" t="s">
        <v>25</v>
      </c>
      <c r="F546">
        <v>1.17E-2</v>
      </c>
      <c r="G546">
        <v>5.33</v>
      </c>
      <c r="H546" s="12">
        <v>401.685</v>
      </c>
      <c r="I546" s="11" t="s">
        <v>228</v>
      </c>
      <c r="J546" s="11" t="s">
        <v>25</v>
      </c>
      <c r="K546" s="11" t="s">
        <v>25</v>
      </c>
      <c r="L546" s="12">
        <v>-1.2</v>
      </c>
      <c r="M546" s="11" t="s">
        <v>23</v>
      </c>
      <c r="N546" s="11" t="s">
        <v>230</v>
      </c>
      <c r="O546" s="11" t="s">
        <v>25</v>
      </c>
      <c r="P546" s="11" t="s">
        <v>25</v>
      </c>
      <c r="Q546" s="37">
        <v>2.65</v>
      </c>
      <c r="R546" s="11" t="s">
        <v>231</v>
      </c>
      <c r="S546" s="13">
        <f t="shared" si="8"/>
        <v>-1.2</v>
      </c>
    </row>
    <row r="547" spans="1:19">
      <c r="A547" s="14" t="s">
        <v>2121</v>
      </c>
      <c r="B547" s="11" t="s">
        <v>559</v>
      </c>
      <c r="C547" s="11" t="s">
        <v>276</v>
      </c>
      <c r="D547" s="11" t="s">
        <v>25</v>
      </c>
      <c r="E547" s="11" t="s">
        <v>25</v>
      </c>
      <c r="F547">
        <v>1.17E-2</v>
      </c>
      <c r="G547">
        <v>5.33</v>
      </c>
      <c r="H547" s="12">
        <v>411.75</v>
      </c>
      <c r="I547" s="11" t="s">
        <v>228</v>
      </c>
      <c r="J547" s="11" t="s">
        <v>25</v>
      </c>
      <c r="K547" s="11" t="s">
        <v>25</v>
      </c>
      <c r="L547" s="12">
        <v>-1.21</v>
      </c>
      <c r="M547" s="11" t="s">
        <v>23</v>
      </c>
      <c r="N547" s="11" t="s">
        <v>230</v>
      </c>
      <c r="O547" s="11" t="s">
        <v>25</v>
      </c>
      <c r="P547" s="11" t="s">
        <v>25</v>
      </c>
      <c r="Q547" s="37">
        <v>2.8610000000000002</v>
      </c>
      <c r="R547" s="11" t="s">
        <v>231</v>
      </c>
      <c r="S547" s="13">
        <f t="shared" si="8"/>
        <v>-1.21</v>
      </c>
    </row>
    <row r="548" spans="1:19">
      <c r="A548" s="14" t="s">
        <v>2121</v>
      </c>
      <c r="B548" s="11" t="s">
        <v>560</v>
      </c>
      <c r="C548" s="11" t="s">
        <v>276</v>
      </c>
      <c r="D548" s="11" t="s">
        <v>25</v>
      </c>
      <c r="E548" s="11" t="s">
        <v>25</v>
      </c>
      <c r="F548">
        <v>1.17E-2</v>
      </c>
      <c r="G548">
        <v>5.33</v>
      </c>
      <c r="H548" s="12">
        <v>418.15499999999997</v>
      </c>
      <c r="I548" s="11" t="s">
        <v>228</v>
      </c>
      <c r="J548" s="11" t="s">
        <v>25</v>
      </c>
      <c r="K548" s="11" t="s">
        <v>25</v>
      </c>
      <c r="L548" s="12">
        <v>-1.21</v>
      </c>
      <c r="M548" s="11" t="s">
        <v>23</v>
      </c>
      <c r="N548" s="11" t="s">
        <v>230</v>
      </c>
      <c r="O548" s="11" t="s">
        <v>25</v>
      </c>
      <c r="P548" s="11" t="s">
        <v>25</v>
      </c>
      <c r="Q548" s="37">
        <v>3.0070000000000001</v>
      </c>
      <c r="R548" s="11" t="s">
        <v>231</v>
      </c>
      <c r="S548" s="13">
        <f t="shared" si="8"/>
        <v>-1.21</v>
      </c>
    </row>
    <row r="549" spans="1:19">
      <c r="A549" s="14" t="s">
        <v>2121</v>
      </c>
      <c r="B549" s="11" t="s">
        <v>561</v>
      </c>
      <c r="C549" s="11" t="s">
        <v>276</v>
      </c>
      <c r="D549" s="11" t="s">
        <v>25</v>
      </c>
      <c r="E549" s="11" t="s">
        <v>25</v>
      </c>
      <c r="F549">
        <v>1.17E-2</v>
      </c>
      <c r="G549">
        <v>5.33</v>
      </c>
      <c r="H549" s="12">
        <v>425.78</v>
      </c>
      <c r="I549" s="11" t="s">
        <v>228</v>
      </c>
      <c r="J549" s="11" t="s">
        <v>25</v>
      </c>
      <c r="K549" s="11" t="s">
        <v>25</v>
      </c>
      <c r="L549" s="12">
        <v>-0.96</v>
      </c>
      <c r="M549" s="11" t="s">
        <v>23</v>
      </c>
      <c r="N549" s="11" t="s">
        <v>230</v>
      </c>
      <c r="O549" s="11" t="s">
        <v>25</v>
      </c>
      <c r="P549" s="11" t="s">
        <v>25</v>
      </c>
      <c r="Q549" s="37">
        <v>2.62</v>
      </c>
      <c r="R549" s="11" t="s">
        <v>231</v>
      </c>
      <c r="S549" s="13">
        <f t="shared" si="8"/>
        <v>-0.96</v>
      </c>
    </row>
    <row r="550" spans="1:19">
      <c r="A550" s="14" t="s">
        <v>2121</v>
      </c>
      <c r="B550" s="11" t="s">
        <v>562</v>
      </c>
      <c r="C550" s="11" t="s">
        <v>276</v>
      </c>
      <c r="D550" s="11" t="s">
        <v>25</v>
      </c>
      <c r="E550" s="11" t="s">
        <v>25</v>
      </c>
      <c r="F550">
        <v>1.17E-2</v>
      </c>
      <c r="G550">
        <v>5.33</v>
      </c>
      <c r="H550" s="12">
        <v>428.52499999999998</v>
      </c>
      <c r="I550" s="11" t="s">
        <v>228</v>
      </c>
      <c r="J550" s="11" t="s">
        <v>25</v>
      </c>
      <c r="K550" s="11" t="s">
        <v>25</v>
      </c>
      <c r="L550" s="12">
        <v>-0.89999999999999991</v>
      </c>
      <c r="M550" s="11" t="s">
        <v>23</v>
      </c>
      <c r="N550" s="11" t="s">
        <v>230</v>
      </c>
      <c r="O550" s="11" t="s">
        <v>25</v>
      </c>
      <c r="P550" s="11" t="s">
        <v>25</v>
      </c>
      <c r="Q550" s="37">
        <v>2.2999999999999998</v>
      </c>
      <c r="R550" s="11" t="s">
        <v>231</v>
      </c>
      <c r="S550" s="13">
        <f t="shared" si="8"/>
        <v>-0.89999999999999991</v>
      </c>
    </row>
    <row r="551" spans="1:19">
      <c r="A551" s="14" t="s">
        <v>2121</v>
      </c>
      <c r="B551" s="11" t="s">
        <v>563</v>
      </c>
      <c r="C551" s="11" t="s">
        <v>276</v>
      </c>
      <c r="D551" s="11" t="s">
        <v>25</v>
      </c>
      <c r="E551" s="11" t="s">
        <v>25</v>
      </c>
      <c r="F551">
        <v>1.17E-2</v>
      </c>
      <c r="G551">
        <v>5.33</v>
      </c>
      <c r="H551" s="12">
        <v>435.53999999999996</v>
      </c>
      <c r="I551" s="11" t="s">
        <v>228</v>
      </c>
      <c r="J551" s="11" t="s">
        <v>25</v>
      </c>
      <c r="K551" s="11" t="s">
        <v>25</v>
      </c>
      <c r="L551" s="12">
        <v>-1.0766666666666669</v>
      </c>
      <c r="M551" s="11" t="s">
        <v>23</v>
      </c>
      <c r="N551" s="11" t="s">
        <v>230</v>
      </c>
      <c r="O551" s="11" t="s">
        <v>25</v>
      </c>
      <c r="P551" s="11" t="s">
        <v>25</v>
      </c>
      <c r="Q551" s="37">
        <v>2.2400000000000002</v>
      </c>
      <c r="R551" s="11" t="s">
        <v>231</v>
      </c>
      <c r="S551" s="13">
        <f t="shared" si="8"/>
        <v>-1.0766666666666669</v>
      </c>
    </row>
    <row r="552" spans="1:19">
      <c r="A552" s="14" t="s">
        <v>2121</v>
      </c>
      <c r="B552" s="11" t="s">
        <v>564</v>
      </c>
      <c r="C552" s="11" t="s">
        <v>276</v>
      </c>
      <c r="D552" s="11" t="s">
        <v>25</v>
      </c>
      <c r="E552" s="11" t="s">
        <v>25</v>
      </c>
      <c r="F552">
        <v>1.17E-2</v>
      </c>
      <c r="G552">
        <v>5.33</v>
      </c>
      <c r="H552" s="12">
        <v>438.28499999999997</v>
      </c>
      <c r="I552" s="11" t="s">
        <v>228</v>
      </c>
      <c r="J552" s="11" t="s">
        <v>25</v>
      </c>
      <c r="K552" s="11" t="s">
        <v>25</v>
      </c>
      <c r="L552" s="12">
        <v>-0.99500000000000011</v>
      </c>
      <c r="M552" s="11" t="s">
        <v>23</v>
      </c>
      <c r="N552" s="11" t="s">
        <v>230</v>
      </c>
      <c r="O552" s="11" t="s">
        <v>25</v>
      </c>
      <c r="P552" s="11" t="s">
        <v>25</v>
      </c>
      <c r="Q552" s="37">
        <v>2.79</v>
      </c>
      <c r="R552" s="11" t="s">
        <v>231</v>
      </c>
      <c r="S552" s="13">
        <f t="shared" si="8"/>
        <v>-0.99500000000000011</v>
      </c>
    </row>
    <row r="553" spans="1:19">
      <c r="A553" s="14" t="s">
        <v>2121</v>
      </c>
      <c r="B553" s="11" t="s">
        <v>565</v>
      </c>
      <c r="C553" s="11" t="s">
        <v>276</v>
      </c>
      <c r="D553" s="11" t="s">
        <v>25</v>
      </c>
      <c r="E553" s="11" t="s">
        <v>25</v>
      </c>
      <c r="F553">
        <v>1.17E-2</v>
      </c>
      <c r="G553">
        <v>5.33</v>
      </c>
      <c r="H553" s="12">
        <v>443.77499999999998</v>
      </c>
      <c r="I553" s="11" t="s">
        <v>228</v>
      </c>
      <c r="J553" s="11" t="s">
        <v>25</v>
      </c>
      <c r="K553" s="11" t="s">
        <v>25</v>
      </c>
      <c r="L553" s="12">
        <v>-1.0266666666666666</v>
      </c>
      <c r="M553" s="11" t="s">
        <v>23</v>
      </c>
      <c r="N553" s="11" t="s">
        <v>230</v>
      </c>
      <c r="O553" s="11" t="s">
        <v>25</v>
      </c>
      <c r="P553" s="11" t="s">
        <v>25</v>
      </c>
      <c r="Q553" s="37">
        <v>4.79</v>
      </c>
      <c r="R553" s="11" t="s">
        <v>231</v>
      </c>
      <c r="S553" s="13">
        <f t="shared" si="8"/>
        <v>-1.0266666666666666</v>
      </c>
    </row>
    <row r="554" spans="1:19">
      <c r="A554" s="14" t="s">
        <v>2121</v>
      </c>
      <c r="B554" s="11" t="s">
        <v>566</v>
      </c>
      <c r="C554" s="11" t="s">
        <v>276</v>
      </c>
      <c r="D554" s="11" t="s">
        <v>25</v>
      </c>
      <c r="E554" s="11" t="s">
        <v>25</v>
      </c>
      <c r="F554">
        <v>1.17E-2</v>
      </c>
      <c r="G554">
        <v>5.33</v>
      </c>
      <c r="H554" s="12">
        <v>456.58499999999998</v>
      </c>
      <c r="I554" s="11" t="s">
        <v>228</v>
      </c>
      <c r="J554" s="11" t="s">
        <v>25</v>
      </c>
      <c r="K554" s="11" t="s">
        <v>25</v>
      </c>
      <c r="L554" s="12">
        <v>-1.0049999999999999</v>
      </c>
      <c r="M554" s="11" t="s">
        <v>23</v>
      </c>
      <c r="N554" s="11" t="s">
        <v>230</v>
      </c>
      <c r="O554" s="11" t="s">
        <v>25</v>
      </c>
      <c r="P554" s="11" t="s">
        <v>25</v>
      </c>
      <c r="Q554" s="37">
        <v>3.04</v>
      </c>
      <c r="R554" s="11" t="s">
        <v>231</v>
      </c>
      <c r="S554" s="13">
        <f t="shared" si="8"/>
        <v>-1.0049999999999999</v>
      </c>
    </row>
    <row r="555" spans="1:19">
      <c r="A555" s="14" t="s">
        <v>2121</v>
      </c>
      <c r="B555" s="11" t="s">
        <v>567</v>
      </c>
      <c r="C555" s="11" t="s">
        <v>276</v>
      </c>
      <c r="D555" s="11" t="s">
        <v>25</v>
      </c>
      <c r="E555" s="11" t="s">
        <v>25</v>
      </c>
      <c r="F555">
        <v>1.17E-2</v>
      </c>
      <c r="G555">
        <v>5.33</v>
      </c>
      <c r="H555" s="12">
        <v>464.82</v>
      </c>
      <c r="I555" s="11" t="s">
        <v>228</v>
      </c>
      <c r="J555" s="11" t="s">
        <v>25</v>
      </c>
      <c r="K555" s="11" t="s">
        <v>25</v>
      </c>
      <c r="L555" s="12">
        <v>-1.1100000000000001</v>
      </c>
      <c r="M555" s="11" t="s">
        <v>23</v>
      </c>
      <c r="N555" s="11" t="s">
        <v>230</v>
      </c>
      <c r="O555" s="11" t="s">
        <v>25</v>
      </c>
      <c r="P555" s="11" t="s">
        <v>25</v>
      </c>
      <c r="Q555" s="37">
        <v>1.44</v>
      </c>
      <c r="R555" s="11" t="s">
        <v>231</v>
      </c>
      <c r="S555" s="13">
        <f t="shared" si="8"/>
        <v>-1.1100000000000001</v>
      </c>
    </row>
    <row r="556" spans="1:19">
      <c r="A556" s="14" t="s">
        <v>2121</v>
      </c>
      <c r="B556" s="11" t="s">
        <v>568</v>
      </c>
      <c r="C556" s="11" t="s">
        <v>276</v>
      </c>
      <c r="D556" s="11" t="s">
        <v>25</v>
      </c>
      <c r="E556" s="11" t="s">
        <v>25</v>
      </c>
      <c r="F556">
        <v>1.17E-2</v>
      </c>
      <c r="G556">
        <v>5.33</v>
      </c>
      <c r="H556" s="12">
        <v>473.96999999999997</v>
      </c>
      <c r="I556" s="11" t="s">
        <v>228</v>
      </c>
      <c r="J556" s="11" t="s">
        <v>25</v>
      </c>
      <c r="K556" s="11" t="s">
        <v>25</v>
      </c>
      <c r="L556" s="12">
        <v>-1.1100000000000001</v>
      </c>
      <c r="M556" s="11" t="s">
        <v>23</v>
      </c>
      <c r="N556" s="11" t="s">
        <v>230</v>
      </c>
      <c r="O556" s="11" t="s">
        <v>25</v>
      </c>
      <c r="P556" s="11" t="s">
        <v>25</v>
      </c>
      <c r="Q556" s="37">
        <v>3.05</v>
      </c>
      <c r="R556" s="11" t="s">
        <v>231</v>
      </c>
      <c r="S556" s="13">
        <f t="shared" si="8"/>
        <v>-1.1100000000000001</v>
      </c>
    </row>
    <row r="557" spans="1:19">
      <c r="A557" s="14" t="s">
        <v>2121</v>
      </c>
      <c r="B557" s="11" t="s">
        <v>569</v>
      </c>
      <c r="C557" s="11" t="s">
        <v>276</v>
      </c>
      <c r="D557" s="11" t="s">
        <v>25</v>
      </c>
      <c r="E557" s="11" t="s">
        <v>25</v>
      </c>
      <c r="F557">
        <v>1.17E-2</v>
      </c>
      <c r="G557">
        <v>5.33</v>
      </c>
      <c r="H557" s="12">
        <v>482.20499999999998</v>
      </c>
      <c r="I557" s="11" t="s">
        <v>228</v>
      </c>
      <c r="J557" s="11" t="s">
        <v>25</v>
      </c>
      <c r="K557" s="11" t="s">
        <v>25</v>
      </c>
      <c r="L557" s="12">
        <v>-1.1749999999999998</v>
      </c>
      <c r="M557" s="11" t="s">
        <v>23</v>
      </c>
      <c r="N557" s="11" t="s">
        <v>230</v>
      </c>
      <c r="O557" s="11" t="s">
        <v>25</v>
      </c>
      <c r="P557" s="11" t="s">
        <v>25</v>
      </c>
      <c r="Q557" s="37">
        <v>9.0510000000000002</v>
      </c>
      <c r="R557" s="11" t="s">
        <v>231</v>
      </c>
      <c r="S557" s="13">
        <f t="shared" si="8"/>
        <v>-1.1749999999999998</v>
      </c>
    </row>
    <row r="558" spans="1:19">
      <c r="A558" s="14" t="s">
        <v>2121</v>
      </c>
      <c r="B558" s="11" t="s">
        <v>570</v>
      </c>
      <c r="C558" s="11" t="s">
        <v>276</v>
      </c>
      <c r="D558" s="11" t="s">
        <v>25</v>
      </c>
      <c r="E558" s="11" t="s">
        <v>25</v>
      </c>
      <c r="F558">
        <v>1.17E-2</v>
      </c>
      <c r="G558">
        <v>5.33</v>
      </c>
      <c r="H558" s="12">
        <v>487.39</v>
      </c>
      <c r="I558" s="11" t="s">
        <v>228</v>
      </c>
      <c r="J558" s="11" t="s">
        <v>25</v>
      </c>
      <c r="K558" s="11" t="s">
        <v>25</v>
      </c>
      <c r="L558" s="12">
        <v>-1</v>
      </c>
      <c r="M558" s="11" t="s">
        <v>23</v>
      </c>
      <c r="N558" s="11" t="s">
        <v>230</v>
      </c>
      <c r="O558" s="11" t="s">
        <v>25</v>
      </c>
      <c r="P558" s="11" t="s">
        <v>25</v>
      </c>
      <c r="Q558" s="37">
        <v>2.35</v>
      </c>
      <c r="R558" s="11" t="s">
        <v>231</v>
      </c>
      <c r="S558" s="13">
        <f t="shared" si="8"/>
        <v>-1</v>
      </c>
    </row>
    <row r="559" spans="1:19">
      <c r="A559" s="14" t="s">
        <v>2121</v>
      </c>
      <c r="B559" s="11" t="s">
        <v>571</v>
      </c>
      <c r="C559" s="11" t="s">
        <v>276</v>
      </c>
      <c r="D559" s="11" t="s">
        <v>25</v>
      </c>
      <c r="E559" s="11" t="s">
        <v>25</v>
      </c>
      <c r="F559">
        <v>1.17E-2</v>
      </c>
      <c r="G559">
        <v>5.33</v>
      </c>
      <c r="H559" s="12">
        <v>491.35499999999996</v>
      </c>
      <c r="I559" s="11" t="s">
        <v>228</v>
      </c>
      <c r="J559" s="11" t="s">
        <v>25</v>
      </c>
      <c r="K559" s="11" t="s">
        <v>25</v>
      </c>
      <c r="L559" s="12">
        <v>-0.94666666666666666</v>
      </c>
      <c r="M559" s="11" t="s">
        <v>23</v>
      </c>
      <c r="N559" s="11" t="s">
        <v>230</v>
      </c>
      <c r="O559" s="11" t="s">
        <v>25</v>
      </c>
      <c r="P559" s="11" t="s">
        <v>25</v>
      </c>
      <c r="Q559" s="37">
        <v>2.52</v>
      </c>
      <c r="R559" s="11" t="s">
        <v>231</v>
      </c>
      <c r="S559" s="13">
        <f t="shared" si="8"/>
        <v>-0.94666666666666666</v>
      </c>
    </row>
    <row r="560" spans="1:19">
      <c r="A560" s="14" t="s">
        <v>2121</v>
      </c>
      <c r="B560" s="11" t="s">
        <v>572</v>
      </c>
      <c r="C560" s="11" t="s">
        <v>276</v>
      </c>
      <c r="D560" s="11" t="s">
        <v>25</v>
      </c>
      <c r="E560" s="11" t="s">
        <v>25</v>
      </c>
      <c r="F560">
        <v>1.17E-2</v>
      </c>
      <c r="G560">
        <v>5.33</v>
      </c>
      <c r="H560" s="12">
        <v>494.30399999999997</v>
      </c>
      <c r="I560" s="11" t="s">
        <v>228</v>
      </c>
      <c r="J560" s="11" t="s">
        <v>25</v>
      </c>
      <c r="K560" s="11" t="s">
        <v>25</v>
      </c>
      <c r="L560" s="12">
        <v>-0.97</v>
      </c>
      <c r="M560" s="11" t="s">
        <v>23</v>
      </c>
      <c r="N560" s="11" t="s">
        <v>230</v>
      </c>
      <c r="O560" s="11" t="s">
        <v>25</v>
      </c>
      <c r="P560" s="11" t="s">
        <v>25</v>
      </c>
      <c r="Q560" s="37">
        <v>2.5619999999999998</v>
      </c>
      <c r="R560" s="11" t="s">
        <v>231</v>
      </c>
      <c r="S560" s="13">
        <f t="shared" si="8"/>
        <v>-0.97</v>
      </c>
    </row>
    <row r="561" spans="1:19">
      <c r="A561" s="14" t="s">
        <v>2121</v>
      </c>
      <c r="B561" s="11" t="s">
        <v>573</v>
      </c>
      <c r="C561" s="11" t="s">
        <v>276</v>
      </c>
      <c r="D561" s="11" t="s">
        <v>25</v>
      </c>
      <c r="E561" s="11" t="s">
        <v>25</v>
      </c>
      <c r="F561">
        <v>1.17E-2</v>
      </c>
      <c r="G561">
        <v>5.33</v>
      </c>
      <c r="H561" s="12">
        <v>494.30399999999997</v>
      </c>
      <c r="I561" s="11" t="s">
        <v>228</v>
      </c>
      <c r="J561" s="11" t="s">
        <v>25</v>
      </c>
      <c r="K561" s="11" t="s">
        <v>25</v>
      </c>
      <c r="L561" s="12">
        <v>-1.0049999999999999</v>
      </c>
      <c r="M561" s="11" t="s">
        <v>23</v>
      </c>
      <c r="N561" s="11" t="s">
        <v>230</v>
      </c>
      <c r="O561" s="11" t="s">
        <v>25</v>
      </c>
      <c r="P561" s="11" t="s">
        <v>25</v>
      </c>
      <c r="Q561" s="37">
        <v>2.78</v>
      </c>
      <c r="R561" s="11" t="s">
        <v>231</v>
      </c>
      <c r="S561" s="13">
        <f t="shared" si="8"/>
        <v>-1.0049999999999999</v>
      </c>
    </row>
    <row r="562" spans="1:19">
      <c r="A562" s="14" t="s">
        <v>2121</v>
      </c>
      <c r="B562" s="11" t="s">
        <v>574</v>
      </c>
      <c r="C562" s="11" t="s">
        <v>276</v>
      </c>
      <c r="D562" s="11" t="s">
        <v>25</v>
      </c>
      <c r="E562" s="11" t="s">
        <v>25</v>
      </c>
      <c r="F562">
        <v>1.17E-2</v>
      </c>
      <c r="G562">
        <v>5.33</v>
      </c>
      <c r="H562" s="12">
        <v>494.30399999999997</v>
      </c>
      <c r="I562" s="11" t="s">
        <v>228</v>
      </c>
      <c r="J562" s="11" t="s">
        <v>25</v>
      </c>
      <c r="K562" s="11" t="s">
        <v>25</v>
      </c>
      <c r="L562" s="12">
        <v>-1.29</v>
      </c>
      <c r="M562" s="11" t="s">
        <v>23</v>
      </c>
      <c r="N562" s="11" t="s">
        <v>230</v>
      </c>
      <c r="O562" s="11" t="s">
        <v>25</v>
      </c>
      <c r="P562" s="11" t="s">
        <v>25</v>
      </c>
      <c r="Q562" s="37">
        <v>3.94</v>
      </c>
      <c r="R562" s="11" t="s">
        <v>231</v>
      </c>
      <c r="S562" s="13">
        <f t="shared" si="8"/>
        <v>-1.29</v>
      </c>
    </row>
    <row r="563" spans="1:19">
      <c r="A563" s="14" t="s">
        <v>2121</v>
      </c>
      <c r="B563" s="11" t="s">
        <v>575</v>
      </c>
      <c r="C563" s="11" t="s">
        <v>276</v>
      </c>
      <c r="D563" s="11" t="s">
        <v>25</v>
      </c>
      <c r="E563" s="11" t="s">
        <v>25</v>
      </c>
      <c r="F563">
        <v>1.17E-2</v>
      </c>
      <c r="G563">
        <v>5.33</v>
      </c>
      <c r="H563" s="12">
        <v>538.8703999999999</v>
      </c>
      <c r="I563" s="11" t="s">
        <v>228</v>
      </c>
      <c r="J563" s="11" t="s">
        <v>25</v>
      </c>
      <c r="K563" s="11" t="s">
        <v>25</v>
      </c>
      <c r="L563" s="12">
        <v>-0.64</v>
      </c>
      <c r="M563" s="11" t="s">
        <v>23</v>
      </c>
      <c r="N563" s="11" t="s">
        <v>230</v>
      </c>
      <c r="O563" s="11" t="s">
        <v>25</v>
      </c>
      <c r="P563" s="11" t="s">
        <v>25</v>
      </c>
      <c r="Q563" s="37">
        <v>1.51</v>
      </c>
      <c r="R563" s="11" t="s">
        <v>231</v>
      </c>
      <c r="S563" s="13">
        <f t="shared" si="8"/>
        <v>-0.64</v>
      </c>
    </row>
    <row r="564" spans="1:19">
      <c r="A564" s="14" t="s">
        <v>2121</v>
      </c>
      <c r="B564" s="11" t="s">
        <v>576</v>
      </c>
      <c r="C564" s="11" t="s">
        <v>276</v>
      </c>
      <c r="D564" s="11" t="s">
        <v>25</v>
      </c>
      <c r="E564" s="11" t="s">
        <v>25</v>
      </c>
      <c r="F564">
        <v>1.17E-2</v>
      </c>
      <c r="G564">
        <v>5.33</v>
      </c>
      <c r="H564" s="12">
        <v>538.8703999999999</v>
      </c>
      <c r="I564" s="11" t="s">
        <v>228</v>
      </c>
      <c r="J564" s="11" t="s">
        <v>25</v>
      </c>
      <c r="K564" s="11" t="s">
        <v>25</v>
      </c>
      <c r="L564" s="12">
        <v>-0.52</v>
      </c>
      <c r="M564" s="11" t="s">
        <v>23</v>
      </c>
      <c r="N564" s="11" t="s">
        <v>230</v>
      </c>
      <c r="O564" s="11" t="s">
        <v>25</v>
      </c>
      <c r="P564" s="11" t="s">
        <v>25</v>
      </c>
      <c r="Q564" s="37">
        <v>0.68200000000000005</v>
      </c>
      <c r="R564" s="11" t="s">
        <v>231</v>
      </c>
      <c r="S564" s="13">
        <f t="shared" si="8"/>
        <v>-0.52</v>
      </c>
    </row>
    <row r="565" spans="1:19">
      <c r="A565" s="14" t="s">
        <v>2121</v>
      </c>
      <c r="B565" s="11" t="s">
        <v>577</v>
      </c>
      <c r="C565" s="11" t="s">
        <v>276</v>
      </c>
      <c r="D565" s="11" t="s">
        <v>25</v>
      </c>
      <c r="E565" s="11" t="s">
        <v>25</v>
      </c>
      <c r="F565">
        <v>1.17E-2</v>
      </c>
      <c r="G565">
        <v>5.33</v>
      </c>
      <c r="H565" s="12">
        <v>538.8703999999999</v>
      </c>
      <c r="I565" s="11" t="s">
        <v>228</v>
      </c>
      <c r="J565" s="11" t="s">
        <v>25</v>
      </c>
      <c r="K565" s="11" t="s">
        <v>25</v>
      </c>
      <c r="L565" s="12">
        <v>-0.48</v>
      </c>
      <c r="M565" s="11" t="s">
        <v>23</v>
      </c>
      <c r="N565" s="11" t="s">
        <v>230</v>
      </c>
      <c r="O565" s="11" t="s">
        <v>25</v>
      </c>
      <c r="P565" s="11" t="s">
        <v>25</v>
      </c>
      <c r="Q565" s="37">
        <v>0.57599999999999996</v>
      </c>
      <c r="R565" s="11" t="s">
        <v>231</v>
      </c>
      <c r="S565" s="13">
        <f t="shared" si="8"/>
        <v>-0.48</v>
      </c>
    </row>
    <row r="566" spans="1:19">
      <c r="A566" s="14" t="s">
        <v>2121</v>
      </c>
      <c r="B566" s="11" t="s">
        <v>578</v>
      </c>
      <c r="C566" s="11" t="s">
        <v>276</v>
      </c>
      <c r="D566" s="11" t="s">
        <v>25</v>
      </c>
      <c r="E566" s="11" t="s">
        <v>25</v>
      </c>
      <c r="F566">
        <v>1.17E-2</v>
      </c>
      <c r="G566">
        <v>5.33</v>
      </c>
      <c r="H566" s="12">
        <v>542.10799999999995</v>
      </c>
      <c r="I566" s="11" t="s">
        <v>228</v>
      </c>
      <c r="J566" s="11" t="s">
        <v>25</v>
      </c>
      <c r="K566" s="11" t="s">
        <v>25</v>
      </c>
      <c r="L566" s="12">
        <v>-0.63</v>
      </c>
      <c r="M566" s="11" t="s">
        <v>23</v>
      </c>
      <c r="N566" s="11" t="s">
        <v>230</v>
      </c>
      <c r="O566" s="11" t="s">
        <v>25</v>
      </c>
      <c r="P566" s="11" t="s">
        <v>25</v>
      </c>
      <c r="Q566" s="37">
        <v>0.67400000000000004</v>
      </c>
      <c r="R566" s="11" t="s">
        <v>231</v>
      </c>
      <c r="S566" s="13">
        <f t="shared" si="8"/>
        <v>-0.63</v>
      </c>
    </row>
    <row r="567" spans="1:19">
      <c r="A567" s="14" t="s">
        <v>2121</v>
      </c>
      <c r="B567" s="11" t="s">
        <v>579</v>
      </c>
      <c r="C567" s="11" t="s">
        <v>276</v>
      </c>
      <c r="D567" s="11" t="s">
        <v>25</v>
      </c>
      <c r="E567" s="11" t="s">
        <v>25</v>
      </c>
      <c r="F567">
        <v>1.17E-2</v>
      </c>
      <c r="G567">
        <v>5.33</v>
      </c>
      <c r="H567" s="12">
        <v>542.10799999999995</v>
      </c>
      <c r="I567" s="11" t="s">
        <v>228</v>
      </c>
      <c r="J567" s="11" t="s">
        <v>25</v>
      </c>
      <c r="K567" s="11" t="s">
        <v>25</v>
      </c>
      <c r="L567" s="12">
        <v>-0.42</v>
      </c>
      <c r="M567" s="11" t="s">
        <v>23</v>
      </c>
      <c r="N567" s="11" t="s">
        <v>230</v>
      </c>
      <c r="O567" s="11" t="s">
        <v>25</v>
      </c>
      <c r="P567" s="11" t="s">
        <v>25</v>
      </c>
      <c r="Q567" s="37">
        <v>0.47099999999999997</v>
      </c>
      <c r="R567" s="11" t="s">
        <v>231</v>
      </c>
      <c r="S567" s="13">
        <f t="shared" si="8"/>
        <v>-0.42</v>
      </c>
    </row>
    <row r="568" spans="1:19">
      <c r="A568" s="14" t="s">
        <v>2121</v>
      </c>
      <c r="B568" s="11" t="s">
        <v>580</v>
      </c>
      <c r="C568" s="11" t="s">
        <v>276</v>
      </c>
      <c r="D568" s="11" t="s">
        <v>25</v>
      </c>
      <c r="E568" s="11" t="s">
        <v>25</v>
      </c>
      <c r="F568">
        <v>1.17E-2</v>
      </c>
      <c r="G568">
        <v>5.33</v>
      </c>
      <c r="H568" s="12">
        <v>542.10799999999995</v>
      </c>
      <c r="I568" s="11" t="s">
        <v>228</v>
      </c>
      <c r="J568" s="11" t="s">
        <v>25</v>
      </c>
      <c r="K568" s="11" t="s">
        <v>25</v>
      </c>
      <c r="L568" s="12">
        <v>-0.53</v>
      </c>
      <c r="M568" s="11" t="s">
        <v>23</v>
      </c>
      <c r="N568" s="11" t="s">
        <v>230</v>
      </c>
      <c r="O568" s="11" t="s">
        <v>25</v>
      </c>
      <c r="P568" s="11" t="s">
        <v>25</v>
      </c>
      <c r="Q568" s="37">
        <v>0.47</v>
      </c>
      <c r="R568" s="11" t="s">
        <v>231</v>
      </c>
      <c r="S568" s="13">
        <f t="shared" si="8"/>
        <v>-0.53</v>
      </c>
    </row>
    <row r="569" spans="1:19">
      <c r="A569" s="14" t="s">
        <v>2121</v>
      </c>
      <c r="B569" s="11" t="s">
        <v>581</v>
      </c>
      <c r="C569" s="11" t="s">
        <v>276</v>
      </c>
      <c r="D569" s="11" t="s">
        <v>25</v>
      </c>
      <c r="E569" s="11" t="s">
        <v>25</v>
      </c>
      <c r="F569">
        <v>1.17E-2</v>
      </c>
      <c r="G569">
        <v>5.33</v>
      </c>
      <c r="H569" s="12">
        <v>546.22719999999993</v>
      </c>
      <c r="I569" s="11" t="s">
        <v>228</v>
      </c>
      <c r="J569" s="11" t="s">
        <v>25</v>
      </c>
      <c r="K569" s="11" t="s">
        <v>25</v>
      </c>
      <c r="L569" s="12">
        <v>-0.66999999999999993</v>
      </c>
      <c r="M569" s="11" t="s">
        <v>23</v>
      </c>
      <c r="N569" s="11" t="s">
        <v>230</v>
      </c>
      <c r="O569" s="11" t="s">
        <v>25</v>
      </c>
      <c r="P569" s="11" t="s">
        <v>25</v>
      </c>
      <c r="Q569" s="37">
        <v>0.72699999999999998</v>
      </c>
      <c r="R569" s="11" t="s">
        <v>231</v>
      </c>
      <c r="S569" s="13">
        <f t="shared" si="8"/>
        <v>-0.66999999999999993</v>
      </c>
    </row>
    <row r="570" spans="1:19">
      <c r="A570" s="14" t="s">
        <v>2121</v>
      </c>
      <c r="B570" s="11" t="s">
        <v>582</v>
      </c>
      <c r="C570" s="11" t="s">
        <v>276</v>
      </c>
      <c r="D570" s="11" t="s">
        <v>25</v>
      </c>
      <c r="E570" s="11" t="s">
        <v>25</v>
      </c>
      <c r="F570">
        <v>1.17E-2</v>
      </c>
      <c r="G570">
        <v>5.33</v>
      </c>
      <c r="H570" s="12">
        <v>546.22719999999993</v>
      </c>
      <c r="I570" s="11" t="s">
        <v>228</v>
      </c>
      <c r="J570" s="11" t="s">
        <v>25</v>
      </c>
      <c r="K570" s="11" t="s">
        <v>25</v>
      </c>
      <c r="L570" s="12">
        <v>-0.68</v>
      </c>
      <c r="M570" s="11" t="s">
        <v>23</v>
      </c>
      <c r="N570" s="11" t="s">
        <v>230</v>
      </c>
      <c r="O570" s="11" t="s">
        <v>25</v>
      </c>
      <c r="P570" s="11" t="s">
        <v>25</v>
      </c>
      <c r="Q570" s="37">
        <v>0.51200000000000001</v>
      </c>
      <c r="R570" s="11" t="s">
        <v>231</v>
      </c>
      <c r="S570" s="13">
        <f t="shared" si="8"/>
        <v>-0.68</v>
      </c>
    </row>
    <row r="571" spans="1:19">
      <c r="A571" s="14" t="s">
        <v>2121</v>
      </c>
      <c r="B571" s="11" t="s">
        <v>583</v>
      </c>
      <c r="C571" s="11" t="s">
        <v>276</v>
      </c>
      <c r="D571" s="11" t="s">
        <v>25</v>
      </c>
      <c r="E571" s="11" t="s">
        <v>25</v>
      </c>
      <c r="F571">
        <v>1.17E-2</v>
      </c>
      <c r="G571">
        <v>5.33</v>
      </c>
      <c r="H571" s="12">
        <v>546.22719999999993</v>
      </c>
      <c r="I571" s="11" t="s">
        <v>228</v>
      </c>
      <c r="J571" s="11" t="s">
        <v>25</v>
      </c>
      <c r="K571" s="11" t="s">
        <v>25</v>
      </c>
      <c r="L571" s="12">
        <v>-0.81</v>
      </c>
      <c r="M571" s="11" t="s">
        <v>23</v>
      </c>
      <c r="N571" s="11" t="s">
        <v>230</v>
      </c>
      <c r="O571" s="11" t="s">
        <v>25</v>
      </c>
      <c r="P571" s="11" t="s">
        <v>25</v>
      </c>
      <c r="Q571" s="37">
        <v>0.504</v>
      </c>
      <c r="R571" s="11" t="s">
        <v>231</v>
      </c>
      <c r="S571" s="13">
        <f t="shared" si="8"/>
        <v>-0.81</v>
      </c>
    </row>
    <row r="572" spans="1:19">
      <c r="A572" s="14" t="s">
        <v>2121</v>
      </c>
      <c r="B572" s="11" t="s">
        <v>584</v>
      </c>
      <c r="C572" s="11" t="s">
        <v>276</v>
      </c>
      <c r="D572" s="11" t="s">
        <v>25</v>
      </c>
      <c r="E572" s="11" t="s">
        <v>25</v>
      </c>
      <c r="F572">
        <v>1.17E-2</v>
      </c>
      <c r="G572">
        <v>5.33</v>
      </c>
      <c r="H572" s="12">
        <v>563.00800000000004</v>
      </c>
      <c r="I572" s="11" t="s">
        <v>228</v>
      </c>
      <c r="J572" s="11" t="s">
        <v>25</v>
      </c>
      <c r="K572" s="11" t="s">
        <v>25</v>
      </c>
      <c r="L572" s="12">
        <v>-0.97</v>
      </c>
      <c r="M572" s="11" t="s">
        <v>23</v>
      </c>
      <c r="N572" s="11" t="s">
        <v>230</v>
      </c>
      <c r="O572" s="11" t="s">
        <v>25</v>
      </c>
      <c r="P572" s="11" t="s">
        <v>25</v>
      </c>
      <c r="Q572" s="37">
        <v>1.1279999999999999</v>
      </c>
      <c r="R572" s="11" t="s">
        <v>231</v>
      </c>
      <c r="S572" s="13">
        <f t="shared" si="8"/>
        <v>-0.97</v>
      </c>
    </row>
    <row r="573" spans="1:19">
      <c r="A573" s="14" t="s">
        <v>2121</v>
      </c>
      <c r="B573" s="11" t="s">
        <v>585</v>
      </c>
      <c r="C573" s="11" t="s">
        <v>276</v>
      </c>
      <c r="D573" s="11" t="s">
        <v>25</v>
      </c>
      <c r="E573" s="11" t="s">
        <v>25</v>
      </c>
      <c r="F573">
        <v>1.17E-2</v>
      </c>
      <c r="G573">
        <v>5.33</v>
      </c>
      <c r="H573" s="12">
        <v>563.00800000000004</v>
      </c>
      <c r="I573" s="11" t="s">
        <v>228</v>
      </c>
      <c r="J573" s="11" t="s">
        <v>25</v>
      </c>
      <c r="K573" s="11" t="s">
        <v>25</v>
      </c>
      <c r="L573" s="12">
        <v>-0.87</v>
      </c>
      <c r="M573" s="11" t="s">
        <v>23</v>
      </c>
      <c r="N573" s="11" t="s">
        <v>230</v>
      </c>
      <c r="O573" s="11" t="s">
        <v>25</v>
      </c>
      <c r="P573" s="11" t="s">
        <v>25</v>
      </c>
      <c r="Q573" s="37">
        <v>1.0449999999999999</v>
      </c>
      <c r="R573" s="11" t="s">
        <v>231</v>
      </c>
      <c r="S573" s="13">
        <f t="shared" si="8"/>
        <v>-0.87</v>
      </c>
    </row>
    <row r="574" spans="1:19">
      <c r="A574" s="14" t="s">
        <v>2121</v>
      </c>
      <c r="B574" s="11" t="s">
        <v>586</v>
      </c>
      <c r="C574" s="11" t="s">
        <v>276</v>
      </c>
      <c r="D574" s="11" t="s">
        <v>25</v>
      </c>
      <c r="E574" s="11" t="s">
        <v>25</v>
      </c>
      <c r="F574">
        <v>1.17E-2</v>
      </c>
      <c r="G574">
        <v>5.33</v>
      </c>
      <c r="H574" s="12">
        <v>566.96</v>
      </c>
      <c r="I574" s="11" t="s">
        <v>228</v>
      </c>
      <c r="J574" s="11" t="s">
        <v>25</v>
      </c>
      <c r="K574" s="11" t="s">
        <v>25</v>
      </c>
      <c r="L574" s="12">
        <v>-0.95</v>
      </c>
      <c r="M574" s="11" t="s">
        <v>23</v>
      </c>
      <c r="N574" s="11" t="s">
        <v>230</v>
      </c>
      <c r="O574" s="11" t="s">
        <v>25</v>
      </c>
      <c r="P574" s="11" t="s">
        <v>25</v>
      </c>
      <c r="Q574" s="37">
        <v>1.256</v>
      </c>
      <c r="R574" s="11" t="s">
        <v>231</v>
      </c>
      <c r="S574" s="13">
        <f t="shared" si="8"/>
        <v>-0.95</v>
      </c>
    </row>
    <row r="575" spans="1:19">
      <c r="A575" s="14" t="s">
        <v>2121</v>
      </c>
      <c r="B575" s="11" t="s">
        <v>587</v>
      </c>
      <c r="C575" s="11" t="s">
        <v>276</v>
      </c>
      <c r="D575" s="11" t="s">
        <v>25</v>
      </c>
      <c r="E575" s="11" t="s">
        <v>25</v>
      </c>
      <c r="F575">
        <v>1.17E-2</v>
      </c>
      <c r="G575">
        <v>5.33</v>
      </c>
      <c r="H575" s="12">
        <v>566.96</v>
      </c>
      <c r="I575" s="11" t="s">
        <v>228</v>
      </c>
      <c r="J575" s="11" t="s">
        <v>25</v>
      </c>
      <c r="K575" s="11" t="s">
        <v>25</v>
      </c>
      <c r="L575" s="12">
        <v>-0.89500000000000002</v>
      </c>
      <c r="M575" s="11" t="s">
        <v>23</v>
      </c>
      <c r="N575" s="11" t="s">
        <v>230</v>
      </c>
      <c r="O575" s="11" t="s">
        <v>25</v>
      </c>
      <c r="P575" s="11" t="s">
        <v>25</v>
      </c>
      <c r="Q575" s="37">
        <v>1.107</v>
      </c>
      <c r="R575" s="11" t="s">
        <v>231</v>
      </c>
      <c r="S575" s="13">
        <f t="shared" si="8"/>
        <v>-0.89500000000000002</v>
      </c>
    </row>
    <row r="576" spans="1:19">
      <c r="A576" s="14" t="s">
        <v>2121</v>
      </c>
      <c r="B576" s="11" t="s">
        <v>588</v>
      </c>
      <c r="C576" s="11" t="s">
        <v>276</v>
      </c>
      <c r="D576" s="11" t="s">
        <v>25</v>
      </c>
      <c r="E576" s="11" t="s">
        <v>25</v>
      </c>
      <c r="F576">
        <v>1.17E-2</v>
      </c>
      <c r="G576">
        <v>5.33</v>
      </c>
      <c r="H576" s="12">
        <v>566.96</v>
      </c>
      <c r="I576" s="11" t="s">
        <v>228</v>
      </c>
      <c r="J576" s="11" t="s">
        <v>25</v>
      </c>
      <c r="K576" s="11" t="s">
        <v>25</v>
      </c>
      <c r="L576" s="12">
        <v>-0.96</v>
      </c>
      <c r="M576" s="11" t="s">
        <v>23</v>
      </c>
      <c r="N576" s="11" t="s">
        <v>230</v>
      </c>
      <c r="O576" s="11" t="s">
        <v>25</v>
      </c>
      <c r="P576" s="11" t="s">
        <v>25</v>
      </c>
      <c r="Q576" s="37">
        <v>1.0149999999999999</v>
      </c>
      <c r="R576" s="11" t="s">
        <v>231</v>
      </c>
      <c r="S576" s="13">
        <f t="shared" si="8"/>
        <v>-0.96</v>
      </c>
    </row>
    <row r="577" spans="1:19">
      <c r="A577" s="14" t="s">
        <v>2121</v>
      </c>
      <c r="B577" s="11" t="s">
        <v>589</v>
      </c>
      <c r="C577" s="11" t="s">
        <v>276</v>
      </c>
      <c r="D577" s="11" t="s">
        <v>25</v>
      </c>
      <c r="E577" s="11" t="s">
        <v>25</v>
      </c>
      <c r="F577">
        <v>1.17E-2</v>
      </c>
      <c r="G577">
        <v>5.33</v>
      </c>
      <c r="H577" s="12">
        <v>569.08799999999997</v>
      </c>
      <c r="I577" s="11" t="s">
        <v>228</v>
      </c>
      <c r="J577" s="11" t="s">
        <v>25</v>
      </c>
      <c r="K577" s="11" t="s">
        <v>25</v>
      </c>
      <c r="L577" s="12">
        <v>-0.96</v>
      </c>
      <c r="M577" s="11" t="s">
        <v>23</v>
      </c>
      <c r="N577" s="11" t="s">
        <v>230</v>
      </c>
      <c r="O577" s="11" t="s">
        <v>25</v>
      </c>
      <c r="P577" s="11" t="s">
        <v>25</v>
      </c>
      <c r="Q577" s="37">
        <v>1.38</v>
      </c>
      <c r="R577" s="11" t="s">
        <v>231</v>
      </c>
      <c r="S577" s="13">
        <f t="shared" si="8"/>
        <v>-0.96</v>
      </c>
    </row>
    <row r="578" spans="1:19">
      <c r="A578" s="14" t="s">
        <v>2121</v>
      </c>
      <c r="B578" s="11" t="s">
        <v>590</v>
      </c>
      <c r="C578" s="11" t="s">
        <v>276</v>
      </c>
      <c r="D578" s="11" t="s">
        <v>25</v>
      </c>
      <c r="E578" s="11" t="s">
        <v>25</v>
      </c>
      <c r="F578">
        <v>1.17E-2</v>
      </c>
      <c r="G578">
        <v>5.33</v>
      </c>
      <c r="H578" s="12">
        <v>569.08799999999997</v>
      </c>
      <c r="I578" s="11" t="s">
        <v>228</v>
      </c>
      <c r="J578" s="11" t="s">
        <v>25</v>
      </c>
      <c r="K578" s="11" t="s">
        <v>25</v>
      </c>
      <c r="L578" s="12">
        <v>-0.92500000000000004</v>
      </c>
      <c r="M578" s="11" t="s">
        <v>23</v>
      </c>
      <c r="N578" s="11" t="s">
        <v>230</v>
      </c>
      <c r="O578" s="11" t="s">
        <v>25</v>
      </c>
      <c r="P578" s="11" t="s">
        <v>25</v>
      </c>
      <c r="Q578" s="37">
        <v>1.0149999999999999</v>
      </c>
      <c r="R578" s="11" t="s">
        <v>231</v>
      </c>
      <c r="S578" s="13">
        <f t="shared" si="8"/>
        <v>-0.92500000000000004</v>
      </c>
    </row>
    <row r="579" spans="1:19">
      <c r="A579" s="14" t="s">
        <v>2121</v>
      </c>
      <c r="B579" s="11" t="s">
        <v>591</v>
      </c>
      <c r="C579" s="11" t="s">
        <v>276</v>
      </c>
      <c r="D579" s="11" t="s">
        <v>25</v>
      </c>
      <c r="E579" s="11" t="s">
        <v>25</v>
      </c>
      <c r="F579">
        <v>1.17E-2</v>
      </c>
      <c r="G579">
        <v>5.33</v>
      </c>
      <c r="H579" s="12">
        <v>569.08799999999997</v>
      </c>
      <c r="I579" s="11" t="s">
        <v>228</v>
      </c>
      <c r="J579" s="11" t="s">
        <v>25</v>
      </c>
      <c r="K579" s="11" t="s">
        <v>25</v>
      </c>
      <c r="L579" s="12">
        <v>-0.88</v>
      </c>
      <c r="M579" s="11" t="s">
        <v>23</v>
      </c>
      <c r="N579" s="11" t="s">
        <v>230</v>
      </c>
      <c r="O579" s="11" t="s">
        <v>25</v>
      </c>
      <c r="P579" s="11" t="s">
        <v>25</v>
      </c>
      <c r="Q579" s="37">
        <v>0.93799999999999994</v>
      </c>
      <c r="R579" s="11" t="s">
        <v>231</v>
      </c>
      <c r="S579" s="13">
        <f t="shared" ref="S579:S642" si="9">IF(NOT(N579="SW"),L579-1.88,L579)</f>
        <v>-0.88</v>
      </c>
    </row>
    <row r="580" spans="1:19">
      <c r="A580" s="14" t="s">
        <v>2121</v>
      </c>
      <c r="B580" s="11" t="s">
        <v>592</v>
      </c>
      <c r="C580" s="11" t="s">
        <v>276</v>
      </c>
      <c r="D580" s="11" t="s">
        <v>25</v>
      </c>
      <c r="E580" s="11" t="s">
        <v>25</v>
      </c>
      <c r="F580">
        <v>1.17E-2</v>
      </c>
      <c r="G580">
        <v>5.33</v>
      </c>
      <c r="H580" s="12">
        <v>573.16160000000002</v>
      </c>
      <c r="I580" s="11" t="s">
        <v>228</v>
      </c>
      <c r="J580" s="11" t="s">
        <v>25</v>
      </c>
      <c r="K580" s="11" t="s">
        <v>25</v>
      </c>
      <c r="L580" s="12">
        <v>-0.89</v>
      </c>
      <c r="M580" s="11" t="s">
        <v>23</v>
      </c>
      <c r="N580" s="11" t="s">
        <v>230</v>
      </c>
      <c r="O580" s="11" t="s">
        <v>25</v>
      </c>
      <c r="P580" s="11" t="s">
        <v>25</v>
      </c>
      <c r="Q580" s="37">
        <v>1.004</v>
      </c>
      <c r="R580" s="11" t="s">
        <v>231</v>
      </c>
      <c r="S580" s="13">
        <f t="shared" si="9"/>
        <v>-0.89</v>
      </c>
    </row>
    <row r="581" spans="1:19">
      <c r="A581" s="14" t="s">
        <v>2121</v>
      </c>
      <c r="B581" s="11" t="s">
        <v>593</v>
      </c>
      <c r="C581" s="11" t="s">
        <v>276</v>
      </c>
      <c r="D581" s="11" t="s">
        <v>25</v>
      </c>
      <c r="E581" s="11" t="s">
        <v>25</v>
      </c>
      <c r="F581">
        <v>1.17E-2</v>
      </c>
      <c r="G581">
        <v>5.33</v>
      </c>
      <c r="H581" s="12">
        <v>573.16160000000002</v>
      </c>
      <c r="I581" s="11" t="s">
        <v>228</v>
      </c>
      <c r="J581" s="11" t="s">
        <v>25</v>
      </c>
      <c r="K581" s="11" t="s">
        <v>25</v>
      </c>
      <c r="L581" s="12">
        <v>-0.91500000000000004</v>
      </c>
      <c r="M581" s="11" t="s">
        <v>23</v>
      </c>
      <c r="N581" s="11" t="s">
        <v>230</v>
      </c>
      <c r="O581" s="11" t="s">
        <v>25</v>
      </c>
      <c r="P581" s="11" t="s">
        <v>25</v>
      </c>
      <c r="Q581" s="37">
        <v>0.78100000000000003</v>
      </c>
      <c r="R581" s="11" t="s">
        <v>231</v>
      </c>
      <c r="S581" s="13">
        <f t="shared" si="9"/>
        <v>-0.91500000000000004</v>
      </c>
    </row>
    <row r="582" spans="1:19">
      <c r="A582" s="14" t="s">
        <v>2121</v>
      </c>
      <c r="B582" s="11" t="s">
        <v>594</v>
      </c>
      <c r="C582" s="11" t="s">
        <v>276</v>
      </c>
      <c r="D582" s="11" t="s">
        <v>25</v>
      </c>
      <c r="E582" s="11" t="s">
        <v>25</v>
      </c>
      <c r="F582">
        <v>1.17E-2</v>
      </c>
      <c r="G582">
        <v>5.33</v>
      </c>
      <c r="H582" s="12">
        <v>573.16160000000002</v>
      </c>
      <c r="I582" s="11" t="s">
        <v>228</v>
      </c>
      <c r="J582" s="11" t="s">
        <v>25</v>
      </c>
      <c r="K582" s="11" t="s">
        <v>25</v>
      </c>
      <c r="L582" s="12">
        <v>-0.99</v>
      </c>
      <c r="M582" s="11" t="s">
        <v>23</v>
      </c>
      <c r="N582" s="11" t="s">
        <v>230</v>
      </c>
      <c r="O582" s="11" t="s">
        <v>25</v>
      </c>
      <c r="P582" s="11" t="s">
        <v>25</v>
      </c>
      <c r="Q582" s="37">
        <v>0.88</v>
      </c>
      <c r="R582" s="11" t="s">
        <v>231</v>
      </c>
      <c r="S582" s="13">
        <f t="shared" si="9"/>
        <v>-0.99</v>
      </c>
    </row>
    <row r="583" spans="1:19">
      <c r="A583" s="14" t="s">
        <v>2121</v>
      </c>
      <c r="B583" s="11" t="s">
        <v>595</v>
      </c>
      <c r="C583" s="11" t="s">
        <v>276</v>
      </c>
      <c r="D583" s="11" t="s">
        <v>25</v>
      </c>
      <c r="E583" s="11" t="s">
        <v>25</v>
      </c>
      <c r="F583">
        <v>1.17E-2</v>
      </c>
      <c r="G583">
        <v>5.33</v>
      </c>
      <c r="H583" s="12">
        <v>585.92960000000005</v>
      </c>
      <c r="I583" s="11" t="s">
        <v>228</v>
      </c>
      <c r="J583" s="11" t="s">
        <v>25</v>
      </c>
      <c r="K583" s="11" t="s">
        <v>25</v>
      </c>
      <c r="L583" s="12">
        <v>-0.95</v>
      </c>
      <c r="M583" s="11" t="s">
        <v>23</v>
      </c>
      <c r="N583" s="11" t="s">
        <v>230</v>
      </c>
      <c r="O583" s="11" t="s">
        <v>25</v>
      </c>
      <c r="P583" s="11" t="s">
        <v>25</v>
      </c>
      <c r="Q583" s="37">
        <v>1.6990000000000001</v>
      </c>
      <c r="R583" s="11" t="s">
        <v>231</v>
      </c>
      <c r="S583" s="13">
        <f t="shared" si="9"/>
        <v>-0.95</v>
      </c>
    </row>
    <row r="584" spans="1:19">
      <c r="A584" s="14" t="s">
        <v>2121</v>
      </c>
      <c r="B584" s="11" t="s">
        <v>596</v>
      </c>
      <c r="C584" s="11" t="s">
        <v>276</v>
      </c>
      <c r="D584" s="11" t="s">
        <v>25</v>
      </c>
      <c r="E584" s="11" t="s">
        <v>25</v>
      </c>
      <c r="F584">
        <v>1.17E-2</v>
      </c>
      <c r="G584">
        <v>5.33</v>
      </c>
      <c r="H584" s="12">
        <v>585.92960000000005</v>
      </c>
      <c r="I584" s="11" t="s">
        <v>228</v>
      </c>
      <c r="J584" s="11" t="s">
        <v>25</v>
      </c>
      <c r="K584" s="11" t="s">
        <v>25</v>
      </c>
      <c r="L584" s="12">
        <v>-0.91</v>
      </c>
      <c r="M584" s="11" t="s">
        <v>23</v>
      </c>
      <c r="N584" s="11" t="s">
        <v>230</v>
      </c>
      <c r="O584" s="11" t="s">
        <v>25</v>
      </c>
      <c r="P584" s="11" t="s">
        <v>25</v>
      </c>
      <c r="Q584" s="37">
        <v>1.64</v>
      </c>
      <c r="R584" s="11" t="s">
        <v>231</v>
      </c>
      <c r="S584" s="13">
        <f t="shared" si="9"/>
        <v>-0.91</v>
      </c>
    </row>
    <row r="585" spans="1:19">
      <c r="A585" s="14" t="s">
        <v>2121</v>
      </c>
      <c r="B585" s="11" t="s">
        <v>597</v>
      </c>
      <c r="C585" s="11" t="s">
        <v>276</v>
      </c>
      <c r="D585" s="11" t="s">
        <v>25</v>
      </c>
      <c r="E585" s="11" t="s">
        <v>25</v>
      </c>
      <c r="F585">
        <v>1.17E-2</v>
      </c>
      <c r="G585">
        <v>5.33</v>
      </c>
      <c r="H585" s="12">
        <v>585.92960000000005</v>
      </c>
      <c r="I585" s="11" t="s">
        <v>228</v>
      </c>
      <c r="J585" s="11" t="s">
        <v>25</v>
      </c>
      <c r="K585" s="11" t="s">
        <v>25</v>
      </c>
      <c r="L585" s="12">
        <v>-1.05</v>
      </c>
      <c r="M585" s="11" t="s">
        <v>23</v>
      </c>
      <c r="N585" s="11" t="s">
        <v>230</v>
      </c>
      <c r="O585" s="11" t="s">
        <v>25</v>
      </c>
      <c r="P585" s="11" t="s">
        <v>25</v>
      </c>
      <c r="Q585" s="37">
        <v>1.7709999999999999</v>
      </c>
      <c r="R585" s="11" t="s">
        <v>231</v>
      </c>
      <c r="S585" s="13">
        <f t="shared" si="9"/>
        <v>-1.05</v>
      </c>
    </row>
    <row r="586" spans="1:19">
      <c r="A586" s="14" t="s">
        <v>2121</v>
      </c>
      <c r="B586" s="11" t="s">
        <v>598</v>
      </c>
      <c r="C586" s="11" t="s">
        <v>276</v>
      </c>
      <c r="D586" s="11" t="s">
        <v>25</v>
      </c>
      <c r="E586" s="11" t="s">
        <v>25</v>
      </c>
      <c r="F586">
        <v>1.17E-2</v>
      </c>
      <c r="G586">
        <v>5.33</v>
      </c>
      <c r="H586" s="12">
        <v>646.95759999999996</v>
      </c>
      <c r="I586" s="11" t="s">
        <v>228</v>
      </c>
      <c r="J586" s="11" t="s">
        <v>25</v>
      </c>
      <c r="K586" s="11" t="s">
        <v>25</v>
      </c>
      <c r="L586" s="12">
        <v>-1.07</v>
      </c>
      <c r="M586" s="11" t="s">
        <v>23</v>
      </c>
      <c r="N586" s="11" t="s">
        <v>230</v>
      </c>
      <c r="O586" s="11" t="s">
        <v>25</v>
      </c>
      <c r="P586" s="11" t="s">
        <v>25</v>
      </c>
      <c r="Q586" s="37">
        <v>4.71</v>
      </c>
      <c r="R586" s="11" t="s">
        <v>231</v>
      </c>
      <c r="S586" s="13">
        <f t="shared" si="9"/>
        <v>-1.07</v>
      </c>
    </row>
    <row r="587" spans="1:19">
      <c r="A587" s="14" t="s">
        <v>2121</v>
      </c>
      <c r="B587" s="11" t="s">
        <v>599</v>
      </c>
      <c r="C587" s="11" t="s">
        <v>276</v>
      </c>
      <c r="D587" s="11" t="s">
        <v>25</v>
      </c>
      <c r="E587" s="11" t="s">
        <v>25</v>
      </c>
      <c r="F587">
        <v>1.17E-2</v>
      </c>
      <c r="G587">
        <v>5.33</v>
      </c>
      <c r="H587" s="12">
        <v>646.95759999999996</v>
      </c>
      <c r="I587" s="11" t="s">
        <v>228</v>
      </c>
      <c r="J587" s="11" t="s">
        <v>25</v>
      </c>
      <c r="K587" s="11" t="s">
        <v>25</v>
      </c>
      <c r="L587" s="12">
        <v>-0.91</v>
      </c>
      <c r="M587" s="11" t="s">
        <v>23</v>
      </c>
      <c r="N587" s="11" t="s">
        <v>230</v>
      </c>
      <c r="O587" s="11" t="s">
        <v>25</v>
      </c>
      <c r="P587" s="11" t="s">
        <v>25</v>
      </c>
      <c r="Q587" s="37">
        <v>3.72</v>
      </c>
      <c r="R587" s="11" t="s">
        <v>231</v>
      </c>
      <c r="S587" s="13">
        <f t="shared" si="9"/>
        <v>-0.91</v>
      </c>
    </row>
    <row r="588" spans="1:19">
      <c r="A588" s="14" t="s">
        <v>2121</v>
      </c>
      <c r="B588" s="11" t="s">
        <v>600</v>
      </c>
      <c r="C588" s="11" t="s">
        <v>276</v>
      </c>
      <c r="D588" s="11" t="s">
        <v>25</v>
      </c>
      <c r="E588" s="11" t="s">
        <v>25</v>
      </c>
      <c r="F588">
        <v>1.17E-2</v>
      </c>
      <c r="G588">
        <v>5.33</v>
      </c>
      <c r="H588" s="12">
        <v>646.95759999999996</v>
      </c>
      <c r="I588" s="11" t="s">
        <v>228</v>
      </c>
      <c r="J588" s="11" t="s">
        <v>25</v>
      </c>
      <c r="K588" s="11" t="s">
        <v>25</v>
      </c>
      <c r="L588" s="12">
        <v>-1.17</v>
      </c>
      <c r="M588" s="11" t="s">
        <v>23</v>
      </c>
      <c r="N588" s="11" t="s">
        <v>230</v>
      </c>
      <c r="O588" s="11" t="s">
        <v>25</v>
      </c>
      <c r="P588" s="11" t="s">
        <v>25</v>
      </c>
      <c r="Q588" s="37">
        <v>6.77</v>
      </c>
      <c r="R588" s="11" t="s">
        <v>231</v>
      </c>
      <c r="S588" s="13">
        <f t="shared" si="9"/>
        <v>-1.17</v>
      </c>
    </row>
    <row r="589" spans="1:19">
      <c r="A589" s="14" t="s">
        <v>2121</v>
      </c>
      <c r="B589" s="11" t="s">
        <v>601</v>
      </c>
      <c r="C589" s="11" t="s">
        <v>276</v>
      </c>
      <c r="D589" s="11" t="s">
        <v>25</v>
      </c>
      <c r="E589" s="11" t="s">
        <v>25</v>
      </c>
      <c r="F589">
        <v>1.17E-2</v>
      </c>
      <c r="G589">
        <v>5.33</v>
      </c>
      <c r="H589" s="12">
        <v>650.87</v>
      </c>
      <c r="I589" s="11" t="s">
        <v>228</v>
      </c>
      <c r="J589" s="11" t="s">
        <v>25</v>
      </c>
      <c r="K589" s="11" t="s">
        <v>25</v>
      </c>
      <c r="L589" s="12">
        <v>-0.88500000000000001</v>
      </c>
      <c r="M589" s="11" t="s">
        <v>23</v>
      </c>
      <c r="N589" s="11" t="s">
        <v>230</v>
      </c>
      <c r="O589" s="11" t="s">
        <v>25</v>
      </c>
      <c r="P589" s="11" t="s">
        <v>25</v>
      </c>
      <c r="Q589" s="37">
        <v>1.22</v>
      </c>
      <c r="R589" s="11" t="s">
        <v>231</v>
      </c>
      <c r="S589" s="13">
        <f t="shared" si="9"/>
        <v>-0.88500000000000001</v>
      </c>
    </row>
    <row r="590" spans="1:19">
      <c r="A590" s="14" t="s">
        <v>2121</v>
      </c>
      <c r="B590" s="11" t="s">
        <v>602</v>
      </c>
      <c r="C590" s="11" t="s">
        <v>276</v>
      </c>
      <c r="D590" s="11" t="s">
        <v>25</v>
      </c>
      <c r="E590" s="11" t="s">
        <v>25</v>
      </c>
      <c r="F590">
        <v>1.17E-2</v>
      </c>
      <c r="G590">
        <v>5.33</v>
      </c>
      <c r="H590" s="12">
        <v>656.97</v>
      </c>
      <c r="I590" s="11" t="s">
        <v>228</v>
      </c>
      <c r="J590" s="11" t="s">
        <v>25</v>
      </c>
      <c r="K590" s="11" t="s">
        <v>25</v>
      </c>
      <c r="L590" s="12">
        <v>-0.93500000000000005</v>
      </c>
      <c r="M590" s="11" t="s">
        <v>23</v>
      </c>
      <c r="N590" s="11" t="s">
        <v>230</v>
      </c>
      <c r="O590" s="11" t="s">
        <v>25</v>
      </c>
      <c r="P590" s="11" t="s">
        <v>25</v>
      </c>
      <c r="Q590" s="37">
        <v>1.71</v>
      </c>
      <c r="R590" s="11" t="s">
        <v>231</v>
      </c>
      <c r="S590" s="13">
        <f t="shared" si="9"/>
        <v>-0.93500000000000005</v>
      </c>
    </row>
    <row r="591" spans="1:19">
      <c r="A591" s="14" t="s">
        <v>2121</v>
      </c>
      <c r="B591" s="11" t="s">
        <v>603</v>
      </c>
      <c r="C591" s="11" t="s">
        <v>276</v>
      </c>
      <c r="D591" s="11" t="s">
        <v>25</v>
      </c>
      <c r="E591" s="11" t="s">
        <v>25</v>
      </c>
      <c r="F591">
        <v>1.17E-2</v>
      </c>
      <c r="G591">
        <v>5.33</v>
      </c>
      <c r="H591" s="12">
        <v>663.68</v>
      </c>
      <c r="I591" s="11" t="s">
        <v>228</v>
      </c>
      <c r="J591" s="11" t="s">
        <v>25</v>
      </c>
      <c r="K591" s="11" t="s">
        <v>25</v>
      </c>
      <c r="L591" s="12">
        <v>-0.96</v>
      </c>
      <c r="M591" s="11" t="s">
        <v>23</v>
      </c>
      <c r="N591" s="11" t="s">
        <v>230</v>
      </c>
      <c r="O591" s="11" t="s">
        <v>25</v>
      </c>
      <c r="P591" s="11" t="s">
        <v>25</v>
      </c>
      <c r="Q591" s="37">
        <v>1.58</v>
      </c>
      <c r="R591" s="11" t="s">
        <v>231</v>
      </c>
      <c r="S591" s="13">
        <f t="shared" si="9"/>
        <v>-0.96</v>
      </c>
    </row>
    <row r="592" spans="1:19">
      <c r="A592" s="14" t="s">
        <v>2121</v>
      </c>
      <c r="B592" s="11" t="s">
        <v>604</v>
      </c>
      <c r="C592" s="11" t="s">
        <v>276</v>
      </c>
      <c r="D592" s="11" t="s">
        <v>25</v>
      </c>
      <c r="E592" s="11" t="s">
        <v>25</v>
      </c>
      <c r="F592">
        <v>1.17E-2</v>
      </c>
      <c r="G592">
        <v>5.33</v>
      </c>
      <c r="H592" s="12">
        <v>668.86500000000001</v>
      </c>
      <c r="I592" s="11" t="s">
        <v>228</v>
      </c>
      <c r="J592" s="11" t="s">
        <v>25</v>
      </c>
      <c r="K592" s="11" t="s">
        <v>25</v>
      </c>
      <c r="L592" s="12">
        <v>-0.95</v>
      </c>
      <c r="M592" s="11" t="s">
        <v>23</v>
      </c>
      <c r="N592" s="11" t="s">
        <v>230</v>
      </c>
      <c r="O592" s="11" t="s">
        <v>25</v>
      </c>
      <c r="P592" s="11" t="s">
        <v>25</v>
      </c>
      <c r="Q592" s="37">
        <v>1.57</v>
      </c>
      <c r="R592" s="11" t="s">
        <v>231</v>
      </c>
      <c r="S592" s="13">
        <f t="shared" si="9"/>
        <v>-0.95</v>
      </c>
    </row>
    <row r="593" spans="1:19">
      <c r="A593" s="14" t="s">
        <v>2121</v>
      </c>
      <c r="B593" s="11" t="s">
        <v>605</v>
      </c>
      <c r="C593" s="11" t="s">
        <v>276</v>
      </c>
      <c r="D593" s="11" t="s">
        <v>25</v>
      </c>
      <c r="E593" s="11" t="s">
        <v>25</v>
      </c>
      <c r="F593">
        <v>1.17E-2</v>
      </c>
      <c r="G593">
        <v>5.33</v>
      </c>
      <c r="H593" s="12">
        <v>676.79499999999996</v>
      </c>
      <c r="I593" s="11" t="s">
        <v>228</v>
      </c>
      <c r="J593" s="11" t="s">
        <v>25</v>
      </c>
      <c r="K593" s="11" t="s">
        <v>25</v>
      </c>
      <c r="L593" s="12">
        <v>-1.04</v>
      </c>
      <c r="M593" s="11" t="s">
        <v>23</v>
      </c>
      <c r="N593" s="11" t="s">
        <v>230</v>
      </c>
      <c r="O593" s="11" t="s">
        <v>25</v>
      </c>
      <c r="P593" s="11" t="s">
        <v>25</v>
      </c>
      <c r="Q593" s="37">
        <v>1.1200000000000001</v>
      </c>
      <c r="R593" s="11" t="s">
        <v>231</v>
      </c>
      <c r="S593" s="13">
        <f t="shared" si="9"/>
        <v>-1.04</v>
      </c>
    </row>
    <row r="594" spans="1:19">
      <c r="A594" s="14" t="s">
        <v>2121</v>
      </c>
      <c r="B594" s="11" t="s">
        <v>606</v>
      </c>
      <c r="C594" s="11" t="s">
        <v>607</v>
      </c>
      <c r="D594" s="11" t="s">
        <v>25</v>
      </c>
      <c r="E594" s="11" t="s">
        <v>25</v>
      </c>
      <c r="F594" t="s">
        <v>25</v>
      </c>
      <c r="G594" t="s">
        <v>25</v>
      </c>
      <c r="H594" s="12" t="s">
        <v>25</v>
      </c>
      <c r="I594" s="11" t="s">
        <v>608</v>
      </c>
      <c r="J594" s="11" t="s">
        <v>25</v>
      </c>
      <c r="K594" s="11" t="s">
        <v>25</v>
      </c>
      <c r="L594" s="12">
        <v>-1.49</v>
      </c>
      <c r="M594" s="11" t="s">
        <v>23</v>
      </c>
      <c r="N594" s="11" t="s">
        <v>230</v>
      </c>
      <c r="O594" s="11" t="s">
        <v>25</v>
      </c>
      <c r="P594" s="11" t="s">
        <v>25</v>
      </c>
      <c r="Q594" s="37">
        <v>10.098140699984393</v>
      </c>
      <c r="R594" s="11" t="s">
        <v>231</v>
      </c>
      <c r="S594" s="13">
        <f t="shared" si="9"/>
        <v>-1.49</v>
      </c>
    </row>
    <row r="595" spans="1:19">
      <c r="A595" s="14" t="s">
        <v>2121</v>
      </c>
      <c r="B595" s="11" t="s">
        <v>609</v>
      </c>
      <c r="C595" s="11" t="s">
        <v>607</v>
      </c>
      <c r="D595" s="11" t="s">
        <v>25</v>
      </c>
      <c r="E595" s="11" t="s">
        <v>25</v>
      </c>
      <c r="F595" t="s">
        <v>25</v>
      </c>
      <c r="G595" t="s">
        <v>25</v>
      </c>
      <c r="H595" s="12" t="s">
        <v>25</v>
      </c>
      <c r="I595" s="11" t="s">
        <v>608</v>
      </c>
      <c r="J595" s="11" t="s">
        <v>25</v>
      </c>
      <c r="K595" s="11" t="s">
        <v>25</v>
      </c>
      <c r="L595" s="12">
        <v>-1.35</v>
      </c>
      <c r="M595" s="11" t="s">
        <v>23</v>
      </c>
      <c r="N595" s="11" t="s">
        <v>230</v>
      </c>
      <c r="O595" s="11" t="s">
        <v>25</v>
      </c>
      <c r="P595" s="11" t="s">
        <v>25</v>
      </c>
      <c r="Q595" s="37">
        <v>10.716873003182689</v>
      </c>
      <c r="R595" s="11" t="s">
        <v>231</v>
      </c>
      <c r="S595" s="13">
        <f t="shared" si="9"/>
        <v>-1.35</v>
      </c>
    </row>
    <row r="596" spans="1:19">
      <c r="A596" s="14" t="s">
        <v>2121</v>
      </c>
      <c r="B596" s="11" t="s">
        <v>610</v>
      </c>
      <c r="C596" s="11" t="s">
        <v>607</v>
      </c>
      <c r="D596" s="11" t="s">
        <v>25</v>
      </c>
      <c r="E596" s="11" t="s">
        <v>25</v>
      </c>
      <c r="F596" t="s">
        <v>25</v>
      </c>
      <c r="G596" t="s">
        <v>25</v>
      </c>
      <c r="H596" s="12" t="s">
        <v>25</v>
      </c>
      <c r="I596" s="11" t="s">
        <v>608</v>
      </c>
      <c r="J596" s="11" t="s">
        <v>25</v>
      </c>
      <c r="K596" s="11" t="s">
        <v>25</v>
      </c>
      <c r="L596" s="12">
        <v>-1.4</v>
      </c>
      <c r="M596" s="11" t="s">
        <v>23</v>
      </c>
      <c r="N596" s="11" t="s">
        <v>230</v>
      </c>
      <c r="O596" s="11" t="s">
        <v>25</v>
      </c>
      <c r="P596" s="11" t="s">
        <v>25</v>
      </c>
      <c r="Q596" s="37">
        <v>10.468205059015034</v>
      </c>
      <c r="R596" s="11" t="s">
        <v>231</v>
      </c>
      <c r="S596" s="13">
        <f t="shared" si="9"/>
        <v>-1.4</v>
      </c>
    </row>
    <row r="597" spans="1:19">
      <c r="A597" s="14" t="s">
        <v>2121</v>
      </c>
      <c r="B597" s="11" t="s">
        <v>611</v>
      </c>
      <c r="C597" s="11" t="s">
        <v>607</v>
      </c>
      <c r="D597" s="11" t="s">
        <v>25</v>
      </c>
      <c r="E597" s="11" t="s">
        <v>25</v>
      </c>
      <c r="F597" t="s">
        <v>25</v>
      </c>
      <c r="G597" t="s">
        <v>25</v>
      </c>
      <c r="H597" s="12" t="s">
        <v>25</v>
      </c>
      <c r="I597" s="11" t="s">
        <v>608</v>
      </c>
      <c r="J597" s="11" t="s">
        <v>25</v>
      </c>
      <c r="K597" s="11" t="s">
        <v>25</v>
      </c>
      <c r="L597" s="12">
        <v>-1.41</v>
      </c>
      <c r="M597" s="11" t="s">
        <v>23</v>
      </c>
      <c r="N597" s="11" t="s">
        <v>230</v>
      </c>
      <c r="O597" s="11" t="s">
        <v>25</v>
      </c>
      <c r="P597" s="11" t="s">
        <v>25</v>
      </c>
      <c r="Q597" s="37">
        <v>10.189245468793475</v>
      </c>
      <c r="R597" s="11" t="s">
        <v>231</v>
      </c>
      <c r="S597" s="13">
        <f t="shared" si="9"/>
        <v>-1.41</v>
      </c>
    </row>
    <row r="598" spans="1:19">
      <c r="A598" s="14" t="s">
        <v>2121</v>
      </c>
      <c r="B598" s="11" t="s">
        <v>612</v>
      </c>
      <c r="C598" s="11" t="s">
        <v>607</v>
      </c>
      <c r="D598" s="11" t="s">
        <v>25</v>
      </c>
      <c r="E598" s="11" t="s">
        <v>25</v>
      </c>
      <c r="F598" t="s">
        <v>25</v>
      </c>
      <c r="G598" t="s">
        <v>25</v>
      </c>
      <c r="H598" s="12" t="s">
        <v>25</v>
      </c>
      <c r="I598" s="11" t="s">
        <v>608</v>
      </c>
      <c r="J598" s="11" t="s">
        <v>25</v>
      </c>
      <c r="K598" s="11" t="s">
        <v>25</v>
      </c>
      <c r="L598" s="12">
        <v>-1.47</v>
      </c>
      <c r="M598" s="11" t="s">
        <v>23</v>
      </c>
      <c r="N598" s="11" t="s">
        <v>230</v>
      </c>
      <c r="O598" s="11" t="s">
        <v>25</v>
      </c>
      <c r="P598" s="11" t="s">
        <v>25</v>
      </c>
      <c r="Q598" s="37">
        <v>9.9512958430638143</v>
      </c>
      <c r="R598" s="11" t="s">
        <v>231</v>
      </c>
      <c r="S598" s="13">
        <f t="shared" si="9"/>
        <v>-1.47</v>
      </c>
    </row>
    <row r="599" spans="1:19">
      <c r="A599" s="14" t="s">
        <v>2121</v>
      </c>
      <c r="B599" s="11" t="s">
        <v>613</v>
      </c>
      <c r="C599" s="11" t="s">
        <v>607</v>
      </c>
      <c r="D599" s="11" t="s">
        <v>25</v>
      </c>
      <c r="E599" s="11" t="s">
        <v>25</v>
      </c>
      <c r="F599" t="s">
        <v>25</v>
      </c>
      <c r="G599" t="s">
        <v>25</v>
      </c>
      <c r="H599" s="12" t="s">
        <v>25</v>
      </c>
      <c r="I599" s="11" t="s">
        <v>608</v>
      </c>
      <c r="J599" s="11" t="s">
        <v>25</v>
      </c>
      <c r="K599" s="11" t="s">
        <v>25</v>
      </c>
      <c r="L599" s="12">
        <v>-1.44</v>
      </c>
      <c r="M599" s="11" t="s">
        <v>23</v>
      </c>
      <c r="N599" s="11" t="s">
        <v>230</v>
      </c>
      <c r="O599" s="11" t="s">
        <v>25</v>
      </c>
      <c r="P599" s="11" t="s">
        <v>25</v>
      </c>
      <c r="Q599" s="37">
        <v>8.9762910088035888</v>
      </c>
      <c r="R599" s="11" t="s">
        <v>231</v>
      </c>
      <c r="S599" s="13">
        <f t="shared" si="9"/>
        <v>-1.44</v>
      </c>
    </row>
    <row r="600" spans="1:19">
      <c r="A600" s="14" t="s">
        <v>2121</v>
      </c>
      <c r="B600" s="11" t="s">
        <v>614</v>
      </c>
      <c r="C600" s="11" t="s">
        <v>615</v>
      </c>
      <c r="D600" s="11" t="s">
        <v>25</v>
      </c>
      <c r="E600" s="11" t="s">
        <v>25</v>
      </c>
      <c r="F600" t="s">
        <v>25</v>
      </c>
      <c r="G600" t="s">
        <v>25</v>
      </c>
      <c r="H600" s="12" t="s">
        <v>25</v>
      </c>
      <c r="I600" s="11" t="s">
        <v>228</v>
      </c>
      <c r="J600" s="11" t="s">
        <v>25</v>
      </c>
      <c r="K600" s="11" t="s">
        <v>25</v>
      </c>
      <c r="L600" s="12">
        <v>-1.34</v>
      </c>
      <c r="M600" s="11" t="s">
        <v>23</v>
      </c>
      <c r="N600" s="11" t="s">
        <v>230</v>
      </c>
      <c r="O600" s="11" t="s">
        <v>25</v>
      </c>
      <c r="P600" s="11" t="s">
        <v>25</v>
      </c>
      <c r="Q600" s="37">
        <v>8.0761569091287644</v>
      </c>
      <c r="R600" s="11" t="s">
        <v>231</v>
      </c>
      <c r="S600" s="13">
        <f t="shared" si="9"/>
        <v>-1.34</v>
      </c>
    </row>
    <row r="601" spans="1:19">
      <c r="A601" s="14" t="s">
        <v>2121</v>
      </c>
      <c r="B601" s="11" t="s">
        <v>616</v>
      </c>
      <c r="C601" s="11" t="s">
        <v>615</v>
      </c>
      <c r="D601" s="11" t="s">
        <v>25</v>
      </c>
      <c r="E601" s="11" t="s">
        <v>25</v>
      </c>
      <c r="F601" t="s">
        <v>25</v>
      </c>
      <c r="G601" t="s">
        <v>25</v>
      </c>
      <c r="H601" s="12" t="s">
        <v>25</v>
      </c>
      <c r="I601" s="11" t="s">
        <v>228</v>
      </c>
      <c r="J601" s="11" t="s">
        <v>25</v>
      </c>
      <c r="K601" s="11" t="s">
        <v>25</v>
      </c>
      <c r="L601" s="12">
        <v>-1.26</v>
      </c>
      <c r="M601" s="11" t="s">
        <v>23</v>
      </c>
      <c r="N601" s="11" t="s">
        <v>230</v>
      </c>
      <c r="O601" s="11" t="s">
        <v>25</v>
      </c>
      <c r="P601" s="11" t="s">
        <v>25</v>
      </c>
      <c r="Q601" s="37">
        <v>8.1521385324685696</v>
      </c>
      <c r="R601" s="11" t="s">
        <v>231</v>
      </c>
      <c r="S601" s="13">
        <f t="shared" si="9"/>
        <v>-1.26</v>
      </c>
    </row>
    <row r="602" spans="1:19">
      <c r="A602" s="14" t="s">
        <v>2121</v>
      </c>
      <c r="B602" s="11" t="s">
        <v>617</v>
      </c>
      <c r="C602" s="11" t="s">
        <v>615</v>
      </c>
      <c r="D602" s="11" t="s">
        <v>25</v>
      </c>
      <c r="E602" s="11" t="s">
        <v>25</v>
      </c>
      <c r="F602" t="s">
        <v>25</v>
      </c>
      <c r="G602" t="s">
        <v>25</v>
      </c>
      <c r="H602" s="12" t="s">
        <v>25</v>
      </c>
      <c r="I602" s="11" t="s">
        <v>228</v>
      </c>
      <c r="J602" s="11" t="s">
        <v>25</v>
      </c>
      <c r="K602" s="11" t="s">
        <v>25</v>
      </c>
      <c r="L602" s="12">
        <v>-1.2</v>
      </c>
      <c r="M602" s="11" t="s">
        <v>23</v>
      </c>
      <c r="N602" s="11" t="s">
        <v>230</v>
      </c>
      <c r="O602" s="11" t="s">
        <v>25</v>
      </c>
      <c r="P602" s="11" t="s">
        <v>25</v>
      </c>
      <c r="Q602" s="37">
        <v>8.891562512958874</v>
      </c>
      <c r="R602" s="11" t="s">
        <v>231</v>
      </c>
      <c r="S602" s="13">
        <f t="shared" si="9"/>
        <v>-1.2</v>
      </c>
    </row>
    <row r="603" spans="1:19">
      <c r="A603" s="14" t="s">
        <v>2121</v>
      </c>
      <c r="B603" s="11" t="s">
        <v>618</v>
      </c>
      <c r="C603" s="11" t="s">
        <v>615</v>
      </c>
      <c r="D603" s="11" t="s">
        <v>25</v>
      </c>
      <c r="E603" s="11" t="s">
        <v>25</v>
      </c>
      <c r="F603" t="s">
        <v>25</v>
      </c>
      <c r="G603" t="s">
        <v>25</v>
      </c>
      <c r="H603" s="12" t="s">
        <v>25</v>
      </c>
      <c r="I603" s="11" t="s">
        <v>228</v>
      </c>
      <c r="J603" s="11" t="s">
        <v>25</v>
      </c>
      <c r="K603" s="11" t="s">
        <v>25</v>
      </c>
      <c r="L603" s="12">
        <v>-1.34</v>
      </c>
      <c r="M603" s="11" t="s">
        <v>23</v>
      </c>
      <c r="N603" s="11" t="s">
        <v>230</v>
      </c>
      <c r="O603" s="11" t="s">
        <v>25</v>
      </c>
      <c r="P603" s="11" t="s">
        <v>25</v>
      </c>
      <c r="Q603" s="37">
        <v>8.9531079010623849</v>
      </c>
      <c r="R603" s="11" t="s">
        <v>231</v>
      </c>
      <c r="S603" s="13">
        <f t="shared" si="9"/>
        <v>-1.34</v>
      </c>
    </row>
    <row r="604" spans="1:19">
      <c r="A604" s="14" t="s">
        <v>2121</v>
      </c>
      <c r="B604" s="11" t="s">
        <v>619</v>
      </c>
      <c r="C604" s="11" t="s">
        <v>615</v>
      </c>
      <c r="D604" s="11" t="s">
        <v>25</v>
      </c>
      <c r="E604" s="11" t="s">
        <v>25</v>
      </c>
      <c r="F604" t="s">
        <v>25</v>
      </c>
      <c r="G604" t="s">
        <v>25</v>
      </c>
      <c r="H604" s="12" t="s">
        <v>25</v>
      </c>
      <c r="I604" s="11" t="s">
        <v>228</v>
      </c>
      <c r="J604" s="11" t="s">
        <v>25</v>
      </c>
      <c r="K604" s="11" t="s">
        <v>25</v>
      </c>
      <c r="L604" s="12">
        <v>-1.29</v>
      </c>
      <c r="M604" s="11" t="s">
        <v>23</v>
      </c>
      <c r="N604" s="11" t="s">
        <v>230</v>
      </c>
      <c r="O604" s="11" t="s">
        <v>25</v>
      </c>
      <c r="P604" s="11" t="s">
        <v>25</v>
      </c>
      <c r="Q604" s="37">
        <v>8.3648299800230674</v>
      </c>
      <c r="R604" s="11" t="s">
        <v>231</v>
      </c>
      <c r="S604" s="13">
        <f t="shared" si="9"/>
        <v>-1.29</v>
      </c>
    </row>
    <row r="605" spans="1:19">
      <c r="A605" s="14" t="s">
        <v>2121</v>
      </c>
      <c r="B605" s="11" t="s">
        <v>620</v>
      </c>
      <c r="C605" s="11" t="s">
        <v>615</v>
      </c>
      <c r="D605" s="11" t="s">
        <v>25</v>
      </c>
      <c r="E605" s="11" t="s">
        <v>25</v>
      </c>
      <c r="F605" t="s">
        <v>25</v>
      </c>
      <c r="G605" t="s">
        <v>25</v>
      </c>
      <c r="H605" s="12" t="s">
        <v>25</v>
      </c>
      <c r="I605" s="11" t="s">
        <v>228</v>
      </c>
      <c r="J605" s="11" t="s">
        <v>25</v>
      </c>
      <c r="K605" s="11" t="s">
        <v>25</v>
      </c>
      <c r="L605" s="12">
        <v>-1.39</v>
      </c>
      <c r="M605" s="11" t="s">
        <v>23</v>
      </c>
      <c r="N605" s="11" t="s">
        <v>230</v>
      </c>
      <c r="O605" s="11" t="s">
        <v>25</v>
      </c>
      <c r="P605" s="11" t="s">
        <v>25</v>
      </c>
      <c r="Q605" s="37">
        <v>8.6596480205094561</v>
      </c>
      <c r="R605" s="11" t="s">
        <v>231</v>
      </c>
      <c r="S605" s="13">
        <f t="shared" si="9"/>
        <v>-1.39</v>
      </c>
    </row>
    <row r="606" spans="1:19">
      <c r="A606" s="14" t="s">
        <v>2121</v>
      </c>
      <c r="B606" s="11" t="s">
        <v>621</v>
      </c>
      <c r="C606" s="11" t="s">
        <v>615</v>
      </c>
      <c r="D606" s="11" t="s">
        <v>25</v>
      </c>
      <c r="E606" s="11" t="s">
        <v>25</v>
      </c>
      <c r="F606" t="s">
        <v>25</v>
      </c>
      <c r="G606" t="s">
        <v>25</v>
      </c>
      <c r="H606" s="12" t="s">
        <v>25</v>
      </c>
      <c r="I606" s="11" t="s">
        <v>228</v>
      </c>
      <c r="J606" s="11" t="s">
        <v>25</v>
      </c>
      <c r="K606" s="11" t="s">
        <v>25</v>
      </c>
      <c r="L606" s="12">
        <v>-1.32</v>
      </c>
      <c r="M606" s="11" t="s">
        <v>23</v>
      </c>
      <c r="N606" s="11" t="s">
        <v>230</v>
      </c>
      <c r="O606" s="11" t="s">
        <v>25</v>
      </c>
      <c r="P606" s="11" t="s">
        <v>25</v>
      </c>
      <c r="Q606" s="37">
        <v>9.3428826920869223</v>
      </c>
      <c r="R606" s="11" t="s">
        <v>231</v>
      </c>
      <c r="S606" s="13">
        <f t="shared" si="9"/>
        <v>-1.32</v>
      </c>
    </row>
    <row r="607" spans="1:19">
      <c r="A607" s="14" t="s">
        <v>2121</v>
      </c>
      <c r="B607" s="11" t="s">
        <v>622</v>
      </c>
      <c r="C607" s="11" t="s">
        <v>615</v>
      </c>
      <c r="D607" s="11" t="s">
        <v>25</v>
      </c>
      <c r="E607" s="11" t="s">
        <v>25</v>
      </c>
      <c r="F607" t="s">
        <v>25</v>
      </c>
      <c r="G607" t="s">
        <v>25</v>
      </c>
      <c r="H607" s="12" t="s">
        <v>25</v>
      </c>
      <c r="I607" s="11" t="s">
        <v>228</v>
      </c>
      <c r="J607" s="11" t="s">
        <v>25</v>
      </c>
      <c r="K607" s="11" t="s">
        <v>25</v>
      </c>
      <c r="L607" s="12">
        <v>-1.34</v>
      </c>
      <c r="M607" s="11" t="s">
        <v>23</v>
      </c>
      <c r="N607" s="11" t="s">
        <v>230</v>
      </c>
      <c r="O607" s="11" t="s">
        <v>25</v>
      </c>
      <c r="P607" s="11" t="s">
        <v>25</v>
      </c>
      <c r="Q607" s="37">
        <v>8.53139541103209</v>
      </c>
      <c r="R607" s="11" t="s">
        <v>231</v>
      </c>
      <c r="S607" s="13">
        <f t="shared" si="9"/>
        <v>-1.34</v>
      </c>
    </row>
    <row r="608" spans="1:19">
      <c r="A608" s="14" t="s">
        <v>2121</v>
      </c>
      <c r="B608" s="11" t="s">
        <v>623</v>
      </c>
      <c r="C608" s="11" t="s">
        <v>615</v>
      </c>
      <c r="D608" s="11" t="s">
        <v>25</v>
      </c>
      <c r="E608" s="11" t="s">
        <v>25</v>
      </c>
      <c r="F608" t="s">
        <v>25</v>
      </c>
      <c r="G608" t="s">
        <v>25</v>
      </c>
      <c r="H608" s="12" t="s">
        <v>25</v>
      </c>
      <c r="I608" s="11" t="s">
        <v>228</v>
      </c>
      <c r="J608" s="11" t="s">
        <v>25</v>
      </c>
      <c r="K608" s="11" t="s">
        <v>25</v>
      </c>
      <c r="L608" s="12">
        <v>-1.25</v>
      </c>
      <c r="M608" s="11" t="s">
        <v>23</v>
      </c>
      <c r="N608" s="11" t="s">
        <v>230</v>
      </c>
      <c r="O608" s="11" t="s">
        <v>25</v>
      </c>
      <c r="P608" s="11" t="s">
        <v>25</v>
      </c>
      <c r="Q608" s="37">
        <v>6.5313468638259859</v>
      </c>
      <c r="R608" s="11" t="s">
        <v>231</v>
      </c>
      <c r="S608" s="13">
        <f t="shared" si="9"/>
        <v>-1.25</v>
      </c>
    </row>
    <row r="609" spans="1:19">
      <c r="A609" s="14" t="s">
        <v>2121</v>
      </c>
      <c r="B609" s="11" t="s">
        <v>624</v>
      </c>
      <c r="C609" s="11" t="s">
        <v>615</v>
      </c>
      <c r="D609" s="11" t="s">
        <v>25</v>
      </c>
      <c r="E609" s="11" t="s">
        <v>25</v>
      </c>
      <c r="F609" t="s">
        <v>25</v>
      </c>
      <c r="G609" t="s">
        <v>25</v>
      </c>
      <c r="H609" s="12" t="s">
        <v>25</v>
      </c>
      <c r="I609" s="11" t="s">
        <v>228</v>
      </c>
      <c r="J609" s="11" t="s">
        <v>25</v>
      </c>
      <c r="K609" s="11" t="s">
        <v>25</v>
      </c>
      <c r="L609" s="12">
        <v>-1.42</v>
      </c>
      <c r="M609" s="11" t="s">
        <v>23</v>
      </c>
      <c r="N609" s="11" t="s">
        <v>230</v>
      </c>
      <c r="O609" s="11" t="s">
        <v>25</v>
      </c>
      <c r="P609" s="11" t="s">
        <v>25</v>
      </c>
      <c r="Q609" s="37">
        <v>9.0963305392519835</v>
      </c>
      <c r="R609" s="11" t="s">
        <v>231</v>
      </c>
      <c r="S609" s="13">
        <f t="shared" si="9"/>
        <v>-1.42</v>
      </c>
    </row>
    <row r="610" spans="1:19">
      <c r="A610" s="14" t="s">
        <v>2121</v>
      </c>
      <c r="B610" s="11" t="s">
        <v>625</v>
      </c>
      <c r="C610" s="11" t="s">
        <v>615</v>
      </c>
      <c r="D610" s="11" t="s">
        <v>25</v>
      </c>
      <c r="E610" s="11" t="s">
        <v>25</v>
      </c>
      <c r="F610" t="s">
        <v>25</v>
      </c>
      <c r="G610" t="s">
        <v>25</v>
      </c>
      <c r="H610" s="12" t="s">
        <v>25</v>
      </c>
      <c r="I610" s="11" t="s">
        <v>228</v>
      </c>
      <c r="J610" s="11" t="s">
        <v>25</v>
      </c>
      <c r="K610" s="11" t="s">
        <v>25</v>
      </c>
      <c r="L610" s="12">
        <v>-1.38</v>
      </c>
      <c r="M610" s="11" t="s">
        <v>23</v>
      </c>
      <c r="N610" s="11" t="s">
        <v>230</v>
      </c>
      <c r="O610" s="11" t="s">
        <v>25</v>
      </c>
      <c r="P610" s="11" t="s">
        <v>25</v>
      </c>
      <c r="Q610" s="37">
        <v>8.9378367091005906</v>
      </c>
      <c r="R610" s="11" t="s">
        <v>231</v>
      </c>
      <c r="S610" s="13">
        <f t="shared" si="9"/>
        <v>-1.38</v>
      </c>
    </row>
    <row r="611" spans="1:19" s="4" customFormat="1">
      <c r="B611" s="5"/>
      <c r="C611" s="5"/>
      <c r="D611" s="5"/>
      <c r="E611" s="33"/>
      <c r="I611" s="5"/>
      <c r="J611" s="5"/>
      <c r="K611" s="5"/>
      <c r="N611" s="5"/>
      <c r="P611" s="5"/>
      <c r="Q611" s="38"/>
      <c r="S611" s="24"/>
    </row>
    <row r="612" spans="1:19">
      <c r="A612" s="10" t="s">
        <v>2122</v>
      </c>
      <c r="B612" s="11" t="s">
        <v>17</v>
      </c>
      <c r="C612" s="11" t="s">
        <v>18</v>
      </c>
      <c r="D612" s="11" t="s">
        <v>626</v>
      </c>
      <c r="E612" s="11" t="s">
        <v>25</v>
      </c>
      <c r="F612">
        <v>251.9</v>
      </c>
      <c r="G612">
        <v>252</v>
      </c>
      <c r="H612" s="12">
        <v>0</v>
      </c>
      <c r="I612" s="11" t="s">
        <v>20</v>
      </c>
      <c r="J612" s="11" t="s">
        <v>25</v>
      </c>
      <c r="K612" s="11" t="s">
        <v>25</v>
      </c>
      <c r="L612" s="12">
        <v>-0.5</v>
      </c>
      <c r="M612" s="11" t="s">
        <v>23</v>
      </c>
      <c r="N612" s="11" t="s">
        <v>230</v>
      </c>
      <c r="O612" s="11" t="s">
        <v>25</v>
      </c>
      <c r="P612" s="11" t="s">
        <v>25</v>
      </c>
      <c r="Q612" s="37">
        <v>1.781E-3</v>
      </c>
      <c r="R612" s="11" t="s">
        <v>29</v>
      </c>
      <c r="S612" s="13">
        <f t="shared" si="9"/>
        <v>-0.5</v>
      </c>
    </row>
    <row r="613" spans="1:19">
      <c r="A613" s="10" t="s">
        <v>2122</v>
      </c>
      <c r="B613" s="11" t="s">
        <v>26</v>
      </c>
      <c r="C613" s="11" t="s">
        <v>18</v>
      </c>
      <c r="D613" s="11" t="s">
        <v>626</v>
      </c>
      <c r="E613" s="11" t="s">
        <v>25</v>
      </c>
      <c r="F613">
        <v>251.9</v>
      </c>
      <c r="G613">
        <v>252</v>
      </c>
      <c r="H613" s="12">
        <v>9</v>
      </c>
      <c r="I613" s="11" t="s">
        <v>20</v>
      </c>
      <c r="J613" s="11" t="s">
        <v>25</v>
      </c>
      <c r="K613" s="11" t="s">
        <v>25</v>
      </c>
      <c r="L613" s="12">
        <v>-0.56000000000000005</v>
      </c>
      <c r="M613" s="11" t="s">
        <v>23</v>
      </c>
      <c r="N613" s="11" t="s">
        <v>230</v>
      </c>
      <c r="O613" s="11" t="s">
        <v>25</v>
      </c>
      <c r="P613" s="11" t="s">
        <v>25</v>
      </c>
      <c r="Q613" s="37">
        <v>1.3450000000000001E-3</v>
      </c>
      <c r="R613" s="11" t="s">
        <v>29</v>
      </c>
      <c r="S613" s="13">
        <f t="shared" si="9"/>
        <v>-0.56000000000000005</v>
      </c>
    </row>
    <row r="614" spans="1:19">
      <c r="A614" s="10" t="s">
        <v>2122</v>
      </c>
      <c r="B614" s="11" t="s">
        <v>30</v>
      </c>
      <c r="C614" s="11" t="s">
        <v>18</v>
      </c>
      <c r="D614" s="11" t="s">
        <v>626</v>
      </c>
      <c r="E614" s="11" t="s">
        <v>25</v>
      </c>
      <c r="F614">
        <v>251.9</v>
      </c>
      <c r="G614">
        <v>252</v>
      </c>
      <c r="H614" s="12">
        <v>17</v>
      </c>
      <c r="I614" s="11" t="s">
        <v>20</v>
      </c>
      <c r="J614" s="11" t="s">
        <v>25</v>
      </c>
      <c r="K614" s="11" t="s">
        <v>25</v>
      </c>
      <c r="L614" s="12">
        <v>-0.39</v>
      </c>
      <c r="M614" s="11" t="s">
        <v>23</v>
      </c>
      <c r="N614" s="11" t="s">
        <v>230</v>
      </c>
      <c r="O614" s="11" t="s">
        <v>25</v>
      </c>
      <c r="P614" s="11" t="s">
        <v>25</v>
      </c>
      <c r="Q614" s="37">
        <v>1.2780000000000001E-3</v>
      </c>
      <c r="R614" s="11" t="s">
        <v>29</v>
      </c>
      <c r="S614" s="13">
        <f t="shared" si="9"/>
        <v>-0.39</v>
      </c>
    </row>
    <row r="615" spans="1:19">
      <c r="A615" s="10" t="s">
        <v>2122</v>
      </c>
      <c r="B615" s="11" t="s">
        <v>31</v>
      </c>
      <c r="C615" s="11" t="s">
        <v>18</v>
      </c>
      <c r="D615" s="11" t="s">
        <v>626</v>
      </c>
      <c r="E615" s="11" t="s">
        <v>25</v>
      </c>
      <c r="F615">
        <v>251.9</v>
      </c>
      <c r="G615">
        <v>252</v>
      </c>
      <c r="H615" s="12">
        <v>26</v>
      </c>
      <c r="I615" s="11" t="s">
        <v>20</v>
      </c>
      <c r="J615" s="11" t="s">
        <v>25</v>
      </c>
      <c r="K615" s="11" t="s">
        <v>25</v>
      </c>
      <c r="L615" s="12">
        <v>-0.26</v>
      </c>
      <c r="M615" s="11" t="s">
        <v>23</v>
      </c>
      <c r="N615" s="11" t="s">
        <v>230</v>
      </c>
      <c r="O615" s="11" t="s">
        <v>25</v>
      </c>
      <c r="P615" s="11" t="s">
        <v>25</v>
      </c>
      <c r="Q615" s="37">
        <v>1.085E-3</v>
      </c>
      <c r="R615" s="11" t="s">
        <v>29</v>
      </c>
      <c r="S615" s="13">
        <f t="shared" si="9"/>
        <v>-0.26</v>
      </c>
    </row>
    <row r="616" spans="1:19">
      <c r="A616" s="10" t="s">
        <v>2122</v>
      </c>
      <c r="B616" s="11" t="s">
        <v>32</v>
      </c>
      <c r="C616" s="11" t="s">
        <v>18</v>
      </c>
      <c r="D616" s="11" t="s">
        <v>626</v>
      </c>
      <c r="E616" s="11" t="s">
        <v>25</v>
      </c>
      <c r="F616">
        <v>251.9</v>
      </c>
      <c r="G616">
        <v>252</v>
      </c>
      <c r="H616" s="12">
        <v>30</v>
      </c>
      <c r="I616" s="11" t="s">
        <v>20</v>
      </c>
      <c r="J616" s="11" t="s">
        <v>25</v>
      </c>
      <c r="K616" s="11" t="s">
        <v>25</v>
      </c>
      <c r="L616" s="12">
        <v>-0.68</v>
      </c>
      <c r="M616" s="11" t="s">
        <v>23</v>
      </c>
      <c r="N616" s="11" t="s">
        <v>230</v>
      </c>
      <c r="O616" s="11" t="s">
        <v>25</v>
      </c>
      <c r="P616" s="11" t="s">
        <v>25</v>
      </c>
      <c r="Q616" s="37">
        <v>1.1559999999999999E-3</v>
      </c>
      <c r="R616" s="11" t="s">
        <v>29</v>
      </c>
      <c r="S616" s="13">
        <f t="shared" si="9"/>
        <v>-0.68</v>
      </c>
    </row>
    <row r="617" spans="1:19">
      <c r="A617" s="10" t="s">
        <v>2122</v>
      </c>
      <c r="B617" s="11" t="s">
        <v>33</v>
      </c>
      <c r="C617" s="11" t="s">
        <v>18</v>
      </c>
      <c r="D617" s="11" t="s">
        <v>626</v>
      </c>
      <c r="E617" s="11" t="s">
        <v>25</v>
      </c>
      <c r="F617">
        <v>251.9</v>
      </c>
      <c r="G617">
        <v>252</v>
      </c>
      <c r="H617" s="12">
        <v>33</v>
      </c>
      <c r="I617" s="11" t="s">
        <v>20</v>
      </c>
      <c r="J617" s="11" t="s">
        <v>25</v>
      </c>
      <c r="K617" s="11" t="s">
        <v>25</v>
      </c>
      <c r="L617" s="12">
        <v>-0.52</v>
      </c>
      <c r="M617" s="11" t="s">
        <v>23</v>
      </c>
      <c r="N617" s="11" t="s">
        <v>230</v>
      </c>
      <c r="O617" s="11" t="s">
        <v>25</v>
      </c>
      <c r="P617" s="11" t="s">
        <v>25</v>
      </c>
      <c r="Q617" s="37">
        <v>1.2620000000000001E-3</v>
      </c>
      <c r="R617" s="11" t="s">
        <v>29</v>
      </c>
      <c r="S617" s="13">
        <f t="shared" si="9"/>
        <v>-0.52</v>
      </c>
    </row>
    <row r="618" spans="1:19">
      <c r="A618" s="10" t="s">
        <v>2122</v>
      </c>
      <c r="B618" s="11" t="s">
        <v>34</v>
      </c>
      <c r="C618" s="11" t="s">
        <v>18</v>
      </c>
      <c r="D618" s="11" t="s">
        <v>626</v>
      </c>
      <c r="E618" s="11" t="s">
        <v>25</v>
      </c>
      <c r="F618">
        <v>251.9</v>
      </c>
      <c r="G618">
        <v>252</v>
      </c>
      <c r="H618" s="12">
        <v>39.700000000000003</v>
      </c>
      <c r="I618" s="11" t="s">
        <v>20</v>
      </c>
      <c r="J618" s="11" t="s">
        <v>25</v>
      </c>
      <c r="K618" s="11" t="s">
        <v>25</v>
      </c>
      <c r="L618" s="12">
        <v>-0.62</v>
      </c>
      <c r="M618" s="11" t="s">
        <v>23</v>
      </c>
      <c r="N618" s="11" t="s">
        <v>230</v>
      </c>
      <c r="O618" s="11" t="s">
        <v>25</v>
      </c>
      <c r="P618" s="11" t="s">
        <v>25</v>
      </c>
      <c r="Q618" s="37">
        <v>2.186E-3</v>
      </c>
      <c r="R618" s="11" t="s">
        <v>29</v>
      </c>
      <c r="S618" s="13">
        <f t="shared" si="9"/>
        <v>-0.62</v>
      </c>
    </row>
    <row r="619" spans="1:19">
      <c r="A619" s="10" t="s">
        <v>2122</v>
      </c>
      <c r="B619" s="11" t="s">
        <v>35</v>
      </c>
      <c r="C619" s="11" t="s">
        <v>18</v>
      </c>
      <c r="D619" s="11" t="s">
        <v>626</v>
      </c>
      <c r="E619" s="11" t="s">
        <v>25</v>
      </c>
      <c r="F619">
        <v>251.9</v>
      </c>
      <c r="G619">
        <v>252</v>
      </c>
      <c r="H619" s="12">
        <v>43</v>
      </c>
      <c r="I619" s="11" t="s">
        <v>20</v>
      </c>
      <c r="J619" s="11" t="s">
        <v>25</v>
      </c>
      <c r="K619" s="11" t="s">
        <v>25</v>
      </c>
      <c r="L619" s="12">
        <v>-0.74</v>
      </c>
      <c r="M619" s="11" t="s">
        <v>23</v>
      </c>
      <c r="N619" s="11" t="s">
        <v>230</v>
      </c>
      <c r="O619" s="11" t="s">
        <v>25</v>
      </c>
      <c r="P619" s="11" t="s">
        <v>25</v>
      </c>
      <c r="Q619" s="37">
        <v>1.261E-3</v>
      </c>
      <c r="R619" s="11" t="s">
        <v>29</v>
      </c>
      <c r="S619" s="13">
        <f t="shared" si="9"/>
        <v>-0.74</v>
      </c>
    </row>
    <row r="620" spans="1:19">
      <c r="A620" s="10" t="s">
        <v>2122</v>
      </c>
      <c r="B620" s="11" t="s">
        <v>37</v>
      </c>
      <c r="C620" s="11" t="s">
        <v>18</v>
      </c>
      <c r="D620" s="11" t="s">
        <v>626</v>
      </c>
      <c r="E620" s="11" t="s">
        <v>25</v>
      </c>
      <c r="F620">
        <v>251.9</v>
      </c>
      <c r="G620">
        <v>252</v>
      </c>
      <c r="H620" s="12">
        <v>44.5</v>
      </c>
      <c r="I620" s="11" t="s">
        <v>20</v>
      </c>
      <c r="J620" s="11" t="s">
        <v>25</v>
      </c>
      <c r="K620" s="11" t="s">
        <v>25</v>
      </c>
      <c r="L620" s="12">
        <v>-0.78</v>
      </c>
      <c r="M620" s="11" t="s">
        <v>23</v>
      </c>
      <c r="N620" s="11" t="s">
        <v>230</v>
      </c>
      <c r="O620" s="11" t="s">
        <v>25</v>
      </c>
      <c r="P620" s="11" t="s">
        <v>25</v>
      </c>
      <c r="Q620" s="37">
        <v>1.243E-3</v>
      </c>
      <c r="R620" s="11" t="s">
        <v>29</v>
      </c>
      <c r="S620" s="13">
        <f t="shared" si="9"/>
        <v>-0.78</v>
      </c>
    </row>
    <row r="621" spans="1:19">
      <c r="A621" s="10" t="s">
        <v>2122</v>
      </c>
      <c r="B621" s="11" t="s">
        <v>38</v>
      </c>
      <c r="C621" s="11" t="s">
        <v>18</v>
      </c>
      <c r="D621" s="11" t="s">
        <v>626</v>
      </c>
      <c r="E621" s="11" t="s">
        <v>25</v>
      </c>
      <c r="F621">
        <v>251.9</v>
      </c>
      <c r="G621">
        <v>252</v>
      </c>
      <c r="H621" s="12">
        <v>47</v>
      </c>
      <c r="I621" s="11" t="s">
        <v>20</v>
      </c>
      <c r="J621" s="11" t="s">
        <v>25</v>
      </c>
      <c r="K621" s="11" t="s">
        <v>25</v>
      </c>
      <c r="L621" s="12">
        <v>-0.84</v>
      </c>
      <c r="M621" s="11" t="s">
        <v>23</v>
      </c>
      <c r="N621" s="11" t="s">
        <v>230</v>
      </c>
      <c r="O621" s="11" t="s">
        <v>25</v>
      </c>
      <c r="P621" s="11" t="s">
        <v>25</v>
      </c>
      <c r="Q621" s="37">
        <v>1.3829999999999999E-3</v>
      </c>
      <c r="R621" s="11" t="s">
        <v>29</v>
      </c>
      <c r="S621" s="13">
        <f t="shared" si="9"/>
        <v>-0.84</v>
      </c>
    </row>
    <row r="622" spans="1:19">
      <c r="A622" s="10" t="s">
        <v>2122</v>
      </c>
      <c r="B622" s="11" t="s">
        <v>39</v>
      </c>
      <c r="C622" s="11" t="s">
        <v>18</v>
      </c>
      <c r="D622" s="11" t="s">
        <v>626</v>
      </c>
      <c r="E622" s="11" t="s">
        <v>25</v>
      </c>
      <c r="F622">
        <v>251.9</v>
      </c>
      <c r="G622">
        <v>252</v>
      </c>
      <c r="H622" s="12">
        <v>50</v>
      </c>
      <c r="I622" s="11" t="s">
        <v>20</v>
      </c>
      <c r="J622" s="11" t="s">
        <v>25</v>
      </c>
      <c r="K622" s="11" t="s">
        <v>25</v>
      </c>
      <c r="L622" s="12">
        <v>-0.89</v>
      </c>
      <c r="M622" s="11" t="s">
        <v>23</v>
      </c>
      <c r="N622" s="11" t="s">
        <v>230</v>
      </c>
      <c r="O622" s="11" t="s">
        <v>25</v>
      </c>
      <c r="P622" s="11" t="s">
        <v>25</v>
      </c>
      <c r="Q622" s="37">
        <v>1.2800000000000001E-3</v>
      </c>
      <c r="R622" s="11" t="s">
        <v>29</v>
      </c>
      <c r="S622" s="13">
        <f t="shared" si="9"/>
        <v>-0.89</v>
      </c>
    </row>
    <row r="623" spans="1:19">
      <c r="A623" s="10" t="s">
        <v>2122</v>
      </c>
      <c r="B623" s="11" t="s">
        <v>40</v>
      </c>
      <c r="C623" s="11" t="s">
        <v>18</v>
      </c>
      <c r="D623" s="11" t="s">
        <v>626</v>
      </c>
      <c r="E623" s="11" t="s">
        <v>25</v>
      </c>
      <c r="F623">
        <v>251.9</v>
      </c>
      <c r="G623">
        <v>252</v>
      </c>
      <c r="H623" s="12">
        <v>51.6</v>
      </c>
      <c r="I623" s="11" t="s">
        <v>20</v>
      </c>
      <c r="J623" s="11" t="s">
        <v>25</v>
      </c>
      <c r="K623" s="11" t="s">
        <v>25</v>
      </c>
      <c r="L623" s="12">
        <v>-0.84</v>
      </c>
      <c r="M623" s="11" t="s">
        <v>23</v>
      </c>
      <c r="N623" s="11" t="s">
        <v>230</v>
      </c>
      <c r="O623" s="11" t="s">
        <v>25</v>
      </c>
      <c r="P623" s="11" t="s">
        <v>25</v>
      </c>
      <c r="Q623" s="37">
        <v>1.2880000000000001E-3</v>
      </c>
      <c r="R623" s="11" t="s">
        <v>29</v>
      </c>
      <c r="S623" s="13">
        <f t="shared" si="9"/>
        <v>-0.84</v>
      </c>
    </row>
    <row r="624" spans="1:19">
      <c r="A624" s="10" t="s">
        <v>2122</v>
      </c>
      <c r="B624" s="11" t="s">
        <v>41</v>
      </c>
      <c r="C624" s="11" t="s">
        <v>18</v>
      </c>
      <c r="D624" s="11" t="s">
        <v>626</v>
      </c>
      <c r="E624" s="11" t="s">
        <v>25</v>
      </c>
      <c r="F624">
        <v>251.9</v>
      </c>
      <c r="G624">
        <v>252</v>
      </c>
      <c r="H624" s="12">
        <v>54</v>
      </c>
      <c r="I624" s="11" t="s">
        <v>20</v>
      </c>
      <c r="J624" s="11" t="s">
        <v>25</v>
      </c>
      <c r="K624" s="11" t="s">
        <v>25</v>
      </c>
      <c r="L624" s="12">
        <v>-0.71</v>
      </c>
      <c r="M624" s="11" t="s">
        <v>23</v>
      </c>
      <c r="N624" s="11" t="s">
        <v>230</v>
      </c>
      <c r="O624" s="11" t="s">
        <v>25</v>
      </c>
      <c r="P624" s="11" t="s">
        <v>25</v>
      </c>
      <c r="Q624" s="37">
        <v>1.5460000000000001E-3</v>
      </c>
      <c r="R624" s="11" t="s">
        <v>29</v>
      </c>
      <c r="S624" s="13">
        <f t="shared" si="9"/>
        <v>-0.71</v>
      </c>
    </row>
    <row r="625" spans="1:19">
      <c r="A625" s="10" t="s">
        <v>2122</v>
      </c>
      <c r="B625" s="11" t="s">
        <v>42</v>
      </c>
      <c r="C625" s="11" t="s">
        <v>18</v>
      </c>
      <c r="D625" s="11" t="s">
        <v>626</v>
      </c>
      <c r="E625" s="11" t="s">
        <v>25</v>
      </c>
      <c r="F625">
        <v>251.9</v>
      </c>
      <c r="G625">
        <v>252</v>
      </c>
      <c r="H625" s="12">
        <v>56.4</v>
      </c>
      <c r="I625" s="11" t="s">
        <v>20</v>
      </c>
      <c r="J625" s="11" t="s">
        <v>25</v>
      </c>
      <c r="K625" s="11" t="s">
        <v>25</v>
      </c>
      <c r="L625" s="12">
        <v>-0.73</v>
      </c>
      <c r="M625" s="11" t="s">
        <v>23</v>
      </c>
      <c r="N625" s="11" t="s">
        <v>230</v>
      </c>
      <c r="O625" s="11" t="s">
        <v>25</v>
      </c>
      <c r="P625" s="11" t="s">
        <v>25</v>
      </c>
      <c r="Q625" s="37">
        <v>1.7049999999999999E-3</v>
      </c>
      <c r="R625" s="11" t="s">
        <v>29</v>
      </c>
      <c r="S625" s="13">
        <f t="shared" si="9"/>
        <v>-0.73</v>
      </c>
    </row>
    <row r="626" spans="1:19">
      <c r="A626" s="10" t="s">
        <v>2122</v>
      </c>
      <c r="B626" s="11" t="s">
        <v>43</v>
      </c>
      <c r="C626" s="11" t="s">
        <v>18</v>
      </c>
      <c r="D626" s="11" t="s">
        <v>626</v>
      </c>
      <c r="E626" s="11" t="s">
        <v>25</v>
      </c>
      <c r="F626">
        <v>251.9</v>
      </c>
      <c r="G626">
        <v>252</v>
      </c>
      <c r="H626" s="12">
        <v>57.4</v>
      </c>
      <c r="I626" s="11" t="s">
        <v>20</v>
      </c>
      <c r="J626" s="11" t="s">
        <v>25</v>
      </c>
      <c r="K626" s="11" t="s">
        <v>25</v>
      </c>
      <c r="L626" s="12">
        <v>-0.52</v>
      </c>
      <c r="M626" s="11" t="s">
        <v>23</v>
      </c>
      <c r="N626" s="11" t="s">
        <v>230</v>
      </c>
      <c r="O626" s="11" t="s">
        <v>25</v>
      </c>
      <c r="P626" s="11" t="s">
        <v>25</v>
      </c>
      <c r="Q626" s="37">
        <v>1.9559999999999998E-3</v>
      </c>
      <c r="R626" s="11" t="s">
        <v>29</v>
      </c>
      <c r="S626" s="13">
        <f t="shared" si="9"/>
        <v>-0.52</v>
      </c>
    </row>
    <row r="627" spans="1:19">
      <c r="A627" s="10" t="s">
        <v>2122</v>
      </c>
      <c r="B627" s="11" t="s">
        <v>44</v>
      </c>
      <c r="C627" s="11" t="s">
        <v>18</v>
      </c>
      <c r="D627" s="11" t="s">
        <v>626</v>
      </c>
      <c r="E627" s="11" t="s">
        <v>25</v>
      </c>
      <c r="F627">
        <v>251.9</v>
      </c>
      <c r="G627">
        <v>252</v>
      </c>
      <c r="H627" s="12">
        <v>60</v>
      </c>
      <c r="I627" s="11" t="s">
        <v>20</v>
      </c>
      <c r="J627" s="11" t="s">
        <v>25</v>
      </c>
      <c r="K627" s="11" t="s">
        <v>25</v>
      </c>
      <c r="L627" s="12">
        <v>-0.84</v>
      </c>
      <c r="M627" s="11" t="s">
        <v>23</v>
      </c>
      <c r="N627" s="11" t="s">
        <v>230</v>
      </c>
      <c r="O627" s="11" t="s">
        <v>25</v>
      </c>
      <c r="P627" s="11" t="s">
        <v>25</v>
      </c>
      <c r="Q627" s="37">
        <v>2.6849999999999999E-3</v>
      </c>
      <c r="R627" s="11" t="s">
        <v>29</v>
      </c>
      <c r="S627" s="13">
        <f t="shared" si="9"/>
        <v>-0.84</v>
      </c>
    </row>
    <row r="628" spans="1:19">
      <c r="A628" s="10" t="s">
        <v>2122</v>
      </c>
      <c r="B628" s="11" t="s">
        <v>46</v>
      </c>
      <c r="C628" s="11" t="s">
        <v>18</v>
      </c>
      <c r="D628" s="11" t="s">
        <v>626</v>
      </c>
      <c r="E628" s="11" t="s">
        <v>25</v>
      </c>
      <c r="F628">
        <v>251.9</v>
      </c>
      <c r="G628">
        <v>252</v>
      </c>
      <c r="H628" s="12">
        <v>64</v>
      </c>
      <c r="I628" s="11" t="s">
        <v>20</v>
      </c>
      <c r="J628" s="11" t="s">
        <v>25</v>
      </c>
      <c r="K628" s="11" t="s">
        <v>25</v>
      </c>
      <c r="L628" s="12">
        <v>-0.72</v>
      </c>
      <c r="M628" s="11" t="s">
        <v>23</v>
      </c>
      <c r="N628" s="11" t="s">
        <v>230</v>
      </c>
      <c r="O628" s="11" t="s">
        <v>25</v>
      </c>
      <c r="P628" s="11" t="s">
        <v>25</v>
      </c>
      <c r="Q628" s="37">
        <v>4.1159999999999999E-3</v>
      </c>
      <c r="R628" s="11" t="s">
        <v>29</v>
      </c>
      <c r="S628" s="13">
        <f t="shared" si="9"/>
        <v>-0.72</v>
      </c>
    </row>
    <row r="629" spans="1:19">
      <c r="A629" s="10" t="s">
        <v>2122</v>
      </c>
      <c r="B629" s="11" t="s">
        <v>47</v>
      </c>
      <c r="C629" s="11" t="s">
        <v>18</v>
      </c>
      <c r="D629" s="11" t="s">
        <v>626</v>
      </c>
      <c r="E629" s="11" t="s">
        <v>25</v>
      </c>
      <c r="F629">
        <v>251.9</v>
      </c>
      <c r="G629">
        <v>252</v>
      </c>
      <c r="H629" s="12">
        <v>66</v>
      </c>
      <c r="I629" s="11" t="s">
        <v>20</v>
      </c>
      <c r="J629" s="11" t="s">
        <v>25</v>
      </c>
      <c r="K629" s="11" t="s">
        <v>25</v>
      </c>
      <c r="L629" s="12">
        <v>-0.8</v>
      </c>
      <c r="M629" s="11" t="s">
        <v>23</v>
      </c>
      <c r="N629" s="11" t="s">
        <v>230</v>
      </c>
      <c r="O629" s="11" t="s">
        <v>25</v>
      </c>
      <c r="P629" s="11" t="s">
        <v>25</v>
      </c>
      <c r="Q629" s="37">
        <v>1.596E-3</v>
      </c>
      <c r="R629" s="11" t="s">
        <v>29</v>
      </c>
      <c r="S629" s="13">
        <f t="shared" si="9"/>
        <v>-0.8</v>
      </c>
    </row>
    <row r="630" spans="1:19">
      <c r="A630" s="10" t="s">
        <v>2122</v>
      </c>
      <c r="B630" s="11" t="s">
        <v>48</v>
      </c>
      <c r="C630" s="11" t="s">
        <v>18</v>
      </c>
      <c r="D630" s="11" t="s">
        <v>626</v>
      </c>
      <c r="E630" s="11" t="s">
        <v>25</v>
      </c>
      <c r="F630">
        <v>251.9</v>
      </c>
      <c r="G630">
        <v>252</v>
      </c>
      <c r="H630" s="12">
        <v>70.099999999999994</v>
      </c>
      <c r="I630" s="11" t="s">
        <v>20</v>
      </c>
      <c r="J630" s="11" t="s">
        <v>25</v>
      </c>
      <c r="K630" s="11" t="s">
        <v>25</v>
      </c>
      <c r="L630" s="12">
        <v>-0.74</v>
      </c>
      <c r="M630" s="11" t="s">
        <v>23</v>
      </c>
      <c r="N630" s="11" t="s">
        <v>230</v>
      </c>
      <c r="O630" s="11" t="s">
        <v>25</v>
      </c>
      <c r="P630" s="11" t="s">
        <v>25</v>
      </c>
      <c r="Q630" s="37">
        <v>3.823E-3</v>
      </c>
      <c r="R630" s="11" t="s">
        <v>29</v>
      </c>
      <c r="S630" s="13">
        <f t="shared" si="9"/>
        <v>-0.74</v>
      </c>
    </row>
    <row r="631" spans="1:19">
      <c r="A631" s="10" t="s">
        <v>2122</v>
      </c>
      <c r="B631" s="11" t="s">
        <v>49</v>
      </c>
      <c r="C631" s="11" t="s">
        <v>18</v>
      </c>
      <c r="D631" s="11" t="s">
        <v>626</v>
      </c>
      <c r="E631" s="11" t="s">
        <v>25</v>
      </c>
      <c r="F631">
        <v>251.9</v>
      </c>
      <c r="G631">
        <v>252</v>
      </c>
      <c r="H631" s="12">
        <v>71</v>
      </c>
      <c r="I631" s="11" t="s">
        <v>20</v>
      </c>
      <c r="J631" s="11" t="s">
        <v>25</v>
      </c>
      <c r="K631" s="11" t="s">
        <v>25</v>
      </c>
      <c r="L631" s="12">
        <v>-0.76</v>
      </c>
      <c r="M631" s="11" t="s">
        <v>23</v>
      </c>
      <c r="N631" s="11" t="s">
        <v>230</v>
      </c>
      <c r="O631" s="11" t="s">
        <v>25</v>
      </c>
      <c r="P631" s="11" t="s">
        <v>25</v>
      </c>
      <c r="Q631" s="37">
        <v>8.5999999999999998E-4</v>
      </c>
      <c r="R631" s="11" t="s">
        <v>29</v>
      </c>
      <c r="S631" s="13">
        <f t="shared" si="9"/>
        <v>-0.76</v>
      </c>
    </row>
    <row r="632" spans="1:19">
      <c r="A632" s="10" t="s">
        <v>2122</v>
      </c>
      <c r="B632" s="11" t="s">
        <v>50</v>
      </c>
      <c r="C632" s="11" t="s">
        <v>18</v>
      </c>
      <c r="D632" s="11" t="s">
        <v>626</v>
      </c>
      <c r="E632" s="11" t="s">
        <v>25</v>
      </c>
      <c r="F632">
        <v>251.9</v>
      </c>
      <c r="G632">
        <v>252</v>
      </c>
      <c r="H632" s="12">
        <v>80</v>
      </c>
      <c r="I632" s="11" t="s">
        <v>20</v>
      </c>
      <c r="J632" s="11" t="s">
        <v>25</v>
      </c>
      <c r="K632" s="11" t="s">
        <v>25</v>
      </c>
      <c r="L632" s="12">
        <v>-0.75</v>
      </c>
      <c r="M632" s="11" t="s">
        <v>23</v>
      </c>
      <c r="N632" s="11" t="s">
        <v>230</v>
      </c>
      <c r="O632" s="11" t="s">
        <v>25</v>
      </c>
      <c r="P632" s="11" t="s">
        <v>25</v>
      </c>
      <c r="Q632" s="37">
        <v>7.6800000000000002E-4</v>
      </c>
      <c r="R632" s="11" t="s">
        <v>29</v>
      </c>
      <c r="S632" s="13">
        <f t="shared" si="9"/>
        <v>-0.75</v>
      </c>
    </row>
    <row r="633" spans="1:19">
      <c r="A633" s="10" t="s">
        <v>2122</v>
      </c>
      <c r="B633" s="11" t="s">
        <v>51</v>
      </c>
      <c r="C633" s="11" t="s">
        <v>18</v>
      </c>
      <c r="D633" s="11" t="s">
        <v>626</v>
      </c>
      <c r="E633" s="11" t="s">
        <v>25</v>
      </c>
      <c r="F633">
        <v>251.9</v>
      </c>
      <c r="G633">
        <v>252</v>
      </c>
      <c r="H633" s="12">
        <v>87.6</v>
      </c>
      <c r="I633" s="11" t="s">
        <v>20</v>
      </c>
      <c r="J633" s="11" t="s">
        <v>25</v>
      </c>
      <c r="K633" s="11" t="s">
        <v>25</v>
      </c>
      <c r="L633" s="12">
        <v>-0.85</v>
      </c>
      <c r="M633" s="11" t="s">
        <v>23</v>
      </c>
      <c r="N633" s="11" t="s">
        <v>230</v>
      </c>
      <c r="O633" s="11" t="s">
        <v>25</v>
      </c>
      <c r="P633" s="11" t="s">
        <v>25</v>
      </c>
      <c r="Q633" s="37">
        <v>1.781E-3</v>
      </c>
      <c r="R633" s="11" t="s">
        <v>29</v>
      </c>
      <c r="S633" s="13">
        <f t="shared" si="9"/>
        <v>-0.85</v>
      </c>
    </row>
    <row r="634" spans="1:19">
      <c r="A634" s="10" t="s">
        <v>2122</v>
      </c>
      <c r="B634" s="11" t="s">
        <v>53</v>
      </c>
      <c r="C634" s="11" t="s">
        <v>18</v>
      </c>
      <c r="D634" s="11" t="s">
        <v>626</v>
      </c>
      <c r="E634" s="11" t="s">
        <v>25</v>
      </c>
      <c r="F634">
        <v>251.9</v>
      </c>
      <c r="G634">
        <v>252</v>
      </c>
      <c r="H634" s="12">
        <v>100.4</v>
      </c>
      <c r="I634" s="11" t="s">
        <v>20</v>
      </c>
      <c r="J634" s="11" t="s">
        <v>25</v>
      </c>
      <c r="K634" s="11" t="s">
        <v>25</v>
      </c>
      <c r="L634" s="12">
        <v>-0.48</v>
      </c>
      <c r="M634" s="11" t="s">
        <v>23</v>
      </c>
      <c r="N634" s="11" t="s">
        <v>230</v>
      </c>
      <c r="O634" s="11" t="s">
        <v>25</v>
      </c>
      <c r="P634" s="11" t="s">
        <v>25</v>
      </c>
      <c r="Q634" s="37">
        <v>1.3450000000000001E-3</v>
      </c>
      <c r="R634" s="11" t="s">
        <v>29</v>
      </c>
      <c r="S634" s="13">
        <f t="shared" si="9"/>
        <v>-0.48</v>
      </c>
    </row>
    <row r="635" spans="1:19">
      <c r="A635" s="10" t="s">
        <v>2122</v>
      </c>
      <c r="B635" s="11" t="s">
        <v>57</v>
      </c>
      <c r="C635" s="11" t="s">
        <v>18</v>
      </c>
      <c r="D635" s="11" t="s">
        <v>626</v>
      </c>
      <c r="E635" s="11" t="s">
        <v>25</v>
      </c>
      <c r="F635">
        <v>251.9</v>
      </c>
      <c r="G635">
        <v>252</v>
      </c>
      <c r="H635" s="12">
        <v>156.19999999999999</v>
      </c>
      <c r="I635" s="11" t="s">
        <v>20</v>
      </c>
      <c r="J635" s="11" t="s">
        <v>25</v>
      </c>
      <c r="K635" s="11" t="s">
        <v>25</v>
      </c>
      <c r="L635" s="12">
        <v>-0.36</v>
      </c>
      <c r="M635" s="11" t="s">
        <v>23</v>
      </c>
      <c r="N635" s="11" t="s">
        <v>230</v>
      </c>
      <c r="O635" s="11" t="s">
        <v>25</v>
      </c>
      <c r="P635" s="11" t="s">
        <v>25</v>
      </c>
      <c r="Q635" s="37">
        <v>6.9999999999999999E-4</v>
      </c>
      <c r="R635" s="11" t="s">
        <v>29</v>
      </c>
      <c r="S635" s="13">
        <f t="shared" si="9"/>
        <v>-0.36</v>
      </c>
    </row>
    <row r="636" spans="1:19" s="4" customFormat="1">
      <c r="B636" s="5"/>
      <c r="C636" s="5"/>
      <c r="D636" s="5"/>
      <c r="E636" s="33"/>
      <c r="I636" s="5"/>
      <c r="J636" s="5"/>
      <c r="K636" s="5"/>
      <c r="N636" s="5"/>
      <c r="P636" s="5"/>
      <c r="Q636" s="38"/>
      <c r="S636" s="24"/>
    </row>
    <row r="637" spans="1:19">
      <c r="A637" s="10" t="s">
        <v>2123</v>
      </c>
      <c r="B637" s="11" t="s">
        <v>627</v>
      </c>
      <c r="C637" s="11" t="s">
        <v>628</v>
      </c>
      <c r="D637" s="11" t="s">
        <v>629</v>
      </c>
      <c r="E637" s="11" t="s">
        <v>25</v>
      </c>
      <c r="F637">
        <v>0</v>
      </c>
      <c r="G637">
        <v>0</v>
      </c>
      <c r="H637" s="12" t="s">
        <v>25</v>
      </c>
      <c r="I637" s="11" t="s">
        <v>630</v>
      </c>
      <c r="J637" s="11" t="s">
        <v>25</v>
      </c>
      <c r="K637" s="11" t="s">
        <v>25</v>
      </c>
      <c r="L637" s="12">
        <v>-0.52</v>
      </c>
      <c r="M637" s="12" t="s">
        <v>23</v>
      </c>
      <c r="N637" s="11" t="s">
        <v>230</v>
      </c>
      <c r="O637" s="12" t="s">
        <v>25</v>
      </c>
      <c r="P637" s="11" t="s">
        <v>25</v>
      </c>
      <c r="Q637" s="37" t="s">
        <v>25</v>
      </c>
      <c r="R637" s="12" t="s">
        <v>25</v>
      </c>
      <c r="S637" s="13">
        <f t="shared" si="9"/>
        <v>-0.52</v>
      </c>
    </row>
    <row r="638" spans="1:19">
      <c r="A638" s="10" t="s">
        <v>2123</v>
      </c>
      <c r="B638" s="11" t="s">
        <v>631</v>
      </c>
      <c r="C638" s="11" t="s">
        <v>628</v>
      </c>
      <c r="D638" s="11" t="s">
        <v>629</v>
      </c>
      <c r="E638" s="11" t="s">
        <v>25</v>
      </c>
      <c r="F638">
        <v>0</v>
      </c>
      <c r="G638">
        <v>0</v>
      </c>
      <c r="H638" s="12" t="s">
        <v>25</v>
      </c>
      <c r="I638" s="11" t="s">
        <v>630</v>
      </c>
      <c r="J638" s="11" t="s">
        <v>25</v>
      </c>
      <c r="K638" s="11" t="s">
        <v>25</v>
      </c>
      <c r="L638" s="12">
        <v>-0.51</v>
      </c>
      <c r="M638" s="12" t="s">
        <v>23</v>
      </c>
      <c r="N638" s="11" t="s">
        <v>230</v>
      </c>
      <c r="O638" s="12" t="s">
        <v>25</v>
      </c>
      <c r="P638" s="11" t="s">
        <v>25</v>
      </c>
      <c r="Q638" s="37" t="s">
        <v>25</v>
      </c>
      <c r="R638" s="12" t="s">
        <v>25</v>
      </c>
      <c r="S638" s="13">
        <f t="shared" si="9"/>
        <v>-0.51</v>
      </c>
    </row>
    <row r="639" spans="1:19">
      <c r="A639" s="10" t="s">
        <v>2123</v>
      </c>
      <c r="B639" s="11" t="s">
        <v>632</v>
      </c>
      <c r="C639" s="11" t="s">
        <v>628</v>
      </c>
      <c r="D639" s="11" t="s">
        <v>629</v>
      </c>
      <c r="E639" s="11" t="s">
        <v>25</v>
      </c>
      <c r="F639">
        <v>0</v>
      </c>
      <c r="G639">
        <v>0</v>
      </c>
      <c r="H639" s="12" t="s">
        <v>25</v>
      </c>
      <c r="I639" s="11" t="s">
        <v>630</v>
      </c>
      <c r="J639" s="11" t="s">
        <v>25</v>
      </c>
      <c r="K639" s="11" t="s">
        <v>25</v>
      </c>
      <c r="L639" s="12">
        <v>-0.41</v>
      </c>
      <c r="M639" s="12" t="s">
        <v>23</v>
      </c>
      <c r="N639" s="11" t="s">
        <v>230</v>
      </c>
      <c r="O639" s="12" t="s">
        <v>25</v>
      </c>
      <c r="P639" s="11" t="s">
        <v>25</v>
      </c>
      <c r="Q639" s="37" t="s">
        <v>25</v>
      </c>
      <c r="R639" s="12" t="s">
        <v>25</v>
      </c>
      <c r="S639" s="13">
        <f t="shared" si="9"/>
        <v>-0.41</v>
      </c>
    </row>
    <row r="640" spans="1:19">
      <c r="A640" s="10" t="s">
        <v>2123</v>
      </c>
      <c r="B640" s="11" t="s">
        <v>633</v>
      </c>
      <c r="C640" s="11" t="s">
        <v>628</v>
      </c>
      <c r="D640" s="11" t="s">
        <v>629</v>
      </c>
      <c r="E640" s="11" t="s">
        <v>25</v>
      </c>
      <c r="F640">
        <v>0</v>
      </c>
      <c r="G640">
        <v>0</v>
      </c>
      <c r="H640" s="12" t="s">
        <v>25</v>
      </c>
      <c r="I640" s="11" t="s">
        <v>630</v>
      </c>
      <c r="J640" s="11" t="s">
        <v>25</v>
      </c>
      <c r="K640" s="11" t="s">
        <v>25</v>
      </c>
      <c r="L640" s="12">
        <v>-0.48</v>
      </c>
      <c r="M640" s="12" t="s">
        <v>23</v>
      </c>
      <c r="N640" s="11" t="s">
        <v>230</v>
      </c>
      <c r="O640" s="12" t="s">
        <v>25</v>
      </c>
      <c r="P640" s="11" t="s">
        <v>25</v>
      </c>
      <c r="Q640" s="37" t="s">
        <v>25</v>
      </c>
      <c r="R640" s="12" t="s">
        <v>25</v>
      </c>
      <c r="S640" s="13">
        <f t="shared" si="9"/>
        <v>-0.48</v>
      </c>
    </row>
    <row r="641" spans="1:19">
      <c r="A641" s="10" t="s">
        <v>2123</v>
      </c>
      <c r="B641" s="11" t="s">
        <v>634</v>
      </c>
      <c r="C641" s="11" t="s">
        <v>635</v>
      </c>
      <c r="D641" s="11" t="s">
        <v>636</v>
      </c>
      <c r="E641" s="11" t="s">
        <v>25</v>
      </c>
      <c r="F641">
        <v>66</v>
      </c>
      <c r="G641">
        <v>66</v>
      </c>
      <c r="H641" s="12" t="s">
        <v>25</v>
      </c>
      <c r="I641" s="11" t="s">
        <v>630</v>
      </c>
      <c r="J641" s="11" t="s">
        <v>25</v>
      </c>
      <c r="K641" s="11" t="s">
        <v>25</v>
      </c>
      <c r="L641" s="12">
        <v>-0.71</v>
      </c>
      <c r="M641" s="12" t="s">
        <v>23</v>
      </c>
      <c r="N641" s="11" t="s">
        <v>230</v>
      </c>
      <c r="O641" s="12" t="s">
        <v>25</v>
      </c>
      <c r="P641" s="11" t="s">
        <v>25</v>
      </c>
      <c r="Q641" s="37" t="s">
        <v>25</v>
      </c>
      <c r="R641" s="12" t="s">
        <v>25</v>
      </c>
      <c r="S641" s="13">
        <f t="shared" si="9"/>
        <v>-0.71</v>
      </c>
    </row>
    <row r="642" spans="1:19">
      <c r="A642" s="10" t="s">
        <v>2123</v>
      </c>
      <c r="B642" s="11" t="s">
        <v>637</v>
      </c>
      <c r="C642" s="11" t="s">
        <v>635</v>
      </c>
      <c r="D642" s="11" t="s">
        <v>636</v>
      </c>
      <c r="E642" s="11" t="s">
        <v>25</v>
      </c>
      <c r="F642">
        <v>66</v>
      </c>
      <c r="G642">
        <v>66</v>
      </c>
      <c r="H642" s="12" t="s">
        <v>25</v>
      </c>
      <c r="I642" s="11" t="s">
        <v>630</v>
      </c>
      <c r="J642" s="11" t="s">
        <v>25</v>
      </c>
      <c r="K642" s="11" t="s">
        <v>25</v>
      </c>
      <c r="L642" s="12">
        <v>-0.6</v>
      </c>
      <c r="M642" s="12" t="s">
        <v>23</v>
      </c>
      <c r="N642" s="11" t="s">
        <v>230</v>
      </c>
      <c r="O642" s="12" t="s">
        <v>25</v>
      </c>
      <c r="P642" s="11" t="s">
        <v>25</v>
      </c>
      <c r="Q642" s="37" t="s">
        <v>25</v>
      </c>
      <c r="R642" s="12" t="s">
        <v>25</v>
      </c>
      <c r="S642" s="13">
        <f t="shared" si="9"/>
        <v>-0.6</v>
      </c>
    </row>
    <row r="643" spans="1:19">
      <c r="A643" s="10" t="s">
        <v>2123</v>
      </c>
      <c r="B643" s="11" t="s">
        <v>638</v>
      </c>
      <c r="C643" s="11" t="s">
        <v>639</v>
      </c>
      <c r="D643" s="11" t="s">
        <v>640</v>
      </c>
      <c r="E643" s="11" t="s">
        <v>25</v>
      </c>
      <c r="F643">
        <v>66</v>
      </c>
      <c r="G643">
        <v>72</v>
      </c>
      <c r="H643" s="12" t="s">
        <v>25</v>
      </c>
      <c r="I643" s="11" t="s">
        <v>630</v>
      </c>
      <c r="J643" s="11" t="s">
        <v>25</v>
      </c>
      <c r="K643" s="11" t="s">
        <v>25</v>
      </c>
      <c r="L643" s="12">
        <v>-0.97</v>
      </c>
      <c r="M643" s="12" t="s">
        <v>23</v>
      </c>
      <c r="N643" s="11" t="s">
        <v>230</v>
      </c>
      <c r="O643" s="12" t="s">
        <v>25</v>
      </c>
      <c r="P643" s="11" t="s">
        <v>25</v>
      </c>
      <c r="Q643" s="37" t="s">
        <v>25</v>
      </c>
      <c r="R643" s="12" t="s">
        <v>25</v>
      </c>
      <c r="S643" s="13">
        <f t="shared" ref="S643:S706" si="10">IF(NOT(N643="SW"),L643-1.88,L643)</f>
        <v>-0.97</v>
      </c>
    </row>
    <row r="644" spans="1:19">
      <c r="A644" s="10" t="s">
        <v>2123</v>
      </c>
      <c r="B644" s="11" t="s">
        <v>641</v>
      </c>
      <c r="C644" s="11" t="s">
        <v>639</v>
      </c>
      <c r="D644" s="11" t="s">
        <v>640</v>
      </c>
      <c r="E644" s="11" t="s">
        <v>25</v>
      </c>
      <c r="F644">
        <v>66</v>
      </c>
      <c r="G644">
        <v>72</v>
      </c>
      <c r="H644" s="12" t="s">
        <v>25</v>
      </c>
      <c r="I644" s="11" t="s">
        <v>630</v>
      </c>
      <c r="J644" s="11" t="s">
        <v>25</v>
      </c>
      <c r="K644" s="11" t="s">
        <v>25</v>
      </c>
      <c r="L644" s="12">
        <v>-0.92</v>
      </c>
      <c r="M644" s="12" t="s">
        <v>23</v>
      </c>
      <c r="N644" s="11" t="s">
        <v>230</v>
      </c>
      <c r="O644" s="12" t="s">
        <v>25</v>
      </c>
      <c r="P644" s="11" t="s">
        <v>25</v>
      </c>
      <c r="Q644" s="37" t="s">
        <v>25</v>
      </c>
      <c r="R644" s="12" t="s">
        <v>25</v>
      </c>
      <c r="S644" s="13">
        <f t="shared" si="10"/>
        <v>-0.92</v>
      </c>
    </row>
    <row r="645" spans="1:19">
      <c r="A645" s="10" t="s">
        <v>2123</v>
      </c>
      <c r="B645" s="11" t="s">
        <v>642</v>
      </c>
      <c r="C645" s="11" t="s">
        <v>639</v>
      </c>
      <c r="D645" s="11" t="s">
        <v>640</v>
      </c>
      <c r="E645" s="11" t="s">
        <v>25</v>
      </c>
      <c r="F645">
        <v>66</v>
      </c>
      <c r="G645">
        <v>72</v>
      </c>
      <c r="H645" s="12" t="s">
        <v>25</v>
      </c>
      <c r="I645" s="11" t="s">
        <v>630</v>
      </c>
      <c r="J645" s="11" t="s">
        <v>25</v>
      </c>
      <c r="K645" s="11" t="s">
        <v>25</v>
      </c>
      <c r="L645" s="12">
        <v>-0.81</v>
      </c>
      <c r="M645" s="12" t="s">
        <v>23</v>
      </c>
      <c r="N645" s="11" t="s">
        <v>230</v>
      </c>
      <c r="O645" s="12" t="s">
        <v>25</v>
      </c>
      <c r="P645" s="11" t="s">
        <v>25</v>
      </c>
      <c r="Q645" s="37" t="s">
        <v>25</v>
      </c>
      <c r="R645" s="12" t="s">
        <v>25</v>
      </c>
      <c r="S645" s="13">
        <f t="shared" si="10"/>
        <v>-0.81</v>
      </c>
    </row>
    <row r="646" spans="1:19">
      <c r="A646" s="10" t="s">
        <v>2123</v>
      </c>
      <c r="B646" s="11" t="s">
        <v>643</v>
      </c>
      <c r="C646" s="11" t="s">
        <v>639</v>
      </c>
      <c r="D646" s="11" t="s">
        <v>640</v>
      </c>
      <c r="E646" s="11" t="s">
        <v>25</v>
      </c>
      <c r="F646">
        <v>66</v>
      </c>
      <c r="G646">
        <v>72</v>
      </c>
      <c r="H646" s="12" t="s">
        <v>25</v>
      </c>
      <c r="I646" s="11" t="s">
        <v>630</v>
      </c>
      <c r="J646" s="11" t="s">
        <v>25</v>
      </c>
      <c r="K646" s="11" t="s">
        <v>25</v>
      </c>
      <c r="L646" s="12">
        <v>-0.73</v>
      </c>
      <c r="M646" s="12" t="s">
        <v>23</v>
      </c>
      <c r="N646" s="11" t="s">
        <v>230</v>
      </c>
      <c r="O646" s="12" t="s">
        <v>25</v>
      </c>
      <c r="P646" s="11" t="s">
        <v>25</v>
      </c>
      <c r="Q646" s="37" t="s">
        <v>25</v>
      </c>
      <c r="R646" s="12" t="s">
        <v>25</v>
      </c>
      <c r="S646" s="13">
        <f t="shared" si="10"/>
        <v>-0.73</v>
      </c>
    </row>
    <row r="647" spans="1:19">
      <c r="A647" s="10" t="s">
        <v>2123</v>
      </c>
      <c r="B647" s="11" t="s">
        <v>644</v>
      </c>
      <c r="C647" s="11" t="s">
        <v>639</v>
      </c>
      <c r="D647" s="11" t="s">
        <v>640</v>
      </c>
      <c r="E647" s="11" t="s">
        <v>25</v>
      </c>
      <c r="F647">
        <v>66</v>
      </c>
      <c r="G647">
        <v>72</v>
      </c>
      <c r="H647" s="12" t="s">
        <v>25</v>
      </c>
      <c r="I647" s="11" t="s">
        <v>630</v>
      </c>
      <c r="J647" s="11" t="s">
        <v>25</v>
      </c>
      <c r="K647" s="11" t="s">
        <v>25</v>
      </c>
      <c r="L647" s="12">
        <v>-0.11</v>
      </c>
      <c r="M647" s="12" t="s">
        <v>23</v>
      </c>
      <c r="N647" s="11" t="s">
        <v>230</v>
      </c>
      <c r="O647" s="12" t="s">
        <v>25</v>
      </c>
      <c r="P647" s="11" t="s">
        <v>25</v>
      </c>
      <c r="Q647" s="37" t="s">
        <v>25</v>
      </c>
      <c r="R647" s="12" t="s">
        <v>25</v>
      </c>
      <c r="S647" s="13">
        <f t="shared" si="10"/>
        <v>-0.11</v>
      </c>
    </row>
    <row r="648" spans="1:19">
      <c r="A648" s="10" t="s">
        <v>2123</v>
      </c>
      <c r="B648" s="11" t="s">
        <v>645</v>
      </c>
      <c r="C648" s="11" t="s">
        <v>646</v>
      </c>
      <c r="D648" s="11" t="s">
        <v>647</v>
      </c>
      <c r="E648" s="11" t="s">
        <v>25</v>
      </c>
      <c r="F648">
        <v>100</v>
      </c>
      <c r="G648">
        <v>100</v>
      </c>
      <c r="H648" s="12" t="s">
        <v>25</v>
      </c>
      <c r="I648" s="11" t="s">
        <v>630</v>
      </c>
      <c r="J648" s="11" t="s">
        <v>25</v>
      </c>
      <c r="K648" s="11" t="s">
        <v>25</v>
      </c>
      <c r="L648" s="12">
        <v>-0.87</v>
      </c>
      <c r="M648" s="12" t="s">
        <v>23</v>
      </c>
      <c r="N648" s="11" t="s">
        <v>230</v>
      </c>
      <c r="O648" s="12" t="s">
        <v>25</v>
      </c>
      <c r="P648" s="11" t="s">
        <v>25</v>
      </c>
      <c r="Q648" s="37" t="s">
        <v>25</v>
      </c>
      <c r="R648" s="12" t="s">
        <v>25</v>
      </c>
      <c r="S648" s="13">
        <f t="shared" si="10"/>
        <v>-0.87</v>
      </c>
    </row>
    <row r="649" spans="1:19">
      <c r="A649" s="10" t="s">
        <v>2123</v>
      </c>
      <c r="B649" s="11" t="s">
        <v>648</v>
      </c>
      <c r="C649" s="11" t="s">
        <v>646</v>
      </c>
      <c r="D649" s="11" t="s">
        <v>647</v>
      </c>
      <c r="E649" s="11" t="s">
        <v>25</v>
      </c>
      <c r="F649">
        <v>100</v>
      </c>
      <c r="G649">
        <v>100</v>
      </c>
      <c r="H649" s="12" t="s">
        <v>25</v>
      </c>
      <c r="I649" s="11" t="s">
        <v>630</v>
      </c>
      <c r="J649" s="11" t="s">
        <v>25</v>
      </c>
      <c r="K649" s="11" t="s">
        <v>25</v>
      </c>
      <c r="L649" s="12">
        <v>-0.83</v>
      </c>
      <c r="M649" s="12" t="s">
        <v>23</v>
      </c>
      <c r="N649" s="11" t="s">
        <v>230</v>
      </c>
      <c r="O649" s="12" t="s">
        <v>25</v>
      </c>
      <c r="P649" s="11" t="s">
        <v>25</v>
      </c>
      <c r="Q649" s="37" t="s">
        <v>25</v>
      </c>
      <c r="R649" s="12" t="s">
        <v>25</v>
      </c>
      <c r="S649" s="13">
        <f t="shared" si="10"/>
        <v>-0.83</v>
      </c>
    </row>
    <row r="650" spans="1:19">
      <c r="A650" s="10" t="s">
        <v>2123</v>
      </c>
      <c r="B650" s="11" t="s">
        <v>649</v>
      </c>
      <c r="C650" s="11" t="s">
        <v>646</v>
      </c>
      <c r="D650" s="11" t="s">
        <v>647</v>
      </c>
      <c r="E650" s="11" t="s">
        <v>25</v>
      </c>
      <c r="F650">
        <v>100</v>
      </c>
      <c r="G650">
        <v>100</v>
      </c>
      <c r="H650" s="12" t="s">
        <v>25</v>
      </c>
      <c r="I650" s="11" t="s">
        <v>630</v>
      </c>
      <c r="J650" s="11" t="s">
        <v>25</v>
      </c>
      <c r="K650" s="11" t="s">
        <v>25</v>
      </c>
      <c r="L650" s="12">
        <v>-0.82</v>
      </c>
      <c r="M650" s="12" t="s">
        <v>23</v>
      </c>
      <c r="N650" s="11" t="s">
        <v>230</v>
      </c>
      <c r="O650" s="12" t="s">
        <v>25</v>
      </c>
      <c r="P650" s="11" t="s">
        <v>25</v>
      </c>
      <c r="Q650" s="37" t="s">
        <v>25</v>
      </c>
      <c r="R650" s="12" t="s">
        <v>25</v>
      </c>
      <c r="S650" s="13">
        <f t="shared" si="10"/>
        <v>-0.82</v>
      </c>
    </row>
    <row r="651" spans="1:19">
      <c r="A651" s="10" t="s">
        <v>2123</v>
      </c>
      <c r="B651" s="11" t="s">
        <v>650</v>
      </c>
      <c r="C651" s="11" t="s">
        <v>651</v>
      </c>
      <c r="D651" s="11" t="s">
        <v>25</v>
      </c>
      <c r="E651" s="11" t="s">
        <v>25</v>
      </c>
      <c r="F651">
        <v>145</v>
      </c>
      <c r="G651">
        <v>161</v>
      </c>
      <c r="H651" s="12" t="s">
        <v>25</v>
      </c>
      <c r="I651" s="11" t="s">
        <v>630</v>
      </c>
      <c r="J651" s="11" t="s">
        <v>25</v>
      </c>
      <c r="K651" s="11" t="s">
        <v>25</v>
      </c>
      <c r="L651" s="12">
        <v>-1.1299999999999999</v>
      </c>
      <c r="M651" s="12" t="s">
        <v>23</v>
      </c>
      <c r="N651" s="11" t="s">
        <v>230</v>
      </c>
      <c r="O651" s="12" t="s">
        <v>25</v>
      </c>
      <c r="P651" s="11" t="s">
        <v>25</v>
      </c>
      <c r="Q651" s="37" t="s">
        <v>25</v>
      </c>
      <c r="R651" s="12" t="s">
        <v>25</v>
      </c>
      <c r="S651" s="13">
        <f t="shared" si="10"/>
        <v>-1.1299999999999999</v>
      </c>
    </row>
    <row r="652" spans="1:19">
      <c r="A652" s="10" t="s">
        <v>2123</v>
      </c>
      <c r="B652" s="11" t="s">
        <v>652</v>
      </c>
      <c r="C652" s="11" t="s">
        <v>651</v>
      </c>
      <c r="D652" s="11" t="s">
        <v>25</v>
      </c>
      <c r="E652" s="11" t="s">
        <v>25</v>
      </c>
      <c r="F652">
        <v>145</v>
      </c>
      <c r="G652">
        <v>161</v>
      </c>
      <c r="H652" s="12" t="s">
        <v>25</v>
      </c>
      <c r="I652" s="11" t="s">
        <v>630</v>
      </c>
      <c r="J652" s="11" t="s">
        <v>25</v>
      </c>
      <c r="K652" s="11" t="s">
        <v>25</v>
      </c>
      <c r="L652" s="12">
        <v>-1.1399999999999999</v>
      </c>
      <c r="M652" s="12" t="s">
        <v>23</v>
      </c>
      <c r="N652" s="11" t="s">
        <v>230</v>
      </c>
      <c r="O652" s="12" t="s">
        <v>25</v>
      </c>
      <c r="P652" s="11" t="s">
        <v>25</v>
      </c>
      <c r="Q652" s="37" t="s">
        <v>25</v>
      </c>
      <c r="R652" s="12" t="s">
        <v>25</v>
      </c>
      <c r="S652" s="13">
        <f t="shared" si="10"/>
        <v>-1.1399999999999999</v>
      </c>
    </row>
    <row r="653" spans="1:19">
      <c r="A653" s="10" t="s">
        <v>2123</v>
      </c>
      <c r="B653" s="11" t="s">
        <v>653</v>
      </c>
      <c r="C653" s="11" t="s">
        <v>654</v>
      </c>
      <c r="D653" s="11" t="s">
        <v>25</v>
      </c>
      <c r="E653" s="11" t="s">
        <v>25</v>
      </c>
      <c r="F653">
        <v>145</v>
      </c>
      <c r="G653">
        <v>161</v>
      </c>
      <c r="H653" s="12" t="s">
        <v>25</v>
      </c>
      <c r="I653" s="11" t="s">
        <v>630</v>
      </c>
      <c r="J653" s="11" t="s">
        <v>25</v>
      </c>
      <c r="K653" s="11" t="s">
        <v>25</v>
      </c>
      <c r="L653" s="12">
        <v>-1.47</v>
      </c>
      <c r="M653" s="12" t="s">
        <v>23</v>
      </c>
      <c r="N653" s="11" t="s">
        <v>230</v>
      </c>
      <c r="O653" s="12" t="s">
        <v>25</v>
      </c>
      <c r="P653" s="11" t="s">
        <v>25</v>
      </c>
      <c r="Q653" s="37" t="s">
        <v>25</v>
      </c>
      <c r="R653" s="12" t="s">
        <v>25</v>
      </c>
      <c r="S653" s="13">
        <f t="shared" si="10"/>
        <v>-1.47</v>
      </c>
    </row>
    <row r="654" spans="1:19">
      <c r="A654" s="10" t="s">
        <v>2123</v>
      </c>
      <c r="B654" s="11" t="s">
        <v>655</v>
      </c>
      <c r="C654" s="11" t="s">
        <v>656</v>
      </c>
      <c r="D654" s="11" t="s">
        <v>25</v>
      </c>
      <c r="E654" s="11" t="s">
        <v>25</v>
      </c>
      <c r="F654">
        <v>145</v>
      </c>
      <c r="G654">
        <v>161</v>
      </c>
      <c r="H654" s="12" t="s">
        <v>25</v>
      </c>
      <c r="I654" s="11" t="s">
        <v>630</v>
      </c>
      <c r="J654" s="11" t="s">
        <v>25</v>
      </c>
      <c r="K654" s="11" t="s">
        <v>25</v>
      </c>
      <c r="L654" s="12">
        <v>-1.36</v>
      </c>
      <c r="M654" s="12" t="s">
        <v>23</v>
      </c>
      <c r="N654" s="11" t="s">
        <v>230</v>
      </c>
      <c r="O654" s="12" t="s">
        <v>25</v>
      </c>
      <c r="P654" s="11" t="s">
        <v>25</v>
      </c>
      <c r="Q654" s="37" t="s">
        <v>25</v>
      </c>
      <c r="R654" s="12" t="s">
        <v>25</v>
      </c>
      <c r="S654" s="13">
        <f t="shared" si="10"/>
        <v>-1.36</v>
      </c>
    </row>
    <row r="655" spans="1:19">
      <c r="A655" s="10" t="s">
        <v>2123</v>
      </c>
      <c r="B655" s="11" t="s">
        <v>657</v>
      </c>
      <c r="C655" s="11" t="s">
        <v>658</v>
      </c>
      <c r="D655" s="11" t="s">
        <v>25</v>
      </c>
      <c r="E655" s="11" t="s">
        <v>25</v>
      </c>
      <c r="F655">
        <v>145</v>
      </c>
      <c r="G655">
        <v>161</v>
      </c>
      <c r="H655" s="12" t="s">
        <v>25</v>
      </c>
      <c r="I655" s="11" t="s">
        <v>630</v>
      </c>
      <c r="J655" s="11" t="s">
        <v>25</v>
      </c>
      <c r="K655" s="11" t="s">
        <v>25</v>
      </c>
      <c r="L655" s="12">
        <v>-0.99</v>
      </c>
      <c r="M655" s="12" t="s">
        <v>23</v>
      </c>
      <c r="N655" s="11" t="s">
        <v>230</v>
      </c>
      <c r="O655" s="12" t="s">
        <v>25</v>
      </c>
      <c r="P655" s="11" t="s">
        <v>25</v>
      </c>
      <c r="Q655" s="37" t="s">
        <v>25</v>
      </c>
      <c r="R655" s="12" t="s">
        <v>25</v>
      </c>
      <c r="S655" s="13">
        <f t="shared" si="10"/>
        <v>-0.99</v>
      </c>
    </row>
    <row r="656" spans="1:19">
      <c r="A656" s="10" t="s">
        <v>2123</v>
      </c>
      <c r="B656" s="11" t="s">
        <v>659</v>
      </c>
      <c r="C656" s="11" t="s">
        <v>660</v>
      </c>
      <c r="D656" s="11" t="s">
        <v>25</v>
      </c>
      <c r="E656" s="11" t="s">
        <v>25</v>
      </c>
      <c r="F656">
        <v>145</v>
      </c>
      <c r="G656">
        <v>161</v>
      </c>
      <c r="H656" s="12" t="s">
        <v>25</v>
      </c>
      <c r="I656" s="11" t="s">
        <v>630</v>
      </c>
      <c r="J656" s="11" t="s">
        <v>25</v>
      </c>
      <c r="K656" s="11" t="s">
        <v>25</v>
      </c>
      <c r="L656" s="12">
        <v>-1.4</v>
      </c>
      <c r="M656" s="12" t="s">
        <v>23</v>
      </c>
      <c r="N656" s="11" t="s">
        <v>230</v>
      </c>
      <c r="O656" s="12" t="s">
        <v>25</v>
      </c>
      <c r="P656" s="11" t="s">
        <v>25</v>
      </c>
      <c r="Q656" s="37" t="s">
        <v>25</v>
      </c>
      <c r="R656" s="12" t="s">
        <v>25</v>
      </c>
      <c r="S656" s="13">
        <f t="shared" si="10"/>
        <v>-1.4</v>
      </c>
    </row>
    <row r="657" spans="1:19">
      <c r="A657" s="10" t="s">
        <v>2123</v>
      </c>
      <c r="B657" s="11" t="s">
        <v>661</v>
      </c>
      <c r="C657" s="11" t="s">
        <v>662</v>
      </c>
      <c r="D657" s="11" t="s">
        <v>25</v>
      </c>
      <c r="E657" s="11" t="s">
        <v>25</v>
      </c>
      <c r="F657">
        <v>145</v>
      </c>
      <c r="G657">
        <v>161</v>
      </c>
      <c r="H657" s="12" t="s">
        <v>25</v>
      </c>
      <c r="I657" s="11" t="s">
        <v>630</v>
      </c>
      <c r="J657" s="11" t="s">
        <v>25</v>
      </c>
      <c r="K657" s="11" t="s">
        <v>25</v>
      </c>
      <c r="L657" s="12">
        <v>-0.91</v>
      </c>
      <c r="M657" s="12" t="s">
        <v>23</v>
      </c>
      <c r="N657" s="11" t="s">
        <v>230</v>
      </c>
      <c r="O657" s="12" t="s">
        <v>25</v>
      </c>
      <c r="P657" s="11" t="s">
        <v>25</v>
      </c>
      <c r="Q657" s="37" t="s">
        <v>25</v>
      </c>
      <c r="R657" s="12" t="s">
        <v>25</v>
      </c>
      <c r="S657" s="13">
        <f t="shared" si="10"/>
        <v>-0.91</v>
      </c>
    </row>
    <row r="658" spans="1:19">
      <c r="A658" s="10" t="s">
        <v>2123</v>
      </c>
      <c r="B658" s="11" t="s">
        <v>663</v>
      </c>
      <c r="C658" s="11" t="s">
        <v>664</v>
      </c>
      <c r="D658" s="11" t="s">
        <v>665</v>
      </c>
      <c r="E658" s="11" t="s">
        <v>25</v>
      </c>
      <c r="F658">
        <v>331</v>
      </c>
      <c r="G658">
        <v>347</v>
      </c>
      <c r="H658" s="12" t="s">
        <v>25</v>
      </c>
      <c r="I658" s="11" t="s">
        <v>630</v>
      </c>
      <c r="J658" s="11" t="s">
        <v>25</v>
      </c>
      <c r="K658" s="11" t="s">
        <v>25</v>
      </c>
      <c r="L658" s="12">
        <v>-1.32</v>
      </c>
      <c r="M658" s="12" t="s">
        <v>23</v>
      </c>
      <c r="N658" s="11" t="s">
        <v>230</v>
      </c>
      <c r="O658" s="12" t="s">
        <v>25</v>
      </c>
      <c r="P658" s="11" t="s">
        <v>25</v>
      </c>
      <c r="Q658" s="37" t="s">
        <v>25</v>
      </c>
      <c r="R658" s="12" t="s">
        <v>25</v>
      </c>
      <c r="S658" s="13">
        <f t="shared" si="10"/>
        <v>-1.32</v>
      </c>
    </row>
    <row r="659" spans="1:19">
      <c r="A659" s="10" t="s">
        <v>2123</v>
      </c>
      <c r="B659" s="11" t="s">
        <v>666</v>
      </c>
      <c r="C659" s="11" t="s">
        <v>664</v>
      </c>
      <c r="D659" s="11" t="s">
        <v>665</v>
      </c>
      <c r="E659" s="11" t="s">
        <v>25</v>
      </c>
      <c r="F659">
        <v>331</v>
      </c>
      <c r="G659">
        <v>347</v>
      </c>
      <c r="H659" s="12" t="s">
        <v>25</v>
      </c>
      <c r="I659" s="11" t="s">
        <v>630</v>
      </c>
      <c r="J659" s="11" t="s">
        <v>25</v>
      </c>
      <c r="K659" s="11" t="s">
        <v>25</v>
      </c>
      <c r="L659" s="12">
        <v>-1.29</v>
      </c>
      <c r="M659" s="12" t="s">
        <v>23</v>
      </c>
      <c r="N659" s="11" t="s">
        <v>230</v>
      </c>
      <c r="O659" s="12" t="s">
        <v>25</v>
      </c>
      <c r="P659" s="11" t="s">
        <v>25</v>
      </c>
      <c r="Q659" s="37" t="s">
        <v>25</v>
      </c>
      <c r="R659" s="12" t="s">
        <v>25</v>
      </c>
      <c r="S659" s="13">
        <f t="shared" si="10"/>
        <v>-1.29</v>
      </c>
    </row>
    <row r="660" spans="1:19">
      <c r="A660" s="10" t="s">
        <v>2123</v>
      </c>
      <c r="B660" s="11" t="s">
        <v>667</v>
      </c>
      <c r="C660" s="11" t="s">
        <v>664</v>
      </c>
      <c r="D660" s="11" t="s">
        <v>665</v>
      </c>
      <c r="E660" s="11" t="s">
        <v>25</v>
      </c>
      <c r="F660">
        <v>331</v>
      </c>
      <c r="G660">
        <v>347</v>
      </c>
      <c r="H660" s="12" t="s">
        <v>25</v>
      </c>
      <c r="I660" s="11" t="s">
        <v>630</v>
      </c>
      <c r="J660" s="11" t="s">
        <v>25</v>
      </c>
      <c r="K660" s="11" t="s">
        <v>25</v>
      </c>
      <c r="L660" s="12">
        <v>-1.26</v>
      </c>
      <c r="M660" s="12" t="s">
        <v>23</v>
      </c>
      <c r="N660" s="11" t="s">
        <v>230</v>
      </c>
      <c r="O660" s="12" t="s">
        <v>25</v>
      </c>
      <c r="P660" s="11" t="s">
        <v>25</v>
      </c>
      <c r="Q660" s="37" t="s">
        <v>25</v>
      </c>
      <c r="R660" s="12" t="s">
        <v>25</v>
      </c>
      <c r="S660" s="13">
        <f t="shared" si="10"/>
        <v>-1.26</v>
      </c>
    </row>
    <row r="661" spans="1:19">
      <c r="A661" s="10" t="s">
        <v>2123</v>
      </c>
      <c r="B661" s="11" t="s">
        <v>668</v>
      </c>
      <c r="C661" s="11" t="s">
        <v>669</v>
      </c>
      <c r="D661" s="11" t="s">
        <v>670</v>
      </c>
      <c r="E661" s="11" t="s">
        <v>25</v>
      </c>
      <c r="F661">
        <v>461</v>
      </c>
      <c r="G661">
        <v>468</v>
      </c>
      <c r="H661" s="12" t="s">
        <v>25</v>
      </c>
      <c r="I661" s="11" t="s">
        <v>630</v>
      </c>
      <c r="J661" s="11" t="s">
        <v>25</v>
      </c>
      <c r="K661" s="11" t="s">
        <v>25</v>
      </c>
      <c r="L661" s="12">
        <v>-1.1399999999999999</v>
      </c>
      <c r="M661" s="12" t="s">
        <v>23</v>
      </c>
      <c r="N661" s="11" t="s">
        <v>230</v>
      </c>
      <c r="O661" s="12" t="s">
        <v>25</v>
      </c>
      <c r="P661" s="11" t="s">
        <v>25</v>
      </c>
      <c r="Q661" s="37" t="s">
        <v>25</v>
      </c>
      <c r="R661" s="12" t="s">
        <v>25</v>
      </c>
      <c r="S661" s="13">
        <f t="shared" si="10"/>
        <v>-1.1399999999999999</v>
      </c>
    </row>
    <row r="662" spans="1:19">
      <c r="A662" s="10" t="s">
        <v>2123</v>
      </c>
      <c r="B662" s="11" t="s">
        <v>671</v>
      </c>
      <c r="C662" s="11" t="s">
        <v>669</v>
      </c>
      <c r="D662" s="11" t="s">
        <v>670</v>
      </c>
      <c r="E662" s="11" t="s">
        <v>25</v>
      </c>
      <c r="F662">
        <v>461</v>
      </c>
      <c r="G662">
        <v>468</v>
      </c>
      <c r="H662" s="12" t="s">
        <v>25</v>
      </c>
      <c r="I662" s="11" t="s">
        <v>630</v>
      </c>
      <c r="J662" s="11" t="s">
        <v>25</v>
      </c>
      <c r="K662" s="11" t="s">
        <v>25</v>
      </c>
      <c r="L662" s="12">
        <v>-1.0900000000000001</v>
      </c>
      <c r="M662" s="12" t="s">
        <v>23</v>
      </c>
      <c r="N662" s="11" t="s">
        <v>230</v>
      </c>
      <c r="O662" s="12" t="s">
        <v>25</v>
      </c>
      <c r="P662" s="11" t="s">
        <v>25</v>
      </c>
      <c r="Q662" s="37" t="s">
        <v>25</v>
      </c>
      <c r="R662" s="12" t="s">
        <v>25</v>
      </c>
      <c r="S662" s="13">
        <f t="shared" si="10"/>
        <v>-1.0900000000000001</v>
      </c>
    </row>
    <row r="663" spans="1:19">
      <c r="A663" s="10" t="s">
        <v>2123</v>
      </c>
      <c r="B663" s="11" t="s">
        <v>672</v>
      </c>
      <c r="C663" s="11" t="s">
        <v>673</v>
      </c>
      <c r="D663" s="11" t="s">
        <v>674</v>
      </c>
      <c r="E663" s="11" t="s">
        <v>25</v>
      </c>
      <c r="F663">
        <v>485</v>
      </c>
      <c r="G663">
        <v>497</v>
      </c>
      <c r="H663" s="12" t="s">
        <v>25</v>
      </c>
      <c r="I663" s="11" t="s">
        <v>630</v>
      </c>
      <c r="J663" s="11" t="s">
        <v>25</v>
      </c>
      <c r="K663" s="11" t="s">
        <v>25</v>
      </c>
      <c r="L663" s="12">
        <v>-1.38</v>
      </c>
      <c r="M663" s="12" t="s">
        <v>23</v>
      </c>
      <c r="N663" s="11" t="s">
        <v>230</v>
      </c>
      <c r="O663" s="12" t="s">
        <v>25</v>
      </c>
      <c r="P663" s="11" t="s">
        <v>25</v>
      </c>
      <c r="Q663" s="37" t="s">
        <v>25</v>
      </c>
      <c r="R663" s="12" t="s">
        <v>25</v>
      </c>
      <c r="S663" s="13">
        <f t="shared" si="10"/>
        <v>-1.38</v>
      </c>
    </row>
    <row r="664" spans="1:19">
      <c r="A664" s="10" t="s">
        <v>2123</v>
      </c>
      <c r="B664" s="11" t="s">
        <v>675</v>
      </c>
      <c r="C664" s="11" t="s">
        <v>673</v>
      </c>
      <c r="D664" s="11" t="s">
        <v>676</v>
      </c>
      <c r="E664" s="11" t="s">
        <v>25</v>
      </c>
      <c r="F664">
        <v>495</v>
      </c>
      <c r="G664">
        <v>505</v>
      </c>
      <c r="H664" s="12" t="s">
        <v>25</v>
      </c>
      <c r="I664" s="11" t="s">
        <v>630</v>
      </c>
      <c r="J664" s="11" t="s">
        <v>25</v>
      </c>
      <c r="K664" s="11" t="s">
        <v>25</v>
      </c>
      <c r="L664" s="12">
        <v>-1.01</v>
      </c>
      <c r="M664" s="12" t="s">
        <v>23</v>
      </c>
      <c r="N664" s="11" t="s">
        <v>230</v>
      </c>
      <c r="O664" s="12" t="s">
        <v>25</v>
      </c>
      <c r="P664" s="11" t="s">
        <v>25</v>
      </c>
      <c r="Q664" s="37" t="s">
        <v>25</v>
      </c>
      <c r="R664" s="12" t="s">
        <v>25</v>
      </c>
      <c r="S664" s="13">
        <f t="shared" si="10"/>
        <v>-1.01</v>
      </c>
    </row>
    <row r="665" spans="1:19">
      <c r="A665" s="10" t="s">
        <v>2123</v>
      </c>
      <c r="B665" s="11" t="s">
        <v>677</v>
      </c>
      <c r="C665" s="11" t="s">
        <v>673</v>
      </c>
      <c r="D665" s="11" t="s">
        <v>676</v>
      </c>
      <c r="E665" s="11" t="s">
        <v>25</v>
      </c>
      <c r="F665">
        <v>495</v>
      </c>
      <c r="G665">
        <v>505</v>
      </c>
      <c r="H665" s="12" t="s">
        <v>25</v>
      </c>
      <c r="I665" s="11" t="s">
        <v>630</v>
      </c>
      <c r="J665" s="11" t="s">
        <v>25</v>
      </c>
      <c r="K665" s="11" t="s">
        <v>25</v>
      </c>
      <c r="L665" s="12">
        <v>-1.01</v>
      </c>
      <c r="M665" s="12" t="s">
        <v>23</v>
      </c>
      <c r="N665" s="11" t="s">
        <v>230</v>
      </c>
      <c r="O665" s="12" t="s">
        <v>25</v>
      </c>
      <c r="P665" s="11" t="s">
        <v>25</v>
      </c>
      <c r="Q665" s="37" t="s">
        <v>25</v>
      </c>
      <c r="R665" s="12" t="s">
        <v>25</v>
      </c>
      <c r="S665" s="13">
        <f t="shared" si="10"/>
        <v>-1.01</v>
      </c>
    </row>
    <row r="666" spans="1:19">
      <c r="A666" s="10" t="s">
        <v>2123</v>
      </c>
      <c r="B666" s="11" t="s">
        <v>678</v>
      </c>
      <c r="C666" s="11" t="s">
        <v>673</v>
      </c>
      <c r="D666" s="11" t="s">
        <v>676</v>
      </c>
      <c r="E666" s="11" t="s">
        <v>25</v>
      </c>
      <c r="F666">
        <v>495</v>
      </c>
      <c r="G666">
        <v>505</v>
      </c>
      <c r="H666" s="12" t="s">
        <v>25</v>
      </c>
      <c r="I666" s="11" t="s">
        <v>630</v>
      </c>
      <c r="J666" s="11" t="s">
        <v>25</v>
      </c>
      <c r="K666" s="11" t="s">
        <v>25</v>
      </c>
      <c r="L666" s="12">
        <v>-0.98</v>
      </c>
      <c r="M666" s="12" t="s">
        <v>23</v>
      </c>
      <c r="N666" s="11" t="s">
        <v>230</v>
      </c>
      <c r="O666" s="12" t="s">
        <v>25</v>
      </c>
      <c r="P666" s="11" t="s">
        <v>25</v>
      </c>
      <c r="Q666" s="37" t="s">
        <v>25</v>
      </c>
      <c r="R666" s="12" t="s">
        <v>25</v>
      </c>
      <c r="S666" s="13">
        <f t="shared" si="10"/>
        <v>-0.98</v>
      </c>
    </row>
    <row r="667" spans="1:19">
      <c r="A667" s="10" t="s">
        <v>2123</v>
      </c>
      <c r="B667" s="11" t="s">
        <v>679</v>
      </c>
      <c r="C667" s="11" t="s">
        <v>673</v>
      </c>
      <c r="D667" s="11" t="s">
        <v>676</v>
      </c>
      <c r="E667" s="11" t="s">
        <v>25</v>
      </c>
      <c r="F667">
        <v>495</v>
      </c>
      <c r="G667">
        <v>505</v>
      </c>
      <c r="H667" s="12" t="s">
        <v>25</v>
      </c>
      <c r="I667" s="11" t="s">
        <v>630</v>
      </c>
      <c r="J667" s="11" t="s">
        <v>25</v>
      </c>
      <c r="K667" s="11" t="s">
        <v>25</v>
      </c>
      <c r="L667" s="12">
        <v>-0.91</v>
      </c>
      <c r="M667" s="12" t="s">
        <v>23</v>
      </c>
      <c r="N667" s="11" t="s">
        <v>230</v>
      </c>
      <c r="O667" s="12" t="s">
        <v>25</v>
      </c>
      <c r="P667" s="11" t="s">
        <v>25</v>
      </c>
      <c r="Q667" s="37" t="s">
        <v>25</v>
      </c>
      <c r="R667" s="12" t="s">
        <v>25</v>
      </c>
      <c r="S667" s="13">
        <f t="shared" si="10"/>
        <v>-0.91</v>
      </c>
    </row>
    <row r="668" spans="1:19" s="4" customFormat="1">
      <c r="B668" s="5"/>
      <c r="C668" s="5"/>
      <c r="D668" s="5"/>
      <c r="E668" s="33"/>
      <c r="I668" s="5"/>
      <c r="J668" s="5"/>
      <c r="M668" s="5"/>
      <c r="O668" s="5"/>
      <c r="P668" s="6"/>
      <c r="Q668" s="38"/>
      <c r="S668" s="24"/>
    </row>
    <row r="669" spans="1:19" ht="16">
      <c r="A669" s="10" t="s">
        <v>701</v>
      </c>
      <c r="B669" s="11" t="s">
        <v>702</v>
      </c>
      <c r="C669" s="11" t="s">
        <v>763</v>
      </c>
      <c r="D669" s="11" t="s">
        <v>25</v>
      </c>
      <c r="E669" s="11" t="s">
        <v>25</v>
      </c>
      <c r="F669">
        <v>19.3</v>
      </c>
      <c r="G669">
        <v>19.3</v>
      </c>
      <c r="H669" s="12">
        <v>498.84</v>
      </c>
      <c r="I669" s="15" t="s">
        <v>723</v>
      </c>
      <c r="J669" s="11" t="s">
        <v>25</v>
      </c>
      <c r="K669" s="11" t="s">
        <v>25</v>
      </c>
      <c r="L669" s="12">
        <v>1.02</v>
      </c>
      <c r="M669" s="11" t="s">
        <v>23</v>
      </c>
      <c r="N669" s="11" t="s">
        <v>24</v>
      </c>
      <c r="O669" s="11" t="s">
        <v>25</v>
      </c>
      <c r="P669" s="16" t="s">
        <v>25</v>
      </c>
      <c r="Q669" s="37" t="s">
        <v>25</v>
      </c>
      <c r="R669" s="11" t="s">
        <v>25</v>
      </c>
      <c r="S669" s="13">
        <f t="shared" si="10"/>
        <v>-0.85999999999999988</v>
      </c>
    </row>
    <row r="670" spans="1:19" ht="16">
      <c r="A670" s="10" t="s">
        <v>701</v>
      </c>
      <c r="B670" s="11" t="s">
        <v>703</v>
      </c>
      <c r="C670" s="11"/>
      <c r="D670" s="11" t="s">
        <v>25</v>
      </c>
      <c r="E670" s="11" t="s">
        <v>25</v>
      </c>
      <c r="F670">
        <v>26.6</v>
      </c>
      <c r="G670">
        <v>26.6</v>
      </c>
      <c r="H670" s="12" t="s">
        <v>715</v>
      </c>
      <c r="I670" s="15" t="s">
        <v>723</v>
      </c>
      <c r="J670" s="11" t="s">
        <v>25</v>
      </c>
      <c r="K670" s="11" t="s">
        <v>25</v>
      </c>
      <c r="L670" s="12">
        <v>0.45999999999999996</v>
      </c>
      <c r="M670" s="11" t="s">
        <v>23</v>
      </c>
      <c r="N670" s="11" t="s">
        <v>24</v>
      </c>
      <c r="O670" s="11" t="s">
        <v>25</v>
      </c>
      <c r="P670" s="16" t="s">
        <v>25</v>
      </c>
      <c r="Q670" s="37" t="s">
        <v>25</v>
      </c>
      <c r="R670" s="11" t="s">
        <v>25</v>
      </c>
      <c r="S670" s="13">
        <f t="shared" si="10"/>
        <v>-1.42</v>
      </c>
    </row>
    <row r="671" spans="1:19" ht="16">
      <c r="A671" s="10" t="s">
        <v>701</v>
      </c>
      <c r="B671" s="11" t="s">
        <v>704</v>
      </c>
      <c r="C671" s="11"/>
      <c r="D671" s="11" t="s">
        <v>25</v>
      </c>
      <c r="E671" s="11" t="s">
        <v>25</v>
      </c>
      <c r="F671">
        <v>33</v>
      </c>
      <c r="G671">
        <v>33</v>
      </c>
      <c r="H671" s="12" t="s">
        <v>716</v>
      </c>
      <c r="I671" s="15" t="s">
        <v>723</v>
      </c>
      <c r="J671" s="11" t="s">
        <v>25</v>
      </c>
      <c r="K671" s="11" t="s">
        <v>25</v>
      </c>
      <c r="L671" s="12">
        <v>0.60999999999999988</v>
      </c>
      <c r="M671" s="11" t="s">
        <v>23</v>
      </c>
      <c r="N671" s="11" t="s">
        <v>24</v>
      </c>
      <c r="O671" s="11" t="s">
        <v>25</v>
      </c>
      <c r="P671" s="16" t="s">
        <v>25</v>
      </c>
      <c r="Q671" s="37" t="s">
        <v>25</v>
      </c>
      <c r="R671" s="11" t="s">
        <v>25</v>
      </c>
      <c r="S671" s="13">
        <f t="shared" si="10"/>
        <v>-1.27</v>
      </c>
    </row>
    <row r="672" spans="1:19" ht="16">
      <c r="A672" s="10" t="s">
        <v>701</v>
      </c>
      <c r="B672" s="11" t="s">
        <v>705</v>
      </c>
      <c r="C672" s="11"/>
      <c r="D672" s="11" t="s">
        <v>25</v>
      </c>
      <c r="E672" s="11" t="s">
        <v>25</v>
      </c>
      <c r="F672">
        <v>37.1</v>
      </c>
      <c r="G672">
        <v>37.1</v>
      </c>
      <c r="H672" s="12" t="s">
        <v>717</v>
      </c>
      <c r="I672" s="15" t="s">
        <v>723</v>
      </c>
      <c r="J672" s="11" t="s">
        <v>25</v>
      </c>
      <c r="K672" s="11" t="s">
        <v>25</v>
      </c>
      <c r="L672" s="12">
        <v>0.49</v>
      </c>
      <c r="M672" s="11" t="s">
        <v>23</v>
      </c>
      <c r="N672" s="11" t="s">
        <v>24</v>
      </c>
      <c r="O672" s="11" t="s">
        <v>25</v>
      </c>
      <c r="P672" s="16" t="s">
        <v>25</v>
      </c>
      <c r="Q672" s="37" t="s">
        <v>25</v>
      </c>
      <c r="R672" s="11" t="s">
        <v>25</v>
      </c>
      <c r="S672" s="13">
        <f t="shared" si="10"/>
        <v>-1.39</v>
      </c>
    </row>
    <row r="673" spans="1:19" ht="16">
      <c r="A673" s="10" t="s">
        <v>701</v>
      </c>
      <c r="B673" s="11" t="s">
        <v>706</v>
      </c>
      <c r="C673" s="11"/>
      <c r="D673" s="11" t="s">
        <v>25</v>
      </c>
      <c r="E673" s="11" t="s">
        <v>25</v>
      </c>
      <c r="F673">
        <v>42.7</v>
      </c>
      <c r="G673">
        <v>42.7</v>
      </c>
      <c r="H673" s="12" t="s">
        <v>718</v>
      </c>
      <c r="I673" s="15" t="s">
        <v>723</v>
      </c>
      <c r="J673" s="11" t="s">
        <v>25</v>
      </c>
      <c r="K673" s="11" t="s">
        <v>25</v>
      </c>
      <c r="L673" s="12">
        <v>1.0999999999999999</v>
      </c>
      <c r="M673" s="11" t="s">
        <v>23</v>
      </c>
      <c r="N673" s="11" t="s">
        <v>24</v>
      </c>
      <c r="O673" s="11" t="s">
        <v>25</v>
      </c>
      <c r="P673" s="16" t="s">
        <v>25</v>
      </c>
      <c r="Q673" s="37" t="s">
        <v>25</v>
      </c>
      <c r="R673" s="11" t="s">
        <v>25</v>
      </c>
      <c r="S673" s="13">
        <f t="shared" si="10"/>
        <v>-0.78</v>
      </c>
    </row>
    <row r="674" spans="1:19" ht="16">
      <c r="A674" s="10" t="s">
        <v>701</v>
      </c>
      <c r="B674" s="11" t="s">
        <v>707</v>
      </c>
      <c r="C674" s="11"/>
      <c r="D674" s="11" t="s">
        <v>25</v>
      </c>
      <c r="E674" s="11" t="s">
        <v>25</v>
      </c>
      <c r="F674">
        <v>40.200000000000003</v>
      </c>
      <c r="G674">
        <v>40.200000000000003</v>
      </c>
      <c r="H674" s="12" t="s">
        <v>719</v>
      </c>
      <c r="I674" s="15" t="s">
        <v>723</v>
      </c>
      <c r="J674" s="11" t="s">
        <v>25</v>
      </c>
      <c r="K674" s="11" t="s">
        <v>25</v>
      </c>
      <c r="L674" s="12">
        <v>1.18</v>
      </c>
      <c r="M674" s="11" t="s">
        <v>23</v>
      </c>
      <c r="N674" s="11" t="s">
        <v>24</v>
      </c>
      <c r="O674" s="11" t="s">
        <v>25</v>
      </c>
      <c r="P674" s="16" t="s">
        <v>25</v>
      </c>
      <c r="Q674" s="37" t="s">
        <v>25</v>
      </c>
      <c r="R674" s="11" t="s">
        <v>25</v>
      </c>
      <c r="S674" s="13">
        <f t="shared" si="10"/>
        <v>-0.7</v>
      </c>
    </row>
    <row r="675" spans="1:19" ht="16">
      <c r="A675" s="10" t="s">
        <v>701</v>
      </c>
      <c r="B675" s="11" t="s">
        <v>708</v>
      </c>
      <c r="C675" s="11"/>
      <c r="D675" s="11" t="s">
        <v>25</v>
      </c>
      <c r="E675" s="11" t="s">
        <v>25</v>
      </c>
      <c r="F675">
        <v>49.7</v>
      </c>
      <c r="G675">
        <v>49.7</v>
      </c>
      <c r="H675" s="12" t="s">
        <v>720</v>
      </c>
      <c r="I675" s="15" t="s">
        <v>723</v>
      </c>
      <c r="J675" s="11" t="s">
        <v>25</v>
      </c>
      <c r="K675" s="11" t="s">
        <v>25</v>
      </c>
      <c r="L675" s="12">
        <v>0.90999999999999992</v>
      </c>
      <c r="M675" s="11" t="s">
        <v>23</v>
      </c>
      <c r="N675" s="11" t="s">
        <v>24</v>
      </c>
      <c r="O675" s="11" t="s">
        <v>25</v>
      </c>
      <c r="P675" s="16" t="s">
        <v>25</v>
      </c>
      <c r="Q675" s="37" t="s">
        <v>25</v>
      </c>
      <c r="R675" s="11" t="s">
        <v>25</v>
      </c>
      <c r="S675" s="13">
        <f t="shared" si="10"/>
        <v>-0.97</v>
      </c>
    </row>
    <row r="676" spans="1:19" ht="16">
      <c r="A676" s="10" t="s">
        <v>701</v>
      </c>
      <c r="B676" s="11" t="s">
        <v>709</v>
      </c>
      <c r="C676" s="11"/>
      <c r="D676" s="11" t="s">
        <v>25</v>
      </c>
      <c r="E676" s="11" t="s">
        <v>25</v>
      </c>
      <c r="F676">
        <v>69.3</v>
      </c>
      <c r="G676">
        <v>69.3</v>
      </c>
      <c r="H676" s="12" t="s">
        <v>721</v>
      </c>
      <c r="I676" s="15" t="s">
        <v>723</v>
      </c>
      <c r="J676" s="11" t="s">
        <v>25</v>
      </c>
      <c r="K676" s="11" t="s">
        <v>25</v>
      </c>
      <c r="L676" s="12">
        <v>0.78</v>
      </c>
      <c r="M676" s="11" t="s">
        <v>23</v>
      </c>
      <c r="N676" s="11" t="s">
        <v>24</v>
      </c>
      <c r="O676" s="11" t="s">
        <v>25</v>
      </c>
      <c r="P676" s="16" t="s">
        <v>25</v>
      </c>
      <c r="Q676" s="37" t="s">
        <v>25</v>
      </c>
      <c r="R676" s="11" t="s">
        <v>25</v>
      </c>
      <c r="S676" s="13">
        <f t="shared" si="10"/>
        <v>-1.0999999999999999</v>
      </c>
    </row>
    <row r="677" spans="1:19" ht="16">
      <c r="A677" s="10" t="s">
        <v>701</v>
      </c>
      <c r="B677" s="11" t="s">
        <v>710</v>
      </c>
      <c r="C677" s="11"/>
      <c r="D677" s="11" t="s">
        <v>25</v>
      </c>
      <c r="E677" s="11" t="s">
        <v>25</v>
      </c>
      <c r="F677">
        <v>76.8</v>
      </c>
      <c r="G677">
        <v>76.8</v>
      </c>
      <c r="H677" s="12" t="s">
        <v>722</v>
      </c>
      <c r="I677" s="15" t="s">
        <v>723</v>
      </c>
      <c r="J677" s="11" t="s">
        <v>25</v>
      </c>
      <c r="K677" s="11" t="s">
        <v>25</v>
      </c>
      <c r="L677" s="12">
        <v>0.6</v>
      </c>
      <c r="M677" s="11" t="s">
        <v>23</v>
      </c>
      <c r="N677" s="11" t="s">
        <v>24</v>
      </c>
      <c r="O677" s="11" t="s">
        <v>25</v>
      </c>
      <c r="P677" s="16" t="s">
        <v>25</v>
      </c>
      <c r="Q677" s="37" t="s">
        <v>25</v>
      </c>
      <c r="R677" s="11" t="s">
        <v>25</v>
      </c>
      <c r="S677" s="13">
        <f t="shared" si="10"/>
        <v>-1.2799999999999998</v>
      </c>
    </row>
    <row r="678" spans="1:19" ht="16">
      <c r="A678" s="10" t="s">
        <v>701</v>
      </c>
      <c r="B678" s="11" t="s">
        <v>711</v>
      </c>
      <c r="C678" s="11"/>
      <c r="D678" s="11" t="s">
        <v>25</v>
      </c>
      <c r="E678" s="11" t="s">
        <v>25</v>
      </c>
      <c r="F678">
        <v>17.850000000000001</v>
      </c>
      <c r="G678">
        <v>17.850000000000001</v>
      </c>
      <c r="H678" s="12"/>
      <c r="I678" s="15" t="s">
        <v>723</v>
      </c>
      <c r="J678" s="11" t="s">
        <v>25</v>
      </c>
      <c r="K678" s="11" t="s">
        <v>25</v>
      </c>
      <c r="L678" s="12">
        <v>0.3899999999999999</v>
      </c>
      <c r="M678" s="11" t="s">
        <v>23</v>
      </c>
      <c r="N678" s="11" t="s">
        <v>24</v>
      </c>
      <c r="O678" s="11" t="s">
        <v>25</v>
      </c>
      <c r="P678" s="16" t="s">
        <v>25</v>
      </c>
      <c r="Q678" s="37" t="s">
        <v>25</v>
      </c>
      <c r="R678" s="11" t="s">
        <v>25</v>
      </c>
      <c r="S678" s="13">
        <f t="shared" si="10"/>
        <v>-1.49</v>
      </c>
    </row>
    <row r="679" spans="1:19" ht="16">
      <c r="A679" s="10" t="s">
        <v>701</v>
      </c>
      <c r="B679" s="11" t="s">
        <v>711</v>
      </c>
      <c r="C679" s="11"/>
      <c r="D679" s="11" t="s">
        <v>25</v>
      </c>
      <c r="E679" s="11" t="s">
        <v>25</v>
      </c>
      <c r="F679">
        <v>15.75</v>
      </c>
      <c r="G679">
        <v>15.75</v>
      </c>
      <c r="H679" s="12"/>
      <c r="I679" s="15" t="s">
        <v>723</v>
      </c>
      <c r="J679" s="11" t="s">
        <v>25</v>
      </c>
      <c r="K679" s="11" t="s">
        <v>25</v>
      </c>
      <c r="L679" s="12">
        <v>0.64999999999999991</v>
      </c>
      <c r="M679" s="11" t="s">
        <v>23</v>
      </c>
      <c r="N679" s="11" t="s">
        <v>24</v>
      </c>
      <c r="O679" s="11" t="s">
        <v>25</v>
      </c>
      <c r="P679" s="16" t="s">
        <v>25</v>
      </c>
      <c r="Q679" s="37" t="s">
        <v>25</v>
      </c>
      <c r="R679" s="11" t="s">
        <v>25</v>
      </c>
      <c r="S679" s="13">
        <f t="shared" si="10"/>
        <v>-1.23</v>
      </c>
    </row>
    <row r="680" spans="1:19" ht="16">
      <c r="A680" s="10" t="s">
        <v>701</v>
      </c>
      <c r="B680" s="11" t="s">
        <v>712</v>
      </c>
      <c r="C680" s="11"/>
      <c r="D680" s="11" t="s">
        <v>25</v>
      </c>
      <c r="E680" s="11" t="s">
        <v>25</v>
      </c>
      <c r="F680">
        <v>4.99</v>
      </c>
      <c r="G680">
        <v>4.99</v>
      </c>
      <c r="H680" s="12">
        <v>152.96</v>
      </c>
      <c r="I680" s="15" t="s">
        <v>723</v>
      </c>
      <c r="J680" s="11" t="s">
        <v>25</v>
      </c>
      <c r="K680" s="11" t="s">
        <v>25</v>
      </c>
      <c r="L680" s="12">
        <v>0.73</v>
      </c>
      <c r="M680" s="11" t="s">
        <v>23</v>
      </c>
      <c r="N680" s="11" t="s">
        <v>24</v>
      </c>
      <c r="O680" s="11" t="s">
        <v>25</v>
      </c>
      <c r="P680" s="16" t="s">
        <v>25</v>
      </c>
      <c r="Q680" s="37" t="s">
        <v>25</v>
      </c>
      <c r="R680" s="11" t="s">
        <v>25</v>
      </c>
      <c r="S680" s="13">
        <f t="shared" si="10"/>
        <v>-1.1499999999999999</v>
      </c>
    </row>
    <row r="681" spans="1:19" ht="16">
      <c r="A681" s="10" t="s">
        <v>701</v>
      </c>
      <c r="B681" s="11" t="s">
        <v>713</v>
      </c>
      <c r="C681" s="11"/>
      <c r="D681" s="11" t="s">
        <v>25</v>
      </c>
      <c r="E681" s="11" t="s">
        <v>25</v>
      </c>
      <c r="F681">
        <v>10.63</v>
      </c>
      <c r="G681">
        <v>10.63</v>
      </c>
      <c r="H681" s="12">
        <v>373.7</v>
      </c>
      <c r="I681" s="15" t="s">
        <v>723</v>
      </c>
      <c r="J681" s="11" t="s">
        <v>25</v>
      </c>
      <c r="K681" s="11" t="s">
        <v>25</v>
      </c>
      <c r="L681" s="12">
        <v>0.67999999999999994</v>
      </c>
      <c r="M681" s="11" t="s">
        <v>23</v>
      </c>
      <c r="N681" s="11" t="s">
        <v>24</v>
      </c>
      <c r="O681" s="11" t="s">
        <v>25</v>
      </c>
      <c r="P681" s="16" t="s">
        <v>25</v>
      </c>
      <c r="Q681" s="37" t="s">
        <v>25</v>
      </c>
      <c r="R681" s="11" t="s">
        <v>25</v>
      </c>
      <c r="S681" s="13">
        <f t="shared" si="10"/>
        <v>-1.2</v>
      </c>
    </row>
    <row r="682" spans="1:19" ht="16">
      <c r="A682" s="10" t="s">
        <v>701</v>
      </c>
      <c r="B682" s="11" t="s">
        <v>714</v>
      </c>
      <c r="C682" s="11"/>
      <c r="D682" s="11" t="s">
        <v>25</v>
      </c>
      <c r="E682" s="11" t="s">
        <v>25</v>
      </c>
      <c r="F682">
        <v>20</v>
      </c>
      <c r="G682">
        <v>20</v>
      </c>
      <c r="H682" s="12"/>
      <c r="I682" s="15" t="s">
        <v>723</v>
      </c>
      <c r="J682" s="11" t="s">
        <v>25</v>
      </c>
      <c r="K682" s="11" t="s">
        <v>25</v>
      </c>
      <c r="L682" s="12">
        <v>0.83</v>
      </c>
      <c r="M682" s="11" t="s">
        <v>23</v>
      </c>
      <c r="N682" s="11" t="s">
        <v>24</v>
      </c>
      <c r="O682" s="11" t="s">
        <v>25</v>
      </c>
      <c r="P682" s="16" t="s">
        <v>25</v>
      </c>
      <c r="Q682" s="37" t="s">
        <v>25</v>
      </c>
      <c r="R682" s="11" t="s">
        <v>25</v>
      </c>
      <c r="S682" s="13">
        <f t="shared" si="10"/>
        <v>-1.0499999999999998</v>
      </c>
    </row>
    <row r="683" spans="1:19" s="4" customFormat="1">
      <c r="B683" s="5"/>
      <c r="C683" s="5"/>
      <c r="D683" s="5"/>
      <c r="E683" s="33"/>
      <c r="I683" s="5"/>
      <c r="J683" s="5"/>
      <c r="M683" s="5"/>
      <c r="O683" s="5"/>
      <c r="P683" s="6"/>
      <c r="Q683" s="38"/>
      <c r="S683" s="24"/>
    </row>
    <row r="684" spans="1:19" ht="16">
      <c r="A684" s="10" t="s">
        <v>724</v>
      </c>
      <c r="B684" s="11" t="s">
        <v>725</v>
      </c>
      <c r="C684" s="11" t="s">
        <v>761</v>
      </c>
      <c r="D684" s="11" t="s">
        <v>25</v>
      </c>
      <c r="E684" s="11" t="s">
        <v>25</v>
      </c>
      <c r="F684">
        <v>0.15</v>
      </c>
      <c r="G684">
        <v>0.15</v>
      </c>
      <c r="H684" s="12">
        <v>0.08</v>
      </c>
      <c r="I684" s="15" t="s">
        <v>723</v>
      </c>
      <c r="J684" s="11" t="s">
        <v>25</v>
      </c>
      <c r="K684" s="11" t="s">
        <v>25</v>
      </c>
      <c r="L684" s="12">
        <v>0.75</v>
      </c>
      <c r="M684" s="11" t="s">
        <v>23</v>
      </c>
      <c r="N684" s="11" t="s">
        <v>24</v>
      </c>
      <c r="O684" s="11" t="s">
        <v>25</v>
      </c>
      <c r="P684" s="16" t="s">
        <v>25</v>
      </c>
      <c r="Q684" s="37" t="s">
        <v>25</v>
      </c>
      <c r="R684" s="11" t="s">
        <v>25</v>
      </c>
      <c r="S684" s="13">
        <f t="shared" si="10"/>
        <v>-1.1299999999999999</v>
      </c>
    </row>
    <row r="685" spans="1:19" ht="16">
      <c r="A685" s="10" t="s">
        <v>724</v>
      </c>
      <c r="B685" s="11" t="s">
        <v>726</v>
      </c>
      <c r="C685" s="11" t="s">
        <v>761</v>
      </c>
      <c r="D685" s="11" t="s">
        <v>25</v>
      </c>
      <c r="E685" s="11" t="s">
        <v>25</v>
      </c>
      <c r="F685">
        <v>0.33</v>
      </c>
      <c r="G685">
        <v>0.33</v>
      </c>
      <c r="H685" s="12">
        <v>3</v>
      </c>
      <c r="I685" s="15" t="s">
        <v>723</v>
      </c>
      <c r="J685" s="11" t="s">
        <v>25</v>
      </c>
      <c r="K685" s="11" t="s">
        <v>25</v>
      </c>
      <c r="L685" s="12">
        <v>0.73</v>
      </c>
      <c r="M685" s="11" t="s">
        <v>23</v>
      </c>
      <c r="N685" s="11" t="s">
        <v>24</v>
      </c>
      <c r="O685" s="11" t="s">
        <v>25</v>
      </c>
      <c r="P685" s="16" t="s">
        <v>25</v>
      </c>
      <c r="Q685" s="37" t="s">
        <v>25</v>
      </c>
      <c r="R685" s="11" t="s">
        <v>25</v>
      </c>
      <c r="S685" s="13">
        <f t="shared" si="10"/>
        <v>-1.1499999999999999</v>
      </c>
    </row>
    <row r="686" spans="1:19" ht="16">
      <c r="A686" s="10" t="s">
        <v>724</v>
      </c>
      <c r="B686" s="11" t="s">
        <v>727</v>
      </c>
      <c r="C686" s="11" t="s">
        <v>761</v>
      </c>
      <c r="D686" s="11" t="s">
        <v>25</v>
      </c>
      <c r="E686" s="11" t="s">
        <v>25</v>
      </c>
      <c r="F686">
        <v>0.5</v>
      </c>
      <c r="G686">
        <v>0.5</v>
      </c>
      <c r="H686" s="12">
        <v>5.8</v>
      </c>
      <c r="I686" s="15" t="s">
        <v>723</v>
      </c>
      <c r="J686" s="11" t="s">
        <v>25</v>
      </c>
      <c r="K686" s="11" t="s">
        <v>25</v>
      </c>
      <c r="L686" s="12">
        <v>0.80999999999999994</v>
      </c>
      <c r="M686" s="11" t="s">
        <v>23</v>
      </c>
      <c r="N686" s="11" t="s">
        <v>24</v>
      </c>
      <c r="O686" s="11" t="s">
        <v>25</v>
      </c>
      <c r="P686" s="16" t="s">
        <v>25</v>
      </c>
      <c r="Q686" s="37" t="s">
        <v>25</v>
      </c>
      <c r="R686" s="11" t="s">
        <v>25</v>
      </c>
      <c r="S686" s="13">
        <f t="shared" si="10"/>
        <v>-1.0699999999999998</v>
      </c>
    </row>
    <row r="687" spans="1:19" ht="16">
      <c r="A687" s="10" t="s">
        <v>724</v>
      </c>
      <c r="B687" s="11" t="s">
        <v>728</v>
      </c>
      <c r="C687" s="11" t="s">
        <v>761</v>
      </c>
      <c r="D687" s="11" t="s">
        <v>25</v>
      </c>
      <c r="E687" s="11" t="s">
        <v>25</v>
      </c>
      <c r="F687">
        <v>0.78</v>
      </c>
      <c r="G687">
        <v>0.78</v>
      </c>
      <c r="H687" s="12">
        <v>10.46</v>
      </c>
      <c r="I687" s="15" t="s">
        <v>723</v>
      </c>
      <c r="J687" s="11" t="s">
        <v>25</v>
      </c>
      <c r="K687" s="11" t="s">
        <v>25</v>
      </c>
      <c r="L687" s="12">
        <v>0.94</v>
      </c>
      <c r="M687" s="11" t="s">
        <v>23</v>
      </c>
      <c r="N687" s="11" t="s">
        <v>24</v>
      </c>
      <c r="O687" s="11" t="s">
        <v>25</v>
      </c>
      <c r="P687" s="16" t="s">
        <v>25</v>
      </c>
      <c r="Q687" s="37" t="s">
        <v>25</v>
      </c>
      <c r="R687" s="11" t="s">
        <v>25</v>
      </c>
      <c r="S687" s="13">
        <f t="shared" si="10"/>
        <v>-0.94</v>
      </c>
    </row>
    <row r="688" spans="1:19" ht="16">
      <c r="A688" s="10" t="s">
        <v>724</v>
      </c>
      <c r="B688" s="11" t="s">
        <v>729</v>
      </c>
      <c r="C688" s="11" t="s">
        <v>761</v>
      </c>
      <c r="D688" s="11" t="s">
        <v>25</v>
      </c>
      <c r="E688" s="11" t="s">
        <v>25</v>
      </c>
      <c r="F688">
        <v>1.4</v>
      </c>
      <c r="G688">
        <v>1.4</v>
      </c>
      <c r="H688" s="12">
        <v>22.15</v>
      </c>
      <c r="I688" s="15" t="s">
        <v>723</v>
      </c>
      <c r="J688" s="11" t="s">
        <v>25</v>
      </c>
      <c r="K688" s="11" t="s">
        <v>25</v>
      </c>
      <c r="L688" s="12">
        <v>0.89999999999999991</v>
      </c>
      <c r="M688" s="11" t="s">
        <v>23</v>
      </c>
      <c r="N688" s="11" t="s">
        <v>24</v>
      </c>
      <c r="O688" s="11" t="s">
        <v>25</v>
      </c>
      <c r="P688" s="16" t="s">
        <v>25</v>
      </c>
      <c r="Q688" s="37" t="s">
        <v>25</v>
      </c>
      <c r="R688" s="11" t="s">
        <v>25</v>
      </c>
      <c r="S688" s="13">
        <f t="shared" si="10"/>
        <v>-0.98</v>
      </c>
    </row>
    <row r="689" spans="1:19" ht="16">
      <c r="A689" s="10" t="s">
        <v>724</v>
      </c>
      <c r="B689" s="11" t="s">
        <v>730</v>
      </c>
      <c r="C689" s="11" t="s">
        <v>761</v>
      </c>
      <c r="D689" s="11" t="s">
        <v>25</v>
      </c>
      <c r="E689" s="11" t="s">
        <v>25</v>
      </c>
      <c r="F689">
        <v>1.47</v>
      </c>
      <c r="G689">
        <v>1.47</v>
      </c>
      <c r="H689" s="12">
        <v>23.66</v>
      </c>
      <c r="I689" s="15" t="s">
        <v>723</v>
      </c>
      <c r="J689" s="11" t="s">
        <v>25</v>
      </c>
      <c r="K689" s="11" t="s">
        <v>25</v>
      </c>
      <c r="L689" s="12">
        <v>0.85999999999999988</v>
      </c>
      <c r="M689" s="11" t="s">
        <v>23</v>
      </c>
      <c r="N689" s="11" t="s">
        <v>24</v>
      </c>
      <c r="O689" s="11" t="s">
        <v>25</v>
      </c>
      <c r="P689" s="16" t="s">
        <v>25</v>
      </c>
      <c r="Q689" s="37" t="s">
        <v>25</v>
      </c>
      <c r="R689" s="11" t="s">
        <v>25</v>
      </c>
      <c r="S689" s="13">
        <f t="shared" si="10"/>
        <v>-1.02</v>
      </c>
    </row>
    <row r="690" spans="1:19" ht="16">
      <c r="A690" s="10" t="s">
        <v>724</v>
      </c>
      <c r="B690" s="11" t="s">
        <v>731</v>
      </c>
      <c r="C690" s="11" t="s">
        <v>761</v>
      </c>
      <c r="D690" s="11" t="s">
        <v>25</v>
      </c>
      <c r="E690" s="11" t="s">
        <v>25</v>
      </c>
      <c r="F690">
        <v>1.69</v>
      </c>
      <c r="G690">
        <v>1.69</v>
      </c>
      <c r="H690" s="12">
        <v>28.15</v>
      </c>
      <c r="I690" s="15" t="s">
        <v>723</v>
      </c>
      <c r="J690" s="11" t="s">
        <v>25</v>
      </c>
      <c r="K690" s="11" t="s">
        <v>25</v>
      </c>
      <c r="L690" s="12">
        <v>0.78</v>
      </c>
      <c r="M690" s="11" t="s">
        <v>23</v>
      </c>
      <c r="N690" s="11" t="s">
        <v>24</v>
      </c>
      <c r="O690" s="11" t="s">
        <v>25</v>
      </c>
      <c r="P690" s="16" t="s">
        <v>25</v>
      </c>
      <c r="Q690" s="37" t="s">
        <v>25</v>
      </c>
      <c r="R690" s="11" t="s">
        <v>25</v>
      </c>
      <c r="S690" s="13">
        <f t="shared" si="10"/>
        <v>-1.0999999999999999</v>
      </c>
    </row>
    <row r="691" spans="1:19" ht="16">
      <c r="A691" s="10" t="s">
        <v>724</v>
      </c>
      <c r="B691" s="11" t="s">
        <v>732</v>
      </c>
      <c r="C691" s="11" t="s">
        <v>761</v>
      </c>
      <c r="D691" s="11" t="s">
        <v>25</v>
      </c>
      <c r="E691" s="11" t="s">
        <v>25</v>
      </c>
      <c r="F691">
        <v>1.7</v>
      </c>
      <c r="G691">
        <v>1.7</v>
      </c>
      <c r="H691" s="12">
        <v>28.4</v>
      </c>
      <c r="I691" s="15" t="s">
        <v>723</v>
      </c>
      <c r="J691" s="11" t="s">
        <v>25</v>
      </c>
      <c r="K691" s="11" t="s">
        <v>25</v>
      </c>
      <c r="L691" s="12">
        <v>0.92999999999999994</v>
      </c>
      <c r="M691" s="11" t="s">
        <v>23</v>
      </c>
      <c r="N691" s="11" t="s">
        <v>24</v>
      </c>
      <c r="O691" s="11" t="s">
        <v>25</v>
      </c>
      <c r="P691" s="16" t="s">
        <v>25</v>
      </c>
      <c r="Q691" s="37" t="s">
        <v>25</v>
      </c>
      <c r="R691" s="11" t="s">
        <v>25</v>
      </c>
      <c r="S691" s="13">
        <f t="shared" si="10"/>
        <v>-0.95</v>
      </c>
    </row>
    <row r="692" spans="1:19" ht="16">
      <c r="A692" s="10" t="s">
        <v>724</v>
      </c>
      <c r="B692" s="11" t="s">
        <v>733</v>
      </c>
      <c r="C692" s="11" t="s">
        <v>761</v>
      </c>
      <c r="D692" s="11" t="s">
        <v>25</v>
      </c>
      <c r="E692" s="11" t="s">
        <v>25</v>
      </c>
      <c r="F692">
        <v>1.76</v>
      </c>
      <c r="G692">
        <v>1.76</v>
      </c>
      <c r="H692" s="12">
        <v>29.65</v>
      </c>
      <c r="I692" s="15" t="s">
        <v>723</v>
      </c>
      <c r="J692" s="11" t="s">
        <v>25</v>
      </c>
      <c r="K692" s="11" t="s">
        <v>25</v>
      </c>
      <c r="L692" s="12">
        <v>1.01</v>
      </c>
      <c r="M692" s="11" t="s">
        <v>23</v>
      </c>
      <c r="N692" s="11" t="s">
        <v>24</v>
      </c>
      <c r="O692" s="11" t="s">
        <v>25</v>
      </c>
      <c r="P692" s="16" t="s">
        <v>25</v>
      </c>
      <c r="Q692" s="37" t="s">
        <v>25</v>
      </c>
      <c r="R692" s="11" t="s">
        <v>25</v>
      </c>
      <c r="S692" s="13">
        <f t="shared" si="10"/>
        <v>-0.86999999999999988</v>
      </c>
    </row>
    <row r="693" spans="1:19" ht="16">
      <c r="A693" s="10" t="s">
        <v>724</v>
      </c>
      <c r="B693" s="11" t="s">
        <v>734</v>
      </c>
      <c r="C693" s="11" t="s">
        <v>761</v>
      </c>
      <c r="D693" s="11" t="s">
        <v>25</v>
      </c>
      <c r="E693" s="11" t="s">
        <v>25</v>
      </c>
      <c r="F693">
        <v>1.92</v>
      </c>
      <c r="G693">
        <v>1.92</v>
      </c>
      <c r="H693" s="12">
        <v>33.25</v>
      </c>
      <c r="I693" s="15" t="s">
        <v>723</v>
      </c>
      <c r="J693" s="11" t="s">
        <v>25</v>
      </c>
      <c r="K693" s="11" t="s">
        <v>25</v>
      </c>
      <c r="L693" s="12">
        <v>0.8899999999999999</v>
      </c>
      <c r="M693" s="11" t="s">
        <v>23</v>
      </c>
      <c r="N693" s="11" t="s">
        <v>24</v>
      </c>
      <c r="O693" s="11" t="s">
        <v>25</v>
      </c>
      <c r="P693" s="16" t="s">
        <v>25</v>
      </c>
      <c r="Q693" s="37" t="s">
        <v>25</v>
      </c>
      <c r="R693" s="11" t="s">
        <v>25</v>
      </c>
      <c r="S693" s="13">
        <f t="shared" si="10"/>
        <v>-0.99</v>
      </c>
    </row>
    <row r="694" spans="1:19" ht="16">
      <c r="A694" s="10" t="s">
        <v>724</v>
      </c>
      <c r="B694" s="11" t="s">
        <v>735</v>
      </c>
      <c r="C694" s="11" t="s">
        <v>761</v>
      </c>
      <c r="D694" s="11" t="s">
        <v>25</v>
      </c>
      <c r="E694" s="11" t="s">
        <v>25</v>
      </c>
      <c r="F694">
        <v>2.1800000000000002</v>
      </c>
      <c r="G694">
        <v>2.1800000000000002</v>
      </c>
      <c r="H694" s="12">
        <v>39.25</v>
      </c>
      <c r="I694" s="15" t="s">
        <v>723</v>
      </c>
      <c r="J694" s="11" t="s">
        <v>25</v>
      </c>
      <c r="K694" s="11" t="s">
        <v>25</v>
      </c>
      <c r="L694" s="12">
        <v>0.82</v>
      </c>
      <c r="M694" s="11" t="s">
        <v>23</v>
      </c>
      <c r="N694" s="11" t="s">
        <v>24</v>
      </c>
      <c r="O694" s="11" t="s">
        <v>25</v>
      </c>
      <c r="P694" s="16" t="s">
        <v>25</v>
      </c>
      <c r="Q694" s="37" t="s">
        <v>25</v>
      </c>
      <c r="R694" s="11" t="s">
        <v>25</v>
      </c>
      <c r="S694" s="13">
        <f t="shared" si="10"/>
        <v>-1.06</v>
      </c>
    </row>
    <row r="695" spans="1:19" ht="16">
      <c r="A695" s="10" t="s">
        <v>724</v>
      </c>
      <c r="B695" s="11" t="s">
        <v>736</v>
      </c>
      <c r="C695" s="11" t="s">
        <v>761</v>
      </c>
      <c r="D695" s="11" t="s">
        <v>25</v>
      </c>
      <c r="E695" s="11" t="s">
        <v>25</v>
      </c>
      <c r="F695">
        <v>2.2599999999999998</v>
      </c>
      <c r="G695">
        <v>2.2599999999999998</v>
      </c>
      <c r="H695" s="12">
        <v>41.36</v>
      </c>
      <c r="I695" s="15" t="s">
        <v>723</v>
      </c>
      <c r="J695" s="11" t="s">
        <v>25</v>
      </c>
      <c r="K695" s="11" t="s">
        <v>25</v>
      </c>
      <c r="L695" s="12">
        <v>0.94</v>
      </c>
      <c r="M695" s="11" t="s">
        <v>23</v>
      </c>
      <c r="N695" s="11" t="s">
        <v>24</v>
      </c>
      <c r="O695" s="11" t="s">
        <v>25</v>
      </c>
      <c r="P695" s="16" t="s">
        <v>25</v>
      </c>
      <c r="Q695" s="37" t="s">
        <v>25</v>
      </c>
      <c r="R695" s="11" t="s">
        <v>25</v>
      </c>
      <c r="S695" s="13">
        <f t="shared" si="10"/>
        <v>-0.94</v>
      </c>
    </row>
    <row r="696" spans="1:19" ht="16">
      <c r="A696" s="10" t="s">
        <v>724</v>
      </c>
      <c r="B696" s="11" t="s">
        <v>737</v>
      </c>
      <c r="C696" s="11" t="s">
        <v>761</v>
      </c>
      <c r="D696" s="11" t="s">
        <v>25</v>
      </c>
      <c r="E696" s="11" t="s">
        <v>25</v>
      </c>
      <c r="F696">
        <v>2.38</v>
      </c>
      <c r="G696">
        <v>2.38</v>
      </c>
      <c r="H696" s="12">
        <v>44.35</v>
      </c>
      <c r="I696" s="15" t="s">
        <v>723</v>
      </c>
      <c r="J696" s="11" t="s">
        <v>25</v>
      </c>
      <c r="K696" s="11" t="s">
        <v>25</v>
      </c>
      <c r="L696" s="12">
        <v>0.79</v>
      </c>
      <c r="M696" s="11" t="s">
        <v>23</v>
      </c>
      <c r="N696" s="11" t="s">
        <v>24</v>
      </c>
      <c r="O696" s="11" t="s">
        <v>25</v>
      </c>
      <c r="P696" s="16" t="s">
        <v>25</v>
      </c>
      <c r="Q696" s="37" t="s">
        <v>25</v>
      </c>
      <c r="R696" s="11" t="s">
        <v>25</v>
      </c>
      <c r="S696" s="13">
        <f t="shared" si="10"/>
        <v>-1.0899999999999999</v>
      </c>
    </row>
    <row r="697" spans="1:19" ht="16">
      <c r="A697" s="10" t="s">
        <v>724</v>
      </c>
      <c r="B697" s="11" t="s">
        <v>738</v>
      </c>
      <c r="C697" s="11" t="s">
        <v>761</v>
      </c>
      <c r="D697" s="11" t="s">
        <v>25</v>
      </c>
      <c r="E697" s="11" t="s">
        <v>25</v>
      </c>
      <c r="F697">
        <v>2.46</v>
      </c>
      <c r="G697">
        <v>2.46</v>
      </c>
      <c r="H697" s="12">
        <v>46.3</v>
      </c>
      <c r="I697" s="15" t="s">
        <v>723</v>
      </c>
      <c r="J697" s="11" t="s">
        <v>25</v>
      </c>
      <c r="K697" s="11" t="s">
        <v>25</v>
      </c>
      <c r="L697" s="12">
        <v>0.79999999999999993</v>
      </c>
      <c r="M697" s="11" t="s">
        <v>23</v>
      </c>
      <c r="N697" s="11" t="s">
        <v>24</v>
      </c>
      <c r="O697" s="11" t="s">
        <v>25</v>
      </c>
      <c r="P697" s="16" t="s">
        <v>25</v>
      </c>
      <c r="Q697" s="37" t="s">
        <v>25</v>
      </c>
      <c r="R697" s="11" t="s">
        <v>25</v>
      </c>
      <c r="S697" s="13">
        <f t="shared" si="10"/>
        <v>-1.08</v>
      </c>
    </row>
    <row r="698" spans="1:19" ht="16">
      <c r="A698" s="10" t="s">
        <v>724</v>
      </c>
      <c r="B698" s="11" t="s">
        <v>739</v>
      </c>
      <c r="C698" s="11" t="s">
        <v>761</v>
      </c>
      <c r="D698" s="11" t="s">
        <v>25</v>
      </c>
      <c r="E698" s="11" t="s">
        <v>25</v>
      </c>
      <c r="F698">
        <v>2.5499999999999998</v>
      </c>
      <c r="G698">
        <v>2.5499999999999998</v>
      </c>
      <c r="H698" s="12">
        <v>48.85</v>
      </c>
      <c r="I698" s="15" t="s">
        <v>723</v>
      </c>
      <c r="J698" s="11" t="s">
        <v>25</v>
      </c>
      <c r="K698" s="11" t="s">
        <v>25</v>
      </c>
      <c r="L698" s="12">
        <v>1.01</v>
      </c>
      <c r="M698" s="11" t="s">
        <v>23</v>
      </c>
      <c r="N698" s="11" t="s">
        <v>24</v>
      </c>
      <c r="O698" s="11" t="s">
        <v>25</v>
      </c>
      <c r="P698" s="16" t="s">
        <v>25</v>
      </c>
      <c r="Q698" s="37" t="s">
        <v>25</v>
      </c>
      <c r="R698" s="11" t="s">
        <v>25</v>
      </c>
      <c r="S698" s="13">
        <f t="shared" si="10"/>
        <v>-0.86999999999999988</v>
      </c>
    </row>
    <row r="699" spans="1:19" ht="16">
      <c r="A699" s="10" t="s">
        <v>724</v>
      </c>
      <c r="B699" s="11" t="s">
        <v>740</v>
      </c>
      <c r="C699" s="11" t="s">
        <v>761</v>
      </c>
      <c r="D699" s="11" t="s">
        <v>25</v>
      </c>
      <c r="E699" s="11" t="s">
        <v>25</v>
      </c>
      <c r="F699">
        <v>3.19</v>
      </c>
      <c r="G699">
        <v>3.19</v>
      </c>
      <c r="H699" s="12">
        <v>68.010000000000005</v>
      </c>
      <c r="I699" s="15" t="s">
        <v>723</v>
      </c>
      <c r="J699" s="11" t="s">
        <v>25</v>
      </c>
      <c r="K699" s="11" t="s">
        <v>25</v>
      </c>
      <c r="L699" s="12">
        <v>0.83</v>
      </c>
      <c r="M699" s="11" t="s">
        <v>23</v>
      </c>
      <c r="N699" s="11" t="s">
        <v>24</v>
      </c>
      <c r="O699" s="11" t="s">
        <v>25</v>
      </c>
      <c r="P699" s="16" t="s">
        <v>25</v>
      </c>
      <c r="Q699" s="37" t="s">
        <v>25</v>
      </c>
      <c r="R699" s="11" t="s">
        <v>25</v>
      </c>
      <c r="S699" s="13">
        <f t="shared" si="10"/>
        <v>-1.0499999999999998</v>
      </c>
    </row>
    <row r="700" spans="1:19" ht="16">
      <c r="A700" s="10" t="s">
        <v>724</v>
      </c>
      <c r="B700" s="11" t="s">
        <v>741</v>
      </c>
      <c r="C700" s="11" t="s">
        <v>761</v>
      </c>
      <c r="D700" s="11" t="s">
        <v>25</v>
      </c>
      <c r="E700" s="11" t="s">
        <v>25</v>
      </c>
      <c r="F700">
        <v>4.1399999999999997</v>
      </c>
      <c r="G700">
        <v>4.1399999999999997</v>
      </c>
      <c r="H700" s="12">
        <v>106.45</v>
      </c>
      <c r="I700" s="15" t="s">
        <v>723</v>
      </c>
      <c r="J700" s="11" t="s">
        <v>25</v>
      </c>
      <c r="K700" s="11" t="s">
        <v>25</v>
      </c>
      <c r="L700" s="12">
        <v>0.49</v>
      </c>
      <c r="M700" s="11" t="s">
        <v>23</v>
      </c>
      <c r="N700" s="11" t="s">
        <v>24</v>
      </c>
      <c r="O700" s="11" t="s">
        <v>25</v>
      </c>
      <c r="P700" s="16" t="s">
        <v>25</v>
      </c>
      <c r="Q700" s="37" t="s">
        <v>25</v>
      </c>
      <c r="R700" s="11" t="s">
        <v>25</v>
      </c>
      <c r="S700" s="13">
        <f t="shared" si="10"/>
        <v>-1.39</v>
      </c>
    </row>
    <row r="701" spans="1:19" ht="16">
      <c r="A701" s="10" t="s">
        <v>724</v>
      </c>
      <c r="B701" s="11" t="s">
        <v>742</v>
      </c>
      <c r="C701" s="11" t="s">
        <v>761</v>
      </c>
      <c r="D701" s="11" t="s">
        <v>25</v>
      </c>
      <c r="E701" s="11" t="s">
        <v>25</v>
      </c>
      <c r="F701">
        <v>4.66</v>
      </c>
      <c r="G701">
        <v>4.66</v>
      </c>
      <c r="H701" s="12">
        <v>133.75</v>
      </c>
      <c r="I701" s="15" t="s">
        <v>723</v>
      </c>
      <c r="J701" s="11" t="s">
        <v>25</v>
      </c>
      <c r="K701" s="11" t="s">
        <v>25</v>
      </c>
      <c r="L701" s="12">
        <v>0.61</v>
      </c>
      <c r="M701" s="11" t="s">
        <v>23</v>
      </c>
      <c r="N701" s="11" t="s">
        <v>24</v>
      </c>
      <c r="O701" s="11" t="s">
        <v>25</v>
      </c>
      <c r="P701" s="16" t="s">
        <v>25</v>
      </c>
      <c r="Q701" s="37" t="s">
        <v>25</v>
      </c>
      <c r="R701" s="11" t="s">
        <v>25</v>
      </c>
      <c r="S701" s="13">
        <f t="shared" si="10"/>
        <v>-1.27</v>
      </c>
    </row>
    <row r="702" spans="1:19" ht="16">
      <c r="A702" s="10" t="s">
        <v>724</v>
      </c>
      <c r="B702" s="11" t="s">
        <v>743</v>
      </c>
      <c r="C702" s="11" t="s">
        <v>761</v>
      </c>
      <c r="D702" s="11" t="s">
        <v>25</v>
      </c>
      <c r="E702" s="11" t="s">
        <v>25</v>
      </c>
      <c r="F702">
        <v>4.99</v>
      </c>
      <c r="G702">
        <v>4.99</v>
      </c>
      <c r="H702" s="12">
        <v>152.96</v>
      </c>
      <c r="I702" s="15" t="s">
        <v>723</v>
      </c>
      <c r="J702" s="11" t="s">
        <v>25</v>
      </c>
      <c r="K702" s="11" t="s">
        <v>25</v>
      </c>
      <c r="L702" s="12">
        <v>0.84</v>
      </c>
      <c r="M702" s="11" t="s">
        <v>23</v>
      </c>
      <c r="N702" s="11" t="s">
        <v>24</v>
      </c>
      <c r="O702" s="11" t="s">
        <v>25</v>
      </c>
      <c r="P702" s="16" t="s">
        <v>25</v>
      </c>
      <c r="Q702" s="37" t="s">
        <v>25</v>
      </c>
      <c r="R702" s="11" t="s">
        <v>25</v>
      </c>
      <c r="S702" s="13">
        <f t="shared" si="10"/>
        <v>-1.04</v>
      </c>
    </row>
    <row r="703" spans="1:19" ht="16">
      <c r="A703" s="10" t="s">
        <v>724</v>
      </c>
      <c r="B703" s="11" t="s">
        <v>744</v>
      </c>
      <c r="C703" s="11" t="s">
        <v>761</v>
      </c>
      <c r="D703" s="11" t="s">
        <v>25</v>
      </c>
      <c r="E703" s="11" t="s">
        <v>25</v>
      </c>
      <c r="F703">
        <v>5.53</v>
      </c>
      <c r="G703">
        <v>5.53</v>
      </c>
      <c r="H703" s="12">
        <v>184.76</v>
      </c>
      <c r="I703" s="15" t="s">
        <v>723</v>
      </c>
      <c r="J703" s="11" t="s">
        <v>25</v>
      </c>
      <c r="K703" s="11" t="s">
        <v>25</v>
      </c>
      <c r="L703" s="12">
        <v>0.98</v>
      </c>
      <c r="M703" s="11" t="s">
        <v>23</v>
      </c>
      <c r="N703" s="11" t="s">
        <v>24</v>
      </c>
      <c r="O703" s="11" t="s">
        <v>25</v>
      </c>
      <c r="P703" s="16" t="s">
        <v>25</v>
      </c>
      <c r="Q703" s="37" t="s">
        <v>25</v>
      </c>
      <c r="R703" s="11" t="s">
        <v>25</v>
      </c>
      <c r="S703" s="13">
        <f t="shared" si="10"/>
        <v>-0.89999999999999991</v>
      </c>
    </row>
    <row r="704" spans="1:19" ht="16">
      <c r="A704" s="10" t="s">
        <v>724</v>
      </c>
      <c r="B704" s="11" t="s">
        <v>745</v>
      </c>
      <c r="C704" s="11" t="s">
        <v>761</v>
      </c>
      <c r="D704" s="11" t="s">
        <v>25</v>
      </c>
      <c r="E704" s="11" t="s">
        <v>25</v>
      </c>
      <c r="F704">
        <v>6.28</v>
      </c>
      <c r="G704">
        <v>6.28</v>
      </c>
      <c r="H704" s="12">
        <v>223.71</v>
      </c>
      <c r="I704" s="15" t="s">
        <v>723</v>
      </c>
      <c r="J704" s="11" t="s">
        <v>25</v>
      </c>
      <c r="K704" s="11" t="s">
        <v>25</v>
      </c>
      <c r="L704" s="12">
        <v>0.51999999999999991</v>
      </c>
      <c r="M704" s="11" t="s">
        <v>23</v>
      </c>
      <c r="N704" s="11" t="s">
        <v>24</v>
      </c>
      <c r="O704" s="11" t="s">
        <v>25</v>
      </c>
      <c r="P704" s="16" t="s">
        <v>25</v>
      </c>
      <c r="Q704" s="37" t="s">
        <v>25</v>
      </c>
      <c r="R704" s="11" t="s">
        <v>25</v>
      </c>
      <c r="S704" s="13">
        <f t="shared" si="10"/>
        <v>-1.3599999999999999</v>
      </c>
    </row>
    <row r="705" spans="1:19" ht="16">
      <c r="A705" s="10" t="s">
        <v>724</v>
      </c>
      <c r="B705" s="11" t="s">
        <v>746</v>
      </c>
      <c r="C705" s="11" t="s">
        <v>761</v>
      </c>
      <c r="D705" s="11" t="s">
        <v>25</v>
      </c>
      <c r="E705" s="11" t="s">
        <v>25</v>
      </c>
      <c r="F705">
        <v>7.44</v>
      </c>
      <c r="G705">
        <v>7.44</v>
      </c>
      <c r="H705" s="12">
        <v>272.52</v>
      </c>
      <c r="I705" s="15" t="s">
        <v>723</v>
      </c>
      <c r="J705" s="11" t="s">
        <v>25</v>
      </c>
      <c r="K705" s="11" t="s">
        <v>25</v>
      </c>
      <c r="L705" s="12">
        <v>0.63</v>
      </c>
      <c r="M705" s="11" t="s">
        <v>23</v>
      </c>
      <c r="N705" s="11" t="s">
        <v>24</v>
      </c>
      <c r="O705" s="11" t="s">
        <v>25</v>
      </c>
      <c r="P705" s="16" t="s">
        <v>25</v>
      </c>
      <c r="Q705" s="37" t="s">
        <v>25</v>
      </c>
      <c r="R705" s="11" t="s">
        <v>25</v>
      </c>
      <c r="S705" s="13">
        <f t="shared" si="10"/>
        <v>-1.25</v>
      </c>
    </row>
    <row r="706" spans="1:19" ht="16">
      <c r="A706" s="10" t="s">
        <v>724</v>
      </c>
      <c r="B706" s="11" t="s">
        <v>747</v>
      </c>
      <c r="C706" s="11" t="s">
        <v>761</v>
      </c>
      <c r="D706" s="11" t="s">
        <v>25</v>
      </c>
      <c r="E706" s="11" t="s">
        <v>25</v>
      </c>
      <c r="F706">
        <v>8.2200000000000006</v>
      </c>
      <c r="G706">
        <v>8.2200000000000006</v>
      </c>
      <c r="H706" s="12">
        <v>299.75</v>
      </c>
      <c r="I706" s="15" t="s">
        <v>723</v>
      </c>
      <c r="J706" s="11" t="s">
        <v>25</v>
      </c>
      <c r="K706" s="11" t="s">
        <v>25</v>
      </c>
      <c r="L706" s="12">
        <v>0.37</v>
      </c>
      <c r="M706" s="11" t="s">
        <v>23</v>
      </c>
      <c r="N706" s="11" t="s">
        <v>24</v>
      </c>
      <c r="O706" s="11" t="s">
        <v>25</v>
      </c>
      <c r="P706" s="16" t="s">
        <v>25</v>
      </c>
      <c r="Q706" s="37" t="s">
        <v>25</v>
      </c>
      <c r="R706" s="11" t="s">
        <v>25</v>
      </c>
      <c r="S706" s="13">
        <f t="shared" si="10"/>
        <v>-1.5099999999999998</v>
      </c>
    </row>
    <row r="707" spans="1:19" ht="16">
      <c r="A707" s="10" t="s">
        <v>724</v>
      </c>
      <c r="B707" s="11" t="s">
        <v>748</v>
      </c>
      <c r="C707" s="11" t="s">
        <v>761</v>
      </c>
      <c r="D707" s="11" t="s">
        <v>25</v>
      </c>
      <c r="E707" s="11" t="s">
        <v>25</v>
      </c>
      <c r="F707">
        <v>8.6199999999999992</v>
      </c>
      <c r="G707">
        <v>8.6199999999999992</v>
      </c>
      <c r="H707" s="12">
        <v>313</v>
      </c>
      <c r="I707" s="15" t="s">
        <v>723</v>
      </c>
      <c r="J707" s="11" t="s">
        <v>25</v>
      </c>
      <c r="K707" s="11" t="s">
        <v>25</v>
      </c>
      <c r="L707" s="12">
        <v>0.49</v>
      </c>
      <c r="M707" s="11" t="s">
        <v>23</v>
      </c>
      <c r="N707" s="11" t="s">
        <v>24</v>
      </c>
      <c r="O707" s="11" t="s">
        <v>25</v>
      </c>
      <c r="P707" s="16" t="s">
        <v>25</v>
      </c>
      <c r="Q707" s="37" t="s">
        <v>25</v>
      </c>
      <c r="R707" s="11" t="s">
        <v>25</v>
      </c>
      <c r="S707" s="13">
        <f t="shared" ref="S707:S770" si="11">IF(NOT(N707="SW"),L707-1.88,L707)</f>
        <v>-1.39</v>
      </c>
    </row>
    <row r="708" spans="1:19" ht="16">
      <c r="A708" s="10" t="s">
        <v>724</v>
      </c>
      <c r="B708" s="11" t="s">
        <v>749</v>
      </c>
      <c r="C708" s="11" t="s">
        <v>761</v>
      </c>
      <c r="D708" s="11" t="s">
        <v>25</v>
      </c>
      <c r="E708" s="11" t="s">
        <v>25</v>
      </c>
      <c r="F708">
        <v>9.2200000000000006</v>
      </c>
      <c r="G708">
        <v>9.2200000000000006</v>
      </c>
      <c r="H708" s="12">
        <v>331.6</v>
      </c>
      <c r="I708" s="15" t="s">
        <v>723</v>
      </c>
      <c r="J708" s="11" t="s">
        <v>25</v>
      </c>
      <c r="K708" s="11" t="s">
        <v>25</v>
      </c>
      <c r="L708" s="12">
        <v>0.75</v>
      </c>
      <c r="M708" s="11" t="s">
        <v>23</v>
      </c>
      <c r="N708" s="11" t="s">
        <v>24</v>
      </c>
      <c r="O708" s="11" t="s">
        <v>25</v>
      </c>
      <c r="P708" s="16" t="s">
        <v>25</v>
      </c>
      <c r="Q708" s="37" t="s">
        <v>25</v>
      </c>
      <c r="R708" s="11" t="s">
        <v>25</v>
      </c>
      <c r="S708" s="13">
        <f t="shared" si="11"/>
        <v>-1.1299999999999999</v>
      </c>
    </row>
    <row r="709" spans="1:19" ht="16">
      <c r="A709" s="10" t="s">
        <v>724</v>
      </c>
      <c r="B709" s="11" t="s">
        <v>750</v>
      </c>
      <c r="C709" s="11" t="s">
        <v>761</v>
      </c>
      <c r="D709" s="11" t="s">
        <v>25</v>
      </c>
      <c r="E709" s="11" t="s">
        <v>25</v>
      </c>
      <c r="F709">
        <v>9.9499999999999993</v>
      </c>
      <c r="G709">
        <v>9.9499999999999993</v>
      </c>
      <c r="H709" s="12">
        <v>353.6</v>
      </c>
      <c r="I709" s="15" t="s">
        <v>723</v>
      </c>
      <c r="J709" s="11" t="s">
        <v>25</v>
      </c>
      <c r="K709" s="11" t="s">
        <v>25</v>
      </c>
      <c r="L709" s="12">
        <v>0.51</v>
      </c>
      <c r="M709" s="11" t="s">
        <v>23</v>
      </c>
      <c r="N709" s="11" t="s">
        <v>24</v>
      </c>
      <c r="O709" s="11" t="s">
        <v>25</v>
      </c>
      <c r="P709" s="16" t="s">
        <v>25</v>
      </c>
      <c r="Q709" s="37" t="s">
        <v>25</v>
      </c>
      <c r="R709" s="11" t="s">
        <v>25</v>
      </c>
      <c r="S709" s="13">
        <f t="shared" si="11"/>
        <v>-1.3699999999999999</v>
      </c>
    </row>
    <row r="710" spans="1:19" ht="16">
      <c r="A710" s="10" t="s">
        <v>724</v>
      </c>
      <c r="B710" s="11" t="s">
        <v>751</v>
      </c>
      <c r="C710" s="11" t="s">
        <v>761</v>
      </c>
      <c r="D710" s="11" t="s">
        <v>25</v>
      </c>
      <c r="E710" s="11" t="s">
        <v>25</v>
      </c>
      <c r="F710">
        <v>10.63</v>
      </c>
      <c r="G710">
        <v>10.63</v>
      </c>
      <c r="H710" s="12">
        <v>373.7</v>
      </c>
      <c r="I710" s="15" t="s">
        <v>723</v>
      </c>
      <c r="J710" s="11" t="s">
        <v>25</v>
      </c>
      <c r="K710" s="11" t="s">
        <v>25</v>
      </c>
      <c r="L710" s="12">
        <v>0.51999999999999991</v>
      </c>
      <c r="M710" s="11" t="s">
        <v>23</v>
      </c>
      <c r="N710" s="11" t="s">
        <v>24</v>
      </c>
      <c r="O710" s="11" t="s">
        <v>25</v>
      </c>
      <c r="P710" s="16" t="s">
        <v>25</v>
      </c>
      <c r="Q710" s="37" t="s">
        <v>25</v>
      </c>
      <c r="R710" s="11" t="s">
        <v>25</v>
      </c>
      <c r="S710" s="13">
        <f t="shared" si="11"/>
        <v>-1.3599999999999999</v>
      </c>
    </row>
    <row r="711" spans="1:19" ht="16">
      <c r="A711" s="10" t="s">
        <v>724</v>
      </c>
      <c r="B711" s="11" t="s">
        <v>752</v>
      </c>
      <c r="C711" s="11" t="s">
        <v>761</v>
      </c>
      <c r="D711" s="11" t="s">
        <v>25</v>
      </c>
      <c r="E711" s="11" t="s">
        <v>25</v>
      </c>
      <c r="F711">
        <v>11.45</v>
      </c>
      <c r="G711">
        <v>11.45</v>
      </c>
      <c r="H711" s="12">
        <v>398.8</v>
      </c>
      <c r="I711" s="15" t="s">
        <v>723</v>
      </c>
      <c r="J711" s="11" t="s">
        <v>25</v>
      </c>
      <c r="K711" s="11" t="s">
        <v>25</v>
      </c>
      <c r="L711" s="12">
        <v>0.79</v>
      </c>
      <c r="M711" s="11" t="s">
        <v>23</v>
      </c>
      <c r="N711" s="11" t="s">
        <v>24</v>
      </c>
      <c r="O711" s="11" t="s">
        <v>25</v>
      </c>
      <c r="P711" s="16" t="s">
        <v>25</v>
      </c>
      <c r="Q711" s="37" t="s">
        <v>25</v>
      </c>
      <c r="R711" s="11" t="s">
        <v>25</v>
      </c>
      <c r="S711" s="13">
        <f t="shared" si="11"/>
        <v>-1.0899999999999999</v>
      </c>
    </row>
    <row r="712" spans="1:19" ht="16">
      <c r="A712" s="10" t="s">
        <v>724</v>
      </c>
      <c r="B712" s="11" t="s">
        <v>753</v>
      </c>
      <c r="C712" s="11" t="s">
        <v>761</v>
      </c>
      <c r="D712" s="11" t="s">
        <v>25</v>
      </c>
      <c r="E712" s="11" t="s">
        <v>25</v>
      </c>
      <c r="F712">
        <v>11.8</v>
      </c>
      <c r="G712">
        <v>11.8</v>
      </c>
      <c r="H712" s="12">
        <v>409.9</v>
      </c>
      <c r="I712" s="15" t="s">
        <v>723</v>
      </c>
      <c r="J712" s="11" t="s">
        <v>25</v>
      </c>
      <c r="K712" s="11" t="s">
        <v>25</v>
      </c>
      <c r="L712" s="12">
        <v>0.63</v>
      </c>
      <c r="M712" s="11" t="s">
        <v>23</v>
      </c>
      <c r="N712" s="11" t="s">
        <v>24</v>
      </c>
      <c r="O712" s="11" t="s">
        <v>25</v>
      </c>
      <c r="P712" s="16" t="s">
        <v>25</v>
      </c>
      <c r="Q712" s="37" t="s">
        <v>25</v>
      </c>
      <c r="R712" s="11" t="s">
        <v>25</v>
      </c>
      <c r="S712" s="13">
        <f t="shared" si="11"/>
        <v>-1.25</v>
      </c>
    </row>
    <row r="713" spans="1:19" ht="16">
      <c r="A713" s="10" t="s">
        <v>724</v>
      </c>
      <c r="B713" s="11" t="s">
        <v>754</v>
      </c>
      <c r="C713" s="11" t="s">
        <v>761</v>
      </c>
      <c r="D713" s="11" t="s">
        <v>25</v>
      </c>
      <c r="E713" s="11" t="s">
        <v>25</v>
      </c>
      <c r="F713">
        <v>12.39</v>
      </c>
      <c r="G713">
        <v>12.39</v>
      </c>
      <c r="H713" s="12">
        <v>430.6</v>
      </c>
      <c r="I713" s="15" t="s">
        <v>723</v>
      </c>
      <c r="J713" s="11" t="s">
        <v>25</v>
      </c>
      <c r="K713" s="11" t="s">
        <v>25</v>
      </c>
      <c r="L713" s="12">
        <v>0.53999999999999992</v>
      </c>
      <c r="M713" s="11" t="s">
        <v>23</v>
      </c>
      <c r="N713" s="11" t="s">
        <v>24</v>
      </c>
      <c r="O713" s="11" t="s">
        <v>25</v>
      </c>
      <c r="P713" s="16" t="s">
        <v>25</v>
      </c>
      <c r="Q713" s="37" t="s">
        <v>25</v>
      </c>
      <c r="R713" s="11" t="s">
        <v>25</v>
      </c>
      <c r="S713" s="13">
        <f t="shared" si="11"/>
        <v>-1.3399999999999999</v>
      </c>
    </row>
    <row r="714" spans="1:19" ht="16">
      <c r="A714" s="10" t="s">
        <v>724</v>
      </c>
      <c r="B714" s="11" t="s">
        <v>755</v>
      </c>
      <c r="C714" s="11" t="s">
        <v>761</v>
      </c>
      <c r="D714" s="11" t="s">
        <v>25</v>
      </c>
      <c r="E714" s="11" t="s">
        <v>25</v>
      </c>
      <c r="F714">
        <v>13.6</v>
      </c>
      <c r="G714">
        <v>13.6</v>
      </c>
      <c r="H714" s="12">
        <v>435.6</v>
      </c>
      <c r="I714" s="15" t="s">
        <v>723</v>
      </c>
      <c r="J714" s="11" t="s">
        <v>25</v>
      </c>
      <c r="K714" s="11" t="s">
        <v>25</v>
      </c>
      <c r="L714" s="12">
        <v>0.27999999999999992</v>
      </c>
      <c r="M714" s="11" t="s">
        <v>23</v>
      </c>
      <c r="N714" s="11" t="s">
        <v>24</v>
      </c>
      <c r="O714" s="11" t="s">
        <v>25</v>
      </c>
      <c r="P714" s="16" t="s">
        <v>25</v>
      </c>
      <c r="Q714" s="37" t="s">
        <v>25</v>
      </c>
      <c r="R714" s="11" t="s">
        <v>25</v>
      </c>
      <c r="S714" s="13">
        <f t="shared" si="11"/>
        <v>-1.6</v>
      </c>
    </row>
    <row r="715" spans="1:19" ht="16">
      <c r="A715" s="10" t="s">
        <v>724</v>
      </c>
      <c r="B715" s="11" t="s">
        <v>756</v>
      </c>
      <c r="C715" s="11" t="s">
        <v>761</v>
      </c>
      <c r="D715" s="11" t="s">
        <v>25</v>
      </c>
      <c r="E715" s="11" t="s">
        <v>25</v>
      </c>
      <c r="F715">
        <v>14.61</v>
      </c>
      <c r="G715">
        <v>14.61</v>
      </c>
      <c r="H715" s="12">
        <v>448.3</v>
      </c>
      <c r="I715" s="15" t="s">
        <v>723</v>
      </c>
      <c r="J715" s="11" t="s">
        <v>25</v>
      </c>
      <c r="K715" s="11" t="s">
        <v>25</v>
      </c>
      <c r="L715" s="12">
        <v>0.77</v>
      </c>
      <c r="M715" s="11" t="s">
        <v>23</v>
      </c>
      <c r="N715" s="11" t="s">
        <v>24</v>
      </c>
      <c r="O715" s="11" t="s">
        <v>25</v>
      </c>
      <c r="P715" s="16" t="s">
        <v>25</v>
      </c>
      <c r="Q715" s="37" t="s">
        <v>25</v>
      </c>
      <c r="R715" s="11" t="s">
        <v>25</v>
      </c>
      <c r="S715" s="13">
        <f t="shared" si="11"/>
        <v>-1.1099999999999999</v>
      </c>
    </row>
    <row r="716" spans="1:19" ht="16">
      <c r="A716" s="10" t="s">
        <v>724</v>
      </c>
      <c r="B716" s="11" t="s">
        <v>757</v>
      </c>
      <c r="C716" s="11" t="s">
        <v>761</v>
      </c>
      <c r="D716" s="11" t="s">
        <v>25</v>
      </c>
      <c r="E716" s="11" t="s">
        <v>25</v>
      </c>
      <c r="F716">
        <v>15.6</v>
      </c>
      <c r="G716">
        <v>15.6</v>
      </c>
      <c r="H716" s="12">
        <v>461.3</v>
      </c>
      <c r="I716" s="15" t="s">
        <v>723</v>
      </c>
      <c r="J716" s="11" t="s">
        <v>25</v>
      </c>
      <c r="K716" s="11" t="s">
        <v>25</v>
      </c>
      <c r="L716" s="12">
        <v>0.80999999999999994</v>
      </c>
      <c r="M716" s="11" t="s">
        <v>23</v>
      </c>
      <c r="N716" s="11" t="s">
        <v>24</v>
      </c>
      <c r="O716" s="11" t="s">
        <v>25</v>
      </c>
      <c r="P716" s="16" t="s">
        <v>25</v>
      </c>
      <c r="Q716" s="37" t="s">
        <v>25</v>
      </c>
      <c r="R716" s="11" t="s">
        <v>25</v>
      </c>
      <c r="S716" s="13">
        <f t="shared" si="11"/>
        <v>-1.0699999999999998</v>
      </c>
    </row>
    <row r="717" spans="1:19" ht="16">
      <c r="A717" s="10" t="s">
        <v>724</v>
      </c>
      <c r="B717" s="11" t="s">
        <v>758</v>
      </c>
      <c r="C717" s="11" t="s">
        <v>761</v>
      </c>
      <c r="D717" s="11" t="s">
        <v>25</v>
      </c>
      <c r="E717" s="11" t="s">
        <v>25</v>
      </c>
      <c r="F717">
        <v>16</v>
      </c>
      <c r="G717">
        <v>16</v>
      </c>
      <c r="H717" s="12">
        <v>462.6</v>
      </c>
      <c r="I717" s="15" t="s">
        <v>723</v>
      </c>
      <c r="J717" s="11" t="s">
        <v>25</v>
      </c>
      <c r="K717" s="11" t="s">
        <v>25</v>
      </c>
      <c r="L717" s="12">
        <v>0.74</v>
      </c>
      <c r="M717" s="11" t="s">
        <v>23</v>
      </c>
      <c r="N717" s="11" t="s">
        <v>24</v>
      </c>
      <c r="O717" s="11" t="s">
        <v>25</v>
      </c>
      <c r="P717" s="16" t="s">
        <v>25</v>
      </c>
      <c r="Q717" s="37" t="s">
        <v>25</v>
      </c>
      <c r="R717" s="11" t="s">
        <v>25</v>
      </c>
      <c r="S717" s="13">
        <f t="shared" si="11"/>
        <v>-1.1399999999999999</v>
      </c>
    </row>
    <row r="718" spans="1:19" ht="16">
      <c r="A718" s="10" t="s">
        <v>724</v>
      </c>
      <c r="B718" s="11" t="s">
        <v>759</v>
      </c>
      <c r="C718" s="11" t="s">
        <v>761</v>
      </c>
      <c r="D718" s="11" t="s">
        <v>25</v>
      </c>
      <c r="E718" s="11" t="s">
        <v>25</v>
      </c>
      <c r="F718">
        <v>18.57</v>
      </c>
      <c r="G718">
        <v>18.57</v>
      </c>
      <c r="H718" s="12">
        <v>477</v>
      </c>
      <c r="I718" s="15" t="s">
        <v>723</v>
      </c>
      <c r="J718" s="11" t="s">
        <v>25</v>
      </c>
      <c r="K718" s="11" t="s">
        <v>25</v>
      </c>
      <c r="L718" s="12">
        <v>0.59</v>
      </c>
      <c r="M718" s="11" t="s">
        <v>23</v>
      </c>
      <c r="N718" s="11" t="s">
        <v>24</v>
      </c>
      <c r="O718" s="11" t="s">
        <v>25</v>
      </c>
      <c r="P718" s="16" t="s">
        <v>25</v>
      </c>
      <c r="Q718" s="37" t="s">
        <v>25</v>
      </c>
      <c r="R718" s="11" t="s">
        <v>25</v>
      </c>
      <c r="S718" s="13">
        <f t="shared" si="11"/>
        <v>-1.29</v>
      </c>
    </row>
    <row r="719" spans="1:19" ht="16">
      <c r="A719" s="10" t="s">
        <v>724</v>
      </c>
      <c r="B719" s="11" t="s">
        <v>760</v>
      </c>
      <c r="C719" s="11" t="s">
        <v>761</v>
      </c>
      <c r="D719" s="11" t="s">
        <v>25</v>
      </c>
      <c r="E719" s="11" t="s">
        <v>25</v>
      </c>
      <c r="F719">
        <v>19</v>
      </c>
      <c r="G719">
        <v>19</v>
      </c>
      <c r="H719" s="12">
        <v>487.3</v>
      </c>
      <c r="I719" s="15" t="s">
        <v>723</v>
      </c>
      <c r="J719" s="11" t="s">
        <v>25</v>
      </c>
      <c r="K719" s="11" t="s">
        <v>25</v>
      </c>
      <c r="L719" s="12">
        <v>0.59</v>
      </c>
      <c r="M719" s="11" t="s">
        <v>23</v>
      </c>
      <c r="N719" s="11" t="s">
        <v>24</v>
      </c>
      <c r="O719" s="11" t="s">
        <v>25</v>
      </c>
      <c r="P719" s="16" t="s">
        <v>25</v>
      </c>
      <c r="Q719" s="37" t="s">
        <v>25</v>
      </c>
      <c r="R719" s="11" t="s">
        <v>25</v>
      </c>
      <c r="S719" s="13">
        <f t="shared" si="11"/>
        <v>-1.29</v>
      </c>
    </row>
    <row r="720" spans="1:19" s="4" customFormat="1">
      <c r="B720" s="5"/>
      <c r="C720" s="5"/>
      <c r="D720" s="5"/>
      <c r="E720" s="33"/>
      <c r="I720" s="5"/>
      <c r="J720" s="5"/>
      <c r="M720" s="5"/>
      <c r="O720" s="5"/>
      <c r="P720" s="6"/>
      <c r="Q720" s="38"/>
      <c r="S720" s="24"/>
    </row>
    <row r="721" spans="1:19">
      <c r="A721" s="10" t="s">
        <v>762</v>
      </c>
      <c r="B721" s="11" t="s">
        <v>764</v>
      </c>
      <c r="C721" s="11" t="s">
        <v>794</v>
      </c>
      <c r="D721" s="11" t="s">
        <v>25</v>
      </c>
      <c r="E721" s="11" t="s">
        <v>25</v>
      </c>
      <c r="F721">
        <v>0.06</v>
      </c>
      <c r="G721">
        <v>0.06</v>
      </c>
      <c r="H721" s="12">
        <v>0.95</v>
      </c>
      <c r="I721" s="11" t="s">
        <v>723</v>
      </c>
      <c r="J721" s="11" t="s">
        <v>25</v>
      </c>
      <c r="K721" s="11" t="s">
        <v>25</v>
      </c>
      <c r="L721" s="12">
        <v>0.71</v>
      </c>
      <c r="M721" s="11" t="s">
        <v>23</v>
      </c>
      <c r="N721" s="11" t="s">
        <v>24</v>
      </c>
      <c r="O721" s="11" t="s">
        <v>25</v>
      </c>
      <c r="P721" s="16" t="s">
        <v>25</v>
      </c>
      <c r="Q721" s="37" t="s">
        <v>25</v>
      </c>
      <c r="R721" s="11" t="s">
        <v>25</v>
      </c>
      <c r="S721" s="13">
        <f t="shared" si="11"/>
        <v>-1.17</v>
      </c>
    </row>
    <row r="722" spans="1:19">
      <c r="A722" s="10" t="s">
        <v>762</v>
      </c>
      <c r="B722" s="11" t="s">
        <v>765</v>
      </c>
      <c r="C722" s="11" t="s">
        <v>794</v>
      </c>
      <c r="D722" s="11" t="s">
        <v>25</v>
      </c>
      <c r="E722" s="11" t="s">
        <v>25</v>
      </c>
      <c r="F722">
        <v>0.31</v>
      </c>
      <c r="G722">
        <v>0.31</v>
      </c>
      <c r="H722" s="12">
        <v>4.6399999999999997</v>
      </c>
      <c r="I722" s="11" t="s">
        <v>723</v>
      </c>
      <c r="J722" s="11" t="s">
        <v>25</v>
      </c>
      <c r="K722" s="11" t="s">
        <v>25</v>
      </c>
      <c r="L722" s="12">
        <v>0.69</v>
      </c>
      <c r="M722" s="11" t="s">
        <v>23</v>
      </c>
      <c r="N722" s="11" t="s">
        <v>24</v>
      </c>
      <c r="O722" s="11" t="s">
        <v>25</v>
      </c>
      <c r="P722" s="16" t="s">
        <v>25</v>
      </c>
      <c r="Q722" s="37" t="s">
        <v>25</v>
      </c>
      <c r="R722" s="11" t="s">
        <v>25</v>
      </c>
      <c r="S722" s="13">
        <f t="shared" si="11"/>
        <v>-1.19</v>
      </c>
    </row>
    <row r="723" spans="1:19">
      <c r="A723" s="10" t="s">
        <v>762</v>
      </c>
      <c r="B723" s="11" t="s">
        <v>766</v>
      </c>
      <c r="C723" s="11" t="s">
        <v>794</v>
      </c>
      <c r="D723" s="11" t="s">
        <v>25</v>
      </c>
      <c r="E723" s="11" t="s">
        <v>25</v>
      </c>
      <c r="F723">
        <v>1.23</v>
      </c>
      <c r="G723">
        <v>1.23</v>
      </c>
      <c r="H723" s="12">
        <v>18.55</v>
      </c>
      <c r="I723" s="11" t="s">
        <v>723</v>
      </c>
      <c r="J723" s="11" t="s">
        <v>25</v>
      </c>
      <c r="K723" s="11" t="s">
        <v>25</v>
      </c>
      <c r="L723" s="12">
        <v>0.85999999999999988</v>
      </c>
      <c r="M723" s="11" t="s">
        <v>23</v>
      </c>
      <c r="N723" s="11" t="s">
        <v>24</v>
      </c>
      <c r="O723" s="11" t="s">
        <v>25</v>
      </c>
      <c r="P723" s="16" t="s">
        <v>25</v>
      </c>
      <c r="Q723" s="37" t="s">
        <v>25</v>
      </c>
      <c r="R723" s="11" t="s">
        <v>25</v>
      </c>
      <c r="S723" s="13">
        <f t="shared" si="11"/>
        <v>-1.02</v>
      </c>
    </row>
    <row r="724" spans="1:19">
      <c r="A724" s="10" t="s">
        <v>762</v>
      </c>
      <c r="B724" s="11" t="s">
        <v>767</v>
      </c>
      <c r="C724" s="11" t="s">
        <v>794</v>
      </c>
      <c r="D724" s="11" t="s">
        <v>25</v>
      </c>
      <c r="E724" s="11" t="s">
        <v>25</v>
      </c>
      <c r="F724">
        <v>3.54</v>
      </c>
      <c r="G724">
        <v>3.54</v>
      </c>
      <c r="H724" s="12">
        <v>78.73</v>
      </c>
      <c r="I724" s="11" t="s">
        <v>723</v>
      </c>
      <c r="J724" s="11" t="s">
        <v>25</v>
      </c>
      <c r="K724" s="11" t="s">
        <v>25</v>
      </c>
      <c r="L724" s="12">
        <v>0.44999999999999996</v>
      </c>
      <c r="M724" s="11" t="s">
        <v>23</v>
      </c>
      <c r="N724" s="11" t="s">
        <v>24</v>
      </c>
      <c r="O724" s="11" t="s">
        <v>25</v>
      </c>
      <c r="P724" s="16" t="s">
        <v>25</v>
      </c>
      <c r="Q724" s="37" t="s">
        <v>25</v>
      </c>
      <c r="R724" s="11" t="s">
        <v>25</v>
      </c>
      <c r="S724" s="13">
        <f t="shared" si="11"/>
        <v>-1.43</v>
      </c>
    </row>
    <row r="725" spans="1:19">
      <c r="A725" s="10" t="s">
        <v>762</v>
      </c>
      <c r="B725" s="11" t="s">
        <v>768</v>
      </c>
      <c r="C725" s="11" t="s">
        <v>794</v>
      </c>
      <c r="D725" s="11" t="s">
        <v>25</v>
      </c>
      <c r="E725" s="11" t="s">
        <v>25</v>
      </c>
      <c r="F725">
        <v>4.3499999999999996</v>
      </c>
      <c r="G725">
        <v>4.3499999999999996</v>
      </c>
      <c r="H725" s="12">
        <v>104.97</v>
      </c>
      <c r="I725" s="11" t="s">
        <v>723</v>
      </c>
      <c r="J725" s="11" t="s">
        <v>25</v>
      </c>
      <c r="K725" s="11" t="s">
        <v>25</v>
      </c>
      <c r="L725" s="12">
        <v>0.86999999999999988</v>
      </c>
      <c r="M725" s="11" t="s">
        <v>23</v>
      </c>
      <c r="N725" s="11" t="s">
        <v>24</v>
      </c>
      <c r="O725" s="11" t="s">
        <v>25</v>
      </c>
      <c r="P725" s="16" t="s">
        <v>25</v>
      </c>
      <c r="Q725" s="37" t="s">
        <v>25</v>
      </c>
      <c r="R725" s="11" t="s">
        <v>25</v>
      </c>
      <c r="S725" s="13">
        <f t="shared" si="11"/>
        <v>-1.01</v>
      </c>
    </row>
    <row r="726" spans="1:19">
      <c r="A726" s="10" t="s">
        <v>762</v>
      </c>
      <c r="B726" s="11" t="s">
        <v>769</v>
      </c>
      <c r="C726" s="11" t="s">
        <v>794</v>
      </c>
      <c r="D726" s="11" t="s">
        <v>25</v>
      </c>
      <c r="E726" s="11" t="s">
        <v>25</v>
      </c>
      <c r="F726">
        <v>5.88</v>
      </c>
      <c r="G726">
        <v>5.88</v>
      </c>
      <c r="H726" s="12">
        <v>164.64</v>
      </c>
      <c r="I726" s="11" t="s">
        <v>723</v>
      </c>
      <c r="J726" s="11" t="s">
        <v>25</v>
      </c>
      <c r="K726" s="11" t="s">
        <v>25</v>
      </c>
      <c r="L726" s="12">
        <v>0.63</v>
      </c>
      <c r="M726" s="11" t="s">
        <v>23</v>
      </c>
      <c r="N726" s="11" t="s">
        <v>24</v>
      </c>
      <c r="O726" s="11" t="s">
        <v>25</v>
      </c>
      <c r="P726" s="16" t="s">
        <v>25</v>
      </c>
      <c r="Q726" s="37" t="s">
        <v>25</v>
      </c>
      <c r="R726" s="11" t="s">
        <v>25</v>
      </c>
      <c r="S726" s="13">
        <f t="shared" si="11"/>
        <v>-1.25</v>
      </c>
    </row>
    <row r="727" spans="1:19">
      <c r="A727" s="10" t="s">
        <v>762</v>
      </c>
      <c r="B727" s="11" t="s">
        <v>770</v>
      </c>
      <c r="C727" s="11" t="s">
        <v>794</v>
      </c>
      <c r="D727" s="11" t="s">
        <v>25</v>
      </c>
      <c r="E727" s="11" t="s">
        <v>25</v>
      </c>
      <c r="F727">
        <v>5.91</v>
      </c>
      <c r="G727">
        <v>5.91</v>
      </c>
      <c r="H727" s="12">
        <v>166.14</v>
      </c>
      <c r="I727" s="11" t="s">
        <v>723</v>
      </c>
      <c r="J727" s="11" t="s">
        <v>25</v>
      </c>
      <c r="K727" s="11" t="s">
        <v>25</v>
      </c>
      <c r="L727" s="12">
        <v>0.74</v>
      </c>
      <c r="M727" s="11" t="s">
        <v>23</v>
      </c>
      <c r="N727" s="11" t="s">
        <v>24</v>
      </c>
      <c r="O727" s="11" t="s">
        <v>25</v>
      </c>
      <c r="P727" s="16" t="s">
        <v>25</v>
      </c>
      <c r="Q727" s="37" t="s">
        <v>25</v>
      </c>
      <c r="R727" s="11" t="s">
        <v>25</v>
      </c>
      <c r="S727" s="13">
        <f t="shared" si="11"/>
        <v>-1.1399999999999999</v>
      </c>
    </row>
    <row r="728" spans="1:19">
      <c r="A728" s="10" t="s">
        <v>762</v>
      </c>
      <c r="B728" s="11" t="s">
        <v>771</v>
      </c>
      <c r="C728" s="11" t="s">
        <v>794</v>
      </c>
      <c r="D728" s="11" t="s">
        <v>25</v>
      </c>
      <c r="E728" s="11" t="s">
        <v>25</v>
      </c>
      <c r="F728">
        <v>6.9</v>
      </c>
      <c r="G728">
        <v>6.9</v>
      </c>
      <c r="H728" s="12">
        <v>209.49</v>
      </c>
      <c r="I728" s="11" t="s">
        <v>723</v>
      </c>
      <c r="J728" s="11" t="s">
        <v>25</v>
      </c>
      <c r="K728" s="11" t="s">
        <v>25</v>
      </c>
      <c r="L728" s="12">
        <v>0.71</v>
      </c>
      <c r="M728" s="11" t="s">
        <v>23</v>
      </c>
      <c r="N728" s="11" t="s">
        <v>24</v>
      </c>
      <c r="O728" s="11" t="s">
        <v>25</v>
      </c>
      <c r="P728" s="16" t="s">
        <v>25</v>
      </c>
      <c r="Q728" s="37" t="s">
        <v>25</v>
      </c>
      <c r="R728" s="11" t="s">
        <v>25</v>
      </c>
      <c r="S728" s="13">
        <f t="shared" si="11"/>
        <v>-1.17</v>
      </c>
    </row>
    <row r="729" spans="1:19">
      <c r="A729" s="10" t="s">
        <v>762</v>
      </c>
      <c r="B729" s="11" t="s">
        <v>772</v>
      </c>
      <c r="C729" s="11" t="s">
        <v>794</v>
      </c>
      <c r="D729" s="11" t="s">
        <v>25</v>
      </c>
      <c r="E729" s="11" t="s">
        <v>25</v>
      </c>
      <c r="F729">
        <v>7.84</v>
      </c>
      <c r="G729">
        <v>7.84</v>
      </c>
      <c r="H729" s="12">
        <v>250.49</v>
      </c>
      <c r="I729" s="11" t="s">
        <v>723</v>
      </c>
      <c r="J729" s="11" t="s">
        <v>25</v>
      </c>
      <c r="K729" s="11" t="s">
        <v>25</v>
      </c>
      <c r="L729" s="12">
        <v>0.61</v>
      </c>
      <c r="M729" s="11" t="s">
        <v>23</v>
      </c>
      <c r="N729" s="11" t="s">
        <v>24</v>
      </c>
      <c r="O729" s="11" t="s">
        <v>25</v>
      </c>
      <c r="P729" s="16" t="s">
        <v>25</v>
      </c>
      <c r="Q729" s="37" t="s">
        <v>25</v>
      </c>
      <c r="R729" s="11" t="s">
        <v>25</v>
      </c>
      <c r="S729" s="13">
        <f t="shared" si="11"/>
        <v>-1.27</v>
      </c>
    </row>
    <row r="730" spans="1:19">
      <c r="A730" s="10" t="s">
        <v>762</v>
      </c>
      <c r="B730" s="11" t="s">
        <v>773</v>
      </c>
      <c r="C730" s="11" t="s">
        <v>794</v>
      </c>
      <c r="D730" s="11" t="s">
        <v>25</v>
      </c>
      <c r="E730" s="11" t="s">
        <v>25</v>
      </c>
      <c r="F730">
        <v>8.42</v>
      </c>
      <c r="G730">
        <v>8.42</v>
      </c>
      <c r="H730" s="12">
        <v>275.86</v>
      </c>
      <c r="I730" s="11" t="s">
        <v>723</v>
      </c>
      <c r="J730" s="11" t="s">
        <v>25</v>
      </c>
      <c r="K730" s="11" t="s">
        <v>25</v>
      </c>
      <c r="L730" s="12">
        <v>0.82</v>
      </c>
      <c r="M730" s="11" t="s">
        <v>23</v>
      </c>
      <c r="N730" s="11" t="s">
        <v>24</v>
      </c>
      <c r="O730" s="11" t="s">
        <v>25</v>
      </c>
      <c r="P730" s="16" t="s">
        <v>25</v>
      </c>
      <c r="Q730" s="37" t="s">
        <v>25</v>
      </c>
      <c r="R730" s="11" t="s">
        <v>25</v>
      </c>
      <c r="S730" s="13">
        <f t="shared" si="11"/>
        <v>-1.06</v>
      </c>
    </row>
    <row r="731" spans="1:19">
      <c r="A731" s="10" t="s">
        <v>762</v>
      </c>
      <c r="B731" s="11" t="s">
        <v>774</v>
      </c>
      <c r="C731" s="11" t="s">
        <v>794</v>
      </c>
      <c r="D731" s="11" t="s">
        <v>25</v>
      </c>
      <c r="E731" s="11" t="s">
        <v>25</v>
      </c>
      <c r="F731">
        <v>9.67</v>
      </c>
      <c r="G731">
        <v>9.67</v>
      </c>
      <c r="H731" s="12">
        <v>305.14999999999998</v>
      </c>
      <c r="I731" s="11" t="s">
        <v>723</v>
      </c>
      <c r="J731" s="11" t="s">
        <v>25</v>
      </c>
      <c r="K731" s="11" t="s">
        <v>25</v>
      </c>
      <c r="L731" s="12">
        <v>0.56999999999999995</v>
      </c>
      <c r="M731" s="11" t="s">
        <v>23</v>
      </c>
      <c r="N731" s="11" t="s">
        <v>24</v>
      </c>
      <c r="O731" s="11" t="s">
        <v>25</v>
      </c>
      <c r="P731" s="16" t="s">
        <v>25</v>
      </c>
      <c r="Q731" s="37" t="s">
        <v>25</v>
      </c>
      <c r="R731" s="11" t="s">
        <v>25</v>
      </c>
      <c r="S731" s="13">
        <f t="shared" si="11"/>
        <v>-1.31</v>
      </c>
    </row>
    <row r="732" spans="1:19">
      <c r="A732" s="10" t="s">
        <v>762</v>
      </c>
      <c r="B732" s="11" t="s">
        <v>775</v>
      </c>
      <c r="C732" s="11" t="s">
        <v>794</v>
      </c>
      <c r="D732" s="11" t="s">
        <v>25</v>
      </c>
      <c r="E732" s="11" t="s">
        <v>25</v>
      </c>
      <c r="F732">
        <v>11.35</v>
      </c>
      <c r="G732">
        <v>11.35</v>
      </c>
      <c r="H732" s="12">
        <v>334.97</v>
      </c>
      <c r="I732" s="11" t="s">
        <v>723</v>
      </c>
      <c r="J732" s="11" t="s">
        <v>25</v>
      </c>
      <c r="K732" s="11" t="s">
        <v>25</v>
      </c>
      <c r="L732" s="12">
        <v>0.96</v>
      </c>
      <c r="M732" s="11" t="s">
        <v>23</v>
      </c>
      <c r="N732" s="11" t="s">
        <v>24</v>
      </c>
      <c r="O732" s="11" t="s">
        <v>25</v>
      </c>
      <c r="P732" s="16" t="s">
        <v>25</v>
      </c>
      <c r="Q732" s="37" t="s">
        <v>25</v>
      </c>
      <c r="R732" s="11" t="s">
        <v>25</v>
      </c>
      <c r="S732" s="13">
        <f t="shared" si="11"/>
        <v>-0.91999999999999993</v>
      </c>
    </row>
    <row r="733" spans="1:19">
      <c r="A733" s="10" t="s">
        <v>762</v>
      </c>
      <c r="B733" s="11" t="s">
        <v>776</v>
      </c>
      <c r="C733" s="11" t="s">
        <v>794</v>
      </c>
      <c r="D733" s="11" t="s">
        <v>25</v>
      </c>
      <c r="E733" s="11" t="s">
        <v>25</v>
      </c>
      <c r="F733">
        <v>11.46</v>
      </c>
      <c r="G733">
        <v>11.46</v>
      </c>
      <c r="H733" s="12">
        <v>336.75</v>
      </c>
      <c r="I733" s="11" t="s">
        <v>723</v>
      </c>
      <c r="J733" s="11" t="s">
        <v>25</v>
      </c>
      <c r="K733" s="11" t="s">
        <v>25</v>
      </c>
      <c r="L733" s="12">
        <v>0.80999999999999994</v>
      </c>
      <c r="M733" s="11" t="s">
        <v>23</v>
      </c>
      <c r="N733" s="11" t="s">
        <v>24</v>
      </c>
      <c r="O733" s="11" t="s">
        <v>25</v>
      </c>
      <c r="P733" s="16" t="s">
        <v>25</v>
      </c>
      <c r="Q733" s="37" t="s">
        <v>25</v>
      </c>
      <c r="R733" s="11" t="s">
        <v>25</v>
      </c>
      <c r="S733" s="13">
        <f t="shared" si="11"/>
        <v>-1.0699999999999998</v>
      </c>
    </row>
    <row r="734" spans="1:19">
      <c r="A734" s="10" t="s">
        <v>762</v>
      </c>
      <c r="B734" s="11" t="s">
        <v>777</v>
      </c>
      <c r="C734" s="11" t="s">
        <v>794</v>
      </c>
      <c r="D734" s="11" t="s">
        <v>25</v>
      </c>
      <c r="E734" s="11" t="s">
        <v>25</v>
      </c>
      <c r="F734">
        <v>12.9</v>
      </c>
      <c r="G734">
        <v>12.9</v>
      </c>
      <c r="H734" s="12">
        <v>362.31</v>
      </c>
      <c r="I734" s="11" t="s">
        <v>723</v>
      </c>
      <c r="J734" s="11" t="s">
        <v>25</v>
      </c>
      <c r="K734" s="11" t="s">
        <v>25</v>
      </c>
      <c r="L734" s="12">
        <v>0.55999999999999994</v>
      </c>
      <c r="M734" s="11" t="s">
        <v>23</v>
      </c>
      <c r="N734" s="11" t="s">
        <v>24</v>
      </c>
      <c r="O734" s="11" t="s">
        <v>25</v>
      </c>
      <c r="P734" s="16" t="s">
        <v>25</v>
      </c>
      <c r="Q734" s="37" t="s">
        <v>25</v>
      </c>
      <c r="R734" s="11" t="s">
        <v>25</v>
      </c>
      <c r="S734" s="13">
        <f t="shared" si="11"/>
        <v>-1.3199999999999998</v>
      </c>
    </row>
    <row r="735" spans="1:19">
      <c r="A735" s="10" t="s">
        <v>762</v>
      </c>
      <c r="B735" s="11" t="s">
        <v>778</v>
      </c>
      <c r="C735" s="11" t="s">
        <v>794</v>
      </c>
      <c r="D735" s="11" t="s">
        <v>25</v>
      </c>
      <c r="E735" s="11" t="s">
        <v>25</v>
      </c>
      <c r="F735">
        <v>14.64</v>
      </c>
      <c r="G735">
        <v>14.64</v>
      </c>
      <c r="H735" s="12">
        <v>391.72</v>
      </c>
      <c r="I735" s="11" t="s">
        <v>723</v>
      </c>
      <c r="J735" s="11" t="s">
        <v>25</v>
      </c>
      <c r="K735" s="11" t="s">
        <v>25</v>
      </c>
      <c r="L735" s="12">
        <v>0.62</v>
      </c>
      <c r="M735" s="11" t="s">
        <v>23</v>
      </c>
      <c r="N735" s="11" t="s">
        <v>24</v>
      </c>
      <c r="O735" s="11" t="s">
        <v>25</v>
      </c>
      <c r="P735" s="16" t="s">
        <v>25</v>
      </c>
      <c r="Q735" s="37" t="s">
        <v>25</v>
      </c>
      <c r="R735" s="11" t="s">
        <v>25</v>
      </c>
      <c r="S735" s="13">
        <f t="shared" si="11"/>
        <v>-1.2599999999999998</v>
      </c>
    </row>
    <row r="736" spans="1:19">
      <c r="A736" s="10" t="s">
        <v>762</v>
      </c>
      <c r="B736" s="11" t="s">
        <v>779</v>
      </c>
      <c r="C736" s="11" t="s">
        <v>794</v>
      </c>
      <c r="D736" s="11" t="s">
        <v>25</v>
      </c>
      <c r="E736" s="11" t="s">
        <v>25</v>
      </c>
      <c r="F736">
        <v>16.649999999999999</v>
      </c>
      <c r="G736">
        <v>16.649999999999999</v>
      </c>
      <c r="H736" s="12">
        <v>424.87</v>
      </c>
      <c r="I736" s="11" t="s">
        <v>723</v>
      </c>
      <c r="J736" s="11" t="s">
        <v>25</v>
      </c>
      <c r="K736" s="11" t="s">
        <v>25</v>
      </c>
      <c r="L736" s="12">
        <v>0.57999999999999996</v>
      </c>
      <c r="M736" s="11" t="s">
        <v>23</v>
      </c>
      <c r="N736" s="11" t="s">
        <v>24</v>
      </c>
      <c r="O736" s="11" t="s">
        <v>25</v>
      </c>
      <c r="P736" s="16" t="s">
        <v>25</v>
      </c>
      <c r="Q736" s="37" t="s">
        <v>25</v>
      </c>
      <c r="R736" s="11" t="s">
        <v>25</v>
      </c>
      <c r="S736" s="13">
        <f t="shared" si="11"/>
        <v>-1.2999999999999998</v>
      </c>
    </row>
    <row r="737" spans="1:19">
      <c r="A737" s="10" t="s">
        <v>762</v>
      </c>
      <c r="B737" s="11" t="s">
        <v>780</v>
      </c>
      <c r="C737" s="11" t="s">
        <v>794</v>
      </c>
      <c r="D737" s="11" t="s">
        <v>25</v>
      </c>
      <c r="E737" s="11" t="s">
        <v>25</v>
      </c>
      <c r="F737">
        <v>16.739999999999998</v>
      </c>
      <c r="G737">
        <v>16.739999999999998</v>
      </c>
      <c r="H737" s="12">
        <v>426.45</v>
      </c>
      <c r="I737" s="11" t="s">
        <v>723</v>
      </c>
      <c r="J737" s="11" t="s">
        <v>25</v>
      </c>
      <c r="K737" s="11" t="s">
        <v>25</v>
      </c>
      <c r="L737" s="12">
        <v>0.56999999999999995</v>
      </c>
      <c r="M737" s="11" t="s">
        <v>23</v>
      </c>
      <c r="N737" s="11" t="s">
        <v>24</v>
      </c>
      <c r="O737" s="11" t="s">
        <v>25</v>
      </c>
      <c r="P737" s="16" t="s">
        <v>25</v>
      </c>
      <c r="Q737" s="37" t="s">
        <v>25</v>
      </c>
      <c r="R737" s="11" t="s">
        <v>25</v>
      </c>
      <c r="S737" s="13">
        <f t="shared" si="11"/>
        <v>-1.31</v>
      </c>
    </row>
    <row r="738" spans="1:19">
      <c r="A738" s="10" t="s">
        <v>762</v>
      </c>
      <c r="B738" s="11" t="s">
        <v>781</v>
      </c>
      <c r="C738" s="11" t="s">
        <v>794</v>
      </c>
      <c r="D738" s="11" t="s">
        <v>25</v>
      </c>
      <c r="E738" s="11" t="s">
        <v>25</v>
      </c>
      <c r="F738">
        <v>18.239999999999998</v>
      </c>
      <c r="G738">
        <v>18.239999999999998</v>
      </c>
      <c r="H738" s="12">
        <v>451.11</v>
      </c>
      <c r="I738" s="11" t="s">
        <v>723</v>
      </c>
      <c r="J738" s="11" t="s">
        <v>25</v>
      </c>
      <c r="K738" s="11" t="s">
        <v>25</v>
      </c>
      <c r="L738" s="12">
        <v>0.6</v>
      </c>
      <c r="M738" s="11" t="s">
        <v>23</v>
      </c>
      <c r="N738" s="11" t="s">
        <v>24</v>
      </c>
      <c r="O738" s="11" t="s">
        <v>25</v>
      </c>
      <c r="P738" s="16" t="s">
        <v>25</v>
      </c>
      <c r="Q738" s="37" t="s">
        <v>25</v>
      </c>
      <c r="R738" s="11" t="s">
        <v>25</v>
      </c>
      <c r="S738" s="13">
        <f t="shared" si="11"/>
        <v>-1.2799999999999998</v>
      </c>
    </row>
    <row r="739" spans="1:19">
      <c r="A739" s="10" t="s">
        <v>762</v>
      </c>
      <c r="B739" s="11" t="s">
        <v>782</v>
      </c>
      <c r="C739" s="11" t="s">
        <v>794</v>
      </c>
      <c r="D739" s="11" t="s">
        <v>25</v>
      </c>
      <c r="E739" s="11" t="s">
        <v>25</v>
      </c>
      <c r="F739">
        <v>19.86</v>
      </c>
      <c r="G739">
        <v>19.86</v>
      </c>
      <c r="H739" s="12">
        <v>478</v>
      </c>
      <c r="I739" s="11" t="s">
        <v>723</v>
      </c>
      <c r="J739" s="11" t="s">
        <v>25</v>
      </c>
      <c r="K739" s="11" t="s">
        <v>25</v>
      </c>
      <c r="L739" s="12">
        <v>0.71</v>
      </c>
      <c r="M739" s="11" t="s">
        <v>23</v>
      </c>
      <c r="N739" s="11" t="s">
        <v>24</v>
      </c>
      <c r="O739" s="11" t="s">
        <v>25</v>
      </c>
      <c r="P739" s="16" t="s">
        <v>25</v>
      </c>
      <c r="Q739" s="37" t="s">
        <v>25</v>
      </c>
      <c r="R739" s="11" t="s">
        <v>25</v>
      </c>
      <c r="S739" s="13">
        <f t="shared" si="11"/>
        <v>-1.17</v>
      </c>
    </row>
    <row r="740" spans="1:19">
      <c r="A740" s="10" t="s">
        <v>762</v>
      </c>
      <c r="B740" s="11" t="s">
        <v>783</v>
      </c>
      <c r="C740" s="11" t="s">
        <v>794</v>
      </c>
      <c r="D740" s="11" t="s">
        <v>25</v>
      </c>
      <c r="E740" s="11" t="s">
        <v>25</v>
      </c>
      <c r="F740">
        <v>21.76</v>
      </c>
      <c r="G740">
        <v>21.76</v>
      </c>
      <c r="H740" s="12">
        <v>509.24</v>
      </c>
      <c r="I740" s="11" t="s">
        <v>723</v>
      </c>
      <c r="J740" s="11" t="s">
        <v>25</v>
      </c>
      <c r="K740" s="11" t="s">
        <v>25</v>
      </c>
      <c r="L740" s="12">
        <v>0.6399999999999999</v>
      </c>
      <c r="M740" s="11" t="s">
        <v>23</v>
      </c>
      <c r="N740" s="11" t="s">
        <v>24</v>
      </c>
      <c r="O740" s="11" t="s">
        <v>25</v>
      </c>
      <c r="P740" s="16" t="s">
        <v>25</v>
      </c>
      <c r="Q740" s="37" t="s">
        <v>25</v>
      </c>
      <c r="R740" s="11" t="s">
        <v>25</v>
      </c>
      <c r="S740" s="13">
        <f t="shared" si="11"/>
        <v>-1.24</v>
      </c>
    </row>
    <row r="741" spans="1:19">
      <c r="A741" s="10" t="s">
        <v>762</v>
      </c>
      <c r="B741" s="11" t="s">
        <v>784</v>
      </c>
      <c r="C741" s="11" t="s">
        <v>794</v>
      </c>
      <c r="D741" s="11" t="s">
        <v>25</v>
      </c>
      <c r="E741" s="11" t="s">
        <v>25</v>
      </c>
      <c r="F741">
        <v>22.67</v>
      </c>
      <c r="G741">
        <v>22.67</v>
      </c>
      <c r="H741" s="12">
        <v>536.05999999999995</v>
      </c>
      <c r="I741" s="11" t="s">
        <v>723</v>
      </c>
      <c r="J741" s="11" t="s">
        <v>25</v>
      </c>
      <c r="K741" s="11" t="s">
        <v>25</v>
      </c>
      <c r="L741" s="12">
        <v>0.71</v>
      </c>
      <c r="M741" s="11" t="s">
        <v>23</v>
      </c>
      <c r="N741" s="11" t="s">
        <v>24</v>
      </c>
      <c r="O741" s="11" t="s">
        <v>25</v>
      </c>
      <c r="P741" s="16" t="s">
        <v>25</v>
      </c>
      <c r="Q741" s="37" t="s">
        <v>25</v>
      </c>
      <c r="R741" s="11" t="s">
        <v>25</v>
      </c>
      <c r="S741" s="13">
        <f t="shared" si="11"/>
        <v>-1.17</v>
      </c>
    </row>
    <row r="742" spans="1:19">
      <c r="A742" s="10" t="s">
        <v>762</v>
      </c>
      <c r="B742" s="11" t="s">
        <v>785</v>
      </c>
      <c r="C742" s="11" t="s">
        <v>794</v>
      </c>
      <c r="D742" s="11" t="s">
        <v>25</v>
      </c>
      <c r="E742" s="11" t="s">
        <v>25</v>
      </c>
      <c r="F742">
        <v>23.66</v>
      </c>
      <c r="G742">
        <v>23.66</v>
      </c>
      <c r="H742" s="12">
        <v>565.98</v>
      </c>
      <c r="I742" s="11" t="s">
        <v>723</v>
      </c>
      <c r="J742" s="11" t="s">
        <v>25</v>
      </c>
      <c r="K742" s="11" t="s">
        <v>25</v>
      </c>
      <c r="L742" s="12">
        <v>0.73</v>
      </c>
      <c r="M742" s="11" t="s">
        <v>23</v>
      </c>
      <c r="N742" s="11" t="s">
        <v>24</v>
      </c>
      <c r="O742" s="11" t="s">
        <v>25</v>
      </c>
      <c r="P742" s="16" t="s">
        <v>25</v>
      </c>
      <c r="Q742" s="37" t="s">
        <v>25</v>
      </c>
      <c r="R742" s="11" t="s">
        <v>25</v>
      </c>
      <c r="S742" s="13">
        <f t="shared" si="11"/>
        <v>-1.1499999999999999</v>
      </c>
    </row>
    <row r="743" spans="1:19">
      <c r="A743" s="10" t="s">
        <v>762</v>
      </c>
      <c r="B743" s="11" t="s">
        <v>786</v>
      </c>
      <c r="C743" s="11" t="s">
        <v>794</v>
      </c>
      <c r="D743" s="11" t="s">
        <v>25</v>
      </c>
      <c r="E743" s="11" t="s">
        <v>25</v>
      </c>
      <c r="F743">
        <v>24.69</v>
      </c>
      <c r="G743">
        <v>24.69</v>
      </c>
      <c r="H743" s="12">
        <v>596.69000000000005</v>
      </c>
      <c r="I743" s="11" t="s">
        <v>723</v>
      </c>
      <c r="J743" s="11" t="s">
        <v>25</v>
      </c>
      <c r="K743" s="11" t="s">
        <v>25</v>
      </c>
      <c r="L743" s="12">
        <v>0.56999999999999995</v>
      </c>
      <c r="M743" s="11" t="s">
        <v>23</v>
      </c>
      <c r="N743" s="11" t="s">
        <v>24</v>
      </c>
      <c r="O743" s="11" t="s">
        <v>25</v>
      </c>
      <c r="P743" s="16" t="s">
        <v>25</v>
      </c>
      <c r="Q743" s="37" t="s">
        <v>25</v>
      </c>
      <c r="R743" s="11" t="s">
        <v>25</v>
      </c>
      <c r="S743" s="13">
        <f t="shared" si="11"/>
        <v>-1.31</v>
      </c>
    </row>
    <row r="744" spans="1:19">
      <c r="A744" s="10" t="s">
        <v>762</v>
      </c>
      <c r="B744" s="11" t="s">
        <v>787</v>
      </c>
      <c r="C744" s="11" t="s">
        <v>794</v>
      </c>
      <c r="D744" s="11" t="s">
        <v>25</v>
      </c>
      <c r="E744" s="11" t="s">
        <v>25</v>
      </c>
      <c r="F744">
        <v>25.93</v>
      </c>
      <c r="G744">
        <v>25.93</v>
      </c>
      <c r="H744" s="12">
        <v>634.22</v>
      </c>
      <c r="I744" s="11" t="s">
        <v>723</v>
      </c>
      <c r="J744" s="11" t="s">
        <v>25</v>
      </c>
      <c r="K744" s="11" t="s">
        <v>25</v>
      </c>
      <c r="L744" s="12">
        <v>0.43999999999999995</v>
      </c>
      <c r="M744" s="11" t="s">
        <v>23</v>
      </c>
      <c r="N744" s="11" t="s">
        <v>24</v>
      </c>
      <c r="O744" s="11" t="s">
        <v>25</v>
      </c>
      <c r="P744" s="16" t="s">
        <v>25</v>
      </c>
      <c r="Q744" s="37" t="s">
        <v>25</v>
      </c>
      <c r="R744" s="11" t="s">
        <v>25</v>
      </c>
      <c r="S744" s="13">
        <f t="shared" si="11"/>
        <v>-1.44</v>
      </c>
    </row>
    <row r="745" spans="1:19">
      <c r="A745" s="10" t="s">
        <v>762</v>
      </c>
      <c r="B745" s="11" t="s">
        <v>788</v>
      </c>
      <c r="C745" s="11" t="s">
        <v>794</v>
      </c>
      <c r="D745" s="11" t="s">
        <v>25</v>
      </c>
      <c r="E745" s="11" t="s">
        <v>25</v>
      </c>
      <c r="F745">
        <v>27.47</v>
      </c>
      <c r="G745">
        <v>27.47</v>
      </c>
      <c r="H745" s="12">
        <v>680.36</v>
      </c>
      <c r="I745" s="11" t="s">
        <v>723</v>
      </c>
      <c r="J745" s="11" t="s">
        <v>25</v>
      </c>
      <c r="K745" s="11" t="s">
        <v>25</v>
      </c>
      <c r="L745" s="12">
        <v>0.5</v>
      </c>
      <c r="M745" s="11" t="s">
        <v>23</v>
      </c>
      <c r="N745" s="11" t="s">
        <v>24</v>
      </c>
      <c r="O745" s="11" t="s">
        <v>25</v>
      </c>
      <c r="P745" s="16" t="s">
        <v>25</v>
      </c>
      <c r="Q745" s="37" t="s">
        <v>25</v>
      </c>
      <c r="R745" s="11" t="s">
        <v>25</v>
      </c>
      <c r="S745" s="13">
        <f t="shared" si="11"/>
        <v>-1.38</v>
      </c>
    </row>
    <row r="746" spans="1:19">
      <c r="A746" s="10" t="s">
        <v>762</v>
      </c>
      <c r="B746" s="11" t="s">
        <v>789</v>
      </c>
      <c r="C746" s="11" t="s">
        <v>794</v>
      </c>
      <c r="D746" s="11" t="s">
        <v>25</v>
      </c>
      <c r="E746" s="11" t="s">
        <v>25</v>
      </c>
      <c r="F746">
        <v>27.52</v>
      </c>
      <c r="G746">
        <v>27.52</v>
      </c>
      <c r="H746" s="12">
        <v>681.98</v>
      </c>
      <c r="I746" s="11" t="s">
        <v>723</v>
      </c>
      <c r="J746" s="11" t="s">
        <v>25</v>
      </c>
      <c r="K746" s="11" t="s">
        <v>25</v>
      </c>
      <c r="L746" s="12">
        <v>0.40999999999999992</v>
      </c>
      <c r="M746" s="11" t="s">
        <v>23</v>
      </c>
      <c r="N746" s="11" t="s">
        <v>24</v>
      </c>
      <c r="O746" s="11" t="s">
        <v>25</v>
      </c>
      <c r="P746" s="16" t="s">
        <v>25</v>
      </c>
      <c r="Q746" s="37" t="s">
        <v>25</v>
      </c>
      <c r="R746" s="11" t="s">
        <v>25</v>
      </c>
      <c r="S746" s="13">
        <f t="shared" si="11"/>
        <v>-1.47</v>
      </c>
    </row>
    <row r="747" spans="1:19">
      <c r="A747" s="10" t="s">
        <v>762</v>
      </c>
      <c r="B747" s="11" t="s">
        <v>790</v>
      </c>
      <c r="C747" s="11" t="s">
        <v>794</v>
      </c>
      <c r="D747" s="11" t="s">
        <v>25</v>
      </c>
      <c r="E747" s="11" t="s">
        <v>25</v>
      </c>
      <c r="F747">
        <v>30.39</v>
      </c>
      <c r="G747">
        <v>30.39</v>
      </c>
      <c r="H747" s="12">
        <v>709.56</v>
      </c>
      <c r="I747" s="11" t="s">
        <v>723</v>
      </c>
      <c r="J747" s="11" t="s">
        <v>25</v>
      </c>
      <c r="K747" s="11" t="s">
        <v>25</v>
      </c>
      <c r="L747" s="12">
        <v>0.44999999999999996</v>
      </c>
      <c r="M747" s="11" t="s">
        <v>23</v>
      </c>
      <c r="N747" s="11" t="s">
        <v>24</v>
      </c>
      <c r="O747" s="11" t="s">
        <v>25</v>
      </c>
      <c r="P747" s="16" t="s">
        <v>25</v>
      </c>
      <c r="Q747" s="37" t="s">
        <v>25</v>
      </c>
      <c r="R747" s="11" t="s">
        <v>25</v>
      </c>
      <c r="S747" s="13">
        <f t="shared" si="11"/>
        <v>-1.43</v>
      </c>
    </row>
    <row r="748" spans="1:19">
      <c r="A748" s="10" t="s">
        <v>762</v>
      </c>
      <c r="B748" s="11" t="s">
        <v>791</v>
      </c>
      <c r="C748" s="11" t="s">
        <v>794</v>
      </c>
      <c r="D748" s="11" t="s">
        <v>25</v>
      </c>
      <c r="E748" s="11" t="s">
        <v>25</v>
      </c>
      <c r="F748">
        <v>31.18</v>
      </c>
      <c r="G748">
        <v>31.18</v>
      </c>
      <c r="H748" s="12">
        <v>738.58</v>
      </c>
      <c r="I748" s="11" t="s">
        <v>723</v>
      </c>
      <c r="J748" s="11" t="s">
        <v>25</v>
      </c>
      <c r="K748" s="11" t="s">
        <v>25</v>
      </c>
      <c r="L748" s="12">
        <v>0.55999999999999994</v>
      </c>
      <c r="M748" s="11" t="s">
        <v>23</v>
      </c>
      <c r="N748" s="11" t="s">
        <v>24</v>
      </c>
      <c r="O748" s="11" t="s">
        <v>25</v>
      </c>
      <c r="P748" s="16" t="s">
        <v>25</v>
      </c>
      <c r="Q748" s="37" t="s">
        <v>25</v>
      </c>
      <c r="R748" s="11" t="s">
        <v>25</v>
      </c>
      <c r="S748" s="13">
        <f t="shared" si="11"/>
        <v>-1.3199999999999998</v>
      </c>
    </row>
    <row r="749" spans="1:19">
      <c r="A749" s="10" t="s">
        <v>762</v>
      </c>
      <c r="B749" s="11" t="s">
        <v>792</v>
      </c>
      <c r="C749" s="11" t="s">
        <v>794</v>
      </c>
      <c r="D749" s="11" t="s">
        <v>25</v>
      </c>
      <c r="E749" s="11" t="s">
        <v>25</v>
      </c>
      <c r="F749">
        <v>32.26</v>
      </c>
      <c r="G749">
        <v>32.26</v>
      </c>
      <c r="H749" s="12">
        <v>778.59</v>
      </c>
      <c r="I749" s="11" t="s">
        <v>723</v>
      </c>
      <c r="J749" s="11" t="s">
        <v>25</v>
      </c>
      <c r="K749" s="11" t="s">
        <v>25</v>
      </c>
      <c r="L749" s="12">
        <v>0.43999999999999995</v>
      </c>
      <c r="M749" s="11" t="s">
        <v>23</v>
      </c>
      <c r="N749" s="11" t="s">
        <v>24</v>
      </c>
      <c r="O749" s="11" t="s">
        <v>25</v>
      </c>
      <c r="P749" s="16" t="s">
        <v>25</v>
      </c>
      <c r="Q749" s="37" t="s">
        <v>25</v>
      </c>
      <c r="R749" s="11" t="s">
        <v>25</v>
      </c>
      <c r="S749" s="13">
        <f t="shared" si="11"/>
        <v>-1.44</v>
      </c>
    </row>
    <row r="750" spans="1:19">
      <c r="A750" s="10" t="s">
        <v>762</v>
      </c>
      <c r="B750" s="11" t="s">
        <v>793</v>
      </c>
      <c r="C750" s="11" t="s">
        <v>794</v>
      </c>
      <c r="D750" s="11" t="s">
        <v>25</v>
      </c>
      <c r="E750" s="11" t="s">
        <v>25</v>
      </c>
      <c r="F750">
        <v>32.68</v>
      </c>
      <c r="G750">
        <v>32.68</v>
      </c>
      <c r="H750" s="12">
        <v>794.38</v>
      </c>
      <c r="I750" s="11" t="s">
        <v>723</v>
      </c>
      <c r="J750" s="11" t="s">
        <v>25</v>
      </c>
      <c r="K750" s="11" t="s">
        <v>25</v>
      </c>
      <c r="L750" s="12">
        <v>0.51</v>
      </c>
      <c r="M750" s="11" t="s">
        <v>23</v>
      </c>
      <c r="N750" s="11" t="s">
        <v>24</v>
      </c>
      <c r="O750" s="11" t="s">
        <v>25</v>
      </c>
      <c r="P750" s="16" t="s">
        <v>25</v>
      </c>
      <c r="Q750" s="37" t="s">
        <v>25</v>
      </c>
      <c r="R750" s="11" t="s">
        <v>25</v>
      </c>
      <c r="S750" s="13">
        <f t="shared" si="11"/>
        <v>-1.3699999999999999</v>
      </c>
    </row>
    <row r="751" spans="1:19" s="4" customFormat="1">
      <c r="B751" s="5"/>
      <c r="C751" s="5"/>
      <c r="D751" s="5"/>
      <c r="E751" s="33"/>
      <c r="I751" s="5"/>
      <c r="J751" s="5"/>
      <c r="M751" s="5"/>
      <c r="O751" s="5"/>
      <c r="P751" s="6"/>
      <c r="Q751" s="38"/>
      <c r="S751" s="24"/>
    </row>
    <row r="752" spans="1:19">
      <c r="A752" s="10" t="s">
        <v>795</v>
      </c>
      <c r="B752" s="11" t="s">
        <v>796</v>
      </c>
      <c r="C752" s="11" t="s">
        <v>25</v>
      </c>
      <c r="D752" s="11" t="s">
        <v>25</v>
      </c>
      <c r="E752" s="11" t="s">
        <v>25</v>
      </c>
      <c r="F752">
        <v>32.17</v>
      </c>
      <c r="G752">
        <v>32.17</v>
      </c>
      <c r="H752" s="12">
        <v>472.7</v>
      </c>
      <c r="I752" s="11" t="s">
        <v>817</v>
      </c>
      <c r="J752" s="11" t="s">
        <v>25</v>
      </c>
      <c r="K752" s="11" t="s">
        <v>25</v>
      </c>
      <c r="L752" s="12">
        <v>0.91999999999999993</v>
      </c>
      <c r="M752" s="11" t="s">
        <v>23</v>
      </c>
      <c r="N752" s="11" t="s">
        <v>24</v>
      </c>
      <c r="O752" s="11" t="s">
        <v>25</v>
      </c>
      <c r="P752" s="16" t="s">
        <v>25</v>
      </c>
      <c r="Q752" s="37" t="s">
        <v>25</v>
      </c>
      <c r="R752" s="11" t="s">
        <v>25</v>
      </c>
      <c r="S752" s="13">
        <f t="shared" si="11"/>
        <v>-0.96</v>
      </c>
    </row>
    <row r="753" spans="1:19">
      <c r="A753" s="10" t="s">
        <v>795</v>
      </c>
      <c r="B753" s="11" t="s">
        <v>797</v>
      </c>
      <c r="C753" s="11" t="s">
        <v>25</v>
      </c>
      <c r="D753" s="11" t="s">
        <v>25</v>
      </c>
      <c r="E753" s="11" t="s">
        <v>25</v>
      </c>
      <c r="F753">
        <v>32.49</v>
      </c>
      <c r="G753">
        <v>32.49</v>
      </c>
      <c r="H753" s="12">
        <v>478.27</v>
      </c>
      <c r="I753" s="11" t="s">
        <v>817</v>
      </c>
      <c r="J753" s="11" t="s">
        <v>25</v>
      </c>
      <c r="K753" s="11" t="s">
        <v>25</v>
      </c>
      <c r="L753" s="12">
        <v>0.84999999999999987</v>
      </c>
      <c r="M753" s="11" t="s">
        <v>23</v>
      </c>
      <c r="N753" s="11" t="s">
        <v>24</v>
      </c>
      <c r="O753" s="11" t="s">
        <v>25</v>
      </c>
      <c r="P753" s="16" t="s">
        <v>25</v>
      </c>
      <c r="Q753" s="37" t="s">
        <v>25</v>
      </c>
      <c r="R753" s="11" t="s">
        <v>25</v>
      </c>
      <c r="S753" s="13">
        <f t="shared" si="11"/>
        <v>-1.03</v>
      </c>
    </row>
    <row r="754" spans="1:19">
      <c r="A754" s="10" t="s">
        <v>795</v>
      </c>
      <c r="B754" s="11" t="s">
        <v>798</v>
      </c>
      <c r="C754" s="11" t="s">
        <v>25</v>
      </c>
      <c r="D754" s="11" t="s">
        <v>25</v>
      </c>
      <c r="E754" s="11" t="s">
        <v>25</v>
      </c>
      <c r="F754">
        <v>32.56</v>
      </c>
      <c r="G754">
        <v>32.56</v>
      </c>
      <c r="H754" s="12">
        <v>481.26</v>
      </c>
      <c r="I754" s="11" t="s">
        <v>817</v>
      </c>
      <c r="J754" s="11" t="s">
        <v>25</v>
      </c>
      <c r="K754" s="11" t="s">
        <v>25</v>
      </c>
      <c r="L754" s="12">
        <v>0.90999999999999992</v>
      </c>
      <c r="M754" s="11" t="s">
        <v>23</v>
      </c>
      <c r="N754" s="11" t="s">
        <v>24</v>
      </c>
      <c r="O754" s="11" t="s">
        <v>25</v>
      </c>
      <c r="P754" s="16" t="s">
        <v>25</v>
      </c>
      <c r="Q754" s="37" t="s">
        <v>25</v>
      </c>
      <c r="R754" s="11" t="s">
        <v>25</v>
      </c>
      <c r="S754" s="13">
        <f t="shared" si="11"/>
        <v>-0.97</v>
      </c>
    </row>
    <row r="755" spans="1:19">
      <c r="A755" s="10" t="s">
        <v>795</v>
      </c>
      <c r="B755" s="11" t="s">
        <v>799</v>
      </c>
      <c r="C755" s="11" t="s">
        <v>25</v>
      </c>
      <c r="D755" s="11" t="s">
        <v>25</v>
      </c>
      <c r="E755" s="11" t="s">
        <v>25</v>
      </c>
      <c r="F755">
        <v>32.99</v>
      </c>
      <c r="G755">
        <v>32.99</v>
      </c>
      <c r="H755" s="12">
        <v>490.95</v>
      </c>
      <c r="I755" s="11" t="s">
        <v>817</v>
      </c>
      <c r="J755" s="11" t="s">
        <v>25</v>
      </c>
      <c r="K755" s="11" t="s">
        <v>25</v>
      </c>
      <c r="L755" s="12">
        <v>0.91999999999999993</v>
      </c>
      <c r="M755" s="11" t="s">
        <v>23</v>
      </c>
      <c r="N755" s="11" t="s">
        <v>24</v>
      </c>
      <c r="O755" s="11" t="s">
        <v>25</v>
      </c>
      <c r="P755" s="16" t="s">
        <v>25</v>
      </c>
      <c r="Q755" s="37" t="s">
        <v>25</v>
      </c>
      <c r="R755" s="11" t="s">
        <v>25</v>
      </c>
      <c r="S755" s="13">
        <f t="shared" si="11"/>
        <v>-0.96</v>
      </c>
    </row>
    <row r="756" spans="1:19">
      <c r="A756" s="10" t="s">
        <v>795</v>
      </c>
      <c r="B756" s="11" t="s">
        <v>800</v>
      </c>
      <c r="C756" s="11" t="s">
        <v>25</v>
      </c>
      <c r="D756" s="11" t="s">
        <v>25</v>
      </c>
      <c r="E756" s="11" t="s">
        <v>25</v>
      </c>
      <c r="F756">
        <v>33.049999999999997</v>
      </c>
      <c r="G756">
        <v>33.049999999999997</v>
      </c>
      <c r="H756" s="12">
        <v>492.25</v>
      </c>
      <c r="I756" s="11" t="s">
        <v>817</v>
      </c>
      <c r="J756" s="11" t="s">
        <v>25</v>
      </c>
      <c r="K756" s="11" t="s">
        <v>25</v>
      </c>
      <c r="L756" s="12">
        <v>0.61999999999999988</v>
      </c>
      <c r="M756" s="11" t="s">
        <v>23</v>
      </c>
      <c r="N756" s="11" t="s">
        <v>24</v>
      </c>
      <c r="O756" s="11" t="s">
        <v>25</v>
      </c>
      <c r="P756" s="16" t="s">
        <v>25</v>
      </c>
      <c r="Q756" s="37" t="s">
        <v>25</v>
      </c>
      <c r="R756" s="11" t="s">
        <v>25</v>
      </c>
      <c r="S756" s="13">
        <f t="shared" si="11"/>
        <v>-1.26</v>
      </c>
    </row>
    <row r="757" spans="1:19">
      <c r="A757" s="10" t="s">
        <v>795</v>
      </c>
      <c r="B757" s="11" t="s">
        <v>801</v>
      </c>
      <c r="C757" s="11" t="s">
        <v>25</v>
      </c>
      <c r="D757" s="11" t="s">
        <v>25</v>
      </c>
      <c r="E757" s="11" t="s">
        <v>25</v>
      </c>
      <c r="F757">
        <v>33.380000000000003</v>
      </c>
      <c r="G757">
        <v>33.380000000000003</v>
      </c>
      <c r="H757" s="12">
        <v>499.56</v>
      </c>
      <c r="I757" s="11" t="s">
        <v>817</v>
      </c>
      <c r="J757" s="11" t="s">
        <v>25</v>
      </c>
      <c r="K757" s="11" t="s">
        <v>25</v>
      </c>
      <c r="L757" s="12">
        <v>0.76</v>
      </c>
      <c r="M757" s="11" t="s">
        <v>23</v>
      </c>
      <c r="N757" s="11" t="s">
        <v>24</v>
      </c>
      <c r="O757" s="11" t="s">
        <v>25</v>
      </c>
      <c r="P757" s="16" t="s">
        <v>25</v>
      </c>
      <c r="Q757" s="37" t="s">
        <v>25</v>
      </c>
      <c r="R757" s="11" t="s">
        <v>25</v>
      </c>
      <c r="S757" s="13">
        <f t="shared" si="11"/>
        <v>-1.1199999999999999</v>
      </c>
    </row>
    <row r="758" spans="1:19">
      <c r="A758" s="10" t="s">
        <v>795</v>
      </c>
      <c r="B758" s="11" t="s">
        <v>802</v>
      </c>
      <c r="C758" s="11" t="s">
        <v>25</v>
      </c>
      <c r="D758" s="11" t="s">
        <v>25</v>
      </c>
      <c r="E758" s="11" t="s">
        <v>25</v>
      </c>
      <c r="F758">
        <v>33.44</v>
      </c>
      <c r="G758">
        <v>33.44</v>
      </c>
      <c r="H758" s="12">
        <v>500.39</v>
      </c>
      <c r="I758" s="11" t="s">
        <v>817</v>
      </c>
      <c r="J758" s="11" t="s">
        <v>25</v>
      </c>
      <c r="K758" s="11" t="s">
        <v>25</v>
      </c>
      <c r="L758" s="12">
        <v>0.69</v>
      </c>
      <c r="M758" s="11" t="s">
        <v>23</v>
      </c>
      <c r="N758" s="11" t="s">
        <v>24</v>
      </c>
      <c r="O758" s="11" t="s">
        <v>25</v>
      </c>
      <c r="P758" s="16" t="s">
        <v>25</v>
      </c>
      <c r="Q758" s="37" t="s">
        <v>25</v>
      </c>
      <c r="R758" s="11" t="s">
        <v>25</v>
      </c>
      <c r="S758" s="13">
        <f t="shared" si="11"/>
        <v>-1.19</v>
      </c>
    </row>
    <row r="759" spans="1:19">
      <c r="A759" s="10" t="s">
        <v>795</v>
      </c>
      <c r="B759" s="11" t="s">
        <v>803</v>
      </c>
      <c r="C759" s="11" t="s">
        <v>25</v>
      </c>
      <c r="D759" s="11" t="s">
        <v>25</v>
      </c>
      <c r="E759" s="11" t="s">
        <v>25</v>
      </c>
      <c r="F759">
        <v>33.590000000000003</v>
      </c>
      <c r="G759">
        <v>33.590000000000003</v>
      </c>
      <c r="H759" s="12">
        <v>502.4</v>
      </c>
      <c r="I759" s="11" t="s">
        <v>817</v>
      </c>
      <c r="J759" s="11" t="s">
        <v>25</v>
      </c>
      <c r="K759" s="11" t="s">
        <v>25</v>
      </c>
      <c r="L759" s="12">
        <v>0.57999999999999985</v>
      </c>
      <c r="M759" s="11" t="s">
        <v>23</v>
      </c>
      <c r="N759" s="11" t="s">
        <v>24</v>
      </c>
      <c r="O759" s="11" t="s">
        <v>25</v>
      </c>
      <c r="P759" s="16" t="s">
        <v>25</v>
      </c>
      <c r="Q759" s="37" t="s">
        <v>25</v>
      </c>
      <c r="R759" s="11" t="s">
        <v>25</v>
      </c>
      <c r="S759" s="13">
        <f t="shared" si="11"/>
        <v>-1.3</v>
      </c>
    </row>
    <row r="760" spans="1:19">
      <c r="A760" s="10" t="s">
        <v>795</v>
      </c>
      <c r="B760" s="11" t="s">
        <v>804</v>
      </c>
      <c r="C760" s="11" t="s">
        <v>25</v>
      </c>
      <c r="D760" s="11" t="s">
        <v>25</v>
      </c>
      <c r="E760" s="11" t="s">
        <v>25</v>
      </c>
      <c r="F760">
        <v>33.85</v>
      </c>
      <c r="G760">
        <v>33.85</v>
      </c>
      <c r="H760" s="12">
        <v>505.85</v>
      </c>
      <c r="I760" s="11" t="s">
        <v>817</v>
      </c>
      <c r="J760" s="11" t="s">
        <v>25</v>
      </c>
      <c r="K760" s="11" t="s">
        <v>25</v>
      </c>
      <c r="L760" s="12">
        <v>0.59999999999999987</v>
      </c>
      <c r="M760" s="11" t="s">
        <v>23</v>
      </c>
      <c r="N760" s="11" t="s">
        <v>24</v>
      </c>
      <c r="O760" s="11" t="s">
        <v>25</v>
      </c>
      <c r="P760" s="16" t="s">
        <v>25</v>
      </c>
      <c r="Q760" s="37" t="s">
        <v>25</v>
      </c>
      <c r="R760" s="11" t="s">
        <v>25</v>
      </c>
      <c r="S760" s="13">
        <f t="shared" si="11"/>
        <v>-1.28</v>
      </c>
    </row>
    <row r="761" spans="1:19">
      <c r="A761" s="10" t="s">
        <v>795</v>
      </c>
      <c r="B761" s="11" t="s">
        <v>805</v>
      </c>
      <c r="C761" s="11" t="s">
        <v>25</v>
      </c>
      <c r="D761" s="11" t="s">
        <v>25</v>
      </c>
      <c r="E761" s="11" t="s">
        <v>25</v>
      </c>
      <c r="F761">
        <v>34.119999999999997</v>
      </c>
      <c r="G761">
        <v>34.119999999999997</v>
      </c>
      <c r="H761" s="12">
        <v>509.42</v>
      </c>
      <c r="I761" s="11" t="s">
        <v>817</v>
      </c>
      <c r="J761" s="11" t="s">
        <v>25</v>
      </c>
      <c r="K761" s="11" t="s">
        <v>25</v>
      </c>
      <c r="L761" s="12">
        <v>0.75</v>
      </c>
      <c r="M761" s="11" t="s">
        <v>23</v>
      </c>
      <c r="N761" s="11" t="s">
        <v>24</v>
      </c>
      <c r="O761" s="11" t="s">
        <v>25</v>
      </c>
      <c r="P761" s="16" t="s">
        <v>25</v>
      </c>
      <c r="Q761" s="37" t="s">
        <v>25</v>
      </c>
      <c r="R761" s="11" t="s">
        <v>25</v>
      </c>
      <c r="S761" s="13">
        <f t="shared" si="11"/>
        <v>-1.1299999999999999</v>
      </c>
    </row>
    <row r="762" spans="1:19">
      <c r="A762" s="10" t="s">
        <v>795</v>
      </c>
      <c r="B762" s="11" t="s">
        <v>806</v>
      </c>
      <c r="C762" s="11" t="s">
        <v>25</v>
      </c>
      <c r="D762" s="11" t="s">
        <v>25</v>
      </c>
      <c r="E762" s="11" t="s">
        <v>25</v>
      </c>
      <c r="F762">
        <v>34.729999999999997</v>
      </c>
      <c r="G762">
        <v>34.729999999999997</v>
      </c>
      <c r="H762" s="12">
        <v>517.62</v>
      </c>
      <c r="I762" s="11" t="s">
        <v>817</v>
      </c>
      <c r="J762" s="11" t="s">
        <v>25</v>
      </c>
      <c r="K762" s="11" t="s">
        <v>25</v>
      </c>
      <c r="L762" s="12">
        <v>0.84999999999999987</v>
      </c>
      <c r="M762" s="11" t="s">
        <v>23</v>
      </c>
      <c r="N762" s="11" t="s">
        <v>24</v>
      </c>
      <c r="O762" s="11" t="s">
        <v>25</v>
      </c>
      <c r="P762" s="16" t="s">
        <v>25</v>
      </c>
      <c r="Q762" s="37" t="s">
        <v>25</v>
      </c>
      <c r="R762" s="11" t="s">
        <v>25</v>
      </c>
      <c r="S762" s="13">
        <f t="shared" si="11"/>
        <v>-1.03</v>
      </c>
    </row>
    <row r="763" spans="1:19">
      <c r="A763" s="10" t="s">
        <v>795</v>
      </c>
      <c r="B763" s="11" t="s">
        <v>807</v>
      </c>
      <c r="C763" s="11" t="s">
        <v>25</v>
      </c>
      <c r="D763" s="11" t="s">
        <v>25</v>
      </c>
      <c r="E763" s="11" t="s">
        <v>25</v>
      </c>
      <c r="F763">
        <v>34.880000000000003</v>
      </c>
      <c r="G763">
        <v>34.880000000000003</v>
      </c>
      <c r="H763" s="12">
        <v>519.6</v>
      </c>
      <c r="I763" s="11" t="s">
        <v>817</v>
      </c>
      <c r="J763" s="11" t="s">
        <v>25</v>
      </c>
      <c r="K763" s="11" t="s">
        <v>25</v>
      </c>
      <c r="L763" s="12">
        <v>0.97</v>
      </c>
      <c r="M763" s="11" t="s">
        <v>23</v>
      </c>
      <c r="N763" s="11" t="s">
        <v>24</v>
      </c>
      <c r="O763" s="11" t="s">
        <v>25</v>
      </c>
      <c r="P763" s="16" t="s">
        <v>25</v>
      </c>
      <c r="Q763" s="37" t="s">
        <v>25</v>
      </c>
      <c r="R763" s="11" t="s">
        <v>25</v>
      </c>
      <c r="S763" s="13">
        <f t="shared" si="11"/>
        <v>-0.90999999999999992</v>
      </c>
    </row>
    <row r="764" spans="1:19">
      <c r="A764" s="10" t="s">
        <v>795</v>
      </c>
      <c r="B764" s="11" t="s">
        <v>808</v>
      </c>
      <c r="C764" s="11" t="s">
        <v>25</v>
      </c>
      <c r="D764" s="11" t="s">
        <v>25</v>
      </c>
      <c r="E764" s="11" t="s">
        <v>25</v>
      </c>
      <c r="F764">
        <v>32.29</v>
      </c>
      <c r="G764">
        <v>32.29</v>
      </c>
      <c r="H764" s="12">
        <v>200.35</v>
      </c>
      <c r="I764" s="11" t="s">
        <v>817</v>
      </c>
      <c r="J764" s="11" t="s">
        <v>25</v>
      </c>
      <c r="K764" s="11" t="s">
        <v>25</v>
      </c>
      <c r="L764" s="12">
        <v>0.69</v>
      </c>
      <c r="M764" s="11" t="s">
        <v>23</v>
      </c>
      <c r="N764" s="11" t="s">
        <v>24</v>
      </c>
      <c r="O764" s="11" t="s">
        <v>25</v>
      </c>
      <c r="P764" s="16" t="s">
        <v>25</v>
      </c>
      <c r="Q764" s="37" t="s">
        <v>25</v>
      </c>
      <c r="R764" s="11" t="s">
        <v>25</v>
      </c>
      <c r="S764" s="13">
        <f t="shared" si="11"/>
        <v>-1.19</v>
      </c>
    </row>
    <row r="765" spans="1:19">
      <c r="A765" s="10" t="s">
        <v>795</v>
      </c>
      <c r="B765" s="11" t="s">
        <v>809</v>
      </c>
      <c r="C765" s="11" t="s">
        <v>25</v>
      </c>
      <c r="D765" s="11" t="s">
        <v>25</v>
      </c>
      <c r="E765" s="11" t="s">
        <v>25</v>
      </c>
      <c r="F765">
        <v>33.17</v>
      </c>
      <c r="G765">
        <v>33.17</v>
      </c>
      <c r="H765" s="12">
        <v>211.4</v>
      </c>
      <c r="I765" s="11" t="s">
        <v>817</v>
      </c>
      <c r="J765" s="11" t="s">
        <v>25</v>
      </c>
      <c r="K765" s="11" t="s">
        <v>25</v>
      </c>
      <c r="L765" s="12">
        <v>0.53</v>
      </c>
      <c r="M765" s="11" t="s">
        <v>23</v>
      </c>
      <c r="N765" s="11" t="s">
        <v>24</v>
      </c>
      <c r="O765" s="11" t="s">
        <v>25</v>
      </c>
      <c r="P765" s="16" t="s">
        <v>25</v>
      </c>
      <c r="Q765" s="37" t="s">
        <v>25</v>
      </c>
      <c r="R765" s="11" t="s">
        <v>25</v>
      </c>
      <c r="S765" s="13">
        <f t="shared" si="11"/>
        <v>-1.3499999999999999</v>
      </c>
    </row>
    <row r="766" spans="1:19">
      <c r="A766" s="10" t="s">
        <v>795</v>
      </c>
      <c r="B766" s="11" t="s">
        <v>810</v>
      </c>
      <c r="C766" s="11" t="s">
        <v>25</v>
      </c>
      <c r="D766" s="11" t="s">
        <v>25</v>
      </c>
      <c r="E766" s="11" t="s">
        <v>25</v>
      </c>
      <c r="F766">
        <v>33.54</v>
      </c>
      <c r="G766">
        <v>33.54</v>
      </c>
      <c r="H766" s="12">
        <v>215.13</v>
      </c>
      <c r="I766" s="11" t="s">
        <v>817</v>
      </c>
      <c r="J766" s="11" t="s">
        <v>25</v>
      </c>
      <c r="K766" s="11" t="s">
        <v>25</v>
      </c>
      <c r="L766" s="12">
        <v>0.60999999999999988</v>
      </c>
      <c r="M766" s="11" t="s">
        <v>23</v>
      </c>
      <c r="N766" s="11" t="s">
        <v>24</v>
      </c>
      <c r="O766" s="11" t="s">
        <v>25</v>
      </c>
      <c r="P766" s="16" t="s">
        <v>25</v>
      </c>
      <c r="Q766" s="37" t="s">
        <v>25</v>
      </c>
      <c r="R766" s="11" t="s">
        <v>25</v>
      </c>
      <c r="S766" s="13">
        <f t="shared" si="11"/>
        <v>-1.27</v>
      </c>
    </row>
    <row r="767" spans="1:19">
      <c r="A767" s="10" t="s">
        <v>795</v>
      </c>
      <c r="B767" s="11" t="s">
        <v>811</v>
      </c>
      <c r="C767" s="11" t="s">
        <v>25</v>
      </c>
      <c r="D767" s="11" t="s">
        <v>25</v>
      </c>
      <c r="E767" s="11" t="s">
        <v>25</v>
      </c>
      <c r="F767">
        <v>33.69</v>
      </c>
      <c r="G767">
        <v>33.69</v>
      </c>
      <c r="H767" s="12">
        <v>216</v>
      </c>
      <c r="I767" s="11" t="s">
        <v>817</v>
      </c>
      <c r="J767" s="11" t="s">
        <v>25</v>
      </c>
      <c r="K767" s="11" t="s">
        <v>25</v>
      </c>
      <c r="L767" s="12">
        <v>0.6399999999999999</v>
      </c>
      <c r="M767" s="11" t="s">
        <v>23</v>
      </c>
      <c r="N767" s="11" t="s">
        <v>24</v>
      </c>
      <c r="O767" s="11" t="s">
        <v>25</v>
      </c>
      <c r="P767" s="16" t="s">
        <v>25</v>
      </c>
      <c r="Q767" s="37" t="s">
        <v>25</v>
      </c>
      <c r="R767" s="11" t="s">
        <v>25</v>
      </c>
      <c r="S767" s="13">
        <f t="shared" si="11"/>
        <v>-1.24</v>
      </c>
    </row>
    <row r="768" spans="1:19">
      <c r="A768" s="10" t="s">
        <v>795</v>
      </c>
      <c r="B768" s="11" t="s">
        <v>812</v>
      </c>
      <c r="C768" s="11" t="s">
        <v>25</v>
      </c>
      <c r="D768" s="11" t="s">
        <v>25</v>
      </c>
      <c r="E768" s="11" t="s">
        <v>25</v>
      </c>
      <c r="F768">
        <v>34.229999999999997</v>
      </c>
      <c r="G768">
        <v>34.229999999999997</v>
      </c>
      <c r="H768" s="12">
        <v>218.17</v>
      </c>
      <c r="I768" s="11" t="s">
        <v>817</v>
      </c>
      <c r="J768" s="11" t="s">
        <v>25</v>
      </c>
      <c r="K768" s="11" t="s">
        <v>25</v>
      </c>
      <c r="L768" s="12">
        <v>0.74</v>
      </c>
      <c r="M768" s="11" t="s">
        <v>23</v>
      </c>
      <c r="N768" s="11" t="s">
        <v>24</v>
      </c>
      <c r="O768" s="11" t="s">
        <v>25</v>
      </c>
      <c r="P768" s="16" t="s">
        <v>25</v>
      </c>
      <c r="Q768" s="37" t="s">
        <v>25</v>
      </c>
      <c r="R768" s="11" t="s">
        <v>25</v>
      </c>
      <c r="S768" s="13">
        <f t="shared" si="11"/>
        <v>-1.1399999999999999</v>
      </c>
    </row>
    <row r="769" spans="1:19">
      <c r="A769" s="10" t="s">
        <v>795</v>
      </c>
      <c r="B769" s="11" t="s">
        <v>813</v>
      </c>
      <c r="C769" s="11" t="s">
        <v>25</v>
      </c>
      <c r="D769" s="11" t="s">
        <v>25</v>
      </c>
      <c r="E769" s="11" t="s">
        <v>25</v>
      </c>
      <c r="F769">
        <v>34.65</v>
      </c>
      <c r="G769">
        <v>34.65</v>
      </c>
      <c r="H769" s="12">
        <v>221.12</v>
      </c>
      <c r="I769" s="11" t="s">
        <v>817</v>
      </c>
      <c r="J769" s="11" t="s">
        <v>25</v>
      </c>
      <c r="K769" s="11" t="s">
        <v>25</v>
      </c>
      <c r="L769" s="12">
        <v>0.6399999999999999</v>
      </c>
      <c r="M769" s="11" t="s">
        <v>23</v>
      </c>
      <c r="N769" s="11" t="s">
        <v>24</v>
      </c>
      <c r="O769" s="11" t="s">
        <v>25</v>
      </c>
      <c r="P769" s="16" t="s">
        <v>25</v>
      </c>
      <c r="Q769" s="37" t="s">
        <v>25</v>
      </c>
      <c r="R769" s="11" t="s">
        <v>25</v>
      </c>
      <c r="S769" s="13">
        <f t="shared" si="11"/>
        <v>-1.24</v>
      </c>
    </row>
    <row r="770" spans="1:19">
      <c r="A770" s="10" t="s">
        <v>795</v>
      </c>
      <c r="B770" s="11" t="s">
        <v>814</v>
      </c>
      <c r="C770" s="11" t="s">
        <v>25</v>
      </c>
      <c r="D770" s="11" t="s">
        <v>25</v>
      </c>
      <c r="E770" s="11" t="s">
        <v>25</v>
      </c>
      <c r="F770">
        <v>35.58</v>
      </c>
      <c r="G770">
        <v>35.58</v>
      </c>
      <c r="H770" s="12">
        <v>223.22</v>
      </c>
      <c r="I770" s="11" t="s">
        <v>817</v>
      </c>
      <c r="J770" s="11" t="s">
        <v>25</v>
      </c>
      <c r="K770" s="11" t="s">
        <v>25</v>
      </c>
      <c r="L770" s="12">
        <v>0.82999999999999985</v>
      </c>
      <c r="M770" s="11" t="s">
        <v>23</v>
      </c>
      <c r="N770" s="11" t="s">
        <v>24</v>
      </c>
      <c r="O770" s="11" t="s">
        <v>25</v>
      </c>
      <c r="P770" s="16" t="s">
        <v>25</v>
      </c>
      <c r="Q770" s="37" t="s">
        <v>25</v>
      </c>
      <c r="R770" s="11" t="s">
        <v>25</v>
      </c>
      <c r="S770" s="13">
        <f t="shared" si="11"/>
        <v>-1.05</v>
      </c>
    </row>
    <row r="771" spans="1:19">
      <c r="A771" s="10" t="s">
        <v>795</v>
      </c>
      <c r="B771" s="11" t="s">
        <v>815</v>
      </c>
      <c r="C771" s="11" t="s">
        <v>25</v>
      </c>
      <c r="D771" s="11" t="s">
        <v>25</v>
      </c>
      <c r="E771" s="11" t="s">
        <v>25</v>
      </c>
      <c r="F771">
        <v>35.76</v>
      </c>
      <c r="G771">
        <v>35.76</v>
      </c>
      <c r="H771" s="12">
        <v>223.78</v>
      </c>
      <c r="I771" s="11" t="s">
        <v>817</v>
      </c>
      <c r="J771" s="11" t="s">
        <v>25</v>
      </c>
      <c r="K771" s="11" t="s">
        <v>25</v>
      </c>
      <c r="L771" s="12">
        <v>0.78</v>
      </c>
      <c r="M771" s="11" t="s">
        <v>23</v>
      </c>
      <c r="N771" s="11" t="s">
        <v>24</v>
      </c>
      <c r="O771" s="11" t="s">
        <v>25</v>
      </c>
      <c r="P771" s="16" t="s">
        <v>25</v>
      </c>
      <c r="Q771" s="37" t="s">
        <v>25</v>
      </c>
      <c r="R771" s="11" t="s">
        <v>25</v>
      </c>
      <c r="S771" s="13">
        <f t="shared" ref="S771:S834" si="12">IF(NOT(N771="SW"),L771-1.88,L771)</f>
        <v>-1.0999999999999999</v>
      </c>
    </row>
    <row r="772" spans="1:19">
      <c r="A772" s="10" t="s">
        <v>795</v>
      </c>
      <c r="B772" s="11" t="s">
        <v>816</v>
      </c>
      <c r="C772" s="11" t="s">
        <v>25</v>
      </c>
      <c r="D772" s="11" t="s">
        <v>25</v>
      </c>
      <c r="E772" s="11" t="s">
        <v>25</v>
      </c>
      <c r="F772">
        <v>35.76</v>
      </c>
      <c r="G772">
        <v>35.76</v>
      </c>
      <c r="H772" s="12">
        <v>223.78</v>
      </c>
      <c r="I772" s="11" t="s">
        <v>817</v>
      </c>
      <c r="J772" s="11" t="s">
        <v>25</v>
      </c>
      <c r="K772" s="11" t="s">
        <v>25</v>
      </c>
      <c r="L772" s="12">
        <v>0.77</v>
      </c>
      <c r="M772" s="11" t="s">
        <v>23</v>
      </c>
      <c r="N772" s="11" t="s">
        <v>24</v>
      </c>
      <c r="O772" s="11" t="s">
        <v>25</v>
      </c>
      <c r="P772" s="16" t="s">
        <v>25</v>
      </c>
      <c r="Q772" s="37" t="s">
        <v>25</v>
      </c>
      <c r="R772" s="11" t="s">
        <v>25</v>
      </c>
      <c r="S772" s="13">
        <f t="shared" si="12"/>
        <v>-1.1099999999999999</v>
      </c>
    </row>
    <row r="773" spans="1:19" s="4" customFormat="1">
      <c r="B773" s="5"/>
      <c r="C773" s="5"/>
      <c r="D773" s="5"/>
      <c r="E773" s="33"/>
      <c r="I773" s="5"/>
      <c r="J773" s="5"/>
      <c r="M773" s="5"/>
      <c r="O773" s="5"/>
      <c r="P773" s="6"/>
      <c r="Q773" s="38"/>
      <c r="S773" s="24"/>
    </row>
    <row r="774" spans="1:19">
      <c r="A774" s="10" t="s">
        <v>1136</v>
      </c>
      <c r="B774" s="11" t="s">
        <v>826</v>
      </c>
      <c r="C774" s="11" t="s">
        <v>25</v>
      </c>
      <c r="D774" s="11" t="s">
        <v>25</v>
      </c>
      <c r="E774" s="12" t="s">
        <v>818</v>
      </c>
      <c r="F774">
        <f>VLOOKUP(E774,Legends!$G$2:$I$87,2,FALSE)</f>
        <v>66</v>
      </c>
      <c r="G774">
        <f>VLOOKUP(E774,Legends!$G$2:$I$87,3,FALSE)</f>
        <v>72.099999999999994</v>
      </c>
      <c r="H774" s="12">
        <v>71</v>
      </c>
      <c r="I774" s="11" t="s">
        <v>1122</v>
      </c>
      <c r="J774" s="11" t="s">
        <v>1203</v>
      </c>
      <c r="K774" s="11" t="s">
        <v>25</v>
      </c>
      <c r="L774" s="12">
        <v>1.0999999999999999</v>
      </c>
      <c r="M774" s="11" t="s">
        <v>23</v>
      </c>
      <c r="N774" s="11" t="s">
        <v>24</v>
      </c>
      <c r="O774" s="11" t="s">
        <v>25</v>
      </c>
      <c r="P774" s="16" t="s">
        <v>25</v>
      </c>
      <c r="Q774" s="37" t="s">
        <v>25</v>
      </c>
      <c r="R774" s="11" t="s">
        <v>25</v>
      </c>
      <c r="S774" s="13">
        <f t="shared" si="12"/>
        <v>-0.78</v>
      </c>
    </row>
    <row r="775" spans="1:19">
      <c r="A775" s="10" t="s">
        <v>1136</v>
      </c>
      <c r="B775" s="11" t="s">
        <v>827</v>
      </c>
      <c r="C775" s="11" t="s">
        <v>25</v>
      </c>
      <c r="D775" s="11" t="s">
        <v>25</v>
      </c>
      <c r="E775" s="12" t="s">
        <v>819</v>
      </c>
      <c r="F775">
        <f>VLOOKUP(E775,Legends!$G$2:$I$87,2,FALSE)</f>
        <v>89.8</v>
      </c>
      <c r="G775">
        <f>VLOOKUP(E775,Legends!$G$2:$I$87,3,FALSE)</f>
        <v>93.9</v>
      </c>
      <c r="H775" s="12">
        <v>89</v>
      </c>
      <c r="I775" s="11" t="s">
        <v>1122</v>
      </c>
      <c r="J775" s="11" t="s">
        <v>1203</v>
      </c>
      <c r="K775" s="11" t="s">
        <v>25</v>
      </c>
      <c r="L775" s="12">
        <v>1.08</v>
      </c>
      <c r="M775" s="11" t="s">
        <v>23</v>
      </c>
      <c r="N775" s="11" t="s">
        <v>24</v>
      </c>
      <c r="O775" s="11" t="s">
        <v>25</v>
      </c>
      <c r="P775" s="16" t="s">
        <v>25</v>
      </c>
      <c r="Q775" s="37" t="s">
        <v>25</v>
      </c>
      <c r="R775" s="11" t="s">
        <v>25</v>
      </c>
      <c r="S775" s="13">
        <f t="shared" si="12"/>
        <v>-0.79999999999999982</v>
      </c>
    </row>
    <row r="776" spans="1:19">
      <c r="A776" s="10" t="s">
        <v>1136</v>
      </c>
      <c r="B776" s="11" t="s">
        <v>828</v>
      </c>
      <c r="C776" s="11" t="s">
        <v>25</v>
      </c>
      <c r="D776" s="11" t="s">
        <v>25</v>
      </c>
      <c r="E776" s="12" t="s">
        <v>819</v>
      </c>
      <c r="F776">
        <f>VLOOKUP(E776,Legends!$G$2:$I$87,2,FALSE)</f>
        <v>89.8</v>
      </c>
      <c r="G776">
        <f>VLOOKUP(E776,Legends!$G$2:$I$87,3,FALSE)</f>
        <v>93.9</v>
      </c>
      <c r="H776" s="12">
        <v>89.5</v>
      </c>
      <c r="I776" s="11" t="s">
        <v>1122</v>
      </c>
      <c r="J776" s="11" t="s">
        <v>1203</v>
      </c>
      <c r="K776" s="11" t="s">
        <v>25</v>
      </c>
      <c r="L776" s="12">
        <v>0.92</v>
      </c>
      <c r="M776" s="11" t="s">
        <v>23</v>
      </c>
      <c r="N776" s="11" t="s">
        <v>24</v>
      </c>
      <c r="O776" s="11" t="s">
        <v>25</v>
      </c>
      <c r="P776" s="16" t="s">
        <v>25</v>
      </c>
      <c r="Q776" s="37" t="s">
        <v>25</v>
      </c>
      <c r="R776" s="11" t="s">
        <v>25</v>
      </c>
      <c r="S776" s="13">
        <f t="shared" si="12"/>
        <v>-0.95999999999999985</v>
      </c>
    </row>
    <row r="777" spans="1:19">
      <c r="A777" s="10" t="s">
        <v>1136</v>
      </c>
      <c r="B777" s="11" t="s">
        <v>829</v>
      </c>
      <c r="C777" s="11" t="s">
        <v>25</v>
      </c>
      <c r="D777" s="11" t="s">
        <v>25</v>
      </c>
      <c r="E777" s="12" t="s">
        <v>819</v>
      </c>
      <c r="F777">
        <f>VLOOKUP(E777,Legends!$G$2:$I$87,2,FALSE)</f>
        <v>89.8</v>
      </c>
      <c r="G777">
        <f>VLOOKUP(E777,Legends!$G$2:$I$87,3,FALSE)</f>
        <v>93.9</v>
      </c>
      <c r="H777" s="12">
        <v>91.9</v>
      </c>
      <c r="I777" s="11" t="s">
        <v>1122</v>
      </c>
      <c r="J777" s="11" t="s">
        <v>1203</v>
      </c>
      <c r="K777" s="11" t="s">
        <v>25</v>
      </c>
      <c r="L777" s="12">
        <v>1</v>
      </c>
      <c r="M777" s="11" t="s">
        <v>23</v>
      </c>
      <c r="N777" s="11" t="s">
        <v>24</v>
      </c>
      <c r="O777" s="11" t="s">
        <v>25</v>
      </c>
      <c r="P777" s="16" t="s">
        <v>25</v>
      </c>
      <c r="Q777" s="37" t="s">
        <v>25</v>
      </c>
      <c r="R777" s="11" t="s">
        <v>25</v>
      </c>
      <c r="S777" s="13">
        <f t="shared" si="12"/>
        <v>-0.87999999999999989</v>
      </c>
    </row>
    <row r="778" spans="1:19">
      <c r="A778" s="10" t="s">
        <v>1136</v>
      </c>
      <c r="B778" s="11" t="s">
        <v>830</v>
      </c>
      <c r="C778" s="11" t="s">
        <v>25</v>
      </c>
      <c r="D778" s="11" t="s">
        <v>25</v>
      </c>
      <c r="E778" s="12" t="s">
        <v>819</v>
      </c>
      <c r="F778">
        <f>VLOOKUP(E778,Legends!$G$2:$I$87,2,FALSE)</f>
        <v>89.8</v>
      </c>
      <c r="G778">
        <f>VLOOKUP(E778,Legends!$G$2:$I$87,3,FALSE)</f>
        <v>93.9</v>
      </c>
      <c r="H778" s="12">
        <v>92</v>
      </c>
      <c r="I778" s="11" t="s">
        <v>1122</v>
      </c>
      <c r="J778" s="11" t="s">
        <v>1203</v>
      </c>
      <c r="K778" s="11" t="s">
        <v>25</v>
      </c>
      <c r="L778" s="12">
        <v>1.0899999999999999</v>
      </c>
      <c r="M778" s="11" t="s">
        <v>23</v>
      </c>
      <c r="N778" s="11" t="s">
        <v>24</v>
      </c>
      <c r="O778" s="11" t="s">
        <v>25</v>
      </c>
      <c r="P778" s="16" t="s">
        <v>25</v>
      </c>
      <c r="Q778" s="37" t="s">
        <v>25</v>
      </c>
      <c r="R778" s="11" t="s">
        <v>25</v>
      </c>
      <c r="S778" s="13">
        <f t="shared" si="12"/>
        <v>-0.79</v>
      </c>
    </row>
    <row r="779" spans="1:19">
      <c r="A779" s="10" t="s">
        <v>1136</v>
      </c>
      <c r="B779" s="11" t="s">
        <v>831</v>
      </c>
      <c r="C779" s="11" t="s">
        <v>25</v>
      </c>
      <c r="D779" s="11" t="s">
        <v>25</v>
      </c>
      <c r="E779" s="12" t="s">
        <v>819</v>
      </c>
      <c r="F779">
        <f>VLOOKUP(E779,Legends!$G$2:$I$87,2,FALSE)</f>
        <v>89.8</v>
      </c>
      <c r="G779">
        <f>VLOOKUP(E779,Legends!$G$2:$I$87,3,FALSE)</f>
        <v>93.9</v>
      </c>
      <c r="H779" s="12">
        <v>93</v>
      </c>
      <c r="I779" s="11" t="s">
        <v>1122</v>
      </c>
      <c r="J779" s="11" t="s">
        <v>1203</v>
      </c>
      <c r="K779" s="11" t="s">
        <v>25</v>
      </c>
      <c r="L779" s="12">
        <v>0.94000000000000006</v>
      </c>
      <c r="M779" s="11" t="s">
        <v>23</v>
      </c>
      <c r="N779" s="11" t="s">
        <v>24</v>
      </c>
      <c r="O779" s="11" t="s">
        <v>25</v>
      </c>
      <c r="P779" s="16" t="s">
        <v>25</v>
      </c>
      <c r="Q779" s="37" t="s">
        <v>25</v>
      </c>
      <c r="R779" s="11" t="s">
        <v>25</v>
      </c>
      <c r="S779" s="13">
        <f t="shared" si="12"/>
        <v>-0.93999999999999984</v>
      </c>
    </row>
    <row r="780" spans="1:19">
      <c r="A780" s="10" t="s">
        <v>1136</v>
      </c>
      <c r="B780" s="11" t="s">
        <v>832</v>
      </c>
      <c r="C780" s="11" t="s">
        <v>25</v>
      </c>
      <c r="D780" s="11" t="s">
        <v>25</v>
      </c>
      <c r="E780" s="12" t="s">
        <v>820</v>
      </c>
      <c r="F780">
        <f>VLOOKUP(E780,Legends!$G$2:$I$87,2,FALSE)</f>
        <v>93.9</v>
      </c>
      <c r="G780">
        <f>VLOOKUP(E780,Legends!$G$2:$I$87,3,FALSE)</f>
        <v>100.5</v>
      </c>
      <c r="H780" s="12">
        <v>94</v>
      </c>
      <c r="I780" s="11" t="s">
        <v>1122</v>
      </c>
      <c r="J780" s="11" t="s">
        <v>1203</v>
      </c>
      <c r="K780" s="11" t="s">
        <v>25</v>
      </c>
      <c r="L780" s="12">
        <v>1.19</v>
      </c>
      <c r="M780" s="11" t="s">
        <v>23</v>
      </c>
      <c r="N780" s="11" t="s">
        <v>24</v>
      </c>
      <c r="O780" s="11" t="s">
        <v>25</v>
      </c>
      <c r="P780" s="16" t="s">
        <v>25</v>
      </c>
      <c r="Q780" s="37" t="s">
        <v>25</v>
      </c>
      <c r="R780" s="11" t="s">
        <v>25</v>
      </c>
      <c r="S780" s="13">
        <f t="shared" si="12"/>
        <v>-0.69</v>
      </c>
    </row>
    <row r="781" spans="1:19">
      <c r="A781" s="10" t="s">
        <v>1136</v>
      </c>
      <c r="B781" s="11" t="s">
        <v>833</v>
      </c>
      <c r="C781" s="11" t="s">
        <v>25</v>
      </c>
      <c r="D781" s="11" t="s">
        <v>25</v>
      </c>
      <c r="E781" s="12" t="s">
        <v>820</v>
      </c>
      <c r="F781">
        <f>VLOOKUP(E781,Legends!$G$2:$I$87,2,FALSE)</f>
        <v>93.9</v>
      </c>
      <c r="G781">
        <f>VLOOKUP(E781,Legends!$G$2:$I$87,3,FALSE)</f>
        <v>100.5</v>
      </c>
      <c r="H781" s="12">
        <v>94.1</v>
      </c>
      <c r="I781" s="11" t="s">
        <v>1122</v>
      </c>
      <c r="J781" s="11" t="s">
        <v>1203</v>
      </c>
      <c r="K781" s="11" t="s">
        <v>25</v>
      </c>
      <c r="L781" s="12">
        <v>1.3399999999999999</v>
      </c>
      <c r="M781" s="11" t="s">
        <v>23</v>
      </c>
      <c r="N781" s="11" t="s">
        <v>24</v>
      </c>
      <c r="O781" s="11" t="s">
        <v>25</v>
      </c>
      <c r="P781" s="16" t="s">
        <v>25</v>
      </c>
      <c r="Q781" s="37" t="s">
        <v>25</v>
      </c>
      <c r="R781" s="11" t="s">
        <v>25</v>
      </c>
      <c r="S781" s="13">
        <f t="shared" si="12"/>
        <v>-0.54</v>
      </c>
    </row>
    <row r="782" spans="1:19">
      <c r="A782" s="10" t="s">
        <v>1136</v>
      </c>
      <c r="B782" s="11" t="s">
        <v>834</v>
      </c>
      <c r="C782" s="11" t="s">
        <v>25</v>
      </c>
      <c r="D782" s="11" t="s">
        <v>25</v>
      </c>
      <c r="E782" s="12" t="s">
        <v>820</v>
      </c>
      <c r="F782">
        <f>VLOOKUP(E782,Legends!$G$2:$I$87,2,FALSE)</f>
        <v>93.9</v>
      </c>
      <c r="G782">
        <f>VLOOKUP(E782,Legends!$G$2:$I$87,3,FALSE)</f>
        <v>100.5</v>
      </c>
      <c r="H782" s="12">
        <v>94.9</v>
      </c>
      <c r="I782" s="11" t="s">
        <v>1122</v>
      </c>
      <c r="J782" s="11" t="s">
        <v>1203</v>
      </c>
      <c r="K782" s="11" t="s">
        <v>25</v>
      </c>
      <c r="L782" s="12">
        <v>1.02</v>
      </c>
      <c r="M782" s="11" t="s">
        <v>23</v>
      </c>
      <c r="N782" s="11" t="s">
        <v>24</v>
      </c>
      <c r="O782" s="11" t="s">
        <v>25</v>
      </c>
      <c r="P782" s="16" t="s">
        <v>25</v>
      </c>
      <c r="Q782" s="37" t="s">
        <v>25</v>
      </c>
      <c r="R782" s="11" t="s">
        <v>25</v>
      </c>
      <c r="S782" s="13">
        <f t="shared" si="12"/>
        <v>-0.85999999999999988</v>
      </c>
    </row>
    <row r="783" spans="1:19">
      <c r="A783" s="10" t="s">
        <v>1136</v>
      </c>
      <c r="B783" s="11" t="s">
        <v>835</v>
      </c>
      <c r="C783" s="11" t="s">
        <v>25</v>
      </c>
      <c r="D783" s="11" t="s">
        <v>25</v>
      </c>
      <c r="E783" s="12" t="s">
        <v>820</v>
      </c>
      <c r="F783">
        <f>VLOOKUP(E783,Legends!$G$2:$I$87,2,FALSE)</f>
        <v>93.9</v>
      </c>
      <c r="G783">
        <f>VLOOKUP(E783,Legends!$G$2:$I$87,3,FALSE)</f>
        <v>100.5</v>
      </c>
      <c r="H783" s="12">
        <v>95</v>
      </c>
      <c r="I783" s="11" t="s">
        <v>1122</v>
      </c>
      <c r="J783" s="11" t="s">
        <v>1203</v>
      </c>
      <c r="K783" s="11" t="s">
        <v>25</v>
      </c>
      <c r="L783" s="12">
        <v>0.97</v>
      </c>
      <c r="M783" s="11" t="s">
        <v>23</v>
      </c>
      <c r="N783" s="11" t="s">
        <v>24</v>
      </c>
      <c r="O783" s="11" t="s">
        <v>25</v>
      </c>
      <c r="P783" s="16" t="s">
        <v>25</v>
      </c>
      <c r="Q783" s="37" t="s">
        <v>25</v>
      </c>
      <c r="R783" s="11" t="s">
        <v>25</v>
      </c>
      <c r="S783" s="13">
        <f t="shared" si="12"/>
        <v>-0.90999999999999992</v>
      </c>
    </row>
    <row r="784" spans="1:19">
      <c r="A784" s="10" t="s">
        <v>1136</v>
      </c>
      <c r="B784" s="11" t="s">
        <v>836</v>
      </c>
      <c r="C784" s="11" t="s">
        <v>25</v>
      </c>
      <c r="D784" s="11" t="s">
        <v>25</v>
      </c>
      <c r="E784" s="12" t="s">
        <v>820</v>
      </c>
      <c r="F784">
        <f>VLOOKUP(E784,Legends!$G$2:$I$87,2,FALSE)</f>
        <v>93.9</v>
      </c>
      <c r="G784">
        <f>VLOOKUP(E784,Legends!$G$2:$I$87,3,FALSE)</f>
        <v>100.5</v>
      </c>
      <c r="H784" s="12">
        <v>95.1</v>
      </c>
      <c r="I784" s="11" t="s">
        <v>1122</v>
      </c>
      <c r="J784" s="11" t="s">
        <v>1203</v>
      </c>
      <c r="K784" s="11" t="s">
        <v>25</v>
      </c>
      <c r="L784" s="12">
        <v>0.87</v>
      </c>
      <c r="M784" s="11" t="s">
        <v>23</v>
      </c>
      <c r="N784" s="11" t="s">
        <v>24</v>
      </c>
      <c r="O784" s="11" t="s">
        <v>25</v>
      </c>
      <c r="P784" s="16" t="s">
        <v>25</v>
      </c>
      <c r="Q784" s="37" t="s">
        <v>25</v>
      </c>
      <c r="R784" s="11" t="s">
        <v>25</v>
      </c>
      <c r="S784" s="13">
        <f t="shared" si="12"/>
        <v>-1.0099999999999998</v>
      </c>
    </row>
    <row r="785" spans="1:19">
      <c r="A785" s="10" t="s">
        <v>1136</v>
      </c>
      <c r="B785" s="11" t="s">
        <v>837</v>
      </c>
      <c r="C785" s="11" t="s">
        <v>25</v>
      </c>
      <c r="D785" s="11" t="s">
        <v>25</v>
      </c>
      <c r="E785" s="12" t="s">
        <v>820</v>
      </c>
      <c r="F785">
        <f>VLOOKUP(E785,Legends!$G$2:$I$87,2,FALSE)</f>
        <v>93.9</v>
      </c>
      <c r="G785">
        <f>VLOOKUP(E785,Legends!$G$2:$I$87,3,FALSE)</f>
        <v>100.5</v>
      </c>
      <c r="H785" s="12">
        <v>96.4</v>
      </c>
      <c r="I785" s="11" t="s">
        <v>1122</v>
      </c>
      <c r="J785" s="11" t="s">
        <v>1203</v>
      </c>
      <c r="K785" s="11" t="s">
        <v>25</v>
      </c>
      <c r="L785" s="12">
        <v>0.97</v>
      </c>
      <c r="M785" s="11" t="s">
        <v>23</v>
      </c>
      <c r="N785" s="11" t="s">
        <v>24</v>
      </c>
      <c r="O785" s="11" t="s">
        <v>25</v>
      </c>
      <c r="P785" s="16" t="s">
        <v>25</v>
      </c>
      <c r="Q785" s="37" t="s">
        <v>25</v>
      </c>
      <c r="R785" s="11" t="s">
        <v>25</v>
      </c>
      <c r="S785" s="13">
        <f t="shared" si="12"/>
        <v>-0.90999999999999992</v>
      </c>
    </row>
    <row r="786" spans="1:19">
      <c r="A786" s="10" t="s">
        <v>1136</v>
      </c>
      <c r="B786" s="11" t="s">
        <v>838</v>
      </c>
      <c r="C786" s="11" t="s">
        <v>25</v>
      </c>
      <c r="D786" s="11" t="s">
        <v>25</v>
      </c>
      <c r="E786" s="12" t="s">
        <v>820</v>
      </c>
      <c r="F786">
        <f>VLOOKUP(E786,Legends!$G$2:$I$87,2,FALSE)</f>
        <v>93.9</v>
      </c>
      <c r="G786">
        <f>VLOOKUP(E786,Legends!$G$2:$I$87,3,FALSE)</f>
        <v>100.5</v>
      </c>
      <c r="H786" s="12">
        <v>96.5</v>
      </c>
      <c r="I786" s="11" t="s">
        <v>1122</v>
      </c>
      <c r="J786" s="11" t="s">
        <v>1203</v>
      </c>
      <c r="K786" s="11" t="s">
        <v>25</v>
      </c>
      <c r="L786" s="12">
        <v>0.84</v>
      </c>
      <c r="M786" s="11" t="s">
        <v>23</v>
      </c>
      <c r="N786" s="11" t="s">
        <v>24</v>
      </c>
      <c r="O786" s="11" t="s">
        <v>25</v>
      </c>
      <c r="P786" s="16" t="s">
        <v>25</v>
      </c>
      <c r="Q786" s="37" t="s">
        <v>25</v>
      </c>
      <c r="R786" s="11" t="s">
        <v>25</v>
      </c>
      <c r="S786" s="13">
        <f t="shared" si="12"/>
        <v>-1.04</v>
      </c>
    </row>
    <row r="787" spans="1:19">
      <c r="A787" s="10" t="s">
        <v>1136</v>
      </c>
      <c r="B787" s="11" t="s">
        <v>839</v>
      </c>
      <c r="C787" s="11" t="s">
        <v>25</v>
      </c>
      <c r="D787" s="11" t="s">
        <v>25</v>
      </c>
      <c r="E787" s="12" t="s">
        <v>821</v>
      </c>
      <c r="F787">
        <f>VLOOKUP(E787,Legends!$G$2:$I$87,2,FALSE)</f>
        <v>149.19999999999999</v>
      </c>
      <c r="G787">
        <f>VLOOKUP(E787,Legends!$G$2:$I$87,3,FALSE)</f>
        <v>154.80000000000001</v>
      </c>
      <c r="H787" s="12">
        <v>151.5</v>
      </c>
      <c r="I787" s="11" t="s">
        <v>1122</v>
      </c>
      <c r="J787" s="11" t="s">
        <v>1203</v>
      </c>
      <c r="K787" s="11" t="s">
        <v>25</v>
      </c>
      <c r="L787" s="12">
        <v>0.68</v>
      </c>
      <c r="M787" s="11" t="s">
        <v>23</v>
      </c>
      <c r="N787" s="11" t="s">
        <v>24</v>
      </c>
      <c r="O787" s="11" t="s">
        <v>25</v>
      </c>
      <c r="P787" s="16" t="s">
        <v>25</v>
      </c>
      <c r="Q787" s="37" t="s">
        <v>25</v>
      </c>
      <c r="R787" s="11" t="s">
        <v>25</v>
      </c>
      <c r="S787" s="13">
        <f t="shared" si="12"/>
        <v>-1.1999999999999997</v>
      </c>
    </row>
    <row r="788" spans="1:19">
      <c r="A788" s="10" t="s">
        <v>1136</v>
      </c>
      <c r="B788" s="11" t="s">
        <v>840</v>
      </c>
      <c r="C788" s="11" t="s">
        <v>25</v>
      </c>
      <c r="D788" s="11" t="s">
        <v>25</v>
      </c>
      <c r="E788" s="12" t="s">
        <v>821</v>
      </c>
      <c r="F788">
        <f>VLOOKUP(E788,Legends!$G$2:$I$87,2,FALSE)</f>
        <v>149.19999999999999</v>
      </c>
      <c r="G788">
        <f>VLOOKUP(E788,Legends!$G$2:$I$87,3,FALSE)</f>
        <v>154.80000000000001</v>
      </c>
      <c r="H788" s="12">
        <v>151.5</v>
      </c>
      <c r="I788" s="11" t="s">
        <v>1122</v>
      </c>
      <c r="J788" s="11" t="s">
        <v>1203</v>
      </c>
      <c r="K788" s="11" t="s">
        <v>25</v>
      </c>
      <c r="L788" s="12">
        <v>0.69</v>
      </c>
      <c r="M788" s="11" t="s">
        <v>23</v>
      </c>
      <c r="N788" s="11" t="s">
        <v>24</v>
      </c>
      <c r="O788" s="11" t="s">
        <v>25</v>
      </c>
      <c r="P788" s="16" t="s">
        <v>25</v>
      </c>
      <c r="Q788" s="37" t="s">
        <v>25</v>
      </c>
      <c r="R788" s="11" t="s">
        <v>25</v>
      </c>
      <c r="S788" s="13">
        <f t="shared" si="12"/>
        <v>-1.19</v>
      </c>
    </row>
    <row r="789" spans="1:19">
      <c r="A789" s="10" t="s">
        <v>1136</v>
      </c>
      <c r="B789" s="11" t="s">
        <v>841</v>
      </c>
      <c r="C789" s="11" t="s">
        <v>25</v>
      </c>
      <c r="D789" s="11" t="s">
        <v>25</v>
      </c>
      <c r="E789" s="12" t="s">
        <v>821</v>
      </c>
      <c r="F789">
        <f>VLOOKUP(E789,Legends!$G$2:$I$87,2,FALSE)</f>
        <v>149.19999999999999</v>
      </c>
      <c r="G789">
        <f>VLOOKUP(E789,Legends!$G$2:$I$87,3,FALSE)</f>
        <v>154.80000000000001</v>
      </c>
      <c r="H789" s="12">
        <v>155</v>
      </c>
      <c r="I789" s="11" t="s">
        <v>1122</v>
      </c>
      <c r="J789" s="11" t="s">
        <v>1203</v>
      </c>
      <c r="K789" s="11" t="s">
        <v>25</v>
      </c>
      <c r="L789" s="12">
        <v>0.66</v>
      </c>
      <c r="M789" s="11" t="s">
        <v>23</v>
      </c>
      <c r="N789" s="11" t="s">
        <v>24</v>
      </c>
      <c r="O789" s="11" t="s">
        <v>25</v>
      </c>
      <c r="P789" s="16" t="s">
        <v>25</v>
      </c>
      <c r="Q789" s="37" t="s">
        <v>25</v>
      </c>
      <c r="R789" s="11" t="s">
        <v>25</v>
      </c>
      <c r="S789" s="13">
        <f t="shared" si="12"/>
        <v>-1.2199999999999998</v>
      </c>
    </row>
    <row r="790" spans="1:19">
      <c r="A790" s="10" t="s">
        <v>1136</v>
      </c>
      <c r="B790" s="11" t="s">
        <v>842</v>
      </c>
      <c r="C790" s="11" t="s">
        <v>25</v>
      </c>
      <c r="D790" s="11" t="s">
        <v>25</v>
      </c>
      <c r="E790" s="12" t="s">
        <v>821</v>
      </c>
      <c r="F790">
        <f>VLOOKUP(E790,Legends!$G$2:$I$87,2,FALSE)</f>
        <v>149.19999999999999</v>
      </c>
      <c r="G790">
        <f>VLOOKUP(E790,Legends!$G$2:$I$87,3,FALSE)</f>
        <v>154.80000000000001</v>
      </c>
      <c r="H790" s="12">
        <v>155</v>
      </c>
      <c r="I790" s="11" t="s">
        <v>1122</v>
      </c>
      <c r="J790" s="11" t="s">
        <v>1203</v>
      </c>
      <c r="K790" s="11" t="s">
        <v>25</v>
      </c>
      <c r="L790" s="12">
        <v>0.59</v>
      </c>
      <c r="M790" s="11" t="s">
        <v>23</v>
      </c>
      <c r="N790" s="11" t="s">
        <v>24</v>
      </c>
      <c r="O790" s="11" t="s">
        <v>25</v>
      </c>
      <c r="P790" s="16" t="s">
        <v>25</v>
      </c>
      <c r="Q790" s="37" t="s">
        <v>25</v>
      </c>
      <c r="R790" s="11" t="s">
        <v>25</v>
      </c>
      <c r="S790" s="13">
        <f t="shared" si="12"/>
        <v>-1.29</v>
      </c>
    </row>
    <row r="791" spans="1:19">
      <c r="A791" s="10" t="s">
        <v>1136</v>
      </c>
      <c r="B791" s="11" t="s">
        <v>843</v>
      </c>
      <c r="C791" s="11" t="s">
        <v>25</v>
      </c>
      <c r="D791" s="11" t="s">
        <v>25</v>
      </c>
      <c r="E791" s="12" t="s">
        <v>822</v>
      </c>
      <c r="F791">
        <f>VLOOKUP(E791,Legends!$G$2:$I$87,2,FALSE)</f>
        <v>201.4</v>
      </c>
      <c r="G791">
        <f>VLOOKUP(E791,Legends!$G$2:$I$87,3,FALSE)</f>
        <v>208.5</v>
      </c>
      <c r="H791" s="12">
        <v>201.2</v>
      </c>
      <c r="I791" s="11" t="s">
        <v>1122</v>
      </c>
      <c r="J791" s="11" t="s">
        <v>1203</v>
      </c>
      <c r="K791" s="11" t="s">
        <v>25</v>
      </c>
      <c r="L791" s="12">
        <v>0.46</v>
      </c>
      <c r="M791" s="11" t="s">
        <v>23</v>
      </c>
      <c r="N791" s="11" t="s">
        <v>24</v>
      </c>
      <c r="O791" s="11" t="s">
        <v>25</v>
      </c>
      <c r="P791" s="16" t="s">
        <v>25</v>
      </c>
      <c r="Q791" s="37" t="s">
        <v>25</v>
      </c>
      <c r="R791" s="11" t="s">
        <v>25</v>
      </c>
      <c r="S791" s="13">
        <f t="shared" si="12"/>
        <v>-1.42</v>
      </c>
    </row>
    <row r="792" spans="1:19">
      <c r="A792" s="10" t="s">
        <v>1136</v>
      </c>
      <c r="B792" s="11" t="s">
        <v>844</v>
      </c>
      <c r="C792" s="11" t="s">
        <v>25</v>
      </c>
      <c r="D792" s="11" t="s">
        <v>25</v>
      </c>
      <c r="E792" s="12" t="s">
        <v>822</v>
      </c>
      <c r="F792">
        <f>VLOOKUP(E792,Legends!$G$2:$I$87,2,FALSE)</f>
        <v>201.4</v>
      </c>
      <c r="G792">
        <f>VLOOKUP(E792,Legends!$G$2:$I$87,3,FALSE)</f>
        <v>208.5</v>
      </c>
      <c r="H792" s="12">
        <v>201.2</v>
      </c>
      <c r="I792" s="11" t="s">
        <v>1122</v>
      </c>
      <c r="J792" s="11" t="s">
        <v>1203</v>
      </c>
      <c r="K792" s="11" t="s">
        <v>25</v>
      </c>
      <c r="L792" s="12">
        <v>0.59</v>
      </c>
      <c r="M792" s="11" t="s">
        <v>23</v>
      </c>
      <c r="N792" s="11" t="s">
        <v>24</v>
      </c>
      <c r="O792" s="11" t="s">
        <v>25</v>
      </c>
      <c r="P792" s="16" t="s">
        <v>25</v>
      </c>
      <c r="Q792" s="37" t="s">
        <v>25</v>
      </c>
      <c r="R792" s="11" t="s">
        <v>25</v>
      </c>
      <c r="S792" s="13">
        <f t="shared" si="12"/>
        <v>-1.29</v>
      </c>
    </row>
    <row r="793" spans="1:19">
      <c r="A793" s="10" t="s">
        <v>1136</v>
      </c>
      <c r="B793" s="11" t="s">
        <v>845</v>
      </c>
      <c r="C793" s="11" t="s">
        <v>25</v>
      </c>
      <c r="D793" s="11" t="s">
        <v>25</v>
      </c>
      <c r="E793" s="12" t="s">
        <v>822</v>
      </c>
      <c r="F793">
        <f>VLOOKUP(E793,Legends!$G$2:$I$87,2,FALSE)</f>
        <v>201.4</v>
      </c>
      <c r="G793">
        <f>VLOOKUP(E793,Legends!$G$2:$I$87,3,FALSE)</f>
        <v>208.5</v>
      </c>
      <c r="H793" s="12">
        <v>201.7</v>
      </c>
      <c r="I793" s="11" t="s">
        <v>1122</v>
      </c>
      <c r="J793" s="11" t="s">
        <v>1203</v>
      </c>
      <c r="K793" s="11" t="s">
        <v>25</v>
      </c>
      <c r="L793" s="12">
        <v>0.48</v>
      </c>
      <c r="M793" s="11" t="s">
        <v>23</v>
      </c>
      <c r="N793" s="11" t="s">
        <v>24</v>
      </c>
      <c r="O793" s="11" t="s">
        <v>25</v>
      </c>
      <c r="P793" s="16" t="s">
        <v>25</v>
      </c>
      <c r="Q793" s="37" t="s">
        <v>25</v>
      </c>
      <c r="R793" s="11" t="s">
        <v>25</v>
      </c>
      <c r="S793" s="13">
        <f t="shared" si="12"/>
        <v>-1.4</v>
      </c>
    </row>
    <row r="794" spans="1:19">
      <c r="A794" s="10" t="s">
        <v>1136</v>
      </c>
      <c r="B794" s="11" t="s">
        <v>846</v>
      </c>
      <c r="C794" s="11" t="s">
        <v>25</v>
      </c>
      <c r="D794" s="11" t="s">
        <v>25</v>
      </c>
      <c r="E794" s="12" t="s">
        <v>822</v>
      </c>
      <c r="F794">
        <f>VLOOKUP(E794,Legends!$G$2:$I$87,2,FALSE)</f>
        <v>201.4</v>
      </c>
      <c r="G794">
        <f>VLOOKUP(E794,Legends!$G$2:$I$87,3,FALSE)</f>
        <v>208.5</v>
      </c>
      <c r="H794" s="12">
        <v>202</v>
      </c>
      <c r="I794" s="11" t="s">
        <v>1122</v>
      </c>
      <c r="J794" s="11" t="s">
        <v>1203</v>
      </c>
      <c r="K794" s="11" t="s">
        <v>25</v>
      </c>
      <c r="L794" s="12">
        <v>0.73</v>
      </c>
      <c r="M794" s="11" t="s">
        <v>23</v>
      </c>
      <c r="N794" s="11" t="s">
        <v>24</v>
      </c>
      <c r="O794" s="11" t="s">
        <v>25</v>
      </c>
      <c r="P794" s="16" t="s">
        <v>25</v>
      </c>
      <c r="Q794" s="37" t="s">
        <v>25</v>
      </c>
      <c r="R794" s="11" t="s">
        <v>25</v>
      </c>
      <c r="S794" s="13">
        <f t="shared" si="12"/>
        <v>-1.1499999999999999</v>
      </c>
    </row>
    <row r="795" spans="1:19">
      <c r="A795" s="10" t="s">
        <v>1136</v>
      </c>
      <c r="B795" s="11" t="s">
        <v>847</v>
      </c>
      <c r="C795" s="11" t="s">
        <v>25</v>
      </c>
      <c r="D795" s="11" t="s">
        <v>25</v>
      </c>
      <c r="E795" s="12" t="s">
        <v>822</v>
      </c>
      <c r="F795">
        <f>VLOOKUP(E795,Legends!$G$2:$I$87,2,FALSE)</f>
        <v>201.4</v>
      </c>
      <c r="G795">
        <f>VLOOKUP(E795,Legends!$G$2:$I$87,3,FALSE)</f>
        <v>208.5</v>
      </c>
      <c r="H795" s="12">
        <v>202.3</v>
      </c>
      <c r="I795" s="11" t="s">
        <v>1122</v>
      </c>
      <c r="J795" s="11" t="s">
        <v>1203</v>
      </c>
      <c r="K795" s="11" t="s">
        <v>25</v>
      </c>
      <c r="L795" s="12">
        <v>0.7</v>
      </c>
      <c r="M795" s="11" t="s">
        <v>23</v>
      </c>
      <c r="N795" s="11" t="s">
        <v>24</v>
      </c>
      <c r="O795" s="11" t="s">
        <v>25</v>
      </c>
      <c r="P795" s="16" t="s">
        <v>25</v>
      </c>
      <c r="Q795" s="37" t="s">
        <v>25</v>
      </c>
      <c r="R795" s="11" t="s">
        <v>25</v>
      </c>
      <c r="S795" s="13">
        <f t="shared" si="12"/>
        <v>-1.18</v>
      </c>
    </row>
    <row r="796" spans="1:19">
      <c r="A796" s="10" t="s">
        <v>1136</v>
      </c>
      <c r="B796" s="11" t="s">
        <v>848</v>
      </c>
      <c r="C796" s="11" t="s">
        <v>25</v>
      </c>
      <c r="D796" s="11" t="s">
        <v>25</v>
      </c>
      <c r="E796" s="12" t="s">
        <v>822</v>
      </c>
      <c r="F796">
        <f>VLOOKUP(E796,Legends!$G$2:$I$87,2,FALSE)</f>
        <v>201.4</v>
      </c>
      <c r="G796">
        <f>VLOOKUP(E796,Legends!$G$2:$I$87,3,FALSE)</f>
        <v>208.5</v>
      </c>
      <c r="H796" s="12">
        <v>202.5</v>
      </c>
      <c r="I796" s="11" t="s">
        <v>1122</v>
      </c>
      <c r="J796" s="11" t="s">
        <v>1203</v>
      </c>
      <c r="K796" s="11" t="s">
        <v>25</v>
      </c>
      <c r="L796" s="12">
        <v>0.32</v>
      </c>
      <c r="M796" s="11" t="s">
        <v>23</v>
      </c>
      <c r="N796" s="11" t="s">
        <v>24</v>
      </c>
      <c r="O796" s="11" t="s">
        <v>25</v>
      </c>
      <c r="P796" s="16" t="s">
        <v>25</v>
      </c>
      <c r="Q796" s="37" t="s">
        <v>25</v>
      </c>
      <c r="R796" s="11" t="s">
        <v>25</v>
      </c>
      <c r="S796" s="13">
        <f t="shared" si="12"/>
        <v>-1.5599999999999998</v>
      </c>
    </row>
    <row r="797" spans="1:19">
      <c r="A797" s="10" t="s">
        <v>1136</v>
      </c>
      <c r="B797" s="11" t="s">
        <v>849</v>
      </c>
      <c r="C797" s="11" t="s">
        <v>25</v>
      </c>
      <c r="D797" s="11" t="s">
        <v>25</v>
      </c>
      <c r="E797" s="12" t="s">
        <v>822</v>
      </c>
      <c r="F797">
        <f>VLOOKUP(E797,Legends!$G$2:$I$87,2,FALSE)</f>
        <v>201.4</v>
      </c>
      <c r="G797">
        <f>VLOOKUP(E797,Legends!$G$2:$I$87,3,FALSE)</f>
        <v>208.5</v>
      </c>
      <c r="H797" s="12">
        <v>202.8</v>
      </c>
      <c r="I797" s="11" t="s">
        <v>1122</v>
      </c>
      <c r="J797" s="11" t="s">
        <v>1203</v>
      </c>
      <c r="K797" s="11" t="s">
        <v>25</v>
      </c>
      <c r="L797" s="12">
        <v>0.39</v>
      </c>
      <c r="M797" s="11" t="s">
        <v>23</v>
      </c>
      <c r="N797" s="11" t="s">
        <v>24</v>
      </c>
      <c r="O797" s="11" t="s">
        <v>25</v>
      </c>
      <c r="P797" s="16" t="s">
        <v>25</v>
      </c>
      <c r="Q797" s="37" t="s">
        <v>25</v>
      </c>
      <c r="R797" s="11" t="s">
        <v>25</v>
      </c>
      <c r="S797" s="13">
        <f t="shared" si="12"/>
        <v>-1.4899999999999998</v>
      </c>
    </row>
    <row r="798" spans="1:19">
      <c r="A798" s="10" t="s">
        <v>1136</v>
      </c>
      <c r="B798" s="11" t="s">
        <v>850</v>
      </c>
      <c r="C798" s="11" t="s">
        <v>25</v>
      </c>
      <c r="D798" s="11" t="s">
        <v>25</v>
      </c>
      <c r="E798" s="12" t="s">
        <v>823</v>
      </c>
      <c r="F798">
        <f>VLOOKUP(E798,Legends!$G$2:$I$87,2,FALSE)</f>
        <v>227.3</v>
      </c>
      <c r="G798">
        <f>VLOOKUP(E798,Legends!$G$2:$I$87,3,FALSE)</f>
        <v>237</v>
      </c>
      <c r="H798" s="12">
        <v>225.2</v>
      </c>
      <c r="I798" s="11" t="s">
        <v>1122</v>
      </c>
      <c r="J798" s="11" t="s">
        <v>1203</v>
      </c>
      <c r="K798" s="11" t="s">
        <v>25</v>
      </c>
      <c r="L798" s="12">
        <v>0.73</v>
      </c>
      <c r="M798" s="11" t="s">
        <v>23</v>
      </c>
      <c r="N798" s="11" t="s">
        <v>24</v>
      </c>
      <c r="O798" s="11" t="s">
        <v>25</v>
      </c>
      <c r="P798" s="16" t="s">
        <v>25</v>
      </c>
      <c r="Q798" s="37" t="s">
        <v>25</v>
      </c>
      <c r="R798" s="11" t="s">
        <v>25</v>
      </c>
      <c r="S798" s="13">
        <f t="shared" si="12"/>
        <v>-1.1499999999999999</v>
      </c>
    </row>
    <row r="799" spans="1:19">
      <c r="A799" s="10" t="s">
        <v>1136</v>
      </c>
      <c r="B799" s="11" t="s">
        <v>851</v>
      </c>
      <c r="C799" s="11" t="s">
        <v>25</v>
      </c>
      <c r="D799" s="11" t="s">
        <v>25</v>
      </c>
      <c r="E799" s="12" t="s">
        <v>823</v>
      </c>
      <c r="F799">
        <f>VLOOKUP(E799,Legends!$G$2:$I$87,2,FALSE)</f>
        <v>227.3</v>
      </c>
      <c r="G799">
        <f>VLOOKUP(E799,Legends!$G$2:$I$87,3,FALSE)</f>
        <v>237</v>
      </c>
      <c r="H799" s="12">
        <v>226.1</v>
      </c>
      <c r="I799" s="11" t="s">
        <v>1122</v>
      </c>
      <c r="J799" s="11" t="s">
        <v>1203</v>
      </c>
      <c r="K799" s="11" t="s">
        <v>25</v>
      </c>
      <c r="L799" s="12">
        <v>0.61</v>
      </c>
      <c r="M799" s="11" t="s">
        <v>23</v>
      </c>
      <c r="N799" s="11" t="s">
        <v>24</v>
      </c>
      <c r="O799" s="11" t="s">
        <v>25</v>
      </c>
      <c r="P799" s="16" t="s">
        <v>25</v>
      </c>
      <c r="Q799" s="37" t="s">
        <v>25</v>
      </c>
      <c r="R799" s="11" t="s">
        <v>25</v>
      </c>
      <c r="S799" s="13">
        <f t="shared" si="12"/>
        <v>-1.27</v>
      </c>
    </row>
    <row r="800" spans="1:19">
      <c r="A800" s="10" t="s">
        <v>1136</v>
      </c>
      <c r="B800" s="11" t="s">
        <v>852</v>
      </c>
      <c r="C800" s="11" t="s">
        <v>25</v>
      </c>
      <c r="D800" s="11" t="s">
        <v>25</v>
      </c>
      <c r="E800" s="12" t="s">
        <v>823</v>
      </c>
      <c r="F800">
        <f>VLOOKUP(E800,Legends!$G$2:$I$87,2,FALSE)</f>
        <v>227.3</v>
      </c>
      <c r="G800">
        <f>VLOOKUP(E800,Legends!$G$2:$I$87,3,FALSE)</f>
        <v>237</v>
      </c>
      <c r="H800" s="12">
        <v>226.8</v>
      </c>
      <c r="I800" s="11" t="s">
        <v>1122</v>
      </c>
      <c r="J800" s="11" t="s">
        <v>1203</v>
      </c>
      <c r="K800" s="11" t="s">
        <v>25</v>
      </c>
      <c r="L800" s="12">
        <v>0.66</v>
      </c>
      <c r="M800" s="11" t="s">
        <v>23</v>
      </c>
      <c r="N800" s="11" t="s">
        <v>24</v>
      </c>
      <c r="O800" s="11" t="s">
        <v>25</v>
      </c>
      <c r="P800" s="16" t="s">
        <v>25</v>
      </c>
      <c r="Q800" s="37" t="s">
        <v>25</v>
      </c>
      <c r="R800" s="11" t="s">
        <v>25</v>
      </c>
      <c r="S800" s="13">
        <f t="shared" si="12"/>
        <v>-1.2199999999999998</v>
      </c>
    </row>
    <row r="801" spans="1:19">
      <c r="A801" s="10" t="s">
        <v>1136</v>
      </c>
      <c r="B801" s="11" t="s">
        <v>853</v>
      </c>
      <c r="C801" s="11" t="s">
        <v>25</v>
      </c>
      <c r="D801" s="11" t="s">
        <v>25</v>
      </c>
      <c r="E801" s="12" t="s">
        <v>823</v>
      </c>
      <c r="F801">
        <f>VLOOKUP(E801,Legends!$G$2:$I$87,2,FALSE)</f>
        <v>227.3</v>
      </c>
      <c r="G801">
        <f>VLOOKUP(E801,Legends!$G$2:$I$87,3,FALSE)</f>
        <v>237</v>
      </c>
      <c r="H801" s="12">
        <v>227.1</v>
      </c>
      <c r="I801" s="11" t="s">
        <v>1122</v>
      </c>
      <c r="J801" s="11" t="s">
        <v>1203</v>
      </c>
      <c r="K801" s="11" t="s">
        <v>25</v>
      </c>
      <c r="L801" s="12">
        <v>0.49</v>
      </c>
      <c r="M801" s="11" t="s">
        <v>23</v>
      </c>
      <c r="N801" s="11" t="s">
        <v>24</v>
      </c>
      <c r="O801" s="11" t="s">
        <v>25</v>
      </c>
      <c r="P801" s="16" t="s">
        <v>25</v>
      </c>
      <c r="Q801" s="37" t="s">
        <v>25</v>
      </c>
      <c r="R801" s="11" t="s">
        <v>25</v>
      </c>
      <c r="S801" s="13">
        <f t="shared" si="12"/>
        <v>-1.39</v>
      </c>
    </row>
    <row r="802" spans="1:19">
      <c r="A802" s="10" t="s">
        <v>1136</v>
      </c>
      <c r="B802" s="11" t="s">
        <v>854</v>
      </c>
      <c r="C802" s="11" t="s">
        <v>25</v>
      </c>
      <c r="D802" s="11" t="s">
        <v>25</v>
      </c>
      <c r="E802" s="12" t="s">
        <v>823</v>
      </c>
      <c r="F802">
        <f>VLOOKUP(E802,Legends!$G$2:$I$87,2,FALSE)</f>
        <v>227.3</v>
      </c>
      <c r="G802">
        <f>VLOOKUP(E802,Legends!$G$2:$I$87,3,FALSE)</f>
        <v>237</v>
      </c>
      <c r="H802" s="12">
        <v>227.4</v>
      </c>
      <c r="I802" s="11" t="s">
        <v>1122</v>
      </c>
      <c r="J802" s="11" t="s">
        <v>1203</v>
      </c>
      <c r="K802" s="11" t="s">
        <v>25</v>
      </c>
      <c r="L802" s="12">
        <v>0.9</v>
      </c>
      <c r="M802" s="11" t="s">
        <v>23</v>
      </c>
      <c r="N802" s="11" t="s">
        <v>24</v>
      </c>
      <c r="O802" s="11" t="s">
        <v>25</v>
      </c>
      <c r="P802" s="16" t="s">
        <v>25</v>
      </c>
      <c r="Q802" s="37" t="s">
        <v>25</v>
      </c>
      <c r="R802" s="11" t="s">
        <v>25</v>
      </c>
      <c r="S802" s="13">
        <f t="shared" si="12"/>
        <v>-0.97999999999999987</v>
      </c>
    </row>
    <row r="803" spans="1:19">
      <c r="A803" s="10" t="s">
        <v>1136</v>
      </c>
      <c r="B803" s="11" t="s">
        <v>855</v>
      </c>
      <c r="C803" s="11" t="s">
        <v>25</v>
      </c>
      <c r="D803" s="11" t="s">
        <v>25</v>
      </c>
      <c r="E803" s="12" t="s">
        <v>823</v>
      </c>
      <c r="F803">
        <f>VLOOKUP(E803,Legends!$G$2:$I$87,2,FALSE)</f>
        <v>227.3</v>
      </c>
      <c r="G803">
        <f>VLOOKUP(E803,Legends!$G$2:$I$87,3,FALSE)</f>
        <v>237</v>
      </c>
      <c r="H803" s="12">
        <v>227.4</v>
      </c>
      <c r="I803" s="11" t="s">
        <v>1122</v>
      </c>
      <c r="J803" s="11" t="s">
        <v>1203</v>
      </c>
      <c r="K803" s="11" t="s">
        <v>25</v>
      </c>
      <c r="L803" s="12">
        <v>0.42</v>
      </c>
      <c r="M803" s="11" t="s">
        <v>23</v>
      </c>
      <c r="N803" s="11" t="s">
        <v>24</v>
      </c>
      <c r="O803" s="11" t="s">
        <v>25</v>
      </c>
      <c r="P803" s="16" t="s">
        <v>25</v>
      </c>
      <c r="Q803" s="37" t="s">
        <v>25</v>
      </c>
      <c r="R803" s="11" t="s">
        <v>25</v>
      </c>
      <c r="S803" s="13">
        <f t="shared" si="12"/>
        <v>-1.46</v>
      </c>
    </row>
    <row r="804" spans="1:19">
      <c r="A804" s="10" t="s">
        <v>1136</v>
      </c>
      <c r="B804" s="11" t="s">
        <v>856</v>
      </c>
      <c r="C804" s="11" t="s">
        <v>25</v>
      </c>
      <c r="D804" s="11" t="s">
        <v>25</v>
      </c>
      <c r="E804" s="12" t="s">
        <v>824</v>
      </c>
      <c r="F804">
        <f>VLOOKUP(E804,Legends!$G$2:$I$87,2,FALSE)</f>
        <v>237</v>
      </c>
      <c r="G804">
        <f>VLOOKUP(E804,Legends!$G$2:$I$87,3,FALSE)</f>
        <v>241.464</v>
      </c>
      <c r="H804" s="12">
        <v>231</v>
      </c>
      <c r="I804" s="11" t="s">
        <v>1122</v>
      </c>
      <c r="J804" s="11" t="s">
        <v>1203</v>
      </c>
      <c r="K804" s="11" t="s">
        <v>25</v>
      </c>
      <c r="L804" s="12">
        <v>0.34</v>
      </c>
      <c r="M804" s="11" t="s">
        <v>23</v>
      </c>
      <c r="N804" s="11" t="s">
        <v>24</v>
      </c>
      <c r="O804" s="11" t="s">
        <v>25</v>
      </c>
      <c r="P804" s="16" t="s">
        <v>25</v>
      </c>
      <c r="Q804" s="37" t="s">
        <v>25</v>
      </c>
      <c r="R804" s="11" t="s">
        <v>25</v>
      </c>
      <c r="S804" s="13">
        <f t="shared" si="12"/>
        <v>-1.5399999999999998</v>
      </c>
    </row>
    <row r="805" spans="1:19">
      <c r="A805" s="10" t="s">
        <v>1136</v>
      </c>
      <c r="B805" s="11" t="s">
        <v>857</v>
      </c>
      <c r="C805" s="11" t="s">
        <v>25</v>
      </c>
      <c r="D805" s="11" t="s">
        <v>25</v>
      </c>
      <c r="E805" s="12" t="s">
        <v>824</v>
      </c>
      <c r="F805">
        <f>VLOOKUP(E805,Legends!$G$2:$I$87,2,FALSE)</f>
        <v>237</v>
      </c>
      <c r="G805">
        <f>VLOOKUP(E805,Legends!$G$2:$I$87,3,FALSE)</f>
        <v>241.464</v>
      </c>
      <c r="H805" s="12">
        <v>231.2</v>
      </c>
      <c r="I805" s="11" t="s">
        <v>1122</v>
      </c>
      <c r="J805" s="11" t="s">
        <v>1203</v>
      </c>
      <c r="K805" s="11" t="s">
        <v>25</v>
      </c>
      <c r="L805" s="12">
        <v>0.62</v>
      </c>
      <c r="M805" s="11" t="s">
        <v>23</v>
      </c>
      <c r="N805" s="11" t="s">
        <v>24</v>
      </c>
      <c r="O805" s="11" t="s">
        <v>25</v>
      </c>
      <c r="P805" s="16" t="s">
        <v>25</v>
      </c>
      <c r="Q805" s="37" t="s">
        <v>25</v>
      </c>
      <c r="R805" s="11" t="s">
        <v>25</v>
      </c>
      <c r="S805" s="13">
        <f t="shared" si="12"/>
        <v>-1.2599999999999998</v>
      </c>
    </row>
    <row r="806" spans="1:19">
      <c r="A806" s="10" t="s">
        <v>1136</v>
      </c>
      <c r="B806" s="11" t="s">
        <v>858</v>
      </c>
      <c r="C806" s="11" t="s">
        <v>25</v>
      </c>
      <c r="D806" s="11" t="s">
        <v>25</v>
      </c>
      <c r="E806" s="12" t="s">
        <v>824</v>
      </c>
      <c r="F806">
        <f>VLOOKUP(E806,Legends!$G$2:$I$87,2,FALSE)</f>
        <v>237</v>
      </c>
      <c r="G806">
        <f>VLOOKUP(E806,Legends!$G$2:$I$87,3,FALSE)</f>
        <v>241.464</v>
      </c>
      <c r="H806" s="12">
        <v>231.2</v>
      </c>
      <c r="I806" s="11" t="s">
        <v>1122</v>
      </c>
      <c r="J806" s="11" t="s">
        <v>1203</v>
      </c>
      <c r="K806" s="11" t="s">
        <v>25</v>
      </c>
      <c r="L806" s="12">
        <v>0.63</v>
      </c>
      <c r="M806" s="11" t="s">
        <v>23</v>
      </c>
      <c r="N806" s="11" t="s">
        <v>24</v>
      </c>
      <c r="O806" s="11" t="s">
        <v>25</v>
      </c>
      <c r="P806" s="16" t="s">
        <v>25</v>
      </c>
      <c r="Q806" s="37" t="s">
        <v>25</v>
      </c>
      <c r="R806" s="11" t="s">
        <v>25</v>
      </c>
      <c r="S806" s="13">
        <f t="shared" si="12"/>
        <v>-1.25</v>
      </c>
    </row>
    <row r="807" spans="1:19">
      <c r="A807" s="10" t="s">
        <v>1136</v>
      </c>
      <c r="B807" s="11" t="s">
        <v>859</v>
      </c>
      <c r="C807" s="11" t="s">
        <v>25</v>
      </c>
      <c r="D807" s="11" t="s">
        <v>25</v>
      </c>
      <c r="E807" s="12" t="s">
        <v>824</v>
      </c>
      <c r="F807">
        <f>VLOOKUP(E807,Legends!$G$2:$I$87,2,FALSE)</f>
        <v>237</v>
      </c>
      <c r="G807">
        <f>VLOOKUP(E807,Legends!$G$2:$I$87,3,FALSE)</f>
        <v>241.464</v>
      </c>
      <c r="H807" s="12">
        <v>233.6</v>
      </c>
      <c r="I807" s="11" t="s">
        <v>1122</v>
      </c>
      <c r="J807" s="11" t="s">
        <v>1203</v>
      </c>
      <c r="K807" s="11" t="s">
        <v>25</v>
      </c>
      <c r="L807" s="12">
        <v>0.46</v>
      </c>
      <c r="M807" s="11" t="s">
        <v>23</v>
      </c>
      <c r="N807" s="11" t="s">
        <v>24</v>
      </c>
      <c r="O807" s="11" t="s">
        <v>25</v>
      </c>
      <c r="P807" s="16" t="s">
        <v>25</v>
      </c>
      <c r="Q807" s="37" t="s">
        <v>25</v>
      </c>
      <c r="R807" s="11" t="s">
        <v>25</v>
      </c>
      <c r="S807" s="13">
        <f t="shared" si="12"/>
        <v>-1.42</v>
      </c>
    </row>
    <row r="808" spans="1:19">
      <c r="A808" s="10" t="s">
        <v>1136</v>
      </c>
      <c r="B808" s="11" t="s">
        <v>860</v>
      </c>
      <c r="C808" s="11" t="s">
        <v>25</v>
      </c>
      <c r="D808" s="11" t="s">
        <v>25</v>
      </c>
      <c r="E808" s="12" t="s">
        <v>824</v>
      </c>
      <c r="F808">
        <f>VLOOKUP(E808,Legends!$G$2:$I$87,2,FALSE)</f>
        <v>237</v>
      </c>
      <c r="G808">
        <f>VLOOKUP(E808,Legends!$G$2:$I$87,3,FALSE)</f>
        <v>241.464</v>
      </c>
      <c r="H808" s="12">
        <v>234.4</v>
      </c>
      <c r="I808" s="11" t="s">
        <v>1122</v>
      </c>
      <c r="J808" s="11" t="s">
        <v>1203</v>
      </c>
      <c r="K808" s="11" t="s">
        <v>25</v>
      </c>
      <c r="L808" s="12">
        <v>0.62</v>
      </c>
      <c r="M808" s="11" t="s">
        <v>23</v>
      </c>
      <c r="N808" s="11" t="s">
        <v>24</v>
      </c>
      <c r="O808" s="11" t="s">
        <v>25</v>
      </c>
      <c r="P808" s="16" t="s">
        <v>25</v>
      </c>
      <c r="Q808" s="37" t="s">
        <v>25</v>
      </c>
      <c r="R808" s="11" t="s">
        <v>25</v>
      </c>
      <c r="S808" s="13">
        <f t="shared" si="12"/>
        <v>-1.2599999999999998</v>
      </c>
    </row>
    <row r="809" spans="1:19">
      <c r="A809" s="10" t="s">
        <v>1136</v>
      </c>
      <c r="B809" s="11" t="s">
        <v>861</v>
      </c>
      <c r="C809" s="11" t="s">
        <v>25</v>
      </c>
      <c r="D809" s="11" t="s">
        <v>25</v>
      </c>
      <c r="E809" s="12" t="s">
        <v>825</v>
      </c>
      <c r="F809">
        <f>VLOOKUP(E809,Legends!$G$2:$I$87,2,FALSE)</f>
        <v>241.464</v>
      </c>
      <c r="G809">
        <f>VLOOKUP(E809,Legends!$G$2:$I$87,3,FALSE)</f>
        <v>246.7</v>
      </c>
      <c r="H809" s="12">
        <v>237.5</v>
      </c>
      <c r="I809" s="11" t="s">
        <v>1122</v>
      </c>
      <c r="J809" s="11" t="s">
        <v>1203</v>
      </c>
      <c r="K809" s="11" t="s">
        <v>25</v>
      </c>
      <c r="L809" s="12">
        <v>0.72</v>
      </c>
      <c r="M809" s="11" t="s">
        <v>23</v>
      </c>
      <c r="N809" s="11" t="s">
        <v>24</v>
      </c>
      <c r="O809" s="11" t="s">
        <v>25</v>
      </c>
      <c r="P809" s="16" t="s">
        <v>25</v>
      </c>
      <c r="Q809" s="37" t="s">
        <v>25</v>
      </c>
      <c r="R809" s="11" t="s">
        <v>25</v>
      </c>
      <c r="S809" s="13">
        <f t="shared" si="12"/>
        <v>-1.1599999999999999</v>
      </c>
    </row>
    <row r="810" spans="1:19">
      <c r="A810" s="10" t="s">
        <v>1136</v>
      </c>
      <c r="B810" s="11" t="s">
        <v>862</v>
      </c>
      <c r="C810" s="11" t="s">
        <v>25</v>
      </c>
      <c r="D810" s="11" t="s">
        <v>25</v>
      </c>
      <c r="E810" s="12" t="s">
        <v>825</v>
      </c>
      <c r="F810">
        <f>VLOOKUP(E810,Legends!$G$2:$I$87,2,FALSE)</f>
        <v>241.464</v>
      </c>
      <c r="G810">
        <f>VLOOKUP(E810,Legends!$G$2:$I$87,3,FALSE)</f>
        <v>246.7</v>
      </c>
      <c r="H810" s="12">
        <v>238</v>
      </c>
      <c r="I810" s="11" t="s">
        <v>1122</v>
      </c>
      <c r="J810" s="11" t="s">
        <v>1203</v>
      </c>
      <c r="K810" s="11" t="s">
        <v>25</v>
      </c>
      <c r="L810" s="12">
        <v>0.76</v>
      </c>
      <c r="M810" s="11" t="s">
        <v>23</v>
      </c>
      <c r="N810" s="11" t="s">
        <v>24</v>
      </c>
      <c r="O810" s="11" t="s">
        <v>25</v>
      </c>
      <c r="P810" s="16" t="s">
        <v>25</v>
      </c>
      <c r="Q810" s="37" t="s">
        <v>25</v>
      </c>
      <c r="R810" s="11" t="s">
        <v>25</v>
      </c>
      <c r="S810" s="13">
        <f t="shared" si="12"/>
        <v>-1.1199999999999999</v>
      </c>
    </row>
    <row r="811" spans="1:19">
      <c r="A811" s="10" t="s">
        <v>1136</v>
      </c>
      <c r="B811" s="11" t="s">
        <v>863</v>
      </c>
      <c r="C811" s="11" t="s">
        <v>25</v>
      </c>
      <c r="D811" s="11" t="s">
        <v>25</v>
      </c>
      <c r="E811" s="12" t="s">
        <v>825</v>
      </c>
      <c r="F811">
        <f>VLOOKUP(E811,Legends!$G$2:$I$87,2,FALSE)</f>
        <v>241.464</v>
      </c>
      <c r="G811">
        <f>VLOOKUP(E811,Legends!$G$2:$I$87,3,FALSE)</f>
        <v>246.7</v>
      </c>
      <c r="H811" s="12">
        <v>241</v>
      </c>
      <c r="I811" s="11" t="s">
        <v>1122</v>
      </c>
      <c r="J811" s="11" t="s">
        <v>1203</v>
      </c>
      <c r="K811" s="11" t="s">
        <v>25</v>
      </c>
      <c r="L811" s="12">
        <v>0.42</v>
      </c>
      <c r="M811" s="11" t="s">
        <v>23</v>
      </c>
      <c r="N811" s="11" t="s">
        <v>24</v>
      </c>
      <c r="O811" s="11" t="s">
        <v>25</v>
      </c>
      <c r="P811" s="16" t="s">
        <v>25</v>
      </c>
      <c r="Q811" s="37" t="s">
        <v>25</v>
      </c>
      <c r="R811" s="11" t="s">
        <v>25</v>
      </c>
      <c r="S811" s="13">
        <f t="shared" si="12"/>
        <v>-1.46</v>
      </c>
    </row>
    <row r="812" spans="1:19">
      <c r="A812" s="10" t="s">
        <v>1136</v>
      </c>
      <c r="B812" s="11" t="s">
        <v>864</v>
      </c>
      <c r="C812" s="11" t="s">
        <v>25</v>
      </c>
      <c r="D812" s="11" t="s">
        <v>25</v>
      </c>
      <c r="E812" s="12" t="s">
        <v>1138</v>
      </c>
      <c r="F812">
        <f>VLOOKUP(E812,Legends!$G$2:$I$87,2,FALSE)</f>
        <v>251.9</v>
      </c>
      <c r="G812">
        <f>VLOOKUP(E812,Legends!$G$2:$I$87,3,FALSE)</f>
        <v>254.14</v>
      </c>
      <c r="H812" s="12">
        <v>251.1</v>
      </c>
      <c r="I812" s="11" t="s">
        <v>1122</v>
      </c>
      <c r="J812" s="11" t="s">
        <v>1203</v>
      </c>
      <c r="K812" s="11" t="s">
        <v>25</v>
      </c>
      <c r="L812" s="12">
        <v>1.02</v>
      </c>
      <c r="M812" s="11" t="s">
        <v>23</v>
      </c>
      <c r="N812" s="11" t="s">
        <v>24</v>
      </c>
      <c r="O812" s="11" t="s">
        <v>25</v>
      </c>
      <c r="P812" s="16" t="s">
        <v>25</v>
      </c>
      <c r="Q812" s="37" t="s">
        <v>25</v>
      </c>
      <c r="R812" s="11" t="s">
        <v>25</v>
      </c>
      <c r="S812" s="13">
        <f t="shared" si="12"/>
        <v>-0.85999999999999988</v>
      </c>
    </row>
    <row r="813" spans="1:19">
      <c r="A813" s="10" t="s">
        <v>1136</v>
      </c>
      <c r="B813" s="11" t="s">
        <v>865</v>
      </c>
      <c r="C813" s="11" t="s">
        <v>25</v>
      </c>
      <c r="D813" s="11" t="s">
        <v>25</v>
      </c>
      <c r="E813" s="12" t="s">
        <v>1138</v>
      </c>
      <c r="F813">
        <f>VLOOKUP(E813,Legends!$G$2:$I$87,2,FALSE)</f>
        <v>251.9</v>
      </c>
      <c r="G813">
        <f>VLOOKUP(E813,Legends!$G$2:$I$87,3,FALSE)</f>
        <v>254.14</v>
      </c>
      <c r="H813" s="12">
        <v>251.1</v>
      </c>
      <c r="I813" s="11" t="s">
        <v>1122</v>
      </c>
      <c r="J813" s="11" t="s">
        <v>1203</v>
      </c>
      <c r="K813" s="11" t="s">
        <v>25</v>
      </c>
      <c r="L813" s="12">
        <v>0.48</v>
      </c>
      <c r="M813" s="11" t="s">
        <v>23</v>
      </c>
      <c r="N813" s="11" t="s">
        <v>24</v>
      </c>
      <c r="O813" s="11" t="s">
        <v>25</v>
      </c>
      <c r="P813" s="16" t="s">
        <v>25</v>
      </c>
      <c r="Q813" s="37" t="s">
        <v>25</v>
      </c>
      <c r="R813" s="11" t="s">
        <v>25</v>
      </c>
      <c r="S813" s="13">
        <f t="shared" si="12"/>
        <v>-1.4</v>
      </c>
    </row>
    <row r="814" spans="1:19">
      <c r="A814" s="10" t="s">
        <v>1136</v>
      </c>
      <c r="B814" s="11" t="s">
        <v>866</v>
      </c>
      <c r="C814" s="11" t="s">
        <v>25</v>
      </c>
      <c r="D814" s="11" t="s">
        <v>25</v>
      </c>
      <c r="E814" s="12" t="s">
        <v>1138</v>
      </c>
      <c r="F814">
        <f>VLOOKUP(E814,Legends!$G$2:$I$87,2,FALSE)</f>
        <v>251.9</v>
      </c>
      <c r="G814">
        <f>VLOOKUP(E814,Legends!$G$2:$I$87,3,FALSE)</f>
        <v>254.14</v>
      </c>
      <c r="H814" s="12">
        <v>251.7</v>
      </c>
      <c r="I814" s="11" t="s">
        <v>1122</v>
      </c>
      <c r="J814" s="11" t="s">
        <v>1203</v>
      </c>
      <c r="K814" s="11" t="s">
        <v>25</v>
      </c>
      <c r="L814" s="12">
        <v>1.03</v>
      </c>
      <c r="M814" s="11" t="s">
        <v>23</v>
      </c>
      <c r="N814" s="11" t="s">
        <v>24</v>
      </c>
      <c r="O814" s="11" t="s">
        <v>25</v>
      </c>
      <c r="P814" s="16" t="s">
        <v>25</v>
      </c>
      <c r="Q814" s="37" t="s">
        <v>25</v>
      </c>
      <c r="R814" s="11" t="s">
        <v>25</v>
      </c>
      <c r="S814" s="13">
        <f t="shared" si="12"/>
        <v>-0.84999999999999987</v>
      </c>
    </row>
    <row r="815" spans="1:19">
      <c r="A815" s="10" t="s">
        <v>1136</v>
      </c>
      <c r="B815" s="11" t="s">
        <v>867</v>
      </c>
      <c r="C815" s="11" t="s">
        <v>25</v>
      </c>
      <c r="D815" s="11" t="s">
        <v>25</v>
      </c>
      <c r="E815" s="12" t="s">
        <v>1138</v>
      </c>
      <c r="F815">
        <f>VLOOKUP(E815,Legends!$G$2:$I$87,2,FALSE)</f>
        <v>251.9</v>
      </c>
      <c r="G815">
        <f>VLOOKUP(E815,Legends!$G$2:$I$87,3,FALSE)</f>
        <v>254.14</v>
      </c>
      <c r="H815" s="12">
        <v>251.8</v>
      </c>
      <c r="I815" s="11" t="s">
        <v>1122</v>
      </c>
      <c r="J815" s="11" t="s">
        <v>1203</v>
      </c>
      <c r="K815" s="11" t="s">
        <v>25</v>
      </c>
      <c r="L815" s="12">
        <v>0.5</v>
      </c>
      <c r="M815" s="11" t="s">
        <v>23</v>
      </c>
      <c r="N815" s="11" t="s">
        <v>24</v>
      </c>
      <c r="O815" s="11" t="s">
        <v>25</v>
      </c>
      <c r="P815" s="16" t="s">
        <v>25</v>
      </c>
      <c r="Q815" s="37" t="s">
        <v>25</v>
      </c>
      <c r="R815" s="11" t="s">
        <v>25</v>
      </c>
      <c r="S815" s="13">
        <f t="shared" si="12"/>
        <v>-1.38</v>
      </c>
    </row>
    <row r="816" spans="1:19">
      <c r="A816" s="10" t="s">
        <v>1136</v>
      </c>
      <c r="B816" s="11" t="s">
        <v>868</v>
      </c>
      <c r="C816" s="11" t="s">
        <v>25</v>
      </c>
      <c r="D816" s="11" t="s">
        <v>25</v>
      </c>
      <c r="E816" s="12" t="s">
        <v>1138</v>
      </c>
      <c r="F816">
        <f>VLOOKUP(E816,Legends!$G$2:$I$87,2,FALSE)</f>
        <v>251.9</v>
      </c>
      <c r="G816">
        <f>VLOOKUP(E816,Legends!$G$2:$I$87,3,FALSE)</f>
        <v>254.14</v>
      </c>
      <c r="H816" s="12">
        <v>252.9</v>
      </c>
      <c r="I816" s="11" t="s">
        <v>1122</v>
      </c>
      <c r="J816" s="11" t="s">
        <v>1203</v>
      </c>
      <c r="K816" s="11" t="s">
        <v>25</v>
      </c>
      <c r="L816" s="12">
        <v>0.66</v>
      </c>
      <c r="M816" s="11" t="s">
        <v>23</v>
      </c>
      <c r="N816" s="11" t="s">
        <v>24</v>
      </c>
      <c r="O816" s="11" t="s">
        <v>25</v>
      </c>
      <c r="P816" s="16" t="s">
        <v>25</v>
      </c>
      <c r="Q816" s="37" t="s">
        <v>25</v>
      </c>
      <c r="R816" s="11" t="s">
        <v>25</v>
      </c>
      <c r="S816" s="13">
        <f t="shared" si="12"/>
        <v>-1.2199999999999998</v>
      </c>
    </row>
    <row r="817" spans="1:19">
      <c r="A817" s="10" t="s">
        <v>1136</v>
      </c>
      <c r="B817" s="11" t="s">
        <v>869</v>
      </c>
      <c r="C817" s="11" t="s">
        <v>25</v>
      </c>
      <c r="D817" s="11" t="s">
        <v>25</v>
      </c>
      <c r="E817" s="12" t="s">
        <v>1138</v>
      </c>
      <c r="F817">
        <f>VLOOKUP(E817,Legends!$G$2:$I$87,2,FALSE)</f>
        <v>251.9</v>
      </c>
      <c r="G817">
        <f>VLOOKUP(E817,Legends!$G$2:$I$87,3,FALSE)</f>
        <v>254.14</v>
      </c>
      <c r="H817" s="12">
        <v>253.2</v>
      </c>
      <c r="I817" s="11" t="s">
        <v>1122</v>
      </c>
      <c r="J817" s="11" t="s">
        <v>1203</v>
      </c>
      <c r="K817" s="11" t="s">
        <v>25</v>
      </c>
      <c r="L817" s="12">
        <v>0.45</v>
      </c>
      <c r="M817" s="11" t="s">
        <v>23</v>
      </c>
      <c r="N817" s="11" t="s">
        <v>24</v>
      </c>
      <c r="O817" s="11" t="s">
        <v>25</v>
      </c>
      <c r="P817" s="16" t="s">
        <v>25</v>
      </c>
      <c r="Q817" s="37" t="s">
        <v>25</v>
      </c>
      <c r="R817" s="11" t="s">
        <v>25</v>
      </c>
      <c r="S817" s="13">
        <f t="shared" si="12"/>
        <v>-1.43</v>
      </c>
    </row>
    <row r="818" spans="1:19">
      <c r="A818" s="10" t="s">
        <v>1136</v>
      </c>
      <c r="B818" s="11" t="s">
        <v>870</v>
      </c>
      <c r="C818" s="11" t="s">
        <v>25</v>
      </c>
      <c r="D818" s="11" t="s">
        <v>25</v>
      </c>
      <c r="E818" s="12" t="s">
        <v>1138</v>
      </c>
      <c r="F818">
        <f>VLOOKUP(E818,Legends!$G$2:$I$87,2,FALSE)</f>
        <v>251.9</v>
      </c>
      <c r="G818">
        <f>VLOOKUP(E818,Legends!$G$2:$I$87,3,FALSE)</f>
        <v>254.14</v>
      </c>
      <c r="H818" s="12">
        <v>253.2</v>
      </c>
      <c r="I818" s="11" t="s">
        <v>1122</v>
      </c>
      <c r="J818" s="11" t="s">
        <v>1203</v>
      </c>
      <c r="K818" s="11" t="s">
        <v>25</v>
      </c>
      <c r="L818" s="12">
        <v>0.82</v>
      </c>
      <c r="M818" s="11" t="s">
        <v>23</v>
      </c>
      <c r="N818" s="11" t="s">
        <v>24</v>
      </c>
      <c r="O818" s="11" t="s">
        <v>25</v>
      </c>
      <c r="P818" s="16" t="s">
        <v>25</v>
      </c>
      <c r="Q818" s="37" t="s">
        <v>25</v>
      </c>
      <c r="R818" s="11" t="s">
        <v>25</v>
      </c>
      <c r="S818" s="13">
        <f t="shared" si="12"/>
        <v>-1.06</v>
      </c>
    </row>
    <row r="819" spans="1:19">
      <c r="A819" s="10" t="s">
        <v>1136</v>
      </c>
      <c r="B819" s="11" t="s">
        <v>871</v>
      </c>
      <c r="C819" s="11" t="s">
        <v>25</v>
      </c>
      <c r="D819" s="11" t="s">
        <v>25</v>
      </c>
      <c r="E819" s="12" t="s">
        <v>1138</v>
      </c>
      <c r="F819">
        <f>VLOOKUP(E819,Legends!$G$2:$I$87,2,FALSE)</f>
        <v>251.9</v>
      </c>
      <c r="G819">
        <f>VLOOKUP(E819,Legends!$G$2:$I$87,3,FALSE)</f>
        <v>254.14</v>
      </c>
      <c r="H819" s="12">
        <v>253.6</v>
      </c>
      <c r="I819" s="11" t="s">
        <v>1122</v>
      </c>
      <c r="J819" s="11" t="s">
        <v>1203</v>
      </c>
      <c r="K819" s="11" t="s">
        <v>25</v>
      </c>
      <c r="L819" s="12">
        <v>0.42</v>
      </c>
      <c r="M819" s="11" t="s">
        <v>23</v>
      </c>
      <c r="N819" s="11" t="s">
        <v>24</v>
      </c>
      <c r="O819" s="11" t="s">
        <v>25</v>
      </c>
      <c r="P819" s="16" t="s">
        <v>25</v>
      </c>
      <c r="Q819" s="37" t="s">
        <v>25</v>
      </c>
      <c r="R819" s="11" t="s">
        <v>25</v>
      </c>
      <c r="S819" s="13">
        <f t="shared" si="12"/>
        <v>-1.46</v>
      </c>
    </row>
    <row r="820" spans="1:19">
      <c r="A820" s="10" t="s">
        <v>1136</v>
      </c>
      <c r="B820" s="11" t="s">
        <v>872</v>
      </c>
      <c r="C820" s="11" t="s">
        <v>25</v>
      </c>
      <c r="D820" s="11" t="s">
        <v>25</v>
      </c>
      <c r="E820" s="12" t="s">
        <v>1139</v>
      </c>
      <c r="F820">
        <f>VLOOKUP(E820,Legends!$G$2:$I$87,2,FALSE)</f>
        <v>259</v>
      </c>
      <c r="G820">
        <f>VLOOKUP(E820,Legends!$G$2:$I$87,3,FALSE)</f>
        <v>265</v>
      </c>
      <c r="H820" s="12">
        <v>256.89999999999998</v>
      </c>
      <c r="I820" s="11" t="s">
        <v>1122</v>
      </c>
      <c r="J820" s="11" t="s">
        <v>1203</v>
      </c>
      <c r="K820" s="11" t="s">
        <v>25</v>
      </c>
      <c r="L820" s="12">
        <v>0.4</v>
      </c>
      <c r="M820" s="11" t="s">
        <v>23</v>
      </c>
      <c r="N820" s="11" t="s">
        <v>24</v>
      </c>
      <c r="O820" s="11" t="s">
        <v>25</v>
      </c>
      <c r="P820" s="16" t="s">
        <v>25</v>
      </c>
      <c r="Q820" s="37" t="s">
        <v>25</v>
      </c>
      <c r="R820" s="11" t="s">
        <v>25</v>
      </c>
      <c r="S820" s="13">
        <f t="shared" si="12"/>
        <v>-1.48</v>
      </c>
    </row>
    <row r="821" spans="1:19">
      <c r="A821" s="10" t="s">
        <v>1136</v>
      </c>
      <c r="B821" s="11" t="s">
        <v>873</v>
      </c>
      <c r="C821" s="11" t="s">
        <v>25</v>
      </c>
      <c r="D821" s="11" t="s">
        <v>25</v>
      </c>
      <c r="E821" s="12" t="s">
        <v>1139</v>
      </c>
      <c r="F821">
        <f>VLOOKUP(E821,Legends!$G$2:$I$87,2,FALSE)</f>
        <v>259</v>
      </c>
      <c r="G821">
        <f>VLOOKUP(E821,Legends!$G$2:$I$87,3,FALSE)</f>
        <v>265</v>
      </c>
      <c r="H821" s="12">
        <v>263.89999999999998</v>
      </c>
      <c r="I821" s="11" t="s">
        <v>1122</v>
      </c>
      <c r="J821" s="11" t="s">
        <v>1203</v>
      </c>
      <c r="K821" s="11" t="s">
        <v>25</v>
      </c>
      <c r="L821" s="12">
        <v>0.75</v>
      </c>
      <c r="M821" s="11" t="s">
        <v>23</v>
      </c>
      <c r="N821" s="11" t="s">
        <v>24</v>
      </c>
      <c r="O821" s="11" t="s">
        <v>25</v>
      </c>
      <c r="P821" s="16" t="s">
        <v>25</v>
      </c>
      <c r="Q821" s="37" t="s">
        <v>25</v>
      </c>
      <c r="R821" s="11" t="s">
        <v>25</v>
      </c>
      <c r="S821" s="13">
        <f t="shared" si="12"/>
        <v>-1.1299999999999999</v>
      </c>
    </row>
    <row r="822" spans="1:19">
      <c r="A822" s="10" t="s">
        <v>1136</v>
      </c>
      <c r="B822" s="11" t="s">
        <v>874</v>
      </c>
      <c r="C822" s="11" t="s">
        <v>25</v>
      </c>
      <c r="D822" s="11" t="s">
        <v>25</v>
      </c>
      <c r="E822" s="12" t="s">
        <v>1140</v>
      </c>
      <c r="F822">
        <f>VLOOKUP(E822,Legends!$G$2:$I$87,2,FALSE)</f>
        <v>265</v>
      </c>
      <c r="G822">
        <f>VLOOKUP(E822,Legends!$G$2:$I$87,3,FALSE)</f>
        <v>268</v>
      </c>
      <c r="H822" s="12">
        <v>263.89999999999998</v>
      </c>
      <c r="I822" s="11" t="s">
        <v>1122</v>
      </c>
      <c r="J822" s="11" t="s">
        <v>1203</v>
      </c>
      <c r="K822" s="11" t="s">
        <v>25</v>
      </c>
      <c r="L822" s="12">
        <v>0.42</v>
      </c>
      <c r="M822" s="11" t="s">
        <v>23</v>
      </c>
      <c r="N822" s="11" t="s">
        <v>24</v>
      </c>
      <c r="O822" s="11" t="s">
        <v>25</v>
      </c>
      <c r="P822" s="16" t="s">
        <v>25</v>
      </c>
      <c r="Q822" s="37" t="s">
        <v>25</v>
      </c>
      <c r="R822" s="11" t="s">
        <v>25</v>
      </c>
      <c r="S822" s="13">
        <f t="shared" si="12"/>
        <v>-1.46</v>
      </c>
    </row>
    <row r="823" spans="1:19">
      <c r="A823" s="10" t="s">
        <v>1136</v>
      </c>
      <c r="B823" s="11" t="s">
        <v>875</v>
      </c>
      <c r="C823" s="11" t="s">
        <v>25</v>
      </c>
      <c r="D823" s="11" t="s">
        <v>25</v>
      </c>
      <c r="E823" s="12" t="s">
        <v>1141</v>
      </c>
      <c r="F823">
        <f>VLOOKUP(E823,Legends!$G$2:$I$87,2,FALSE)</f>
        <v>273</v>
      </c>
      <c r="G823">
        <f>VLOOKUP(E823,Legends!$G$2:$I$87,3,FALSE)</f>
        <v>283.5</v>
      </c>
      <c r="H823" s="12">
        <v>264</v>
      </c>
      <c r="I823" s="11" t="s">
        <v>1122</v>
      </c>
      <c r="J823" s="11" t="s">
        <v>1203</v>
      </c>
      <c r="K823" s="11" t="s">
        <v>25</v>
      </c>
      <c r="L823" s="12">
        <v>0.37</v>
      </c>
      <c r="M823" s="11" t="s">
        <v>23</v>
      </c>
      <c r="N823" s="11" t="s">
        <v>24</v>
      </c>
      <c r="O823" s="11" t="s">
        <v>25</v>
      </c>
      <c r="P823" s="16" t="s">
        <v>25</v>
      </c>
      <c r="Q823" s="37" t="s">
        <v>25</v>
      </c>
      <c r="R823" s="11" t="s">
        <v>25</v>
      </c>
      <c r="S823" s="13">
        <f t="shared" si="12"/>
        <v>-1.5099999999999998</v>
      </c>
    </row>
    <row r="824" spans="1:19">
      <c r="A824" s="10" t="s">
        <v>1136</v>
      </c>
      <c r="B824" s="11" t="s">
        <v>876</v>
      </c>
      <c r="C824" s="11" t="s">
        <v>25</v>
      </c>
      <c r="D824" s="11" t="s">
        <v>25</v>
      </c>
      <c r="E824" s="12" t="s">
        <v>1140</v>
      </c>
      <c r="F824">
        <f>VLOOKUP(E824,Legends!$G$2:$I$87,2,FALSE)</f>
        <v>265</v>
      </c>
      <c r="G824">
        <f>VLOOKUP(E824,Legends!$G$2:$I$87,3,FALSE)</f>
        <v>268</v>
      </c>
      <c r="H824" s="12">
        <v>266</v>
      </c>
      <c r="I824" s="11" t="s">
        <v>1122</v>
      </c>
      <c r="J824" s="11" t="s">
        <v>1203</v>
      </c>
      <c r="K824" s="11" t="s">
        <v>25</v>
      </c>
      <c r="L824" s="12">
        <v>0.48</v>
      </c>
      <c r="M824" s="11" t="s">
        <v>23</v>
      </c>
      <c r="N824" s="11" t="s">
        <v>24</v>
      </c>
      <c r="O824" s="11" t="s">
        <v>25</v>
      </c>
      <c r="P824" s="16" t="s">
        <v>25</v>
      </c>
      <c r="Q824" s="37" t="s">
        <v>25</v>
      </c>
      <c r="R824" s="11" t="s">
        <v>25</v>
      </c>
      <c r="S824" s="13">
        <f t="shared" si="12"/>
        <v>-1.4</v>
      </c>
    </row>
    <row r="825" spans="1:19">
      <c r="A825" s="10" t="s">
        <v>1136</v>
      </c>
      <c r="B825" s="11" t="s">
        <v>877</v>
      </c>
      <c r="C825" s="11" t="s">
        <v>25</v>
      </c>
      <c r="D825" s="11" t="s">
        <v>25</v>
      </c>
      <c r="E825" s="12" t="s">
        <v>1142</v>
      </c>
      <c r="F825">
        <f>VLOOKUP(E825,Legends!$G$2:$I$87,2,FALSE)</f>
        <v>268</v>
      </c>
      <c r="G825">
        <f>VLOOKUP(E825,Legends!$G$2:$I$87,3,FALSE)</f>
        <v>283.5</v>
      </c>
      <c r="H825" s="12">
        <v>267</v>
      </c>
      <c r="I825" s="11" t="s">
        <v>1122</v>
      </c>
      <c r="J825" s="11" t="s">
        <v>1203</v>
      </c>
      <c r="K825" s="11" t="s">
        <v>25</v>
      </c>
      <c r="L825" s="12">
        <v>0.52</v>
      </c>
      <c r="M825" s="11" t="s">
        <v>23</v>
      </c>
      <c r="N825" s="11" t="s">
        <v>24</v>
      </c>
      <c r="O825" s="11" t="s">
        <v>25</v>
      </c>
      <c r="P825" s="16" t="s">
        <v>25</v>
      </c>
      <c r="Q825" s="37" t="s">
        <v>25</v>
      </c>
      <c r="R825" s="11" t="s">
        <v>25</v>
      </c>
      <c r="S825" s="13">
        <f t="shared" si="12"/>
        <v>-1.3599999999999999</v>
      </c>
    </row>
    <row r="826" spans="1:19">
      <c r="A826" s="10" t="s">
        <v>1136</v>
      </c>
      <c r="B826" s="11" t="s">
        <v>878</v>
      </c>
      <c r="C826" s="11" t="s">
        <v>25</v>
      </c>
      <c r="D826" s="11" t="s">
        <v>25</v>
      </c>
      <c r="E826" s="12" t="s">
        <v>1143</v>
      </c>
      <c r="F826">
        <f>VLOOKUP(E826,Legends!$G$2:$I$87,2,FALSE)</f>
        <v>290.10000000000002</v>
      </c>
      <c r="G826">
        <f>VLOOKUP(E826,Legends!$G$2:$I$87,3,FALSE)</f>
        <v>293.5</v>
      </c>
      <c r="H826" s="12">
        <v>284</v>
      </c>
      <c r="I826" s="11" t="s">
        <v>1122</v>
      </c>
      <c r="J826" s="11" t="s">
        <v>1203</v>
      </c>
      <c r="K826" s="11" t="s">
        <v>25</v>
      </c>
      <c r="L826" s="12">
        <v>0.81</v>
      </c>
      <c r="M826" s="11" t="s">
        <v>23</v>
      </c>
      <c r="N826" s="11" t="s">
        <v>24</v>
      </c>
      <c r="O826" s="11" t="s">
        <v>25</v>
      </c>
      <c r="P826" s="16" t="s">
        <v>25</v>
      </c>
      <c r="Q826" s="37" t="s">
        <v>25</v>
      </c>
      <c r="R826" s="11" t="s">
        <v>25</v>
      </c>
      <c r="S826" s="13">
        <f t="shared" si="12"/>
        <v>-1.0699999999999998</v>
      </c>
    </row>
    <row r="827" spans="1:19">
      <c r="A827" s="10" t="s">
        <v>1136</v>
      </c>
      <c r="B827" s="11" t="s">
        <v>879</v>
      </c>
      <c r="C827" s="11" t="s">
        <v>25</v>
      </c>
      <c r="D827" s="11" t="s">
        <v>25</v>
      </c>
      <c r="E827" s="12" t="s">
        <v>1140</v>
      </c>
      <c r="F827">
        <f>VLOOKUP(E827,Legends!$G$2:$I$87,2,FALSE)</f>
        <v>265</v>
      </c>
      <c r="G827">
        <f>VLOOKUP(E827,Legends!$G$2:$I$87,3,FALSE)</f>
        <v>268</v>
      </c>
      <c r="H827" s="12">
        <v>288.7</v>
      </c>
      <c r="I827" s="11" t="s">
        <v>1122</v>
      </c>
      <c r="J827" s="11" t="s">
        <v>1203</v>
      </c>
      <c r="K827" s="11" t="s">
        <v>25</v>
      </c>
      <c r="L827" s="12">
        <v>0.82</v>
      </c>
      <c r="M827" s="11" t="s">
        <v>23</v>
      </c>
      <c r="N827" s="11" t="s">
        <v>24</v>
      </c>
      <c r="O827" s="11" t="s">
        <v>25</v>
      </c>
      <c r="P827" s="16" t="s">
        <v>25</v>
      </c>
      <c r="Q827" s="37" t="s">
        <v>25</v>
      </c>
      <c r="R827" s="11" t="s">
        <v>25</v>
      </c>
      <c r="S827" s="13">
        <f t="shared" si="12"/>
        <v>-1.06</v>
      </c>
    </row>
    <row r="828" spans="1:19">
      <c r="A828" s="10" t="s">
        <v>1136</v>
      </c>
      <c r="B828" s="11" t="s">
        <v>880</v>
      </c>
      <c r="C828" s="11" t="s">
        <v>25</v>
      </c>
      <c r="D828" s="11" t="s">
        <v>25</v>
      </c>
      <c r="E828" s="12" t="s">
        <v>1144</v>
      </c>
      <c r="F828">
        <f>VLOOKUP(E828,Legends!$G$2:$I$87,2,FALSE)</f>
        <v>293.5</v>
      </c>
      <c r="G828">
        <f>VLOOKUP(E828,Legends!$G$2:$I$87,3,FALSE)</f>
        <v>298.89999999999998</v>
      </c>
      <c r="H828" s="12">
        <v>293.39999999999998</v>
      </c>
      <c r="I828" s="11" t="s">
        <v>1122</v>
      </c>
      <c r="J828" s="11" t="s">
        <v>1203</v>
      </c>
      <c r="K828" s="11" t="s">
        <v>25</v>
      </c>
      <c r="L828" s="12">
        <v>1.1499999999999999</v>
      </c>
      <c r="M828" s="11" t="s">
        <v>23</v>
      </c>
      <c r="N828" s="11" t="s">
        <v>24</v>
      </c>
      <c r="O828" s="11" t="s">
        <v>25</v>
      </c>
      <c r="P828" s="16" t="s">
        <v>25</v>
      </c>
      <c r="Q828" s="37" t="s">
        <v>25</v>
      </c>
      <c r="R828" s="11" t="s">
        <v>25</v>
      </c>
      <c r="S828" s="13">
        <f t="shared" si="12"/>
        <v>-0.73</v>
      </c>
    </row>
    <row r="829" spans="1:19">
      <c r="A829" s="10" t="s">
        <v>1136</v>
      </c>
      <c r="B829" s="11" t="s">
        <v>881</v>
      </c>
      <c r="C829" s="11" t="s">
        <v>25</v>
      </c>
      <c r="D829" s="11" t="s">
        <v>25</v>
      </c>
      <c r="E829" s="12" t="s">
        <v>1144</v>
      </c>
      <c r="F829">
        <f>VLOOKUP(E829,Legends!$G$2:$I$87,2,FALSE)</f>
        <v>293.5</v>
      </c>
      <c r="G829">
        <f>VLOOKUP(E829,Legends!$G$2:$I$87,3,FALSE)</f>
        <v>298.89999999999998</v>
      </c>
      <c r="H829" s="12">
        <v>293.5</v>
      </c>
      <c r="I829" s="11" t="s">
        <v>1122</v>
      </c>
      <c r="J829" s="11" t="s">
        <v>1203</v>
      </c>
      <c r="K829" s="11" t="s">
        <v>25</v>
      </c>
      <c r="L829" s="12">
        <v>0.93</v>
      </c>
      <c r="M829" s="11" t="s">
        <v>23</v>
      </c>
      <c r="N829" s="11" t="s">
        <v>24</v>
      </c>
      <c r="O829" s="11" t="s">
        <v>25</v>
      </c>
      <c r="P829" s="16" t="s">
        <v>25</v>
      </c>
      <c r="Q829" s="37" t="s">
        <v>25</v>
      </c>
      <c r="R829" s="11" t="s">
        <v>25</v>
      </c>
      <c r="S829" s="13">
        <f t="shared" si="12"/>
        <v>-0.94999999999999984</v>
      </c>
    </row>
    <row r="830" spans="1:19">
      <c r="A830" s="10" t="s">
        <v>1136</v>
      </c>
      <c r="B830" s="11" t="s">
        <v>882</v>
      </c>
      <c r="C830" s="11" t="s">
        <v>25</v>
      </c>
      <c r="D830" s="11" t="s">
        <v>25</v>
      </c>
      <c r="E830" s="12" t="s">
        <v>1145</v>
      </c>
      <c r="F830">
        <f>VLOOKUP(E830,Legends!$G$2:$I$87,2,FALSE)</f>
        <v>293</v>
      </c>
      <c r="G830">
        <f>VLOOKUP(E830,Legends!$G$2:$I$87,3,FALSE)</f>
        <v>298.89999999999998</v>
      </c>
      <c r="H830" s="12">
        <v>294.89999999999998</v>
      </c>
      <c r="I830" s="11" t="s">
        <v>1122</v>
      </c>
      <c r="J830" s="11" t="s">
        <v>1203</v>
      </c>
      <c r="K830" s="11" t="s">
        <v>25</v>
      </c>
      <c r="L830" s="12">
        <v>0.63</v>
      </c>
      <c r="M830" s="11" t="s">
        <v>23</v>
      </c>
      <c r="N830" s="11" t="s">
        <v>24</v>
      </c>
      <c r="O830" s="11" t="s">
        <v>25</v>
      </c>
      <c r="P830" s="16" t="s">
        <v>25</v>
      </c>
      <c r="Q830" s="37" t="s">
        <v>25</v>
      </c>
      <c r="R830" s="11" t="s">
        <v>25</v>
      </c>
      <c r="S830" s="13">
        <f t="shared" si="12"/>
        <v>-1.25</v>
      </c>
    </row>
    <row r="831" spans="1:19">
      <c r="A831" s="10" t="s">
        <v>1136</v>
      </c>
      <c r="B831" s="11" t="s">
        <v>883</v>
      </c>
      <c r="C831" s="11" t="s">
        <v>25</v>
      </c>
      <c r="D831" s="11" t="s">
        <v>25</v>
      </c>
      <c r="E831" s="12" t="s">
        <v>1144</v>
      </c>
      <c r="F831">
        <f>VLOOKUP(E831,Legends!$G$2:$I$87,2,FALSE)</f>
        <v>293.5</v>
      </c>
      <c r="G831">
        <f>VLOOKUP(E831,Legends!$G$2:$I$87,3,FALSE)</f>
        <v>298.89999999999998</v>
      </c>
      <c r="H831" s="12">
        <v>294.89999999999998</v>
      </c>
      <c r="I831" s="11" t="s">
        <v>1122</v>
      </c>
      <c r="J831" s="11" t="s">
        <v>1203</v>
      </c>
      <c r="K831" s="11" t="s">
        <v>25</v>
      </c>
      <c r="L831" s="12">
        <v>0.68</v>
      </c>
      <c r="M831" s="11" t="s">
        <v>23</v>
      </c>
      <c r="N831" s="11" t="s">
        <v>24</v>
      </c>
      <c r="O831" s="11" t="s">
        <v>25</v>
      </c>
      <c r="P831" s="16" t="s">
        <v>25</v>
      </c>
      <c r="Q831" s="37" t="s">
        <v>25</v>
      </c>
      <c r="R831" s="11" t="s">
        <v>25</v>
      </c>
      <c r="S831" s="13">
        <f t="shared" si="12"/>
        <v>-1.1999999999999997</v>
      </c>
    </row>
    <row r="832" spans="1:19">
      <c r="A832" s="10" t="s">
        <v>1136</v>
      </c>
      <c r="B832" s="11" t="s">
        <v>884</v>
      </c>
      <c r="C832" s="11" t="s">
        <v>25</v>
      </c>
      <c r="D832" s="11" t="s">
        <v>25</v>
      </c>
      <c r="E832" s="12" t="s">
        <v>1146</v>
      </c>
      <c r="F832">
        <f>VLOOKUP(E832,Legends!$G$2:$I$87,2,FALSE)</f>
        <v>293.5</v>
      </c>
      <c r="G832">
        <f>VLOOKUP(E832,Legends!$G$2:$I$87,3,FALSE)</f>
        <v>298.89999999999998</v>
      </c>
      <c r="H832" s="12">
        <v>300</v>
      </c>
      <c r="I832" s="11" t="s">
        <v>1122</v>
      </c>
      <c r="J832" s="11" t="s">
        <v>1203</v>
      </c>
      <c r="K832" s="11" t="s">
        <v>25</v>
      </c>
      <c r="L832" s="12">
        <v>0.75</v>
      </c>
      <c r="M832" s="11" t="s">
        <v>23</v>
      </c>
      <c r="N832" s="11" t="s">
        <v>24</v>
      </c>
      <c r="O832" s="11" t="s">
        <v>25</v>
      </c>
      <c r="P832" s="16" t="s">
        <v>25</v>
      </c>
      <c r="Q832" s="37" t="s">
        <v>25</v>
      </c>
      <c r="R832" s="11" t="s">
        <v>25</v>
      </c>
      <c r="S832" s="13">
        <f t="shared" si="12"/>
        <v>-1.1299999999999999</v>
      </c>
    </row>
    <row r="833" spans="1:19">
      <c r="A833" s="10" t="s">
        <v>1136</v>
      </c>
      <c r="B833" s="11" t="s">
        <v>885</v>
      </c>
      <c r="C833" s="11" t="s">
        <v>25</v>
      </c>
      <c r="D833" s="11" t="s">
        <v>25</v>
      </c>
      <c r="E833" s="12" t="s">
        <v>1147</v>
      </c>
      <c r="F833">
        <f>VLOOKUP(E833,Legends!$G$2:$I$87,2,FALSE)</f>
        <v>290.10000000000002</v>
      </c>
      <c r="G833">
        <f>VLOOKUP(E833,Legends!$G$2:$I$87,3,FALSE)</f>
        <v>293.5</v>
      </c>
      <c r="H833" s="12">
        <v>302.2</v>
      </c>
      <c r="I833" s="11" t="s">
        <v>1122</v>
      </c>
      <c r="J833" s="11" t="s">
        <v>1203</v>
      </c>
      <c r="K833" s="11" t="s">
        <v>25</v>
      </c>
      <c r="L833" s="12">
        <v>0.63</v>
      </c>
      <c r="M833" s="11" t="s">
        <v>23</v>
      </c>
      <c r="N833" s="11" t="s">
        <v>24</v>
      </c>
      <c r="O833" s="11" t="s">
        <v>25</v>
      </c>
      <c r="P833" s="16" t="s">
        <v>25</v>
      </c>
      <c r="Q833" s="37" t="s">
        <v>25</v>
      </c>
      <c r="R833" s="11" t="s">
        <v>25</v>
      </c>
      <c r="S833" s="13">
        <f t="shared" si="12"/>
        <v>-1.25</v>
      </c>
    </row>
    <row r="834" spans="1:19">
      <c r="A834" s="10" t="s">
        <v>1136</v>
      </c>
      <c r="B834" s="11" t="s">
        <v>886</v>
      </c>
      <c r="C834" s="11" t="s">
        <v>25</v>
      </c>
      <c r="D834" s="11" t="s">
        <v>25</v>
      </c>
      <c r="E834" s="12" t="s">
        <v>1148</v>
      </c>
      <c r="F834">
        <f>VLOOKUP(E834,Legends!$G$2:$I$87,2,FALSE)</f>
        <v>283.5</v>
      </c>
      <c r="G834">
        <f>VLOOKUP(E834,Legends!$G$2:$I$87,3,FALSE)</f>
        <v>290.10000000000002</v>
      </c>
      <c r="H834" s="12">
        <v>304</v>
      </c>
      <c r="I834" s="11" t="s">
        <v>1122</v>
      </c>
      <c r="J834" s="11" t="s">
        <v>1203</v>
      </c>
      <c r="K834" s="11" t="s">
        <v>25</v>
      </c>
      <c r="L834" s="12">
        <v>0.9</v>
      </c>
      <c r="M834" s="11" t="s">
        <v>23</v>
      </c>
      <c r="N834" s="11" t="s">
        <v>24</v>
      </c>
      <c r="O834" s="11" t="s">
        <v>25</v>
      </c>
      <c r="P834" s="16" t="s">
        <v>25</v>
      </c>
      <c r="Q834" s="37" t="s">
        <v>25</v>
      </c>
      <c r="R834" s="11" t="s">
        <v>25</v>
      </c>
      <c r="S834" s="13">
        <f t="shared" si="12"/>
        <v>-0.97999999999999987</v>
      </c>
    </row>
    <row r="835" spans="1:19">
      <c r="A835" s="10" t="s">
        <v>1136</v>
      </c>
      <c r="B835" s="11" t="s">
        <v>887</v>
      </c>
      <c r="C835" s="11" t="s">
        <v>25</v>
      </c>
      <c r="D835" s="11" t="s">
        <v>25</v>
      </c>
      <c r="E835" s="12" t="s">
        <v>1149</v>
      </c>
      <c r="F835">
        <f>VLOOKUP(E835,Legends!$G$2:$I$87,2,FALSE)</f>
        <v>303.7</v>
      </c>
      <c r="G835">
        <f>VLOOKUP(E835,Legends!$G$2:$I$87,3,FALSE)</f>
        <v>307</v>
      </c>
      <c r="H835" s="12">
        <v>304.2</v>
      </c>
      <c r="I835" s="11" t="s">
        <v>1122</v>
      </c>
      <c r="J835" s="11" t="s">
        <v>1203</v>
      </c>
      <c r="K835" s="11" t="s">
        <v>25</v>
      </c>
      <c r="L835" s="12">
        <v>0.82</v>
      </c>
      <c r="M835" s="11" t="s">
        <v>23</v>
      </c>
      <c r="N835" s="11" t="s">
        <v>24</v>
      </c>
      <c r="O835" s="11" t="s">
        <v>25</v>
      </c>
      <c r="P835" s="16" t="s">
        <v>25</v>
      </c>
      <c r="Q835" s="37" t="s">
        <v>25</v>
      </c>
      <c r="R835" s="11" t="s">
        <v>25</v>
      </c>
      <c r="S835" s="13">
        <f t="shared" ref="S835:S898" si="13">IF(NOT(N835="SW"),L835-1.88,L835)</f>
        <v>-1.06</v>
      </c>
    </row>
    <row r="836" spans="1:19">
      <c r="A836" s="10" t="s">
        <v>1136</v>
      </c>
      <c r="B836" s="11" t="s">
        <v>888</v>
      </c>
      <c r="C836" s="11" t="s">
        <v>25</v>
      </c>
      <c r="D836" s="11" t="s">
        <v>25</v>
      </c>
      <c r="E836" s="12" t="s">
        <v>1150</v>
      </c>
      <c r="F836">
        <f>VLOOKUP(E836,Legends!$G$2:$I$87,2,FALSE)</f>
        <v>325</v>
      </c>
      <c r="G836">
        <f>VLOOKUP(E836,Legends!$G$2:$I$87,3,FALSE)</f>
        <v>330</v>
      </c>
      <c r="H836" s="12">
        <v>304.8</v>
      </c>
      <c r="I836" s="11" t="s">
        <v>1122</v>
      </c>
      <c r="J836" s="11" t="s">
        <v>1203</v>
      </c>
      <c r="K836" s="11" t="s">
        <v>25</v>
      </c>
      <c r="L836" s="12">
        <v>0.86</v>
      </c>
      <c r="M836" s="11" t="s">
        <v>23</v>
      </c>
      <c r="N836" s="11" t="s">
        <v>24</v>
      </c>
      <c r="O836" s="11" t="s">
        <v>25</v>
      </c>
      <c r="P836" s="16" t="s">
        <v>25</v>
      </c>
      <c r="Q836" s="37" t="s">
        <v>25</v>
      </c>
      <c r="R836" s="11" t="s">
        <v>25</v>
      </c>
      <c r="S836" s="13">
        <f t="shared" si="13"/>
        <v>-1.02</v>
      </c>
    </row>
    <row r="837" spans="1:19">
      <c r="A837" s="10" t="s">
        <v>1136</v>
      </c>
      <c r="B837" s="11" t="s">
        <v>889</v>
      </c>
      <c r="C837" s="11" t="s">
        <v>25</v>
      </c>
      <c r="D837" s="11" t="s">
        <v>25</v>
      </c>
      <c r="E837" s="12" t="s">
        <v>1151</v>
      </c>
      <c r="F837">
        <f>VLOOKUP(E837,Legends!$G$2:$I$87,2,FALSE)</f>
        <v>330</v>
      </c>
      <c r="G837">
        <f>VLOOKUP(E837,Legends!$G$2:$I$87,3,FALSE)</f>
        <v>335</v>
      </c>
      <c r="H837" s="12">
        <v>305.7</v>
      </c>
      <c r="I837" s="11" t="s">
        <v>1122</v>
      </c>
      <c r="J837" s="11" t="s">
        <v>1203</v>
      </c>
      <c r="K837" s="11" t="s">
        <v>25</v>
      </c>
      <c r="L837" s="12">
        <v>0.83</v>
      </c>
      <c r="M837" s="11" t="s">
        <v>23</v>
      </c>
      <c r="N837" s="11" t="s">
        <v>24</v>
      </c>
      <c r="O837" s="11" t="s">
        <v>25</v>
      </c>
      <c r="P837" s="16" t="s">
        <v>25</v>
      </c>
      <c r="Q837" s="37" t="s">
        <v>25</v>
      </c>
      <c r="R837" s="11" t="s">
        <v>25</v>
      </c>
      <c r="S837" s="13">
        <f t="shared" si="13"/>
        <v>-1.0499999999999998</v>
      </c>
    </row>
    <row r="838" spans="1:19">
      <c r="A838" s="10" t="s">
        <v>1136</v>
      </c>
      <c r="B838" s="11" t="s">
        <v>890</v>
      </c>
      <c r="C838" s="11" t="s">
        <v>25</v>
      </c>
      <c r="D838" s="11" t="s">
        <v>25</v>
      </c>
      <c r="E838" s="12" t="s">
        <v>1152</v>
      </c>
      <c r="F838">
        <f>VLOOKUP(E838,Legends!$G$2:$I$87,2,FALSE)</f>
        <v>335</v>
      </c>
      <c r="G838">
        <f>VLOOKUP(E838,Legends!$G$2:$I$87,3,FALSE)</f>
        <v>340</v>
      </c>
      <c r="H838" s="12">
        <v>306.8</v>
      </c>
      <c r="I838" s="11" t="s">
        <v>1122</v>
      </c>
      <c r="J838" s="11" t="s">
        <v>1203</v>
      </c>
      <c r="K838" s="11" t="s">
        <v>25</v>
      </c>
      <c r="L838" s="12">
        <v>0.8</v>
      </c>
      <c r="M838" s="11" t="s">
        <v>23</v>
      </c>
      <c r="N838" s="11" t="s">
        <v>24</v>
      </c>
      <c r="O838" s="11" t="s">
        <v>25</v>
      </c>
      <c r="P838" s="16" t="s">
        <v>25</v>
      </c>
      <c r="Q838" s="37" t="s">
        <v>25</v>
      </c>
      <c r="R838" s="11" t="s">
        <v>25</v>
      </c>
      <c r="S838" s="13">
        <f t="shared" si="13"/>
        <v>-1.0799999999999998</v>
      </c>
    </row>
    <row r="839" spans="1:19">
      <c r="A839" s="10" t="s">
        <v>1136</v>
      </c>
      <c r="B839" s="11" t="s">
        <v>891</v>
      </c>
      <c r="C839" s="11" t="s">
        <v>25</v>
      </c>
      <c r="D839" s="11" t="s">
        <v>25</v>
      </c>
      <c r="E839" s="12" t="s">
        <v>1153</v>
      </c>
      <c r="F839">
        <f>VLOOKUP(E839,Legends!$G$2:$I$87,2,FALSE)</f>
        <v>340</v>
      </c>
      <c r="G839">
        <f>VLOOKUP(E839,Legends!$G$2:$I$87,3,FALSE)</f>
        <v>345</v>
      </c>
      <c r="H839" s="12">
        <v>307</v>
      </c>
      <c r="I839" s="11" t="s">
        <v>1122</v>
      </c>
      <c r="J839" s="11" t="s">
        <v>1203</v>
      </c>
      <c r="K839" s="11" t="s">
        <v>25</v>
      </c>
      <c r="L839" s="12">
        <v>0.78</v>
      </c>
      <c r="M839" s="11" t="s">
        <v>23</v>
      </c>
      <c r="N839" s="11" t="s">
        <v>24</v>
      </c>
      <c r="O839" s="11" t="s">
        <v>25</v>
      </c>
      <c r="P839" s="16" t="s">
        <v>25</v>
      </c>
      <c r="Q839" s="37" t="s">
        <v>25</v>
      </c>
      <c r="R839" s="11" t="s">
        <v>25</v>
      </c>
      <c r="S839" s="13">
        <f t="shared" si="13"/>
        <v>-1.0999999999999999</v>
      </c>
    </row>
    <row r="840" spans="1:19">
      <c r="A840" s="10" t="s">
        <v>1136</v>
      </c>
      <c r="B840" s="11" t="s">
        <v>892</v>
      </c>
      <c r="C840" s="11" t="s">
        <v>25</v>
      </c>
      <c r="D840" s="11" t="s">
        <v>25</v>
      </c>
      <c r="E840" s="12" t="s">
        <v>1153</v>
      </c>
      <c r="F840">
        <f>VLOOKUP(E840,Legends!$G$2:$I$87,2,FALSE)</f>
        <v>340</v>
      </c>
      <c r="G840">
        <f>VLOOKUP(E840,Legends!$G$2:$I$87,3,FALSE)</f>
        <v>345</v>
      </c>
      <c r="H840" s="12">
        <v>307.2</v>
      </c>
      <c r="I840" s="11" t="s">
        <v>1122</v>
      </c>
      <c r="J840" s="11" t="s">
        <v>1203</v>
      </c>
      <c r="K840" s="11" t="s">
        <v>25</v>
      </c>
      <c r="L840" s="12">
        <v>1.08</v>
      </c>
      <c r="M840" s="11" t="s">
        <v>23</v>
      </c>
      <c r="N840" s="11" t="s">
        <v>24</v>
      </c>
      <c r="O840" s="11" t="s">
        <v>25</v>
      </c>
      <c r="P840" s="16" t="s">
        <v>25</v>
      </c>
      <c r="Q840" s="37" t="s">
        <v>25</v>
      </c>
      <c r="R840" s="11" t="s">
        <v>25</v>
      </c>
      <c r="S840" s="13">
        <f t="shared" si="13"/>
        <v>-0.79999999999999982</v>
      </c>
    </row>
    <row r="841" spans="1:19">
      <c r="A841" s="10" t="s">
        <v>1136</v>
      </c>
      <c r="B841" s="11" t="s">
        <v>893</v>
      </c>
      <c r="C841" s="11" t="s">
        <v>25</v>
      </c>
      <c r="D841" s="11" t="s">
        <v>25</v>
      </c>
      <c r="E841" s="12" t="s">
        <v>1153</v>
      </c>
      <c r="F841">
        <f>VLOOKUP(E841,Legends!$G$2:$I$87,2,FALSE)</f>
        <v>340</v>
      </c>
      <c r="G841">
        <f>VLOOKUP(E841,Legends!$G$2:$I$87,3,FALSE)</f>
        <v>345</v>
      </c>
      <c r="H841" s="12">
        <v>307.2</v>
      </c>
      <c r="I841" s="11" t="s">
        <v>1122</v>
      </c>
      <c r="J841" s="11" t="s">
        <v>1203</v>
      </c>
      <c r="K841" s="11" t="s">
        <v>25</v>
      </c>
      <c r="L841" s="12">
        <v>1.1299999999999999</v>
      </c>
      <c r="M841" s="11" t="s">
        <v>23</v>
      </c>
      <c r="N841" s="11" t="s">
        <v>24</v>
      </c>
      <c r="O841" s="11" t="s">
        <v>25</v>
      </c>
      <c r="P841" s="16" t="s">
        <v>25</v>
      </c>
      <c r="Q841" s="37" t="s">
        <v>25</v>
      </c>
      <c r="R841" s="11" t="s">
        <v>25</v>
      </c>
      <c r="S841" s="13">
        <f t="shared" si="13"/>
        <v>-0.75</v>
      </c>
    </row>
    <row r="842" spans="1:19">
      <c r="A842" s="10" t="s">
        <v>1136</v>
      </c>
      <c r="B842" s="11" t="s">
        <v>894</v>
      </c>
      <c r="C842" s="11" t="s">
        <v>25</v>
      </c>
      <c r="D842" s="11" t="s">
        <v>25</v>
      </c>
      <c r="E842" s="12" t="s">
        <v>1153</v>
      </c>
      <c r="F842">
        <f>VLOOKUP(E842,Legends!$G$2:$I$87,2,FALSE)</f>
        <v>340</v>
      </c>
      <c r="G842">
        <f>VLOOKUP(E842,Legends!$G$2:$I$87,3,FALSE)</f>
        <v>345</v>
      </c>
      <c r="H842" s="12">
        <v>307.5</v>
      </c>
      <c r="I842" s="11" t="s">
        <v>1122</v>
      </c>
      <c r="J842" s="11" t="s">
        <v>1203</v>
      </c>
      <c r="K842" s="11" t="s">
        <v>25</v>
      </c>
      <c r="L842" s="12">
        <v>0.8</v>
      </c>
      <c r="M842" s="11" t="s">
        <v>23</v>
      </c>
      <c r="N842" s="11" t="s">
        <v>24</v>
      </c>
      <c r="O842" s="11" t="s">
        <v>25</v>
      </c>
      <c r="P842" s="16" t="s">
        <v>25</v>
      </c>
      <c r="Q842" s="37" t="s">
        <v>25</v>
      </c>
      <c r="R842" s="11" t="s">
        <v>25</v>
      </c>
      <c r="S842" s="13">
        <f t="shared" si="13"/>
        <v>-1.0799999999999998</v>
      </c>
    </row>
    <row r="843" spans="1:19">
      <c r="A843" s="10" t="s">
        <v>1136</v>
      </c>
      <c r="B843" s="11" t="s">
        <v>895</v>
      </c>
      <c r="C843" s="11" t="s">
        <v>25</v>
      </c>
      <c r="D843" s="11" t="s">
        <v>25</v>
      </c>
      <c r="E843" s="12" t="s">
        <v>1153</v>
      </c>
      <c r="F843">
        <f>VLOOKUP(E843,Legends!$G$2:$I$87,2,FALSE)</f>
        <v>340</v>
      </c>
      <c r="G843">
        <f>VLOOKUP(E843,Legends!$G$2:$I$87,3,FALSE)</f>
        <v>345</v>
      </c>
      <c r="H843" s="12">
        <v>308.2</v>
      </c>
      <c r="I843" s="11" t="s">
        <v>1122</v>
      </c>
      <c r="J843" s="11" t="s">
        <v>1203</v>
      </c>
      <c r="K843" s="11" t="s">
        <v>25</v>
      </c>
      <c r="L843" s="12">
        <v>0.82</v>
      </c>
      <c r="M843" s="11" t="s">
        <v>23</v>
      </c>
      <c r="N843" s="11" t="s">
        <v>24</v>
      </c>
      <c r="O843" s="11" t="s">
        <v>25</v>
      </c>
      <c r="P843" s="16" t="s">
        <v>25</v>
      </c>
      <c r="Q843" s="37" t="s">
        <v>25</v>
      </c>
      <c r="R843" s="11" t="s">
        <v>25</v>
      </c>
      <c r="S843" s="13">
        <f t="shared" si="13"/>
        <v>-1.06</v>
      </c>
    </row>
    <row r="844" spans="1:19">
      <c r="A844" s="10" t="s">
        <v>1136</v>
      </c>
      <c r="B844" s="11" t="s">
        <v>896</v>
      </c>
      <c r="C844" s="11" t="s">
        <v>25</v>
      </c>
      <c r="D844" s="11" t="s">
        <v>25</v>
      </c>
      <c r="E844" s="12" t="s">
        <v>1154</v>
      </c>
      <c r="F844">
        <f>VLOOKUP(E844,Legends!$G$2:$I$87,2,FALSE)</f>
        <v>345</v>
      </c>
      <c r="G844">
        <f>VLOOKUP(E844,Legends!$G$2:$I$87,3,FALSE)</f>
        <v>350</v>
      </c>
      <c r="H844" s="12">
        <v>308.5</v>
      </c>
      <c r="I844" s="11" t="s">
        <v>1122</v>
      </c>
      <c r="J844" s="11" t="s">
        <v>1203</v>
      </c>
      <c r="K844" s="11" t="s">
        <v>25</v>
      </c>
      <c r="L844" s="12">
        <v>1.02</v>
      </c>
      <c r="M844" s="11" t="s">
        <v>23</v>
      </c>
      <c r="N844" s="11" t="s">
        <v>24</v>
      </c>
      <c r="O844" s="11" t="s">
        <v>25</v>
      </c>
      <c r="P844" s="16" t="s">
        <v>25</v>
      </c>
      <c r="Q844" s="37" t="s">
        <v>25</v>
      </c>
      <c r="R844" s="11" t="s">
        <v>25</v>
      </c>
      <c r="S844" s="13">
        <f t="shared" si="13"/>
        <v>-0.85999999999999988</v>
      </c>
    </row>
    <row r="845" spans="1:19">
      <c r="A845" s="10" t="s">
        <v>1136</v>
      </c>
      <c r="B845" s="11" t="s">
        <v>897</v>
      </c>
      <c r="C845" s="11" t="s">
        <v>25</v>
      </c>
      <c r="D845" s="11" t="s">
        <v>25</v>
      </c>
      <c r="E845" s="12" t="s">
        <v>1148</v>
      </c>
      <c r="F845">
        <f>VLOOKUP(E845,Legends!$G$2:$I$87,2,FALSE)</f>
        <v>283.5</v>
      </c>
      <c r="G845">
        <f>VLOOKUP(E845,Legends!$G$2:$I$87,3,FALSE)</f>
        <v>290.10000000000002</v>
      </c>
      <c r="H845" s="12">
        <v>310.10000000000002</v>
      </c>
      <c r="I845" s="11" t="s">
        <v>1122</v>
      </c>
      <c r="J845" s="11" t="s">
        <v>1203</v>
      </c>
      <c r="K845" s="11" t="s">
        <v>25</v>
      </c>
      <c r="L845" s="12">
        <v>0.82</v>
      </c>
      <c r="M845" s="11" t="s">
        <v>23</v>
      </c>
      <c r="N845" s="11" t="s">
        <v>24</v>
      </c>
      <c r="O845" s="11" t="s">
        <v>25</v>
      </c>
      <c r="P845" s="16" t="s">
        <v>25</v>
      </c>
      <c r="Q845" s="37" t="s">
        <v>25</v>
      </c>
      <c r="R845" s="11" t="s">
        <v>25</v>
      </c>
      <c r="S845" s="13">
        <f t="shared" si="13"/>
        <v>-1.06</v>
      </c>
    </row>
    <row r="846" spans="1:19">
      <c r="A846" s="10" t="s">
        <v>1136</v>
      </c>
      <c r="B846" s="11" t="s">
        <v>898</v>
      </c>
      <c r="C846" s="11" t="s">
        <v>25</v>
      </c>
      <c r="D846" s="11" t="s">
        <v>25</v>
      </c>
      <c r="E846" s="12" t="s">
        <v>1155</v>
      </c>
      <c r="F846">
        <f>VLOOKUP(E846,Legends!$G$2:$I$87,2,FALSE)</f>
        <v>283.5</v>
      </c>
      <c r="G846">
        <f>VLOOKUP(E846,Legends!$G$2:$I$87,3,FALSE)</f>
        <v>290.10000000000002</v>
      </c>
      <c r="H846" s="12">
        <v>310.5</v>
      </c>
      <c r="I846" s="11" t="s">
        <v>1122</v>
      </c>
      <c r="J846" s="11" t="s">
        <v>1203</v>
      </c>
      <c r="K846" s="11" t="s">
        <v>25</v>
      </c>
      <c r="L846" s="12">
        <v>0.8</v>
      </c>
      <c r="M846" s="11" t="s">
        <v>23</v>
      </c>
      <c r="N846" s="11" t="s">
        <v>24</v>
      </c>
      <c r="O846" s="11" t="s">
        <v>25</v>
      </c>
      <c r="P846" s="16" t="s">
        <v>25</v>
      </c>
      <c r="Q846" s="37" t="s">
        <v>25</v>
      </c>
      <c r="R846" s="11" t="s">
        <v>25</v>
      </c>
      <c r="S846" s="13">
        <f t="shared" si="13"/>
        <v>-1.0799999999999998</v>
      </c>
    </row>
    <row r="847" spans="1:19">
      <c r="A847" s="10" t="s">
        <v>1136</v>
      </c>
      <c r="B847" s="11" t="s">
        <v>899</v>
      </c>
      <c r="C847" s="11" t="s">
        <v>25</v>
      </c>
      <c r="D847" s="11" t="s">
        <v>25</v>
      </c>
      <c r="E847" s="12" t="s">
        <v>1156</v>
      </c>
      <c r="F847">
        <f>VLOOKUP(E847,Legends!$G$2:$I$87,2,FALSE)</f>
        <v>350</v>
      </c>
      <c r="G847">
        <f>VLOOKUP(E847,Legends!$G$2:$I$87,3,FALSE)</f>
        <v>355</v>
      </c>
      <c r="H847" s="12">
        <v>310.7</v>
      </c>
      <c r="I847" s="11" t="s">
        <v>1122</v>
      </c>
      <c r="J847" s="11" t="s">
        <v>1203</v>
      </c>
      <c r="K847" s="11" t="s">
        <v>25</v>
      </c>
      <c r="L847" s="12">
        <v>0.92</v>
      </c>
      <c r="M847" s="11" t="s">
        <v>23</v>
      </c>
      <c r="N847" s="11" t="s">
        <v>24</v>
      </c>
      <c r="O847" s="11" t="s">
        <v>25</v>
      </c>
      <c r="P847" s="16" t="s">
        <v>25</v>
      </c>
      <c r="Q847" s="37" t="s">
        <v>25</v>
      </c>
      <c r="R847" s="11" t="s">
        <v>25</v>
      </c>
      <c r="S847" s="13">
        <f t="shared" si="13"/>
        <v>-0.95999999999999985</v>
      </c>
    </row>
    <row r="848" spans="1:19">
      <c r="A848" s="10" t="s">
        <v>1136</v>
      </c>
      <c r="B848" s="11" t="s">
        <v>900</v>
      </c>
      <c r="C848" s="11" t="s">
        <v>25</v>
      </c>
      <c r="D848" s="11" t="s">
        <v>25</v>
      </c>
      <c r="E848" s="12" t="s">
        <v>1156</v>
      </c>
      <c r="F848">
        <f>VLOOKUP(E848,Legends!$G$2:$I$87,2,FALSE)</f>
        <v>350</v>
      </c>
      <c r="G848">
        <f>VLOOKUP(E848,Legends!$G$2:$I$87,3,FALSE)</f>
        <v>355</v>
      </c>
      <c r="H848" s="12">
        <v>310.7</v>
      </c>
      <c r="I848" s="11" t="s">
        <v>1122</v>
      </c>
      <c r="J848" s="11" t="s">
        <v>1203</v>
      </c>
      <c r="K848" s="11" t="s">
        <v>25</v>
      </c>
      <c r="L848" s="12">
        <v>0.85</v>
      </c>
      <c r="M848" s="11" t="s">
        <v>23</v>
      </c>
      <c r="N848" s="11" t="s">
        <v>24</v>
      </c>
      <c r="O848" s="11" t="s">
        <v>25</v>
      </c>
      <c r="P848" s="16" t="s">
        <v>25</v>
      </c>
      <c r="Q848" s="37" t="s">
        <v>25</v>
      </c>
      <c r="R848" s="11" t="s">
        <v>25</v>
      </c>
      <c r="S848" s="13">
        <f t="shared" si="13"/>
        <v>-1.0299999999999998</v>
      </c>
    </row>
    <row r="849" spans="1:19">
      <c r="A849" s="10" t="s">
        <v>1136</v>
      </c>
      <c r="B849" s="11" t="s">
        <v>901</v>
      </c>
      <c r="C849" s="11" t="s">
        <v>25</v>
      </c>
      <c r="D849" s="11" t="s">
        <v>25</v>
      </c>
      <c r="E849" s="12" t="s">
        <v>1148</v>
      </c>
      <c r="F849">
        <f>VLOOKUP(E849,Legends!$G$2:$I$87,2,FALSE)</f>
        <v>283.5</v>
      </c>
      <c r="G849">
        <f>VLOOKUP(E849,Legends!$G$2:$I$87,3,FALSE)</f>
        <v>290.10000000000002</v>
      </c>
      <c r="H849" s="12">
        <v>310.7</v>
      </c>
      <c r="I849" s="11" t="s">
        <v>1122</v>
      </c>
      <c r="J849" s="11" t="s">
        <v>1203</v>
      </c>
      <c r="K849" s="11" t="s">
        <v>25</v>
      </c>
      <c r="L849" s="12">
        <v>0.95</v>
      </c>
      <c r="M849" s="11" t="s">
        <v>23</v>
      </c>
      <c r="N849" s="11" t="s">
        <v>24</v>
      </c>
      <c r="O849" s="11" t="s">
        <v>25</v>
      </c>
      <c r="P849" s="16" t="s">
        <v>25</v>
      </c>
      <c r="Q849" s="37" t="s">
        <v>25</v>
      </c>
      <c r="R849" s="11" t="s">
        <v>25</v>
      </c>
      <c r="S849" s="13">
        <f t="shared" si="13"/>
        <v>-0.92999999999999994</v>
      </c>
    </row>
    <row r="850" spans="1:19">
      <c r="A850" s="10" t="s">
        <v>1136</v>
      </c>
      <c r="B850" s="11" t="s">
        <v>902</v>
      </c>
      <c r="C850" s="11" t="s">
        <v>25</v>
      </c>
      <c r="D850" s="11" t="s">
        <v>25</v>
      </c>
      <c r="E850" s="12" t="s">
        <v>1157</v>
      </c>
      <c r="F850">
        <f>VLOOKUP(E850,Legends!$G$2:$I$87,2,FALSE)</f>
        <v>355</v>
      </c>
      <c r="G850">
        <f>VLOOKUP(E850,Legends!$G$2:$I$87,3,FALSE)</f>
        <v>360</v>
      </c>
      <c r="H850" s="12">
        <v>311.7</v>
      </c>
      <c r="I850" s="11" t="s">
        <v>1122</v>
      </c>
      <c r="J850" s="11" t="s">
        <v>1203</v>
      </c>
      <c r="K850" s="11" t="s">
        <v>25</v>
      </c>
      <c r="L850" s="12">
        <v>0.87</v>
      </c>
      <c r="M850" s="11" t="s">
        <v>23</v>
      </c>
      <c r="N850" s="11" t="s">
        <v>24</v>
      </c>
      <c r="O850" s="11" t="s">
        <v>25</v>
      </c>
      <c r="P850" s="16" t="s">
        <v>25</v>
      </c>
      <c r="Q850" s="37" t="s">
        <v>25</v>
      </c>
      <c r="R850" s="11" t="s">
        <v>25</v>
      </c>
      <c r="S850" s="13">
        <f t="shared" si="13"/>
        <v>-1.0099999999999998</v>
      </c>
    </row>
    <row r="851" spans="1:19">
      <c r="A851" s="10" t="s">
        <v>1136</v>
      </c>
      <c r="B851" s="11" t="s">
        <v>903</v>
      </c>
      <c r="C851" s="11" t="s">
        <v>25</v>
      </c>
      <c r="D851" s="11" t="s">
        <v>25</v>
      </c>
      <c r="E851" s="12" t="s">
        <v>1152</v>
      </c>
      <c r="F851">
        <f>VLOOKUP(E851,Legends!$G$2:$I$87,2,FALSE)</f>
        <v>335</v>
      </c>
      <c r="G851">
        <f>VLOOKUP(E851,Legends!$G$2:$I$87,3,FALSE)</f>
        <v>340</v>
      </c>
      <c r="H851" s="12">
        <v>311.89999999999998</v>
      </c>
      <c r="I851" s="11" t="s">
        <v>1122</v>
      </c>
      <c r="J851" s="11" t="s">
        <v>1203</v>
      </c>
      <c r="K851" s="11" t="s">
        <v>25</v>
      </c>
      <c r="L851" s="12">
        <v>1.1599999999999999</v>
      </c>
      <c r="M851" s="11" t="s">
        <v>23</v>
      </c>
      <c r="N851" s="11" t="s">
        <v>24</v>
      </c>
      <c r="O851" s="11" t="s">
        <v>25</v>
      </c>
      <c r="P851" s="16" t="s">
        <v>25</v>
      </c>
      <c r="Q851" s="37" t="s">
        <v>25</v>
      </c>
      <c r="R851" s="11" t="s">
        <v>25</v>
      </c>
      <c r="S851" s="13">
        <f t="shared" si="13"/>
        <v>-0.72</v>
      </c>
    </row>
    <row r="852" spans="1:19">
      <c r="A852" s="10" t="s">
        <v>1136</v>
      </c>
      <c r="B852" s="11" t="s">
        <v>904</v>
      </c>
      <c r="C852" s="11" t="s">
        <v>25</v>
      </c>
      <c r="D852" s="11" t="s">
        <v>25</v>
      </c>
      <c r="E852" s="12" t="s">
        <v>1158</v>
      </c>
      <c r="F852">
        <f>VLOOKUP(E852,Legends!$G$2:$I$87,2,FALSE)</f>
        <v>360</v>
      </c>
      <c r="G852">
        <f>VLOOKUP(E852,Legends!$G$2:$I$87,3,FALSE)</f>
        <v>365</v>
      </c>
      <c r="H852" s="12">
        <v>313.3</v>
      </c>
      <c r="I852" s="11" t="s">
        <v>1122</v>
      </c>
      <c r="J852" s="11" t="s">
        <v>1203</v>
      </c>
      <c r="K852" s="11" t="s">
        <v>25</v>
      </c>
      <c r="L852" s="12">
        <v>0.81</v>
      </c>
      <c r="M852" s="11" t="s">
        <v>23</v>
      </c>
      <c r="N852" s="11" t="s">
        <v>24</v>
      </c>
      <c r="O852" s="11" t="s">
        <v>25</v>
      </c>
      <c r="P852" s="16" t="s">
        <v>25</v>
      </c>
      <c r="Q852" s="37" t="s">
        <v>25</v>
      </c>
      <c r="R852" s="11" t="s">
        <v>25</v>
      </c>
      <c r="S852" s="13">
        <f t="shared" si="13"/>
        <v>-1.0699999999999998</v>
      </c>
    </row>
    <row r="853" spans="1:19">
      <c r="A853" s="10" t="s">
        <v>1136</v>
      </c>
      <c r="B853" s="11" t="s">
        <v>905</v>
      </c>
      <c r="C853" s="11" t="s">
        <v>25</v>
      </c>
      <c r="D853" s="11" t="s">
        <v>25</v>
      </c>
      <c r="E853" s="12" t="s">
        <v>1158</v>
      </c>
      <c r="F853">
        <f>VLOOKUP(E853,Legends!$G$2:$I$87,2,FALSE)</f>
        <v>360</v>
      </c>
      <c r="G853">
        <f>VLOOKUP(E853,Legends!$G$2:$I$87,3,FALSE)</f>
        <v>365</v>
      </c>
      <c r="H853" s="12">
        <v>314</v>
      </c>
      <c r="I853" s="11" t="s">
        <v>1122</v>
      </c>
      <c r="J853" s="11" t="s">
        <v>1203</v>
      </c>
      <c r="K853" s="11" t="s">
        <v>25</v>
      </c>
      <c r="L853" s="12">
        <v>0.44</v>
      </c>
      <c r="M853" s="11" t="s">
        <v>23</v>
      </c>
      <c r="N853" s="11" t="s">
        <v>24</v>
      </c>
      <c r="O853" s="11" t="s">
        <v>25</v>
      </c>
      <c r="P853" s="16" t="s">
        <v>25</v>
      </c>
      <c r="Q853" s="37" t="s">
        <v>25</v>
      </c>
      <c r="R853" s="11" t="s">
        <v>25</v>
      </c>
      <c r="S853" s="13">
        <f t="shared" si="13"/>
        <v>-1.44</v>
      </c>
    </row>
    <row r="854" spans="1:19">
      <c r="A854" s="10" t="s">
        <v>1136</v>
      </c>
      <c r="B854" s="11" t="s">
        <v>906</v>
      </c>
      <c r="C854" s="11" t="s">
        <v>25</v>
      </c>
      <c r="D854" s="11" t="s">
        <v>25</v>
      </c>
      <c r="E854" s="12" t="s">
        <v>1158</v>
      </c>
      <c r="F854">
        <f>VLOOKUP(E854,Legends!$G$2:$I$87,2,FALSE)</f>
        <v>360</v>
      </c>
      <c r="G854">
        <f>VLOOKUP(E854,Legends!$G$2:$I$87,3,FALSE)</f>
        <v>365</v>
      </c>
      <c r="H854" s="12">
        <v>314.89999999999998</v>
      </c>
      <c r="I854" s="11" t="s">
        <v>1122</v>
      </c>
      <c r="J854" s="11" t="s">
        <v>1203</v>
      </c>
      <c r="K854" s="11" t="s">
        <v>25</v>
      </c>
      <c r="L854" s="12">
        <v>0.93</v>
      </c>
      <c r="M854" s="11" t="s">
        <v>23</v>
      </c>
      <c r="N854" s="11" t="s">
        <v>24</v>
      </c>
      <c r="O854" s="11" t="s">
        <v>25</v>
      </c>
      <c r="P854" s="16" t="s">
        <v>25</v>
      </c>
      <c r="Q854" s="37" t="s">
        <v>25</v>
      </c>
      <c r="R854" s="11" t="s">
        <v>25</v>
      </c>
      <c r="S854" s="13">
        <f t="shared" si="13"/>
        <v>-0.94999999999999984</v>
      </c>
    </row>
    <row r="855" spans="1:19">
      <c r="A855" s="10" t="s">
        <v>1136</v>
      </c>
      <c r="B855" s="11" t="s">
        <v>907</v>
      </c>
      <c r="C855" s="11" t="s">
        <v>25</v>
      </c>
      <c r="D855" s="11" t="s">
        <v>25</v>
      </c>
      <c r="E855" s="12" t="s">
        <v>1159</v>
      </c>
      <c r="F855">
        <f>VLOOKUP(E855,Legends!$G$2:$I$87,2,FALSE)</f>
        <v>316</v>
      </c>
      <c r="G855">
        <f>VLOOKUP(E855,Legends!$G$2:$I$87,3,FALSE)</f>
        <v>318</v>
      </c>
      <c r="H855" s="12">
        <v>320.8</v>
      </c>
      <c r="I855" s="11" t="s">
        <v>1122</v>
      </c>
      <c r="J855" s="11" t="s">
        <v>1203</v>
      </c>
      <c r="K855" s="11" t="s">
        <v>25</v>
      </c>
      <c r="L855" s="12">
        <v>0.99</v>
      </c>
      <c r="M855" s="11" t="s">
        <v>23</v>
      </c>
      <c r="N855" s="11" t="s">
        <v>24</v>
      </c>
      <c r="O855" s="11" t="s">
        <v>25</v>
      </c>
      <c r="P855" s="16" t="s">
        <v>25</v>
      </c>
      <c r="Q855" s="37" t="s">
        <v>25</v>
      </c>
      <c r="R855" s="11" t="s">
        <v>25</v>
      </c>
      <c r="S855" s="13">
        <f t="shared" si="13"/>
        <v>-0.8899999999999999</v>
      </c>
    </row>
    <row r="856" spans="1:19">
      <c r="A856" s="10" t="s">
        <v>1136</v>
      </c>
      <c r="B856" s="11" t="s">
        <v>908</v>
      </c>
      <c r="C856" s="11" t="s">
        <v>25</v>
      </c>
      <c r="D856" s="11" t="s">
        <v>25</v>
      </c>
      <c r="E856" s="12" t="s">
        <v>1159</v>
      </c>
      <c r="F856">
        <f>VLOOKUP(E856,Legends!$G$2:$I$87,2,FALSE)</f>
        <v>316</v>
      </c>
      <c r="G856">
        <f>VLOOKUP(E856,Legends!$G$2:$I$87,3,FALSE)</f>
        <v>318</v>
      </c>
      <c r="H856" s="12">
        <v>320.89999999999998</v>
      </c>
      <c r="I856" s="11" t="s">
        <v>1122</v>
      </c>
      <c r="J856" s="11" t="s">
        <v>1203</v>
      </c>
      <c r="K856" s="11" t="s">
        <v>25</v>
      </c>
      <c r="L856" s="12">
        <v>0.93</v>
      </c>
      <c r="M856" s="11" t="s">
        <v>23</v>
      </c>
      <c r="N856" s="11" t="s">
        <v>24</v>
      </c>
      <c r="O856" s="11" t="s">
        <v>25</v>
      </c>
      <c r="P856" s="16" t="s">
        <v>25</v>
      </c>
      <c r="Q856" s="37" t="s">
        <v>25</v>
      </c>
      <c r="R856" s="11" t="s">
        <v>25</v>
      </c>
      <c r="S856" s="13">
        <f t="shared" si="13"/>
        <v>-0.94999999999999984</v>
      </c>
    </row>
    <row r="857" spans="1:19">
      <c r="A857" s="10" t="s">
        <v>1136</v>
      </c>
      <c r="B857" s="11" t="s">
        <v>909</v>
      </c>
      <c r="C857" s="11" t="s">
        <v>25</v>
      </c>
      <c r="D857" s="11" t="s">
        <v>25</v>
      </c>
      <c r="E857" s="12" t="s">
        <v>1159</v>
      </c>
      <c r="F857">
        <f>VLOOKUP(E857,Legends!$G$2:$I$87,2,FALSE)</f>
        <v>316</v>
      </c>
      <c r="G857">
        <f>VLOOKUP(E857,Legends!$G$2:$I$87,3,FALSE)</f>
        <v>318</v>
      </c>
      <c r="H857" s="12">
        <v>321.60000000000002</v>
      </c>
      <c r="I857" s="11" t="s">
        <v>1122</v>
      </c>
      <c r="J857" s="11" t="s">
        <v>1203</v>
      </c>
      <c r="K857" s="11" t="s">
        <v>25</v>
      </c>
      <c r="L857" s="12">
        <v>0.97</v>
      </c>
      <c r="M857" s="11" t="s">
        <v>23</v>
      </c>
      <c r="N857" s="11" t="s">
        <v>24</v>
      </c>
      <c r="O857" s="11" t="s">
        <v>25</v>
      </c>
      <c r="P857" s="16" t="s">
        <v>25</v>
      </c>
      <c r="Q857" s="37" t="s">
        <v>25</v>
      </c>
      <c r="R857" s="11" t="s">
        <v>25</v>
      </c>
      <c r="S857" s="13">
        <f t="shared" si="13"/>
        <v>-0.90999999999999992</v>
      </c>
    </row>
    <row r="858" spans="1:19">
      <c r="A858" s="10" t="s">
        <v>1136</v>
      </c>
      <c r="B858" s="11" t="s">
        <v>910</v>
      </c>
      <c r="C858" s="11" t="s">
        <v>25</v>
      </c>
      <c r="D858" s="11" t="s">
        <v>25</v>
      </c>
      <c r="E858" s="12" t="s">
        <v>1159</v>
      </c>
      <c r="F858">
        <f>VLOOKUP(E858,Legends!$G$2:$I$87,2,FALSE)</f>
        <v>316</v>
      </c>
      <c r="G858">
        <f>VLOOKUP(E858,Legends!$G$2:$I$87,3,FALSE)</f>
        <v>318</v>
      </c>
      <c r="H858" s="12">
        <v>321.60000000000002</v>
      </c>
      <c r="I858" s="11" t="s">
        <v>1122</v>
      </c>
      <c r="J858" s="11" t="s">
        <v>1203</v>
      </c>
      <c r="K858" s="11" t="s">
        <v>25</v>
      </c>
      <c r="L858" s="12">
        <v>0.74</v>
      </c>
      <c r="M858" s="11" t="s">
        <v>23</v>
      </c>
      <c r="N858" s="11" t="s">
        <v>24</v>
      </c>
      <c r="O858" s="11" t="s">
        <v>25</v>
      </c>
      <c r="P858" s="16" t="s">
        <v>25</v>
      </c>
      <c r="Q858" s="37" t="s">
        <v>25</v>
      </c>
      <c r="R858" s="11" t="s">
        <v>25</v>
      </c>
      <c r="S858" s="13">
        <f t="shared" si="13"/>
        <v>-1.1399999999999999</v>
      </c>
    </row>
    <row r="859" spans="1:19">
      <c r="A859" s="10" t="s">
        <v>1136</v>
      </c>
      <c r="B859" s="11" t="s">
        <v>911</v>
      </c>
      <c r="C859" s="11" t="s">
        <v>25</v>
      </c>
      <c r="D859" s="11" t="s">
        <v>25</v>
      </c>
      <c r="E859" s="12" t="s">
        <v>1159</v>
      </c>
      <c r="F859">
        <f>VLOOKUP(E859,Legends!$G$2:$I$87,2,FALSE)</f>
        <v>316</v>
      </c>
      <c r="G859">
        <f>VLOOKUP(E859,Legends!$G$2:$I$87,3,FALSE)</f>
        <v>318</v>
      </c>
      <c r="H859" s="12">
        <v>321.7</v>
      </c>
      <c r="I859" s="11" t="s">
        <v>1122</v>
      </c>
      <c r="J859" s="11" t="s">
        <v>1203</v>
      </c>
      <c r="K859" s="11" t="s">
        <v>25</v>
      </c>
      <c r="L859" s="12">
        <v>0.76</v>
      </c>
      <c r="M859" s="11" t="s">
        <v>23</v>
      </c>
      <c r="N859" s="11" t="s">
        <v>24</v>
      </c>
      <c r="O859" s="11" t="s">
        <v>25</v>
      </c>
      <c r="P859" s="16" t="s">
        <v>25</v>
      </c>
      <c r="Q859" s="37" t="s">
        <v>25</v>
      </c>
      <c r="R859" s="11" t="s">
        <v>25</v>
      </c>
      <c r="S859" s="13">
        <f t="shared" si="13"/>
        <v>-1.1199999999999999</v>
      </c>
    </row>
    <row r="860" spans="1:19">
      <c r="A860" s="10" t="s">
        <v>1136</v>
      </c>
      <c r="B860" s="11" t="s">
        <v>912</v>
      </c>
      <c r="C860" s="11" t="s">
        <v>25</v>
      </c>
      <c r="D860" s="11" t="s">
        <v>25</v>
      </c>
      <c r="E860" s="12" t="s">
        <v>1160</v>
      </c>
      <c r="F860">
        <f>VLOOKUP(E860,Legends!$G$2:$I$87,2,FALSE)</f>
        <v>365</v>
      </c>
      <c r="G860">
        <f>VLOOKUP(E860,Legends!$G$2:$I$87,3,FALSE)</f>
        <v>368</v>
      </c>
      <c r="H860" s="12">
        <v>324.10000000000002</v>
      </c>
      <c r="I860" s="11" t="s">
        <v>1122</v>
      </c>
      <c r="J860" s="11" t="s">
        <v>1203</v>
      </c>
      <c r="K860" s="11" t="s">
        <v>25</v>
      </c>
      <c r="L860" s="12">
        <v>0.65</v>
      </c>
      <c r="M860" s="11" t="s">
        <v>23</v>
      </c>
      <c r="N860" s="11" t="s">
        <v>24</v>
      </c>
      <c r="O860" s="11" t="s">
        <v>25</v>
      </c>
      <c r="P860" s="16" t="s">
        <v>25</v>
      </c>
      <c r="Q860" s="37" t="s">
        <v>25</v>
      </c>
      <c r="R860" s="11" t="s">
        <v>25</v>
      </c>
      <c r="S860" s="13">
        <f t="shared" si="13"/>
        <v>-1.23</v>
      </c>
    </row>
    <row r="861" spans="1:19">
      <c r="A861" s="10" t="s">
        <v>1136</v>
      </c>
      <c r="B861" s="11" t="s">
        <v>913</v>
      </c>
      <c r="C861" s="11" t="s">
        <v>25</v>
      </c>
      <c r="D861" s="11" t="s">
        <v>25</v>
      </c>
      <c r="E861" s="12" t="s">
        <v>1161</v>
      </c>
      <c r="F861">
        <f>VLOOKUP(E861,Legends!$G$2:$I$87,2,FALSE)</f>
        <v>318</v>
      </c>
      <c r="G861">
        <f>VLOOKUP(E861,Legends!$G$2:$I$87,3,FALSE)</f>
        <v>323</v>
      </c>
      <c r="H861" s="12">
        <v>324.5</v>
      </c>
      <c r="I861" s="11" t="s">
        <v>1122</v>
      </c>
      <c r="J861" s="11" t="s">
        <v>1203</v>
      </c>
      <c r="K861" s="11" t="s">
        <v>25</v>
      </c>
      <c r="L861" s="12">
        <v>0.9</v>
      </c>
      <c r="M861" s="11" t="s">
        <v>23</v>
      </c>
      <c r="N861" s="11" t="s">
        <v>24</v>
      </c>
      <c r="O861" s="11" t="s">
        <v>25</v>
      </c>
      <c r="P861" s="16" t="s">
        <v>25</v>
      </c>
      <c r="Q861" s="37" t="s">
        <v>25</v>
      </c>
      <c r="R861" s="11" t="s">
        <v>25</v>
      </c>
      <c r="S861" s="13">
        <f t="shared" si="13"/>
        <v>-0.97999999999999987</v>
      </c>
    </row>
    <row r="862" spans="1:19">
      <c r="A862" s="10" t="s">
        <v>1136</v>
      </c>
      <c r="B862" s="11" t="s">
        <v>914</v>
      </c>
      <c r="C862" s="11" t="s">
        <v>25</v>
      </c>
      <c r="D862" s="11" t="s">
        <v>25</v>
      </c>
      <c r="E862" s="12" t="s">
        <v>1162</v>
      </c>
      <c r="F862">
        <f>VLOOKUP(E862,Legends!$G$2:$I$87,2,FALSE)</f>
        <v>368</v>
      </c>
      <c r="G862">
        <f>VLOOKUP(E862,Legends!$G$2:$I$87,3,FALSE)</f>
        <v>373</v>
      </c>
      <c r="H862" s="12">
        <v>325.10000000000002</v>
      </c>
      <c r="I862" s="11" t="s">
        <v>1122</v>
      </c>
      <c r="J862" s="11" t="s">
        <v>1203</v>
      </c>
      <c r="K862" s="11" t="s">
        <v>25</v>
      </c>
      <c r="L862" s="12">
        <v>0.46</v>
      </c>
      <c r="M862" s="11" t="s">
        <v>23</v>
      </c>
      <c r="N862" s="11" t="s">
        <v>24</v>
      </c>
      <c r="O862" s="11" t="s">
        <v>25</v>
      </c>
      <c r="P862" s="16" t="s">
        <v>25</v>
      </c>
      <c r="Q862" s="37" t="s">
        <v>25</v>
      </c>
      <c r="R862" s="11" t="s">
        <v>25</v>
      </c>
      <c r="S862" s="13">
        <f t="shared" si="13"/>
        <v>-1.42</v>
      </c>
    </row>
    <row r="863" spans="1:19">
      <c r="A863" s="10" t="s">
        <v>1136</v>
      </c>
      <c r="B863" s="11" t="s">
        <v>915</v>
      </c>
      <c r="C863" s="11" t="s">
        <v>25</v>
      </c>
      <c r="D863" s="11" t="s">
        <v>25</v>
      </c>
      <c r="E863" s="12" t="s">
        <v>1162</v>
      </c>
      <c r="F863">
        <f>VLOOKUP(E863,Legends!$G$2:$I$87,2,FALSE)</f>
        <v>368</v>
      </c>
      <c r="G863">
        <f>VLOOKUP(E863,Legends!$G$2:$I$87,3,FALSE)</f>
        <v>373</v>
      </c>
      <c r="H863" s="12">
        <v>325.3</v>
      </c>
      <c r="I863" s="11" t="s">
        <v>1122</v>
      </c>
      <c r="J863" s="11" t="s">
        <v>1203</v>
      </c>
      <c r="K863" s="11" t="s">
        <v>25</v>
      </c>
      <c r="L863" s="12">
        <v>0.33</v>
      </c>
      <c r="M863" s="11" t="s">
        <v>23</v>
      </c>
      <c r="N863" s="11" t="s">
        <v>24</v>
      </c>
      <c r="O863" s="11" t="s">
        <v>25</v>
      </c>
      <c r="P863" s="16" t="s">
        <v>25</v>
      </c>
      <c r="Q863" s="37" t="s">
        <v>25</v>
      </c>
      <c r="R863" s="11" t="s">
        <v>25</v>
      </c>
      <c r="S863" s="13">
        <f t="shared" si="13"/>
        <v>-1.5499999999999998</v>
      </c>
    </row>
    <row r="864" spans="1:19">
      <c r="A864" s="10" t="s">
        <v>1136</v>
      </c>
      <c r="B864" s="11" t="s">
        <v>916</v>
      </c>
      <c r="C864" s="11" t="s">
        <v>25</v>
      </c>
      <c r="D864" s="11" t="s">
        <v>25</v>
      </c>
      <c r="E864" s="12" t="s">
        <v>1163</v>
      </c>
      <c r="F864">
        <f>VLOOKUP(E864,Legends!$G$2:$I$87,2,FALSE)</f>
        <v>318</v>
      </c>
      <c r="G864">
        <f>VLOOKUP(E864,Legends!$G$2:$I$87,3,FALSE)</f>
        <v>323</v>
      </c>
      <c r="H864" s="12">
        <v>325.7</v>
      </c>
      <c r="I864" s="11" t="s">
        <v>1122</v>
      </c>
      <c r="J864" s="11" t="s">
        <v>1203</v>
      </c>
      <c r="K864" s="11" t="s">
        <v>25</v>
      </c>
      <c r="L864" s="12">
        <v>0.37</v>
      </c>
      <c r="M864" s="11" t="s">
        <v>23</v>
      </c>
      <c r="N864" s="11" t="s">
        <v>24</v>
      </c>
      <c r="O864" s="11" t="s">
        <v>25</v>
      </c>
      <c r="P864" s="16" t="s">
        <v>25</v>
      </c>
      <c r="Q864" s="37" t="s">
        <v>25</v>
      </c>
      <c r="R864" s="11" t="s">
        <v>25</v>
      </c>
      <c r="S864" s="13">
        <f t="shared" si="13"/>
        <v>-1.5099999999999998</v>
      </c>
    </row>
    <row r="865" spans="1:19">
      <c r="A865" s="10" t="s">
        <v>1136</v>
      </c>
      <c r="B865" s="11" t="s">
        <v>917</v>
      </c>
      <c r="C865" s="11" t="s">
        <v>25</v>
      </c>
      <c r="D865" s="11" t="s">
        <v>25</v>
      </c>
      <c r="E865" s="12" t="s">
        <v>1164</v>
      </c>
      <c r="F865">
        <f>VLOOKUP(E865,Legends!$G$2:$I$87,2,FALSE)</f>
        <v>318</v>
      </c>
      <c r="G865">
        <f>VLOOKUP(E865,Legends!$G$2:$I$87,3,FALSE)</f>
        <v>323</v>
      </c>
      <c r="H865" s="12">
        <v>326.10000000000002</v>
      </c>
      <c r="I865" s="11" t="s">
        <v>1122</v>
      </c>
      <c r="J865" s="11" t="s">
        <v>1203</v>
      </c>
      <c r="K865" s="11" t="s">
        <v>25</v>
      </c>
      <c r="L865" s="12">
        <v>0.34</v>
      </c>
      <c r="M865" s="11" t="s">
        <v>23</v>
      </c>
      <c r="N865" s="11" t="s">
        <v>24</v>
      </c>
      <c r="O865" s="11" t="s">
        <v>25</v>
      </c>
      <c r="P865" s="16" t="s">
        <v>25</v>
      </c>
      <c r="Q865" s="37" t="s">
        <v>25</v>
      </c>
      <c r="R865" s="11" t="s">
        <v>25</v>
      </c>
      <c r="S865" s="13">
        <f t="shared" si="13"/>
        <v>-1.5399999999999998</v>
      </c>
    </row>
    <row r="866" spans="1:19">
      <c r="A866" s="10" t="s">
        <v>1136</v>
      </c>
      <c r="B866" s="11" t="s">
        <v>918</v>
      </c>
      <c r="C866" s="11" t="s">
        <v>25</v>
      </c>
      <c r="D866" s="11" t="s">
        <v>25</v>
      </c>
      <c r="E866" s="12" t="s">
        <v>1165</v>
      </c>
      <c r="F866">
        <f>VLOOKUP(E866,Legends!$G$2:$I$87,2,FALSE)</f>
        <v>323</v>
      </c>
      <c r="G866">
        <f>VLOOKUP(E866,Legends!$G$2:$I$87,3,FALSE)</f>
        <v>330</v>
      </c>
      <c r="H866" s="12">
        <v>326.60000000000002</v>
      </c>
      <c r="I866" s="11" t="s">
        <v>1122</v>
      </c>
      <c r="J866" s="11" t="s">
        <v>1203</v>
      </c>
      <c r="K866" s="11" t="s">
        <v>25</v>
      </c>
      <c r="L866" s="12">
        <v>0.21</v>
      </c>
      <c r="M866" s="11" t="s">
        <v>23</v>
      </c>
      <c r="N866" s="11" t="s">
        <v>24</v>
      </c>
      <c r="O866" s="11" t="s">
        <v>25</v>
      </c>
      <c r="P866" s="16" t="s">
        <v>25</v>
      </c>
      <c r="Q866" s="37" t="s">
        <v>25</v>
      </c>
      <c r="R866" s="11" t="s">
        <v>25</v>
      </c>
      <c r="S866" s="13">
        <f t="shared" si="13"/>
        <v>-1.67</v>
      </c>
    </row>
    <row r="867" spans="1:19">
      <c r="A867" s="10" t="s">
        <v>1136</v>
      </c>
      <c r="B867" s="11" t="s">
        <v>919</v>
      </c>
      <c r="C867" s="11" t="s">
        <v>25</v>
      </c>
      <c r="D867" s="11" t="s">
        <v>25</v>
      </c>
      <c r="E867" s="12" t="s">
        <v>1165</v>
      </c>
      <c r="F867">
        <f>VLOOKUP(E867,Legends!$G$2:$I$87,2,FALSE)</f>
        <v>323</v>
      </c>
      <c r="G867">
        <f>VLOOKUP(E867,Legends!$G$2:$I$87,3,FALSE)</f>
        <v>330</v>
      </c>
      <c r="H867" s="12">
        <v>327</v>
      </c>
      <c r="I867" s="11" t="s">
        <v>1122</v>
      </c>
      <c r="J867" s="11" t="s">
        <v>1203</v>
      </c>
      <c r="K867" s="11" t="s">
        <v>25</v>
      </c>
      <c r="L867" s="12">
        <v>0.74</v>
      </c>
      <c r="M867" s="11" t="s">
        <v>23</v>
      </c>
      <c r="N867" s="11" t="s">
        <v>24</v>
      </c>
      <c r="O867" s="11" t="s">
        <v>25</v>
      </c>
      <c r="P867" s="16" t="s">
        <v>25</v>
      </c>
      <c r="Q867" s="37" t="s">
        <v>25</v>
      </c>
      <c r="R867" s="11" t="s">
        <v>25</v>
      </c>
      <c r="S867" s="13">
        <f t="shared" si="13"/>
        <v>-1.1399999999999999</v>
      </c>
    </row>
    <row r="868" spans="1:19">
      <c r="A868" s="10" t="s">
        <v>1136</v>
      </c>
      <c r="B868" s="11" t="s">
        <v>920</v>
      </c>
      <c r="C868" s="11" t="s">
        <v>25</v>
      </c>
      <c r="D868" s="11" t="s">
        <v>25</v>
      </c>
      <c r="E868" s="12" t="s">
        <v>1165</v>
      </c>
      <c r="F868">
        <f>VLOOKUP(E868,Legends!$G$2:$I$87,2,FALSE)</f>
        <v>323</v>
      </c>
      <c r="G868">
        <f>VLOOKUP(E868,Legends!$G$2:$I$87,3,FALSE)</f>
        <v>330</v>
      </c>
      <c r="H868" s="12">
        <v>327.5</v>
      </c>
      <c r="I868" s="11" t="s">
        <v>1122</v>
      </c>
      <c r="J868" s="11" t="s">
        <v>1203</v>
      </c>
      <c r="K868" s="11" t="s">
        <v>25</v>
      </c>
      <c r="L868" s="12">
        <v>0.41</v>
      </c>
      <c r="M868" s="11" t="s">
        <v>23</v>
      </c>
      <c r="N868" s="11" t="s">
        <v>24</v>
      </c>
      <c r="O868" s="11" t="s">
        <v>25</v>
      </c>
      <c r="P868" s="16" t="s">
        <v>25</v>
      </c>
      <c r="Q868" s="37" t="s">
        <v>25</v>
      </c>
      <c r="R868" s="11" t="s">
        <v>25</v>
      </c>
      <c r="S868" s="13">
        <f t="shared" si="13"/>
        <v>-1.47</v>
      </c>
    </row>
    <row r="869" spans="1:19">
      <c r="A869" s="10" t="s">
        <v>1136</v>
      </c>
      <c r="B869" s="11" t="s">
        <v>921</v>
      </c>
      <c r="C869" s="11" t="s">
        <v>25</v>
      </c>
      <c r="D869" s="11" t="s">
        <v>25</v>
      </c>
      <c r="E869" s="12" t="s">
        <v>1165</v>
      </c>
      <c r="F869">
        <f>VLOOKUP(E869,Legends!$G$2:$I$87,2,FALSE)</f>
        <v>323</v>
      </c>
      <c r="G869">
        <f>VLOOKUP(E869,Legends!$G$2:$I$87,3,FALSE)</f>
        <v>330</v>
      </c>
      <c r="H869" s="12">
        <v>327.7</v>
      </c>
      <c r="I869" s="11" t="s">
        <v>1122</v>
      </c>
      <c r="J869" s="11" t="s">
        <v>1203</v>
      </c>
      <c r="K869" s="11" t="s">
        <v>25</v>
      </c>
      <c r="L869" s="12">
        <v>0.72</v>
      </c>
      <c r="M869" s="11" t="s">
        <v>23</v>
      </c>
      <c r="N869" s="11" t="s">
        <v>24</v>
      </c>
      <c r="O869" s="11" t="s">
        <v>25</v>
      </c>
      <c r="P869" s="16" t="s">
        <v>25</v>
      </c>
      <c r="Q869" s="37" t="s">
        <v>25</v>
      </c>
      <c r="R869" s="11" t="s">
        <v>25</v>
      </c>
      <c r="S869" s="13">
        <f t="shared" si="13"/>
        <v>-1.1599999999999999</v>
      </c>
    </row>
    <row r="870" spans="1:19">
      <c r="A870" s="10" t="s">
        <v>1136</v>
      </c>
      <c r="B870" s="11" t="s">
        <v>922</v>
      </c>
      <c r="C870" s="11" t="s">
        <v>25</v>
      </c>
      <c r="D870" s="11" t="s">
        <v>25</v>
      </c>
      <c r="E870" s="12" t="s">
        <v>1165</v>
      </c>
      <c r="F870">
        <f>VLOOKUP(E870,Legends!$G$2:$I$87,2,FALSE)</f>
        <v>323</v>
      </c>
      <c r="G870">
        <f>VLOOKUP(E870,Legends!$G$2:$I$87,3,FALSE)</f>
        <v>330</v>
      </c>
      <c r="H870" s="12">
        <v>327.8</v>
      </c>
      <c r="I870" s="11" t="s">
        <v>1122</v>
      </c>
      <c r="J870" s="11" t="s">
        <v>1203</v>
      </c>
      <c r="K870" s="11" t="s">
        <v>25</v>
      </c>
      <c r="L870" s="12">
        <v>0.52</v>
      </c>
      <c r="M870" s="11" t="s">
        <v>23</v>
      </c>
      <c r="N870" s="11" t="s">
        <v>24</v>
      </c>
      <c r="O870" s="11" t="s">
        <v>25</v>
      </c>
      <c r="P870" s="16" t="s">
        <v>25</v>
      </c>
      <c r="Q870" s="37" t="s">
        <v>25</v>
      </c>
      <c r="R870" s="11" t="s">
        <v>25</v>
      </c>
      <c r="S870" s="13">
        <f t="shared" si="13"/>
        <v>-1.3599999999999999</v>
      </c>
    </row>
    <row r="871" spans="1:19">
      <c r="A871" s="10" t="s">
        <v>1136</v>
      </c>
      <c r="B871" s="11" t="s">
        <v>923</v>
      </c>
      <c r="C871" s="11" t="s">
        <v>25</v>
      </c>
      <c r="D871" s="11" t="s">
        <v>25</v>
      </c>
      <c r="E871" s="12" t="s">
        <v>1165</v>
      </c>
      <c r="F871">
        <f>VLOOKUP(E871,Legends!$G$2:$I$87,2,FALSE)</f>
        <v>323</v>
      </c>
      <c r="G871">
        <f>VLOOKUP(E871,Legends!$G$2:$I$87,3,FALSE)</f>
        <v>330</v>
      </c>
      <c r="H871" s="12">
        <v>328.8</v>
      </c>
      <c r="I871" s="11" t="s">
        <v>1122</v>
      </c>
      <c r="J871" s="11" t="s">
        <v>1203</v>
      </c>
      <c r="K871" s="11" t="s">
        <v>25</v>
      </c>
      <c r="L871" s="12">
        <v>0.53</v>
      </c>
      <c r="M871" s="11" t="s">
        <v>23</v>
      </c>
      <c r="N871" s="11" t="s">
        <v>24</v>
      </c>
      <c r="O871" s="11" t="s">
        <v>25</v>
      </c>
      <c r="P871" s="16" t="s">
        <v>25</v>
      </c>
      <c r="Q871" s="37" t="s">
        <v>25</v>
      </c>
      <c r="R871" s="11" t="s">
        <v>25</v>
      </c>
      <c r="S871" s="13">
        <f t="shared" si="13"/>
        <v>-1.3499999999999999</v>
      </c>
    </row>
    <row r="872" spans="1:19">
      <c r="A872" s="10" t="s">
        <v>1136</v>
      </c>
      <c r="B872" s="11" t="s">
        <v>924</v>
      </c>
      <c r="C872" s="11" t="s">
        <v>25</v>
      </c>
      <c r="D872" s="11" t="s">
        <v>25</v>
      </c>
      <c r="E872" s="12" t="s">
        <v>1165</v>
      </c>
      <c r="F872">
        <f>VLOOKUP(E872,Legends!$G$2:$I$87,2,FALSE)</f>
        <v>323</v>
      </c>
      <c r="G872">
        <f>VLOOKUP(E872,Legends!$G$2:$I$87,3,FALSE)</f>
        <v>330</v>
      </c>
      <c r="H872" s="12">
        <v>329</v>
      </c>
      <c r="I872" s="11" t="s">
        <v>1122</v>
      </c>
      <c r="J872" s="11" t="s">
        <v>1203</v>
      </c>
      <c r="K872" s="11" t="s">
        <v>25</v>
      </c>
      <c r="L872" s="12">
        <v>0.67</v>
      </c>
      <c r="M872" s="11" t="s">
        <v>23</v>
      </c>
      <c r="N872" s="11" t="s">
        <v>24</v>
      </c>
      <c r="O872" s="11" t="s">
        <v>25</v>
      </c>
      <c r="P872" s="16" t="s">
        <v>25</v>
      </c>
      <c r="Q872" s="37" t="s">
        <v>25</v>
      </c>
      <c r="R872" s="11" t="s">
        <v>25</v>
      </c>
      <c r="S872" s="13">
        <f t="shared" si="13"/>
        <v>-1.21</v>
      </c>
    </row>
    <row r="873" spans="1:19">
      <c r="A873" s="10" t="s">
        <v>1136</v>
      </c>
      <c r="B873" s="11" t="s">
        <v>925</v>
      </c>
      <c r="C873" s="11" t="s">
        <v>25</v>
      </c>
      <c r="D873" s="11" t="s">
        <v>25</v>
      </c>
      <c r="E873" s="12" t="s">
        <v>1166</v>
      </c>
      <c r="F873">
        <f>VLOOKUP(E873,Legends!$G$2:$I$87,2,FALSE)</f>
        <v>330</v>
      </c>
      <c r="G873">
        <f>VLOOKUP(E873,Legends!$G$2:$I$87,3,FALSE)</f>
        <v>335</v>
      </c>
      <c r="H873" s="12">
        <v>329</v>
      </c>
      <c r="I873" s="11" t="s">
        <v>1122</v>
      </c>
      <c r="J873" s="11" t="s">
        <v>1203</v>
      </c>
      <c r="K873" s="11" t="s">
        <v>25</v>
      </c>
      <c r="L873" s="12">
        <v>0.51</v>
      </c>
      <c r="M873" s="11" t="s">
        <v>23</v>
      </c>
      <c r="N873" s="11" t="s">
        <v>24</v>
      </c>
      <c r="O873" s="11" t="s">
        <v>25</v>
      </c>
      <c r="P873" s="16" t="s">
        <v>25</v>
      </c>
      <c r="Q873" s="37" t="s">
        <v>25</v>
      </c>
      <c r="R873" s="11" t="s">
        <v>25</v>
      </c>
      <c r="S873" s="13">
        <f t="shared" si="13"/>
        <v>-1.3699999999999999</v>
      </c>
    </row>
    <row r="874" spans="1:19">
      <c r="A874" s="10" t="s">
        <v>1136</v>
      </c>
      <c r="B874" s="11" t="s">
        <v>926</v>
      </c>
      <c r="C874" s="11" t="s">
        <v>25</v>
      </c>
      <c r="D874" s="11" t="s">
        <v>25</v>
      </c>
      <c r="E874" s="12" t="s">
        <v>1165</v>
      </c>
      <c r="F874">
        <f>VLOOKUP(E874,Legends!$G$2:$I$87,2,FALSE)</f>
        <v>323</v>
      </c>
      <c r="G874">
        <f>VLOOKUP(E874,Legends!$G$2:$I$87,3,FALSE)</f>
        <v>330</v>
      </c>
      <c r="H874" s="12">
        <v>329.3</v>
      </c>
      <c r="I874" s="11" t="s">
        <v>1122</v>
      </c>
      <c r="J874" s="11" t="s">
        <v>1203</v>
      </c>
      <c r="K874" s="11" t="s">
        <v>25</v>
      </c>
      <c r="L874" s="12">
        <v>0.62</v>
      </c>
      <c r="M874" s="11" t="s">
        <v>23</v>
      </c>
      <c r="N874" s="11" t="s">
        <v>24</v>
      </c>
      <c r="O874" s="11" t="s">
        <v>25</v>
      </c>
      <c r="P874" s="16" t="s">
        <v>25</v>
      </c>
      <c r="Q874" s="37" t="s">
        <v>25</v>
      </c>
      <c r="R874" s="11" t="s">
        <v>25</v>
      </c>
      <c r="S874" s="13">
        <f t="shared" si="13"/>
        <v>-1.2599999999999998</v>
      </c>
    </row>
    <row r="875" spans="1:19">
      <c r="A875" s="10" t="s">
        <v>1136</v>
      </c>
      <c r="B875" s="11" t="s">
        <v>927</v>
      </c>
      <c r="C875" s="11" t="s">
        <v>25</v>
      </c>
      <c r="D875" s="11" t="s">
        <v>25</v>
      </c>
      <c r="E875" s="12" t="s">
        <v>1165</v>
      </c>
      <c r="F875">
        <f>VLOOKUP(E875,Legends!$G$2:$I$87,2,FALSE)</f>
        <v>323</v>
      </c>
      <c r="G875">
        <f>VLOOKUP(E875,Legends!$G$2:$I$87,3,FALSE)</f>
        <v>330</v>
      </c>
      <c r="H875" s="12">
        <v>329.4</v>
      </c>
      <c r="I875" s="11" t="s">
        <v>1122</v>
      </c>
      <c r="J875" s="11" t="s">
        <v>1203</v>
      </c>
      <c r="K875" s="11" t="s">
        <v>25</v>
      </c>
      <c r="L875" s="12">
        <v>0.57999999999999996</v>
      </c>
      <c r="M875" s="11" t="s">
        <v>23</v>
      </c>
      <c r="N875" s="11" t="s">
        <v>24</v>
      </c>
      <c r="O875" s="11" t="s">
        <v>25</v>
      </c>
      <c r="P875" s="16" t="s">
        <v>25</v>
      </c>
      <c r="Q875" s="37" t="s">
        <v>25</v>
      </c>
      <c r="R875" s="11" t="s">
        <v>25</v>
      </c>
      <c r="S875" s="13">
        <f t="shared" si="13"/>
        <v>-1.2999999999999998</v>
      </c>
    </row>
    <row r="876" spans="1:19">
      <c r="A876" s="10" t="s">
        <v>1136</v>
      </c>
      <c r="B876" s="11" t="s">
        <v>928</v>
      </c>
      <c r="C876" s="11" t="s">
        <v>25</v>
      </c>
      <c r="D876" s="11" t="s">
        <v>25</v>
      </c>
      <c r="E876" s="12" t="s">
        <v>1167</v>
      </c>
      <c r="F876">
        <f>VLOOKUP(E876,Legends!$G$2:$I$87,2,FALSE)</f>
        <v>340</v>
      </c>
      <c r="G876">
        <f>VLOOKUP(E876,Legends!$G$2:$I$87,3,FALSE)</f>
        <v>342</v>
      </c>
      <c r="H876" s="12">
        <v>330.6</v>
      </c>
      <c r="I876" s="11" t="s">
        <v>1122</v>
      </c>
      <c r="J876" s="11" t="s">
        <v>1203</v>
      </c>
      <c r="K876" s="11" t="s">
        <v>25</v>
      </c>
      <c r="L876" s="12">
        <v>0.75</v>
      </c>
      <c r="M876" s="11" t="s">
        <v>23</v>
      </c>
      <c r="N876" s="11" t="s">
        <v>24</v>
      </c>
      <c r="O876" s="11" t="s">
        <v>25</v>
      </c>
      <c r="P876" s="16" t="s">
        <v>25</v>
      </c>
      <c r="Q876" s="37" t="s">
        <v>25</v>
      </c>
      <c r="R876" s="11" t="s">
        <v>25</v>
      </c>
      <c r="S876" s="13">
        <f t="shared" si="13"/>
        <v>-1.1299999999999999</v>
      </c>
    </row>
    <row r="877" spans="1:19">
      <c r="A877" s="10" t="s">
        <v>1136</v>
      </c>
      <c r="B877" s="11" t="s">
        <v>929</v>
      </c>
      <c r="C877" s="11" t="s">
        <v>25</v>
      </c>
      <c r="D877" s="11" t="s">
        <v>25</v>
      </c>
      <c r="E877" s="12" t="s">
        <v>1167</v>
      </c>
      <c r="F877">
        <f>VLOOKUP(E877,Legends!$G$2:$I$87,2,FALSE)</f>
        <v>340</v>
      </c>
      <c r="G877">
        <f>VLOOKUP(E877,Legends!$G$2:$I$87,3,FALSE)</f>
        <v>342</v>
      </c>
      <c r="H877" s="12">
        <v>331.5</v>
      </c>
      <c r="I877" s="11" t="s">
        <v>1122</v>
      </c>
      <c r="J877" s="11" t="s">
        <v>1203</v>
      </c>
      <c r="K877" s="11" t="s">
        <v>25</v>
      </c>
      <c r="L877" s="12">
        <v>0.68</v>
      </c>
      <c r="M877" s="11" t="s">
        <v>23</v>
      </c>
      <c r="N877" s="11" t="s">
        <v>24</v>
      </c>
      <c r="O877" s="11" t="s">
        <v>25</v>
      </c>
      <c r="P877" s="16" t="s">
        <v>25</v>
      </c>
      <c r="Q877" s="37" t="s">
        <v>25</v>
      </c>
      <c r="R877" s="11" t="s">
        <v>25</v>
      </c>
      <c r="S877" s="13">
        <f t="shared" si="13"/>
        <v>-1.1999999999999997</v>
      </c>
    </row>
    <row r="878" spans="1:19">
      <c r="A878" s="10" t="s">
        <v>1136</v>
      </c>
      <c r="B878" s="11" t="s">
        <v>930</v>
      </c>
      <c r="C878" s="11" t="s">
        <v>25</v>
      </c>
      <c r="D878" s="11" t="s">
        <v>25</v>
      </c>
      <c r="E878" s="12" t="s">
        <v>1167</v>
      </c>
      <c r="F878">
        <f>VLOOKUP(E878,Legends!$G$2:$I$87,2,FALSE)</f>
        <v>340</v>
      </c>
      <c r="G878">
        <f>VLOOKUP(E878,Legends!$G$2:$I$87,3,FALSE)</f>
        <v>342</v>
      </c>
      <c r="H878" s="12">
        <v>331.6</v>
      </c>
      <c r="I878" s="11" t="s">
        <v>1122</v>
      </c>
      <c r="J878" s="11" t="s">
        <v>1203</v>
      </c>
      <c r="K878" s="11" t="s">
        <v>25</v>
      </c>
      <c r="L878" s="12">
        <v>0.63</v>
      </c>
      <c r="M878" s="11" t="s">
        <v>23</v>
      </c>
      <c r="N878" s="11" t="s">
        <v>24</v>
      </c>
      <c r="O878" s="11" t="s">
        <v>25</v>
      </c>
      <c r="P878" s="16" t="s">
        <v>25</v>
      </c>
      <c r="Q878" s="37" t="s">
        <v>25</v>
      </c>
      <c r="R878" s="11" t="s">
        <v>25</v>
      </c>
      <c r="S878" s="13">
        <f t="shared" si="13"/>
        <v>-1.25</v>
      </c>
    </row>
    <row r="879" spans="1:19">
      <c r="A879" s="10" t="s">
        <v>1136</v>
      </c>
      <c r="B879" s="11" t="s">
        <v>931</v>
      </c>
      <c r="C879" s="11" t="s">
        <v>25</v>
      </c>
      <c r="D879" s="11" t="s">
        <v>25</v>
      </c>
      <c r="E879" s="12" t="s">
        <v>1167</v>
      </c>
      <c r="F879">
        <f>VLOOKUP(E879,Legends!$G$2:$I$87,2,FALSE)</f>
        <v>340</v>
      </c>
      <c r="G879">
        <f>VLOOKUP(E879,Legends!$G$2:$I$87,3,FALSE)</f>
        <v>342</v>
      </c>
      <c r="H879" s="12">
        <v>331.6</v>
      </c>
      <c r="I879" s="11" t="s">
        <v>1122</v>
      </c>
      <c r="J879" s="11" t="s">
        <v>1203</v>
      </c>
      <c r="K879" s="11" t="s">
        <v>25</v>
      </c>
      <c r="L879" s="12">
        <v>0.81</v>
      </c>
      <c r="M879" s="11" t="s">
        <v>23</v>
      </c>
      <c r="N879" s="11" t="s">
        <v>24</v>
      </c>
      <c r="O879" s="11" t="s">
        <v>25</v>
      </c>
      <c r="P879" s="16" t="s">
        <v>25</v>
      </c>
      <c r="Q879" s="37" t="s">
        <v>25</v>
      </c>
      <c r="R879" s="11" t="s">
        <v>25</v>
      </c>
      <c r="S879" s="13">
        <f t="shared" si="13"/>
        <v>-1.0699999999999998</v>
      </c>
    </row>
    <row r="880" spans="1:19">
      <c r="A880" s="10" t="s">
        <v>1136</v>
      </c>
      <c r="B880" s="11" t="s">
        <v>932</v>
      </c>
      <c r="C880" s="11" t="s">
        <v>25</v>
      </c>
      <c r="D880" s="11" t="s">
        <v>25</v>
      </c>
      <c r="E880" s="12" t="s">
        <v>1167</v>
      </c>
      <c r="F880">
        <f>VLOOKUP(E880,Legends!$G$2:$I$87,2,FALSE)</f>
        <v>340</v>
      </c>
      <c r="G880">
        <f>VLOOKUP(E880,Legends!$G$2:$I$87,3,FALSE)</f>
        <v>342</v>
      </c>
      <c r="H880" s="12">
        <v>331.8</v>
      </c>
      <c r="I880" s="11" t="s">
        <v>1122</v>
      </c>
      <c r="J880" s="11" t="s">
        <v>1203</v>
      </c>
      <c r="K880" s="11" t="s">
        <v>25</v>
      </c>
      <c r="L880" s="12">
        <v>0.8</v>
      </c>
      <c r="M880" s="11" t="s">
        <v>23</v>
      </c>
      <c r="N880" s="11" t="s">
        <v>24</v>
      </c>
      <c r="O880" s="11" t="s">
        <v>25</v>
      </c>
      <c r="P880" s="16" t="s">
        <v>25</v>
      </c>
      <c r="Q880" s="37" t="s">
        <v>25</v>
      </c>
      <c r="R880" s="11" t="s">
        <v>25</v>
      </c>
      <c r="S880" s="13">
        <f t="shared" si="13"/>
        <v>-1.0799999999999998</v>
      </c>
    </row>
    <row r="881" spans="1:19">
      <c r="A881" s="10" t="s">
        <v>1136</v>
      </c>
      <c r="B881" s="11" t="s">
        <v>933</v>
      </c>
      <c r="C881" s="11" t="s">
        <v>25</v>
      </c>
      <c r="D881" s="11" t="s">
        <v>25</v>
      </c>
      <c r="E881" s="12" t="s">
        <v>1167</v>
      </c>
      <c r="F881">
        <f>VLOOKUP(E881,Legends!$G$2:$I$87,2,FALSE)</f>
        <v>340</v>
      </c>
      <c r="G881">
        <f>VLOOKUP(E881,Legends!$G$2:$I$87,3,FALSE)</f>
        <v>342</v>
      </c>
      <c r="H881" s="12">
        <v>332.8</v>
      </c>
      <c r="I881" s="11" t="s">
        <v>1122</v>
      </c>
      <c r="J881" s="11" t="s">
        <v>1203</v>
      </c>
      <c r="K881" s="11" t="s">
        <v>25</v>
      </c>
      <c r="L881" s="12">
        <v>0.7</v>
      </c>
      <c r="M881" s="11" t="s">
        <v>23</v>
      </c>
      <c r="N881" s="11" t="s">
        <v>24</v>
      </c>
      <c r="O881" s="11" t="s">
        <v>25</v>
      </c>
      <c r="P881" s="16" t="s">
        <v>25</v>
      </c>
      <c r="Q881" s="37" t="s">
        <v>25</v>
      </c>
      <c r="R881" s="11" t="s">
        <v>25</v>
      </c>
      <c r="S881" s="13">
        <f t="shared" si="13"/>
        <v>-1.18</v>
      </c>
    </row>
    <row r="882" spans="1:19">
      <c r="A882" s="10" t="s">
        <v>1136</v>
      </c>
      <c r="B882" s="11" t="s">
        <v>934</v>
      </c>
      <c r="C882" s="11" t="s">
        <v>25</v>
      </c>
      <c r="D882" s="11" t="s">
        <v>25</v>
      </c>
      <c r="E882" s="12" t="s">
        <v>1168</v>
      </c>
      <c r="F882">
        <f>VLOOKUP(E882,Legends!$G$2:$I$87,2,FALSE)</f>
        <v>342</v>
      </c>
      <c r="G882">
        <f>VLOOKUP(E882,Legends!$G$2:$I$87,3,FALSE)</f>
        <v>346</v>
      </c>
      <c r="H882" s="12">
        <v>333.4</v>
      </c>
      <c r="I882" s="11" t="s">
        <v>1122</v>
      </c>
      <c r="J882" s="11" t="s">
        <v>1203</v>
      </c>
      <c r="K882" s="11" t="s">
        <v>25</v>
      </c>
      <c r="L882" s="12">
        <v>0.69</v>
      </c>
      <c r="M882" s="11" t="s">
        <v>23</v>
      </c>
      <c r="N882" s="11" t="s">
        <v>24</v>
      </c>
      <c r="O882" s="11" t="s">
        <v>25</v>
      </c>
      <c r="P882" s="16" t="s">
        <v>25</v>
      </c>
      <c r="Q882" s="37" t="s">
        <v>25</v>
      </c>
      <c r="R882" s="11" t="s">
        <v>25</v>
      </c>
      <c r="S882" s="13">
        <f t="shared" si="13"/>
        <v>-1.19</v>
      </c>
    </row>
    <row r="883" spans="1:19">
      <c r="A883" s="10" t="s">
        <v>1136</v>
      </c>
      <c r="B883" s="11" t="s">
        <v>935</v>
      </c>
      <c r="C883" s="11" t="s">
        <v>25</v>
      </c>
      <c r="D883" s="11" t="s">
        <v>25</v>
      </c>
      <c r="E883" s="12" t="s">
        <v>1169</v>
      </c>
      <c r="F883">
        <f>VLOOKUP(E883,Legends!$G$2:$I$87,2,FALSE)</f>
        <v>338</v>
      </c>
      <c r="G883">
        <f>VLOOKUP(E883,Legends!$G$2:$I$87,3,FALSE)</f>
        <v>340</v>
      </c>
      <c r="H883" s="12">
        <v>334.1</v>
      </c>
      <c r="I883" s="11" t="s">
        <v>1122</v>
      </c>
      <c r="J883" s="11" t="s">
        <v>1203</v>
      </c>
      <c r="K883" s="11" t="s">
        <v>25</v>
      </c>
      <c r="L883" s="12">
        <v>0.72</v>
      </c>
      <c r="M883" s="11" t="s">
        <v>23</v>
      </c>
      <c r="N883" s="11" t="s">
        <v>24</v>
      </c>
      <c r="O883" s="11" t="s">
        <v>25</v>
      </c>
      <c r="P883" s="16" t="s">
        <v>25</v>
      </c>
      <c r="Q883" s="37" t="s">
        <v>25</v>
      </c>
      <c r="R883" s="11" t="s">
        <v>25</v>
      </c>
      <c r="S883" s="13">
        <f t="shared" si="13"/>
        <v>-1.1599999999999999</v>
      </c>
    </row>
    <row r="884" spans="1:19">
      <c r="A884" s="10" t="s">
        <v>1136</v>
      </c>
      <c r="B884" s="11" t="s">
        <v>936</v>
      </c>
      <c r="C884" s="11" t="s">
        <v>25</v>
      </c>
      <c r="D884" s="11" t="s">
        <v>25</v>
      </c>
      <c r="E884" s="12" t="s">
        <v>1169</v>
      </c>
      <c r="F884">
        <f>VLOOKUP(E884,Legends!$G$2:$I$87,2,FALSE)</f>
        <v>338</v>
      </c>
      <c r="G884">
        <f>VLOOKUP(E884,Legends!$G$2:$I$87,3,FALSE)</f>
        <v>340</v>
      </c>
      <c r="H884" s="12">
        <v>334.5</v>
      </c>
      <c r="I884" s="11" t="s">
        <v>1122</v>
      </c>
      <c r="J884" s="11" t="s">
        <v>1203</v>
      </c>
      <c r="K884" s="11" t="s">
        <v>25</v>
      </c>
      <c r="L884" s="12">
        <v>0.6</v>
      </c>
      <c r="M884" s="11" t="s">
        <v>23</v>
      </c>
      <c r="N884" s="11" t="s">
        <v>24</v>
      </c>
      <c r="O884" s="11" t="s">
        <v>25</v>
      </c>
      <c r="P884" s="16" t="s">
        <v>25</v>
      </c>
      <c r="Q884" s="37" t="s">
        <v>25</v>
      </c>
      <c r="R884" s="11" t="s">
        <v>25</v>
      </c>
      <c r="S884" s="13">
        <f t="shared" si="13"/>
        <v>-1.2799999999999998</v>
      </c>
    </row>
    <row r="885" spans="1:19">
      <c r="A885" s="10" t="s">
        <v>1136</v>
      </c>
      <c r="B885" s="11" t="s">
        <v>937</v>
      </c>
      <c r="C885" s="11" t="s">
        <v>25</v>
      </c>
      <c r="D885" s="11" t="s">
        <v>25</v>
      </c>
      <c r="E885" s="12" t="s">
        <v>1169</v>
      </c>
      <c r="F885">
        <f>VLOOKUP(E885,Legends!$G$2:$I$87,2,FALSE)</f>
        <v>338</v>
      </c>
      <c r="G885">
        <f>VLOOKUP(E885,Legends!$G$2:$I$87,3,FALSE)</f>
        <v>340</v>
      </c>
      <c r="H885" s="12">
        <v>334.7</v>
      </c>
      <c r="I885" s="11" t="s">
        <v>1122</v>
      </c>
      <c r="J885" s="11" t="s">
        <v>1203</v>
      </c>
      <c r="K885" s="11" t="s">
        <v>25</v>
      </c>
      <c r="L885" s="12">
        <v>0.48</v>
      </c>
      <c r="M885" s="11" t="s">
        <v>23</v>
      </c>
      <c r="N885" s="11" t="s">
        <v>24</v>
      </c>
      <c r="O885" s="11" t="s">
        <v>25</v>
      </c>
      <c r="P885" s="16" t="s">
        <v>25</v>
      </c>
      <c r="Q885" s="37" t="s">
        <v>25</v>
      </c>
      <c r="R885" s="11" t="s">
        <v>25</v>
      </c>
      <c r="S885" s="13">
        <f t="shared" si="13"/>
        <v>-1.4</v>
      </c>
    </row>
    <row r="886" spans="1:19">
      <c r="A886" s="10" t="s">
        <v>1136</v>
      </c>
      <c r="B886" s="11" t="s">
        <v>938</v>
      </c>
      <c r="C886" s="11" t="s">
        <v>25</v>
      </c>
      <c r="D886" s="11" t="s">
        <v>25</v>
      </c>
      <c r="E886" s="12" t="s">
        <v>1169</v>
      </c>
      <c r="F886">
        <f>VLOOKUP(E886,Legends!$G$2:$I$87,2,FALSE)</f>
        <v>338</v>
      </c>
      <c r="G886">
        <f>VLOOKUP(E886,Legends!$G$2:$I$87,3,FALSE)</f>
        <v>340</v>
      </c>
      <c r="H886" s="12">
        <v>336.2</v>
      </c>
      <c r="I886" s="11" t="s">
        <v>1122</v>
      </c>
      <c r="J886" s="11" t="s">
        <v>1203</v>
      </c>
      <c r="K886" s="11" t="s">
        <v>25</v>
      </c>
      <c r="L886" s="12">
        <v>0.87</v>
      </c>
      <c r="M886" s="11" t="s">
        <v>23</v>
      </c>
      <c r="N886" s="11" t="s">
        <v>24</v>
      </c>
      <c r="O886" s="11" t="s">
        <v>25</v>
      </c>
      <c r="P886" s="16" t="s">
        <v>25</v>
      </c>
      <c r="Q886" s="37" t="s">
        <v>25</v>
      </c>
      <c r="R886" s="11" t="s">
        <v>25</v>
      </c>
      <c r="S886" s="13">
        <f t="shared" si="13"/>
        <v>-1.0099999999999998</v>
      </c>
    </row>
    <row r="887" spans="1:19">
      <c r="A887" s="10" t="s">
        <v>1136</v>
      </c>
      <c r="B887" s="11" t="s">
        <v>939</v>
      </c>
      <c r="C887" s="11" t="s">
        <v>25</v>
      </c>
      <c r="D887" s="11" t="s">
        <v>25</v>
      </c>
      <c r="E887" s="12" t="s">
        <v>1169</v>
      </c>
      <c r="F887">
        <f>VLOOKUP(E887,Legends!$G$2:$I$87,2,FALSE)</f>
        <v>338</v>
      </c>
      <c r="G887">
        <f>VLOOKUP(E887,Legends!$G$2:$I$87,3,FALSE)</f>
        <v>340</v>
      </c>
      <c r="H887" s="12">
        <v>336.8</v>
      </c>
      <c r="I887" s="11" t="s">
        <v>1122</v>
      </c>
      <c r="J887" s="11" t="s">
        <v>1203</v>
      </c>
      <c r="K887" s="11" t="s">
        <v>25</v>
      </c>
      <c r="L887" s="12">
        <v>0.67</v>
      </c>
      <c r="M887" s="11" t="s">
        <v>23</v>
      </c>
      <c r="N887" s="11" t="s">
        <v>24</v>
      </c>
      <c r="O887" s="11" t="s">
        <v>25</v>
      </c>
      <c r="P887" s="16" t="s">
        <v>25</v>
      </c>
      <c r="Q887" s="37" t="s">
        <v>25</v>
      </c>
      <c r="R887" s="11" t="s">
        <v>25</v>
      </c>
      <c r="S887" s="13">
        <f t="shared" si="13"/>
        <v>-1.21</v>
      </c>
    </row>
    <row r="888" spans="1:19">
      <c r="A888" s="10" t="s">
        <v>1136</v>
      </c>
      <c r="B888" s="11" t="s">
        <v>940</v>
      </c>
      <c r="C888" s="11" t="s">
        <v>25</v>
      </c>
      <c r="D888" s="11" t="s">
        <v>25</v>
      </c>
      <c r="E888" s="12" t="s">
        <v>1170</v>
      </c>
      <c r="F888">
        <f>VLOOKUP(E888,Legends!$G$2:$I$87,2,FALSE)</f>
        <v>336</v>
      </c>
      <c r="G888">
        <f>VLOOKUP(E888,Legends!$G$2:$I$87,3,FALSE)</f>
        <v>338</v>
      </c>
      <c r="H888" s="12">
        <v>337.7</v>
      </c>
      <c r="I888" s="11" t="s">
        <v>1122</v>
      </c>
      <c r="J888" s="11" t="s">
        <v>1203</v>
      </c>
      <c r="K888" s="11" t="s">
        <v>25</v>
      </c>
      <c r="L888" s="12">
        <v>0.67</v>
      </c>
      <c r="M888" s="11" t="s">
        <v>23</v>
      </c>
      <c r="N888" s="11" t="s">
        <v>24</v>
      </c>
      <c r="O888" s="11" t="s">
        <v>25</v>
      </c>
      <c r="P888" s="16" t="s">
        <v>25</v>
      </c>
      <c r="Q888" s="37" t="s">
        <v>25</v>
      </c>
      <c r="R888" s="11" t="s">
        <v>25</v>
      </c>
      <c r="S888" s="13">
        <f t="shared" si="13"/>
        <v>-1.21</v>
      </c>
    </row>
    <row r="889" spans="1:19">
      <c r="A889" s="10" t="s">
        <v>1136</v>
      </c>
      <c r="B889" s="11" t="s">
        <v>941</v>
      </c>
      <c r="C889" s="11" t="s">
        <v>25</v>
      </c>
      <c r="D889" s="11" t="s">
        <v>25</v>
      </c>
      <c r="E889" s="12" t="s">
        <v>1170</v>
      </c>
      <c r="F889">
        <f>VLOOKUP(E889,Legends!$G$2:$I$87,2,FALSE)</f>
        <v>336</v>
      </c>
      <c r="G889">
        <f>VLOOKUP(E889,Legends!$G$2:$I$87,3,FALSE)</f>
        <v>338</v>
      </c>
      <c r="H889" s="12">
        <v>337.8</v>
      </c>
      <c r="I889" s="11" t="s">
        <v>1122</v>
      </c>
      <c r="J889" s="11" t="s">
        <v>1203</v>
      </c>
      <c r="K889" s="11" t="s">
        <v>25</v>
      </c>
      <c r="L889" s="12">
        <v>0.81</v>
      </c>
      <c r="M889" s="11" t="s">
        <v>23</v>
      </c>
      <c r="N889" s="11" t="s">
        <v>24</v>
      </c>
      <c r="O889" s="11" t="s">
        <v>25</v>
      </c>
      <c r="P889" s="16" t="s">
        <v>25</v>
      </c>
      <c r="Q889" s="37" t="s">
        <v>25</v>
      </c>
      <c r="R889" s="11" t="s">
        <v>25</v>
      </c>
      <c r="S889" s="13">
        <f t="shared" si="13"/>
        <v>-1.0699999999999998</v>
      </c>
    </row>
    <row r="890" spans="1:19">
      <c r="A890" s="10" t="s">
        <v>1136</v>
      </c>
      <c r="B890" s="11" t="s">
        <v>942</v>
      </c>
      <c r="C890" s="11" t="s">
        <v>25</v>
      </c>
      <c r="D890" s="11" t="s">
        <v>25</v>
      </c>
      <c r="E890" s="12" t="s">
        <v>1170</v>
      </c>
      <c r="F890">
        <f>VLOOKUP(E890,Legends!$G$2:$I$87,2,FALSE)</f>
        <v>336</v>
      </c>
      <c r="G890">
        <f>VLOOKUP(E890,Legends!$G$2:$I$87,3,FALSE)</f>
        <v>338</v>
      </c>
      <c r="H890" s="12">
        <v>338.3</v>
      </c>
      <c r="I890" s="11" t="s">
        <v>1122</v>
      </c>
      <c r="J890" s="11" t="s">
        <v>1203</v>
      </c>
      <c r="K890" s="11" t="s">
        <v>25</v>
      </c>
      <c r="L890" s="12">
        <v>0.7</v>
      </c>
      <c r="M890" s="11" t="s">
        <v>23</v>
      </c>
      <c r="N890" s="11" t="s">
        <v>24</v>
      </c>
      <c r="O890" s="11" t="s">
        <v>25</v>
      </c>
      <c r="P890" s="16" t="s">
        <v>25</v>
      </c>
      <c r="Q890" s="37" t="s">
        <v>25</v>
      </c>
      <c r="R890" s="11" t="s">
        <v>25</v>
      </c>
      <c r="S890" s="13">
        <f t="shared" si="13"/>
        <v>-1.18</v>
      </c>
    </row>
    <row r="891" spans="1:19">
      <c r="A891" s="10" t="s">
        <v>1136</v>
      </c>
      <c r="B891" s="11" t="s">
        <v>943</v>
      </c>
      <c r="C891" s="11" t="s">
        <v>25</v>
      </c>
      <c r="D891" s="11" t="s">
        <v>25</v>
      </c>
      <c r="E891" s="12" t="s">
        <v>1170</v>
      </c>
      <c r="F891">
        <f>VLOOKUP(E891,Legends!$G$2:$I$87,2,FALSE)</f>
        <v>336</v>
      </c>
      <c r="G891">
        <f>VLOOKUP(E891,Legends!$G$2:$I$87,3,FALSE)</f>
        <v>338</v>
      </c>
      <c r="H891" s="12">
        <v>338.5</v>
      </c>
      <c r="I891" s="11" t="s">
        <v>1122</v>
      </c>
      <c r="J891" s="11" t="s">
        <v>1203</v>
      </c>
      <c r="K891" s="11" t="s">
        <v>25</v>
      </c>
      <c r="L891" s="12">
        <v>0.75</v>
      </c>
      <c r="M891" s="11" t="s">
        <v>23</v>
      </c>
      <c r="N891" s="11" t="s">
        <v>24</v>
      </c>
      <c r="O891" s="11" t="s">
        <v>25</v>
      </c>
      <c r="P891" s="16" t="s">
        <v>25</v>
      </c>
      <c r="Q891" s="37" t="s">
        <v>25</v>
      </c>
      <c r="R891" s="11" t="s">
        <v>25</v>
      </c>
      <c r="S891" s="13">
        <f t="shared" si="13"/>
        <v>-1.1299999999999999</v>
      </c>
    </row>
    <row r="892" spans="1:19">
      <c r="A892" s="10" t="s">
        <v>1136</v>
      </c>
      <c r="B892" s="11" t="s">
        <v>944</v>
      </c>
      <c r="C892" s="11" t="s">
        <v>25</v>
      </c>
      <c r="D892" s="11" t="s">
        <v>25</v>
      </c>
      <c r="E892" s="12" t="s">
        <v>1170</v>
      </c>
      <c r="F892">
        <f>VLOOKUP(E892,Legends!$G$2:$I$87,2,FALSE)</f>
        <v>336</v>
      </c>
      <c r="G892">
        <f>VLOOKUP(E892,Legends!$G$2:$I$87,3,FALSE)</f>
        <v>338</v>
      </c>
      <c r="H892" s="12">
        <v>338.9</v>
      </c>
      <c r="I892" s="11" t="s">
        <v>1122</v>
      </c>
      <c r="J892" s="11" t="s">
        <v>1203</v>
      </c>
      <c r="K892" s="11" t="s">
        <v>25</v>
      </c>
      <c r="L892" s="12">
        <v>0.5</v>
      </c>
      <c r="M892" s="11" t="s">
        <v>23</v>
      </c>
      <c r="N892" s="11" t="s">
        <v>24</v>
      </c>
      <c r="O892" s="11" t="s">
        <v>25</v>
      </c>
      <c r="P892" s="16" t="s">
        <v>25</v>
      </c>
      <c r="Q892" s="37" t="s">
        <v>25</v>
      </c>
      <c r="R892" s="11" t="s">
        <v>25</v>
      </c>
      <c r="S892" s="13">
        <f t="shared" si="13"/>
        <v>-1.38</v>
      </c>
    </row>
    <row r="893" spans="1:19">
      <c r="A893" s="10" t="s">
        <v>1136</v>
      </c>
      <c r="B893" s="11" t="s">
        <v>945</v>
      </c>
      <c r="C893" s="11" t="s">
        <v>25</v>
      </c>
      <c r="D893" s="11" t="s">
        <v>25</v>
      </c>
      <c r="E893" s="12" t="s">
        <v>1171</v>
      </c>
      <c r="F893">
        <f>VLOOKUP(E893,Legends!$G$2:$I$87,2,FALSE)</f>
        <v>334</v>
      </c>
      <c r="G893">
        <f>VLOOKUP(E893,Legends!$G$2:$I$87,3,FALSE)</f>
        <v>336</v>
      </c>
      <c r="H893" s="12">
        <v>339.9</v>
      </c>
      <c r="I893" s="11" t="s">
        <v>1122</v>
      </c>
      <c r="J893" s="11" t="s">
        <v>1203</v>
      </c>
      <c r="K893" s="11" t="s">
        <v>25</v>
      </c>
      <c r="L893" s="12">
        <v>0.62</v>
      </c>
      <c r="M893" s="11" t="s">
        <v>23</v>
      </c>
      <c r="N893" s="11" t="s">
        <v>24</v>
      </c>
      <c r="O893" s="11" t="s">
        <v>25</v>
      </c>
      <c r="P893" s="16" t="s">
        <v>25</v>
      </c>
      <c r="Q893" s="37" t="s">
        <v>25</v>
      </c>
      <c r="R893" s="11" t="s">
        <v>25</v>
      </c>
      <c r="S893" s="13">
        <f t="shared" si="13"/>
        <v>-1.2599999999999998</v>
      </c>
    </row>
    <row r="894" spans="1:19">
      <c r="A894" s="10" t="s">
        <v>1136</v>
      </c>
      <c r="B894" s="11" t="s">
        <v>946</v>
      </c>
      <c r="C894" s="11" t="s">
        <v>25</v>
      </c>
      <c r="D894" s="11" t="s">
        <v>25</v>
      </c>
      <c r="E894" s="12" t="s">
        <v>1171</v>
      </c>
      <c r="F894">
        <f>VLOOKUP(E894,Legends!$G$2:$I$87,2,FALSE)</f>
        <v>334</v>
      </c>
      <c r="G894">
        <f>VLOOKUP(E894,Legends!$G$2:$I$87,3,FALSE)</f>
        <v>336</v>
      </c>
      <c r="H894" s="12">
        <v>342.4</v>
      </c>
      <c r="I894" s="11" t="s">
        <v>1122</v>
      </c>
      <c r="J894" s="11" t="s">
        <v>1203</v>
      </c>
      <c r="K894" s="11" t="s">
        <v>25</v>
      </c>
      <c r="L894" s="12">
        <v>0.57999999999999996</v>
      </c>
      <c r="M894" s="11" t="s">
        <v>23</v>
      </c>
      <c r="N894" s="11" t="s">
        <v>24</v>
      </c>
      <c r="O894" s="11" t="s">
        <v>25</v>
      </c>
      <c r="P894" s="16" t="s">
        <v>25</v>
      </c>
      <c r="Q894" s="37" t="s">
        <v>25</v>
      </c>
      <c r="R894" s="11" t="s">
        <v>25</v>
      </c>
      <c r="S894" s="13">
        <f t="shared" si="13"/>
        <v>-1.2999999999999998</v>
      </c>
    </row>
    <row r="895" spans="1:19">
      <c r="A895" s="10" t="s">
        <v>1136</v>
      </c>
      <c r="B895" s="11" t="s">
        <v>947</v>
      </c>
      <c r="C895" s="11" t="s">
        <v>25</v>
      </c>
      <c r="D895" s="11" t="s">
        <v>25</v>
      </c>
      <c r="E895" s="12" t="s">
        <v>1172</v>
      </c>
      <c r="F895">
        <f>VLOOKUP(E895,Legends!$G$2:$I$87,2,FALSE)</f>
        <v>427.4</v>
      </c>
      <c r="G895">
        <f>VLOOKUP(E895,Legends!$G$2:$I$87,3,FALSE)</f>
        <v>443.8</v>
      </c>
      <c r="H895" s="12">
        <v>342.5</v>
      </c>
      <c r="I895" s="11" t="s">
        <v>1122</v>
      </c>
      <c r="J895" s="11" t="s">
        <v>1203</v>
      </c>
      <c r="K895" s="11" t="s">
        <v>25</v>
      </c>
      <c r="L895" s="12">
        <v>-0.11</v>
      </c>
      <c r="M895" s="11" t="s">
        <v>23</v>
      </c>
      <c r="N895" s="11" t="s">
        <v>24</v>
      </c>
      <c r="O895" s="11" t="s">
        <v>25</v>
      </c>
      <c r="P895" s="16" t="s">
        <v>25</v>
      </c>
      <c r="Q895" s="37" t="s">
        <v>25</v>
      </c>
      <c r="R895" s="11" t="s">
        <v>25</v>
      </c>
      <c r="S895" s="13">
        <f t="shared" si="13"/>
        <v>-1.99</v>
      </c>
    </row>
    <row r="896" spans="1:19">
      <c r="A896" s="10" t="s">
        <v>1136</v>
      </c>
      <c r="B896" s="11" t="s">
        <v>948</v>
      </c>
      <c r="C896" s="11" t="s">
        <v>25</v>
      </c>
      <c r="D896" s="11" t="s">
        <v>25</v>
      </c>
      <c r="E896" s="12" t="s">
        <v>1172</v>
      </c>
      <c r="F896">
        <f>VLOOKUP(E896,Legends!$G$2:$I$87,2,FALSE)</f>
        <v>427.4</v>
      </c>
      <c r="G896">
        <f>VLOOKUP(E896,Legends!$G$2:$I$87,3,FALSE)</f>
        <v>443.8</v>
      </c>
      <c r="H896" s="12">
        <v>343.2</v>
      </c>
      <c r="I896" s="11" t="s">
        <v>1122</v>
      </c>
      <c r="J896" s="11" t="s">
        <v>1203</v>
      </c>
      <c r="K896" s="11" t="s">
        <v>25</v>
      </c>
      <c r="L896" s="12">
        <v>-0.03</v>
      </c>
      <c r="M896" s="11" t="s">
        <v>23</v>
      </c>
      <c r="N896" s="11" t="s">
        <v>24</v>
      </c>
      <c r="O896" s="11" t="s">
        <v>25</v>
      </c>
      <c r="P896" s="16" t="s">
        <v>25</v>
      </c>
      <c r="Q896" s="37" t="s">
        <v>25</v>
      </c>
      <c r="R896" s="11" t="s">
        <v>25</v>
      </c>
      <c r="S896" s="13">
        <f t="shared" si="13"/>
        <v>-1.91</v>
      </c>
    </row>
    <row r="897" spans="1:19">
      <c r="A897" s="10" t="s">
        <v>1136</v>
      </c>
      <c r="B897" s="11" t="s">
        <v>949</v>
      </c>
      <c r="C897" s="11" t="s">
        <v>25</v>
      </c>
      <c r="D897" s="11" t="s">
        <v>25</v>
      </c>
      <c r="E897" s="12" t="s">
        <v>1173</v>
      </c>
      <c r="F897">
        <f>VLOOKUP(E897,Legends!$G$2:$I$87,2,FALSE)</f>
        <v>332</v>
      </c>
      <c r="G897">
        <f>VLOOKUP(E897,Legends!$G$2:$I$87,3,FALSE)</f>
        <v>334</v>
      </c>
      <c r="H897" s="12">
        <v>345.2</v>
      </c>
      <c r="I897" s="11" t="s">
        <v>1122</v>
      </c>
      <c r="J897" s="11" t="s">
        <v>1203</v>
      </c>
      <c r="K897" s="11" t="s">
        <v>25</v>
      </c>
      <c r="L897" s="12">
        <v>0.2</v>
      </c>
      <c r="M897" s="11" t="s">
        <v>23</v>
      </c>
      <c r="N897" s="11" t="s">
        <v>24</v>
      </c>
      <c r="O897" s="11" t="s">
        <v>25</v>
      </c>
      <c r="P897" s="16" t="s">
        <v>25</v>
      </c>
      <c r="Q897" s="37" t="s">
        <v>25</v>
      </c>
      <c r="R897" s="11" t="s">
        <v>25</v>
      </c>
      <c r="S897" s="13">
        <f t="shared" si="13"/>
        <v>-1.68</v>
      </c>
    </row>
    <row r="898" spans="1:19">
      <c r="A898" s="10" t="s">
        <v>1136</v>
      </c>
      <c r="B898" s="11" t="s">
        <v>950</v>
      </c>
      <c r="C898" s="11" t="s">
        <v>25</v>
      </c>
      <c r="D898" s="11" t="s">
        <v>25</v>
      </c>
      <c r="E898" s="12" t="s">
        <v>1173</v>
      </c>
      <c r="F898">
        <f>VLOOKUP(E898,Legends!$G$2:$I$87,2,FALSE)</f>
        <v>332</v>
      </c>
      <c r="G898">
        <f>VLOOKUP(E898,Legends!$G$2:$I$87,3,FALSE)</f>
        <v>334</v>
      </c>
      <c r="H898" s="12">
        <v>345.4</v>
      </c>
      <c r="I898" s="11" t="s">
        <v>1122</v>
      </c>
      <c r="J898" s="11" t="s">
        <v>1203</v>
      </c>
      <c r="K898" s="11" t="s">
        <v>25</v>
      </c>
      <c r="L898" s="12">
        <v>0.54</v>
      </c>
      <c r="M898" s="11" t="s">
        <v>23</v>
      </c>
      <c r="N898" s="11" t="s">
        <v>24</v>
      </c>
      <c r="O898" s="11" t="s">
        <v>25</v>
      </c>
      <c r="P898" s="16" t="s">
        <v>25</v>
      </c>
      <c r="Q898" s="37" t="s">
        <v>25</v>
      </c>
      <c r="R898" s="11" t="s">
        <v>25</v>
      </c>
      <c r="S898" s="13">
        <f t="shared" si="13"/>
        <v>-1.3399999999999999</v>
      </c>
    </row>
    <row r="899" spans="1:19">
      <c r="A899" s="10" t="s">
        <v>1136</v>
      </c>
      <c r="B899" s="11" t="s">
        <v>951</v>
      </c>
      <c r="C899" s="11" t="s">
        <v>25</v>
      </c>
      <c r="D899" s="11" t="s">
        <v>25</v>
      </c>
      <c r="E899" s="12" t="s">
        <v>1173</v>
      </c>
      <c r="F899">
        <f>VLOOKUP(E899,Legends!$G$2:$I$87,2,FALSE)</f>
        <v>332</v>
      </c>
      <c r="G899">
        <f>VLOOKUP(E899,Legends!$G$2:$I$87,3,FALSE)</f>
        <v>334</v>
      </c>
      <c r="H899" s="12">
        <v>347</v>
      </c>
      <c r="I899" s="11" t="s">
        <v>1122</v>
      </c>
      <c r="J899" s="11" t="s">
        <v>1203</v>
      </c>
      <c r="K899" s="11" t="s">
        <v>25</v>
      </c>
      <c r="L899" s="12">
        <v>0.23</v>
      </c>
      <c r="M899" s="11" t="s">
        <v>23</v>
      </c>
      <c r="N899" s="11" t="s">
        <v>24</v>
      </c>
      <c r="O899" s="11" t="s">
        <v>25</v>
      </c>
      <c r="P899" s="16" t="s">
        <v>25</v>
      </c>
      <c r="Q899" s="37" t="s">
        <v>25</v>
      </c>
      <c r="R899" s="11" t="s">
        <v>25</v>
      </c>
      <c r="S899" s="13">
        <f t="shared" ref="S899:S962" si="14">IF(NOT(N899="SW"),L899-1.88,L899)</f>
        <v>-1.65</v>
      </c>
    </row>
    <row r="900" spans="1:19">
      <c r="A900" s="10" t="s">
        <v>1136</v>
      </c>
      <c r="B900" s="11" t="s">
        <v>952</v>
      </c>
      <c r="C900" s="11" t="s">
        <v>25</v>
      </c>
      <c r="D900" s="11" t="s">
        <v>25</v>
      </c>
      <c r="E900" s="12" t="s">
        <v>1173</v>
      </c>
      <c r="F900">
        <f>VLOOKUP(E900,Legends!$G$2:$I$87,2,FALSE)</f>
        <v>332</v>
      </c>
      <c r="G900">
        <f>VLOOKUP(E900,Legends!$G$2:$I$87,3,FALSE)</f>
        <v>334</v>
      </c>
      <c r="H900" s="12">
        <v>347.2</v>
      </c>
      <c r="I900" s="11" t="s">
        <v>1122</v>
      </c>
      <c r="J900" s="11" t="s">
        <v>1203</v>
      </c>
      <c r="K900" s="11" t="s">
        <v>25</v>
      </c>
      <c r="L900" s="12">
        <v>0.64</v>
      </c>
      <c r="M900" s="11" t="s">
        <v>23</v>
      </c>
      <c r="N900" s="11" t="s">
        <v>24</v>
      </c>
      <c r="O900" s="11" t="s">
        <v>25</v>
      </c>
      <c r="P900" s="16" t="s">
        <v>25</v>
      </c>
      <c r="Q900" s="37" t="s">
        <v>25</v>
      </c>
      <c r="R900" s="11" t="s">
        <v>25</v>
      </c>
      <c r="S900" s="13">
        <f t="shared" si="14"/>
        <v>-1.2399999999999998</v>
      </c>
    </row>
    <row r="901" spans="1:19">
      <c r="A901" s="10" t="s">
        <v>1136</v>
      </c>
      <c r="B901" s="11" t="s">
        <v>953</v>
      </c>
      <c r="C901" s="11" t="s">
        <v>25</v>
      </c>
      <c r="D901" s="11" t="s">
        <v>25</v>
      </c>
      <c r="E901" s="12" t="s">
        <v>1173</v>
      </c>
      <c r="F901">
        <f>VLOOKUP(E901,Legends!$G$2:$I$87,2,FALSE)</f>
        <v>332</v>
      </c>
      <c r="G901">
        <f>VLOOKUP(E901,Legends!$G$2:$I$87,3,FALSE)</f>
        <v>334</v>
      </c>
      <c r="H901" s="12">
        <v>347.6</v>
      </c>
      <c r="I901" s="11" t="s">
        <v>1122</v>
      </c>
      <c r="J901" s="11" t="s">
        <v>1203</v>
      </c>
      <c r="K901" s="11" t="s">
        <v>25</v>
      </c>
      <c r="L901" s="12">
        <v>0.13</v>
      </c>
      <c r="M901" s="11" t="s">
        <v>23</v>
      </c>
      <c r="N901" s="11" t="s">
        <v>24</v>
      </c>
      <c r="O901" s="11" t="s">
        <v>25</v>
      </c>
      <c r="P901" s="16" t="s">
        <v>25</v>
      </c>
      <c r="Q901" s="37" t="s">
        <v>25</v>
      </c>
      <c r="R901" s="11" t="s">
        <v>25</v>
      </c>
      <c r="S901" s="13">
        <f t="shared" si="14"/>
        <v>-1.75</v>
      </c>
    </row>
    <row r="902" spans="1:19">
      <c r="A902" s="10" t="s">
        <v>1136</v>
      </c>
      <c r="B902" s="11" t="s">
        <v>954</v>
      </c>
      <c r="C902" s="11" t="s">
        <v>25</v>
      </c>
      <c r="D902" s="11" t="s">
        <v>25</v>
      </c>
      <c r="E902" s="12" t="s">
        <v>1173</v>
      </c>
      <c r="F902">
        <f>VLOOKUP(E902,Legends!$G$2:$I$87,2,FALSE)</f>
        <v>332</v>
      </c>
      <c r="G902">
        <f>VLOOKUP(E902,Legends!$G$2:$I$87,3,FALSE)</f>
        <v>334</v>
      </c>
      <c r="H902" s="12">
        <v>348.9</v>
      </c>
      <c r="I902" s="11" t="s">
        <v>1122</v>
      </c>
      <c r="J902" s="11" t="s">
        <v>1203</v>
      </c>
      <c r="K902" s="11" t="s">
        <v>25</v>
      </c>
      <c r="L902" s="12">
        <v>0.37</v>
      </c>
      <c r="M902" s="11" t="s">
        <v>23</v>
      </c>
      <c r="N902" s="11" t="s">
        <v>24</v>
      </c>
      <c r="O902" s="11" t="s">
        <v>25</v>
      </c>
      <c r="P902" s="16" t="s">
        <v>25</v>
      </c>
      <c r="Q902" s="37" t="s">
        <v>25</v>
      </c>
      <c r="R902" s="11" t="s">
        <v>25</v>
      </c>
      <c r="S902" s="13">
        <f t="shared" si="14"/>
        <v>-1.5099999999999998</v>
      </c>
    </row>
    <row r="903" spans="1:19">
      <c r="A903" s="10" t="s">
        <v>1136</v>
      </c>
      <c r="B903" s="11" t="s">
        <v>955</v>
      </c>
      <c r="C903" s="11" t="s">
        <v>25</v>
      </c>
      <c r="D903" s="11" t="s">
        <v>25</v>
      </c>
      <c r="E903" s="12" t="s">
        <v>1174</v>
      </c>
      <c r="F903">
        <f>VLOOKUP(E903,Legends!$G$2:$I$87,2,FALSE)</f>
        <v>330</v>
      </c>
      <c r="G903">
        <f>VLOOKUP(E903,Legends!$G$2:$I$87,3,FALSE)</f>
        <v>332</v>
      </c>
      <c r="H903" s="12">
        <v>350.1</v>
      </c>
      <c r="I903" s="11" t="s">
        <v>1122</v>
      </c>
      <c r="J903" s="11" t="s">
        <v>1203</v>
      </c>
      <c r="K903" s="11" t="s">
        <v>25</v>
      </c>
      <c r="L903" s="12">
        <v>0.53</v>
      </c>
      <c r="M903" s="11" t="s">
        <v>23</v>
      </c>
      <c r="N903" s="11" t="s">
        <v>24</v>
      </c>
      <c r="O903" s="11" t="s">
        <v>25</v>
      </c>
      <c r="P903" s="16" t="s">
        <v>25</v>
      </c>
      <c r="Q903" s="37" t="s">
        <v>25</v>
      </c>
      <c r="R903" s="11" t="s">
        <v>25</v>
      </c>
      <c r="S903" s="13">
        <f t="shared" si="14"/>
        <v>-1.3499999999999999</v>
      </c>
    </row>
    <row r="904" spans="1:19">
      <c r="A904" s="10" t="s">
        <v>1136</v>
      </c>
      <c r="B904" s="11" t="s">
        <v>956</v>
      </c>
      <c r="C904" s="11" t="s">
        <v>25</v>
      </c>
      <c r="D904" s="11" t="s">
        <v>25</v>
      </c>
      <c r="E904" s="12" t="s">
        <v>1174</v>
      </c>
      <c r="F904">
        <f>VLOOKUP(E904,Legends!$G$2:$I$87,2,FALSE)</f>
        <v>330</v>
      </c>
      <c r="G904">
        <f>VLOOKUP(E904,Legends!$G$2:$I$87,3,FALSE)</f>
        <v>332</v>
      </c>
      <c r="H904" s="12">
        <v>350.2</v>
      </c>
      <c r="I904" s="11" t="s">
        <v>1122</v>
      </c>
      <c r="J904" s="11" t="s">
        <v>1203</v>
      </c>
      <c r="K904" s="11" t="s">
        <v>25</v>
      </c>
      <c r="L904" s="12">
        <v>0.63</v>
      </c>
      <c r="M904" s="11" t="s">
        <v>23</v>
      </c>
      <c r="N904" s="11" t="s">
        <v>24</v>
      </c>
      <c r="O904" s="11" t="s">
        <v>25</v>
      </c>
      <c r="P904" s="16" t="s">
        <v>25</v>
      </c>
      <c r="Q904" s="37" t="s">
        <v>25</v>
      </c>
      <c r="R904" s="11" t="s">
        <v>25</v>
      </c>
      <c r="S904" s="13">
        <f t="shared" si="14"/>
        <v>-1.25</v>
      </c>
    </row>
    <row r="905" spans="1:19">
      <c r="A905" s="10" t="s">
        <v>1136</v>
      </c>
      <c r="B905" s="11" t="s">
        <v>957</v>
      </c>
      <c r="C905" s="11" t="s">
        <v>25</v>
      </c>
      <c r="D905" s="11" t="s">
        <v>25</v>
      </c>
      <c r="E905" s="12" t="s">
        <v>1174</v>
      </c>
      <c r="F905">
        <f>VLOOKUP(E905,Legends!$G$2:$I$87,2,FALSE)</f>
        <v>330</v>
      </c>
      <c r="G905">
        <f>VLOOKUP(E905,Legends!$G$2:$I$87,3,FALSE)</f>
        <v>332</v>
      </c>
      <c r="H905" s="12">
        <v>350.3</v>
      </c>
      <c r="I905" s="11" t="s">
        <v>1122</v>
      </c>
      <c r="J905" s="11" t="s">
        <v>1203</v>
      </c>
      <c r="K905" s="11" t="s">
        <v>25</v>
      </c>
      <c r="L905" s="12">
        <v>0.57999999999999996</v>
      </c>
      <c r="M905" s="11" t="s">
        <v>23</v>
      </c>
      <c r="N905" s="11" t="s">
        <v>24</v>
      </c>
      <c r="O905" s="11" t="s">
        <v>25</v>
      </c>
      <c r="P905" s="16" t="s">
        <v>25</v>
      </c>
      <c r="Q905" s="37" t="s">
        <v>25</v>
      </c>
      <c r="R905" s="11" t="s">
        <v>25</v>
      </c>
      <c r="S905" s="13">
        <f t="shared" si="14"/>
        <v>-1.2999999999999998</v>
      </c>
    </row>
    <row r="906" spans="1:19">
      <c r="A906" s="10" t="s">
        <v>1136</v>
      </c>
      <c r="B906" s="11" t="s">
        <v>958</v>
      </c>
      <c r="C906" s="11" t="s">
        <v>25</v>
      </c>
      <c r="D906" s="11" t="s">
        <v>25</v>
      </c>
      <c r="E906" s="12" t="s">
        <v>1174</v>
      </c>
      <c r="F906">
        <f>VLOOKUP(E906,Legends!$G$2:$I$87,2,FALSE)</f>
        <v>330</v>
      </c>
      <c r="G906">
        <f>VLOOKUP(E906,Legends!$G$2:$I$87,3,FALSE)</f>
        <v>332</v>
      </c>
      <c r="H906" s="12">
        <v>350.6</v>
      </c>
      <c r="I906" s="11" t="s">
        <v>1122</v>
      </c>
      <c r="J906" s="11" t="s">
        <v>1203</v>
      </c>
      <c r="K906" s="11" t="s">
        <v>25</v>
      </c>
      <c r="L906" s="12">
        <v>0.47</v>
      </c>
      <c r="M906" s="11" t="s">
        <v>23</v>
      </c>
      <c r="N906" s="11" t="s">
        <v>24</v>
      </c>
      <c r="O906" s="11" t="s">
        <v>25</v>
      </c>
      <c r="P906" s="16" t="s">
        <v>25</v>
      </c>
      <c r="Q906" s="37" t="s">
        <v>25</v>
      </c>
      <c r="R906" s="11" t="s">
        <v>25</v>
      </c>
      <c r="S906" s="13">
        <f t="shared" si="14"/>
        <v>-1.41</v>
      </c>
    </row>
    <row r="907" spans="1:19">
      <c r="A907" s="10" t="s">
        <v>1136</v>
      </c>
      <c r="B907" s="11" t="s">
        <v>959</v>
      </c>
      <c r="C907" s="11" t="s">
        <v>25</v>
      </c>
      <c r="D907" s="11" t="s">
        <v>25</v>
      </c>
      <c r="E907" s="12" t="s">
        <v>1174</v>
      </c>
      <c r="F907">
        <f>VLOOKUP(E907,Legends!$G$2:$I$87,2,FALSE)</f>
        <v>330</v>
      </c>
      <c r="G907">
        <f>VLOOKUP(E907,Legends!$G$2:$I$87,3,FALSE)</f>
        <v>332</v>
      </c>
      <c r="H907" s="12">
        <v>351.9</v>
      </c>
      <c r="I907" s="11" t="s">
        <v>1122</v>
      </c>
      <c r="J907" s="11" t="s">
        <v>1203</v>
      </c>
      <c r="K907" s="11" t="s">
        <v>25</v>
      </c>
      <c r="L907" s="12">
        <v>0.56000000000000005</v>
      </c>
      <c r="M907" s="11" t="s">
        <v>23</v>
      </c>
      <c r="N907" s="11" t="s">
        <v>24</v>
      </c>
      <c r="O907" s="11" t="s">
        <v>25</v>
      </c>
      <c r="P907" s="16" t="s">
        <v>25</v>
      </c>
      <c r="Q907" s="37" t="s">
        <v>25</v>
      </c>
      <c r="R907" s="11" t="s">
        <v>25</v>
      </c>
      <c r="S907" s="13">
        <f t="shared" si="14"/>
        <v>-1.3199999999999998</v>
      </c>
    </row>
    <row r="908" spans="1:19">
      <c r="A908" s="10" t="s">
        <v>1136</v>
      </c>
      <c r="B908" s="11" t="s">
        <v>960</v>
      </c>
      <c r="C908" s="11" t="s">
        <v>25</v>
      </c>
      <c r="D908" s="11" t="s">
        <v>25</v>
      </c>
      <c r="E908" s="12" t="s">
        <v>1174</v>
      </c>
      <c r="F908">
        <f>VLOOKUP(E908,Legends!$G$2:$I$87,2,FALSE)</f>
        <v>330</v>
      </c>
      <c r="G908">
        <f>VLOOKUP(E908,Legends!$G$2:$I$87,3,FALSE)</f>
        <v>332</v>
      </c>
      <c r="H908" s="12">
        <v>352.1</v>
      </c>
      <c r="I908" s="11" t="s">
        <v>1122</v>
      </c>
      <c r="J908" s="11" t="s">
        <v>1203</v>
      </c>
      <c r="K908" s="11" t="s">
        <v>25</v>
      </c>
      <c r="L908" s="12">
        <v>0.35</v>
      </c>
      <c r="M908" s="11" t="s">
        <v>23</v>
      </c>
      <c r="N908" s="11" t="s">
        <v>24</v>
      </c>
      <c r="O908" s="11" t="s">
        <v>25</v>
      </c>
      <c r="P908" s="16" t="s">
        <v>25</v>
      </c>
      <c r="Q908" s="37" t="s">
        <v>25</v>
      </c>
      <c r="R908" s="11" t="s">
        <v>25</v>
      </c>
      <c r="S908" s="13">
        <f t="shared" si="14"/>
        <v>-1.5299999999999998</v>
      </c>
    </row>
    <row r="909" spans="1:19">
      <c r="A909" s="10" t="s">
        <v>1136</v>
      </c>
      <c r="B909" s="11" t="s">
        <v>961</v>
      </c>
      <c r="C909" s="11" t="s">
        <v>25</v>
      </c>
      <c r="D909" s="11" t="s">
        <v>25</v>
      </c>
      <c r="E909" s="12" t="s">
        <v>1174</v>
      </c>
      <c r="F909">
        <f>VLOOKUP(E909,Legends!$G$2:$I$87,2,FALSE)</f>
        <v>330</v>
      </c>
      <c r="G909">
        <f>VLOOKUP(E909,Legends!$G$2:$I$87,3,FALSE)</f>
        <v>332</v>
      </c>
      <c r="H909" s="12">
        <v>352.3</v>
      </c>
      <c r="I909" s="11" t="s">
        <v>1122</v>
      </c>
      <c r="J909" s="11" t="s">
        <v>1203</v>
      </c>
      <c r="K909" s="11" t="s">
        <v>25</v>
      </c>
      <c r="L909" s="12">
        <v>0.44</v>
      </c>
      <c r="M909" s="11" t="s">
        <v>23</v>
      </c>
      <c r="N909" s="11" t="s">
        <v>24</v>
      </c>
      <c r="O909" s="11" t="s">
        <v>25</v>
      </c>
      <c r="P909" s="16" t="s">
        <v>25</v>
      </c>
      <c r="Q909" s="37" t="s">
        <v>25</v>
      </c>
      <c r="R909" s="11" t="s">
        <v>25</v>
      </c>
      <c r="S909" s="13">
        <f t="shared" si="14"/>
        <v>-1.44</v>
      </c>
    </row>
    <row r="910" spans="1:19">
      <c r="A910" s="10" t="s">
        <v>1136</v>
      </c>
      <c r="B910" s="11" t="s">
        <v>962</v>
      </c>
      <c r="C910" s="11" t="s">
        <v>25</v>
      </c>
      <c r="D910" s="11" t="s">
        <v>25</v>
      </c>
      <c r="E910" s="12" t="s">
        <v>1174</v>
      </c>
      <c r="F910">
        <f>VLOOKUP(E910,Legends!$G$2:$I$87,2,FALSE)</f>
        <v>330</v>
      </c>
      <c r="G910">
        <f>VLOOKUP(E910,Legends!$G$2:$I$87,3,FALSE)</f>
        <v>332</v>
      </c>
      <c r="H910" s="12">
        <v>353.3</v>
      </c>
      <c r="I910" s="11" t="s">
        <v>1122</v>
      </c>
      <c r="J910" s="11" t="s">
        <v>1203</v>
      </c>
      <c r="K910" s="11" t="s">
        <v>25</v>
      </c>
      <c r="L910" s="12">
        <v>0.52</v>
      </c>
      <c r="M910" s="11" t="s">
        <v>23</v>
      </c>
      <c r="N910" s="11" t="s">
        <v>24</v>
      </c>
      <c r="O910" s="11" t="s">
        <v>25</v>
      </c>
      <c r="P910" s="16" t="s">
        <v>25</v>
      </c>
      <c r="Q910" s="37" t="s">
        <v>25</v>
      </c>
      <c r="R910" s="11" t="s">
        <v>25</v>
      </c>
      <c r="S910" s="13">
        <f t="shared" si="14"/>
        <v>-1.3599999999999999</v>
      </c>
    </row>
    <row r="911" spans="1:19">
      <c r="A911" s="10" t="s">
        <v>1136</v>
      </c>
      <c r="B911" s="11" t="s">
        <v>963</v>
      </c>
      <c r="C911" s="11" t="s">
        <v>25</v>
      </c>
      <c r="D911" s="11" t="s">
        <v>25</v>
      </c>
      <c r="E911" s="12" t="s">
        <v>1174</v>
      </c>
      <c r="F911">
        <f>VLOOKUP(E911,Legends!$G$2:$I$87,2,FALSE)</f>
        <v>330</v>
      </c>
      <c r="G911">
        <f>VLOOKUP(E911,Legends!$G$2:$I$87,3,FALSE)</f>
        <v>332</v>
      </c>
      <c r="H911" s="12">
        <v>356.7</v>
      </c>
      <c r="I911" s="11" t="s">
        <v>1122</v>
      </c>
      <c r="J911" s="11" t="s">
        <v>1203</v>
      </c>
      <c r="K911" s="11" t="s">
        <v>25</v>
      </c>
      <c r="L911" s="12">
        <v>0.4</v>
      </c>
      <c r="M911" s="11" t="s">
        <v>23</v>
      </c>
      <c r="N911" s="11" t="s">
        <v>24</v>
      </c>
      <c r="O911" s="11" t="s">
        <v>25</v>
      </c>
      <c r="P911" s="16" t="s">
        <v>25</v>
      </c>
      <c r="Q911" s="37" t="s">
        <v>25</v>
      </c>
      <c r="R911" s="11" t="s">
        <v>25</v>
      </c>
      <c r="S911" s="13">
        <f t="shared" si="14"/>
        <v>-1.48</v>
      </c>
    </row>
    <row r="912" spans="1:19">
      <c r="A912" s="10" t="s">
        <v>1136</v>
      </c>
      <c r="B912" s="11" t="s">
        <v>964</v>
      </c>
      <c r="C912" s="11" t="s">
        <v>25</v>
      </c>
      <c r="D912" s="11" t="s">
        <v>25</v>
      </c>
      <c r="E912" s="12" t="s">
        <v>1174</v>
      </c>
      <c r="F912">
        <f>VLOOKUP(E912,Legends!$G$2:$I$87,2,FALSE)</f>
        <v>330</v>
      </c>
      <c r="G912">
        <f>VLOOKUP(E912,Legends!$G$2:$I$87,3,FALSE)</f>
        <v>332</v>
      </c>
      <c r="H912" s="12">
        <v>357.3</v>
      </c>
      <c r="I912" s="11" t="s">
        <v>1122</v>
      </c>
      <c r="J912" s="11" t="s">
        <v>1203</v>
      </c>
      <c r="K912" s="11" t="s">
        <v>25</v>
      </c>
      <c r="L912" s="12">
        <v>0.39</v>
      </c>
      <c r="M912" s="11" t="s">
        <v>23</v>
      </c>
      <c r="N912" s="11" t="s">
        <v>24</v>
      </c>
      <c r="O912" s="11" t="s">
        <v>25</v>
      </c>
      <c r="P912" s="16" t="s">
        <v>25</v>
      </c>
      <c r="Q912" s="37" t="s">
        <v>25</v>
      </c>
      <c r="R912" s="11" t="s">
        <v>25</v>
      </c>
      <c r="S912" s="13">
        <f t="shared" si="14"/>
        <v>-1.4899999999999998</v>
      </c>
    </row>
    <row r="913" spans="1:19">
      <c r="A913" s="10" t="s">
        <v>1136</v>
      </c>
      <c r="B913" s="11" t="s">
        <v>965</v>
      </c>
      <c r="C913" s="11" t="s">
        <v>25</v>
      </c>
      <c r="D913" s="11" t="s">
        <v>25</v>
      </c>
      <c r="E913" s="12" t="s">
        <v>1174</v>
      </c>
      <c r="F913">
        <f>VLOOKUP(E913,Legends!$G$2:$I$87,2,FALSE)</f>
        <v>330</v>
      </c>
      <c r="G913">
        <f>VLOOKUP(E913,Legends!$G$2:$I$87,3,FALSE)</f>
        <v>332</v>
      </c>
      <c r="H913" s="12">
        <v>358</v>
      </c>
      <c r="I913" s="11" t="s">
        <v>1122</v>
      </c>
      <c r="J913" s="11" t="s">
        <v>1203</v>
      </c>
      <c r="K913" s="11" t="s">
        <v>25</v>
      </c>
      <c r="L913" s="12">
        <v>0.49</v>
      </c>
      <c r="M913" s="11" t="s">
        <v>23</v>
      </c>
      <c r="N913" s="11" t="s">
        <v>24</v>
      </c>
      <c r="O913" s="11" t="s">
        <v>25</v>
      </c>
      <c r="P913" s="16" t="s">
        <v>25</v>
      </c>
      <c r="Q913" s="37" t="s">
        <v>25</v>
      </c>
      <c r="R913" s="11" t="s">
        <v>25</v>
      </c>
      <c r="S913" s="13">
        <f t="shared" si="14"/>
        <v>-1.39</v>
      </c>
    </row>
    <row r="914" spans="1:19">
      <c r="A914" s="10" t="s">
        <v>1136</v>
      </c>
      <c r="B914" s="11" t="s">
        <v>966</v>
      </c>
      <c r="C914" s="11" t="s">
        <v>25</v>
      </c>
      <c r="D914" s="11" t="s">
        <v>25</v>
      </c>
      <c r="E914" s="12" t="s">
        <v>1174</v>
      </c>
      <c r="F914">
        <f>VLOOKUP(E914,Legends!$G$2:$I$87,2,FALSE)</f>
        <v>330</v>
      </c>
      <c r="G914">
        <f>VLOOKUP(E914,Legends!$G$2:$I$87,3,FALSE)</f>
        <v>332</v>
      </c>
      <c r="H914" s="12">
        <v>358.7</v>
      </c>
      <c r="I914" s="11" t="s">
        <v>1122</v>
      </c>
      <c r="J914" s="11" t="s">
        <v>1203</v>
      </c>
      <c r="K914" s="11" t="s">
        <v>25</v>
      </c>
      <c r="L914" s="12">
        <v>0.44</v>
      </c>
      <c r="M914" s="11" t="s">
        <v>23</v>
      </c>
      <c r="N914" s="11" t="s">
        <v>24</v>
      </c>
      <c r="O914" s="11" t="s">
        <v>25</v>
      </c>
      <c r="P914" s="16" t="s">
        <v>25</v>
      </c>
      <c r="Q914" s="37" t="s">
        <v>25</v>
      </c>
      <c r="R914" s="11" t="s">
        <v>25</v>
      </c>
      <c r="S914" s="13">
        <f t="shared" si="14"/>
        <v>-1.44</v>
      </c>
    </row>
    <row r="915" spans="1:19">
      <c r="A915" s="10" t="s">
        <v>1136</v>
      </c>
      <c r="B915" s="11" t="s">
        <v>967</v>
      </c>
      <c r="C915" s="11" t="s">
        <v>25</v>
      </c>
      <c r="D915" s="11" t="s">
        <v>25</v>
      </c>
      <c r="E915" s="12" t="s">
        <v>1175</v>
      </c>
      <c r="F915">
        <f>VLOOKUP(E915,Legends!$G$2:$I$87,2,FALSE)</f>
        <v>358.9</v>
      </c>
      <c r="G915">
        <f>VLOOKUP(E915,Legends!$G$2:$I$87,3,FALSE)</f>
        <v>372.2</v>
      </c>
      <c r="H915" s="12">
        <v>372.2</v>
      </c>
      <c r="I915" s="11" t="s">
        <v>1122</v>
      </c>
      <c r="J915" s="11" t="s">
        <v>1203</v>
      </c>
      <c r="K915" s="11" t="s">
        <v>25</v>
      </c>
      <c r="L915" s="12">
        <v>0.39</v>
      </c>
      <c r="M915" s="11" t="s">
        <v>23</v>
      </c>
      <c r="N915" s="11" t="s">
        <v>24</v>
      </c>
      <c r="O915" s="11" t="s">
        <v>25</v>
      </c>
      <c r="P915" s="16" t="s">
        <v>25</v>
      </c>
      <c r="Q915" s="37" t="s">
        <v>25</v>
      </c>
      <c r="R915" s="11" t="s">
        <v>25</v>
      </c>
      <c r="S915" s="13">
        <f t="shared" si="14"/>
        <v>-1.4899999999999998</v>
      </c>
    </row>
    <row r="916" spans="1:19">
      <c r="A916" s="10" t="s">
        <v>1136</v>
      </c>
      <c r="B916" s="11" t="s">
        <v>968</v>
      </c>
      <c r="C916" s="11" t="s">
        <v>25</v>
      </c>
      <c r="D916" s="11" t="s">
        <v>25</v>
      </c>
      <c r="E916" s="12" t="s">
        <v>1175</v>
      </c>
      <c r="F916">
        <f>VLOOKUP(E916,Legends!$G$2:$I$87,2,FALSE)</f>
        <v>358.9</v>
      </c>
      <c r="G916">
        <f>VLOOKUP(E916,Legends!$G$2:$I$87,3,FALSE)</f>
        <v>372.2</v>
      </c>
      <c r="H916" s="12">
        <v>372.9</v>
      </c>
      <c r="I916" s="11" t="s">
        <v>1122</v>
      </c>
      <c r="J916" s="11" t="s">
        <v>1203</v>
      </c>
      <c r="K916" s="11" t="s">
        <v>25</v>
      </c>
      <c r="L916" s="12">
        <v>0.31</v>
      </c>
      <c r="M916" s="11" t="s">
        <v>23</v>
      </c>
      <c r="N916" s="11" t="s">
        <v>24</v>
      </c>
      <c r="O916" s="11" t="s">
        <v>25</v>
      </c>
      <c r="P916" s="16" t="s">
        <v>25</v>
      </c>
      <c r="Q916" s="37" t="s">
        <v>25</v>
      </c>
      <c r="R916" s="11" t="s">
        <v>25</v>
      </c>
      <c r="S916" s="13">
        <f t="shared" si="14"/>
        <v>-1.5699999999999998</v>
      </c>
    </row>
    <row r="917" spans="1:19">
      <c r="A917" s="10" t="s">
        <v>1136</v>
      </c>
      <c r="B917" s="11" t="s">
        <v>969</v>
      </c>
      <c r="C917" s="11" t="s">
        <v>25</v>
      </c>
      <c r="D917" s="11" t="s">
        <v>25</v>
      </c>
      <c r="E917" s="12" t="s">
        <v>1175</v>
      </c>
      <c r="F917">
        <f>VLOOKUP(E917,Legends!$G$2:$I$87,2,FALSE)</f>
        <v>358.9</v>
      </c>
      <c r="G917">
        <f>VLOOKUP(E917,Legends!$G$2:$I$87,3,FALSE)</f>
        <v>372.2</v>
      </c>
      <c r="H917" s="12">
        <v>373.6</v>
      </c>
      <c r="I917" s="11" t="s">
        <v>1122</v>
      </c>
      <c r="J917" s="11" t="s">
        <v>1203</v>
      </c>
      <c r="K917" s="11" t="s">
        <v>25</v>
      </c>
      <c r="L917" s="12">
        <v>0.4</v>
      </c>
      <c r="M917" s="11" t="s">
        <v>23</v>
      </c>
      <c r="N917" s="11" t="s">
        <v>24</v>
      </c>
      <c r="O917" s="11" t="s">
        <v>25</v>
      </c>
      <c r="P917" s="16" t="s">
        <v>25</v>
      </c>
      <c r="Q917" s="37" t="s">
        <v>25</v>
      </c>
      <c r="R917" s="11" t="s">
        <v>25</v>
      </c>
      <c r="S917" s="13">
        <f t="shared" si="14"/>
        <v>-1.48</v>
      </c>
    </row>
    <row r="918" spans="1:19">
      <c r="A918" s="10" t="s">
        <v>1136</v>
      </c>
      <c r="B918" s="11" t="s">
        <v>970</v>
      </c>
      <c r="C918" s="11" t="s">
        <v>25</v>
      </c>
      <c r="D918" s="11" t="s">
        <v>25</v>
      </c>
      <c r="E918" s="12" t="s">
        <v>1175</v>
      </c>
      <c r="F918">
        <f>VLOOKUP(E918,Legends!$G$2:$I$87,2,FALSE)</f>
        <v>358.9</v>
      </c>
      <c r="G918">
        <f>VLOOKUP(E918,Legends!$G$2:$I$87,3,FALSE)</f>
        <v>372.2</v>
      </c>
      <c r="H918" s="12">
        <v>373.9</v>
      </c>
      <c r="I918" s="11" t="s">
        <v>1122</v>
      </c>
      <c r="J918" s="11" t="s">
        <v>1203</v>
      </c>
      <c r="K918" s="11" t="s">
        <v>25</v>
      </c>
      <c r="L918" s="12">
        <v>0.4</v>
      </c>
      <c r="M918" s="11" t="s">
        <v>23</v>
      </c>
      <c r="N918" s="11" t="s">
        <v>24</v>
      </c>
      <c r="O918" s="11" t="s">
        <v>25</v>
      </c>
      <c r="P918" s="16" t="s">
        <v>25</v>
      </c>
      <c r="Q918" s="37" t="s">
        <v>25</v>
      </c>
      <c r="R918" s="11" t="s">
        <v>25</v>
      </c>
      <c r="S918" s="13">
        <f t="shared" si="14"/>
        <v>-1.48</v>
      </c>
    </row>
    <row r="919" spans="1:19">
      <c r="A919" s="10" t="s">
        <v>1136</v>
      </c>
      <c r="B919" s="11" t="s">
        <v>971</v>
      </c>
      <c r="C919" s="11" t="s">
        <v>25</v>
      </c>
      <c r="D919" s="11" t="s">
        <v>25</v>
      </c>
      <c r="E919" s="12" t="s">
        <v>1175</v>
      </c>
      <c r="F919">
        <f>VLOOKUP(E919,Legends!$G$2:$I$87,2,FALSE)</f>
        <v>358.9</v>
      </c>
      <c r="G919">
        <f>VLOOKUP(E919,Legends!$G$2:$I$87,3,FALSE)</f>
        <v>372.2</v>
      </c>
      <c r="H919" s="12">
        <v>374.3</v>
      </c>
      <c r="I919" s="11" t="s">
        <v>1122</v>
      </c>
      <c r="J919" s="11" t="s">
        <v>1203</v>
      </c>
      <c r="K919" s="11" t="s">
        <v>25</v>
      </c>
      <c r="L919" s="12">
        <v>0.38</v>
      </c>
      <c r="M919" s="11" t="s">
        <v>23</v>
      </c>
      <c r="N919" s="11" t="s">
        <v>24</v>
      </c>
      <c r="O919" s="11" t="s">
        <v>25</v>
      </c>
      <c r="P919" s="16" t="s">
        <v>25</v>
      </c>
      <c r="Q919" s="37" t="s">
        <v>25</v>
      </c>
      <c r="R919" s="11" t="s">
        <v>25</v>
      </c>
      <c r="S919" s="13">
        <f t="shared" si="14"/>
        <v>-1.5</v>
      </c>
    </row>
    <row r="920" spans="1:19">
      <c r="A920" s="10" t="s">
        <v>1136</v>
      </c>
      <c r="B920" s="11" t="s">
        <v>972</v>
      </c>
      <c r="C920" s="11" t="s">
        <v>25</v>
      </c>
      <c r="D920" s="11" t="s">
        <v>25</v>
      </c>
      <c r="E920" s="12" t="s">
        <v>1176</v>
      </c>
      <c r="F920">
        <f>VLOOKUP(E920,Legends!$G$2:$I$87,2,FALSE)</f>
        <v>372.2</v>
      </c>
      <c r="G920">
        <f>VLOOKUP(E920,Legends!$G$2:$I$87,3,FALSE)</f>
        <v>382.7</v>
      </c>
      <c r="H920" s="12">
        <v>375</v>
      </c>
      <c r="I920" s="11" t="s">
        <v>1122</v>
      </c>
      <c r="J920" s="11" t="s">
        <v>1203</v>
      </c>
      <c r="K920" s="11" t="s">
        <v>25</v>
      </c>
      <c r="L920" s="12">
        <v>0.4</v>
      </c>
      <c r="M920" s="11" t="s">
        <v>23</v>
      </c>
      <c r="N920" s="11" t="s">
        <v>24</v>
      </c>
      <c r="O920" s="11" t="s">
        <v>25</v>
      </c>
      <c r="P920" s="16" t="s">
        <v>25</v>
      </c>
      <c r="Q920" s="37" t="s">
        <v>25</v>
      </c>
      <c r="R920" s="11" t="s">
        <v>25</v>
      </c>
      <c r="S920" s="13">
        <f t="shared" si="14"/>
        <v>-1.48</v>
      </c>
    </row>
    <row r="921" spans="1:19">
      <c r="A921" s="10" t="s">
        <v>1136</v>
      </c>
      <c r="B921" s="11" t="s">
        <v>973</v>
      </c>
      <c r="C921" s="11" t="s">
        <v>25</v>
      </c>
      <c r="D921" s="11" t="s">
        <v>25</v>
      </c>
      <c r="E921" s="12" t="s">
        <v>1176</v>
      </c>
      <c r="F921">
        <f>VLOOKUP(E921,Legends!$G$2:$I$87,2,FALSE)</f>
        <v>372.2</v>
      </c>
      <c r="G921">
        <f>VLOOKUP(E921,Legends!$G$2:$I$87,3,FALSE)</f>
        <v>382.7</v>
      </c>
      <c r="H921" s="12">
        <v>375.6</v>
      </c>
      <c r="I921" s="11" t="s">
        <v>1122</v>
      </c>
      <c r="J921" s="11" t="s">
        <v>1203</v>
      </c>
      <c r="K921" s="11" t="s">
        <v>25</v>
      </c>
      <c r="L921" s="12">
        <v>0.34</v>
      </c>
      <c r="M921" s="11" t="s">
        <v>23</v>
      </c>
      <c r="N921" s="11" t="s">
        <v>24</v>
      </c>
      <c r="O921" s="11" t="s">
        <v>25</v>
      </c>
      <c r="P921" s="16" t="s">
        <v>25</v>
      </c>
      <c r="Q921" s="37" t="s">
        <v>25</v>
      </c>
      <c r="R921" s="11" t="s">
        <v>25</v>
      </c>
      <c r="S921" s="13">
        <f t="shared" si="14"/>
        <v>-1.5399999999999998</v>
      </c>
    </row>
    <row r="922" spans="1:19">
      <c r="A922" s="10" t="s">
        <v>1136</v>
      </c>
      <c r="B922" s="11" t="s">
        <v>974</v>
      </c>
      <c r="C922" s="11" t="s">
        <v>25</v>
      </c>
      <c r="D922" s="11" t="s">
        <v>25</v>
      </c>
      <c r="E922" s="12" t="s">
        <v>1176</v>
      </c>
      <c r="F922">
        <f>VLOOKUP(E922,Legends!$G$2:$I$87,2,FALSE)</f>
        <v>372.2</v>
      </c>
      <c r="G922">
        <f>VLOOKUP(E922,Legends!$G$2:$I$87,3,FALSE)</f>
        <v>382.7</v>
      </c>
      <c r="H922" s="12">
        <v>375.8</v>
      </c>
      <c r="I922" s="11" t="s">
        <v>1122</v>
      </c>
      <c r="J922" s="11" t="s">
        <v>1203</v>
      </c>
      <c r="K922" s="11" t="s">
        <v>25</v>
      </c>
      <c r="L922" s="12">
        <v>0.22</v>
      </c>
      <c r="M922" s="11" t="s">
        <v>23</v>
      </c>
      <c r="N922" s="11" t="s">
        <v>24</v>
      </c>
      <c r="O922" s="11" t="s">
        <v>25</v>
      </c>
      <c r="P922" s="16" t="s">
        <v>25</v>
      </c>
      <c r="Q922" s="37" t="s">
        <v>25</v>
      </c>
      <c r="R922" s="11" t="s">
        <v>25</v>
      </c>
      <c r="S922" s="13">
        <f t="shared" si="14"/>
        <v>-1.66</v>
      </c>
    </row>
    <row r="923" spans="1:19">
      <c r="A923" s="10" t="s">
        <v>1136</v>
      </c>
      <c r="B923" s="11" t="s">
        <v>975</v>
      </c>
      <c r="C923" s="11" t="s">
        <v>25</v>
      </c>
      <c r="D923" s="11" t="s">
        <v>25</v>
      </c>
      <c r="E923" s="12" t="s">
        <v>1175</v>
      </c>
      <c r="F923">
        <f>VLOOKUP(E923,Legends!$G$2:$I$87,2,FALSE)</f>
        <v>358.9</v>
      </c>
      <c r="G923">
        <f>VLOOKUP(E923,Legends!$G$2:$I$87,3,FALSE)</f>
        <v>372.2</v>
      </c>
      <c r="H923" s="12">
        <v>370</v>
      </c>
      <c r="I923" s="11" t="s">
        <v>1122</v>
      </c>
      <c r="J923" s="11" t="s">
        <v>1203</v>
      </c>
      <c r="K923" s="11" t="s">
        <v>25</v>
      </c>
      <c r="L923" s="12">
        <v>0.35</v>
      </c>
      <c r="M923" s="11" t="s">
        <v>23</v>
      </c>
      <c r="N923" s="11" t="s">
        <v>24</v>
      </c>
      <c r="O923" s="11" t="s">
        <v>25</v>
      </c>
      <c r="P923" s="16" t="s">
        <v>25</v>
      </c>
      <c r="Q923" s="37" t="s">
        <v>25</v>
      </c>
      <c r="R923" s="11" t="s">
        <v>25</v>
      </c>
      <c r="S923" s="13">
        <f t="shared" si="14"/>
        <v>-1.5299999999999998</v>
      </c>
    </row>
    <row r="924" spans="1:19">
      <c r="A924" s="10" t="s">
        <v>1136</v>
      </c>
      <c r="B924" s="11" t="s">
        <v>976</v>
      </c>
      <c r="C924" s="11" t="s">
        <v>25</v>
      </c>
      <c r="D924" s="11" t="s">
        <v>25</v>
      </c>
      <c r="E924" s="12" t="s">
        <v>1175</v>
      </c>
      <c r="F924">
        <f>VLOOKUP(E924,Legends!$G$2:$I$87,2,FALSE)</f>
        <v>358.9</v>
      </c>
      <c r="G924">
        <f>VLOOKUP(E924,Legends!$G$2:$I$87,3,FALSE)</f>
        <v>372.2</v>
      </c>
      <c r="H924" s="12">
        <v>371.8</v>
      </c>
      <c r="I924" s="11" t="s">
        <v>1122</v>
      </c>
      <c r="J924" s="11" t="s">
        <v>1203</v>
      </c>
      <c r="K924" s="11" t="s">
        <v>25</v>
      </c>
      <c r="L924" s="12">
        <v>0.38</v>
      </c>
      <c r="M924" s="11" t="s">
        <v>23</v>
      </c>
      <c r="N924" s="11" t="s">
        <v>24</v>
      </c>
      <c r="O924" s="11" t="s">
        <v>25</v>
      </c>
      <c r="P924" s="16" t="s">
        <v>25</v>
      </c>
      <c r="Q924" s="37" t="s">
        <v>25</v>
      </c>
      <c r="R924" s="11" t="s">
        <v>25</v>
      </c>
      <c r="S924" s="13">
        <f t="shared" si="14"/>
        <v>-1.5</v>
      </c>
    </row>
    <row r="925" spans="1:19">
      <c r="A925" s="10" t="s">
        <v>1136</v>
      </c>
      <c r="B925" s="11" t="s">
        <v>977</v>
      </c>
      <c r="C925" s="11" t="s">
        <v>25</v>
      </c>
      <c r="D925" s="11" t="s">
        <v>25</v>
      </c>
      <c r="E925" s="12" t="s">
        <v>1175</v>
      </c>
      <c r="F925">
        <f>VLOOKUP(E925,Legends!$G$2:$I$87,2,FALSE)</f>
        <v>358.9</v>
      </c>
      <c r="G925">
        <f>VLOOKUP(E925,Legends!$G$2:$I$87,3,FALSE)</f>
        <v>372.2</v>
      </c>
      <c r="H925" s="12">
        <v>373.9</v>
      </c>
      <c r="I925" s="11" t="s">
        <v>1122</v>
      </c>
      <c r="J925" s="11" t="s">
        <v>1203</v>
      </c>
      <c r="K925" s="11" t="s">
        <v>25</v>
      </c>
      <c r="L925" s="12">
        <v>0.38</v>
      </c>
      <c r="M925" s="11" t="s">
        <v>23</v>
      </c>
      <c r="N925" s="11" t="s">
        <v>24</v>
      </c>
      <c r="O925" s="11" t="s">
        <v>25</v>
      </c>
      <c r="P925" s="16" t="s">
        <v>25</v>
      </c>
      <c r="Q925" s="37" t="s">
        <v>25</v>
      </c>
      <c r="R925" s="11" t="s">
        <v>25</v>
      </c>
      <c r="S925" s="13">
        <f t="shared" si="14"/>
        <v>-1.5</v>
      </c>
    </row>
    <row r="926" spans="1:19">
      <c r="A926" s="10" t="s">
        <v>1136</v>
      </c>
      <c r="B926" s="11" t="s">
        <v>978</v>
      </c>
      <c r="C926" s="11" t="s">
        <v>25</v>
      </c>
      <c r="D926" s="11" t="s">
        <v>25</v>
      </c>
      <c r="E926" s="12" t="s">
        <v>1175</v>
      </c>
      <c r="F926">
        <f>VLOOKUP(E926,Legends!$G$2:$I$87,2,FALSE)</f>
        <v>358.9</v>
      </c>
      <c r="G926">
        <f>VLOOKUP(E926,Legends!$G$2:$I$87,3,FALSE)</f>
        <v>372.2</v>
      </c>
      <c r="H926" s="12">
        <v>374.3</v>
      </c>
      <c r="I926" s="11" t="s">
        <v>1122</v>
      </c>
      <c r="J926" s="11" t="s">
        <v>1203</v>
      </c>
      <c r="K926" s="11" t="s">
        <v>25</v>
      </c>
      <c r="L926" s="12">
        <v>0.33999999999999997</v>
      </c>
      <c r="M926" s="11" t="s">
        <v>23</v>
      </c>
      <c r="N926" s="11" t="s">
        <v>24</v>
      </c>
      <c r="O926" s="11" t="s">
        <v>25</v>
      </c>
      <c r="P926" s="16" t="s">
        <v>25</v>
      </c>
      <c r="Q926" s="37" t="s">
        <v>25</v>
      </c>
      <c r="R926" s="11" t="s">
        <v>25</v>
      </c>
      <c r="S926" s="13">
        <f t="shared" si="14"/>
        <v>-1.54</v>
      </c>
    </row>
    <row r="927" spans="1:19">
      <c r="A927" s="10" t="s">
        <v>1136</v>
      </c>
      <c r="B927" s="11" t="s">
        <v>979</v>
      </c>
      <c r="C927" s="11" t="s">
        <v>25</v>
      </c>
      <c r="D927" s="11" t="s">
        <v>25</v>
      </c>
      <c r="E927" s="12" t="s">
        <v>1175</v>
      </c>
      <c r="F927">
        <f>VLOOKUP(E927,Legends!$G$2:$I$87,2,FALSE)</f>
        <v>358.9</v>
      </c>
      <c r="G927">
        <f>VLOOKUP(E927,Legends!$G$2:$I$87,3,FALSE)</f>
        <v>372.2</v>
      </c>
      <c r="H927" s="12">
        <v>374.3</v>
      </c>
      <c r="I927" s="11" t="s">
        <v>1122</v>
      </c>
      <c r="J927" s="11" t="s">
        <v>1203</v>
      </c>
      <c r="K927" s="11" t="s">
        <v>25</v>
      </c>
      <c r="L927" s="12">
        <v>0.42000000000000004</v>
      </c>
      <c r="M927" s="11" t="s">
        <v>23</v>
      </c>
      <c r="N927" s="11" t="s">
        <v>24</v>
      </c>
      <c r="O927" s="11" t="s">
        <v>25</v>
      </c>
      <c r="P927" s="16" t="s">
        <v>25</v>
      </c>
      <c r="Q927" s="37" t="s">
        <v>25</v>
      </c>
      <c r="R927" s="11" t="s">
        <v>25</v>
      </c>
      <c r="S927" s="13">
        <f t="shared" si="14"/>
        <v>-1.46</v>
      </c>
    </row>
    <row r="928" spans="1:19">
      <c r="A928" s="10" t="s">
        <v>1136</v>
      </c>
      <c r="B928" s="11" t="s">
        <v>980</v>
      </c>
      <c r="C928" s="11" t="s">
        <v>25</v>
      </c>
      <c r="D928" s="11" t="s">
        <v>25</v>
      </c>
      <c r="E928" s="12" t="s">
        <v>1175</v>
      </c>
      <c r="F928">
        <f>VLOOKUP(E928,Legends!$G$2:$I$87,2,FALSE)</f>
        <v>358.9</v>
      </c>
      <c r="G928">
        <f>VLOOKUP(E928,Legends!$G$2:$I$87,3,FALSE)</f>
        <v>372.2</v>
      </c>
      <c r="H928" s="12">
        <v>374.3</v>
      </c>
      <c r="I928" s="11" t="s">
        <v>1122</v>
      </c>
      <c r="J928" s="11" t="s">
        <v>1203</v>
      </c>
      <c r="K928" s="11" t="s">
        <v>25</v>
      </c>
      <c r="L928" s="12">
        <v>0.47</v>
      </c>
      <c r="M928" s="11" t="s">
        <v>23</v>
      </c>
      <c r="N928" s="11" t="s">
        <v>24</v>
      </c>
      <c r="O928" s="11" t="s">
        <v>25</v>
      </c>
      <c r="P928" s="16" t="s">
        <v>25</v>
      </c>
      <c r="Q928" s="37" t="s">
        <v>25</v>
      </c>
      <c r="R928" s="11" t="s">
        <v>25</v>
      </c>
      <c r="S928" s="13">
        <f t="shared" si="14"/>
        <v>-1.41</v>
      </c>
    </row>
    <row r="929" spans="1:19">
      <c r="A929" s="10" t="s">
        <v>1136</v>
      </c>
      <c r="B929" s="11" t="s">
        <v>981</v>
      </c>
      <c r="C929" s="11" t="s">
        <v>25</v>
      </c>
      <c r="D929" s="11" t="s">
        <v>25</v>
      </c>
      <c r="E929" s="12" t="s">
        <v>1175</v>
      </c>
      <c r="F929">
        <f>VLOOKUP(E929,Legends!$G$2:$I$87,2,FALSE)</f>
        <v>358.9</v>
      </c>
      <c r="G929">
        <f>VLOOKUP(E929,Legends!$G$2:$I$87,3,FALSE)</f>
        <v>372.2</v>
      </c>
      <c r="H929" s="12">
        <v>374.6</v>
      </c>
      <c r="I929" s="11" t="s">
        <v>1122</v>
      </c>
      <c r="J929" s="11" t="s">
        <v>1203</v>
      </c>
      <c r="K929" s="11" t="s">
        <v>25</v>
      </c>
      <c r="L929" s="12">
        <v>0.39</v>
      </c>
      <c r="M929" s="11" t="s">
        <v>23</v>
      </c>
      <c r="N929" s="11" t="s">
        <v>24</v>
      </c>
      <c r="O929" s="11" t="s">
        <v>25</v>
      </c>
      <c r="P929" s="16" t="s">
        <v>25</v>
      </c>
      <c r="Q929" s="37" t="s">
        <v>25</v>
      </c>
      <c r="R929" s="11" t="s">
        <v>25</v>
      </c>
      <c r="S929" s="13">
        <f t="shared" si="14"/>
        <v>-1.4899999999999998</v>
      </c>
    </row>
    <row r="930" spans="1:19">
      <c r="A930" s="10" t="s">
        <v>1136</v>
      </c>
      <c r="B930" s="11" t="s">
        <v>982</v>
      </c>
      <c r="C930" s="11" t="s">
        <v>25</v>
      </c>
      <c r="D930" s="11" t="s">
        <v>25</v>
      </c>
      <c r="E930" s="12" t="s">
        <v>1175</v>
      </c>
      <c r="F930">
        <f>VLOOKUP(E930,Legends!$G$2:$I$87,2,FALSE)</f>
        <v>358.9</v>
      </c>
      <c r="G930">
        <f>VLOOKUP(E930,Legends!$G$2:$I$87,3,FALSE)</f>
        <v>372.2</v>
      </c>
      <c r="H930" s="12">
        <v>374.6</v>
      </c>
      <c r="I930" s="11" t="s">
        <v>1122</v>
      </c>
      <c r="J930" s="11" t="s">
        <v>1203</v>
      </c>
      <c r="K930" s="11" t="s">
        <v>25</v>
      </c>
      <c r="L930" s="12">
        <v>0.32999999999999996</v>
      </c>
      <c r="M930" s="11" t="s">
        <v>23</v>
      </c>
      <c r="N930" s="11" t="s">
        <v>24</v>
      </c>
      <c r="O930" s="11" t="s">
        <v>25</v>
      </c>
      <c r="P930" s="16" t="s">
        <v>25</v>
      </c>
      <c r="Q930" s="37" t="s">
        <v>25</v>
      </c>
      <c r="R930" s="11" t="s">
        <v>25</v>
      </c>
      <c r="S930" s="13">
        <f t="shared" si="14"/>
        <v>-1.5499999999999998</v>
      </c>
    </row>
    <row r="931" spans="1:19">
      <c r="A931" s="10" t="s">
        <v>1136</v>
      </c>
      <c r="B931" s="11" t="s">
        <v>983</v>
      </c>
      <c r="C931" s="11" t="s">
        <v>25</v>
      </c>
      <c r="D931" s="11" t="s">
        <v>25</v>
      </c>
      <c r="E931" s="12" t="s">
        <v>1175</v>
      </c>
      <c r="F931">
        <f>VLOOKUP(E931,Legends!$G$2:$I$87,2,FALSE)</f>
        <v>358.9</v>
      </c>
      <c r="G931">
        <f>VLOOKUP(E931,Legends!$G$2:$I$87,3,FALSE)</f>
        <v>372.2</v>
      </c>
      <c r="H931" s="12">
        <v>374.6</v>
      </c>
      <c r="I931" s="11" t="s">
        <v>1122</v>
      </c>
      <c r="J931" s="11" t="s">
        <v>1203</v>
      </c>
      <c r="K931" s="11" t="s">
        <v>25</v>
      </c>
      <c r="L931" s="12">
        <v>0.41000000000000003</v>
      </c>
      <c r="M931" s="11" t="s">
        <v>23</v>
      </c>
      <c r="N931" s="11" t="s">
        <v>24</v>
      </c>
      <c r="O931" s="11" t="s">
        <v>25</v>
      </c>
      <c r="P931" s="16" t="s">
        <v>25</v>
      </c>
      <c r="Q931" s="37" t="s">
        <v>25</v>
      </c>
      <c r="R931" s="11" t="s">
        <v>25</v>
      </c>
      <c r="S931" s="13">
        <f t="shared" si="14"/>
        <v>-1.4699999999999998</v>
      </c>
    </row>
    <row r="932" spans="1:19">
      <c r="A932" s="10" t="s">
        <v>1136</v>
      </c>
      <c r="B932" s="11" t="s">
        <v>984</v>
      </c>
      <c r="C932" s="11" t="s">
        <v>25</v>
      </c>
      <c r="D932" s="11" t="s">
        <v>25</v>
      </c>
      <c r="E932" s="12" t="s">
        <v>1176</v>
      </c>
      <c r="F932">
        <f>VLOOKUP(E932,Legends!$G$2:$I$87,2,FALSE)</f>
        <v>372.2</v>
      </c>
      <c r="G932">
        <f>VLOOKUP(E932,Legends!$G$2:$I$87,3,FALSE)</f>
        <v>382.7</v>
      </c>
      <c r="H932" s="12">
        <v>375.3</v>
      </c>
      <c r="I932" s="11" t="s">
        <v>1122</v>
      </c>
      <c r="J932" s="11" t="s">
        <v>1203</v>
      </c>
      <c r="K932" s="11" t="s">
        <v>25</v>
      </c>
      <c r="L932" s="12">
        <v>0.37</v>
      </c>
      <c r="M932" s="11" t="s">
        <v>23</v>
      </c>
      <c r="N932" s="11" t="s">
        <v>24</v>
      </c>
      <c r="O932" s="11" t="s">
        <v>25</v>
      </c>
      <c r="P932" s="16" t="s">
        <v>25</v>
      </c>
      <c r="Q932" s="37" t="s">
        <v>25</v>
      </c>
      <c r="R932" s="11" t="s">
        <v>25</v>
      </c>
      <c r="S932" s="13">
        <f t="shared" si="14"/>
        <v>-1.5099999999999998</v>
      </c>
    </row>
    <row r="933" spans="1:19">
      <c r="A933" s="10" t="s">
        <v>1136</v>
      </c>
      <c r="B933" s="11" t="s">
        <v>985</v>
      </c>
      <c r="C933" s="11" t="s">
        <v>25</v>
      </c>
      <c r="D933" s="11" t="s">
        <v>25</v>
      </c>
      <c r="E933" s="12" t="s">
        <v>1176</v>
      </c>
      <c r="F933">
        <f>VLOOKUP(E933,Legends!$G$2:$I$87,2,FALSE)</f>
        <v>372.2</v>
      </c>
      <c r="G933">
        <f>VLOOKUP(E933,Legends!$G$2:$I$87,3,FALSE)</f>
        <v>382.7</v>
      </c>
      <c r="H933" s="12">
        <v>375.5</v>
      </c>
      <c r="I933" s="11" t="s">
        <v>1122</v>
      </c>
      <c r="J933" s="11" t="s">
        <v>1203</v>
      </c>
      <c r="K933" s="11" t="s">
        <v>25</v>
      </c>
      <c r="L933" s="12">
        <v>0.32999999999999996</v>
      </c>
      <c r="M933" s="11" t="s">
        <v>23</v>
      </c>
      <c r="N933" s="11" t="s">
        <v>24</v>
      </c>
      <c r="O933" s="11" t="s">
        <v>25</v>
      </c>
      <c r="P933" s="16" t="s">
        <v>25</v>
      </c>
      <c r="Q933" s="37" t="s">
        <v>25</v>
      </c>
      <c r="R933" s="11" t="s">
        <v>25</v>
      </c>
      <c r="S933" s="13">
        <f t="shared" si="14"/>
        <v>-1.5499999999999998</v>
      </c>
    </row>
    <row r="934" spans="1:19">
      <c r="A934" s="10" t="s">
        <v>1136</v>
      </c>
      <c r="B934" s="11" t="s">
        <v>986</v>
      </c>
      <c r="C934" s="11" t="s">
        <v>25</v>
      </c>
      <c r="D934" s="11" t="s">
        <v>25</v>
      </c>
      <c r="E934" s="12" t="s">
        <v>1176</v>
      </c>
      <c r="F934">
        <f>VLOOKUP(E934,Legends!$G$2:$I$87,2,FALSE)</f>
        <v>372.2</v>
      </c>
      <c r="G934">
        <f>VLOOKUP(E934,Legends!$G$2:$I$87,3,FALSE)</f>
        <v>382.7</v>
      </c>
      <c r="H934" s="12">
        <v>376.9</v>
      </c>
      <c r="I934" s="11" t="s">
        <v>1122</v>
      </c>
      <c r="J934" s="11" t="s">
        <v>1203</v>
      </c>
      <c r="K934" s="11" t="s">
        <v>25</v>
      </c>
      <c r="L934" s="12">
        <v>0.41000000000000003</v>
      </c>
      <c r="M934" s="11" t="s">
        <v>23</v>
      </c>
      <c r="N934" s="11" t="s">
        <v>24</v>
      </c>
      <c r="O934" s="11" t="s">
        <v>25</v>
      </c>
      <c r="P934" s="16" t="s">
        <v>25</v>
      </c>
      <c r="Q934" s="37" t="s">
        <v>25</v>
      </c>
      <c r="R934" s="11" t="s">
        <v>25</v>
      </c>
      <c r="S934" s="13">
        <f t="shared" si="14"/>
        <v>-1.4699999999999998</v>
      </c>
    </row>
    <row r="935" spans="1:19">
      <c r="A935" s="10" t="s">
        <v>1136</v>
      </c>
      <c r="B935" s="11" t="s">
        <v>987</v>
      </c>
      <c r="C935" s="11" t="s">
        <v>25</v>
      </c>
      <c r="D935" s="11" t="s">
        <v>25</v>
      </c>
      <c r="E935" s="12" t="s">
        <v>1176</v>
      </c>
      <c r="F935">
        <f>VLOOKUP(E935,Legends!$G$2:$I$87,2,FALSE)</f>
        <v>372.2</v>
      </c>
      <c r="G935">
        <f>VLOOKUP(E935,Legends!$G$2:$I$87,3,FALSE)</f>
        <v>382.7</v>
      </c>
      <c r="H935" s="12">
        <v>377.6</v>
      </c>
      <c r="I935" s="11" t="s">
        <v>1122</v>
      </c>
      <c r="J935" s="11" t="s">
        <v>1203</v>
      </c>
      <c r="K935" s="11" t="s">
        <v>25</v>
      </c>
      <c r="L935" s="12">
        <v>0.31</v>
      </c>
      <c r="M935" s="11" t="s">
        <v>23</v>
      </c>
      <c r="N935" s="11" t="s">
        <v>24</v>
      </c>
      <c r="O935" s="11" t="s">
        <v>25</v>
      </c>
      <c r="P935" s="16" t="s">
        <v>25</v>
      </c>
      <c r="Q935" s="37" t="s">
        <v>25</v>
      </c>
      <c r="R935" s="11" t="s">
        <v>25</v>
      </c>
      <c r="S935" s="13">
        <f t="shared" si="14"/>
        <v>-1.5699999999999998</v>
      </c>
    </row>
    <row r="936" spans="1:19">
      <c r="A936" s="10" t="s">
        <v>1136</v>
      </c>
      <c r="B936" s="11" t="s">
        <v>988</v>
      </c>
      <c r="C936" s="11" t="s">
        <v>25</v>
      </c>
      <c r="D936" s="11" t="s">
        <v>25</v>
      </c>
      <c r="E936" s="12" t="s">
        <v>1176</v>
      </c>
      <c r="F936">
        <f>VLOOKUP(E936,Legends!$G$2:$I$87,2,FALSE)</f>
        <v>372.2</v>
      </c>
      <c r="G936">
        <f>VLOOKUP(E936,Legends!$G$2:$I$87,3,FALSE)</f>
        <v>382.7</v>
      </c>
      <c r="H936" s="12">
        <v>378.1</v>
      </c>
      <c r="I936" s="11" t="s">
        <v>1122</v>
      </c>
      <c r="J936" s="11" t="s">
        <v>1203</v>
      </c>
      <c r="K936" s="11" t="s">
        <v>25</v>
      </c>
      <c r="L936" s="12">
        <v>0.44999999999999996</v>
      </c>
      <c r="M936" s="11" t="s">
        <v>23</v>
      </c>
      <c r="N936" s="11" t="s">
        <v>24</v>
      </c>
      <c r="O936" s="11" t="s">
        <v>25</v>
      </c>
      <c r="P936" s="16" t="s">
        <v>25</v>
      </c>
      <c r="Q936" s="37" t="s">
        <v>25</v>
      </c>
      <c r="R936" s="11" t="s">
        <v>25</v>
      </c>
      <c r="S936" s="13">
        <f t="shared" si="14"/>
        <v>-1.43</v>
      </c>
    </row>
    <row r="937" spans="1:19">
      <c r="A937" s="10" t="s">
        <v>1136</v>
      </c>
      <c r="B937" s="11" t="s">
        <v>989</v>
      </c>
      <c r="C937" s="11" t="s">
        <v>25</v>
      </c>
      <c r="D937" s="11" t="s">
        <v>25</v>
      </c>
      <c r="E937" s="12" t="s">
        <v>1176</v>
      </c>
      <c r="F937">
        <f>VLOOKUP(E937,Legends!$G$2:$I$87,2,FALSE)</f>
        <v>372.2</v>
      </c>
      <c r="G937">
        <f>VLOOKUP(E937,Legends!$G$2:$I$87,3,FALSE)</f>
        <v>382.7</v>
      </c>
      <c r="H937" s="12">
        <v>378.2</v>
      </c>
      <c r="I937" s="11" t="s">
        <v>1122</v>
      </c>
      <c r="J937" s="11" t="s">
        <v>1203</v>
      </c>
      <c r="K937" s="11" t="s">
        <v>25</v>
      </c>
      <c r="L937" s="12">
        <v>0.49</v>
      </c>
      <c r="M937" s="11" t="s">
        <v>23</v>
      </c>
      <c r="N937" s="11" t="s">
        <v>24</v>
      </c>
      <c r="O937" s="11" t="s">
        <v>25</v>
      </c>
      <c r="P937" s="16" t="s">
        <v>25</v>
      </c>
      <c r="Q937" s="37" t="s">
        <v>25</v>
      </c>
      <c r="R937" s="11" t="s">
        <v>25</v>
      </c>
      <c r="S937" s="13">
        <f t="shared" si="14"/>
        <v>-1.39</v>
      </c>
    </row>
    <row r="938" spans="1:19">
      <c r="A938" s="10" t="s">
        <v>1136</v>
      </c>
      <c r="B938" s="11" t="s">
        <v>990</v>
      </c>
      <c r="C938" s="11" t="s">
        <v>25</v>
      </c>
      <c r="D938" s="11" t="s">
        <v>25</v>
      </c>
      <c r="E938" s="12" t="s">
        <v>1176</v>
      </c>
      <c r="F938">
        <f>VLOOKUP(E938,Legends!$G$2:$I$87,2,FALSE)</f>
        <v>372.2</v>
      </c>
      <c r="G938">
        <f>VLOOKUP(E938,Legends!$G$2:$I$87,3,FALSE)</f>
        <v>382.7</v>
      </c>
      <c r="H938" s="12">
        <v>378.2</v>
      </c>
      <c r="I938" s="11" t="s">
        <v>1122</v>
      </c>
      <c r="J938" s="11" t="s">
        <v>1203</v>
      </c>
      <c r="K938" s="11" t="s">
        <v>25</v>
      </c>
      <c r="L938" s="12">
        <v>0.4</v>
      </c>
      <c r="M938" s="11" t="s">
        <v>23</v>
      </c>
      <c r="N938" s="11" t="s">
        <v>24</v>
      </c>
      <c r="O938" s="11" t="s">
        <v>25</v>
      </c>
      <c r="P938" s="16" t="s">
        <v>25</v>
      </c>
      <c r="Q938" s="37" t="s">
        <v>25</v>
      </c>
      <c r="R938" s="11" t="s">
        <v>25</v>
      </c>
      <c r="S938" s="13">
        <f t="shared" si="14"/>
        <v>-1.48</v>
      </c>
    </row>
    <row r="939" spans="1:19">
      <c r="A939" s="10" t="s">
        <v>1136</v>
      </c>
      <c r="B939" s="11" t="s">
        <v>991</v>
      </c>
      <c r="C939" s="11" t="s">
        <v>25</v>
      </c>
      <c r="D939" s="11" t="s">
        <v>25</v>
      </c>
      <c r="E939" s="12" t="s">
        <v>1176</v>
      </c>
      <c r="F939">
        <f>VLOOKUP(E939,Legends!$G$2:$I$87,2,FALSE)</f>
        <v>372.2</v>
      </c>
      <c r="G939">
        <f>VLOOKUP(E939,Legends!$G$2:$I$87,3,FALSE)</f>
        <v>382.7</v>
      </c>
      <c r="H939" s="12">
        <v>381.6</v>
      </c>
      <c r="I939" s="11" t="s">
        <v>1122</v>
      </c>
      <c r="J939" s="11" t="s">
        <v>1203</v>
      </c>
      <c r="K939" s="11" t="s">
        <v>25</v>
      </c>
      <c r="L939" s="12">
        <v>0.62</v>
      </c>
      <c r="M939" s="11" t="s">
        <v>23</v>
      </c>
      <c r="N939" s="11" t="s">
        <v>24</v>
      </c>
      <c r="O939" s="11" t="s">
        <v>25</v>
      </c>
      <c r="P939" s="16" t="s">
        <v>25</v>
      </c>
      <c r="Q939" s="37" t="s">
        <v>25</v>
      </c>
      <c r="R939" s="11" t="s">
        <v>25</v>
      </c>
      <c r="S939" s="13">
        <f t="shared" si="14"/>
        <v>-1.2599999999999998</v>
      </c>
    </row>
    <row r="940" spans="1:19">
      <c r="A940" s="10" t="s">
        <v>1136</v>
      </c>
      <c r="B940" s="11" t="s">
        <v>992</v>
      </c>
      <c r="C940" s="11" t="s">
        <v>25</v>
      </c>
      <c r="D940" s="11" t="s">
        <v>25</v>
      </c>
      <c r="E940" s="12" t="s">
        <v>1176</v>
      </c>
      <c r="F940">
        <f>VLOOKUP(E940,Legends!$G$2:$I$87,2,FALSE)</f>
        <v>372.2</v>
      </c>
      <c r="G940">
        <f>VLOOKUP(E940,Legends!$G$2:$I$87,3,FALSE)</f>
        <v>382.7</v>
      </c>
      <c r="H940" s="12">
        <v>382.9</v>
      </c>
      <c r="I940" s="11" t="s">
        <v>1122</v>
      </c>
      <c r="J940" s="11" t="s">
        <v>1203</v>
      </c>
      <c r="K940" s="11" t="s">
        <v>25</v>
      </c>
      <c r="L940" s="12">
        <v>0.68</v>
      </c>
      <c r="M940" s="11" t="s">
        <v>23</v>
      </c>
      <c r="N940" s="11" t="s">
        <v>24</v>
      </c>
      <c r="O940" s="11" t="s">
        <v>25</v>
      </c>
      <c r="P940" s="16" t="s">
        <v>25</v>
      </c>
      <c r="Q940" s="37" t="s">
        <v>25</v>
      </c>
      <c r="R940" s="11" t="s">
        <v>25</v>
      </c>
      <c r="S940" s="13">
        <f t="shared" si="14"/>
        <v>-1.1999999999999997</v>
      </c>
    </row>
    <row r="941" spans="1:19">
      <c r="A941" s="10" t="s">
        <v>1136</v>
      </c>
      <c r="B941" s="11" t="s">
        <v>993</v>
      </c>
      <c r="C941" s="11" t="s">
        <v>25</v>
      </c>
      <c r="D941" s="11" t="s">
        <v>25</v>
      </c>
      <c r="E941" s="12" t="s">
        <v>1176</v>
      </c>
      <c r="F941">
        <f>VLOOKUP(E941,Legends!$G$2:$I$87,2,FALSE)</f>
        <v>372.2</v>
      </c>
      <c r="G941">
        <f>VLOOKUP(E941,Legends!$G$2:$I$87,3,FALSE)</f>
        <v>382.7</v>
      </c>
      <c r="H941" s="12">
        <v>383</v>
      </c>
      <c r="I941" s="11" t="s">
        <v>1122</v>
      </c>
      <c r="J941" s="11" t="s">
        <v>1203</v>
      </c>
      <c r="K941" s="11" t="s">
        <v>25</v>
      </c>
      <c r="L941" s="12">
        <v>0.66</v>
      </c>
      <c r="M941" s="11" t="s">
        <v>23</v>
      </c>
      <c r="N941" s="11" t="s">
        <v>24</v>
      </c>
      <c r="O941" s="11" t="s">
        <v>25</v>
      </c>
      <c r="P941" s="16" t="s">
        <v>25</v>
      </c>
      <c r="Q941" s="37" t="s">
        <v>25</v>
      </c>
      <c r="R941" s="11" t="s">
        <v>25</v>
      </c>
      <c r="S941" s="13">
        <f t="shared" si="14"/>
        <v>-1.2199999999999998</v>
      </c>
    </row>
    <row r="942" spans="1:19">
      <c r="A942" s="10" t="s">
        <v>1136</v>
      </c>
      <c r="B942" s="11" t="s">
        <v>994</v>
      </c>
      <c r="C942" s="11" t="s">
        <v>25</v>
      </c>
      <c r="D942" s="11" t="s">
        <v>25</v>
      </c>
      <c r="E942" s="12" t="s">
        <v>1177</v>
      </c>
      <c r="F942">
        <f>VLOOKUP(E942,Legends!$G$2:$I$87,2,FALSE)</f>
        <v>382.7</v>
      </c>
      <c r="G942">
        <f>VLOOKUP(E942,Legends!$G$2:$I$87,3,FALSE)</f>
        <v>387.7</v>
      </c>
      <c r="H942" s="12">
        <v>386.2</v>
      </c>
      <c r="I942" s="11" t="s">
        <v>1122</v>
      </c>
      <c r="J942" s="11" t="s">
        <v>1203</v>
      </c>
      <c r="K942" s="11" t="s">
        <v>25</v>
      </c>
      <c r="L942" s="12">
        <v>0.62</v>
      </c>
      <c r="M942" s="11" t="s">
        <v>23</v>
      </c>
      <c r="N942" s="11" t="s">
        <v>24</v>
      </c>
      <c r="O942" s="11" t="s">
        <v>25</v>
      </c>
      <c r="P942" s="16" t="s">
        <v>25</v>
      </c>
      <c r="Q942" s="37" t="s">
        <v>25</v>
      </c>
      <c r="R942" s="11" t="s">
        <v>25</v>
      </c>
      <c r="S942" s="13">
        <f t="shared" si="14"/>
        <v>-1.2599999999999998</v>
      </c>
    </row>
    <row r="943" spans="1:19">
      <c r="A943" s="10" t="s">
        <v>1136</v>
      </c>
      <c r="B943" s="11" t="s">
        <v>995</v>
      </c>
      <c r="C943" s="11" t="s">
        <v>25</v>
      </c>
      <c r="D943" s="11" t="s">
        <v>25</v>
      </c>
      <c r="E943" s="12" t="s">
        <v>1177</v>
      </c>
      <c r="F943">
        <f>VLOOKUP(E943,Legends!$G$2:$I$87,2,FALSE)</f>
        <v>382.7</v>
      </c>
      <c r="G943">
        <f>VLOOKUP(E943,Legends!$G$2:$I$87,3,FALSE)</f>
        <v>387.7</v>
      </c>
      <c r="H943" s="12">
        <v>386.2</v>
      </c>
      <c r="I943" s="11" t="s">
        <v>1122</v>
      </c>
      <c r="J943" s="11" t="s">
        <v>1203</v>
      </c>
      <c r="K943" s="11" t="s">
        <v>25</v>
      </c>
      <c r="L943" s="12">
        <v>0.62</v>
      </c>
      <c r="M943" s="11" t="s">
        <v>23</v>
      </c>
      <c r="N943" s="11" t="s">
        <v>24</v>
      </c>
      <c r="O943" s="11" t="s">
        <v>25</v>
      </c>
      <c r="P943" s="16" t="s">
        <v>25</v>
      </c>
      <c r="Q943" s="37" t="s">
        <v>25</v>
      </c>
      <c r="R943" s="11" t="s">
        <v>25</v>
      </c>
      <c r="S943" s="13">
        <f t="shared" si="14"/>
        <v>-1.2599999999999998</v>
      </c>
    </row>
    <row r="944" spans="1:19">
      <c r="A944" s="10" t="s">
        <v>1136</v>
      </c>
      <c r="B944" s="11" t="s">
        <v>996</v>
      </c>
      <c r="C944" s="11" t="s">
        <v>25</v>
      </c>
      <c r="D944" s="11" t="s">
        <v>25</v>
      </c>
      <c r="E944" s="12" t="s">
        <v>1177</v>
      </c>
      <c r="F944">
        <f>VLOOKUP(E944,Legends!$G$2:$I$87,2,FALSE)</f>
        <v>382.7</v>
      </c>
      <c r="G944">
        <f>VLOOKUP(E944,Legends!$G$2:$I$87,3,FALSE)</f>
        <v>387.7</v>
      </c>
      <c r="H944" s="12">
        <v>386.2</v>
      </c>
      <c r="I944" s="11" t="s">
        <v>1122</v>
      </c>
      <c r="J944" s="11" t="s">
        <v>1203</v>
      </c>
      <c r="K944" s="11" t="s">
        <v>25</v>
      </c>
      <c r="L944" s="12">
        <v>0.54</v>
      </c>
      <c r="M944" s="11" t="s">
        <v>23</v>
      </c>
      <c r="N944" s="11" t="s">
        <v>24</v>
      </c>
      <c r="O944" s="11" t="s">
        <v>25</v>
      </c>
      <c r="P944" s="16" t="s">
        <v>25</v>
      </c>
      <c r="Q944" s="37" t="s">
        <v>25</v>
      </c>
      <c r="R944" s="11" t="s">
        <v>25</v>
      </c>
      <c r="S944" s="13">
        <f t="shared" si="14"/>
        <v>-1.3399999999999999</v>
      </c>
    </row>
    <row r="945" spans="1:19">
      <c r="A945" s="10" t="s">
        <v>1136</v>
      </c>
      <c r="B945" s="11" t="s">
        <v>997</v>
      </c>
      <c r="C945" s="11" t="s">
        <v>25</v>
      </c>
      <c r="D945" s="11" t="s">
        <v>25</v>
      </c>
      <c r="E945" s="12" t="s">
        <v>1177</v>
      </c>
      <c r="F945">
        <f>VLOOKUP(E945,Legends!$G$2:$I$87,2,FALSE)</f>
        <v>382.7</v>
      </c>
      <c r="G945">
        <f>VLOOKUP(E945,Legends!$G$2:$I$87,3,FALSE)</f>
        <v>387.7</v>
      </c>
      <c r="H945" s="12">
        <v>386.2</v>
      </c>
      <c r="I945" s="11" t="s">
        <v>1122</v>
      </c>
      <c r="J945" s="11" t="s">
        <v>1203</v>
      </c>
      <c r="K945" s="11" t="s">
        <v>25</v>
      </c>
      <c r="L945" s="12">
        <v>0.48</v>
      </c>
      <c r="M945" s="11" t="s">
        <v>23</v>
      </c>
      <c r="N945" s="11" t="s">
        <v>24</v>
      </c>
      <c r="O945" s="11" t="s">
        <v>25</v>
      </c>
      <c r="P945" s="16" t="s">
        <v>25</v>
      </c>
      <c r="Q945" s="37" t="s">
        <v>25</v>
      </c>
      <c r="R945" s="11" t="s">
        <v>25</v>
      </c>
      <c r="S945" s="13">
        <f t="shared" si="14"/>
        <v>-1.4</v>
      </c>
    </row>
    <row r="946" spans="1:19">
      <c r="A946" s="10" t="s">
        <v>1136</v>
      </c>
      <c r="B946" s="11" t="s">
        <v>998</v>
      </c>
      <c r="C946" s="11" t="s">
        <v>25</v>
      </c>
      <c r="D946" s="11" t="s">
        <v>25</v>
      </c>
      <c r="E946" s="12" t="s">
        <v>1177</v>
      </c>
      <c r="F946">
        <f>VLOOKUP(E946,Legends!$G$2:$I$87,2,FALSE)</f>
        <v>382.7</v>
      </c>
      <c r="G946">
        <f>VLOOKUP(E946,Legends!$G$2:$I$87,3,FALSE)</f>
        <v>387.7</v>
      </c>
      <c r="H946" s="12">
        <v>386.4</v>
      </c>
      <c r="I946" s="11" t="s">
        <v>1122</v>
      </c>
      <c r="J946" s="11" t="s">
        <v>1203</v>
      </c>
      <c r="K946" s="11" t="s">
        <v>25</v>
      </c>
      <c r="L946" s="12">
        <v>0.61</v>
      </c>
      <c r="M946" s="11" t="s">
        <v>23</v>
      </c>
      <c r="N946" s="11" t="s">
        <v>24</v>
      </c>
      <c r="O946" s="11" t="s">
        <v>25</v>
      </c>
      <c r="P946" s="16" t="s">
        <v>25</v>
      </c>
      <c r="Q946" s="37" t="s">
        <v>25</v>
      </c>
      <c r="R946" s="11" t="s">
        <v>25</v>
      </c>
      <c r="S946" s="13">
        <f t="shared" si="14"/>
        <v>-1.27</v>
      </c>
    </row>
    <row r="947" spans="1:19">
      <c r="A947" s="10" t="s">
        <v>1136</v>
      </c>
      <c r="B947" s="11" t="s">
        <v>999</v>
      </c>
      <c r="C947" s="11" t="s">
        <v>25</v>
      </c>
      <c r="D947" s="11" t="s">
        <v>25</v>
      </c>
      <c r="E947" s="12" t="s">
        <v>1177</v>
      </c>
      <c r="F947">
        <f>VLOOKUP(E947,Legends!$G$2:$I$87,2,FALSE)</f>
        <v>382.7</v>
      </c>
      <c r="G947">
        <f>VLOOKUP(E947,Legends!$G$2:$I$87,3,FALSE)</f>
        <v>387.7</v>
      </c>
      <c r="H947" s="12">
        <v>386.4</v>
      </c>
      <c r="I947" s="11" t="s">
        <v>1122</v>
      </c>
      <c r="J947" s="11" t="s">
        <v>1203</v>
      </c>
      <c r="K947" s="11" t="s">
        <v>25</v>
      </c>
      <c r="L947" s="12">
        <v>0.56999999999999995</v>
      </c>
      <c r="M947" s="11" t="s">
        <v>23</v>
      </c>
      <c r="N947" s="11" t="s">
        <v>24</v>
      </c>
      <c r="O947" s="11" t="s">
        <v>25</v>
      </c>
      <c r="P947" s="16" t="s">
        <v>25</v>
      </c>
      <c r="Q947" s="37" t="s">
        <v>25</v>
      </c>
      <c r="R947" s="11" t="s">
        <v>25</v>
      </c>
      <c r="S947" s="13">
        <f t="shared" si="14"/>
        <v>-1.31</v>
      </c>
    </row>
    <row r="948" spans="1:19">
      <c r="A948" s="10" t="s">
        <v>1136</v>
      </c>
      <c r="B948" s="11" t="s">
        <v>1000</v>
      </c>
      <c r="C948" s="11" t="s">
        <v>25</v>
      </c>
      <c r="D948" s="11" t="s">
        <v>25</v>
      </c>
      <c r="E948" s="12" t="s">
        <v>1177</v>
      </c>
      <c r="F948">
        <f>VLOOKUP(E948,Legends!$G$2:$I$87,2,FALSE)</f>
        <v>382.7</v>
      </c>
      <c r="G948">
        <f>VLOOKUP(E948,Legends!$G$2:$I$87,3,FALSE)</f>
        <v>387.7</v>
      </c>
      <c r="H948" s="12">
        <v>386.4</v>
      </c>
      <c r="I948" s="11" t="s">
        <v>1122</v>
      </c>
      <c r="J948" s="11" t="s">
        <v>1203</v>
      </c>
      <c r="K948" s="11" t="s">
        <v>25</v>
      </c>
      <c r="L948" s="12">
        <v>0.55999999999999994</v>
      </c>
      <c r="M948" s="11" t="s">
        <v>23</v>
      </c>
      <c r="N948" s="11" t="s">
        <v>24</v>
      </c>
      <c r="O948" s="11" t="s">
        <v>25</v>
      </c>
      <c r="P948" s="16" t="s">
        <v>25</v>
      </c>
      <c r="Q948" s="37" t="s">
        <v>25</v>
      </c>
      <c r="R948" s="11" t="s">
        <v>25</v>
      </c>
      <c r="S948" s="13">
        <f t="shared" si="14"/>
        <v>-1.3199999999999998</v>
      </c>
    </row>
    <row r="949" spans="1:19">
      <c r="A949" s="10" t="s">
        <v>1136</v>
      </c>
      <c r="B949" s="11" t="s">
        <v>1001</v>
      </c>
      <c r="C949" s="11" t="s">
        <v>25</v>
      </c>
      <c r="D949" s="11" t="s">
        <v>25</v>
      </c>
      <c r="E949" s="12" t="s">
        <v>1177</v>
      </c>
      <c r="F949">
        <f>VLOOKUP(E949,Legends!$G$2:$I$87,2,FALSE)</f>
        <v>382.7</v>
      </c>
      <c r="G949">
        <f>VLOOKUP(E949,Legends!$G$2:$I$87,3,FALSE)</f>
        <v>387.7</v>
      </c>
      <c r="H949" s="12">
        <v>386.4</v>
      </c>
      <c r="I949" s="11" t="s">
        <v>1122</v>
      </c>
      <c r="J949" s="11" t="s">
        <v>1203</v>
      </c>
      <c r="K949" s="11" t="s">
        <v>25</v>
      </c>
      <c r="L949" s="12">
        <v>0.56999999999999995</v>
      </c>
      <c r="M949" s="11" t="s">
        <v>23</v>
      </c>
      <c r="N949" s="11" t="s">
        <v>24</v>
      </c>
      <c r="O949" s="11" t="s">
        <v>25</v>
      </c>
      <c r="P949" s="16" t="s">
        <v>25</v>
      </c>
      <c r="Q949" s="37" t="s">
        <v>25</v>
      </c>
      <c r="R949" s="11" t="s">
        <v>25</v>
      </c>
      <c r="S949" s="13">
        <f t="shared" si="14"/>
        <v>-1.31</v>
      </c>
    </row>
    <row r="950" spans="1:19">
      <c r="A950" s="10" t="s">
        <v>1136</v>
      </c>
      <c r="B950" s="11" t="s">
        <v>1002</v>
      </c>
      <c r="C950" s="11" t="s">
        <v>25</v>
      </c>
      <c r="D950" s="11" t="s">
        <v>25</v>
      </c>
      <c r="E950" s="12" t="s">
        <v>1177</v>
      </c>
      <c r="F950">
        <f>VLOOKUP(E950,Legends!$G$2:$I$87,2,FALSE)</f>
        <v>382.7</v>
      </c>
      <c r="G950">
        <f>VLOOKUP(E950,Legends!$G$2:$I$87,3,FALSE)</f>
        <v>387.7</v>
      </c>
      <c r="H950" s="12">
        <v>389.3</v>
      </c>
      <c r="I950" s="11" t="s">
        <v>1122</v>
      </c>
      <c r="J950" s="11" t="s">
        <v>1203</v>
      </c>
      <c r="K950" s="11" t="s">
        <v>25</v>
      </c>
      <c r="L950" s="12">
        <v>0.41000000000000003</v>
      </c>
      <c r="M950" s="11" t="s">
        <v>23</v>
      </c>
      <c r="N950" s="11" t="s">
        <v>24</v>
      </c>
      <c r="O950" s="11" t="s">
        <v>25</v>
      </c>
      <c r="P950" s="16" t="s">
        <v>25</v>
      </c>
      <c r="Q950" s="37" t="s">
        <v>25</v>
      </c>
      <c r="R950" s="11" t="s">
        <v>25</v>
      </c>
      <c r="S950" s="13">
        <f t="shared" si="14"/>
        <v>-1.4699999999999998</v>
      </c>
    </row>
    <row r="951" spans="1:19">
      <c r="A951" s="10" t="s">
        <v>1136</v>
      </c>
      <c r="B951" s="11" t="s">
        <v>1003</v>
      </c>
      <c r="C951" s="11" t="s">
        <v>25</v>
      </c>
      <c r="D951" s="11" t="s">
        <v>25</v>
      </c>
      <c r="E951" s="12" t="s">
        <v>1178</v>
      </c>
      <c r="F951">
        <f>VLOOKUP(E951,Legends!$G$2:$I$87,2,FALSE)</f>
        <v>387.7</v>
      </c>
      <c r="G951">
        <f>VLOOKUP(E951,Legends!$G$2:$I$87,3,FALSE)</f>
        <v>393.3</v>
      </c>
      <c r="H951" s="12">
        <v>393.7</v>
      </c>
      <c r="I951" s="11" t="s">
        <v>1122</v>
      </c>
      <c r="J951" s="11" t="s">
        <v>1203</v>
      </c>
      <c r="K951" s="11" t="s">
        <v>25</v>
      </c>
      <c r="L951" s="12">
        <v>0.43000000000000005</v>
      </c>
      <c r="M951" s="11" t="s">
        <v>23</v>
      </c>
      <c r="N951" s="11" t="s">
        <v>24</v>
      </c>
      <c r="O951" s="11" t="s">
        <v>25</v>
      </c>
      <c r="P951" s="16" t="s">
        <v>25</v>
      </c>
      <c r="Q951" s="37" t="s">
        <v>25</v>
      </c>
      <c r="R951" s="11" t="s">
        <v>25</v>
      </c>
      <c r="S951" s="13">
        <f t="shared" si="14"/>
        <v>-1.4499999999999997</v>
      </c>
    </row>
    <row r="952" spans="1:19">
      <c r="A952" s="10" t="s">
        <v>1136</v>
      </c>
      <c r="B952" s="11" t="s">
        <v>1004</v>
      </c>
      <c r="C952" s="11" t="s">
        <v>25</v>
      </c>
      <c r="D952" s="11" t="s">
        <v>25</v>
      </c>
      <c r="E952" s="12" t="s">
        <v>1178</v>
      </c>
      <c r="F952">
        <f>VLOOKUP(E952,Legends!$G$2:$I$87,2,FALSE)</f>
        <v>387.7</v>
      </c>
      <c r="G952">
        <f>VLOOKUP(E952,Legends!$G$2:$I$87,3,FALSE)</f>
        <v>393.3</v>
      </c>
      <c r="H952" s="12">
        <v>395</v>
      </c>
      <c r="I952" s="11" t="s">
        <v>1122</v>
      </c>
      <c r="J952" s="11" t="s">
        <v>1203</v>
      </c>
      <c r="K952" s="11" t="s">
        <v>25</v>
      </c>
      <c r="L952" s="12">
        <v>0.41000000000000003</v>
      </c>
      <c r="M952" s="11" t="s">
        <v>23</v>
      </c>
      <c r="N952" s="11" t="s">
        <v>24</v>
      </c>
      <c r="O952" s="11" t="s">
        <v>25</v>
      </c>
      <c r="P952" s="16" t="s">
        <v>25</v>
      </c>
      <c r="Q952" s="37" t="s">
        <v>25</v>
      </c>
      <c r="R952" s="11" t="s">
        <v>25</v>
      </c>
      <c r="S952" s="13">
        <f t="shared" si="14"/>
        <v>-1.4699999999999998</v>
      </c>
    </row>
    <row r="953" spans="1:19">
      <c r="A953" s="10" t="s">
        <v>1136</v>
      </c>
      <c r="B953" s="11" t="s">
        <v>1005</v>
      </c>
      <c r="C953" s="11" t="s">
        <v>25</v>
      </c>
      <c r="D953" s="11" t="s">
        <v>25</v>
      </c>
      <c r="E953" s="12" t="s">
        <v>1179</v>
      </c>
      <c r="F953">
        <f>VLOOKUP(E953,Legends!$G$2:$I$87,2,FALSE)</f>
        <v>393.3</v>
      </c>
      <c r="G953">
        <f>VLOOKUP(E953,Legends!$G$2:$I$87,3,FALSE)</f>
        <v>407</v>
      </c>
      <c r="H953" s="12">
        <v>398.1</v>
      </c>
      <c r="I953" s="11" t="s">
        <v>1122</v>
      </c>
      <c r="J953" s="11" t="s">
        <v>1203</v>
      </c>
      <c r="K953" s="11" t="s">
        <v>25</v>
      </c>
      <c r="L953" s="12">
        <v>0.5</v>
      </c>
      <c r="M953" s="11" t="s">
        <v>23</v>
      </c>
      <c r="N953" s="11" t="s">
        <v>24</v>
      </c>
      <c r="O953" s="11" t="s">
        <v>25</v>
      </c>
      <c r="P953" s="16" t="s">
        <v>25</v>
      </c>
      <c r="Q953" s="37" t="s">
        <v>25</v>
      </c>
      <c r="R953" s="11" t="s">
        <v>25</v>
      </c>
      <c r="S953" s="13">
        <f t="shared" si="14"/>
        <v>-1.38</v>
      </c>
    </row>
    <row r="954" spans="1:19">
      <c r="A954" s="10" t="s">
        <v>1136</v>
      </c>
      <c r="B954" s="11" t="s">
        <v>1006</v>
      </c>
      <c r="C954" s="11" t="s">
        <v>25</v>
      </c>
      <c r="D954" s="11" t="s">
        <v>25</v>
      </c>
      <c r="E954" s="12" t="s">
        <v>1179</v>
      </c>
      <c r="F954">
        <f>VLOOKUP(E954,Legends!$G$2:$I$87,2,FALSE)</f>
        <v>393.3</v>
      </c>
      <c r="G954">
        <f>VLOOKUP(E954,Legends!$G$2:$I$87,3,FALSE)</f>
        <v>407</v>
      </c>
      <c r="H954" s="12">
        <v>399</v>
      </c>
      <c r="I954" s="11" t="s">
        <v>1122</v>
      </c>
      <c r="J954" s="11" t="s">
        <v>1203</v>
      </c>
      <c r="K954" s="11" t="s">
        <v>25</v>
      </c>
      <c r="L954" s="12">
        <v>0.45999999999999996</v>
      </c>
      <c r="M954" s="11" t="s">
        <v>23</v>
      </c>
      <c r="N954" s="11" t="s">
        <v>24</v>
      </c>
      <c r="O954" s="11" t="s">
        <v>25</v>
      </c>
      <c r="P954" s="16" t="s">
        <v>25</v>
      </c>
      <c r="Q954" s="37" t="s">
        <v>25</v>
      </c>
      <c r="R954" s="11" t="s">
        <v>25</v>
      </c>
      <c r="S954" s="13">
        <f t="shared" si="14"/>
        <v>-1.42</v>
      </c>
    </row>
    <row r="955" spans="1:19">
      <c r="A955" s="10" t="s">
        <v>1136</v>
      </c>
      <c r="B955" s="11" t="s">
        <v>1007</v>
      </c>
      <c r="C955" s="11" t="s">
        <v>25</v>
      </c>
      <c r="D955" s="11" t="s">
        <v>25</v>
      </c>
      <c r="E955" s="12" t="s">
        <v>1179</v>
      </c>
      <c r="F955">
        <f>VLOOKUP(E955,Legends!$G$2:$I$87,2,FALSE)</f>
        <v>393.3</v>
      </c>
      <c r="G955">
        <f>VLOOKUP(E955,Legends!$G$2:$I$87,3,FALSE)</f>
        <v>407</v>
      </c>
      <c r="H955" s="12">
        <v>399.1</v>
      </c>
      <c r="I955" s="11" t="s">
        <v>1122</v>
      </c>
      <c r="J955" s="11" t="s">
        <v>1203</v>
      </c>
      <c r="K955" s="11" t="s">
        <v>25</v>
      </c>
      <c r="L955" s="12">
        <v>0.59</v>
      </c>
      <c r="M955" s="11" t="s">
        <v>23</v>
      </c>
      <c r="N955" s="11" t="s">
        <v>24</v>
      </c>
      <c r="O955" s="11" t="s">
        <v>25</v>
      </c>
      <c r="P955" s="16" t="s">
        <v>25</v>
      </c>
      <c r="Q955" s="37" t="s">
        <v>25</v>
      </c>
      <c r="R955" s="11" t="s">
        <v>25</v>
      </c>
      <c r="S955" s="13">
        <f t="shared" si="14"/>
        <v>-1.29</v>
      </c>
    </row>
    <row r="956" spans="1:19">
      <c r="A956" s="10" t="s">
        <v>1136</v>
      </c>
      <c r="B956" s="11" t="s">
        <v>1008</v>
      </c>
      <c r="C956" s="11" t="s">
        <v>25</v>
      </c>
      <c r="D956" s="11" t="s">
        <v>25</v>
      </c>
      <c r="E956" s="12" t="s">
        <v>1179</v>
      </c>
      <c r="F956">
        <f>VLOOKUP(E956,Legends!$G$2:$I$87,2,FALSE)</f>
        <v>393.3</v>
      </c>
      <c r="G956">
        <f>VLOOKUP(E956,Legends!$G$2:$I$87,3,FALSE)</f>
        <v>407</v>
      </c>
      <c r="H956" s="12">
        <v>399.7</v>
      </c>
      <c r="I956" s="11" t="s">
        <v>1122</v>
      </c>
      <c r="J956" s="11" t="s">
        <v>1203</v>
      </c>
      <c r="K956" s="11" t="s">
        <v>25</v>
      </c>
      <c r="L956" s="12">
        <v>0.41000000000000003</v>
      </c>
      <c r="M956" s="11" t="s">
        <v>23</v>
      </c>
      <c r="N956" s="11" t="s">
        <v>24</v>
      </c>
      <c r="O956" s="11" t="s">
        <v>25</v>
      </c>
      <c r="P956" s="16" t="s">
        <v>25</v>
      </c>
      <c r="Q956" s="37" t="s">
        <v>25</v>
      </c>
      <c r="R956" s="11" t="s">
        <v>25</v>
      </c>
      <c r="S956" s="13">
        <f t="shared" si="14"/>
        <v>-1.4699999999999998</v>
      </c>
    </row>
    <row r="957" spans="1:19">
      <c r="A957" s="10" t="s">
        <v>1136</v>
      </c>
      <c r="B957" s="11" t="s">
        <v>1009</v>
      </c>
      <c r="C957" s="11" t="s">
        <v>25</v>
      </c>
      <c r="D957" s="11" t="s">
        <v>25</v>
      </c>
      <c r="E957" s="12" t="s">
        <v>1179</v>
      </c>
      <c r="F957">
        <f>VLOOKUP(E957,Legends!$G$2:$I$87,2,FALSE)</f>
        <v>393.3</v>
      </c>
      <c r="G957">
        <f>VLOOKUP(E957,Legends!$G$2:$I$87,3,FALSE)</f>
        <v>407</v>
      </c>
      <c r="H957" s="12">
        <v>401.2</v>
      </c>
      <c r="I957" s="11" t="s">
        <v>1122</v>
      </c>
      <c r="J957" s="11" t="s">
        <v>1203</v>
      </c>
      <c r="K957" s="11" t="s">
        <v>25</v>
      </c>
      <c r="L957" s="12">
        <v>0.45999999999999996</v>
      </c>
      <c r="M957" s="11" t="s">
        <v>23</v>
      </c>
      <c r="N957" s="11" t="s">
        <v>24</v>
      </c>
      <c r="O957" s="11" t="s">
        <v>25</v>
      </c>
      <c r="P957" s="16" t="s">
        <v>25</v>
      </c>
      <c r="Q957" s="37" t="s">
        <v>25</v>
      </c>
      <c r="R957" s="11" t="s">
        <v>25</v>
      </c>
      <c r="S957" s="13">
        <f t="shared" si="14"/>
        <v>-1.42</v>
      </c>
    </row>
    <row r="958" spans="1:19">
      <c r="A958" s="10" t="s">
        <v>1136</v>
      </c>
      <c r="B958" s="11" t="s">
        <v>1010</v>
      </c>
      <c r="C958" s="11" t="s">
        <v>25</v>
      </c>
      <c r="D958" s="11" t="s">
        <v>25</v>
      </c>
      <c r="E958" s="12" t="s">
        <v>1179</v>
      </c>
      <c r="F958">
        <f>VLOOKUP(E958,Legends!$G$2:$I$87,2,FALSE)</f>
        <v>393.3</v>
      </c>
      <c r="G958">
        <f>VLOOKUP(E958,Legends!$G$2:$I$87,3,FALSE)</f>
        <v>407</v>
      </c>
      <c r="H958" s="12">
        <v>401.8</v>
      </c>
      <c r="I958" s="11" t="s">
        <v>1122</v>
      </c>
      <c r="J958" s="11" t="s">
        <v>1203</v>
      </c>
      <c r="K958" s="11" t="s">
        <v>25</v>
      </c>
      <c r="L958" s="12">
        <v>0.38</v>
      </c>
      <c r="M958" s="11" t="s">
        <v>23</v>
      </c>
      <c r="N958" s="11" t="s">
        <v>24</v>
      </c>
      <c r="O958" s="11" t="s">
        <v>25</v>
      </c>
      <c r="P958" s="16" t="s">
        <v>25</v>
      </c>
      <c r="Q958" s="37" t="s">
        <v>25</v>
      </c>
      <c r="R958" s="11" t="s">
        <v>25</v>
      </c>
      <c r="S958" s="13">
        <f t="shared" si="14"/>
        <v>-1.5</v>
      </c>
    </row>
    <row r="959" spans="1:19">
      <c r="A959" s="10" t="s">
        <v>1136</v>
      </c>
      <c r="B959" s="11" t="s">
        <v>1011</v>
      </c>
      <c r="C959" s="11" t="s">
        <v>25</v>
      </c>
      <c r="D959" s="11" t="s">
        <v>25</v>
      </c>
      <c r="E959" s="12" t="s">
        <v>1179</v>
      </c>
      <c r="F959">
        <f>VLOOKUP(E959,Legends!$G$2:$I$87,2,FALSE)</f>
        <v>393.3</v>
      </c>
      <c r="G959">
        <f>VLOOKUP(E959,Legends!$G$2:$I$87,3,FALSE)</f>
        <v>407</v>
      </c>
      <c r="H959" s="12">
        <v>401.8</v>
      </c>
      <c r="I959" s="11" t="s">
        <v>1122</v>
      </c>
      <c r="J959" s="11" t="s">
        <v>1203</v>
      </c>
      <c r="K959" s="11" t="s">
        <v>25</v>
      </c>
      <c r="L959" s="12">
        <v>0.39</v>
      </c>
      <c r="M959" s="11" t="s">
        <v>23</v>
      </c>
      <c r="N959" s="11" t="s">
        <v>24</v>
      </c>
      <c r="O959" s="11" t="s">
        <v>25</v>
      </c>
      <c r="P959" s="16" t="s">
        <v>25</v>
      </c>
      <c r="Q959" s="37" t="s">
        <v>25</v>
      </c>
      <c r="R959" s="11" t="s">
        <v>25</v>
      </c>
      <c r="S959" s="13">
        <f t="shared" si="14"/>
        <v>-1.4899999999999998</v>
      </c>
    </row>
    <row r="960" spans="1:19">
      <c r="A960" s="10" t="s">
        <v>1136</v>
      </c>
      <c r="B960" s="11" t="s">
        <v>1012</v>
      </c>
      <c r="C960" s="11" t="s">
        <v>25</v>
      </c>
      <c r="D960" s="11" t="s">
        <v>25</v>
      </c>
      <c r="E960" s="12" t="s">
        <v>1179</v>
      </c>
      <c r="F960">
        <f>VLOOKUP(E960,Legends!$G$2:$I$87,2,FALSE)</f>
        <v>393.3</v>
      </c>
      <c r="G960">
        <f>VLOOKUP(E960,Legends!$G$2:$I$87,3,FALSE)</f>
        <v>407</v>
      </c>
      <c r="H960" s="12">
        <v>402.4</v>
      </c>
      <c r="I960" s="11" t="s">
        <v>1122</v>
      </c>
      <c r="J960" s="11" t="s">
        <v>1203</v>
      </c>
      <c r="K960" s="11" t="s">
        <v>25</v>
      </c>
      <c r="L960" s="12">
        <v>0.43999999999999995</v>
      </c>
      <c r="M960" s="11" t="s">
        <v>23</v>
      </c>
      <c r="N960" s="11" t="s">
        <v>24</v>
      </c>
      <c r="O960" s="11" t="s">
        <v>25</v>
      </c>
      <c r="P960" s="16" t="s">
        <v>25</v>
      </c>
      <c r="Q960" s="37" t="s">
        <v>25</v>
      </c>
      <c r="R960" s="11" t="s">
        <v>25</v>
      </c>
      <c r="S960" s="13">
        <f t="shared" si="14"/>
        <v>-1.44</v>
      </c>
    </row>
    <row r="961" spans="1:19">
      <c r="A961" s="10" t="s">
        <v>1136</v>
      </c>
      <c r="B961" s="11" t="s">
        <v>1013</v>
      </c>
      <c r="C961" s="11" t="s">
        <v>25</v>
      </c>
      <c r="D961" s="11" t="s">
        <v>25</v>
      </c>
      <c r="E961" s="12" t="s">
        <v>1179</v>
      </c>
      <c r="F961">
        <f>VLOOKUP(E961,Legends!$G$2:$I$87,2,FALSE)</f>
        <v>393.3</v>
      </c>
      <c r="G961">
        <f>VLOOKUP(E961,Legends!$G$2:$I$87,3,FALSE)</f>
        <v>407</v>
      </c>
      <c r="H961" s="12">
        <v>407.1</v>
      </c>
      <c r="I961" s="11" t="s">
        <v>1122</v>
      </c>
      <c r="J961" s="11" t="s">
        <v>1203</v>
      </c>
      <c r="K961" s="11" t="s">
        <v>25</v>
      </c>
      <c r="L961" s="12">
        <v>0.54</v>
      </c>
      <c r="M961" s="11" t="s">
        <v>23</v>
      </c>
      <c r="N961" s="11" t="s">
        <v>24</v>
      </c>
      <c r="O961" s="11" t="s">
        <v>25</v>
      </c>
      <c r="P961" s="16" t="s">
        <v>25</v>
      </c>
      <c r="Q961" s="37" t="s">
        <v>25</v>
      </c>
      <c r="R961" s="11" t="s">
        <v>25</v>
      </c>
      <c r="S961" s="13">
        <f t="shared" si="14"/>
        <v>-1.3399999999999999</v>
      </c>
    </row>
    <row r="962" spans="1:19">
      <c r="A962" s="10" t="s">
        <v>1136</v>
      </c>
      <c r="B962" s="11" t="s">
        <v>1014</v>
      </c>
      <c r="C962" s="11" t="s">
        <v>25</v>
      </c>
      <c r="D962" s="11" t="s">
        <v>25</v>
      </c>
      <c r="E962" s="12" t="s">
        <v>1180</v>
      </c>
      <c r="F962">
        <f>VLOOKUP(E962,Legends!$G$2:$I$87,2,FALSE)</f>
        <v>411.2</v>
      </c>
      <c r="G962">
        <f>VLOOKUP(E962,Legends!$G$2:$I$87,3,FALSE)</f>
        <v>419</v>
      </c>
      <c r="H962" s="12">
        <v>413.3</v>
      </c>
      <c r="I962" s="11" t="s">
        <v>1122</v>
      </c>
      <c r="J962" s="11" t="s">
        <v>1203</v>
      </c>
      <c r="K962" s="11" t="s">
        <v>25</v>
      </c>
      <c r="L962" s="12">
        <v>0.41000000000000003</v>
      </c>
      <c r="M962" s="11" t="s">
        <v>23</v>
      </c>
      <c r="N962" s="11" t="s">
        <v>24</v>
      </c>
      <c r="O962" s="11" t="s">
        <v>25</v>
      </c>
      <c r="P962" s="16" t="s">
        <v>25</v>
      </c>
      <c r="Q962" s="37" t="s">
        <v>25</v>
      </c>
      <c r="R962" s="11" t="s">
        <v>25</v>
      </c>
      <c r="S962" s="13">
        <f t="shared" si="14"/>
        <v>-1.4699999999999998</v>
      </c>
    </row>
    <row r="963" spans="1:19">
      <c r="A963" s="10" t="s">
        <v>1136</v>
      </c>
      <c r="B963" s="11" t="s">
        <v>1015</v>
      </c>
      <c r="C963" s="11" t="s">
        <v>25</v>
      </c>
      <c r="D963" s="11" t="s">
        <v>25</v>
      </c>
      <c r="E963" s="12" t="s">
        <v>1180</v>
      </c>
      <c r="F963">
        <f>VLOOKUP(E963,Legends!$G$2:$I$87,2,FALSE)</f>
        <v>411.2</v>
      </c>
      <c r="G963">
        <f>VLOOKUP(E963,Legends!$G$2:$I$87,3,FALSE)</f>
        <v>419</v>
      </c>
      <c r="H963" s="12">
        <v>413.4</v>
      </c>
      <c r="I963" s="11" t="s">
        <v>1122</v>
      </c>
      <c r="J963" s="11" t="s">
        <v>1203</v>
      </c>
      <c r="K963" s="11" t="s">
        <v>25</v>
      </c>
      <c r="L963" s="12">
        <v>0.43999999999999995</v>
      </c>
      <c r="M963" s="11" t="s">
        <v>23</v>
      </c>
      <c r="N963" s="11" t="s">
        <v>24</v>
      </c>
      <c r="O963" s="11" t="s">
        <v>25</v>
      </c>
      <c r="P963" s="16" t="s">
        <v>25</v>
      </c>
      <c r="Q963" s="37" t="s">
        <v>25</v>
      </c>
      <c r="R963" s="11" t="s">
        <v>25</v>
      </c>
      <c r="S963" s="13">
        <f t="shared" ref="S963:S1026" si="15">IF(NOT(N963="SW"),L963-1.88,L963)</f>
        <v>-1.44</v>
      </c>
    </row>
    <row r="964" spans="1:19">
      <c r="A964" s="10" t="s">
        <v>1136</v>
      </c>
      <c r="B964" s="11" t="s">
        <v>631</v>
      </c>
      <c r="C964" s="11" t="s">
        <v>25</v>
      </c>
      <c r="D964" s="11" t="s">
        <v>25</v>
      </c>
      <c r="E964" s="12" t="s">
        <v>1181</v>
      </c>
      <c r="F964">
        <f>VLOOKUP(E964,Legends!$G$2:$I$87,2,FALSE)</f>
        <v>419.2</v>
      </c>
      <c r="G964">
        <f>VLOOKUP(E964,Legends!$G$2:$I$87,3,FALSE)</f>
        <v>423</v>
      </c>
      <c r="H964" s="12">
        <v>416.3</v>
      </c>
      <c r="I964" s="11" t="s">
        <v>1122</v>
      </c>
      <c r="J964" s="11" t="s">
        <v>1203</v>
      </c>
      <c r="K964" s="11" t="s">
        <v>25</v>
      </c>
      <c r="L964" s="12">
        <v>0.31</v>
      </c>
      <c r="M964" s="11" t="s">
        <v>23</v>
      </c>
      <c r="N964" s="11" t="s">
        <v>24</v>
      </c>
      <c r="O964" s="11" t="s">
        <v>25</v>
      </c>
      <c r="P964" s="16" t="s">
        <v>25</v>
      </c>
      <c r="Q964" s="37" t="s">
        <v>25</v>
      </c>
      <c r="R964" s="11" t="s">
        <v>25</v>
      </c>
      <c r="S964" s="13">
        <f t="shared" si="15"/>
        <v>-1.5699999999999998</v>
      </c>
    </row>
    <row r="965" spans="1:19">
      <c r="A965" s="10" t="s">
        <v>1136</v>
      </c>
      <c r="B965" s="11" t="s">
        <v>643</v>
      </c>
      <c r="C965" s="11" t="s">
        <v>25</v>
      </c>
      <c r="D965" s="11" t="s">
        <v>25</v>
      </c>
      <c r="E965" s="12" t="s">
        <v>1181</v>
      </c>
      <c r="F965">
        <f>VLOOKUP(E965,Legends!$G$2:$I$87,2,FALSE)</f>
        <v>419.2</v>
      </c>
      <c r="G965">
        <f>VLOOKUP(E965,Legends!$G$2:$I$87,3,FALSE)</f>
        <v>423</v>
      </c>
      <c r="H965" s="12">
        <v>416.7</v>
      </c>
      <c r="I965" s="11" t="s">
        <v>1122</v>
      </c>
      <c r="J965" s="11" t="s">
        <v>1203</v>
      </c>
      <c r="K965" s="11" t="s">
        <v>25</v>
      </c>
      <c r="L965" s="12">
        <v>0.39</v>
      </c>
      <c r="M965" s="11" t="s">
        <v>23</v>
      </c>
      <c r="N965" s="11" t="s">
        <v>24</v>
      </c>
      <c r="O965" s="11" t="s">
        <v>25</v>
      </c>
      <c r="P965" s="16" t="s">
        <v>25</v>
      </c>
      <c r="Q965" s="37" t="s">
        <v>25</v>
      </c>
      <c r="R965" s="11" t="s">
        <v>25</v>
      </c>
      <c r="S965" s="13">
        <f t="shared" si="15"/>
        <v>-1.4899999999999998</v>
      </c>
    </row>
    <row r="966" spans="1:19">
      <c r="A966" s="10" t="s">
        <v>1136</v>
      </c>
      <c r="B966" s="11" t="s">
        <v>655</v>
      </c>
      <c r="C966" s="11" t="s">
        <v>25</v>
      </c>
      <c r="D966" s="11" t="s">
        <v>25</v>
      </c>
      <c r="E966" s="12" t="s">
        <v>1181</v>
      </c>
      <c r="F966">
        <f>VLOOKUP(E966,Legends!$G$2:$I$87,2,FALSE)</f>
        <v>419.2</v>
      </c>
      <c r="G966">
        <f>VLOOKUP(E966,Legends!$G$2:$I$87,3,FALSE)</f>
        <v>423</v>
      </c>
      <c r="H966" s="12">
        <v>417.9</v>
      </c>
      <c r="I966" s="11" t="s">
        <v>1122</v>
      </c>
      <c r="J966" s="11" t="s">
        <v>1203</v>
      </c>
      <c r="K966" s="11" t="s">
        <v>25</v>
      </c>
      <c r="L966" s="12">
        <v>0.61</v>
      </c>
      <c r="M966" s="11" t="s">
        <v>23</v>
      </c>
      <c r="N966" s="11" t="s">
        <v>24</v>
      </c>
      <c r="O966" s="11" t="s">
        <v>25</v>
      </c>
      <c r="P966" s="16" t="s">
        <v>25</v>
      </c>
      <c r="Q966" s="37" t="s">
        <v>25</v>
      </c>
      <c r="R966" s="11" t="s">
        <v>25</v>
      </c>
      <c r="S966" s="13">
        <f t="shared" si="15"/>
        <v>-1.27</v>
      </c>
    </row>
    <row r="967" spans="1:19">
      <c r="A967" s="10" t="s">
        <v>1136</v>
      </c>
      <c r="B967" s="11" t="s">
        <v>657</v>
      </c>
      <c r="C967" s="11" t="s">
        <v>25</v>
      </c>
      <c r="D967" s="11" t="s">
        <v>25</v>
      </c>
      <c r="E967" s="12" t="s">
        <v>1181</v>
      </c>
      <c r="F967">
        <f>VLOOKUP(E967,Legends!$G$2:$I$87,2,FALSE)</f>
        <v>419.2</v>
      </c>
      <c r="G967">
        <f>VLOOKUP(E967,Legends!$G$2:$I$87,3,FALSE)</f>
        <v>423</v>
      </c>
      <c r="H967" s="12">
        <v>417.9</v>
      </c>
      <c r="I967" s="11" t="s">
        <v>1122</v>
      </c>
      <c r="J967" s="11" t="s">
        <v>1203</v>
      </c>
      <c r="K967" s="11" t="s">
        <v>25</v>
      </c>
      <c r="L967" s="12">
        <v>0.45</v>
      </c>
      <c r="M967" s="11" t="s">
        <v>23</v>
      </c>
      <c r="N967" s="11" t="s">
        <v>24</v>
      </c>
      <c r="O967" s="11" t="s">
        <v>25</v>
      </c>
      <c r="P967" s="16" t="s">
        <v>25</v>
      </c>
      <c r="Q967" s="37" t="s">
        <v>25</v>
      </c>
      <c r="R967" s="11" t="s">
        <v>25</v>
      </c>
      <c r="S967" s="13">
        <f t="shared" si="15"/>
        <v>-1.43</v>
      </c>
    </row>
    <row r="968" spans="1:19">
      <c r="A968" s="10" t="s">
        <v>1136</v>
      </c>
      <c r="B968" s="11" t="s">
        <v>659</v>
      </c>
      <c r="C968" s="11" t="s">
        <v>25</v>
      </c>
      <c r="D968" s="11" t="s">
        <v>25</v>
      </c>
      <c r="E968" s="12" t="s">
        <v>1181</v>
      </c>
      <c r="F968">
        <f>VLOOKUP(E968,Legends!$G$2:$I$87,2,FALSE)</f>
        <v>419.2</v>
      </c>
      <c r="G968">
        <f>VLOOKUP(E968,Legends!$G$2:$I$87,3,FALSE)</f>
        <v>423</v>
      </c>
      <c r="H968" s="12">
        <v>418.3</v>
      </c>
      <c r="I968" s="11" t="s">
        <v>1122</v>
      </c>
      <c r="J968" s="11" t="s">
        <v>1203</v>
      </c>
      <c r="K968" s="11" t="s">
        <v>25</v>
      </c>
      <c r="L968" s="12">
        <v>0.35</v>
      </c>
      <c r="M968" s="11" t="s">
        <v>23</v>
      </c>
      <c r="N968" s="11" t="s">
        <v>24</v>
      </c>
      <c r="O968" s="11" t="s">
        <v>25</v>
      </c>
      <c r="P968" s="16" t="s">
        <v>25</v>
      </c>
      <c r="Q968" s="37" t="s">
        <v>25</v>
      </c>
      <c r="R968" s="11" t="s">
        <v>25</v>
      </c>
      <c r="S968" s="13">
        <f t="shared" si="15"/>
        <v>-1.5299999999999998</v>
      </c>
    </row>
    <row r="969" spans="1:19">
      <c r="A969" s="10" t="s">
        <v>1136</v>
      </c>
      <c r="B969" s="11" t="s">
        <v>666</v>
      </c>
      <c r="C969" s="11" t="s">
        <v>25</v>
      </c>
      <c r="D969" s="11" t="s">
        <v>25</v>
      </c>
      <c r="E969" s="12" t="s">
        <v>1181</v>
      </c>
      <c r="F969">
        <f>VLOOKUP(E969,Legends!$G$2:$I$87,2,FALSE)</f>
        <v>419.2</v>
      </c>
      <c r="G969">
        <f>VLOOKUP(E969,Legends!$G$2:$I$87,3,FALSE)</f>
        <v>423</v>
      </c>
      <c r="H969" s="12">
        <v>418.7</v>
      </c>
      <c r="I969" s="11" t="s">
        <v>1122</v>
      </c>
      <c r="J969" s="11" t="s">
        <v>1203</v>
      </c>
      <c r="K969" s="11" t="s">
        <v>25</v>
      </c>
      <c r="L969" s="12">
        <v>0.37</v>
      </c>
      <c r="M969" s="11" t="s">
        <v>23</v>
      </c>
      <c r="N969" s="11" t="s">
        <v>24</v>
      </c>
      <c r="O969" s="11" t="s">
        <v>25</v>
      </c>
      <c r="P969" s="16" t="s">
        <v>25</v>
      </c>
      <c r="Q969" s="37" t="s">
        <v>25</v>
      </c>
      <c r="R969" s="11" t="s">
        <v>25</v>
      </c>
      <c r="S969" s="13">
        <f t="shared" si="15"/>
        <v>-1.5099999999999998</v>
      </c>
    </row>
    <row r="970" spans="1:19">
      <c r="A970" s="10" t="s">
        <v>1136</v>
      </c>
      <c r="B970" s="11" t="s">
        <v>675</v>
      </c>
      <c r="C970" s="11" t="s">
        <v>25</v>
      </c>
      <c r="D970" s="11" t="s">
        <v>25</v>
      </c>
      <c r="E970" s="12" t="s">
        <v>1181</v>
      </c>
      <c r="F970">
        <f>VLOOKUP(E970,Legends!$G$2:$I$87,2,FALSE)</f>
        <v>419.2</v>
      </c>
      <c r="G970">
        <f>VLOOKUP(E970,Legends!$G$2:$I$87,3,FALSE)</f>
        <v>423</v>
      </c>
      <c r="H970" s="12">
        <v>418.7</v>
      </c>
      <c r="I970" s="11" t="s">
        <v>1122</v>
      </c>
      <c r="J970" s="11" t="s">
        <v>1203</v>
      </c>
      <c r="K970" s="11" t="s">
        <v>25</v>
      </c>
      <c r="L970" s="12">
        <v>0.49</v>
      </c>
      <c r="M970" s="11" t="s">
        <v>23</v>
      </c>
      <c r="N970" s="11" t="s">
        <v>24</v>
      </c>
      <c r="O970" s="11" t="s">
        <v>25</v>
      </c>
      <c r="P970" s="16" t="s">
        <v>25</v>
      </c>
      <c r="Q970" s="37" t="s">
        <v>25</v>
      </c>
      <c r="R970" s="11" t="s">
        <v>25</v>
      </c>
      <c r="S970" s="13">
        <f t="shared" si="15"/>
        <v>-1.39</v>
      </c>
    </row>
    <row r="971" spans="1:19">
      <c r="A971" s="10" t="s">
        <v>1136</v>
      </c>
      <c r="B971" s="11" t="s">
        <v>1016</v>
      </c>
      <c r="C971" s="11" t="s">
        <v>25</v>
      </c>
      <c r="D971" s="11" t="s">
        <v>25</v>
      </c>
      <c r="E971" s="12" t="s">
        <v>1182</v>
      </c>
      <c r="F971">
        <f>VLOOKUP(E971,Legends!$G$2:$I$87,2,FALSE)</f>
        <v>423</v>
      </c>
      <c r="G971">
        <f>VLOOKUP(E971,Legends!$G$2:$I$87,3,FALSE)</f>
        <v>425.6</v>
      </c>
      <c r="H971" s="12">
        <v>419.5</v>
      </c>
      <c r="I971" s="11" t="s">
        <v>1122</v>
      </c>
      <c r="J971" s="11" t="s">
        <v>1203</v>
      </c>
      <c r="K971" s="11" t="s">
        <v>25</v>
      </c>
      <c r="L971" s="12">
        <v>0.44</v>
      </c>
      <c r="M971" s="11" t="s">
        <v>23</v>
      </c>
      <c r="N971" s="11" t="s">
        <v>24</v>
      </c>
      <c r="O971" s="11" t="s">
        <v>25</v>
      </c>
      <c r="P971" s="16" t="s">
        <v>25</v>
      </c>
      <c r="Q971" s="37" t="s">
        <v>25</v>
      </c>
      <c r="R971" s="11" t="s">
        <v>25</v>
      </c>
      <c r="S971" s="13">
        <f t="shared" si="15"/>
        <v>-1.44</v>
      </c>
    </row>
    <row r="972" spans="1:19">
      <c r="A972" s="10" t="s">
        <v>1136</v>
      </c>
      <c r="B972" s="11" t="s">
        <v>1017</v>
      </c>
      <c r="C972" s="11" t="s">
        <v>25</v>
      </c>
      <c r="D972" s="11" t="s">
        <v>25</v>
      </c>
      <c r="E972" s="12" t="s">
        <v>1182</v>
      </c>
      <c r="F972">
        <f>VLOOKUP(E972,Legends!$G$2:$I$87,2,FALSE)</f>
        <v>423</v>
      </c>
      <c r="G972">
        <f>VLOOKUP(E972,Legends!$G$2:$I$87,3,FALSE)</f>
        <v>425.6</v>
      </c>
      <c r="H972" s="12">
        <v>420.2</v>
      </c>
      <c r="I972" s="11" t="s">
        <v>1122</v>
      </c>
      <c r="J972" s="11" t="s">
        <v>1203</v>
      </c>
      <c r="K972" s="11" t="s">
        <v>25</v>
      </c>
      <c r="L972" s="12">
        <v>0.31</v>
      </c>
      <c r="M972" s="11" t="s">
        <v>23</v>
      </c>
      <c r="N972" s="11" t="s">
        <v>24</v>
      </c>
      <c r="O972" s="11" t="s">
        <v>25</v>
      </c>
      <c r="P972" s="16" t="s">
        <v>25</v>
      </c>
      <c r="Q972" s="37" t="s">
        <v>25</v>
      </c>
      <c r="R972" s="11" t="s">
        <v>25</v>
      </c>
      <c r="S972" s="13">
        <f t="shared" si="15"/>
        <v>-1.5699999999999998</v>
      </c>
    </row>
    <row r="973" spans="1:19">
      <c r="A973" s="10" t="s">
        <v>1136</v>
      </c>
      <c r="B973" s="11" t="s">
        <v>1018</v>
      </c>
      <c r="C973" s="11" t="s">
        <v>25</v>
      </c>
      <c r="D973" s="11" t="s">
        <v>25</v>
      </c>
      <c r="E973" s="12" t="s">
        <v>1183</v>
      </c>
      <c r="F973">
        <f>VLOOKUP(E973,Legends!$G$2:$I$87,2,FALSE)</f>
        <v>425.6</v>
      </c>
      <c r="G973">
        <f>VLOOKUP(E973,Legends!$G$2:$I$87,3,FALSE)</f>
        <v>427.4</v>
      </c>
      <c r="H973" s="12">
        <v>420.6</v>
      </c>
      <c r="I973" s="11" t="s">
        <v>1122</v>
      </c>
      <c r="J973" s="11" t="s">
        <v>1203</v>
      </c>
      <c r="K973" s="11" t="s">
        <v>25</v>
      </c>
      <c r="L973" s="12">
        <v>0.59</v>
      </c>
      <c r="M973" s="11" t="s">
        <v>23</v>
      </c>
      <c r="N973" s="11" t="s">
        <v>24</v>
      </c>
      <c r="O973" s="11" t="s">
        <v>25</v>
      </c>
      <c r="P973" s="16" t="s">
        <v>25</v>
      </c>
      <c r="Q973" s="37" t="s">
        <v>25</v>
      </c>
      <c r="R973" s="11" t="s">
        <v>25</v>
      </c>
      <c r="S973" s="13">
        <f t="shared" si="15"/>
        <v>-1.29</v>
      </c>
    </row>
    <row r="974" spans="1:19">
      <c r="A974" s="10" t="s">
        <v>1136</v>
      </c>
      <c r="B974" s="11" t="s">
        <v>1019</v>
      </c>
      <c r="C974" s="11" t="s">
        <v>25</v>
      </c>
      <c r="D974" s="11" t="s">
        <v>25</v>
      </c>
      <c r="E974" s="12" t="s">
        <v>1183</v>
      </c>
      <c r="F974">
        <f>VLOOKUP(E974,Legends!$G$2:$I$87,2,FALSE)</f>
        <v>425.6</v>
      </c>
      <c r="G974">
        <f>VLOOKUP(E974,Legends!$G$2:$I$87,3,FALSE)</f>
        <v>427.4</v>
      </c>
      <c r="H974" s="12">
        <v>421.7</v>
      </c>
      <c r="I974" s="11" t="s">
        <v>1122</v>
      </c>
      <c r="J974" s="11" t="s">
        <v>1203</v>
      </c>
      <c r="K974" s="11" t="s">
        <v>25</v>
      </c>
      <c r="L974" s="12">
        <v>0.42</v>
      </c>
      <c r="M974" s="11" t="s">
        <v>23</v>
      </c>
      <c r="N974" s="11" t="s">
        <v>24</v>
      </c>
      <c r="O974" s="11" t="s">
        <v>25</v>
      </c>
      <c r="P974" s="16" t="s">
        <v>25</v>
      </c>
      <c r="Q974" s="37" t="s">
        <v>25</v>
      </c>
      <c r="R974" s="11" t="s">
        <v>25</v>
      </c>
      <c r="S974" s="13">
        <f t="shared" si="15"/>
        <v>-1.46</v>
      </c>
    </row>
    <row r="975" spans="1:19">
      <c r="A975" s="10" t="s">
        <v>1136</v>
      </c>
      <c r="B975" s="11" t="s">
        <v>1020</v>
      </c>
      <c r="C975" s="11" t="s">
        <v>25</v>
      </c>
      <c r="D975" s="11" t="s">
        <v>25</v>
      </c>
      <c r="E975" s="12" t="s">
        <v>1183</v>
      </c>
      <c r="F975">
        <f>VLOOKUP(E975,Legends!$G$2:$I$87,2,FALSE)</f>
        <v>425.6</v>
      </c>
      <c r="G975">
        <f>VLOOKUP(E975,Legends!$G$2:$I$87,3,FALSE)</f>
        <v>427.4</v>
      </c>
      <c r="H975" s="12">
        <v>421.7</v>
      </c>
      <c r="I975" s="11" t="s">
        <v>1122</v>
      </c>
      <c r="J975" s="11" t="s">
        <v>1203</v>
      </c>
      <c r="K975" s="11" t="s">
        <v>25</v>
      </c>
      <c r="L975" s="12">
        <v>0.49</v>
      </c>
      <c r="M975" s="11" t="s">
        <v>23</v>
      </c>
      <c r="N975" s="11" t="s">
        <v>24</v>
      </c>
      <c r="O975" s="11" t="s">
        <v>25</v>
      </c>
      <c r="P975" s="16" t="s">
        <v>25</v>
      </c>
      <c r="Q975" s="37" t="s">
        <v>25</v>
      </c>
      <c r="R975" s="11" t="s">
        <v>25</v>
      </c>
      <c r="S975" s="13">
        <f t="shared" si="15"/>
        <v>-1.39</v>
      </c>
    </row>
    <row r="976" spans="1:19">
      <c r="A976" s="10" t="s">
        <v>1136</v>
      </c>
      <c r="B976" s="11" t="s">
        <v>1021</v>
      </c>
      <c r="C976" s="11" t="s">
        <v>25</v>
      </c>
      <c r="D976" s="11" t="s">
        <v>25</v>
      </c>
      <c r="E976" s="12" t="s">
        <v>1184</v>
      </c>
      <c r="F976">
        <f>VLOOKUP(E976,Legends!$G$2:$I$87,2,FALSE)</f>
        <v>427.4</v>
      </c>
      <c r="G976">
        <f>VLOOKUP(E976,Legends!$G$2:$I$87,3,FALSE)</f>
        <v>430.5</v>
      </c>
      <c r="H976" s="12">
        <v>423.8</v>
      </c>
      <c r="I976" s="11" t="s">
        <v>1122</v>
      </c>
      <c r="J976" s="11" t="s">
        <v>1203</v>
      </c>
      <c r="K976" s="11" t="s">
        <v>25</v>
      </c>
      <c r="L976" s="12">
        <v>0.43</v>
      </c>
      <c r="M976" s="11" t="s">
        <v>23</v>
      </c>
      <c r="N976" s="11" t="s">
        <v>24</v>
      </c>
      <c r="O976" s="11" t="s">
        <v>25</v>
      </c>
      <c r="P976" s="16" t="s">
        <v>25</v>
      </c>
      <c r="Q976" s="37" t="s">
        <v>25</v>
      </c>
      <c r="R976" s="11" t="s">
        <v>25</v>
      </c>
      <c r="S976" s="13">
        <f t="shared" si="15"/>
        <v>-1.45</v>
      </c>
    </row>
    <row r="977" spans="1:19">
      <c r="A977" s="10" t="s">
        <v>1136</v>
      </c>
      <c r="B977" s="11" t="s">
        <v>1022</v>
      </c>
      <c r="C977" s="11" t="s">
        <v>25</v>
      </c>
      <c r="D977" s="11" t="s">
        <v>25</v>
      </c>
      <c r="E977" s="12" t="s">
        <v>1184</v>
      </c>
      <c r="F977">
        <f>VLOOKUP(E977,Legends!$G$2:$I$87,2,FALSE)</f>
        <v>427.4</v>
      </c>
      <c r="G977">
        <f>VLOOKUP(E977,Legends!$G$2:$I$87,3,FALSE)</f>
        <v>430.5</v>
      </c>
      <c r="H977" s="12">
        <v>423.8</v>
      </c>
      <c r="I977" s="11" t="s">
        <v>1122</v>
      </c>
      <c r="J977" s="11" t="s">
        <v>1203</v>
      </c>
      <c r="K977" s="11" t="s">
        <v>25</v>
      </c>
      <c r="L977" s="12">
        <v>0.32</v>
      </c>
      <c r="M977" s="11" t="s">
        <v>23</v>
      </c>
      <c r="N977" s="11" t="s">
        <v>24</v>
      </c>
      <c r="O977" s="11" t="s">
        <v>25</v>
      </c>
      <c r="P977" s="16" t="s">
        <v>25</v>
      </c>
      <c r="Q977" s="37" t="s">
        <v>25</v>
      </c>
      <c r="R977" s="11" t="s">
        <v>25</v>
      </c>
      <c r="S977" s="13">
        <f t="shared" si="15"/>
        <v>-1.5599999999999998</v>
      </c>
    </row>
    <row r="978" spans="1:19">
      <c r="A978" s="10" t="s">
        <v>1136</v>
      </c>
      <c r="B978" s="11" t="s">
        <v>1023</v>
      </c>
      <c r="C978" s="11" t="s">
        <v>25</v>
      </c>
      <c r="D978" s="11" t="s">
        <v>25</v>
      </c>
      <c r="E978" s="12" t="s">
        <v>1184</v>
      </c>
      <c r="F978">
        <f>VLOOKUP(E978,Legends!$G$2:$I$87,2,FALSE)</f>
        <v>427.4</v>
      </c>
      <c r="G978">
        <f>VLOOKUP(E978,Legends!$G$2:$I$87,3,FALSE)</f>
        <v>430.5</v>
      </c>
      <c r="H978" s="12">
        <v>423.8</v>
      </c>
      <c r="I978" s="11" t="s">
        <v>1122</v>
      </c>
      <c r="J978" s="11" t="s">
        <v>1203</v>
      </c>
      <c r="K978" s="11" t="s">
        <v>25</v>
      </c>
      <c r="L978" s="12">
        <v>0.28000000000000003</v>
      </c>
      <c r="M978" s="11" t="s">
        <v>23</v>
      </c>
      <c r="N978" s="11" t="s">
        <v>24</v>
      </c>
      <c r="O978" s="11" t="s">
        <v>25</v>
      </c>
      <c r="P978" s="16" t="s">
        <v>25</v>
      </c>
      <c r="Q978" s="37" t="s">
        <v>25</v>
      </c>
      <c r="R978" s="11" t="s">
        <v>25</v>
      </c>
      <c r="S978" s="13">
        <f t="shared" si="15"/>
        <v>-1.5999999999999999</v>
      </c>
    </row>
    <row r="979" spans="1:19">
      <c r="A979" s="10" t="s">
        <v>1136</v>
      </c>
      <c r="B979" s="11" t="s">
        <v>1024</v>
      </c>
      <c r="C979" s="11" t="s">
        <v>25</v>
      </c>
      <c r="D979" s="11" t="s">
        <v>25</v>
      </c>
      <c r="E979" s="12" t="s">
        <v>1184</v>
      </c>
      <c r="F979">
        <f>VLOOKUP(E979,Legends!$G$2:$I$87,2,FALSE)</f>
        <v>427.4</v>
      </c>
      <c r="G979">
        <f>VLOOKUP(E979,Legends!$G$2:$I$87,3,FALSE)</f>
        <v>430.5</v>
      </c>
      <c r="H979" s="12">
        <v>423.8</v>
      </c>
      <c r="I979" s="11" t="s">
        <v>1122</v>
      </c>
      <c r="J979" s="11" t="s">
        <v>1203</v>
      </c>
      <c r="K979" s="11" t="s">
        <v>25</v>
      </c>
      <c r="L979" s="12">
        <v>0.26</v>
      </c>
      <c r="M979" s="11" t="s">
        <v>23</v>
      </c>
      <c r="N979" s="11" t="s">
        <v>24</v>
      </c>
      <c r="O979" s="11" t="s">
        <v>25</v>
      </c>
      <c r="P979" s="16" t="s">
        <v>25</v>
      </c>
      <c r="Q979" s="37" t="s">
        <v>25</v>
      </c>
      <c r="R979" s="11" t="s">
        <v>25</v>
      </c>
      <c r="S979" s="13">
        <f t="shared" si="15"/>
        <v>-1.6199999999999999</v>
      </c>
    </row>
    <row r="980" spans="1:19">
      <c r="A980" s="10" t="s">
        <v>1136</v>
      </c>
      <c r="B980" s="11" t="s">
        <v>1025</v>
      </c>
      <c r="C980" s="11" t="s">
        <v>25</v>
      </c>
      <c r="D980" s="11" t="s">
        <v>25</v>
      </c>
      <c r="E980" s="12" t="s">
        <v>1185</v>
      </c>
      <c r="F980">
        <f>VLOOKUP(E980,Legends!$G$2:$I$87,2,FALSE)</f>
        <v>430.5</v>
      </c>
      <c r="G980">
        <f>VLOOKUP(E980,Legends!$G$2:$I$87,3,FALSE)</f>
        <v>433.4</v>
      </c>
      <c r="H980" s="12">
        <v>424.9</v>
      </c>
      <c r="I980" s="11" t="s">
        <v>1122</v>
      </c>
      <c r="J980" s="11" t="s">
        <v>1203</v>
      </c>
      <c r="K980" s="11" t="s">
        <v>25</v>
      </c>
      <c r="L980" s="12">
        <v>0.31</v>
      </c>
      <c r="M980" s="11" t="s">
        <v>23</v>
      </c>
      <c r="N980" s="11" t="s">
        <v>24</v>
      </c>
      <c r="O980" s="11" t="s">
        <v>25</v>
      </c>
      <c r="P980" s="16" t="s">
        <v>25</v>
      </c>
      <c r="Q980" s="37" t="s">
        <v>25</v>
      </c>
      <c r="R980" s="11" t="s">
        <v>25</v>
      </c>
      <c r="S980" s="13">
        <f t="shared" si="15"/>
        <v>-1.5699999999999998</v>
      </c>
    </row>
    <row r="981" spans="1:19">
      <c r="A981" s="10" t="s">
        <v>1136</v>
      </c>
      <c r="B981" s="11" t="s">
        <v>1026</v>
      </c>
      <c r="C981" s="11" t="s">
        <v>25</v>
      </c>
      <c r="D981" s="11" t="s">
        <v>25</v>
      </c>
      <c r="E981" s="12" t="s">
        <v>1185</v>
      </c>
      <c r="F981">
        <f>VLOOKUP(E981,Legends!$G$2:$I$87,2,FALSE)</f>
        <v>430.5</v>
      </c>
      <c r="G981">
        <f>VLOOKUP(E981,Legends!$G$2:$I$87,3,FALSE)</f>
        <v>433.4</v>
      </c>
      <c r="H981" s="12">
        <v>426</v>
      </c>
      <c r="I981" s="11" t="s">
        <v>1122</v>
      </c>
      <c r="J981" s="11" t="s">
        <v>1203</v>
      </c>
      <c r="K981" s="11" t="s">
        <v>25</v>
      </c>
      <c r="L981" s="12">
        <v>0.44</v>
      </c>
      <c r="M981" s="11" t="s">
        <v>23</v>
      </c>
      <c r="N981" s="11" t="s">
        <v>24</v>
      </c>
      <c r="O981" s="11" t="s">
        <v>25</v>
      </c>
      <c r="P981" s="16" t="s">
        <v>25</v>
      </c>
      <c r="Q981" s="37" t="s">
        <v>25</v>
      </c>
      <c r="R981" s="11" t="s">
        <v>25</v>
      </c>
      <c r="S981" s="13">
        <f t="shared" si="15"/>
        <v>-1.44</v>
      </c>
    </row>
    <row r="982" spans="1:19">
      <c r="A982" s="10" t="s">
        <v>1136</v>
      </c>
      <c r="B982" s="11" t="s">
        <v>1027</v>
      </c>
      <c r="C982" s="11" t="s">
        <v>25</v>
      </c>
      <c r="D982" s="11" t="s">
        <v>25</v>
      </c>
      <c r="E982" s="12" t="s">
        <v>1185</v>
      </c>
      <c r="F982">
        <f>VLOOKUP(E982,Legends!$G$2:$I$87,2,FALSE)</f>
        <v>430.5</v>
      </c>
      <c r="G982">
        <f>VLOOKUP(E982,Legends!$G$2:$I$87,3,FALSE)</f>
        <v>433.4</v>
      </c>
      <c r="H982" s="12">
        <v>426.6</v>
      </c>
      <c r="I982" s="11" t="s">
        <v>1122</v>
      </c>
      <c r="J982" s="11" t="s">
        <v>1203</v>
      </c>
      <c r="K982" s="11" t="s">
        <v>25</v>
      </c>
      <c r="L982" s="12">
        <v>0.5</v>
      </c>
      <c r="M982" s="11" t="s">
        <v>23</v>
      </c>
      <c r="N982" s="11" t="s">
        <v>24</v>
      </c>
      <c r="O982" s="11" t="s">
        <v>25</v>
      </c>
      <c r="P982" s="16" t="s">
        <v>25</v>
      </c>
      <c r="Q982" s="37" t="s">
        <v>25</v>
      </c>
      <c r="R982" s="11" t="s">
        <v>25</v>
      </c>
      <c r="S982" s="13">
        <f t="shared" si="15"/>
        <v>-1.38</v>
      </c>
    </row>
    <row r="983" spans="1:19">
      <c r="A983" s="10" t="s">
        <v>1136</v>
      </c>
      <c r="B983" s="11" t="s">
        <v>1028</v>
      </c>
      <c r="C983" s="11" t="s">
        <v>25</v>
      </c>
      <c r="D983" s="11" t="s">
        <v>25</v>
      </c>
      <c r="E983" s="12" t="s">
        <v>1185</v>
      </c>
      <c r="F983">
        <f>VLOOKUP(E983,Legends!$G$2:$I$87,2,FALSE)</f>
        <v>430.5</v>
      </c>
      <c r="G983">
        <f>VLOOKUP(E983,Legends!$G$2:$I$87,3,FALSE)</f>
        <v>433.4</v>
      </c>
      <c r="H983" s="12">
        <v>426.6</v>
      </c>
      <c r="I983" s="11" t="s">
        <v>1122</v>
      </c>
      <c r="J983" s="11" t="s">
        <v>1203</v>
      </c>
      <c r="K983" s="11" t="s">
        <v>25</v>
      </c>
      <c r="L983" s="12">
        <v>0.51</v>
      </c>
      <c r="M983" s="11" t="s">
        <v>23</v>
      </c>
      <c r="N983" s="11" t="s">
        <v>24</v>
      </c>
      <c r="O983" s="11" t="s">
        <v>25</v>
      </c>
      <c r="P983" s="16" t="s">
        <v>25</v>
      </c>
      <c r="Q983" s="37" t="s">
        <v>25</v>
      </c>
      <c r="R983" s="11" t="s">
        <v>25</v>
      </c>
      <c r="S983" s="13">
        <f t="shared" si="15"/>
        <v>-1.3699999999999999</v>
      </c>
    </row>
    <row r="984" spans="1:19">
      <c r="A984" s="10" t="s">
        <v>1136</v>
      </c>
      <c r="B984" s="11" t="s">
        <v>1029</v>
      </c>
      <c r="C984" s="11" t="s">
        <v>25</v>
      </c>
      <c r="D984" s="11" t="s">
        <v>25</v>
      </c>
      <c r="E984" s="12" t="s">
        <v>1185</v>
      </c>
      <c r="F984">
        <f>VLOOKUP(E984,Legends!$G$2:$I$87,2,FALSE)</f>
        <v>430.5</v>
      </c>
      <c r="G984">
        <f>VLOOKUP(E984,Legends!$G$2:$I$87,3,FALSE)</f>
        <v>433.4</v>
      </c>
      <c r="H984" s="12">
        <v>426.6</v>
      </c>
      <c r="I984" s="11" t="s">
        <v>1122</v>
      </c>
      <c r="J984" s="11" t="s">
        <v>1203</v>
      </c>
      <c r="K984" s="11" t="s">
        <v>25</v>
      </c>
      <c r="L984" s="12">
        <v>0.47</v>
      </c>
      <c r="M984" s="11" t="s">
        <v>23</v>
      </c>
      <c r="N984" s="11" t="s">
        <v>24</v>
      </c>
      <c r="O984" s="11" t="s">
        <v>25</v>
      </c>
      <c r="P984" s="16" t="s">
        <v>25</v>
      </c>
      <c r="Q984" s="37" t="s">
        <v>25</v>
      </c>
      <c r="R984" s="11" t="s">
        <v>25</v>
      </c>
      <c r="S984" s="13">
        <f t="shared" si="15"/>
        <v>-1.41</v>
      </c>
    </row>
    <row r="985" spans="1:19">
      <c r="A985" s="10" t="s">
        <v>1136</v>
      </c>
      <c r="B985" s="11" t="s">
        <v>1030</v>
      </c>
      <c r="C985" s="11" t="s">
        <v>25</v>
      </c>
      <c r="D985" s="11" t="s">
        <v>25</v>
      </c>
      <c r="E985" s="12" t="s">
        <v>1185</v>
      </c>
      <c r="F985">
        <f>VLOOKUP(E985,Legends!$G$2:$I$87,2,FALSE)</f>
        <v>430.5</v>
      </c>
      <c r="G985">
        <f>VLOOKUP(E985,Legends!$G$2:$I$87,3,FALSE)</f>
        <v>433.4</v>
      </c>
      <c r="H985" s="12">
        <v>427.1</v>
      </c>
      <c r="I985" s="11" t="s">
        <v>1122</v>
      </c>
      <c r="J985" s="11" t="s">
        <v>1203</v>
      </c>
      <c r="K985" s="11" t="s">
        <v>25</v>
      </c>
      <c r="L985" s="12">
        <v>0.65</v>
      </c>
      <c r="M985" s="11" t="s">
        <v>23</v>
      </c>
      <c r="N985" s="11" t="s">
        <v>24</v>
      </c>
      <c r="O985" s="11" t="s">
        <v>25</v>
      </c>
      <c r="P985" s="16" t="s">
        <v>25</v>
      </c>
      <c r="Q985" s="37" t="s">
        <v>25</v>
      </c>
      <c r="R985" s="11" t="s">
        <v>25</v>
      </c>
      <c r="S985" s="13">
        <f t="shared" si="15"/>
        <v>-1.23</v>
      </c>
    </row>
    <row r="986" spans="1:19">
      <c r="A986" s="10" t="s">
        <v>1136</v>
      </c>
      <c r="B986" s="11" t="s">
        <v>1031</v>
      </c>
      <c r="C986" s="11" t="s">
        <v>25</v>
      </c>
      <c r="D986" s="11" t="s">
        <v>25</v>
      </c>
      <c r="E986" s="12" t="s">
        <v>1186</v>
      </c>
      <c r="F986">
        <f>VLOOKUP(E986,Legends!$G$2:$I$87,2,FALSE)</f>
        <v>433.4</v>
      </c>
      <c r="G986">
        <f>VLOOKUP(E986,Legends!$G$2:$I$87,3,FALSE)</f>
        <v>438.5</v>
      </c>
      <c r="H986" s="12">
        <v>428.6</v>
      </c>
      <c r="I986" s="11" t="s">
        <v>1122</v>
      </c>
      <c r="J986" s="11" t="s">
        <v>1203</v>
      </c>
      <c r="K986" s="11" t="s">
        <v>25</v>
      </c>
      <c r="L986" s="12">
        <v>0.39</v>
      </c>
      <c r="M986" s="11" t="s">
        <v>23</v>
      </c>
      <c r="N986" s="11" t="s">
        <v>24</v>
      </c>
      <c r="O986" s="11" t="s">
        <v>25</v>
      </c>
      <c r="P986" s="16" t="s">
        <v>25</v>
      </c>
      <c r="Q986" s="37" t="s">
        <v>25</v>
      </c>
      <c r="R986" s="11" t="s">
        <v>25</v>
      </c>
      <c r="S986" s="13">
        <f t="shared" si="15"/>
        <v>-1.4899999999999998</v>
      </c>
    </row>
    <row r="987" spans="1:19">
      <c r="A987" s="10" t="s">
        <v>1136</v>
      </c>
      <c r="B987" s="11" t="s">
        <v>1032</v>
      </c>
      <c r="C987" s="11" t="s">
        <v>25</v>
      </c>
      <c r="D987" s="11" t="s">
        <v>25</v>
      </c>
      <c r="E987" s="12" t="s">
        <v>1186</v>
      </c>
      <c r="F987">
        <f>VLOOKUP(E987,Legends!$G$2:$I$87,2,FALSE)</f>
        <v>433.4</v>
      </c>
      <c r="G987">
        <f>VLOOKUP(E987,Legends!$G$2:$I$87,3,FALSE)</f>
        <v>438.5</v>
      </c>
      <c r="H987" s="12">
        <v>429.5</v>
      </c>
      <c r="I987" s="11" t="s">
        <v>1122</v>
      </c>
      <c r="J987" s="11" t="s">
        <v>1203</v>
      </c>
      <c r="K987" s="11" t="s">
        <v>25</v>
      </c>
      <c r="L987" s="12">
        <v>0.46</v>
      </c>
      <c r="M987" s="11" t="s">
        <v>23</v>
      </c>
      <c r="N987" s="11" t="s">
        <v>24</v>
      </c>
      <c r="O987" s="11" t="s">
        <v>25</v>
      </c>
      <c r="P987" s="16" t="s">
        <v>25</v>
      </c>
      <c r="Q987" s="37" t="s">
        <v>25</v>
      </c>
      <c r="R987" s="11" t="s">
        <v>25</v>
      </c>
      <c r="S987" s="13">
        <f t="shared" si="15"/>
        <v>-1.42</v>
      </c>
    </row>
    <row r="988" spans="1:19">
      <c r="A988" s="10" t="s">
        <v>1136</v>
      </c>
      <c r="B988" s="11" t="s">
        <v>1033</v>
      </c>
      <c r="C988" s="11" t="s">
        <v>25</v>
      </c>
      <c r="D988" s="11" t="s">
        <v>25</v>
      </c>
      <c r="E988" s="12" t="s">
        <v>1186</v>
      </c>
      <c r="F988">
        <f>VLOOKUP(E988,Legends!$G$2:$I$87,2,FALSE)</f>
        <v>433.4</v>
      </c>
      <c r="G988">
        <f>VLOOKUP(E988,Legends!$G$2:$I$87,3,FALSE)</f>
        <v>438.5</v>
      </c>
      <c r="H988" s="12">
        <v>430.4</v>
      </c>
      <c r="I988" s="11" t="s">
        <v>1122</v>
      </c>
      <c r="J988" s="11" t="s">
        <v>1203</v>
      </c>
      <c r="K988" s="11" t="s">
        <v>25</v>
      </c>
      <c r="L988" s="12">
        <v>0.44</v>
      </c>
      <c r="M988" s="11" t="s">
        <v>23</v>
      </c>
      <c r="N988" s="11" t="s">
        <v>24</v>
      </c>
      <c r="O988" s="11" t="s">
        <v>25</v>
      </c>
      <c r="P988" s="16" t="s">
        <v>25</v>
      </c>
      <c r="Q988" s="37" t="s">
        <v>25</v>
      </c>
      <c r="R988" s="11" t="s">
        <v>25</v>
      </c>
      <c r="S988" s="13">
        <f t="shared" si="15"/>
        <v>-1.44</v>
      </c>
    </row>
    <row r="989" spans="1:19">
      <c r="A989" s="10" t="s">
        <v>1136</v>
      </c>
      <c r="B989" s="11" t="s">
        <v>1034</v>
      </c>
      <c r="C989" s="11" t="s">
        <v>25</v>
      </c>
      <c r="D989" s="11" t="s">
        <v>25</v>
      </c>
      <c r="E989" s="12" t="s">
        <v>1186</v>
      </c>
      <c r="F989">
        <f>VLOOKUP(E989,Legends!$G$2:$I$87,2,FALSE)</f>
        <v>433.4</v>
      </c>
      <c r="G989">
        <f>VLOOKUP(E989,Legends!$G$2:$I$87,3,FALSE)</f>
        <v>438.5</v>
      </c>
      <c r="H989" s="12">
        <v>430.4</v>
      </c>
      <c r="I989" s="11" t="s">
        <v>1122</v>
      </c>
      <c r="J989" s="11" t="s">
        <v>1203</v>
      </c>
      <c r="K989" s="11" t="s">
        <v>25</v>
      </c>
      <c r="L989" s="12">
        <v>0.41</v>
      </c>
      <c r="M989" s="11" t="s">
        <v>23</v>
      </c>
      <c r="N989" s="11" t="s">
        <v>24</v>
      </c>
      <c r="O989" s="11" t="s">
        <v>25</v>
      </c>
      <c r="P989" s="16" t="s">
        <v>25</v>
      </c>
      <c r="Q989" s="37" t="s">
        <v>25</v>
      </c>
      <c r="R989" s="11" t="s">
        <v>25</v>
      </c>
      <c r="S989" s="13">
        <f t="shared" si="15"/>
        <v>-1.47</v>
      </c>
    </row>
    <row r="990" spans="1:19">
      <c r="A990" s="10" t="s">
        <v>1136</v>
      </c>
      <c r="B990" s="11" t="s">
        <v>1035</v>
      </c>
      <c r="C990" s="11" t="s">
        <v>25</v>
      </c>
      <c r="D990" s="11" t="s">
        <v>25</v>
      </c>
      <c r="E990" s="12" t="s">
        <v>1186</v>
      </c>
      <c r="F990">
        <f>VLOOKUP(E990,Legends!$G$2:$I$87,2,FALSE)</f>
        <v>433.4</v>
      </c>
      <c r="G990">
        <f>VLOOKUP(E990,Legends!$G$2:$I$87,3,FALSE)</f>
        <v>438.5</v>
      </c>
      <c r="H990" s="12">
        <v>431.5</v>
      </c>
      <c r="I990" s="11" t="s">
        <v>1122</v>
      </c>
      <c r="J990" s="11" t="s">
        <v>1203</v>
      </c>
      <c r="K990" s="11" t="s">
        <v>25</v>
      </c>
      <c r="L990" s="12">
        <v>0.27</v>
      </c>
      <c r="M990" s="11" t="s">
        <v>23</v>
      </c>
      <c r="N990" s="11" t="s">
        <v>24</v>
      </c>
      <c r="O990" s="11" t="s">
        <v>25</v>
      </c>
      <c r="P990" s="16" t="s">
        <v>25</v>
      </c>
      <c r="Q990" s="37" t="s">
        <v>25</v>
      </c>
      <c r="R990" s="11" t="s">
        <v>25</v>
      </c>
      <c r="S990" s="13">
        <f t="shared" si="15"/>
        <v>-1.6099999999999999</v>
      </c>
    </row>
    <row r="991" spans="1:19">
      <c r="A991" s="10" t="s">
        <v>1136</v>
      </c>
      <c r="B991" s="11" t="s">
        <v>1036</v>
      </c>
      <c r="C991" s="11" t="s">
        <v>25</v>
      </c>
      <c r="D991" s="11" t="s">
        <v>25</v>
      </c>
      <c r="E991" s="12" t="s">
        <v>1187</v>
      </c>
      <c r="F991">
        <f>VLOOKUP(E991,Legends!$G$2:$I$87,2,FALSE)</f>
        <v>438.5</v>
      </c>
      <c r="G991">
        <f>VLOOKUP(E991,Legends!$G$2:$I$87,3,FALSE)</f>
        <v>440.8</v>
      </c>
      <c r="H991" s="12">
        <v>432.8</v>
      </c>
      <c r="I991" s="11" t="s">
        <v>1122</v>
      </c>
      <c r="J991" s="11" t="s">
        <v>1203</v>
      </c>
      <c r="K991" s="11" t="s">
        <v>25</v>
      </c>
      <c r="L991" s="12">
        <v>0.39</v>
      </c>
      <c r="M991" s="11" t="s">
        <v>23</v>
      </c>
      <c r="N991" s="11" t="s">
        <v>24</v>
      </c>
      <c r="O991" s="11" t="s">
        <v>25</v>
      </c>
      <c r="P991" s="16" t="s">
        <v>25</v>
      </c>
      <c r="Q991" s="37" t="s">
        <v>25</v>
      </c>
      <c r="R991" s="11" t="s">
        <v>25</v>
      </c>
      <c r="S991" s="13">
        <f t="shared" si="15"/>
        <v>-1.4899999999999998</v>
      </c>
    </row>
    <row r="992" spans="1:19">
      <c r="A992" s="10" t="s">
        <v>1136</v>
      </c>
      <c r="B992" s="11" t="s">
        <v>1037</v>
      </c>
      <c r="C992" s="11" t="s">
        <v>25</v>
      </c>
      <c r="D992" s="11" t="s">
        <v>25</v>
      </c>
      <c r="E992" s="12" t="s">
        <v>1187</v>
      </c>
      <c r="F992">
        <f>VLOOKUP(E992,Legends!$G$2:$I$87,2,FALSE)</f>
        <v>438.5</v>
      </c>
      <c r="G992">
        <f>VLOOKUP(E992,Legends!$G$2:$I$87,3,FALSE)</f>
        <v>440.8</v>
      </c>
      <c r="H992" s="12">
        <v>434.5</v>
      </c>
      <c r="I992" s="11" t="s">
        <v>1122</v>
      </c>
      <c r="J992" s="11" t="s">
        <v>1203</v>
      </c>
      <c r="K992" s="11" t="s">
        <v>25</v>
      </c>
      <c r="L992" s="12">
        <v>0.28000000000000003</v>
      </c>
      <c r="M992" s="11" t="s">
        <v>23</v>
      </c>
      <c r="N992" s="11" t="s">
        <v>24</v>
      </c>
      <c r="O992" s="11" t="s">
        <v>25</v>
      </c>
      <c r="P992" s="16" t="s">
        <v>25</v>
      </c>
      <c r="Q992" s="37" t="s">
        <v>25</v>
      </c>
      <c r="R992" s="11" t="s">
        <v>25</v>
      </c>
      <c r="S992" s="13">
        <f t="shared" si="15"/>
        <v>-1.5999999999999999</v>
      </c>
    </row>
    <row r="993" spans="1:19">
      <c r="A993" s="10" t="s">
        <v>1136</v>
      </c>
      <c r="B993" s="11" t="s">
        <v>1038</v>
      </c>
      <c r="C993" s="11" t="s">
        <v>25</v>
      </c>
      <c r="D993" s="11" t="s">
        <v>25</v>
      </c>
      <c r="E993" s="12" t="s">
        <v>1187</v>
      </c>
      <c r="F993">
        <f>VLOOKUP(E993,Legends!$G$2:$I$87,2,FALSE)</f>
        <v>438.5</v>
      </c>
      <c r="G993">
        <f>VLOOKUP(E993,Legends!$G$2:$I$87,3,FALSE)</f>
        <v>440.8</v>
      </c>
      <c r="H993" s="12">
        <v>437.3</v>
      </c>
      <c r="I993" s="11" t="s">
        <v>1122</v>
      </c>
      <c r="J993" s="11" t="s">
        <v>1203</v>
      </c>
      <c r="K993" s="11" t="s">
        <v>25</v>
      </c>
      <c r="L993" s="12">
        <v>0.56999999999999995</v>
      </c>
      <c r="M993" s="11" t="s">
        <v>23</v>
      </c>
      <c r="N993" s="11" t="s">
        <v>24</v>
      </c>
      <c r="O993" s="11" t="s">
        <v>25</v>
      </c>
      <c r="P993" s="16" t="s">
        <v>25</v>
      </c>
      <c r="Q993" s="37" t="s">
        <v>25</v>
      </c>
      <c r="R993" s="11" t="s">
        <v>25</v>
      </c>
      <c r="S993" s="13">
        <f t="shared" si="15"/>
        <v>-1.31</v>
      </c>
    </row>
    <row r="994" spans="1:19">
      <c r="A994" s="10" t="s">
        <v>1136</v>
      </c>
      <c r="B994" s="11" t="s">
        <v>1039</v>
      </c>
      <c r="C994" s="11" t="s">
        <v>25</v>
      </c>
      <c r="D994" s="11" t="s">
        <v>25</v>
      </c>
      <c r="E994" s="12" t="s">
        <v>1187</v>
      </c>
      <c r="F994">
        <f>VLOOKUP(E994,Legends!$G$2:$I$87,2,FALSE)</f>
        <v>438.5</v>
      </c>
      <c r="G994">
        <f>VLOOKUP(E994,Legends!$G$2:$I$87,3,FALSE)</f>
        <v>440.8</v>
      </c>
      <c r="H994" s="12">
        <v>439.4</v>
      </c>
      <c r="I994" s="11" t="s">
        <v>1122</v>
      </c>
      <c r="J994" s="11" t="s">
        <v>1203</v>
      </c>
      <c r="K994" s="11" t="s">
        <v>25</v>
      </c>
      <c r="L994" s="12">
        <v>0.48</v>
      </c>
      <c r="M994" s="11" t="s">
        <v>23</v>
      </c>
      <c r="N994" s="11" t="s">
        <v>24</v>
      </c>
      <c r="O994" s="11" t="s">
        <v>25</v>
      </c>
      <c r="P994" s="16" t="s">
        <v>25</v>
      </c>
      <c r="Q994" s="37" t="s">
        <v>25</v>
      </c>
      <c r="R994" s="11" t="s">
        <v>25</v>
      </c>
      <c r="S994" s="13">
        <f t="shared" si="15"/>
        <v>-1.4</v>
      </c>
    </row>
    <row r="995" spans="1:19">
      <c r="A995" s="10" t="s">
        <v>1136</v>
      </c>
      <c r="B995" s="11" t="s">
        <v>1040</v>
      </c>
      <c r="C995" s="11" t="s">
        <v>25</v>
      </c>
      <c r="D995" s="11" t="s">
        <v>25</v>
      </c>
      <c r="E995" s="12" t="s">
        <v>1187</v>
      </c>
      <c r="F995">
        <f>VLOOKUP(E995,Legends!$G$2:$I$87,2,FALSE)</f>
        <v>438.5</v>
      </c>
      <c r="G995">
        <f>VLOOKUP(E995,Legends!$G$2:$I$87,3,FALSE)</f>
        <v>440.8</v>
      </c>
      <c r="H995" s="12">
        <v>439.4</v>
      </c>
      <c r="I995" s="11" t="s">
        <v>1122</v>
      </c>
      <c r="J995" s="11" t="s">
        <v>1203</v>
      </c>
      <c r="K995" s="11" t="s">
        <v>25</v>
      </c>
      <c r="L995" s="12">
        <v>0.35</v>
      </c>
      <c r="M995" s="11" t="s">
        <v>23</v>
      </c>
      <c r="N995" s="11" t="s">
        <v>24</v>
      </c>
      <c r="O995" s="11" t="s">
        <v>25</v>
      </c>
      <c r="P995" s="16" t="s">
        <v>25</v>
      </c>
      <c r="Q995" s="37" t="s">
        <v>25</v>
      </c>
      <c r="R995" s="11" t="s">
        <v>25</v>
      </c>
      <c r="S995" s="13">
        <f t="shared" si="15"/>
        <v>-1.5299999999999998</v>
      </c>
    </row>
    <row r="996" spans="1:19">
      <c r="A996" s="10" t="s">
        <v>1136</v>
      </c>
      <c r="B996" s="11" t="s">
        <v>1041</v>
      </c>
      <c r="C996" s="11" t="s">
        <v>25</v>
      </c>
      <c r="D996" s="11" t="s">
        <v>25</v>
      </c>
      <c r="E996" s="12" t="s">
        <v>1187</v>
      </c>
      <c r="F996">
        <f>VLOOKUP(E996,Legends!$G$2:$I$87,2,FALSE)</f>
        <v>438.5</v>
      </c>
      <c r="G996">
        <f>VLOOKUP(E996,Legends!$G$2:$I$87,3,FALSE)</f>
        <v>440.8</v>
      </c>
      <c r="H996" s="12">
        <v>439.4</v>
      </c>
      <c r="I996" s="11" t="s">
        <v>1122</v>
      </c>
      <c r="J996" s="11" t="s">
        <v>1203</v>
      </c>
      <c r="K996" s="11" t="s">
        <v>25</v>
      </c>
      <c r="L996" s="12">
        <v>0.53</v>
      </c>
      <c r="M996" s="11" t="s">
        <v>23</v>
      </c>
      <c r="N996" s="11" t="s">
        <v>24</v>
      </c>
      <c r="O996" s="11" t="s">
        <v>25</v>
      </c>
      <c r="P996" s="16" t="s">
        <v>25</v>
      </c>
      <c r="Q996" s="37" t="s">
        <v>25</v>
      </c>
      <c r="R996" s="11" t="s">
        <v>25</v>
      </c>
      <c r="S996" s="13">
        <f t="shared" si="15"/>
        <v>-1.3499999999999999</v>
      </c>
    </row>
    <row r="997" spans="1:19">
      <c r="A997" s="10" t="s">
        <v>1136</v>
      </c>
      <c r="B997" s="11" t="s">
        <v>1042</v>
      </c>
      <c r="C997" s="11" t="s">
        <v>25</v>
      </c>
      <c r="D997" s="11" t="s">
        <v>25</v>
      </c>
      <c r="E997" s="12" t="s">
        <v>1187</v>
      </c>
      <c r="F997">
        <f>VLOOKUP(E997,Legends!$G$2:$I$87,2,FALSE)</f>
        <v>438.5</v>
      </c>
      <c r="G997">
        <f>VLOOKUP(E997,Legends!$G$2:$I$87,3,FALSE)</f>
        <v>440.8</v>
      </c>
      <c r="H997" s="12">
        <v>439.4</v>
      </c>
      <c r="I997" s="11" t="s">
        <v>1122</v>
      </c>
      <c r="J997" s="11" t="s">
        <v>1203</v>
      </c>
      <c r="K997" s="11" t="s">
        <v>25</v>
      </c>
      <c r="L997" s="12">
        <v>0.55000000000000004</v>
      </c>
      <c r="M997" s="11" t="s">
        <v>23</v>
      </c>
      <c r="N997" s="11" t="s">
        <v>24</v>
      </c>
      <c r="O997" s="11" t="s">
        <v>25</v>
      </c>
      <c r="P997" s="16" t="s">
        <v>25</v>
      </c>
      <c r="Q997" s="37" t="s">
        <v>25</v>
      </c>
      <c r="R997" s="11" t="s">
        <v>25</v>
      </c>
      <c r="S997" s="13">
        <f t="shared" si="15"/>
        <v>-1.3299999999999998</v>
      </c>
    </row>
    <row r="998" spans="1:19">
      <c r="A998" s="10" t="s">
        <v>1136</v>
      </c>
      <c r="B998" s="11" t="s">
        <v>1043</v>
      </c>
      <c r="C998" s="11" t="s">
        <v>25</v>
      </c>
      <c r="D998" s="11" t="s">
        <v>25</v>
      </c>
      <c r="E998" s="12" t="s">
        <v>1188</v>
      </c>
      <c r="F998">
        <f>VLOOKUP(E998,Legends!$G$2:$I$87,2,FALSE)</f>
        <v>440.8</v>
      </c>
      <c r="G998">
        <f>VLOOKUP(E998,Legends!$G$2:$I$87,3,FALSE)</f>
        <v>443.8</v>
      </c>
      <c r="H998" s="12">
        <v>442.5</v>
      </c>
      <c r="I998" s="11" t="s">
        <v>1122</v>
      </c>
      <c r="J998" s="11" t="s">
        <v>1203</v>
      </c>
      <c r="K998" s="11" t="s">
        <v>25</v>
      </c>
      <c r="L998" s="12">
        <v>0.54</v>
      </c>
      <c r="M998" s="11" t="s">
        <v>23</v>
      </c>
      <c r="N998" s="11" t="s">
        <v>24</v>
      </c>
      <c r="O998" s="11" t="s">
        <v>25</v>
      </c>
      <c r="P998" s="16" t="s">
        <v>25</v>
      </c>
      <c r="Q998" s="37" t="s">
        <v>25</v>
      </c>
      <c r="R998" s="11" t="s">
        <v>25</v>
      </c>
      <c r="S998" s="13">
        <f t="shared" si="15"/>
        <v>-1.3399999999999999</v>
      </c>
    </row>
    <row r="999" spans="1:19">
      <c r="A999" s="10" t="s">
        <v>1136</v>
      </c>
      <c r="B999" s="11" t="s">
        <v>1044</v>
      </c>
      <c r="C999" s="11" t="s">
        <v>25</v>
      </c>
      <c r="D999" s="11" t="s">
        <v>25</v>
      </c>
      <c r="E999" s="12" t="s">
        <v>1189</v>
      </c>
      <c r="F999">
        <f>VLOOKUP(E999,Legends!$G$2:$I$87,2,FALSE)</f>
        <v>423</v>
      </c>
      <c r="G999">
        <f>VLOOKUP(E999,Legends!$G$2:$I$87,3,FALSE)</f>
        <v>427.4</v>
      </c>
      <c r="H999" s="12">
        <v>419.2</v>
      </c>
      <c r="I999" s="11" t="s">
        <v>1122</v>
      </c>
      <c r="J999" s="11" t="s">
        <v>1203</v>
      </c>
      <c r="K999" s="11" t="s">
        <v>25</v>
      </c>
      <c r="L999" s="12">
        <v>0.39</v>
      </c>
      <c r="M999" s="11" t="s">
        <v>23</v>
      </c>
      <c r="N999" s="11" t="s">
        <v>24</v>
      </c>
      <c r="O999" s="11" t="s">
        <v>25</v>
      </c>
      <c r="P999" s="16" t="s">
        <v>25</v>
      </c>
      <c r="Q999" s="37" t="s">
        <v>25</v>
      </c>
      <c r="R999" s="11" t="s">
        <v>25</v>
      </c>
      <c r="S999" s="13">
        <f t="shared" si="15"/>
        <v>-1.4899999999999998</v>
      </c>
    </row>
    <row r="1000" spans="1:19">
      <c r="A1000" s="10" t="s">
        <v>1136</v>
      </c>
      <c r="B1000" s="11" t="s">
        <v>1045</v>
      </c>
      <c r="C1000" s="11" t="s">
        <v>25</v>
      </c>
      <c r="D1000" s="11" t="s">
        <v>25</v>
      </c>
      <c r="E1000" s="12" t="s">
        <v>1189</v>
      </c>
      <c r="F1000">
        <f>VLOOKUP(E1000,Legends!$G$2:$I$87,2,FALSE)</f>
        <v>423</v>
      </c>
      <c r="G1000">
        <f>VLOOKUP(E1000,Legends!$G$2:$I$87,3,FALSE)</f>
        <v>427.4</v>
      </c>
      <c r="H1000" s="12">
        <v>419.2</v>
      </c>
      <c r="I1000" s="11" t="s">
        <v>1122</v>
      </c>
      <c r="J1000" s="11" t="s">
        <v>1203</v>
      </c>
      <c r="K1000" s="11" t="s">
        <v>25</v>
      </c>
      <c r="L1000" s="12">
        <v>0.47</v>
      </c>
      <c r="M1000" s="11" t="s">
        <v>23</v>
      </c>
      <c r="N1000" s="11" t="s">
        <v>24</v>
      </c>
      <c r="O1000" s="11" t="s">
        <v>25</v>
      </c>
      <c r="P1000" s="16" t="s">
        <v>25</v>
      </c>
      <c r="Q1000" s="37" t="s">
        <v>25</v>
      </c>
      <c r="R1000" s="11" t="s">
        <v>25</v>
      </c>
      <c r="S1000" s="13">
        <f t="shared" si="15"/>
        <v>-1.41</v>
      </c>
    </row>
    <row r="1001" spans="1:19">
      <c r="A1001" s="10" t="s">
        <v>1136</v>
      </c>
      <c r="B1001" s="11" t="s">
        <v>1046</v>
      </c>
      <c r="C1001" s="11" t="s">
        <v>25</v>
      </c>
      <c r="D1001" s="11" t="s">
        <v>25</v>
      </c>
      <c r="E1001" s="12" t="s">
        <v>1189</v>
      </c>
      <c r="F1001">
        <f>VLOOKUP(E1001,Legends!$G$2:$I$87,2,FALSE)</f>
        <v>423</v>
      </c>
      <c r="G1001">
        <f>VLOOKUP(E1001,Legends!$G$2:$I$87,3,FALSE)</f>
        <v>427.4</v>
      </c>
      <c r="H1001" s="12">
        <v>419.2</v>
      </c>
      <c r="I1001" s="11" t="s">
        <v>1122</v>
      </c>
      <c r="J1001" s="11" t="s">
        <v>1203</v>
      </c>
      <c r="K1001" s="11" t="s">
        <v>25</v>
      </c>
      <c r="L1001" s="12">
        <v>0.39</v>
      </c>
      <c r="M1001" s="11" t="s">
        <v>23</v>
      </c>
      <c r="N1001" s="11" t="s">
        <v>24</v>
      </c>
      <c r="O1001" s="11" t="s">
        <v>25</v>
      </c>
      <c r="P1001" s="16" t="s">
        <v>25</v>
      </c>
      <c r="Q1001" s="37" t="s">
        <v>25</v>
      </c>
      <c r="R1001" s="11" t="s">
        <v>25</v>
      </c>
      <c r="S1001" s="13">
        <f t="shared" si="15"/>
        <v>-1.4899999999999998</v>
      </c>
    </row>
    <row r="1002" spans="1:19">
      <c r="A1002" s="10" t="s">
        <v>1136</v>
      </c>
      <c r="B1002" s="11" t="s">
        <v>1047</v>
      </c>
      <c r="C1002" s="11" t="s">
        <v>25</v>
      </c>
      <c r="D1002" s="11" t="s">
        <v>25</v>
      </c>
      <c r="E1002" s="12" t="s">
        <v>1189</v>
      </c>
      <c r="F1002">
        <f>VLOOKUP(E1002,Legends!$G$2:$I$87,2,FALSE)</f>
        <v>423</v>
      </c>
      <c r="G1002">
        <f>VLOOKUP(E1002,Legends!$G$2:$I$87,3,FALSE)</f>
        <v>427.4</v>
      </c>
      <c r="H1002" s="12">
        <v>419.4</v>
      </c>
      <c r="I1002" s="11" t="s">
        <v>1122</v>
      </c>
      <c r="J1002" s="11" t="s">
        <v>1203</v>
      </c>
      <c r="K1002" s="11" t="s">
        <v>25</v>
      </c>
      <c r="L1002" s="12">
        <v>0.43999999999999995</v>
      </c>
      <c r="M1002" s="11" t="s">
        <v>23</v>
      </c>
      <c r="N1002" s="11" t="s">
        <v>24</v>
      </c>
      <c r="O1002" s="11" t="s">
        <v>25</v>
      </c>
      <c r="P1002" s="16" t="s">
        <v>25</v>
      </c>
      <c r="Q1002" s="37" t="s">
        <v>25</v>
      </c>
      <c r="R1002" s="11" t="s">
        <v>25</v>
      </c>
      <c r="S1002" s="13">
        <f t="shared" si="15"/>
        <v>-1.44</v>
      </c>
    </row>
    <row r="1003" spans="1:19">
      <c r="A1003" s="10" t="s">
        <v>1136</v>
      </c>
      <c r="B1003" s="11" t="s">
        <v>1048</v>
      </c>
      <c r="C1003" s="11" t="s">
        <v>25</v>
      </c>
      <c r="D1003" s="11" t="s">
        <v>25</v>
      </c>
      <c r="E1003" s="12" t="s">
        <v>1189</v>
      </c>
      <c r="F1003">
        <f>VLOOKUP(E1003,Legends!$G$2:$I$87,2,FALSE)</f>
        <v>423</v>
      </c>
      <c r="G1003">
        <f>VLOOKUP(E1003,Legends!$G$2:$I$87,3,FALSE)</f>
        <v>427.4</v>
      </c>
      <c r="H1003" s="12">
        <v>420.9</v>
      </c>
      <c r="I1003" s="11" t="s">
        <v>1122</v>
      </c>
      <c r="J1003" s="11" t="s">
        <v>1203</v>
      </c>
      <c r="K1003" s="11" t="s">
        <v>25</v>
      </c>
      <c r="L1003" s="12">
        <v>0.39</v>
      </c>
      <c r="M1003" s="11" t="s">
        <v>23</v>
      </c>
      <c r="N1003" s="11" t="s">
        <v>24</v>
      </c>
      <c r="O1003" s="11" t="s">
        <v>25</v>
      </c>
      <c r="P1003" s="16" t="s">
        <v>25</v>
      </c>
      <c r="Q1003" s="37" t="s">
        <v>25</v>
      </c>
      <c r="R1003" s="11" t="s">
        <v>25</v>
      </c>
      <c r="S1003" s="13">
        <f t="shared" si="15"/>
        <v>-1.4899999999999998</v>
      </c>
    </row>
    <row r="1004" spans="1:19">
      <c r="A1004" s="10" t="s">
        <v>1136</v>
      </c>
      <c r="B1004" s="11" t="s">
        <v>1049</v>
      </c>
      <c r="C1004" s="11" t="s">
        <v>25</v>
      </c>
      <c r="D1004" s="11" t="s">
        <v>25</v>
      </c>
      <c r="E1004" s="12" t="s">
        <v>1189</v>
      </c>
      <c r="F1004">
        <f>VLOOKUP(E1004,Legends!$G$2:$I$87,2,FALSE)</f>
        <v>423</v>
      </c>
      <c r="G1004">
        <f>VLOOKUP(E1004,Legends!$G$2:$I$87,3,FALSE)</f>
        <v>427.4</v>
      </c>
      <c r="H1004" s="12">
        <v>420.9</v>
      </c>
      <c r="I1004" s="11" t="s">
        <v>1122</v>
      </c>
      <c r="J1004" s="11" t="s">
        <v>1203</v>
      </c>
      <c r="K1004" s="11" t="s">
        <v>25</v>
      </c>
      <c r="L1004" s="12">
        <v>0.37</v>
      </c>
      <c r="M1004" s="11" t="s">
        <v>23</v>
      </c>
      <c r="N1004" s="11" t="s">
        <v>24</v>
      </c>
      <c r="O1004" s="11" t="s">
        <v>25</v>
      </c>
      <c r="P1004" s="16" t="s">
        <v>25</v>
      </c>
      <c r="Q1004" s="37" t="s">
        <v>25</v>
      </c>
      <c r="R1004" s="11" t="s">
        <v>25</v>
      </c>
      <c r="S1004" s="13">
        <f t="shared" si="15"/>
        <v>-1.5099999999999998</v>
      </c>
    </row>
    <row r="1005" spans="1:19">
      <c r="A1005" s="10" t="s">
        <v>1136</v>
      </c>
      <c r="B1005" s="11" t="s">
        <v>1050</v>
      </c>
      <c r="C1005" s="11" t="s">
        <v>25</v>
      </c>
      <c r="D1005" s="11" t="s">
        <v>25</v>
      </c>
      <c r="E1005" s="12" t="s">
        <v>1189</v>
      </c>
      <c r="F1005">
        <f>VLOOKUP(E1005,Legends!$G$2:$I$87,2,FALSE)</f>
        <v>423</v>
      </c>
      <c r="G1005">
        <f>VLOOKUP(E1005,Legends!$G$2:$I$87,3,FALSE)</f>
        <v>427.4</v>
      </c>
      <c r="H1005" s="12">
        <v>420.9</v>
      </c>
      <c r="I1005" s="11" t="s">
        <v>1122</v>
      </c>
      <c r="J1005" s="11" t="s">
        <v>1203</v>
      </c>
      <c r="K1005" s="11" t="s">
        <v>25</v>
      </c>
      <c r="L1005" s="12">
        <v>0.4</v>
      </c>
      <c r="M1005" s="11" t="s">
        <v>23</v>
      </c>
      <c r="N1005" s="11" t="s">
        <v>24</v>
      </c>
      <c r="O1005" s="11" t="s">
        <v>25</v>
      </c>
      <c r="P1005" s="16" t="s">
        <v>25</v>
      </c>
      <c r="Q1005" s="37" t="s">
        <v>25</v>
      </c>
      <c r="R1005" s="11" t="s">
        <v>25</v>
      </c>
      <c r="S1005" s="13">
        <f t="shared" si="15"/>
        <v>-1.48</v>
      </c>
    </row>
    <row r="1006" spans="1:19">
      <c r="A1006" s="10" t="s">
        <v>1136</v>
      </c>
      <c r="B1006" s="11" t="s">
        <v>1051</v>
      </c>
      <c r="C1006" s="11" t="s">
        <v>25</v>
      </c>
      <c r="D1006" s="11" t="s">
        <v>25</v>
      </c>
      <c r="E1006" s="12" t="s">
        <v>1189</v>
      </c>
      <c r="F1006">
        <f>VLOOKUP(E1006,Legends!$G$2:$I$87,2,FALSE)</f>
        <v>423</v>
      </c>
      <c r="G1006">
        <f>VLOOKUP(E1006,Legends!$G$2:$I$87,3,FALSE)</f>
        <v>427.4</v>
      </c>
      <c r="H1006" s="12">
        <v>420.9</v>
      </c>
      <c r="I1006" s="11" t="s">
        <v>1122</v>
      </c>
      <c r="J1006" s="11" t="s">
        <v>1203</v>
      </c>
      <c r="K1006" s="11" t="s">
        <v>25</v>
      </c>
      <c r="L1006" s="12">
        <v>0.33999999999999997</v>
      </c>
      <c r="M1006" s="11" t="s">
        <v>23</v>
      </c>
      <c r="N1006" s="11" t="s">
        <v>24</v>
      </c>
      <c r="O1006" s="11" t="s">
        <v>25</v>
      </c>
      <c r="P1006" s="16" t="s">
        <v>25</v>
      </c>
      <c r="Q1006" s="37" t="s">
        <v>25</v>
      </c>
      <c r="R1006" s="11" t="s">
        <v>25</v>
      </c>
      <c r="S1006" s="13">
        <f t="shared" si="15"/>
        <v>-1.54</v>
      </c>
    </row>
    <row r="1007" spans="1:19">
      <c r="A1007" s="10" t="s">
        <v>1136</v>
      </c>
      <c r="B1007" s="11" t="s">
        <v>1052</v>
      </c>
      <c r="C1007" s="11" t="s">
        <v>25</v>
      </c>
      <c r="D1007" s="11" t="s">
        <v>25</v>
      </c>
      <c r="E1007" s="12" t="s">
        <v>1190</v>
      </c>
      <c r="F1007">
        <f>VLOOKUP(E1007,Legends!$G$2:$I$87,2,FALSE)</f>
        <v>427.4</v>
      </c>
      <c r="G1007">
        <f>VLOOKUP(E1007,Legends!$G$2:$I$87,3,FALSE)</f>
        <v>433.4</v>
      </c>
      <c r="H1007" s="12">
        <v>423</v>
      </c>
      <c r="I1007" s="11" t="s">
        <v>1122</v>
      </c>
      <c r="J1007" s="11" t="s">
        <v>1203</v>
      </c>
      <c r="K1007" s="11" t="s">
        <v>25</v>
      </c>
      <c r="L1007" s="12">
        <v>0.31</v>
      </c>
      <c r="M1007" s="11" t="s">
        <v>23</v>
      </c>
      <c r="N1007" s="11" t="s">
        <v>24</v>
      </c>
      <c r="O1007" s="11" t="s">
        <v>25</v>
      </c>
      <c r="P1007" s="16" t="s">
        <v>25</v>
      </c>
      <c r="Q1007" s="37" t="s">
        <v>25</v>
      </c>
      <c r="R1007" s="11" t="s">
        <v>25</v>
      </c>
      <c r="S1007" s="13">
        <f t="shared" si="15"/>
        <v>-1.5699999999999998</v>
      </c>
    </row>
    <row r="1008" spans="1:19">
      <c r="A1008" s="10" t="s">
        <v>1136</v>
      </c>
      <c r="B1008" s="11" t="s">
        <v>1053</v>
      </c>
      <c r="C1008" s="11" t="s">
        <v>25</v>
      </c>
      <c r="D1008" s="11" t="s">
        <v>25</v>
      </c>
      <c r="E1008" s="12" t="s">
        <v>1190</v>
      </c>
      <c r="F1008">
        <f>VLOOKUP(E1008,Legends!$G$2:$I$87,2,FALSE)</f>
        <v>427.4</v>
      </c>
      <c r="G1008">
        <f>VLOOKUP(E1008,Legends!$G$2:$I$87,3,FALSE)</f>
        <v>433.4</v>
      </c>
      <c r="H1008" s="12">
        <v>423.7</v>
      </c>
      <c r="I1008" s="11" t="s">
        <v>1122</v>
      </c>
      <c r="J1008" s="11" t="s">
        <v>1203</v>
      </c>
      <c r="K1008" s="11" t="s">
        <v>25</v>
      </c>
      <c r="L1008" s="12">
        <v>0.29000000000000004</v>
      </c>
      <c r="M1008" s="11" t="s">
        <v>23</v>
      </c>
      <c r="N1008" s="11" t="s">
        <v>24</v>
      </c>
      <c r="O1008" s="11" t="s">
        <v>25</v>
      </c>
      <c r="P1008" s="16" t="s">
        <v>25</v>
      </c>
      <c r="Q1008" s="37" t="s">
        <v>25</v>
      </c>
      <c r="R1008" s="11" t="s">
        <v>25</v>
      </c>
      <c r="S1008" s="13">
        <f t="shared" si="15"/>
        <v>-1.5899999999999999</v>
      </c>
    </row>
    <row r="1009" spans="1:19">
      <c r="A1009" s="10" t="s">
        <v>1136</v>
      </c>
      <c r="B1009" s="11" t="s">
        <v>1054</v>
      </c>
      <c r="C1009" s="11" t="s">
        <v>25</v>
      </c>
      <c r="D1009" s="11" t="s">
        <v>25</v>
      </c>
      <c r="E1009" s="12" t="s">
        <v>1190</v>
      </c>
      <c r="F1009">
        <f>VLOOKUP(E1009,Legends!$G$2:$I$87,2,FALSE)</f>
        <v>427.4</v>
      </c>
      <c r="G1009">
        <f>VLOOKUP(E1009,Legends!$G$2:$I$87,3,FALSE)</f>
        <v>433.4</v>
      </c>
      <c r="H1009" s="12">
        <v>424.1</v>
      </c>
      <c r="I1009" s="11" t="s">
        <v>1122</v>
      </c>
      <c r="J1009" s="11" t="s">
        <v>1203</v>
      </c>
      <c r="K1009" s="11" t="s">
        <v>25</v>
      </c>
      <c r="L1009" s="12">
        <v>0.35</v>
      </c>
      <c r="M1009" s="11" t="s">
        <v>23</v>
      </c>
      <c r="N1009" s="11" t="s">
        <v>24</v>
      </c>
      <c r="O1009" s="11" t="s">
        <v>25</v>
      </c>
      <c r="P1009" s="16" t="s">
        <v>25</v>
      </c>
      <c r="Q1009" s="37" t="s">
        <v>25</v>
      </c>
      <c r="R1009" s="11" t="s">
        <v>25</v>
      </c>
      <c r="S1009" s="13">
        <f t="shared" si="15"/>
        <v>-1.5299999999999998</v>
      </c>
    </row>
    <row r="1010" spans="1:19">
      <c r="A1010" s="10" t="s">
        <v>1136</v>
      </c>
      <c r="B1010" s="11" t="s">
        <v>1055</v>
      </c>
      <c r="C1010" s="11" t="s">
        <v>25</v>
      </c>
      <c r="D1010" s="11" t="s">
        <v>25</v>
      </c>
      <c r="E1010" s="12" t="s">
        <v>1190</v>
      </c>
      <c r="F1010">
        <f>VLOOKUP(E1010,Legends!$G$2:$I$87,2,FALSE)</f>
        <v>427.4</v>
      </c>
      <c r="G1010">
        <f>VLOOKUP(E1010,Legends!$G$2:$I$87,3,FALSE)</f>
        <v>433.4</v>
      </c>
      <c r="H1010" s="12">
        <v>425.3</v>
      </c>
      <c r="I1010" s="11" t="s">
        <v>1122</v>
      </c>
      <c r="J1010" s="11" t="s">
        <v>1203</v>
      </c>
      <c r="K1010" s="11" t="s">
        <v>25</v>
      </c>
      <c r="L1010" s="12">
        <v>0.32999999999999996</v>
      </c>
      <c r="M1010" s="11" t="s">
        <v>23</v>
      </c>
      <c r="N1010" s="11" t="s">
        <v>24</v>
      </c>
      <c r="O1010" s="11" t="s">
        <v>25</v>
      </c>
      <c r="P1010" s="16" t="s">
        <v>25</v>
      </c>
      <c r="Q1010" s="37" t="s">
        <v>25</v>
      </c>
      <c r="R1010" s="11" t="s">
        <v>25</v>
      </c>
      <c r="S1010" s="13">
        <f t="shared" si="15"/>
        <v>-1.5499999999999998</v>
      </c>
    </row>
    <row r="1011" spans="1:19">
      <c r="A1011" s="10" t="s">
        <v>1136</v>
      </c>
      <c r="B1011" s="11" t="s">
        <v>1056</v>
      </c>
      <c r="C1011" s="11" t="s">
        <v>25</v>
      </c>
      <c r="D1011" s="11" t="s">
        <v>25</v>
      </c>
      <c r="E1011" s="12" t="s">
        <v>1190</v>
      </c>
      <c r="F1011">
        <f>VLOOKUP(E1011,Legends!$G$2:$I$87,2,FALSE)</f>
        <v>427.4</v>
      </c>
      <c r="G1011">
        <f>VLOOKUP(E1011,Legends!$G$2:$I$87,3,FALSE)</f>
        <v>433.4</v>
      </c>
      <c r="H1011" s="12">
        <v>425.3</v>
      </c>
      <c r="I1011" s="11" t="s">
        <v>1122</v>
      </c>
      <c r="J1011" s="11" t="s">
        <v>1203</v>
      </c>
      <c r="K1011" s="11" t="s">
        <v>25</v>
      </c>
      <c r="L1011" s="12">
        <v>0.4</v>
      </c>
      <c r="M1011" s="11" t="s">
        <v>23</v>
      </c>
      <c r="N1011" s="11" t="s">
        <v>24</v>
      </c>
      <c r="O1011" s="11" t="s">
        <v>25</v>
      </c>
      <c r="P1011" s="16" t="s">
        <v>25</v>
      </c>
      <c r="Q1011" s="37" t="s">
        <v>25</v>
      </c>
      <c r="R1011" s="11" t="s">
        <v>25</v>
      </c>
      <c r="S1011" s="13">
        <f t="shared" si="15"/>
        <v>-1.48</v>
      </c>
    </row>
    <row r="1012" spans="1:19">
      <c r="A1012" s="10" t="s">
        <v>1136</v>
      </c>
      <c r="B1012" s="11" t="s">
        <v>1057</v>
      </c>
      <c r="C1012" s="11" t="s">
        <v>25</v>
      </c>
      <c r="D1012" s="11" t="s">
        <v>25</v>
      </c>
      <c r="E1012" s="12" t="s">
        <v>1190</v>
      </c>
      <c r="F1012">
        <f>VLOOKUP(E1012,Legends!$G$2:$I$87,2,FALSE)</f>
        <v>427.4</v>
      </c>
      <c r="G1012">
        <f>VLOOKUP(E1012,Legends!$G$2:$I$87,3,FALSE)</f>
        <v>433.4</v>
      </c>
      <c r="H1012" s="12">
        <v>426.9</v>
      </c>
      <c r="I1012" s="11" t="s">
        <v>1122</v>
      </c>
      <c r="J1012" s="11" t="s">
        <v>1203</v>
      </c>
      <c r="K1012" s="11" t="s">
        <v>25</v>
      </c>
      <c r="L1012" s="12">
        <v>0.39</v>
      </c>
      <c r="M1012" s="11" t="s">
        <v>23</v>
      </c>
      <c r="N1012" s="11" t="s">
        <v>24</v>
      </c>
      <c r="O1012" s="11" t="s">
        <v>25</v>
      </c>
      <c r="P1012" s="16" t="s">
        <v>25</v>
      </c>
      <c r="Q1012" s="37" t="s">
        <v>25</v>
      </c>
      <c r="R1012" s="11" t="s">
        <v>25</v>
      </c>
      <c r="S1012" s="13">
        <f t="shared" si="15"/>
        <v>-1.4899999999999998</v>
      </c>
    </row>
    <row r="1013" spans="1:19">
      <c r="A1013" s="10" t="s">
        <v>1136</v>
      </c>
      <c r="B1013" s="11" t="s">
        <v>1058</v>
      </c>
      <c r="C1013" s="11" t="s">
        <v>25</v>
      </c>
      <c r="D1013" s="11" t="s">
        <v>25</v>
      </c>
      <c r="E1013" s="12" t="s">
        <v>1190</v>
      </c>
      <c r="F1013">
        <f>VLOOKUP(E1013,Legends!$G$2:$I$87,2,FALSE)</f>
        <v>427.4</v>
      </c>
      <c r="G1013">
        <f>VLOOKUP(E1013,Legends!$G$2:$I$87,3,FALSE)</f>
        <v>433.4</v>
      </c>
      <c r="H1013" s="12">
        <v>427.6</v>
      </c>
      <c r="I1013" s="11" t="s">
        <v>1122</v>
      </c>
      <c r="J1013" s="11" t="s">
        <v>1203</v>
      </c>
      <c r="K1013" s="11" t="s">
        <v>25</v>
      </c>
      <c r="L1013" s="12">
        <v>0.41000000000000003</v>
      </c>
      <c r="M1013" s="11" t="s">
        <v>23</v>
      </c>
      <c r="N1013" s="11" t="s">
        <v>24</v>
      </c>
      <c r="O1013" s="11" t="s">
        <v>25</v>
      </c>
      <c r="P1013" s="16" t="s">
        <v>25</v>
      </c>
      <c r="Q1013" s="37" t="s">
        <v>25</v>
      </c>
      <c r="R1013" s="11" t="s">
        <v>25</v>
      </c>
      <c r="S1013" s="13">
        <f t="shared" si="15"/>
        <v>-1.4699999999999998</v>
      </c>
    </row>
    <row r="1014" spans="1:19">
      <c r="A1014" s="10" t="s">
        <v>1136</v>
      </c>
      <c r="B1014" s="11" t="s">
        <v>1059</v>
      </c>
      <c r="C1014" s="11" t="s">
        <v>25</v>
      </c>
      <c r="D1014" s="11" t="s">
        <v>25</v>
      </c>
      <c r="E1014" s="12" t="s">
        <v>1190</v>
      </c>
      <c r="F1014">
        <f>VLOOKUP(E1014,Legends!$G$2:$I$87,2,FALSE)</f>
        <v>427.4</v>
      </c>
      <c r="G1014">
        <f>VLOOKUP(E1014,Legends!$G$2:$I$87,3,FALSE)</f>
        <v>433.4</v>
      </c>
      <c r="H1014" s="12">
        <v>427.6</v>
      </c>
      <c r="I1014" s="11" t="s">
        <v>1122</v>
      </c>
      <c r="J1014" s="11" t="s">
        <v>1203</v>
      </c>
      <c r="K1014" s="11" t="s">
        <v>25</v>
      </c>
      <c r="L1014" s="12">
        <v>0.4</v>
      </c>
      <c r="M1014" s="11" t="s">
        <v>23</v>
      </c>
      <c r="N1014" s="11" t="s">
        <v>24</v>
      </c>
      <c r="O1014" s="11" t="s">
        <v>25</v>
      </c>
      <c r="P1014" s="16" t="s">
        <v>25</v>
      </c>
      <c r="Q1014" s="37" t="s">
        <v>25</v>
      </c>
      <c r="R1014" s="11" t="s">
        <v>25</v>
      </c>
      <c r="S1014" s="13">
        <f t="shared" si="15"/>
        <v>-1.48</v>
      </c>
    </row>
    <row r="1015" spans="1:19">
      <c r="A1015" s="10" t="s">
        <v>1136</v>
      </c>
      <c r="B1015" s="11" t="s">
        <v>1060</v>
      </c>
      <c r="C1015" s="11" t="s">
        <v>25</v>
      </c>
      <c r="D1015" s="11" t="s">
        <v>25</v>
      </c>
      <c r="E1015" s="12" t="s">
        <v>1191</v>
      </c>
      <c r="F1015">
        <f>VLOOKUP(E1015,Legends!$G$2:$I$87,2,FALSE)</f>
        <v>443.8</v>
      </c>
      <c r="G1015">
        <f>VLOOKUP(E1015,Legends!$G$2:$I$87,3,FALSE)</f>
        <v>445.2</v>
      </c>
      <c r="H1015" s="12">
        <v>444.5</v>
      </c>
      <c r="I1015" s="11" t="s">
        <v>1122</v>
      </c>
      <c r="J1015" s="11" t="s">
        <v>1203</v>
      </c>
      <c r="K1015" s="11" t="s">
        <v>25</v>
      </c>
      <c r="L1015" s="12">
        <v>0.38</v>
      </c>
      <c r="M1015" s="11" t="s">
        <v>23</v>
      </c>
      <c r="N1015" s="11" t="s">
        <v>24</v>
      </c>
      <c r="O1015" s="11" t="s">
        <v>25</v>
      </c>
      <c r="P1015" s="16" t="s">
        <v>25</v>
      </c>
      <c r="Q1015" s="37" t="s">
        <v>25</v>
      </c>
      <c r="R1015" s="11" t="s">
        <v>25</v>
      </c>
      <c r="S1015" s="13">
        <f t="shared" si="15"/>
        <v>-1.5</v>
      </c>
    </row>
    <row r="1016" spans="1:19">
      <c r="A1016" s="10" t="s">
        <v>1136</v>
      </c>
      <c r="B1016" s="11" t="s">
        <v>1061</v>
      </c>
      <c r="C1016" s="11" t="s">
        <v>25</v>
      </c>
      <c r="D1016" s="11" t="s">
        <v>25</v>
      </c>
      <c r="E1016" s="12" t="s">
        <v>1191</v>
      </c>
      <c r="F1016">
        <f>VLOOKUP(E1016,Legends!$G$2:$I$87,2,FALSE)</f>
        <v>443.8</v>
      </c>
      <c r="G1016">
        <f>VLOOKUP(E1016,Legends!$G$2:$I$87,3,FALSE)</f>
        <v>445.2</v>
      </c>
      <c r="H1016" s="12">
        <v>444.5</v>
      </c>
      <c r="I1016" s="11" t="s">
        <v>1122</v>
      </c>
      <c r="J1016" s="11" t="s">
        <v>1203</v>
      </c>
      <c r="K1016" s="11" t="s">
        <v>25</v>
      </c>
      <c r="L1016" s="12">
        <v>0.17</v>
      </c>
      <c r="M1016" s="11" t="s">
        <v>23</v>
      </c>
      <c r="N1016" s="11" t="s">
        <v>24</v>
      </c>
      <c r="O1016" s="11" t="s">
        <v>25</v>
      </c>
      <c r="P1016" s="16" t="s">
        <v>25</v>
      </c>
      <c r="Q1016" s="37" t="s">
        <v>25</v>
      </c>
      <c r="R1016" s="11" t="s">
        <v>25</v>
      </c>
      <c r="S1016" s="13">
        <f t="shared" si="15"/>
        <v>-1.71</v>
      </c>
    </row>
    <row r="1017" spans="1:19">
      <c r="A1017" s="10" t="s">
        <v>1136</v>
      </c>
      <c r="B1017" s="11" t="s">
        <v>1062</v>
      </c>
      <c r="C1017" s="11" t="s">
        <v>25</v>
      </c>
      <c r="D1017" s="11" t="s">
        <v>25</v>
      </c>
      <c r="E1017" s="12" t="s">
        <v>1192</v>
      </c>
      <c r="F1017">
        <f>VLOOKUP(E1017,Legends!$G$2:$I$87,2,FALSE)</f>
        <v>444.7</v>
      </c>
      <c r="G1017">
        <f>VLOOKUP(E1017,Legends!$G$2:$I$87,3,FALSE)</f>
        <v>445.2</v>
      </c>
      <c r="H1017" s="12">
        <v>445.2</v>
      </c>
      <c r="I1017" s="11" t="s">
        <v>1122</v>
      </c>
      <c r="J1017" s="11" t="s">
        <v>1203</v>
      </c>
      <c r="K1017" s="11" t="s">
        <v>25</v>
      </c>
      <c r="L1017" s="12">
        <v>0.41</v>
      </c>
      <c r="M1017" s="11" t="s">
        <v>23</v>
      </c>
      <c r="N1017" s="11" t="s">
        <v>24</v>
      </c>
      <c r="O1017" s="11" t="s">
        <v>25</v>
      </c>
      <c r="P1017" s="16" t="s">
        <v>25</v>
      </c>
      <c r="Q1017" s="37" t="s">
        <v>25</v>
      </c>
      <c r="R1017" s="11" t="s">
        <v>25</v>
      </c>
      <c r="S1017" s="13">
        <f t="shared" si="15"/>
        <v>-1.47</v>
      </c>
    </row>
    <row r="1018" spans="1:19">
      <c r="A1018" s="10" t="s">
        <v>1136</v>
      </c>
      <c r="B1018" s="11" t="s">
        <v>1063</v>
      </c>
      <c r="C1018" s="11" t="s">
        <v>25</v>
      </c>
      <c r="D1018" s="11" t="s">
        <v>25</v>
      </c>
      <c r="E1018" s="12" t="s">
        <v>1193</v>
      </c>
      <c r="F1018">
        <f>VLOOKUP(E1018,Legends!$G$2:$I$87,2,FALSE)</f>
        <v>444.1</v>
      </c>
      <c r="G1018">
        <f>VLOOKUP(E1018,Legends!$G$2:$I$87,3,FALSE)</f>
        <v>444.7</v>
      </c>
      <c r="H1018" s="12">
        <v>445.5</v>
      </c>
      <c r="I1018" s="11" t="s">
        <v>1122</v>
      </c>
      <c r="J1018" s="11" t="s">
        <v>1203</v>
      </c>
      <c r="K1018" s="11" t="s">
        <v>25</v>
      </c>
      <c r="L1018" s="12">
        <v>0.3</v>
      </c>
      <c r="M1018" s="11" t="s">
        <v>23</v>
      </c>
      <c r="N1018" s="11" t="s">
        <v>24</v>
      </c>
      <c r="O1018" s="11" t="s">
        <v>25</v>
      </c>
      <c r="P1018" s="16" t="s">
        <v>25</v>
      </c>
      <c r="Q1018" s="37" t="s">
        <v>25</v>
      </c>
      <c r="R1018" s="11" t="s">
        <v>25</v>
      </c>
      <c r="S1018" s="13">
        <f t="shared" si="15"/>
        <v>-1.5799999999999998</v>
      </c>
    </row>
    <row r="1019" spans="1:19">
      <c r="A1019" s="10" t="s">
        <v>1136</v>
      </c>
      <c r="B1019" s="11" t="s">
        <v>1064</v>
      </c>
      <c r="C1019" s="11" t="s">
        <v>25</v>
      </c>
      <c r="D1019" s="11" t="s">
        <v>25</v>
      </c>
      <c r="E1019" s="12" t="s">
        <v>1192</v>
      </c>
      <c r="F1019">
        <f>VLOOKUP(E1019,Legends!$G$2:$I$87,2,FALSE)</f>
        <v>444.7</v>
      </c>
      <c r="G1019">
        <f>VLOOKUP(E1019,Legends!$G$2:$I$87,3,FALSE)</f>
        <v>445.2</v>
      </c>
      <c r="H1019" s="12">
        <v>445.8</v>
      </c>
      <c r="I1019" s="11" t="s">
        <v>1122</v>
      </c>
      <c r="J1019" s="11" t="s">
        <v>1203</v>
      </c>
      <c r="K1019" s="11" t="s">
        <v>25</v>
      </c>
      <c r="L1019" s="12">
        <v>0.57999999999999996</v>
      </c>
      <c r="M1019" s="11" t="s">
        <v>23</v>
      </c>
      <c r="N1019" s="11" t="s">
        <v>24</v>
      </c>
      <c r="O1019" s="11" t="s">
        <v>25</v>
      </c>
      <c r="P1019" s="16" t="s">
        <v>25</v>
      </c>
      <c r="Q1019" s="37" t="s">
        <v>25</v>
      </c>
      <c r="R1019" s="11" t="s">
        <v>25</v>
      </c>
      <c r="S1019" s="13">
        <f t="shared" si="15"/>
        <v>-1.2999999999999998</v>
      </c>
    </row>
    <row r="1020" spans="1:19">
      <c r="A1020" s="10" t="s">
        <v>1136</v>
      </c>
      <c r="B1020" s="11" t="s">
        <v>1065</v>
      </c>
      <c r="C1020" s="11" t="s">
        <v>25</v>
      </c>
      <c r="D1020" s="11" t="s">
        <v>25</v>
      </c>
      <c r="E1020" s="12" t="s">
        <v>1192</v>
      </c>
      <c r="F1020">
        <f>VLOOKUP(E1020,Legends!$G$2:$I$87,2,FALSE)</f>
        <v>444.7</v>
      </c>
      <c r="G1020">
        <f>VLOOKUP(E1020,Legends!$G$2:$I$87,3,FALSE)</f>
        <v>445.2</v>
      </c>
      <c r="H1020" s="12">
        <v>445.8</v>
      </c>
      <c r="I1020" s="11" t="s">
        <v>1122</v>
      </c>
      <c r="J1020" s="11" t="s">
        <v>1203</v>
      </c>
      <c r="K1020" s="11" t="s">
        <v>25</v>
      </c>
      <c r="L1020" s="12">
        <v>0.52</v>
      </c>
      <c r="M1020" s="11" t="s">
        <v>23</v>
      </c>
      <c r="N1020" s="11" t="s">
        <v>24</v>
      </c>
      <c r="O1020" s="11" t="s">
        <v>25</v>
      </c>
      <c r="P1020" s="16" t="s">
        <v>25</v>
      </c>
      <c r="Q1020" s="37" t="s">
        <v>25</v>
      </c>
      <c r="R1020" s="11" t="s">
        <v>25</v>
      </c>
      <c r="S1020" s="13">
        <f t="shared" si="15"/>
        <v>-1.3599999999999999</v>
      </c>
    </row>
    <row r="1021" spans="1:19">
      <c r="A1021" s="10" t="s">
        <v>1136</v>
      </c>
      <c r="B1021" s="11" t="s">
        <v>1066</v>
      </c>
      <c r="C1021" s="11" t="s">
        <v>25</v>
      </c>
      <c r="D1021" s="11" t="s">
        <v>25</v>
      </c>
      <c r="E1021" s="12" t="s">
        <v>1192</v>
      </c>
      <c r="F1021">
        <f>VLOOKUP(E1021,Legends!$G$2:$I$87,2,FALSE)</f>
        <v>444.7</v>
      </c>
      <c r="G1021">
        <f>VLOOKUP(E1021,Legends!$G$2:$I$87,3,FALSE)</f>
        <v>445.2</v>
      </c>
      <c r="H1021" s="12">
        <v>446.3</v>
      </c>
      <c r="I1021" s="11" t="s">
        <v>1122</v>
      </c>
      <c r="J1021" s="11" t="s">
        <v>1203</v>
      </c>
      <c r="K1021" s="11" t="s">
        <v>25</v>
      </c>
      <c r="L1021" s="12">
        <v>0.51</v>
      </c>
      <c r="M1021" s="11" t="s">
        <v>23</v>
      </c>
      <c r="N1021" s="11" t="s">
        <v>24</v>
      </c>
      <c r="O1021" s="11" t="s">
        <v>25</v>
      </c>
      <c r="P1021" s="16" t="s">
        <v>25</v>
      </c>
      <c r="Q1021" s="37" t="s">
        <v>25</v>
      </c>
      <c r="R1021" s="11" t="s">
        <v>25</v>
      </c>
      <c r="S1021" s="13">
        <f t="shared" si="15"/>
        <v>-1.3699999999999999</v>
      </c>
    </row>
    <row r="1022" spans="1:19">
      <c r="A1022" s="10" t="s">
        <v>1136</v>
      </c>
      <c r="B1022" s="11" t="s">
        <v>1067</v>
      </c>
      <c r="C1022" s="11" t="s">
        <v>25</v>
      </c>
      <c r="D1022" s="11" t="s">
        <v>25</v>
      </c>
      <c r="E1022" s="12" t="s">
        <v>1192</v>
      </c>
      <c r="F1022">
        <f>VLOOKUP(E1022,Legends!$G$2:$I$87,2,FALSE)</f>
        <v>444.7</v>
      </c>
      <c r="G1022">
        <f>VLOOKUP(E1022,Legends!$G$2:$I$87,3,FALSE)</f>
        <v>445.2</v>
      </c>
      <c r="H1022" s="12">
        <v>446.7</v>
      </c>
      <c r="I1022" s="11" t="s">
        <v>1122</v>
      </c>
      <c r="J1022" s="11" t="s">
        <v>1203</v>
      </c>
      <c r="K1022" s="11" t="s">
        <v>25</v>
      </c>
      <c r="L1022" s="12">
        <v>0.38</v>
      </c>
      <c r="M1022" s="11" t="s">
        <v>23</v>
      </c>
      <c r="N1022" s="11" t="s">
        <v>24</v>
      </c>
      <c r="O1022" s="11" t="s">
        <v>25</v>
      </c>
      <c r="P1022" s="16" t="s">
        <v>25</v>
      </c>
      <c r="Q1022" s="37" t="s">
        <v>25</v>
      </c>
      <c r="R1022" s="11" t="s">
        <v>25</v>
      </c>
      <c r="S1022" s="13">
        <f t="shared" si="15"/>
        <v>-1.5</v>
      </c>
    </row>
    <row r="1023" spans="1:19">
      <c r="A1023" s="10" t="s">
        <v>1136</v>
      </c>
      <c r="B1023" s="11" t="s">
        <v>1068</v>
      </c>
      <c r="C1023" s="11" t="s">
        <v>25</v>
      </c>
      <c r="D1023" s="11" t="s">
        <v>25</v>
      </c>
      <c r="E1023" s="12" t="s">
        <v>1192</v>
      </c>
      <c r="F1023">
        <f>VLOOKUP(E1023,Legends!$G$2:$I$87,2,FALSE)</f>
        <v>444.7</v>
      </c>
      <c r="G1023">
        <f>VLOOKUP(E1023,Legends!$G$2:$I$87,3,FALSE)</f>
        <v>445.2</v>
      </c>
      <c r="H1023" s="12">
        <v>450.1</v>
      </c>
      <c r="I1023" s="11" t="s">
        <v>1122</v>
      </c>
      <c r="J1023" s="11" t="s">
        <v>1203</v>
      </c>
      <c r="K1023" s="11" t="s">
        <v>25</v>
      </c>
      <c r="L1023" s="12">
        <v>0.44</v>
      </c>
      <c r="M1023" s="11" t="s">
        <v>23</v>
      </c>
      <c r="N1023" s="11" t="s">
        <v>24</v>
      </c>
      <c r="O1023" s="11" t="s">
        <v>25</v>
      </c>
      <c r="P1023" s="16" t="s">
        <v>25</v>
      </c>
      <c r="Q1023" s="37" t="s">
        <v>25</v>
      </c>
      <c r="R1023" s="11" t="s">
        <v>25</v>
      </c>
      <c r="S1023" s="13">
        <f t="shared" si="15"/>
        <v>-1.44</v>
      </c>
    </row>
    <row r="1024" spans="1:19">
      <c r="A1024" s="10" t="s">
        <v>1136</v>
      </c>
      <c r="B1024" s="11" t="s">
        <v>1069</v>
      </c>
      <c r="C1024" s="11" t="s">
        <v>25</v>
      </c>
      <c r="D1024" s="11" t="s">
        <v>25</v>
      </c>
      <c r="E1024" s="12" t="s">
        <v>1192</v>
      </c>
      <c r="F1024">
        <f>VLOOKUP(E1024,Legends!$G$2:$I$87,2,FALSE)</f>
        <v>444.7</v>
      </c>
      <c r="G1024">
        <f>VLOOKUP(E1024,Legends!$G$2:$I$87,3,FALSE)</f>
        <v>445.2</v>
      </c>
      <c r="H1024" s="12">
        <v>450.1</v>
      </c>
      <c r="I1024" s="11" t="s">
        <v>1122</v>
      </c>
      <c r="J1024" s="11" t="s">
        <v>1203</v>
      </c>
      <c r="K1024" s="11" t="s">
        <v>25</v>
      </c>
      <c r="L1024" s="12">
        <v>0.31</v>
      </c>
      <c r="M1024" s="11" t="s">
        <v>23</v>
      </c>
      <c r="N1024" s="11" t="s">
        <v>24</v>
      </c>
      <c r="O1024" s="11" t="s">
        <v>25</v>
      </c>
      <c r="P1024" s="16" t="s">
        <v>25</v>
      </c>
      <c r="Q1024" s="37" t="s">
        <v>25</v>
      </c>
      <c r="R1024" s="11" t="s">
        <v>25</v>
      </c>
      <c r="S1024" s="13">
        <f t="shared" si="15"/>
        <v>-1.5699999999999998</v>
      </c>
    </row>
    <row r="1025" spans="1:19">
      <c r="A1025" s="10" t="s">
        <v>1136</v>
      </c>
      <c r="B1025" s="11" t="s">
        <v>1070</v>
      </c>
      <c r="C1025" s="11" t="s">
        <v>25</v>
      </c>
      <c r="D1025" s="11" t="s">
        <v>25</v>
      </c>
      <c r="E1025" s="12" t="s">
        <v>1192</v>
      </c>
      <c r="F1025">
        <f>VLOOKUP(E1025,Legends!$G$2:$I$87,2,FALSE)</f>
        <v>444.7</v>
      </c>
      <c r="G1025">
        <f>VLOOKUP(E1025,Legends!$G$2:$I$87,3,FALSE)</f>
        <v>445.2</v>
      </c>
      <c r="H1025" s="12">
        <v>450.3</v>
      </c>
      <c r="I1025" s="11" t="s">
        <v>1122</v>
      </c>
      <c r="J1025" s="11" t="s">
        <v>1203</v>
      </c>
      <c r="K1025" s="11" t="s">
        <v>25</v>
      </c>
      <c r="L1025" s="12">
        <v>0.45</v>
      </c>
      <c r="M1025" s="11" t="s">
        <v>23</v>
      </c>
      <c r="N1025" s="11" t="s">
        <v>24</v>
      </c>
      <c r="O1025" s="11" t="s">
        <v>25</v>
      </c>
      <c r="P1025" s="16" t="s">
        <v>25</v>
      </c>
      <c r="Q1025" s="37" t="s">
        <v>25</v>
      </c>
      <c r="R1025" s="11" t="s">
        <v>25</v>
      </c>
      <c r="S1025" s="13">
        <f t="shared" si="15"/>
        <v>-1.43</v>
      </c>
    </row>
    <row r="1026" spans="1:19">
      <c r="A1026" s="10" t="s">
        <v>1136</v>
      </c>
      <c r="B1026" s="11" t="s">
        <v>1071</v>
      </c>
      <c r="C1026" s="11" t="s">
        <v>25</v>
      </c>
      <c r="D1026" s="11" t="s">
        <v>25</v>
      </c>
      <c r="E1026" s="12" t="s">
        <v>1192</v>
      </c>
      <c r="F1026">
        <f>VLOOKUP(E1026,Legends!$G$2:$I$87,2,FALSE)</f>
        <v>444.7</v>
      </c>
      <c r="G1026">
        <f>VLOOKUP(E1026,Legends!$G$2:$I$87,3,FALSE)</f>
        <v>445.2</v>
      </c>
      <c r="H1026" s="12">
        <v>451.2</v>
      </c>
      <c r="I1026" s="11" t="s">
        <v>1122</v>
      </c>
      <c r="J1026" s="11" t="s">
        <v>1203</v>
      </c>
      <c r="K1026" s="11" t="s">
        <v>25</v>
      </c>
      <c r="L1026" s="12">
        <v>0.37</v>
      </c>
      <c r="M1026" s="11" t="s">
        <v>23</v>
      </c>
      <c r="N1026" s="11" t="s">
        <v>24</v>
      </c>
      <c r="O1026" s="11" t="s">
        <v>25</v>
      </c>
      <c r="P1026" s="16" t="s">
        <v>25</v>
      </c>
      <c r="Q1026" s="37" t="s">
        <v>25</v>
      </c>
      <c r="R1026" s="11" t="s">
        <v>25</v>
      </c>
      <c r="S1026" s="13">
        <f t="shared" si="15"/>
        <v>-1.5099999999999998</v>
      </c>
    </row>
    <row r="1027" spans="1:19">
      <c r="A1027" s="10" t="s">
        <v>1136</v>
      </c>
      <c r="B1027" s="11" t="s">
        <v>1072</v>
      </c>
      <c r="C1027" s="11" t="s">
        <v>25</v>
      </c>
      <c r="D1027" s="11" t="s">
        <v>25</v>
      </c>
      <c r="E1027" s="12" t="s">
        <v>1194</v>
      </c>
      <c r="F1027">
        <f>VLOOKUP(E1027,Legends!$G$2:$I$87,2,FALSE)</f>
        <v>443.8</v>
      </c>
      <c r="G1027">
        <f>VLOOKUP(E1027,Legends!$G$2:$I$87,3,FALSE)</f>
        <v>444.1</v>
      </c>
      <c r="H1027" s="12">
        <v>452.4</v>
      </c>
      <c r="I1027" s="11" t="s">
        <v>1122</v>
      </c>
      <c r="J1027" s="11" t="s">
        <v>1203</v>
      </c>
      <c r="K1027" s="11" t="s">
        <v>25</v>
      </c>
      <c r="L1027" s="12">
        <v>0.3</v>
      </c>
      <c r="M1027" s="11" t="s">
        <v>23</v>
      </c>
      <c r="N1027" s="11" t="s">
        <v>24</v>
      </c>
      <c r="O1027" s="11" t="s">
        <v>25</v>
      </c>
      <c r="P1027" s="16" t="s">
        <v>25</v>
      </c>
      <c r="Q1027" s="37" t="s">
        <v>25</v>
      </c>
      <c r="R1027" s="11" t="s">
        <v>25</v>
      </c>
      <c r="S1027" s="13">
        <f t="shared" ref="S1027:S1090" si="16">IF(NOT(N1027="SW"),L1027-1.88,L1027)</f>
        <v>-1.5799999999999998</v>
      </c>
    </row>
    <row r="1028" spans="1:19">
      <c r="A1028" s="10" t="s">
        <v>1136</v>
      </c>
      <c r="B1028" s="11" t="s">
        <v>1073</v>
      </c>
      <c r="C1028" s="11" t="s">
        <v>25</v>
      </c>
      <c r="D1028" s="11" t="s">
        <v>25</v>
      </c>
      <c r="E1028" s="12" t="s">
        <v>1194</v>
      </c>
      <c r="F1028">
        <f>VLOOKUP(E1028,Legends!$G$2:$I$87,2,FALSE)</f>
        <v>443.8</v>
      </c>
      <c r="G1028">
        <f>VLOOKUP(E1028,Legends!$G$2:$I$87,3,FALSE)</f>
        <v>444.1</v>
      </c>
      <c r="H1028" s="12">
        <v>455.5</v>
      </c>
      <c r="I1028" s="11" t="s">
        <v>1122</v>
      </c>
      <c r="J1028" s="11" t="s">
        <v>1203</v>
      </c>
      <c r="K1028" s="11" t="s">
        <v>25</v>
      </c>
      <c r="L1028" s="12">
        <v>0.73</v>
      </c>
      <c r="M1028" s="11" t="s">
        <v>23</v>
      </c>
      <c r="N1028" s="11" t="s">
        <v>24</v>
      </c>
      <c r="O1028" s="11" t="s">
        <v>25</v>
      </c>
      <c r="P1028" s="16" t="s">
        <v>25</v>
      </c>
      <c r="Q1028" s="37" t="s">
        <v>25</v>
      </c>
      <c r="R1028" s="11" t="s">
        <v>25</v>
      </c>
      <c r="S1028" s="13">
        <f t="shared" si="16"/>
        <v>-1.1499999999999999</v>
      </c>
    </row>
    <row r="1029" spans="1:19">
      <c r="A1029" s="10" t="s">
        <v>1136</v>
      </c>
      <c r="B1029" s="11" t="s">
        <v>1074</v>
      </c>
      <c r="C1029" s="11" t="s">
        <v>25</v>
      </c>
      <c r="D1029" s="11" t="s">
        <v>25</v>
      </c>
      <c r="E1029" s="12" t="s">
        <v>1194</v>
      </c>
      <c r="F1029">
        <f>VLOOKUP(E1029,Legends!$G$2:$I$87,2,FALSE)</f>
        <v>443.8</v>
      </c>
      <c r="G1029">
        <f>VLOOKUP(E1029,Legends!$G$2:$I$87,3,FALSE)</f>
        <v>444.1</v>
      </c>
      <c r="H1029" s="12">
        <v>455.8</v>
      </c>
      <c r="I1029" s="11" t="s">
        <v>1122</v>
      </c>
      <c r="J1029" s="11" t="s">
        <v>1203</v>
      </c>
      <c r="K1029" s="11" t="s">
        <v>25</v>
      </c>
      <c r="L1029" s="12">
        <v>0.54</v>
      </c>
      <c r="M1029" s="11" t="s">
        <v>23</v>
      </c>
      <c r="N1029" s="11" t="s">
        <v>24</v>
      </c>
      <c r="O1029" s="11" t="s">
        <v>25</v>
      </c>
      <c r="P1029" s="16" t="s">
        <v>25</v>
      </c>
      <c r="Q1029" s="37" t="s">
        <v>25</v>
      </c>
      <c r="R1029" s="11" t="s">
        <v>25</v>
      </c>
      <c r="S1029" s="13">
        <f t="shared" si="16"/>
        <v>-1.3399999999999999</v>
      </c>
    </row>
    <row r="1030" spans="1:19">
      <c r="A1030" s="10" t="s">
        <v>1136</v>
      </c>
      <c r="B1030" s="11" t="s">
        <v>1075</v>
      </c>
      <c r="C1030" s="11" t="s">
        <v>25</v>
      </c>
      <c r="D1030" s="11" t="s">
        <v>25</v>
      </c>
      <c r="E1030" s="12" t="s">
        <v>1194</v>
      </c>
      <c r="F1030">
        <f>VLOOKUP(E1030,Legends!$G$2:$I$87,2,FALSE)</f>
        <v>443.8</v>
      </c>
      <c r="G1030">
        <f>VLOOKUP(E1030,Legends!$G$2:$I$87,3,FALSE)</f>
        <v>444.1</v>
      </c>
      <c r="H1030" s="12">
        <v>456.1</v>
      </c>
      <c r="I1030" s="11" t="s">
        <v>1122</v>
      </c>
      <c r="J1030" s="11" t="s">
        <v>1203</v>
      </c>
      <c r="K1030" s="11" t="s">
        <v>25</v>
      </c>
      <c r="L1030" s="12">
        <v>0.45</v>
      </c>
      <c r="M1030" s="11" t="s">
        <v>23</v>
      </c>
      <c r="N1030" s="11" t="s">
        <v>24</v>
      </c>
      <c r="O1030" s="11" t="s">
        <v>25</v>
      </c>
      <c r="P1030" s="16" t="s">
        <v>25</v>
      </c>
      <c r="Q1030" s="37" t="s">
        <v>25</v>
      </c>
      <c r="R1030" s="11" t="s">
        <v>25</v>
      </c>
      <c r="S1030" s="13">
        <f t="shared" si="16"/>
        <v>-1.43</v>
      </c>
    </row>
    <row r="1031" spans="1:19">
      <c r="A1031" s="10" t="s">
        <v>1136</v>
      </c>
      <c r="B1031" s="11" t="s">
        <v>1076</v>
      </c>
      <c r="C1031" s="11" t="s">
        <v>25</v>
      </c>
      <c r="D1031" s="11" t="s">
        <v>25</v>
      </c>
      <c r="E1031" s="12" t="s">
        <v>1194</v>
      </c>
      <c r="F1031">
        <f>VLOOKUP(E1031,Legends!$G$2:$I$87,2,FALSE)</f>
        <v>443.8</v>
      </c>
      <c r="G1031">
        <f>VLOOKUP(E1031,Legends!$G$2:$I$87,3,FALSE)</f>
        <v>444.1</v>
      </c>
      <c r="H1031" s="12">
        <v>456.8</v>
      </c>
      <c r="I1031" s="11" t="s">
        <v>1122</v>
      </c>
      <c r="J1031" s="11" t="s">
        <v>1203</v>
      </c>
      <c r="K1031" s="11" t="s">
        <v>25</v>
      </c>
      <c r="L1031" s="12">
        <v>0.88</v>
      </c>
      <c r="M1031" s="11" t="s">
        <v>23</v>
      </c>
      <c r="N1031" s="11" t="s">
        <v>24</v>
      </c>
      <c r="O1031" s="11" t="s">
        <v>25</v>
      </c>
      <c r="P1031" s="16" t="s">
        <v>25</v>
      </c>
      <c r="Q1031" s="37" t="s">
        <v>25</v>
      </c>
      <c r="R1031" s="11" t="s">
        <v>25</v>
      </c>
      <c r="S1031" s="13">
        <f t="shared" si="16"/>
        <v>-0.99999999999999989</v>
      </c>
    </row>
    <row r="1032" spans="1:19">
      <c r="A1032" s="10" t="s">
        <v>1136</v>
      </c>
      <c r="B1032" s="11" t="s">
        <v>1077</v>
      </c>
      <c r="C1032" s="11" t="s">
        <v>25</v>
      </c>
      <c r="D1032" s="11" t="s">
        <v>25</v>
      </c>
      <c r="E1032" s="12" t="s">
        <v>1194</v>
      </c>
      <c r="F1032">
        <f>VLOOKUP(E1032,Legends!$G$2:$I$87,2,FALSE)</f>
        <v>443.8</v>
      </c>
      <c r="G1032">
        <f>VLOOKUP(E1032,Legends!$G$2:$I$87,3,FALSE)</f>
        <v>444.1</v>
      </c>
      <c r="H1032" s="12">
        <v>456.9</v>
      </c>
      <c r="I1032" s="11" t="s">
        <v>1122</v>
      </c>
      <c r="J1032" s="11" t="s">
        <v>1203</v>
      </c>
      <c r="K1032" s="11" t="s">
        <v>25</v>
      </c>
      <c r="L1032" s="12">
        <v>0.57999999999999996</v>
      </c>
      <c r="M1032" s="11" t="s">
        <v>23</v>
      </c>
      <c r="N1032" s="11" t="s">
        <v>24</v>
      </c>
      <c r="O1032" s="11" t="s">
        <v>25</v>
      </c>
      <c r="P1032" s="16" t="s">
        <v>25</v>
      </c>
      <c r="Q1032" s="37" t="s">
        <v>25</v>
      </c>
      <c r="R1032" s="11" t="s">
        <v>25</v>
      </c>
      <c r="S1032" s="13">
        <f t="shared" si="16"/>
        <v>-1.2999999999999998</v>
      </c>
    </row>
    <row r="1033" spans="1:19">
      <c r="A1033" s="10" t="s">
        <v>1136</v>
      </c>
      <c r="B1033" s="11" t="s">
        <v>1078</v>
      </c>
      <c r="C1033" s="11" t="s">
        <v>25</v>
      </c>
      <c r="D1033" s="11" t="s">
        <v>25</v>
      </c>
      <c r="E1033" s="12" t="s">
        <v>1194</v>
      </c>
      <c r="F1033">
        <f>VLOOKUP(E1033,Legends!$G$2:$I$87,2,FALSE)</f>
        <v>443.8</v>
      </c>
      <c r="G1033">
        <f>VLOOKUP(E1033,Legends!$G$2:$I$87,3,FALSE)</f>
        <v>444.1</v>
      </c>
      <c r="H1033" s="12">
        <v>457.5</v>
      </c>
      <c r="I1033" s="11" t="s">
        <v>1122</v>
      </c>
      <c r="J1033" s="11" t="s">
        <v>1203</v>
      </c>
      <c r="K1033" s="11" t="s">
        <v>25</v>
      </c>
      <c r="L1033" s="12">
        <v>0.56000000000000005</v>
      </c>
      <c r="M1033" s="11" t="s">
        <v>23</v>
      </c>
      <c r="N1033" s="11" t="s">
        <v>24</v>
      </c>
      <c r="O1033" s="11" t="s">
        <v>25</v>
      </c>
      <c r="P1033" s="16" t="s">
        <v>25</v>
      </c>
      <c r="Q1033" s="37" t="s">
        <v>25</v>
      </c>
      <c r="R1033" s="11" t="s">
        <v>25</v>
      </c>
      <c r="S1033" s="13">
        <f t="shared" si="16"/>
        <v>-1.3199999999999998</v>
      </c>
    </row>
    <row r="1034" spans="1:19">
      <c r="A1034" s="10" t="s">
        <v>1136</v>
      </c>
      <c r="B1034" s="11" t="s">
        <v>1079</v>
      </c>
      <c r="C1034" s="11" t="s">
        <v>25</v>
      </c>
      <c r="D1034" s="11" t="s">
        <v>25</v>
      </c>
      <c r="E1034" s="12" t="s">
        <v>1195</v>
      </c>
      <c r="F1034">
        <f>VLOOKUP(E1034,Legends!$G$2:$I$87,2,FALSE)</f>
        <v>443</v>
      </c>
      <c r="G1034">
        <f>VLOOKUP(E1034,Legends!$G$2:$I$87,3,FALSE)</f>
        <v>443.8</v>
      </c>
      <c r="H1034" s="12">
        <v>458.8</v>
      </c>
      <c r="I1034" s="11" t="s">
        <v>1122</v>
      </c>
      <c r="J1034" s="11" t="s">
        <v>1203</v>
      </c>
      <c r="K1034" s="11" t="s">
        <v>25</v>
      </c>
      <c r="L1034" s="12">
        <v>0.36</v>
      </c>
      <c r="M1034" s="11" t="s">
        <v>23</v>
      </c>
      <c r="N1034" s="11" t="s">
        <v>24</v>
      </c>
      <c r="O1034" s="11" t="s">
        <v>25</v>
      </c>
      <c r="P1034" s="16" t="s">
        <v>25</v>
      </c>
      <c r="Q1034" s="37" t="s">
        <v>25</v>
      </c>
      <c r="R1034" s="11" t="s">
        <v>25</v>
      </c>
      <c r="S1034" s="13">
        <f t="shared" si="16"/>
        <v>-1.52</v>
      </c>
    </row>
    <row r="1035" spans="1:19">
      <c r="A1035" s="10" t="s">
        <v>1136</v>
      </c>
      <c r="B1035" s="11" t="s">
        <v>1080</v>
      </c>
      <c r="C1035" s="11" t="s">
        <v>25</v>
      </c>
      <c r="D1035" s="11" t="s">
        <v>25</v>
      </c>
      <c r="E1035" s="12" t="s">
        <v>1195</v>
      </c>
      <c r="F1035">
        <f>VLOOKUP(E1035,Legends!$G$2:$I$87,2,FALSE)</f>
        <v>443</v>
      </c>
      <c r="G1035">
        <f>VLOOKUP(E1035,Legends!$G$2:$I$87,3,FALSE)</f>
        <v>443.8</v>
      </c>
      <c r="H1035" s="12">
        <v>458.8</v>
      </c>
      <c r="I1035" s="11" t="s">
        <v>1122</v>
      </c>
      <c r="J1035" s="11" t="s">
        <v>1203</v>
      </c>
      <c r="K1035" s="11" t="s">
        <v>25</v>
      </c>
      <c r="L1035" s="12">
        <v>0.4</v>
      </c>
      <c r="M1035" s="11" t="s">
        <v>23</v>
      </c>
      <c r="N1035" s="11" t="s">
        <v>24</v>
      </c>
      <c r="O1035" s="11" t="s">
        <v>25</v>
      </c>
      <c r="P1035" s="16" t="s">
        <v>25</v>
      </c>
      <c r="Q1035" s="37" t="s">
        <v>25</v>
      </c>
      <c r="R1035" s="11" t="s">
        <v>25</v>
      </c>
      <c r="S1035" s="13">
        <f t="shared" si="16"/>
        <v>-1.48</v>
      </c>
    </row>
    <row r="1036" spans="1:19">
      <c r="A1036" s="10" t="s">
        <v>1136</v>
      </c>
      <c r="B1036" s="11" t="s">
        <v>1081</v>
      </c>
      <c r="C1036" s="11" t="s">
        <v>25</v>
      </c>
      <c r="D1036" s="11" t="s">
        <v>25</v>
      </c>
      <c r="E1036" s="12" t="s">
        <v>1195</v>
      </c>
      <c r="F1036">
        <f>VLOOKUP(E1036,Legends!$G$2:$I$87,2,FALSE)</f>
        <v>443</v>
      </c>
      <c r="G1036">
        <f>VLOOKUP(E1036,Legends!$G$2:$I$87,3,FALSE)</f>
        <v>443.8</v>
      </c>
      <c r="H1036" s="12">
        <v>458.8</v>
      </c>
      <c r="I1036" s="11" t="s">
        <v>1122</v>
      </c>
      <c r="J1036" s="11" t="s">
        <v>1203</v>
      </c>
      <c r="K1036" s="11" t="s">
        <v>25</v>
      </c>
      <c r="L1036" s="12">
        <v>0.42</v>
      </c>
      <c r="M1036" s="11" t="s">
        <v>23</v>
      </c>
      <c r="N1036" s="11" t="s">
        <v>24</v>
      </c>
      <c r="O1036" s="11" t="s">
        <v>25</v>
      </c>
      <c r="P1036" s="16" t="s">
        <v>25</v>
      </c>
      <c r="Q1036" s="37" t="s">
        <v>25</v>
      </c>
      <c r="R1036" s="11" t="s">
        <v>25</v>
      </c>
      <c r="S1036" s="13">
        <f t="shared" si="16"/>
        <v>-1.46</v>
      </c>
    </row>
    <row r="1037" spans="1:19">
      <c r="A1037" s="10" t="s">
        <v>1136</v>
      </c>
      <c r="B1037" s="11" t="s">
        <v>1082</v>
      </c>
      <c r="C1037" s="11" t="s">
        <v>25</v>
      </c>
      <c r="D1037" s="11" t="s">
        <v>25</v>
      </c>
      <c r="E1037" s="12" t="s">
        <v>1196</v>
      </c>
      <c r="F1037">
        <f>VLOOKUP(E1037,Legends!$G$2:$I$87,2,FALSE)</f>
        <v>478</v>
      </c>
      <c r="G1037">
        <f>VLOOKUP(E1037,Legends!$G$2:$I$87,3,FALSE)</f>
        <v>485</v>
      </c>
      <c r="H1037" s="12">
        <v>462.5</v>
      </c>
      <c r="I1037" s="11" t="s">
        <v>1122</v>
      </c>
      <c r="J1037" s="11" t="s">
        <v>1203</v>
      </c>
      <c r="K1037" s="11" t="s">
        <v>25</v>
      </c>
      <c r="L1037" s="12">
        <v>0.44</v>
      </c>
      <c r="M1037" s="11" t="s">
        <v>23</v>
      </c>
      <c r="N1037" s="11" t="s">
        <v>24</v>
      </c>
      <c r="O1037" s="11" t="s">
        <v>25</v>
      </c>
      <c r="P1037" s="16" t="s">
        <v>25</v>
      </c>
      <c r="Q1037" s="37" t="s">
        <v>25</v>
      </c>
      <c r="R1037" s="11" t="s">
        <v>25</v>
      </c>
      <c r="S1037" s="13">
        <f t="shared" si="16"/>
        <v>-1.44</v>
      </c>
    </row>
    <row r="1038" spans="1:19">
      <c r="A1038" s="10" t="s">
        <v>1136</v>
      </c>
      <c r="B1038" s="11" t="s">
        <v>1083</v>
      </c>
      <c r="C1038" s="11" t="s">
        <v>25</v>
      </c>
      <c r="D1038" s="11" t="s">
        <v>25</v>
      </c>
      <c r="E1038" s="12" t="s">
        <v>1197</v>
      </c>
      <c r="F1038">
        <f>VLOOKUP(E1038,Legends!$G$2:$I$87,2,FALSE)</f>
        <v>475</v>
      </c>
      <c r="G1038">
        <f>VLOOKUP(E1038,Legends!$G$2:$I$87,3,FALSE)</f>
        <v>478</v>
      </c>
      <c r="H1038" s="12">
        <v>463.7</v>
      </c>
      <c r="I1038" s="11" t="s">
        <v>1122</v>
      </c>
      <c r="J1038" s="11" t="s">
        <v>1203</v>
      </c>
      <c r="K1038" s="11" t="s">
        <v>25</v>
      </c>
      <c r="L1038" s="12">
        <v>0.47</v>
      </c>
      <c r="M1038" s="11" t="s">
        <v>23</v>
      </c>
      <c r="N1038" s="11" t="s">
        <v>24</v>
      </c>
      <c r="O1038" s="11" t="s">
        <v>25</v>
      </c>
      <c r="P1038" s="16" t="s">
        <v>25</v>
      </c>
      <c r="Q1038" s="37" t="s">
        <v>25</v>
      </c>
      <c r="R1038" s="11" t="s">
        <v>25</v>
      </c>
      <c r="S1038" s="13">
        <f t="shared" si="16"/>
        <v>-1.41</v>
      </c>
    </row>
    <row r="1039" spans="1:19">
      <c r="A1039" s="10" t="s">
        <v>1136</v>
      </c>
      <c r="B1039" s="11" t="s">
        <v>1084</v>
      </c>
      <c r="C1039" s="11" t="s">
        <v>25</v>
      </c>
      <c r="D1039" s="11" t="s">
        <v>25</v>
      </c>
      <c r="E1039" s="12" t="s">
        <v>1198</v>
      </c>
      <c r="F1039">
        <f>VLOOKUP(E1039,Legends!$G$2:$I$87,2,FALSE)</f>
        <v>478</v>
      </c>
      <c r="G1039">
        <f>VLOOKUP(E1039,Legends!$G$2:$I$87,3,FALSE)</f>
        <v>485</v>
      </c>
      <c r="H1039" s="12">
        <v>465.3</v>
      </c>
      <c r="I1039" s="11" t="s">
        <v>1122</v>
      </c>
      <c r="J1039" s="11" t="s">
        <v>1203</v>
      </c>
      <c r="K1039" s="11" t="s">
        <v>25</v>
      </c>
      <c r="L1039" s="12">
        <v>0.49</v>
      </c>
      <c r="M1039" s="11" t="s">
        <v>23</v>
      </c>
      <c r="N1039" s="11" t="s">
        <v>24</v>
      </c>
      <c r="O1039" s="11" t="s">
        <v>25</v>
      </c>
      <c r="P1039" s="16" t="s">
        <v>25</v>
      </c>
      <c r="Q1039" s="37" t="s">
        <v>25</v>
      </c>
      <c r="R1039" s="11" t="s">
        <v>25</v>
      </c>
      <c r="S1039" s="13">
        <f t="shared" si="16"/>
        <v>-1.39</v>
      </c>
    </row>
    <row r="1040" spans="1:19">
      <c r="A1040" s="10" t="s">
        <v>1136</v>
      </c>
      <c r="B1040" s="11" t="s">
        <v>1085</v>
      </c>
      <c r="C1040" s="11" t="s">
        <v>25</v>
      </c>
      <c r="D1040" s="11" t="s">
        <v>25</v>
      </c>
      <c r="E1040" s="12" t="s">
        <v>1198</v>
      </c>
      <c r="F1040">
        <f>VLOOKUP(E1040,Legends!$G$2:$I$87,2,FALSE)</f>
        <v>478</v>
      </c>
      <c r="G1040">
        <f>VLOOKUP(E1040,Legends!$G$2:$I$87,3,FALSE)</f>
        <v>485</v>
      </c>
      <c r="H1040" s="12">
        <v>465.3</v>
      </c>
      <c r="I1040" s="11" t="s">
        <v>1122</v>
      </c>
      <c r="J1040" s="11" t="s">
        <v>1203</v>
      </c>
      <c r="K1040" s="11" t="s">
        <v>25</v>
      </c>
      <c r="L1040" s="12">
        <v>0.32</v>
      </c>
      <c r="M1040" s="11" t="s">
        <v>23</v>
      </c>
      <c r="N1040" s="11" t="s">
        <v>24</v>
      </c>
      <c r="O1040" s="11" t="s">
        <v>25</v>
      </c>
      <c r="P1040" s="16" t="s">
        <v>25</v>
      </c>
      <c r="Q1040" s="37" t="s">
        <v>25</v>
      </c>
      <c r="R1040" s="11" t="s">
        <v>25</v>
      </c>
      <c r="S1040" s="13">
        <f t="shared" si="16"/>
        <v>-1.5599999999999998</v>
      </c>
    </row>
    <row r="1041" spans="1:19">
      <c r="A1041" s="10" t="s">
        <v>1136</v>
      </c>
      <c r="B1041" s="11" t="s">
        <v>1086</v>
      </c>
      <c r="C1041" s="11" t="s">
        <v>25</v>
      </c>
      <c r="D1041" s="11" t="s">
        <v>25</v>
      </c>
      <c r="E1041" s="12" t="s">
        <v>1198</v>
      </c>
      <c r="F1041">
        <f>VLOOKUP(E1041,Legends!$G$2:$I$87,2,FALSE)</f>
        <v>478</v>
      </c>
      <c r="G1041">
        <f>VLOOKUP(E1041,Legends!$G$2:$I$87,3,FALSE)</f>
        <v>485</v>
      </c>
      <c r="H1041" s="12">
        <v>465.3</v>
      </c>
      <c r="I1041" s="11" t="s">
        <v>1122</v>
      </c>
      <c r="J1041" s="11" t="s">
        <v>1203</v>
      </c>
      <c r="K1041" s="11" t="s">
        <v>25</v>
      </c>
      <c r="L1041" s="12">
        <v>0.55000000000000004</v>
      </c>
      <c r="M1041" s="11" t="s">
        <v>23</v>
      </c>
      <c r="N1041" s="11" t="s">
        <v>24</v>
      </c>
      <c r="O1041" s="11" t="s">
        <v>25</v>
      </c>
      <c r="P1041" s="16" t="s">
        <v>25</v>
      </c>
      <c r="Q1041" s="37" t="s">
        <v>25</v>
      </c>
      <c r="R1041" s="11" t="s">
        <v>25</v>
      </c>
      <c r="S1041" s="13">
        <f t="shared" si="16"/>
        <v>-1.3299999999999998</v>
      </c>
    </row>
    <row r="1042" spans="1:19">
      <c r="A1042" s="10" t="s">
        <v>1136</v>
      </c>
      <c r="B1042" s="11" t="s">
        <v>1087</v>
      </c>
      <c r="C1042" s="11" t="s">
        <v>25</v>
      </c>
      <c r="D1042" s="11" t="s">
        <v>25</v>
      </c>
      <c r="E1042" s="12" t="s">
        <v>1199</v>
      </c>
      <c r="F1042">
        <f>VLOOKUP(E1042,Legends!$G$2:$I$87,2,FALSE)</f>
        <v>475</v>
      </c>
      <c r="G1042">
        <f>VLOOKUP(E1042,Legends!$G$2:$I$87,3,FALSE)</f>
        <v>478</v>
      </c>
      <c r="H1042" s="12">
        <v>465.9</v>
      </c>
      <c r="I1042" s="11" t="s">
        <v>1122</v>
      </c>
      <c r="J1042" s="11" t="s">
        <v>1203</v>
      </c>
      <c r="K1042" s="11" t="s">
        <v>25</v>
      </c>
      <c r="L1042" s="12">
        <v>0.39</v>
      </c>
      <c r="M1042" s="11" t="s">
        <v>23</v>
      </c>
      <c r="N1042" s="11" t="s">
        <v>24</v>
      </c>
      <c r="O1042" s="11" t="s">
        <v>25</v>
      </c>
      <c r="P1042" s="16" t="s">
        <v>25</v>
      </c>
      <c r="Q1042" s="37" t="s">
        <v>25</v>
      </c>
      <c r="R1042" s="11" t="s">
        <v>25</v>
      </c>
      <c r="S1042" s="13">
        <f t="shared" si="16"/>
        <v>-1.4899999999999998</v>
      </c>
    </row>
    <row r="1043" spans="1:19">
      <c r="A1043" s="10" t="s">
        <v>1136</v>
      </c>
      <c r="B1043" s="11" t="s">
        <v>1088</v>
      </c>
      <c r="C1043" s="11" t="s">
        <v>25</v>
      </c>
      <c r="D1043" s="11" t="s">
        <v>25</v>
      </c>
      <c r="E1043" s="12" t="s">
        <v>1199</v>
      </c>
      <c r="F1043">
        <f>VLOOKUP(E1043,Legends!$G$2:$I$87,2,FALSE)</f>
        <v>475</v>
      </c>
      <c r="G1043">
        <f>VLOOKUP(E1043,Legends!$G$2:$I$87,3,FALSE)</f>
        <v>478</v>
      </c>
      <c r="H1043" s="12">
        <v>465.9</v>
      </c>
      <c r="I1043" s="11" t="s">
        <v>1122</v>
      </c>
      <c r="J1043" s="11" t="s">
        <v>1203</v>
      </c>
      <c r="K1043" s="11" t="s">
        <v>25</v>
      </c>
      <c r="L1043" s="12">
        <v>0.51</v>
      </c>
      <c r="M1043" s="11" t="s">
        <v>23</v>
      </c>
      <c r="N1043" s="11" t="s">
        <v>24</v>
      </c>
      <c r="O1043" s="11" t="s">
        <v>25</v>
      </c>
      <c r="P1043" s="16" t="s">
        <v>25</v>
      </c>
      <c r="Q1043" s="37" t="s">
        <v>25</v>
      </c>
      <c r="R1043" s="11" t="s">
        <v>25</v>
      </c>
      <c r="S1043" s="13">
        <f t="shared" si="16"/>
        <v>-1.3699999999999999</v>
      </c>
    </row>
    <row r="1044" spans="1:19">
      <c r="A1044" s="10" t="s">
        <v>1136</v>
      </c>
      <c r="B1044" s="11" t="s">
        <v>1089</v>
      </c>
      <c r="C1044" s="11" t="s">
        <v>25</v>
      </c>
      <c r="D1044" s="11" t="s">
        <v>25</v>
      </c>
      <c r="E1044" s="12" t="s">
        <v>1199</v>
      </c>
      <c r="F1044">
        <f>VLOOKUP(E1044,Legends!$G$2:$I$87,2,FALSE)</f>
        <v>475</v>
      </c>
      <c r="G1044">
        <f>VLOOKUP(E1044,Legends!$G$2:$I$87,3,FALSE)</f>
        <v>478</v>
      </c>
      <c r="H1044" s="12">
        <v>465.9</v>
      </c>
      <c r="I1044" s="11" t="s">
        <v>1122</v>
      </c>
      <c r="J1044" s="11" t="s">
        <v>1203</v>
      </c>
      <c r="K1044" s="11" t="s">
        <v>25</v>
      </c>
      <c r="L1044" s="12">
        <v>0.35</v>
      </c>
      <c r="M1044" s="11" t="s">
        <v>23</v>
      </c>
      <c r="N1044" s="11" t="s">
        <v>24</v>
      </c>
      <c r="O1044" s="11" t="s">
        <v>25</v>
      </c>
      <c r="P1044" s="16" t="s">
        <v>25</v>
      </c>
      <c r="Q1044" s="37" t="s">
        <v>25</v>
      </c>
      <c r="R1044" s="11" t="s">
        <v>25</v>
      </c>
      <c r="S1044" s="13">
        <f t="shared" si="16"/>
        <v>-1.5299999999999998</v>
      </c>
    </row>
    <row r="1045" spans="1:19">
      <c r="A1045" s="10" t="s">
        <v>1136</v>
      </c>
      <c r="B1045" s="11" t="s">
        <v>1090</v>
      </c>
      <c r="C1045" s="11" t="s">
        <v>25</v>
      </c>
      <c r="D1045" s="11" t="s">
        <v>25</v>
      </c>
      <c r="E1045" s="12" t="s">
        <v>1199</v>
      </c>
      <c r="F1045">
        <f>VLOOKUP(E1045,Legends!$G$2:$I$87,2,FALSE)</f>
        <v>475</v>
      </c>
      <c r="G1045">
        <f>VLOOKUP(E1045,Legends!$G$2:$I$87,3,FALSE)</f>
        <v>478</v>
      </c>
      <c r="H1045" s="12">
        <v>465.9</v>
      </c>
      <c r="I1045" s="11" t="s">
        <v>1122</v>
      </c>
      <c r="J1045" s="11" t="s">
        <v>1203</v>
      </c>
      <c r="K1045" s="11" t="s">
        <v>25</v>
      </c>
      <c r="L1045" s="12">
        <v>0.53</v>
      </c>
      <c r="M1045" s="11" t="s">
        <v>23</v>
      </c>
      <c r="N1045" s="11" t="s">
        <v>24</v>
      </c>
      <c r="O1045" s="11" t="s">
        <v>25</v>
      </c>
      <c r="P1045" s="16" t="s">
        <v>25</v>
      </c>
      <c r="Q1045" s="37" t="s">
        <v>25</v>
      </c>
      <c r="R1045" s="11" t="s">
        <v>25</v>
      </c>
      <c r="S1045" s="13">
        <f t="shared" si="16"/>
        <v>-1.3499999999999999</v>
      </c>
    </row>
    <row r="1046" spans="1:19">
      <c r="A1046" s="10" t="s">
        <v>1136</v>
      </c>
      <c r="B1046" s="11" t="s">
        <v>1091</v>
      </c>
      <c r="C1046" s="11" t="s">
        <v>25</v>
      </c>
      <c r="D1046" s="11" t="s">
        <v>25</v>
      </c>
      <c r="E1046" s="12" t="s">
        <v>1200</v>
      </c>
      <c r="F1046">
        <f>VLOOKUP(E1046,Legends!$G$2:$I$87,2,FALSE)</f>
        <v>475</v>
      </c>
      <c r="G1046">
        <f>VLOOKUP(E1046,Legends!$G$2:$I$87,3,FALSE)</f>
        <v>478</v>
      </c>
      <c r="H1046" s="12">
        <v>467</v>
      </c>
      <c r="I1046" s="11" t="s">
        <v>1122</v>
      </c>
      <c r="J1046" s="11" t="s">
        <v>1203</v>
      </c>
      <c r="K1046" s="11" t="s">
        <v>25</v>
      </c>
      <c r="L1046" s="12">
        <v>0.26</v>
      </c>
      <c r="M1046" s="11" t="s">
        <v>23</v>
      </c>
      <c r="N1046" s="11" t="s">
        <v>24</v>
      </c>
      <c r="O1046" s="11" t="s">
        <v>25</v>
      </c>
      <c r="P1046" s="16" t="s">
        <v>25</v>
      </c>
      <c r="Q1046" s="37" t="s">
        <v>25</v>
      </c>
      <c r="R1046" s="11" t="s">
        <v>25</v>
      </c>
      <c r="S1046" s="13">
        <f t="shared" si="16"/>
        <v>-1.6199999999999999</v>
      </c>
    </row>
    <row r="1047" spans="1:19">
      <c r="A1047" s="10" t="s">
        <v>1136</v>
      </c>
      <c r="B1047" s="11" t="s">
        <v>1092</v>
      </c>
      <c r="C1047" s="11" t="s">
        <v>25</v>
      </c>
      <c r="D1047" s="11" t="s">
        <v>25</v>
      </c>
      <c r="E1047" s="12" t="s">
        <v>1200</v>
      </c>
      <c r="F1047">
        <f>VLOOKUP(E1047,Legends!$G$2:$I$87,2,FALSE)</f>
        <v>475</v>
      </c>
      <c r="G1047">
        <f>VLOOKUP(E1047,Legends!$G$2:$I$87,3,FALSE)</f>
        <v>478</v>
      </c>
      <c r="H1047" s="12">
        <v>467</v>
      </c>
      <c r="I1047" s="11" t="s">
        <v>1122</v>
      </c>
      <c r="J1047" s="11" t="s">
        <v>1203</v>
      </c>
      <c r="K1047" s="11" t="s">
        <v>25</v>
      </c>
      <c r="L1047" s="12">
        <v>0.38</v>
      </c>
      <c r="M1047" s="11" t="s">
        <v>23</v>
      </c>
      <c r="N1047" s="11" t="s">
        <v>24</v>
      </c>
      <c r="O1047" s="11" t="s">
        <v>25</v>
      </c>
      <c r="P1047" s="16" t="s">
        <v>25</v>
      </c>
      <c r="Q1047" s="37" t="s">
        <v>25</v>
      </c>
      <c r="R1047" s="11" t="s">
        <v>25</v>
      </c>
      <c r="S1047" s="13">
        <f t="shared" si="16"/>
        <v>-1.5</v>
      </c>
    </row>
    <row r="1048" spans="1:19">
      <c r="A1048" s="10" t="s">
        <v>1136</v>
      </c>
      <c r="B1048" s="11" t="s">
        <v>1093</v>
      </c>
      <c r="C1048" s="11" t="s">
        <v>25</v>
      </c>
      <c r="D1048" s="11" t="s">
        <v>25</v>
      </c>
      <c r="E1048" s="12" t="s">
        <v>1201</v>
      </c>
      <c r="F1048">
        <f>VLOOKUP(E1048,Legends!$G$2:$I$87,2,FALSE)</f>
        <v>471</v>
      </c>
      <c r="G1048">
        <f>VLOOKUP(E1048,Legends!$G$2:$I$87,3,FALSE)</f>
        <v>475</v>
      </c>
      <c r="H1048" s="12">
        <v>467</v>
      </c>
      <c r="I1048" s="11" t="s">
        <v>1122</v>
      </c>
      <c r="J1048" s="11" t="s">
        <v>1203</v>
      </c>
      <c r="K1048" s="11" t="s">
        <v>25</v>
      </c>
      <c r="L1048" s="12">
        <v>0.73</v>
      </c>
      <c r="M1048" s="11" t="s">
        <v>23</v>
      </c>
      <c r="N1048" s="11" t="s">
        <v>24</v>
      </c>
      <c r="O1048" s="11" t="s">
        <v>25</v>
      </c>
      <c r="P1048" s="16" t="s">
        <v>25</v>
      </c>
      <c r="Q1048" s="37" t="s">
        <v>25</v>
      </c>
      <c r="R1048" s="11" t="s">
        <v>25</v>
      </c>
      <c r="S1048" s="13">
        <f t="shared" si="16"/>
        <v>-1.1499999999999999</v>
      </c>
    </row>
    <row r="1049" spans="1:19">
      <c r="A1049" s="10" t="s">
        <v>1136</v>
      </c>
      <c r="B1049" s="11" t="s">
        <v>1094</v>
      </c>
      <c r="C1049" s="11" t="s">
        <v>25</v>
      </c>
      <c r="D1049" s="11" t="s">
        <v>25</v>
      </c>
      <c r="E1049" s="12" t="s">
        <v>1202</v>
      </c>
      <c r="F1049">
        <f>VLOOKUP(E1049,Legends!$G$2:$I$87,2,FALSE)</f>
        <v>471</v>
      </c>
      <c r="G1049">
        <f>VLOOKUP(E1049,Legends!$G$2:$I$87,3,FALSE)</f>
        <v>475</v>
      </c>
      <c r="H1049" s="12">
        <v>469.7</v>
      </c>
      <c r="I1049" s="11" t="s">
        <v>1122</v>
      </c>
      <c r="J1049" s="11" t="s">
        <v>1203</v>
      </c>
      <c r="K1049" s="11" t="s">
        <v>25</v>
      </c>
      <c r="L1049" s="12">
        <v>0.28000000000000003</v>
      </c>
      <c r="M1049" s="11" t="s">
        <v>23</v>
      </c>
      <c r="N1049" s="11" t="s">
        <v>24</v>
      </c>
      <c r="O1049" s="11" t="s">
        <v>25</v>
      </c>
      <c r="P1049" s="16" t="s">
        <v>25</v>
      </c>
      <c r="Q1049" s="37" t="s">
        <v>25</v>
      </c>
      <c r="R1049" s="11" t="s">
        <v>25</v>
      </c>
      <c r="S1049" s="13">
        <f t="shared" si="16"/>
        <v>-1.5999999999999999</v>
      </c>
    </row>
    <row r="1050" spans="1:19">
      <c r="A1050" s="10" t="s">
        <v>1136</v>
      </c>
      <c r="B1050" s="11" t="s">
        <v>1095</v>
      </c>
      <c r="C1050" s="11" t="s">
        <v>25</v>
      </c>
      <c r="D1050" s="11" t="s">
        <v>25</v>
      </c>
      <c r="E1050" s="12" t="s">
        <v>1202</v>
      </c>
      <c r="F1050">
        <f>VLOOKUP(E1050,Legends!$G$2:$I$87,2,FALSE)</f>
        <v>471</v>
      </c>
      <c r="G1050">
        <f>VLOOKUP(E1050,Legends!$G$2:$I$87,3,FALSE)</f>
        <v>475</v>
      </c>
      <c r="H1050" s="12">
        <v>474.5</v>
      </c>
      <c r="I1050" s="11" t="s">
        <v>1122</v>
      </c>
      <c r="J1050" s="11" t="s">
        <v>1203</v>
      </c>
      <c r="K1050" s="11" t="s">
        <v>25</v>
      </c>
      <c r="L1050" s="12">
        <v>0.24</v>
      </c>
      <c r="M1050" s="11" t="s">
        <v>23</v>
      </c>
      <c r="N1050" s="11" t="s">
        <v>24</v>
      </c>
      <c r="O1050" s="11" t="s">
        <v>25</v>
      </c>
      <c r="P1050" s="16" t="s">
        <v>25</v>
      </c>
      <c r="Q1050" s="37" t="s">
        <v>25</v>
      </c>
      <c r="R1050" s="11" t="s">
        <v>25</v>
      </c>
      <c r="S1050" s="13">
        <f t="shared" si="16"/>
        <v>-1.64</v>
      </c>
    </row>
    <row r="1051" spans="1:19">
      <c r="A1051" s="10" t="s">
        <v>1136</v>
      </c>
      <c r="B1051" s="11" t="s">
        <v>1096</v>
      </c>
      <c r="C1051" s="11" t="s">
        <v>25</v>
      </c>
      <c r="D1051" s="11" t="s">
        <v>25</v>
      </c>
      <c r="E1051" s="12" t="s">
        <v>1202</v>
      </c>
      <c r="F1051">
        <f>VLOOKUP(E1051,Legends!$G$2:$I$87,2,FALSE)</f>
        <v>471</v>
      </c>
      <c r="G1051">
        <f>VLOOKUP(E1051,Legends!$G$2:$I$87,3,FALSE)</f>
        <v>475</v>
      </c>
      <c r="H1051" s="12">
        <v>474.5</v>
      </c>
      <c r="I1051" s="11" t="s">
        <v>1122</v>
      </c>
      <c r="J1051" s="11" t="s">
        <v>1203</v>
      </c>
      <c r="K1051" s="11" t="s">
        <v>25</v>
      </c>
      <c r="L1051" s="12">
        <v>0.41</v>
      </c>
      <c r="M1051" s="11" t="s">
        <v>23</v>
      </c>
      <c r="N1051" s="11" t="s">
        <v>24</v>
      </c>
      <c r="O1051" s="11" t="s">
        <v>25</v>
      </c>
      <c r="P1051" s="16" t="s">
        <v>25</v>
      </c>
      <c r="Q1051" s="37" t="s">
        <v>25</v>
      </c>
      <c r="R1051" s="11" t="s">
        <v>25</v>
      </c>
      <c r="S1051" s="13">
        <f t="shared" si="16"/>
        <v>-1.47</v>
      </c>
    </row>
    <row r="1052" spans="1:19">
      <c r="A1052" s="10" t="s">
        <v>1136</v>
      </c>
      <c r="B1052" s="11" t="s">
        <v>1097</v>
      </c>
      <c r="C1052" s="11" t="s">
        <v>25</v>
      </c>
      <c r="D1052" s="11" t="s">
        <v>25</v>
      </c>
      <c r="E1052" s="12" t="s">
        <v>1202</v>
      </c>
      <c r="F1052">
        <f>VLOOKUP(E1052,Legends!$G$2:$I$87,2,FALSE)</f>
        <v>471</v>
      </c>
      <c r="G1052">
        <f>VLOOKUP(E1052,Legends!$G$2:$I$87,3,FALSE)</f>
        <v>475</v>
      </c>
      <c r="H1052" s="12">
        <v>477.1</v>
      </c>
      <c r="I1052" s="11" t="s">
        <v>1122</v>
      </c>
      <c r="J1052" s="11" t="s">
        <v>1203</v>
      </c>
      <c r="K1052" s="11" t="s">
        <v>25</v>
      </c>
      <c r="L1052" s="12">
        <v>0.46</v>
      </c>
      <c r="M1052" s="11" t="s">
        <v>23</v>
      </c>
      <c r="N1052" s="11" t="s">
        <v>24</v>
      </c>
      <c r="O1052" s="11" t="s">
        <v>25</v>
      </c>
      <c r="P1052" s="16" t="s">
        <v>25</v>
      </c>
      <c r="Q1052" s="37" t="s">
        <v>25</v>
      </c>
      <c r="R1052" s="11" t="s">
        <v>25</v>
      </c>
      <c r="S1052" s="13">
        <f t="shared" si="16"/>
        <v>-1.42</v>
      </c>
    </row>
    <row r="1053" spans="1:19">
      <c r="A1053" s="10" t="s">
        <v>1136</v>
      </c>
      <c r="B1053" s="11" t="s">
        <v>1098</v>
      </c>
      <c r="C1053" s="11" t="s">
        <v>25</v>
      </c>
      <c r="D1053" s="11" t="s">
        <v>25</v>
      </c>
      <c r="E1053" s="12" t="s">
        <v>1216</v>
      </c>
      <c r="F1053">
        <f>VLOOKUP(E1053,Legends!$G$2:$I$87,2,FALSE)</f>
        <v>478</v>
      </c>
      <c r="G1053">
        <f>VLOOKUP(E1053,Legends!$G$2:$I$87,3,FALSE)</f>
        <v>485</v>
      </c>
      <c r="H1053" s="12">
        <v>483.5</v>
      </c>
      <c r="I1053" s="11" t="s">
        <v>1122</v>
      </c>
      <c r="J1053" s="11" t="s">
        <v>1203</v>
      </c>
      <c r="K1053" s="11" t="s">
        <v>25</v>
      </c>
      <c r="L1053" s="12">
        <v>0.51</v>
      </c>
      <c r="M1053" s="11" t="s">
        <v>23</v>
      </c>
      <c r="N1053" s="11" t="s">
        <v>24</v>
      </c>
      <c r="O1053" s="11" t="s">
        <v>25</v>
      </c>
      <c r="P1053" s="16" t="s">
        <v>25</v>
      </c>
      <c r="Q1053" s="37" t="s">
        <v>25</v>
      </c>
      <c r="R1053" s="11" t="s">
        <v>25</v>
      </c>
      <c r="S1053" s="13">
        <f t="shared" si="16"/>
        <v>-1.3699999999999999</v>
      </c>
    </row>
    <row r="1054" spans="1:19" s="4" customFormat="1">
      <c r="B1054" s="5"/>
      <c r="C1054" s="5"/>
      <c r="D1054" s="5"/>
      <c r="E1054" s="5"/>
      <c r="I1054" s="5"/>
      <c r="J1054" s="5"/>
      <c r="M1054" s="5"/>
      <c r="O1054" s="5"/>
      <c r="P1054" s="6"/>
      <c r="Q1054" s="38"/>
      <c r="S1054" s="24"/>
    </row>
    <row r="1055" spans="1:19" ht="16">
      <c r="A1055" s="10" t="s">
        <v>1137</v>
      </c>
      <c r="B1055" s="11" t="s">
        <v>1099</v>
      </c>
      <c r="C1055" s="11" t="s">
        <v>1204</v>
      </c>
      <c r="D1055" s="11" t="s">
        <v>25</v>
      </c>
      <c r="E1055" s="11" t="s">
        <v>25</v>
      </c>
      <c r="F1055">
        <v>158.4</v>
      </c>
      <c r="G1055">
        <v>158.4</v>
      </c>
      <c r="H1055" s="17">
        <v>158.4</v>
      </c>
      <c r="I1055" s="11" t="s">
        <v>1123</v>
      </c>
      <c r="J1055" s="11" t="s">
        <v>1203</v>
      </c>
      <c r="K1055" s="11" t="s">
        <v>25</v>
      </c>
      <c r="L1055" s="12">
        <v>0.35</v>
      </c>
      <c r="M1055" s="11" t="s">
        <v>23</v>
      </c>
      <c r="N1055" s="11" t="s">
        <v>24</v>
      </c>
      <c r="O1055" s="11" t="s">
        <v>25</v>
      </c>
      <c r="P1055" s="16" t="s">
        <v>25</v>
      </c>
      <c r="Q1055" s="37" t="s">
        <v>25</v>
      </c>
      <c r="R1055" s="11" t="s">
        <v>25</v>
      </c>
      <c r="S1055" s="13">
        <f t="shared" si="16"/>
        <v>-1.5299999999999998</v>
      </c>
    </row>
    <row r="1056" spans="1:19" ht="16">
      <c r="A1056" s="10" t="s">
        <v>1137</v>
      </c>
      <c r="B1056" s="11" t="s">
        <v>1100</v>
      </c>
      <c r="C1056" s="11" t="s">
        <v>1204</v>
      </c>
      <c r="D1056" s="11" t="s">
        <v>25</v>
      </c>
      <c r="E1056" s="11" t="s">
        <v>25</v>
      </c>
      <c r="F1056">
        <v>157.69999999999999</v>
      </c>
      <c r="G1056">
        <v>157.69999999999999</v>
      </c>
      <c r="H1056" s="17">
        <v>157.69999999999999</v>
      </c>
      <c r="I1056" s="11" t="s">
        <v>1124</v>
      </c>
      <c r="J1056" s="11" t="s">
        <v>1203</v>
      </c>
      <c r="K1056" s="11" t="s">
        <v>25</v>
      </c>
      <c r="L1056" s="12">
        <v>0.28000000000000003</v>
      </c>
      <c r="M1056" s="11" t="s">
        <v>23</v>
      </c>
      <c r="N1056" s="11" t="s">
        <v>24</v>
      </c>
      <c r="O1056" s="11" t="s">
        <v>25</v>
      </c>
      <c r="P1056" s="16" t="s">
        <v>25</v>
      </c>
      <c r="Q1056" s="37" t="s">
        <v>25</v>
      </c>
      <c r="R1056" s="11" t="s">
        <v>25</v>
      </c>
      <c r="S1056" s="13">
        <f t="shared" si="16"/>
        <v>-1.5999999999999999</v>
      </c>
    </row>
    <row r="1057" spans="1:19" ht="16">
      <c r="A1057" s="10" t="s">
        <v>1137</v>
      </c>
      <c r="B1057" s="11" t="s">
        <v>1101</v>
      </c>
      <c r="C1057" s="11" t="s">
        <v>1204</v>
      </c>
      <c r="D1057" s="11" t="s">
        <v>25</v>
      </c>
      <c r="E1057" s="11" t="s">
        <v>25</v>
      </c>
      <c r="F1057">
        <v>157.4</v>
      </c>
      <c r="G1057">
        <v>157.4</v>
      </c>
      <c r="H1057" s="17">
        <v>157.4</v>
      </c>
      <c r="I1057" s="11" t="s">
        <v>1124</v>
      </c>
      <c r="J1057" s="11" t="s">
        <v>1203</v>
      </c>
      <c r="K1057" s="11" t="s">
        <v>25</v>
      </c>
      <c r="L1057" s="12">
        <v>0.12</v>
      </c>
      <c r="M1057" s="11" t="s">
        <v>23</v>
      </c>
      <c r="N1057" s="11" t="s">
        <v>24</v>
      </c>
      <c r="O1057" s="11" t="s">
        <v>25</v>
      </c>
      <c r="P1057" s="16" t="s">
        <v>25</v>
      </c>
      <c r="Q1057" s="37" t="s">
        <v>25</v>
      </c>
      <c r="R1057" s="11" t="s">
        <v>25</v>
      </c>
      <c r="S1057" s="13">
        <f t="shared" si="16"/>
        <v>-1.7599999999999998</v>
      </c>
    </row>
    <row r="1058" spans="1:19" ht="16">
      <c r="A1058" s="10" t="s">
        <v>1137</v>
      </c>
      <c r="B1058" s="11" t="s">
        <v>1102</v>
      </c>
      <c r="C1058" s="11" t="s">
        <v>1204</v>
      </c>
      <c r="D1058" s="11" t="s">
        <v>25</v>
      </c>
      <c r="E1058" s="11" t="s">
        <v>25</v>
      </c>
      <c r="F1058">
        <v>156.69999999999999</v>
      </c>
      <c r="G1058">
        <v>156.69999999999999</v>
      </c>
      <c r="H1058" s="17">
        <v>156.69999999999999</v>
      </c>
      <c r="I1058" s="11" t="s">
        <v>1125</v>
      </c>
      <c r="J1058" s="11" t="s">
        <v>1203</v>
      </c>
      <c r="K1058" s="11" t="s">
        <v>25</v>
      </c>
      <c r="L1058" s="12">
        <v>0.09</v>
      </c>
      <c r="M1058" s="11" t="s">
        <v>23</v>
      </c>
      <c r="N1058" s="11" t="s">
        <v>24</v>
      </c>
      <c r="O1058" s="11" t="s">
        <v>25</v>
      </c>
      <c r="P1058" s="16" t="s">
        <v>25</v>
      </c>
      <c r="Q1058" s="37" t="s">
        <v>25</v>
      </c>
      <c r="R1058" s="11" t="s">
        <v>25</v>
      </c>
      <c r="S1058" s="13">
        <f t="shared" si="16"/>
        <v>-1.7899999999999998</v>
      </c>
    </row>
    <row r="1059" spans="1:19" ht="16">
      <c r="A1059" s="10" t="s">
        <v>1137</v>
      </c>
      <c r="B1059" s="11" t="s">
        <v>1103</v>
      </c>
      <c r="C1059" s="11" t="s">
        <v>1204</v>
      </c>
      <c r="D1059" s="11" t="s">
        <v>25</v>
      </c>
      <c r="E1059" s="11" t="s">
        <v>25</v>
      </c>
      <c r="F1059">
        <v>155.69999999999999</v>
      </c>
      <c r="G1059">
        <v>155.69999999999999</v>
      </c>
      <c r="H1059" s="17">
        <v>155.69999999999999</v>
      </c>
      <c r="I1059" s="11" t="s">
        <v>1123</v>
      </c>
      <c r="J1059" s="11" t="s">
        <v>1203</v>
      </c>
      <c r="K1059" s="11" t="s">
        <v>25</v>
      </c>
      <c r="L1059" s="12">
        <v>0.11</v>
      </c>
      <c r="M1059" s="11" t="s">
        <v>23</v>
      </c>
      <c r="N1059" s="11" t="s">
        <v>24</v>
      </c>
      <c r="O1059" s="11" t="s">
        <v>25</v>
      </c>
      <c r="P1059" s="16" t="s">
        <v>25</v>
      </c>
      <c r="Q1059" s="37" t="s">
        <v>25</v>
      </c>
      <c r="R1059" s="11" t="s">
        <v>25</v>
      </c>
      <c r="S1059" s="13">
        <f t="shared" si="16"/>
        <v>-1.7699999999999998</v>
      </c>
    </row>
    <row r="1060" spans="1:19" ht="16">
      <c r="A1060" s="10" t="s">
        <v>1137</v>
      </c>
      <c r="B1060" s="11" t="s">
        <v>1104</v>
      </c>
      <c r="C1060" s="11" t="s">
        <v>1205</v>
      </c>
      <c r="D1060" s="11" t="s">
        <v>25</v>
      </c>
      <c r="E1060" s="11" t="s">
        <v>25</v>
      </c>
      <c r="F1060">
        <v>153.6</v>
      </c>
      <c r="G1060">
        <v>153.6</v>
      </c>
      <c r="H1060" s="17">
        <v>153.6</v>
      </c>
      <c r="I1060" s="11" t="s">
        <v>1126</v>
      </c>
      <c r="J1060" s="11" t="s">
        <v>1203</v>
      </c>
      <c r="K1060" s="11" t="s">
        <v>25</v>
      </c>
      <c r="L1060" s="12">
        <v>0.17</v>
      </c>
      <c r="M1060" s="11" t="s">
        <v>23</v>
      </c>
      <c r="N1060" s="11" t="s">
        <v>24</v>
      </c>
      <c r="O1060" s="11" t="s">
        <v>25</v>
      </c>
      <c r="P1060" s="16" t="s">
        <v>25</v>
      </c>
      <c r="Q1060" s="37" t="s">
        <v>25</v>
      </c>
      <c r="R1060" s="11" t="s">
        <v>25</v>
      </c>
      <c r="S1060" s="13">
        <f t="shared" si="16"/>
        <v>-1.71</v>
      </c>
    </row>
    <row r="1061" spans="1:19" ht="16">
      <c r="A1061" s="10" t="s">
        <v>1137</v>
      </c>
      <c r="B1061" s="11" t="s">
        <v>1105</v>
      </c>
      <c r="C1061" s="11" t="s">
        <v>1205</v>
      </c>
      <c r="D1061" s="11" t="s">
        <v>25</v>
      </c>
      <c r="E1061" s="11" t="s">
        <v>25</v>
      </c>
      <c r="F1061">
        <v>151.1</v>
      </c>
      <c r="G1061">
        <v>151.1</v>
      </c>
      <c r="H1061" s="17">
        <v>151.1</v>
      </c>
      <c r="I1061" s="11" t="s">
        <v>1127</v>
      </c>
      <c r="J1061" s="11" t="s">
        <v>1203</v>
      </c>
      <c r="K1061" s="11" t="s">
        <v>25</v>
      </c>
      <c r="L1061" s="12">
        <v>0.26</v>
      </c>
      <c r="M1061" s="11" t="s">
        <v>23</v>
      </c>
      <c r="N1061" s="11" t="s">
        <v>24</v>
      </c>
      <c r="O1061" s="11" t="s">
        <v>25</v>
      </c>
      <c r="P1061" s="16" t="s">
        <v>25</v>
      </c>
      <c r="Q1061" s="37" t="s">
        <v>25</v>
      </c>
      <c r="R1061" s="11" t="s">
        <v>25</v>
      </c>
      <c r="S1061" s="13">
        <f t="shared" si="16"/>
        <v>-1.6199999999999999</v>
      </c>
    </row>
    <row r="1062" spans="1:19" ht="16">
      <c r="A1062" s="10" t="s">
        <v>1137</v>
      </c>
      <c r="B1062" s="11" t="s">
        <v>1106</v>
      </c>
      <c r="C1062" s="11" t="s">
        <v>1204</v>
      </c>
      <c r="D1062" s="11" t="s">
        <v>25</v>
      </c>
      <c r="E1062" s="11" t="s">
        <v>25</v>
      </c>
      <c r="F1062">
        <v>149.4</v>
      </c>
      <c r="G1062">
        <v>149.4</v>
      </c>
      <c r="H1062" s="17">
        <v>149.4</v>
      </c>
      <c r="I1062" s="11" t="s">
        <v>1128</v>
      </c>
      <c r="J1062" s="11" t="s">
        <v>1203</v>
      </c>
      <c r="K1062" s="11" t="s">
        <v>25</v>
      </c>
      <c r="L1062" s="12">
        <v>0.28000000000000003</v>
      </c>
      <c r="M1062" s="11" t="s">
        <v>23</v>
      </c>
      <c r="N1062" s="11" t="s">
        <v>24</v>
      </c>
      <c r="O1062" s="11" t="s">
        <v>25</v>
      </c>
      <c r="P1062" s="16" t="s">
        <v>25</v>
      </c>
      <c r="Q1062" s="37" t="s">
        <v>25</v>
      </c>
      <c r="R1062" s="11" t="s">
        <v>25</v>
      </c>
      <c r="S1062" s="13">
        <f t="shared" si="16"/>
        <v>-1.5999999999999999</v>
      </c>
    </row>
    <row r="1063" spans="1:19" ht="16">
      <c r="A1063" s="10" t="s">
        <v>1137</v>
      </c>
      <c r="B1063" s="11" t="s">
        <v>1107</v>
      </c>
      <c r="C1063" s="11" t="s">
        <v>1204</v>
      </c>
      <c r="D1063" s="11" t="s">
        <v>25</v>
      </c>
      <c r="E1063" s="11" t="s">
        <v>25</v>
      </c>
      <c r="F1063">
        <v>147.80000000000001</v>
      </c>
      <c r="G1063">
        <v>147.80000000000001</v>
      </c>
      <c r="H1063" s="17">
        <v>147.80000000000001</v>
      </c>
      <c r="I1063" s="11" t="s">
        <v>1128</v>
      </c>
      <c r="J1063" s="11" t="s">
        <v>1203</v>
      </c>
      <c r="K1063" s="11" t="s">
        <v>25</v>
      </c>
      <c r="L1063" s="12">
        <v>0.31</v>
      </c>
      <c r="M1063" s="11" t="s">
        <v>23</v>
      </c>
      <c r="N1063" s="11" t="s">
        <v>24</v>
      </c>
      <c r="O1063" s="11" t="s">
        <v>25</v>
      </c>
      <c r="P1063" s="16" t="s">
        <v>25</v>
      </c>
      <c r="Q1063" s="37" t="s">
        <v>25</v>
      </c>
      <c r="R1063" s="11" t="s">
        <v>25</v>
      </c>
      <c r="S1063" s="13">
        <f t="shared" si="16"/>
        <v>-1.5699999999999998</v>
      </c>
    </row>
    <row r="1064" spans="1:19" ht="16">
      <c r="A1064" s="10" t="s">
        <v>1137</v>
      </c>
      <c r="B1064" s="11" t="s">
        <v>1108</v>
      </c>
      <c r="C1064" s="11" t="s">
        <v>1206</v>
      </c>
      <c r="D1064" s="11" t="s">
        <v>25</v>
      </c>
      <c r="E1064" s="11" t="s">
        <v>25</v>
      </c>
      <c r="F1064">
        <v>140</v>
      </c>
      <c r="G1064">
        <v>140</v>
      </c>
      <c r="H1064" s="17">
        <v>140</v>
      </c>
      <c r="I1064" s="11" t="s">
        <v>1129</v>
      </c>
      <c r="J1064" s="11" t="s">
        <v>1203</v>
      </c>
      <c r="K1064" s="11" t="s">
        <v>25</v>
      </c>
      <c r="L1064" s="12">
        <v>0.33</v>
      </c>
      <c r="M1064" s="11" t="s">
        <v>23</v>
      </c>
      <c r="N1064" s="11" t="s">
        <v>24</v>
      </c>
      <c r="O1064" s="11" t="s">
        <v>25</v>
      </c>
      <c r="P1064" s="16" t="s">
        <v>25</v>
      </c>
      <c r="Q1064" s="37" t="s">
        <v>25</v>
      </c>
      <c r="R1064" s="11" t="s">
        <v>25</v>
      </c>
      <c r="S1064" s="13">
        <f t="shared" si="16"/>
        <v>-1.5499999999999998</v>
      </c>
    </row>
    <row r="1065" spans="1:19" ht="16">
      <c r="A1065" s="10" t="s">
        <v>1137</v>
      </c>
      <c r="B1065" s="11" t="s">
        <v>1109</v>
      </c>
      <c r="C1065" s="11" t="s">
        <v>1206</v>
      </c>
      <c r="D1065" s="11" t="s">
        <v>25</v>
      </c>
      <c r="E1065" s="11" t="s">
        <v>25</v>
      </c>
      <c r="F1065">
        <v>138.6</v>
      </c>
      <c r="G1065">
        <v>138.6</v>
      </c>
      <c r="H1065" s="17">
        <v>138.6</v>
      </c>
      <c r="I1065" s="11" t="s">
        <v>1129</v>
      </c>
      <c r="J1065" s="11" t="s">
        <v>1203</v>
      </c>
      <c r="K1065" s="11" t="s">
        <v>25</v>
      </c>
      <c r="L1065" s="12">
        <v>0.28999999999999998</v>
      </c>
      <c r="M1065" s="11" t="s">
        <v>23</v>
      </c>
      <c r="N1065" s="11" t="s">
        <v>24</v>
      </c>
      <c r="O1065" s="11" t="s">
        <v>25</v>
      </c>
      <c r="P1065" s="16" t="s">
        <v>25</v>
      </c>
      <c r="Q1065" s="37" t="s">
        <v>25</v>
      </c>
      <c r="R1065" s="11" t="s">
        <v>25</v>
      </c>
      <c r="S1065" s="13">
        <f t="shared" si="16"/>
        <v>-1.5899999999999999</v>
      </c>
    </row>
    <row r="1066" spans="1:19" ht="16">
      <c r="A1066" s="10" t="s">
        <v>1137</v>
      </c>
      <c r="B1066" s="11" t="s">
        <v>1110</v>
      </c>
      <c r="C1066" s="11" t="s">
        <v>1206</v>
      </c>
      <c r="D1066" s="11" t="s">
        <v>25</v>
      </c>
      <c r="E1066" s="11" t="s">
        <v>25</v>
      </c>
      <c r="F1066">
        <v>138.1</v>
      </c>
      <c r="G1066">
        <v>138.1</v>
      </c>
      <c r="H1066" s="17">
        <v>138.1</v>
      </c>
      <c r="I1066" s="11" t="s">
        <v>1129</v>
      </c>
      <c r="J1066" s="11" t="s">
        <v>1203</v>
      </c>
      <c r="K1066" s="11" t="s">
        <v>25</v>
      </c>
      <c r="L1066" s="12">
        <v>0.35</v>
      </c>
      <c r="M1066" s="11" t="s">
        <v>23</v>
      </c>
      <c r="N1066" s="11" t="s">
        <v>24</v>
      </c>
      <c r="O1066" s="11" t="s">
        <v>25</v>
      </c>
      <c r="P1066" s="16" t="s">
        <v>25</v>
      </c>
      <c r="Q1066" s="37" t="s">
        <v>25</v>
      </c>
      <c r="R1066" s="11" t="s">
        <v>25</v>
      </c>
      <c r="S1066" s="13">
        <f t="shared" si="16"/>
        <v>-1.5299999999999998</v>
      </c>
    </row>
    <row r="1067" spans="1:19" ht="16">
      <c r="A1067" s="10" t="s">
        <v>1137</v>
      </c>
      <c r="B1067" s="11" t="s">
        <v>1111</v>
      </c>
      <c r="C1067" s="11" t="s">
        <v>1206</v>
      </c>
      <c r="D1067" s="11" t="s">
        <v>25</v>
      </c>
      <c r="E1067" s="11" t="s">
        <v>25</v>
      </c>
      <c r="F1067">
        <v>136.19999999999999</v>
      </c>
      <c r="G1067">
        <v>136.19999999999999</v>
      </c>
      <c r="H1067" s="17">
        <v>136.19999999999999</v>
      </c>
      <c r="I1067" s="11" t="s">
        <v>1129</v>
      </c>
      <c r="J1067" s="11" t="s">
        <v>1203</v>
      </c>
      <c r="K1067" s="11" t="s">
        <v>25</v>
      </c>
      <c r="L1067" s="12">
        <v>0.34</v>
      </c>
      <c r="M1067" s="11" t="s">
        <v>23</v>
      </c>
      <c r="N1067" s="11" t="s">
        <v>24</v>
      </c>
      <c r="O1067" s="11" t="s">
        <v>25</v>
      </c>
      <c r="P1067" s="16" t="s">
        <v>25</v>
      </c>
      <c r="Q1067" s="37" t="s">
        <v>25</v>
      </c>
      <c r="R1067" s="11" t="s">
        <v>25</v>
      </c>
      <c r="S1067" s="13">
        <f t="shared" si="16"/>
        <v>-1.5399999999999998</v>
      </c>
    </row>
    <row r="1068" spans="1:19" ht="16">
      <c r="A1068" s="10" t="s">
        <v>1137</v>
      </c>
      <c r="B1068" s="11" t="s">
        <v>1112</v>
      </c>
      <c r="C1068" s="11" t="s">
        <v>1206</v>
      </c>
      <c r="D1068" s="11" t="s">
        <v>25</v>
      </c>
      <c r="E1068" s="11" t="s">
        <v>25</v>
      </c>
      <c r="F1068">
        <v>135.19999999999999</v>
      </c>
      <c r="G1068">
        <v>135.19999999999999</v>
      </c>
      <c r="H1068" s="17">
        <v>135.19999999999999</v>
      </c>
      <c r="I1068" s="11" t="s">
        <v>1129</v>
      </c>
      <c r="J1068" s="11" t="s">
        <v>1203</v>
      </c>
      <c r="K1068" s="11" t="s">
        <v>25</v>
      </c>
      <c r="L1068" s="12">
        <v>0.46</v>
      </c>
      <c r="M1068" s="11" t="s">
        <v>23</v>
      </c>
      <c r="N1068" s="11" t="s">
        <v>24</v>
      </c>
      <c r="O1068" s="11" t="s">
        <v>25</v>
      </c>
      <c r="P1068" s="16" t="s">
        <v>25</v>
      </c>
      <c r="Q1068" s="37" t="s">
        <v>25</v>
      </c>
      <c r="R1068" s="11" t="s">
        <v>25</v>
      </c>
      <c r="S1068" s="13">
        <f t="shared" si="16"/>
        <v>-1.42</v>
      </c>
    </row>
    <row r="1069" spans="1:19" ht="16">
      <c r="A1069" s="10" t="s">
        <v>1137</v>
      </c>
      <c r="B1069" s="11" t="s">
        <v>1113</v>
      </c>
      <c r="C1069" s="11" t="s">
        <v>1206</v>
      </c>
      <c r="D1069" s="11" t="s">
        <v>25</v>
      </c>
      <c r="E1069" s="11" t="s">
        <v>25</v>
      </c>
      <c r="F1069">
        <v>133.1</v>
      </c>
      <c r="G1069">
        <v>133.1</v>
      </c>
      <c r="H1069" s="17">
        <v>133.1</v>
      </c>
      <c r="I1069" s="11" t="s">
        <v>1130</v>
      </c>
      <c r="J1069" s="11" t="s">
        <v>1203</v>
      </c>
      <c r="K1069" s="11" t="s">
        <v>25</v>
      </c>
      <c r="L1069" s="12">
        <v>0.47</v>
      </c>
      <c r="M1069" s="11" t="s">
        <v>23</v>
      </c>
      <c r="N1069" s="11" t="s">
        <v>24</v>
      </c>
      <c r="O1069" s="11" t="s">
        <v>25</v>
      </c>
      <c r="P1069" s="16" t="s">
        <v>25</v>
      </c>
      <c r="Q1069" s="37" t="s">
        <v>25</v>
      </c>
      <c r="R1069" s="11" t="s">
        <v>25</v>
      </c>
      <c r="S1069" s="13">
        <f t="shared" si="16"/>
        <v>-1.41</v>
      </c>
    </row>
    <row r="1070" spans="1:19" ht="16">
      <c r="A1070" s="10" t="s">
        <v>1137</v>
      </c>
      <c r="B1070" s="11" t="s">
        <v>1114</v>
      </c>
      <c r="C1070" s="11" t="s">
        <v>1207</v>
      </c>
      <c r="D1070" s="11" t="s">
        <v>25</v>
      </c>
      <c r="E1070" s="11" t="s">
        <v>25</v>
      </c>
      <c r="F1070">
        <v>130.5</v>
      </c>
      <c r="G1070">
        <v>130.5</v>
      </c>
      <c r="H1070" s="17">
        <v>130.5</v>
      </c>
      <c r="I1070" s="11" t="s">
        <v>1131</v>
      </c>
      <c r="J1070" s="11" t="s">
        <v>1203</v>
      </c>
      <c r="K1070" s="11" t="s">
        <v>25</v>
      </c>
      <c r="L1070" s="12">
        <v>0.49</v>
      </c>
      <c r="M1070" s="11" t="s">
        <v>23</v>
      </c>
      <c r="N1070" s="11" t="s">
        <v>24</v>
      </c>
      <c r="O1070" s="11" t="s">
        <v>25</v>
      </c>
      <c r="P1070" s="16" t="s">
        <v>25</v>
      </c>
      <c r="Q1070" s="37" t="s">
        <v>25</v>
      </c>
      <c r="R1070" s="11" t="s">
        <v>25</v>
      </c>
      <c r="S1070" s="13">
        <f t="shared" si="16"/>
        <v>-1.39</v>
      </c>
    </row>
    <row r="1071" spans="1:19" ht="16">
      <c r="A1071" s="10" t="s">
        <v>1137</v>
      </c>
      <c r="B1071" s="11" t="s">
        <v>1115</v>
      </c>
      <c r="C1071" s="11" t="s">
        <v>1207</v>
      </c>
      <c r="D1071" s="11" t="s">
        <v>25</v>
      </c>
      <c r="E1071" s="11" t="s">
        <v>25</v>
      </c>
      <c r="F1071">
        <v>128.19999999999999</v>
      </c>
      <c r="G1071">
        <v>128.19999999999999</v>
      </c>
      <c r="H1071" s="17">
        <v>128.19999999999999</v>
      </c>
      <c r="I1071" s="11" t="s">
        <v>1132</v>
      </c>
      <c r="J1071" s="11" t="s">
        <v>1203</v>
      </c>
      <c r="K1071" s="11" t="s">
        <v>25</v>
      </c>
      <c r="L1071" s="12">
        <v>0.46</v>
      </c>
      <c r="M1071" s="11" t="s">
        <v>23</v>
      </c>
      <c r="N1071" s="11" t="s">
        <v>24</v>
      </c>
      <c r="O1071" s="11" t="s">
        <v>25</v>
      </c>
      <c r="P1071" s="16" t="s">
        <v>25</v>
      </c>
      <c r="Q1071" s="37" t="s">
        <v>25</v>
      </c>
      <c r="R1071" s="11" t="s">
        <v>25</v>
      </c>
      <c r="S1071" s="13">
        <f t="shared" si="16"/>
        <v>-1.42</v>
      </c>
    </row>
    <row r="1072" spans="1:19" ht="16">
      <c r="A1072" s="10" t="s">
        <v>1137</v>
      </c>
      <c r="B1072" s="11" t="s">
        <v>1116</v>
      </c>
      <c r="C1072" s="11" t="s">
        <v>1206</v>
      </c>
      <c r="D1072" s="11" t="s">
        <v>25</v>
      </c>
      <c r="E1072" s="11" t="s">
        <v>25</v>
      </c>
      <c r="F1072">
        <v>127.8</v>
      </c>
      <c r="G1072">
        <v>127.8</v>
      </c>
      <c r="H1072" s="17">
        <v>127.8</v>
      </c>
      <c r="I1072" s="11" t="s">
        <v>1133</v>
      </c>
      <c r="J1072" s="11" t="s">
        <v>1203</v>
      </c>
      <c r="K1072" s="11" t="s">
        <v>25</v>
      </c>
      <c r="L1072" s="12">
        <v>0.37</v>
      </c>
      <c r="M1072" s="11" t="s">
        <v>23</v>
      </c>
      <c r="N1072" s="11" t="s">
        <v>24</v>
      </c>
      <c r="O1072" s="11" t="s">
        <v>25</v>
      </c>
      <c r="P1072" s="16" t="s">
        <v>25</v>
      </c>
      <c r="Q1072" s="37" t="s">
        <v>25</v>
      </c>
      <c r="R1072" s="11" t="s">
        <v>25</v>
      </c>
      <c r="S1072" s="13">
        <f t="shared" si="16"/>
        <v>-1.5099999999999998</v>
      </c>
    </row>
    <row r="1073" spans="1:19" ht="16">
      <c r="A1073" s="10" t="s">
        <v>1137</v>
      </c>
      <c r="B1073" s="11" t="s">
        <v>1117</v>
      </c>
      <c r="C1073" s="11" t="s">
        <v>1207</v>
      </c>
      <c r="D1073" s="11" t="s">
        <v>25</v>
      </c>
      <c r="E1073" s="11" t="s">
        <v>25</v>
      </c>
      <c r="F1073">
        <v>127.4</v>
      </c>
      <c r="G1073">
        <v>127.4</v>
      </c>
      <c r="H1073" s="17">
        <v>127.4</v>
      </c>
      <c r="I1073" s="11" t="s">
        <v>1134</v>
      </c>
      <c r="J1073" s="11" t="s">
        <v>1203</v>
      </c>
      <c r="K1073" s="11" t="s">
        <v>25</v>
      </c>
      <c r="L1073" s="12">
        <v>0.42</v>
      </c>
      <c r="M1073" s="11" t="s">
        <v>23</v>
      </c>
      <c r="N1073" s="11" t="s">
        <v>24</v>
      </c>
      <c r="O1073" s="11" t="s">
        <v>25</v>
      </c>
      <c r="P1073" s="16" t="s">
        <v>25</v>
      </c>
      <c r="Q1073" s="37" t="s">
        <v>25</v>
      </c>
      <c r="R1073" s="11" t="s">
        <v>25</v>
      </c>
      <c r="S1073" s="13">
        <f t="shared" si="16"/>
        <v>-1.46</v>
      </c>
    </row>
    <row r="1074" spans="1:19" ht="16">
      <c r="A1074" s="10" t="s">
        <v>1137</v>
      </c>
      <c r="B1074" s="11" t="s">
        <v>1118</v>
      </c>
      <c r="C1074" s="11" t="s">
        <v>1206</v>
      </c>
      <c r="D1074" s="11" t="s">
        <v>25</v>
      </c>
      <c r="E1074" s="11" t="s">
        <v>25</v>
      </c>
      <c r="F1074">
        <v>126.6</v>
      </c>
      <c r="G1074">
        <v>126.6</v>
      </c>
      <c r="H1074" s="17">
        <v>126.6</v>
      </c>
      <c r="I1074" s="11" t="s">
        <v>1129</v>
      </c>
      <c r="J1074" s="11" t="s">
        <v>1203</v>
      </c>
      <c r="K1074" s="11" t="s">
        <v>25</v>
      </c>
      <c r="L1074" s="12">
        <v>0.37</v>
      </c>
      <c r="M1074" s="11" t="s">
        <v>23</v>
      </c>
      <c r="N1074" s="11" t="s">
        <v>24</v>
      </c>
      <c r="O1074" s="11" t="s">
        <v>25</v>
      </c>
      <c r="P1074" s="16" t="s">
        <v>25</v>
      </c>
      <c r="Q1074" s="37" t="s">
        <v>25</v>
      </c>
      <c r="R1074" s="11" t="s">
        <v>25</v>
      </c>
      <c r="S1074" s="13">
        <f t="shared" si="16"/>
        <v>-1.5099999999999998</v>
      </c>
    </row>
    <row r="1075" spans="1:19" ht="16">
      <c r="A1075" s="10" t="s">
        <v>1137</v>
      </c>
      <c r="B1075" s="11" t="s">
        <v>1119</v>
      </c>
      <c r="C1075" s="11" t="s">
        <v>1207</v>
      </c>
      <c r="D1075" s="11" t="s">
        <v>25</v>
      </c>
      <c r="E1075" s="11" t="s">
        <v>25</v>
      </c>
      <c r="F1075">
        <v>126.3</v>
      </c>
      <c r="G1075">
        <v>126.3</v>
      </c>
      <c r="H1075" s="17">
        <v>126.3</v>
      </c>
      <c r="I1075" s="11" t="s">
        <v>1135</v>
      </c>
      <c r="J1075" s="11" t="s">
        <v>1203</v>
      </c>
      <c r="K1075" s="11" t="s">
        <v>25</v>
      </c>
      <c r="L1075" s="12">
        <v>0.61</v>
      </c>
      <c r="M1075" s="11" t="s">
        <v>23</v>
      </c>
      <c r="N1075" s="11" t="s">
        <v>24</v>
      </c>
      <c r="O1075" s="11" t="s">
        <v>25</v>
      </c>
      <c r="P1075" s="16" t="s">
        <v>25</v>
      </c>
      <c r="Q1075" s="37" t="s">
        <v>25</v>
      </c>
      <c r="R1075" s="11" t="s">
        <v>25</v>
      </c>
      <c r="S1075" s="13">
        <f t="shared" si="16"/>
        <v>-1.27</v>
      </c>
    </row>
    <row r="1076" spans="1:19" ht="16">
      <c r="A1076" s="10" t="s">
        <v>1137</v>
      </c>
      <c r="B1076" s="11" t="s">
        <v>1120</v>
      </c>
      <c r="C1076" s="11" t="s">
        <v>1207</v>
      </c>
      <c r="D1076" s="11" t="s">
        <v>25</v>
      </c>
      <c r="E1076" s="11" t="s">
        <v>25</v>
      </c>
      <c r="F1076">
        <v>126.2</v>
      </c>
      <c r="G1076">
        <v>126.2</v>
      </c>
      <c r="H1076" s="17">
        <v>126.2</v>
      </c>
      <c r="I1076" s="11" t="s">
        <v>1135</v>
      </c>
      <c r="J1076" s="11" t="s">
        <v>1203</v>
      </c>
      <c r="K1076" s="11" t="s">
        <v>25</v>
      </c>
      <c r="L1076" s="12">
        <v>0.48</v>
      </c>
      <c r="M1076" s="11" t="s">
        <v>23</v>
      </c>
      <c r="N1076" s="11" t="s">
        <v>24</v>
      </c>
      <c r="O1076" s="11" t="s">
        <v>25</v>
      </c>
      <c r="P1076" s="16" t="s">
        <v>25</v>
      </c>
      <c r="Q1076" s="37" t="s">
        <v>25</v>
      </c>
      <c r="R1076" s="11" t="s">
        <v>25</v>
      </c>
      <c r="S1076" s="13">
        <f t="shared" si="16"/>
        <v>-1.4</v>
      </c>
    </row>
    <row r="1077" spans="1:19" ht="16">
      <c r="A1077" s="10" t="s">
        <v>1137</v>
      </c>
      <c r="B1077" s="11" t="s">
        <v>1121</v>
      </c>
      <c r="C1077" s="11" t="s">
        <v>1206</v>
      </c>
      <c r="D1077" s="11" t="s">
        <v>25</v>
      </c>
      <c r="E1077" s="11" t="s">
        <v>25</v>
      </c>
      <c r="F1077">
        <v>124.5</v>
      </c>
      <c r="G1077">
        <v>124.5</v>
      </c>
      <c r="H1077" s="17">
        <v>124.5</v>
      </c>
      <c r="I1077" s="11" t="s">
        <v>1129</v>
      </c>
      <c r="J1077" s="11" t="s">
        <v>1203</v>
      </c>
      <c r="K1077" s="11" t="s">
        <v>25</v>
      </c>
      <c r="L1077" s="12">
        <v>0.52</v>
      </c>
      <c r="M1077" s="11" t="s">
        <v>23</v>
      </c>
      <c r="N1077" s="11" t="s">
        <v>24</v>
      </c>
      <c r="O1077" s="11" t="s">
        <v>25</v>
      </c>
      <c r="P1077" s="16" t="s">
        <v>25</v>
      </c>
      <c r="Q1077" s="37" t="s">
        <v>25</v>
      </c>
      <c r="R1077" s="11" t="s">
        <v>25</v>
      </c>
      <c r="S1077" s="13">
        <f t="shared" si="16"/>
        <v>-1.3599999999999999</v>
      </c>
    </row>
    <row r="1078" spans="1:19" s="4" customFormat="1" ht="16">
      <c r="A1078" s="7"/>
      <c r="B1078" s="5"/>
      <c r="C1078" s="5"/>
      <c r="D1078" s="5"/>
      <c r="E1078" s="33"/>
      <c r="H1078" s="8"/>
      <c r="I1078" s="5"/>
      <c r="J1078" s="5"/>
      <c r="K1078" s="5"/>
      <c r="M1078" s="5"/>
      <c r="N1078" s="5"/>
      <c r="O1078" s="5"/>
      <c r="P1078" s="6"/>
      <c r="Q1078" s="38"/>
      <c r="R1078" s="5"/>
      <c r="S1078" s="24"/>
    </row>
    <row r="1079" spans="1:19" ht="16">
      <c r="A1079" s="10" t="s">
        <v>1217</v>
      </c>
      <c r="B1079" s="11" t="s">
        <v>1218</v>
      </c>
      <c r="C1079" s="11" t="s">
        <v>1264</v>
      </c>
      <c r="D1079" s="11" t="s">
        <v>25</v>
      </c>
      <c r="E1079" s="11" t="s">
        <v>25</v>
      </c>
      <c r="F1079">
        <v>0</v>
      </c>
      <c r="G1079">
        <v>0</v>
      </c>
      <c r="H1079" s="17" t="s">
        <v>25</v>
      </c>
      <c r="I1079" s="11" t="s">
        <v>1258</v>
      </c>
      <c r="J1079" s="11" t="s">
        <v>1203</v>
      </c>
      <c r="K1079" s="11" t="s">
        <v>25</v>
      </c>
      <c r="L1079" s="12">
        <v>-1.01</v>
      </c>
      <c r="M1079" s="11" t="s">
        <v>23</v>
      </c>
      <c r="N1079" s="11" t="s">
        <v>230</v>
      </c>
      <c r="O1079" s="11" t="s">
        <v>25</v>
      </c>
      <c r="P1079" s="16" t="s">
        <v>25</v>
      </c>
      <c r="Q1079" s="37" t="s">
        <v>25</v>
      </c>
      <c r="R1079" s="11" t="s">
        <v>25</v>
      </c>
      <c r="S1079" s="13">
        <f t="shared" si="16"/>
        <v>-1.01</v>
      </c>
    </row>
    <row r="1080" spans="1:19" ht="16">
      <c r="A1080" s="10" t="s">
        <v>1217</v>
      </c>
      <c r="B1080" s="11" t="s">
        <v>1219</v>
      </c>
      <c r="C1080" s="11" t="s">
        <v>1265</v>
      </c>
      <c r="D1080" s="11" t="s">
        <v>25</v>
      </c>
      <c r="E1080" s="11" t="s">
        <v>25</v>
      </c>
      <c r="F1080">
        <v>0</v>
      </c>
      <c r="G1080">
        <v>0</v>
      </c>
      <c r="H1080" s="17" t="s">
        <v>25</v>
      </c>
      <c r="I1080" s="11" t="s">
        <v>1258</v>
      </c>
      <c r="J1080" s="11" t="s">
        <v>1203</v>
      </c>
      <c r="K1080" s="11" t="s">
        <v>25</v>
      </c>
      <c r="L1080" s="12">
        <v>-1.22</v>
      </c>
      <c r="M1080" s="11" t="s">
        <v>23</v>
      </c>
      <c r="N1080" s="11" t="s">
        <v>230</v>
      </c>
      <c r="O1080" s="11" t="s">
        <v>25</v>
      </c>
      <c r="P1080" s="16" t="s">
        <v>25</v>
      </c>
      <c r="Q1080" s="37" t="s">
        <v>25</v>
      </c>
      <c r="R1080" s="11" t="s">
        <v>25</v>
      </c>
      <c r="S1080" s="13">
        <f t="shared" si="16"/>
        <v>-1.22</v>
      </c>
    </row>
    <row r="1081" spans="1:19" ht="16">
      <c r="A1081" s="10" t="s">
        <v>1217</v>
      </c>
      <c r="B1081" s="11" t="s">
        <v>1220</v>
      </c>
      <c r="C1081" s="11" t="s">
        <v>1259</v>
      </c>
      <c r="D1081" s="11" t="s">
        <v>25</v>
      </c>
      <c r="E1081" s="11" t="s">
        <v>25</v>
      </c>
      <c r="F1081">
        <v>0.1</v>
      </c>
      <c r="G1081">
        <v>0.1</v>
      </c>
      <c r="H1081" s="17" t="s">
        <v>25</v>
      </c>
      <c r="I1081" s="11" t="s">
        <v>1258</v>
      </c>
      <c r="J1081" s="11" t="s">
        <v>1203</v>
      </c>
      <c r="K1081" s="11" t="s">
        <v>25</v>
      </c>
      <c r="L1081" s="12">
        <v>-1.21</v>
      </c>
      <c r="M1081" s="11" t="s">
        <v>23</v>
      </c>
      <c r="N1081" s="11" t="s">
        <v>230</v>
      </c>
      <c r="O1081" s="11" t="s">
        <v>25</v>
      </c>
      <c r="P1081" s="16" t="s">
        <v>25</v>
      </c>
      <c r="Q1081" s="37" t="s">
        <v>25</v>
      </c>
      <c r="R1081" s="11" t="s">
        <v>25</v>
      </c>
      <c r="S1081" s="13">
        <f t="shared" si="16"/>
        <v>-1.21</v>
      </c>
    </row>
    <row r="1082" spans="1:19" ht="16">
      <c r="A1082" s="10" t="s">
        <v>1217</v>
      </c>
      <c r="B1082" s="11" t="s">
        <v>1221</v>
      </c>
      <c r="C1082" s="11" t="s">
        <v>1259</v>
      </c>
      <c r="D1082" s="11" t="s">
        <v>25</v>
      </c>
      <c r="E1082" s="11" t="s">
        <v>25</v>
      </c>
      <c r="F1082">
        <v>0.1</v>
      </c>
      <c r="G1082">
        <v>0.1</v>
      </c>
      <c r="H1082" s="17" t="s">
        <v>25</v>
      </c>
      <c r="I1082" s="11" t="s">
        <v>1258</v>
      </c>
      <c r="J1082" s="11" t="s">
        <v>1203</v>
      </c>
      <c r="K1082" s="11" t="s">
        <v>25</v>
      </c>
      <c r="L1082" s="12">
        <v>-1.24</v>
      </c>
      <c r="M1082" s="11" t="s">
        <v>23</v>
      </c>
      <c r="N1082" s="11" t="s">
        <v>230</v>
      </c>
      <c r="O1082" s="11" t="s">
        <v>25</v>
      </c>
      <c r="P1082" s="16" t="s">
        <v>25</v>
      </c>
      <c r="Q1082" s="37" t="s">
        <v>25</v>
      </c>
      <c r="R1082" s="11" t="s">
        <v>25</v>
      </c>
      <c r="S1082" s="13">
        <f t="shared" si="16"/>
        <v>-1.24</v>
      </c>
    </row>
    <row r="1083" spans="1:19" ht="16">
      <c r="A1083" s="10" t="s">
        <v>1217</v>
      </c>
      <c r="B1083" s="11" t="s">
        <v>1222</v>
      </c>
      <c r="C1083" s="11" t="s">
        <v>1259</v>
      </c>
      <c r="D1083" s="11" t="s">
        <v>25</v>
      </c>
      <c r="E1083" s="11" t="s">
        <v>25</v>
      </c>
      <c r="F1083">
        <v>0.1</v>
      </c>
      <c r="G1083">
        <v>0.1</v>
      </c>
      <c r="H1083" s="17" t="s">
        <v>25</v>
      </c>
      <c r="I1083" s="11" t="s">
        <v>1258</v>
      </c>
      <c r="J1083" s="11" t="s">
        <v>1203</v>
      </c>
      <c r="K1083" s="11" t="s">
        <v>25</v>
      </c>
      <c r="L1083" s="12">
        <v>-1.1299999999999999</v>
      </c>
      <c r="M1083" s="11" t="s">
        <v>23</v>
      </c>
      <c r="N1083" s="11" t="s">
        <v>230</v>
      </c>
      <c r="O1083" s="11" t="s">
        <v>25</v>
      </c>
      <c r="P1083" s="16" t="s">
        <v>25</v>
      </c>
      <c r="Q1083" s="37" t="s">
        <v>25</v>
      </c>
      <c r="R1083" s="11" t="s">
        <v>25</v>
      </c>
      <c r="S1083" s="13">
        <f t="shared" si="16"/>
        <v>-1.1299999999999999</v>
      </c>
    </row>
    <row r="1084" spans="1:19" ht="16">
      <c r="A1084" s="10" t="s">
        <v>1217</v>
      </c>
      <c r="B1084" s="11" t="s">
        <v>1223</v>
      </c>
      <c r="C1084" s="11" t="s">
        <v>1266</v>
      </c>
      <c r="D1084" s="11" t="s">
        <v>1267</v>
      </c>
      <c r="E1084" s="11" t="s">
        <v>25</v>
      </c>
      <c r="F1084">
        <v>1.4</v>
      </c>
      <c r="G1084">
        <v>1.4</v>
      </c>
      <c r="H1084" s="17" t="s">
        <v>25</v>
      </c>
      <c r="I1084" s="11" t="s">
        <v>1258</v>
      </c>
      <c r="J1084" s="11" t="s">
        <v>1203</v>
      </c>
      <c r="K1084" s="11" t="s">
        <v>25</v>
      </c>
      <c r="L1084" s="12">
        <v>-1.1200000000000001</v>
      </c>
      <c r="M1084" s="11" t="s">
        <v>23</v>
      </c>
      <c r="N1084" s="11" t="s">
        <v>230</v>
      </c>
      <c r="O1084" s="11" t="s">
        <v>25</v>
      </c>
      <c r="P1084" s="16" t="s">
        <v>25</v>
      </c>
      <c r="Q1084" s="37" t="s">
        <v>25</v>
      </c>
      <c r="R1084" s="11" t="s">
        <v>25</v>
      </c>
      <c r="S1084" s="13">
        <f t="shared" si="16"/>
        <v>-1.1200000000000001</v>
      </c>
    </row>
    <row r="1085" spans="1:19" ht="16">
      <c r="A1085" s="10" t="s">
        <v>1217</v>
      </c>
      <c r="B1085" s="11" t="s">
        <v>1224</v>
      </c>
      <c r="C1085" s="11" t="s">
        <v>1268</v>
      </c>
      <c r="D1085" s="11" t="s">
        <v>1269</v>
      </c>
      <c r="E1085" s="11" t="s">
        <v>25</v>
      </c>
      <c r="F1085">
        <v>2</v>
      </c>
      <c r="G1085">
        <v>2</v>
      </c>
      <c r="H1085" s="17" t="s">
        <v>25</v>
      </c>
      <c r="I1085" s="11" t="s">
        <v>1258</v>
      </c>
      <c r="J1085" s="11" t="s">
        <v>1203</v>
      </c>
      <c r="K1085" s="11" t="s">
        <v>25</v>
      </c>
      <c r="L1085" s="12">
        <v>-1.2</v>
      </c>
      <c r="M1085" s="11" t="s">
        <v>23</v>
      </c>
      <c r="N1085" s="11" t="s">
        <v>230</v>
      </c>
      <c r="O1085" s="11" t="s">
        <v>25</v>
      </c>
      <c r="P1085" s="16" t="s">
        <v>25</v>
      </c>
      <c r="Q1085" s="37" t="s">
        <v>25</v>
      </c>
      <c r="R1085" s="11" t="s">
        <v>25</v>
      </c>
      <c r="S1085" s="13">
        <f t="shared" si="16"/>
        <v>-1.2</v>
      </c>
    </row>
    <row r="1086" spans="1:19" ht="16">
      <c r="A1086" s="10" t="s">
        <v>1217</v>
      </c>
      <c r="B1086" s="11" t="s">
        <v>1225</v>
      </c>
      <c r="C1086" s="11" t="s">
        <v>1270</v>
      </c>
      <c r="D1086" s="11" t="s">
        <v>1271</v>
      </c>
      <c r="E1086" s="11" t="s">
        <v>25</v>
      </c>
      <c r="F1086">
        <v>2.2000000000000002</v>
      </c>
      <c r="G1086">
        <v>2.2000000000000002</v>
      </c>
      <c r="H1086" s="17" t="s">
        <v>25</v>
      </c>
      <c r="I1086" s="11" t="s">
        <v>1258</v>
      </c>
      <c r="J1086" s="11" t="s">
        <v>1203</v>
      </c>
      <c r="K1086" s="11" t="s">
        <v>25</v>
      </c>
      <c r="L1086" s="12">
        <v>-1.33</v>
      </c>
      <c r="M1086" s="11" t="s">
        <v>23</v>
      </c>
      <c r="N1086" s="11" t="s">
        <v>230</v>
      </c>
      <c r="O1086" s="11" t="s">
        <v>25</v>
      </c>
      <c r="P1086" s="16" t="s">
        <v>25</v>
      </c>
      <c r="Q1086" s="37" t="s">
        <v>25</v>
      </c>
      <c r="R1086" s="11" t="s">
        <v>25</v>
      </c>
      <c r="S1086" s="13">
        <f t="shared" si="16"/>
        <v>-1.33</v>
      </c>
    </row>
    <row r="1087" spans="1:19" ht="16">
      <c r="A1087" s="10" t="s">
        <v>1217</v>
      </c>
      <c r="B1087" s="11" t="s">
        <v>1226</v>
      </c>
      <c r="C1087" s="11" t="s">
        <v>1272</v>
      </c>
      <c r="D1087" s="11" t="s">
        <v>1273</v>
      </c>
      <c r="E1087" s="11" t="s">
        <v>25</v>
      </c>
      <c r="F1087">
        <v>2.2999999999999998</v>
      </c>
      <c r="G1087">
        <v>2.2999999999999998</v>
      </c>
      <c r="H1087" s="17" t="s">
        <v>25</v>
      </c>
      <c r="I1087" s="11" t="s">
        <v>1258</v>
      </c>
      <c r="J1087" s="11" t="s">
        <v>1203</v>
      </c>
      <c r="K1087" s="11" t="s">
        <v>25</v>
      </c>
      <c r="L1087" s="12">
        <v>-1.35</v>
      </c>
      <c r="M1087" s="11" t="s">
        <v>23</v>
      </c>
      <c r="N1087" s="11" t="s">
        <v>230</v>
      </c>
      <c r="O1087" s="11" t="s">
        <v>25</v>
      </c>
      <c r="P1087" s="16" t="s">
        <v>25</v>
      </c>
      <c r="Q1087" s="37" t="s">
        <v>25</v>
      </c>
      <c r="R1087" s="11" t="s">
        <v>25</v>
      </c>
      <c r="S1087" s="13">
        <f t="shared" si="16"/>
        <v>-1.35</v>
      </c>
    </row>
    <row r="1088" spans="1:19" ht="16">
      <c r="A1088" s="10" t="s">
        <v>1217</v>
      </c>
      <c r="B1088" s="11" t="s">
        <v>1227</v>
      </c>
      <c r="C1088" s="11" t="s">
        <v>1274</v>
      </c>
      <c r="D1088" s="11" t="s">
        <v>1275</v>
      </c>
      <c r="E1088" s="11" t="s">
        <v>25</v>
      </c>
      <c r="F1088">
        <v>3.1</v>
      </c>
      <c r="G1088">
        <v>3.1</v>
      </c>
      <c r="H1088" s="17" t="s">
        <v>25</v>
      </c>
      <c r="I1088" s="11" t="s">
        <v>1258</v>
      </c>
      <c r="J1088" s="11" t="s">
        <v>1203</v>
      </c>
      <c r="K1088" s="11" t="s">
        <v>25</v>
      </c>
      <c r="L1088" s="12">
        <v>-1.04</v>
      </c>
      <c r="M1088" s="11" t="s">
        <v>23</v>
      </c>
      <c r="N1088" s="11" t="s">
        <v>230</v>
      </c>
      <c r="O1088" s="11" t="s">
        <v>25</v>
      </c>
      <c r="P1088" s="16" t="s">
        <v>25</v>
      </c>
      <c r="Q1088" s="37" t="s">
        <v>25</v>
      </c>
      <c r="R1088" s="11" t="s">
        <v>25</v>
      </c>
      <c r="S1088" s="13">
        <f t="shared" si="16"/>
        <v>-1.04</v>
      </c>
    </row>
    <row r="1089" spans="1:19" ht="16">
      <c r="A1089" s="10" t="s">
        <v>1217</v>
      </c>
      <c r="B1089" s="11" t="s">
        <v>1228</v>
      </c>
      <c r="C1089" s="11" t="s">
        <v>1276</v>
      </c>
      <c r="D1089" s="11" t="s">
        <v>1277</v>
      </c>
      <c r="E1089" s="11" t="s">
        <v>25</v>
      </c>
      <c r="F1089">
        <v>3.5</v>
      </c>
      <c r="G1089">
        <v>3.5</v>
      </c>
      <c r="H1089" s="17" t="s">
        <v>25</v>
      </c>
      <c r="I1089" s="11" t="s">
        <v>1258</v>
      </c>
      <c r="J1089" s="11" t="s">
        <v>1203</v>
      </c>
      <c r="K1089" s="11" t="s">
        <v>25</v>
      </c>
      <c r="L1089" s="12">
        <v>-1.21</v>
      </c>
      <c r="M1089" s="11" t="s">
        <v>23</v>
      </c>
      <c r="N1089" s="11" t="s">
        <v>230</v>
      </c>
      <c r="O1089" s="11" t="s">
        <v>25</v>
      </c>
      <c r="P1089" s="16" t="s">
        <v>25</v>
      </c>
      <c r="Q1089" s="37" t="s">
        <v>25</v>
      </c>
      <c r="R1089" s="11" t="s">
        <v>25</v>
      </c>
      <c r="S1089" s="13">
        <f t="shared" si="16"/>
        <v>-1.21</v>
      </c>
    </row>
    <row r="1090" spans="1:19" ht="16">
      <c r="A1090" s="10" t="s">
        <v>1217</v>
      </c>
      <c r="B1090" s="11" t="s">
        <v>1229</v>
      </c>
      <c r="C1090" s="11" t="s">
        <v>1276</v>
      </c>
      <c r="D1090" s="11" t="s">
        <v>25</v>
      </c>
      <c r="E1090" s="11" t="s">
        <v>25</v>
      </c>
      <c r="F1090">
        <v>5.4</v>
      </c>
      <c r="G1090">
        <v>5.4</v>
      </c>
      <c r="H1090" s="17" t="s">
        <v>25</v>
      </c>
      <c r="I1090" s="11" t="s">
        <v>1258</v>
      </c>
      <c r="J1090" s="11" t="s">
        <v>1203</v>
      </c>
      <c r="K1090" s="11" t="s">
        <v>25</v>
      </c>
      <c r="L1090" s="12">
        <v>-1.1200000000000001</v>
      </c>
      <c r="M1090" s="11" t="s">
        <v>23</v>
      </c>
      <c r="N1090" s="11" t="s">
        <v>230</v>
      </c>
      <c r="O1090" s="11" t="s">
        <v>25</v>
      </c>
      <c r="P1090" s="16" t="s">
        <v>25</v>
      </c>
      <c r="Q1090" s="37" t="s">
        <v>25</v>
      </c>
      <c r="R1090" s="11" t="s">
        <v>25</v>
      </c>
      <c r="S1090" s="13">
        <f t="shared" si="16"/>
        <v>-1.1200000000000001</v>
      </c>
    </row>
    <row r="1091" spans="1:19" ht="16">
      <c r="A1091" s="10" t="s">
        <v>1217</v>
      </c>
      <c r="B1091" s="11" t="s">
        <v>1230</v>
      </c>
      <c r="C1091" s="11" t="s">
        <v>1278</v>
      </c>
      <c r="D1091" s="11" t="s">
        <v>25</v>
      </c>
      <c r="E1091" s="11" t="s">
        <v>25</v>
      </c>
      <c r="F1091">
        <v>6</v>
      </c>
      <c r="G1091">
        <v>6</v>
      </c>
      <c r="H1091" s="17" t="s">
        <v>25</v>
      </c>
      <c r="I1091" s="11" t="s">
        <v>1258</v>
      </c>
      <c r="J1091" s="11" t="s">
        <v>1203</v>
      </c>
      <c r="K1091" s="11" t="s">
        <v>25</v>
      </c>
      <c r="L1091" s="12">
        <v>-1</v>
      </c>
      <c r="M1091" s="11" t="s">
        <v>23</v>
      </c>
      <c r="N1091" s="11" t="s">
        <v>230</v>
      </c>
      <c r="O1091" s="11" t="s">
        <v>25</v>
      </c>
      <c r="P1091" s="16" t="s">
        <v>25</v>
      </c>
      <c r="Q1091" s="37" t="s">
        <v>25</v>
      </c>
      <c r="R1091" s="11" t="s">
        <v>25</v>
      </c>
      <c r="S1091" s="13">
        <f t="shared" ref="S1091:S1154" si="17">IF(NOT(N1091="SW"),L1091-1.88,L1091)</f>
        <v>-1</v>
      </c>
    </row>
    <row r="1092" spans="1:19" ht="16">
      <c r="A1092" s="10" t="s">
        <v>1217</v>
      </c>
      <c r="B1092" s="11" t="s">
        <v>1231</v>
      </c>
      <c r="C1092" s="11" t="s">
        <v>1278</v>
      </c>
      <c r="D1092" s="11" t="s">
        <v>25</v>
      </c>
      <c r="E1092" s="11" t="s">
        <v>25</v>
      </c>
      <c r="F1092">
        <v>9.3000000000000007</v>
      </c>
      <c r="G1092">
        <v>9.3000000000000007</v>
      </c>
      <c r="H1092" s="17" t="s">
        <v>25</v>
      </c>
      <c r="I1092" s="11" t="s">
        <v>1258</v>
      </c>
      <c r="J1092" s="11" t="s">
        <v>1203</v>
      </c>
      <c r="K1092" s="11" t="s">
        <v>25</v>
      </c>
      <c r="L1092" s="12">
        <v>-1.1399999999999999</v>
      </c>
      <c r="M1092" s="11" t="s">
        <v>23</v>
      </c>
      <c r="N1092" s="11" t="s">
        <v>230</v>
      </c>
      <c r="O1092" s="11" t="s">
        <v>25</v>
      </c>
      <c r="P1092" s="16" t="s">
        <v>25</v>
      </c>
      <c r="Q1092" s="37" t="s">
        <v>25</v>
      </c>
      <c r="R1092" s="11" t="s">
        <v>25</v>
      </c>
      <c r="S1092" s="13">
        <f t="shared" si="17"/>
        <v>-1.1399999999999999</v>
      </c>
    </row>
    <row r="1093" spans="1:19" ht="16">
      <c r="A1093" s="10" t="s">
        <v>1217</v>
      </c>
      <c r="B1093" s="11" t="s">
        <v>1232</v>
      </c>
      <c r="C1093" s="11" t="s">
        <v>1278</v>
      </c>
      <c r="D1093" s="11" t="s">
        <v>25</v>
      </c>
      <c r="E1093" s="11" t="s">
        <v>25</v>
      </c>
      <c r="F1093">
        <v>11.9</v>
      </c>
      <c r="G1093">
        <v>11.9</v>
      </c>
      <c r="H1093" s="17" t="s">
        <v>25</v>
      </c>
      <c r="I1093" s="11" t="s">
        <v>1258</v>
      </c>
      <c r="J1093" s="11" t="s">
        <v>1203</v>
      </c>
      <c r="K1093" s="11" t="s">
        <v>25</v>
      </c>
      <c r="L1093" s="12">
        <v>-1.1599999999999999</v>
      </c>
      <c r="M1093" s="11" t="s">
        <v>23</v>
      </c>
      <c r="N1093" s="11" t="s">
        <v>230</v>
      </c>
      <c r="O1093" s="11" t="s">
        <v>25</v>
      </c>
      <c r="P1093" s="16" t="s">
        <v>25</v>
      </c>
      <c r="Q1093" s="37" t="s">
        <v>25</v>
      </c>
      <c r="R1093" s="11" t="s">
        <v>25</v>
      </c>
      <c r="S1093" s="13">
        <f t="shared" si="17"/>
        <v>-1.1599999999999999</v>
      </c>
    </row>
    <row r="1094" spans="1:19" ht="16">
      <c r="A1094" s="10" t="s">
        <v>1217</v>
      </c>
      <c r="B1094" s="11" t="s">
        <v>1233</v>
      </c>
      <c r="C1094" s="11" t="s">
        <v>1278</v>
      </c>
      <c r="D1094" s="11" t="s">
        <v>25</v>
      </c>
      <c r="E1094" s="11" t="s">
        <v>25</v>
      </c>
      <c r="F1094">
        <v>12.3</v>
      </c>
      <c r="G1094">
        <v>12.3</v>
      </c>
      <c r="H1094" s="17" t="s">
        <v>25</v>
      </c>
      <c r="I1094" s="11" t="s">
        <v>1258</v>
      </c>
      <c r="J1094" s="11" t="s">
        <v>1203</v>
      </c>
      <c r="K1094" s="11" t="s">
        <v>25</v>
      </c>
      <c r="L1094" s="12">
        <v>-1.1499999999999999</v>
      </c>
      <c r="M1094" s="11" t="s">
        <v>23</v>
      </c>
      <c r="N1094" s="11" t="s">
        <v>230</v>
      </c>
      <c r="O1094" s="11" t="s">
        <v>25</v>
      </c>
      <c r="P1094" s="16" t="s">
        <v>25</v>
      </c>
      <c r="Q1094" s="37" t="s">
        <v>25</v>
      </c>
      <c r="R1094" s="11" t="s">
        <v>25</v>
      </c>
      <c r="S1094" s="13">
        <f t="shared" si="17"/>
        <v>-1.1499999999999999</v>
      </c>
    </row>
    <row r="1095" spans="1:19" ht="16">
      <c r="A1095" s="10" t="s">
        <v>1217</v>
      </c>
      <c r="B1095" s="11" t="s">
        <v>1234</v>
      </c>
      <c r="C1095" s="11" t="s">
        <v>1278</v>
      </c>
      <c r="D1095" s="11" t="s">
        <v>25</v>
      </c>
      <c r="E1095" s="11" t="s">
        <v>25</v>
      </c>
      <c r="F1095">
        <v>13</v>
      </c>
      <c r="G1095">
        <v>13</v>
      </c>
      <c r="H1095" s="17" t="s">
        <v>25</v>
      </c>
      <c r="I1095" s="11" t="s">
        <v>1258</v>
      </c>
      <c r="J1095" s="11" t="s">
        <v>1203</v>
      </c>
      <c r="K1095" s="11" t="s">
        <v>25</v>
      </c>
      <c r="L1095" s="12">
        <v>-1.08</v>
      </c>
      <c r="M1095" s="11" t="s">
        <v>23</v>
      </c>
      <c r="N1095" s="11" t="s">
        <v>230</v>
      </c>
      <c r="O1095" s="11" t="s">
        <v>25</v>
      </c>
      <c r="P1095" s="16" t="s">
        <v>25</v>
      </c>
      <c r="Q1095" s="37" t="s">
        <v>25</v>
      </c>
      <c r="R1095" s="11" t="s">
        <v>25</v>
      </c>
      <c r="S1095" s="13">
        <f t="shared" si="17"/>
        <v>-1.08</v>
      </c>
    </row>
    <row r="1096" spans="1:19" ht="16">
      <c r="A1096" s="10" t="s">
        <v>1217</v>
      </c>
      <c r="B1096" s="11" t="s">
        <v>1235</v>
      </c>
      <c r="C1096" s="11" t="s">
        <v>1279</v>
      </c>
      <c r="D1096" s="11" t="s">
        <v>25</v>
      </c>
      <c r="E1096" s="11" t="s">
        <v>25</v>
      </c>
      <c r="F1096">
        <v>14</v>
      </c>
      <c r="G1096">
        <v>14</v>
      </c>
      <c r="H1096" s="17" t="s">
        <v>25</v>
      </c>
      <c r="I1096" s="11" t="s">
        <v>1258</v>
      </c>
      <c r="J1096" s="11" t="s">
        <v>1203</v>
      </c>
      <c r="K1096" s="11" t="s">
        <v>25</v>
      </c>
      <c r="L1096" s="12">
        <v>-1.68</v>
      </c>
      <c r="M1096" s="11" t="s">
        <v>23</v>
      </c>
      <c r="N1096" s="11" t="s">
        <v>230</v>
      </c>
      <c r="O1096" s="11" t="s">
        <v>25</v>
      </c>
      <c r="P1096" s="16" t="s">
        <v>25</v>
      </c>
      <c r="Q1096" s="37" t="s">
        <v>25</v>
      </c>
      <c r="R1096" s="11" t="s">
        <v>25</v>
      </c>
      <c r="S1096" s="13">
        <f t="shared" si="17"/>
        <v>-1.68</v>
      </c>
    </row>
    <row r="1097" spans="1:19" ht="16">
      <c r="A1097" s="10" t="s">
        <v>1217</v>
      </c>
      <c r="B1097" s="11" t="s">
        <v>1236</v>
      </c>
      <c r="C1097" s="11" t="s">
        <v>1268</v>
      </c>
      <c r="D1097" s="11" t="s">
        <v>1280</v>
      </c>
      <c r="E1097" s="11" t="s">
        <v>25</v>
      </c>
      <c r="F1097">
        <v>18</v>
      </c>
      <c r="G1097">
        <v>18</v>
      </c>
      <c r="H1097" s="17" t="s">
        <v>25</v>
      </c>
      <c r="I1097" s="11" t="s">
        <v>1258</v>
      </c>
      <c r="J1097" s="11" t="s">
        <v>1203</v>
      </c>
      <c r="K1097" s="11" t="s">
        <v>25</v>
      </c>
      <c r="L1097" s="12">
        <v>-1.33</v>
      </c>
      <c r="M1097" s="11" t="s">
        <v>23</v>
      </c>
      <c r="N1097" s="11" t="s">
        <v>230</v>
      </c>
      <c r="O1097" s="11" t="s">
        <v>25</v>
      </c>
      <c r="P1097" s="16" t="s">
        <v>25</v>
      </c>
      <c r="Q1097" s="37" t="s">
        <v>25</v>
      </c>
      <c r="R1097" s="11" t="s">
        <v>25</v>
      </c>
      <c r="S1097" s="13">
        <f t="shared" si="17"/>
        <v>-1.33</v>
      </c>
    </row>
    <row r="1098" spans="1:19" ht="16">
      <c r="A1098" s="10" t="s">
        <v>1217</v>
      </c>
      <c r="B1098" s="11" t="s">
        <v>1237</v>
      </c>
      <c r="C1098" s="11" t="s">
        <v>1268</v>
      </c>
      <c r="D1098" s="11" t="s">
        <v>1280</v>
      </c>
      <c r="E1098" s="11" t="s">
        <v>25</v>
      </c>
      <c r="F1098">
        <v>18</v>
      </c>
      <c r="G1098">
        <v>18</v>
      </c>
      <c r="H1098" s="17" t="s">
        <v>25</v>
      </c>
      <c r="I1098" s="11" t="s">
        <v>1258</v>
      </c>
      <c r="J1098" s="11" t="s">
        <v>1203</v>
      </c>
      <c r="K1098" s="11" t="s">
        <v>25</v>
      </c>
      <c r="L1098" s="12">
        <v>-1.37</v>
      </c>
      <c r="M1098" s="11" t="s">
        <v>23</v>
      </c>
      <c r="N1098" s="11" t="s">
        <v>230</v>
      </c>
      <c r="O1098" s="11" t="s">
        <v>25</v>
      </c>
      <c r="P1098" s="16" t="s">
        <v>25</v>
      </c>
      <c r="Q1098" s="37" t="s">
        <v>25</v>
      </c>
      <c r="R1098" s="11" t="s">
        <v>25</v>
      </c>
      <c r="S1098" s="13">
        <f t="shared" si="17"/>
        <v>-1.37</v>
      </c>
    </row>
    <row r="1099" spans="1:19" ht="16">
      <c r="A1099" s="10" t="s">
        <v>1217</v>
      </c>
      <c r="B1099" s="11" t="s">
        <v>1238</v>
      </c>
      <c r="C1099" s="11" t="s">
        <v>1268</v>
      </c>
      <c r="D1099" s="11" t="s">
        <v>1280</v>
      </c>
      <c r="E1099" s="11" t="s">
        <v>25</v>
      </c>
      <c r="F1099">
        <v>18.2</v>
      </c>
      <c r="G1099">
        <v>18.2</v>
      </c>
      <c r="H1099" s="17" t="s">
        <v>25</v>
      </c>
      <c r="I1099" s="11" t="s">
        <v>1258</v>
      </c>
      <c r="J1099" s="11" t="s">
        <v>1203</v>
      </c>
      <c r="K1099" s="11" t="s">
        <v>25</v>
      </c>
      <c r="L1099" s="12">
        <v>-1.46</v>
      </c>
      <c r="M1099" s="11" t="s">
        <v>23</v>
      </c>
      <c r="N1099" s="11" t="s">
        <v>230</v>
      </c>
      <c r="O1099" s="11" t="s">
        <v>25</v>
      </c>
      <c r="P1099" s="16" t="s">
        <v>25</v>
      </c>
      <c r="Q1099" s="37" t="s">
        <v>25</v>
      </c>
      <c r="R1099" s="11" t="s">
        <v>25</v>
      </c>
      <c r="S1099" s="13">
        <f t="shared" si="17"/>
        <v>-1.46</v>
      </c>
    </row>
    <row r="1100" spans="1:19" ht="16">
      <c r="A1100" s="10" t="s">
        <v>1217</v>
      </c>
      <c r="B1100" s="11" t="s">
        <v>1239</v>
      </c>
      <c r="C1100" s="11" t="s">
        <v>1281</v>
      </c>
      <c r="D1100" s="11" t="s">
        <v>25</v>
      </c>
      <c r="E1100" s="11" t="s">
        <v>25</v>
      </c>
      <c r="F1100">
        <v>28.5</v>
      </c>
      <c r="G1100">
        <v>28.5</v>
      </c>
      <c r="H1100" s="17" t="s">
        <v>25</v>
      </c>
      <c r="I1100" s="11" t="s">
        <v>1258</v>
      </c>
      <c r="J1100" s="11" t="s">
        <v>1203</v>
      </c>
      <c r="K1100" s="11" t="s">
        <v>25</v>
      </c>
      <c r="L1100" s="12">
        <v>-1.53</v>
      </c>
      <c r="M1100" s="11" t="s">
        <v>23</v>
      </c>
      <c r="N1100" s="11" t="s">
        <v>230</v>
      </c>
      <c r="O1100" s="11" t="s">
        <v>25</v>
      </c>
      <c r="P1100" s="16" t="s">
        <v>25</v>
      </c>
      <c r="Q1100" s="37" t="s">
        <v>25</v>
      </c>
      <c r="R1100" s="11" t="s">
        <v>25</v>
      </c>
      <c r="S1100" s="13">
        <f t="shared" si="17"/>
        <v>-1.53</v>
      </c>
    </row>
    <row r="1101" spans="1:19" ht="16">
      <c r="A1101" s="10" t="s">
        <v>1217</v>
      </c>
      <c r="B1101" s="11" t="s">
        <v>1240</v>
      </c>
      <c r="C1101" s="11" t="s">
        <v>1261</v>
      </c>
      <c r="D1101" s="11" t="s">
        <v>1282</v>
      </c>
      <c r="E1101" s="11" t="s">
        <v>25</v>
      </c>
      <c r="F1101">
        <v>30</v>
      </c>
      <c r="G1101">
        <v>30</v>
      </c>
      <c r="H1101" s="17" t="s">
        <v>25</v>
      </c>
      <c r="I1101" s="11" t="s">
        <v>1258</v>
      </c>
      <c r="J1101" s="11" t="s">
        <v>1203</v>
      </c>
      <c r="K1101" s="11" t="s">
        <v>25</v>
      </c>
      <c r="L1101" s="12">
        <v>-1.44</v>
      </c>
      <c r="M1101" s="11" t="s">
        <v>23</v>
      </c>
      <c r="N1101" s="11" t="s">
        <v>230</v>
      </c>
      <c r="O1101" s="11" t="s">
        <v>25</v>
      </c>
      <c r="P1101" s="16" t="s">
        <v>25</v>
      </c>
      <c r="Q1101" s="37" t="s">
        <v>25</v>
      </c>
      <c r="R1101" s="11" t="s">
        <v>25</v>
      </c>
      <c r="S1101" s="13">
        <f t="shared" si="17"/>
        <v>-1.44</v>
      </c>
    </row>
    <row r="1102" spans="1:19" ht="16">
      <c r="A1102" s="10" t="s">
        <v>1217</v>
      </c>
      <c r="B1102" s="11" t="s">
        <v>1241</v>
      </c>
      <c r="C1102" s="11" t="s">
        <v>1261</v>
      </c>
      <c r="D1102" s="11" t="s">
        <v>1282</v>
      </c>
      <c r="E1102" s="11" t="s">
        <v>25</v>
      </c>
      <c r="F1102">
        <v>30</v>
      </c>
      <c r="G1102">
        <v>30</v>
      </c>
      <c r="H1102" s="17" t="s">
        <v>25</v>
      </c>
      <c r="I1102" s="11" t="s">
        <v>1258</v>
      </c>
      <c r="J1102" s="11" t="s">
        <v>1203</v>
      </c>
      <c r="K1102" s="11" t="s">
        <v>25</v>
      </c>
      <c r="L1102" s="12">
        <v>-1.55</v>
      </c>
      <c r="M1102" s="11" t="s">
        <v>23</v>
      </c>
      <c r="N1102" s="11" t="s">
        <v>230</v>
      </c>
      <c r="O1102" s="11" t="s">
        <v>25</v>
      </c>
      <c r="P1102" s="16" t="s">
        <v>25</v>
      </c>
      <c r="Q1102" s="37" t="s">
        <v>25</v>
      </c>
      <c r="R1102" s="11" t="s">
        <v>25</v>
      </c>
      <c r="S1102" s="13">
        <f t="shared" si="17"/>
        <v>-1.55</v>
      </c>
    </row>
    <row r="1103" spans="1:19" ht="16">
      <c r="A1103" s="10" t="s">
        <v>1217</v>
      </c>
      <c r="B1103" s="11" t="s">
        <v>1242</v>
      </c>
      <c r="C1103" s="11" t="s">
        <v>1261</v>
      </c>
      <c r="D1103" s="11" t="s">
        <v>1282</v>
      </c>
      <c r="E1103" s="11" t="s">
        <v>25</v>
      </c>
      <c r="F1103">
        <v>30</v>
      </c>
      <c r="G1103">
        <v>30</v>
      </c>
      <c r="H1103" s="17" t="s">
        <v>25</v>
      </c>
      <c r="I1103" s="11" t="s">
        <v>1258</v>
      </c>
      <c r="J1103" s="11" t="s">
        <v>1203</v>
      </c>
      <c r="K1103" s="11" t="s">
        <v>25</v>
      </c>
      <c r="L1103" s="12">
        <v>-1.5</v>
      </c>
      <c r="M1103" s="11" t="s">
        <v>23</v>
      </c>
      <c r="N1103" s="11" t="s">
        <v>230</v>
      </c>
      <c r="O1103" s="11" t="s">
        <v>25</v>
      </c>
      <c r="P1103" s="16" t="s">
        <v>25</v>
      </c>
      <c r="Q1103" s="37" t="s">
        <v>25</v>
      </c>
      <c r="R1103" s="11" t="s">
        <v>25</v>
      </c>
      <c r="S1103" s="13">
        <f t="shared" si="17"/>
        <v>-1.5</v>
      </c>
    </row>
    <row r="1104" spans="1:19" ht="16">
      <c r="A1104" s="10" t="s">
        <v>1217</v>
      </c>
      <c r="B1104" s="11" t="s">
        <v>1243</v>
      </c>
      <c r="C1104" s="11" t="s">
        <v>1261</v>
      </c>
      <c r="D1104" s="11" t="s">
        <v>25</v>
      </c>
      <c r="E1104" s="11" t="s">
        <v>25</v>
      </c>
      <c r="F1104">
        <v>31</v>
      </c>
      <c r="G1104">
        <v>31</v>
      </c>
      <c r="H1104" s="17" t="s">
        <v>25</v>
      </c>
      <c r="I1104" s="11" t="s">
        <v>1258</v>
      </c>
      <c r="J1104" s="11" t="s">
        <v>1203</v>
      </c>
      <c r="K1104" s="11" t="s">
        <v>25</v>
      </c>
      <c r="L1104" s="12">
        <v>-1.53</v>
      </c>
      <c r="M1104" s="11" t="s">
        <v>23</v>
      </c>
      <c r="N1104" s="11" t="s">
        <v>230</v>
      </c>
      <c r="O1104" s="11" t="s">
        <v>25</v>
      </c>
      <c r="P1104" s="16" t="s">
        <v>25</v>
      </c>
      <c r="Q1104" s="37" t="s">
        <v>25</v>
      </c>
      <c r="R1104" s="11" t="s">
        <v>25</v>
      </c>
      <c r="S1104" s="13">
        <f t="shared" si="17"/>
        <v>-1.53</v>
      </c>
    </row>
    <row r="1105" spans="1:19" ht="16">
      <c r="A1105" s="10" t="s">
        <v>1217</v>
      </c>
      <c r="B1105" s="11" t="s">
        <v>1244</v>
      </c>
      <c r="C1105" s="11" t="s">
        <v>1261</v>
      </c>
      <c r="D1105" s="11" t="s">
        <v>1282</v>
      </c>
      <c r="E1105" s="11" t="s">
        <v>25</v>
      </c>
      <c r="F1105">
        <v>31.8</v>
      </c>
      <c r="G1105">
        <v>31.8</v>
      </c>
      <c r="H1105" s="17" t="s">
        <v>25</v>
      </c>
      <c r="I1105" s="11" t="s">
        <v>1258</v>
      </c>
      <c r="J1105" s="11" t="s">
        <v>1203</v>
      </c>
      <c r="K1105" s="11" t="s">
        <v>25</v>
      </c>
      <c r="L1105" s="12">
        <v>-1.52</v>
      </c>
      <c r="M1105" s="11" t="s">
        <v>23</v>
      </c>
      <c r="N1105" s="11" t="s">
        <v>230</v>
      </c>
      <c r="O1105" s="11" t="s">
        <v>25</v>
      </c>
      <c r="P1105" s="16" t="s">
        <v>25</v>
      </c>
      <c r="Q1105" s="37" t="s">
        <v>25</v>
      </c>
      <c r="R1105" s="11" t="s">
        <v>25</v>
      </c>
      <c r="S1105" s="13">
        <f t="shared" si="17"/>
        <v>-1.52</v>
      </c>
    </row>
    <row r="1106" spans="1:19" ht="16">
      <c r="A1106" s="10" t="s">
        <v>1217</v>
      </c>
      <c r="B1106" s="11" t="s">
        <v>1245</v>
      </c>
      <c r="C1106" s="11" t="s">
        <v>1263</v>
      </c>
      <c r="D1106" s="11" t="s">
        <v>25</v>
      </c>
      <c r="E1106" s="11" t="s">
        <v>25</v>
      </c>
      <c r="F1106">
        <v>35</v>
      </c>
      <c r="G1106">
        <v>35</v>
      </c>
      <c r="H1106" s="17" t="s">
        <v>25</v>
      </c>
      <c r="I1106" s="11" t="s">
        <v>1258</v>
      </c>
      <c r="J1106" s="11" t="s">
        <v>1203</v>
      </c>
      <c r="K1106" s="11" t="s">
        <v>25</v>
      </c>
      <c r="L1106" s="12">
        <v>-1.8</v>
      </c>
      <c r="M1106" s="11" t="s">
        <v>23</v>
      </c>
      <c r="N1106" s="11" t="s">
        <v>230</v>
      </c>
      <c r="O1106" s="11" t="s">
        <v>25</v>
      </c>
      <c r="P1106" s="16" t="s">
        <v>25</v>
      </c>
      <c r="Q1106" s="37" t="s">
        <v>25</v>
      </c>
      <c r="R1106" s="11" t="s">
        <v>25</v>
      </c>
      <c r="S1106" s="13">
        <f t="shared" si="17"/>
        <v>-1.8</v>
      </c>
    </row>
    <row r="1107" spans="1:19" ht="16">
      <c r="A1107" s="10" t="s">
        <v>1217</v>
      </c>
      <c r="B1107" s="11" t="s">
        <v>1246</v>
      </c>
      <c r="C1107" s="11" t="s">
        <v>1262</v>
      </c>
      <c r="D1107" s="11" t="s">
        <v>1283</v>
      </c>
      <c r="E1107" s="11" t="s">
        <v>25</v>
      </c>
      <c r="F1107">
        <v>35</v>
      </c>
      <c r="G1107">
        <v>35</v>
      </c>
      <c r="H1107" s="17" t="s">
        <v>25</v>
      </c>
      <c r="I1107" s="11" t="s">
        <v>1258</v>
      </c>
      <c r="J1107" s="11" t="s">
        <v>1203</v>
      </c>
      <c r="K1107" s="11" t="s">
        <v>25</v>
      </c>
      <c r="L1107" s="12">
        <v>-1.7</v>
      </c>
      <c r="M1107" s="11" t="s">
        <v>23</v>
      </c>
      <c r="N1107" s="11" t="s">
        <v>230</v>
      </c>
      <c r="O1107" s="11" t="s">
        <v>25</v>
      </c>
      <c r="P1107" s="16" t="s">
        <v>25</v>
      </c>
      <c r="Q1107" s="37" t="s">
        <v>25</v>
      </c>
      <c r="R1107" s="11" t="s">
        <v>25</v>
      </c>
      <c r="S1107" s="13">
        <f t="shared" si="17"/>
        <v>-1.7</v>
      </c>
    </row>
    <row r="1108" spans="1:19" ht="16">
      <c r="A1108" s="10" t="s">
        <v>1217</v>
      </c>
      <c r="B1108" s="11" t="s">
        <v>1247</v>
      </c>
      <c r="C1108" s="11" t="s">
        <v>1284</v>
      </c>
      <c r="D1108" s="11" t="s">
        <v>1285</v>
      </c>
      <c r="E1108" s="11" t="s">
        <v>25</v>
      </c>
      <c r="F1108">
        <v>36</v>
      </c>
      <c r="G1108">
        <v>36</v>
      </c>
      <c r="H1108" s="17" t="s">
        <v>25</v>
      </c>
      <c r="I1108" s="11" t="s">
        <v>1258</v>
      </c>
      <c r="J1108" s="11" t="s">
        <v>1203</v>
      </c>
      <c r="K1108" s="11" t="s">
        <v>25</v>
      </c>
      <c r="L1108" s="12">
        <v>-1.61</v>
      </c>
      <c r="M1108" s="11" t="s">
        <v>23</v>
      </c>
      <c r="N1108" s="11" t="s">
        <v>230</v>
      </c>
      <c r="O1108" s="11" t="s">
        <v>25</v>
      </c>
      <c r="P1108" s="16" t="s">
        <v>25</v>
      </c>
      <c r="Q1108" s="37" t="s">
        <v>25</v>
      </c>
      <c r="R1108" s="11" t="s">
        <v>25</v>
      </c>
      <c r="S1108" s="13">
        <f t="shared" si="17"/>
        <v>-1.61</v>
      </c>
    </row>
    <row r="1109" spans="1:19" ht="16">
      <c r="A1109" s="10" t="s">
        <v>1217</v>
      </c>
      <c r="B1109" s="11" t="s">
        <v>1248</v>
      </c>
      <c r="C1109" s="11" t="s">
        <v>1286</v>
      </c>
      <c r="D1109" s="11" t="s">
        <v>25</v>
      </c>
      <c r="E1109" s="11" t="s">
        <v>25</v>
      </c>
      <c r="F1109">
        <v>37</v>
      </c>
      <c r="G1109">
        <v>37</v>
      </c>
      <c r="H1109" s="17" t="s">
        <v>25</v>
      </c>
      <c r="I1109" s="11" t="s">
        <v>1258</v>
      </c>
      <c r="J1109" s="11" t="s">
        <v>1203</v>
      </c>
      <c r="K1109" s="11" t="s">
        <v>25</v>
      </c>
      <c r="L1109" s="12">
        <v>-1.54</v>
      </c>
      <c r="M1109" s="11" t="s">
        <v>23</v>
      </c>
      <c r="N1109" s="11" t="s">
        <v>230</v>
      </c>
      <c r="O1109" s="11" t="s">
        <v>25</v>
      </c>
      <c r="P1109" s="16" t="s">
        <v>25</v>
      </c>
      <c r="Q1109" s="37" t="s">
        <v>25</v>
      </c>
      <c r="R1109" s="11" t="s">
        <v>25</v>
      </c>
      <c r="S1109" s="13">
        <f t="shared" si="17"/>
        <v>-1.54</v>
      </c>
    </row>
    <row r="1110" spans="1:19" ht="16">
      <c r="A1110" s="10" t="s">
        <v>1217</v>
      </c>
      <c r="B1110" s="11" t="s">
        <v>1249</v>
      </c>
      <c r="C1110" s="11" t="s">
        <v>1260</v>
      </c>
      <c r="D1110" s="11" t="s">
        <v>25</v>
      </c>
      <c r="E1110" s="11" t="s">
        <v>25</v>
      </c>
      <c r="F1110">
        <v>45</v>
      </c>
      <c r="G1110">
        <v>45</v>
      </c>
      <c r="H1110" s="17" t="s">
        <v>25</v>
      </c>
      <c r="I1110" s="11" t="s">
        <v>1258</v>
      </c>
      <c r="J1110" s="11" t="s">
        <v>1203</v>
      </c>
      <c r="K1110" s="11" t="s">
        <v>25</v>
      </c>
      <c r="L1110" s="12">
        <v>-1.5</v>
      </c>
      <c r="M1110" s="11" t="s">
        <v>23</v>
      </c>
      <c r="N1110" s="11" t="s">
        <v>230</v>
      </c>
      <c r="O1110" s="11" t="s">
        <v>25</v>
      </c>
      <c r="P1110" s="16" t="s">
        <v>25</v>
      </c>
      <c r="Q1110" s="37" t="s">
        <v>25</v>
      </c>
      <c r="R1110" s="11" t="s">
        <v>25</v>
      </c>
      <c r="S1110" s="13">
        <f t="shared" si="17"/>
        <v>-1.5</v>
      </c>
    </row>
    <row r="1111" spans="1:19" ht="16">
      <c r="A1111" s="10" t="s">
        <v>1217</v>
      </c>
      <c r="B1111" s="11" t="s">
        <v>1250</v>
      </c>
      <c r="C1111" s="11" t="s">
        <v>1262</v>
      </c>
      <c r="D1111" s="11" t="s">
        <v>25</v>
      </c>
      <c r="E1111" s="11" t="s">
        <v>25</v>
      </c>
      <c r="F1111">
        <v>45</v>
      </c>
      <c r="G1111">
        <v>45</v>
      </c>
      <c r="H1111" s="17" t="s">
        <v>25</v>
      </c>
      <c r="I1111" s="11" t="s">
        <v>1258</v>
      </c>
      <c r="J1111" s="11" t="s">
        <v>1203</v>
      </c>
      <c r="K1111" s="11" t="s">
        <v>25</v>
      </c>
      <c r="L1111" s="12">
        <v>-1.75</v>
      </c>
      <c r="M1111" s="11" t="s">
        <v>23</v>
      </c>
      <c r="N1111" s="11" t="s">
        <v>230</v>
      </c>
      <c r="O1111" s="11" t="s">
        <v>25</v>
      </c>
      <c r="P1111" s="16" t="s">
        <v>25</v>
      </c>
      <c r="Q1111" s="37" t="s">
        <v>25</v>
      </c>
      <c r="R1111" s="11" t="s">
        <v>25</v>
      </c>
      <c r="S1111" s="13">
        <f t="shared" si="17"/>
        <v>-1.75</v>
      </c>
    </row>
    <row r="1112" spans="1:19" ht="16">
      <c r="A1112" s="10" t="s">
        <v>1217</v>
      </c>
      <c r="B1112" s="11" t="s">
        <v>1251</v>
      </c>
      <c r="C1112" s="11" t="s">
        <v>1261</v>
      </c>
      <c r="D1112" s="11" t="s">
        <v>25</v>
      </c>
      <c r="E1112" s="11" t="s">
        <v>25</v>
      </c>
      <c r="F1112">
        <v>50</v>
      </c>
      <c r="G1112">
        <v>50</v>
      </c>
      <c r="H1112" s="17" t="s">
        <v>25</v>
      </c>
      <c r="I1112" s="11" t="s">
        <v>1258</v>
      </c>
      <c r="J1112" s="11" t="s">
        <v>1203</v>
      </c>
      <c r="K1112" s="11" t="s">
        <v>25</v>
      </c>
      <c r="L1112" s="12">
        <v>-1.63</v>
      </c>
      <c r="M1112" s="11" t="s">
        <v>23</v>
      </c>
      <c r="N1112" s="11" t="s">
        <v>230</v>
      </c>
      <c r="O1112" s="11" t="s">
        <v>25</v>
      </c>
      <c r="P1112" s="16" t="s">
        <v>25</v>
      </c>
      <c r="Q1112" s="37" t="s">
        <v>25</v>
      </c>
      <c r="R1112" s="11" t="s">
        <v>25</v>
      </c>
      <c r="S1112" s="13">
        <f t="shared" si="17"/>
        <v>-1.63</v>
      </c>
    </row>
    <row r="1113" spans="1:19" ht="16">
      <c r="A1113" s="10" t="s">
        <v>1217</v>
      </c>
      <c r="B1113" s="11" t="s">
        <v>1252</v>
      </c>
      <c r="C1113" s="11" t="s">
        <v>1287</v>
      </c>
      <c r="D1113" s="11" t="s">
        <v>25</v>
      </c>
      <c r="E1113" s="11" t="s">
        <v>25</v>
      </c>
      <c r="F1113">
        <v>60</v>
      </c>
      <c r="G1113">
        <v>60</v>
      </c>
      <c r="H1113" s="17" t="s">
        <v>25</v>
      </c>
      <c r="I1113" s="11" t="s">
        <v>1258</v>
      </c>
      <c r="J1113" s="11" t="s">
        <v>1203</v>
      </c>
      <c r="K1113" s="11" t="s">
        <v>25</v>
      </c>
      <c r="L1113" s="12">
        <v>-1.73</v>
      </c>
      <c r="M1113" s="11" t="s">
        <v>23</v>
      </c>
      <c r="N1113" s="11" t="s">
        <v>230</v>
      </c>
      <c r="O1113" s="11" t="s">
        <v>25</v>
      </c>
      <c r="P1113" s="16" t="s">
        <v>25</v>
      </c>
      <c r="Q1113" s="37" t="s">
        <v>25</v>
      </c>
      <c r="R1113" s="11" t="s">
        <v>25</v>
      </c>
      <c r="S1113" s="13">
        <f t="shared" si="17"/>
        <v>-1.73</v>
      </c>
    </row>
    <row r="1114" spans="1:19" ht="16">
      <c r="A1114" s="10" t="s">
        <v>1217</v>
      </c>
      <c r="B1114" s="11" t="s">
        <v>1253</v>
      </c>
      <c r="C1114" s="11" t="s">
        <v>1288</v>
      </c>
      <c r="D1114" s="11" t="s">
        <v>1289</v>
      </c>
      <c r="E1114" s="11" t="s">
        <v>25</v>
      </c>
      <c r="F1114">
        <v>62</v>
      </c>
      <c r="G1114">
        <v>62</v>
      </c>
      <c r="H1114" s="17" t="s">
        <v>25</v>
      </c>
      <c r="I1114" s="11" t="s">
        <v>1258</v>
      </c>
      <c r="J1114" s="11" t="s">
        <v>1203</v>
      </c>
      <c r="K1114" s="11" t="s">
        <v>25</v>
      </c>
      <c r="L1114" s="12">
        <v>-1.62</v>
      </c>
      <c r="M1114" s="11" t="s">
        <v>23</v>
      </c>
      <c r="N1114" s="11" t="s">
        <v>230</v>
      </c>
      <c r="O1114" s="11" t="s">
        <v>25</v>
      </c>
      <c r="P1114" s="16" t="s">
        <v>25</v>
      </c>
      <c r="Q1114" s="37" t="s">
        <v>25</v>
      </c>
      <c r="R1114" s="11" t="s">
        <v>25</v>
      </c>
      <c r="S1114" s="13">
        <f t="shared" si="17"/>
        <v>-1.62</v>
      </c>
    </row>
    <row r="1115" spans="1:19" ht="16">
      <c r="A1115" s="10" t="s">
        <v>1217</v>
      </c>
      <c r="B1115" s="11" t="s">
        <v>1254</v>
      </c>
      <c r="C1115" s="11" t="s">
        <v>1290</v>
      </c>
      <c r="D1115" s="11" t="s">
        <v>25</v>
      </c>
      <c r="E1115" s="11" t="s">
        <v>25</v>
      </c>
      <c r="F1115">
        <v>84</v>
      </c>
      <c r="G1115">
        <v>84</v>
      </c>
      <c r="H1115" s="17" t="s">
        <v>25</v>
      </c>
      <c r="I1115" s="11" t="s">
        <v>1258</v>
      </c>
      <c r="J1115" s="11" t="s">
        <v>1203</v>
      </c>
      <c r="K1115" s="11" t="s">
        <v>25</v>
      </c>
      <c r="L1115" s="12">
        <v>-1.9</v>
      </c>
      <c r="M1115" s="11" t="s">
        <v>23</v>
      </c>
      <c r="N1115" s="11" t="s">
        <v>230</v>
      </c>
      <c r="O1115" s="11" t="s">
        <v>25</v>
      </c>
      <c r="P1115" s="16" t="s">
        <v>25</v>
      </c>
      <c r="Q1115" s="37" t="s">
        <v>25</v>
      </c>
      <c r="R1115" s="11" t="s">
        <v>25</v>
      </c>
      <c r="S1115" s="13">
        <f t="shared" si="17"/>
        <v>-1.9</v>
      </c>
    </row>
    <row r="1116" spans="1:19" ht="16">
      <c r="A1116" s="10" t="s">
        <v>1217</v>
      </c>
      <c r="B1116" s="11" t="s">
        <v>1255</v>
      </c>
      <c r="C1116" s="11" t="s">
        <v>1291</v>
      </c>
      <c r="D1116" s="11" t="s">
        <v>25</v>
      </c>
      <c r="E1116" s="11" t="s">
        <v>25</v>
      </c>
      <c r="F1116">
        <v>160</v>
      </c>
      <c r="G1116">
        <v>160</v>
      </c>
      <c r="H1116" s="17" t="s">
        <v>25</v>
      </c>
      <c r="I1116" s="11" t="s">
        <v>1258</v>
      </c>
      <c r="J1116" s="11" t="s">
        <v>1203</v>
      </c>
      <c r="K1116" s="11" t="s">
        <v>25</v>
      </c>
      <c r="L1116" s="12">
        <v>-1.96</v>
      </c>
      <c r="M1116" s="11" t="s">
        <v>23</v>
      </c>
      <c r="N1116" s="11" t="s">
        <v>230</v>
      </c>
      <c r="O1116" s="11" t="s">
        <v>25</v>
      </c>
      <c r="P1116" s="16" t="s">
        <v>25</v>
      </c>
      <c r="Q1116" s="37" t="s">
        <v>25</v>
      </c>
      <c r="R1116" s="11" t="s">
        <v>25</v>
      </c>
      <c r="S1116" s="13">
        <f t="shared" si="17"/>
        <v>-1.96</v>
      </c>
    </row>
    <row r="1117" spans="1:19" ht="16">
      <c r="A1117" s="10" t="s">
        <v>1217</v>
      </c>
      <c r="B1117" s="11" t="s">
        <v>1256</v>
      </c>
      <c r="C1117" s="11" t="s">
        <v>1291</v>
      </c>
      <c r="D1117" s="11" t="s">
        <v>25</v>
      </c>
      <c r="E1117" s="11" t="s">
        <v>25</v>
      </c>
      <c r="F1117">
        <v>160</v>
      </c>
      <c r="G1117">
        <v>160</v>
      </c>
      <c r="H1117" s="17" t="s">
        <v>25</v>
      </c>
      <c r="I1117" s="11" t="s">
        <v>1258</v>
      </c>
      <c r="J1117" s="11" t="s">
        <v>1203</v>
      </c>
      <c r="K1117" s="11" t="s">
        <v>25</v>
      </c>
      <c r="L1117" s="12">
        <v>-1.85</v>
      </c>
      <c r="M1117" s="11" t="s">
        <v>23</v>
      </c>
      <c r="N1117" s="11" t="s">
        <v>230</v>
      </c>
      <c r="O1117" s="11" t="s">
        <v>25</v>
      </c>
      <c r="P1117" s="16" t="s">
        <v>25</v>
      </c>
      <c r="Q1117" s="37" t="s">
        <v>25</v>
      </c>
      <c r="R1117" s="11" t="s">
        <v>25</v>
      </c>
      <c r="S1117" s="13">
        <f t="shared" si="17"/>
        <v>-1.85</v>
      </c>
    </row>
    <row r="1118" spans="1:19" ht="16">
      <c r="A1118" s="10" t="s">
        <v>1217</v>
      </c>
      <c r="B1118" s="11" t="s">
        <v>1257</v>
      </c>
      <c r="C1118" s="11" t="s">
        <v>1292</v>
      </c>
      <c r="D1118" s="11" t="s">
        <v>25</v>
      </c>
      <c r="E1118" s="11" t="s">
        <v>25</v>
      </c>
      <c r="F1118">
        <v>161.5</v>
      </c>
      <c r="G1118">
        <v>161.5</v>
      </c>
      <c r="H1118" s="17" t="s">
        <v>25</v>
      </c>
      <c r="I1118" s="11" t="s">
        <v>1258</v>
      </c>
      <c r="J1118" s="11" t="s">
        <v>1203</v>
      </c>
      <c r="K1118" s="11" t="s">
        <v>25</v>
      </c>
      <c r="L1118" s="12">
        <v>-2.0499999999999998</v>
      </c>
      <c r="M1118" s="11" t="s">
        <v>23</v>
      </c>
      <c r="N1118" s="11" t="s">
        <v>230</v>
      </c>
      <c r="O1118" s="11" t="s">
        <v>25</v>
      </c>
      <c r="P1118" s="16" t="s">
        <v>25</v>
      </c>
      <c r="Q1118" s="37" t="s">
        <v>25</v>
      </c>
      <c r="R1118" s="11" t="s">
        <v>25</v>
      </c>
      <c r="S1118" s="13">
        <f t="shared" si="17"/>
        <v>-2.0499999999999998</v>
      </c>
    </row>
    <row r="1119" spans="1:19" s="4" customFormat="1">
      <c r="B1119" s="5"/>
      <c r="C1119" s="5"/>
      <c r="D1119" s="5"/>
      <c r="E1119" s="5"/>
      <c r="I1119" s="5"/>
      <c r="J1119" s="5"/>
      <c r="M1119" s="5"/>
      <c r="O1119" s="5"/>
      <c r="P1119" s="6"/>
      <c r="Q1119" s="38"/>
      <c r="S1119" s="24"/>
    </row>
    <row r="1120" spans="1:19">
      <c r="A1120" s="18" t="s">
        <v>1294</v>
      </c>
      <c r="B1120" s="11">
        <v>3185</v>
      </c>
      <c r="C1120" t="s">
        <v>1204</v>
      </c>
      <c r="D1120" t="s">
        <v>1333</v>
      </c>
      <c r="E1120" s="1" t="s">
        <v>25</v>
      </c>
      <c r="F1120">
        <v>2039.9034999999999</v>
      </c>
      <c r="G1120">
        <v>2039.9034999999999</v>
      </c>
      <c r="H1120" s="21">
        <v>1902.07</v>
      </c>
      <c r="I1120" s="1" t="s">
        <v>1332</v>
      </c>
      <c r="J1120" s="22" t="s">
        <v>1297</v>
      </c>
      <c r="K1120" s="11" t="s">
        <v>25</v>
      </c>
      <c r="L1120" s="21">
        <v>-1.14846586343525</v>
      </c>
      <c r="M1120" s="1" t="s">
        <v>23</v>
      </c>
      <c r="N1120" s="11" t="s">
        <v>230</v>
      </c>
      <c r="O1120" s="1" t="s">
        <v>25</v>
      </c>
      <c r="P1120" s="3" t="s">
        <v>25</v>
      </c>
      <c r="Q1120" s="37" t="s">
        <v>25</v>
      </c>
      <c r="R1120" s="11" t="s">
        <v>25</v>
      </c>
      <c r="S1120" s="13">
        <f t="shared" si="17"/>
        <v>-1.14846586343525</v>
      </c>
    </row>
    <row r="1121" spans="1:19">
      <c r="A1121" s="18" t="s">
        <v>1294</v>
      </c>
      <c r="B1121" s="11">
        <v>3221</v>
      </c>
      <c r="C1121" t="s">
        <v>1204</v>
      </c>
      <c r="D1121" t="s">
        <v>1333</v>
      </c>
      <c r="E1121" s="1" t="s">
        <v>25</v>
      </c>
      <c r="F1121">
        <v>2040.08</v>
      </c>
      <c r="G1121">
        <v>2040.08</v>
      </c>
      <c r="H1121" s="20">
        <v>1905.6</v>
      </c>
      <c r="I1121" s="1" t="s">
        <v>1332</v>
      </c>
      <c r="J1121" s="23" t="s">
        <v>1298</v>
      </c>
      <c r="K1121" s="11" t="s">
        <v>25</v>
      </c>
      <c r="L1121" s="20">
        <v>-0.99009254723392126</v>
      </c>
      <c r="M1121" s="1" t="s">
        <v>23</v>
      </c>
      <c r="N1121" s="11" t="s">
        <v>230</v>
      </c>
      <c r="O1121" s="1" t="s">
        <v>25</v>
      </c>
      <c r="P1121" s="3" t="s">
        <v>25</v>
      </c>
      <c r="Q1121" s="37" t="s">
        <v>25</v>
      </c>
      <c r="R1121" s="11" t="s">
        <v>25</v>
      </c>
      <c r="S1121" s="13">
        <f t="shared" si="17"/>
        <v>-0.99009254723392126</v>
      </c>
    </row>
    <row r="1122" spans="1:19">
      <c r="A1122" s="18" t="s">
        <v>1294</v>
      </c>
      <c r="B1122" s="11">
        <v>3235</v>
      </c>
      <c r="C1122" t="s">
        <v>1204</v>
      </c>
      <c r="D1122" t="s">
        <v>1333</v>
      </c>
      <c r="E1122" s="1" t="s">
        <v>25</v>
      </c>
      <c r="F1122">
        <v>2040.598</v>
      </c>
      <c r="G1122">
        <v>2040.598</v>
      </c>
      <c r="H1122" s="20">
        <v>1915.96</v>
      </c>
      <c r="I1122" s="1" t="s">
        <v>1332</v>
      </c>
      <c r="J1122" s="23" t="s">
        <v>1299</v>
      </c>
      <c r="K1122" s="11" t="s">
        <v>25</v>
      </c>
      <c r="L1122" s="20">
        <v>-1.1939500165672046</v>
      </c>
      <c r="M1122" s="1" t="s">
        <v>23</v>
      </c>
      <c r="N1122" s="11" t="s">
        <v>230</v>
      </c>
      <c r="O1122" s="1" t="s">
        <v>25</v>
      </c>
      <c r="P1122" s="3" t="s">
        <v>25</v>
      </c>
      <c r="Q1122" s="37" t="s">
        <v>25</v>
      </c>
      <c r="R1122" s="11" t="s">
        <v>25</v>
      </c>
      <c r="S1122" s="13">
        <f t="shared" si="17"/>
        <v>-1.1939500165672046</v>
      </c>
    </row>
    <row r="1123" spans="1:19">
      <c r="A1123" s="18" t="s">
        <v>1294</v>
      </c>
      <c r="B1123" s="11">
        <v>3258</v>
      </c>
      <c r="C1123" t="s">
        <v>1204</v>
      </c>
      <c r="D1123" t="s">
        <v>1333</v>
      </c>
      <c r="E1123" s="1" t="s">
        <v>25</v>
      </c>
      <c r="F1123">
        <v>2041.1499999999999</v>
      </c>
      <c r="G1123">
        <v>2041.1499999999999</v>
      </c>
      <c r="H1123" s="20">
        <v>1927</v>
      </c>
      <c r="I1123" s="1" t="s">
        <v>1332</v>
      </c>
      <c r="J1123" s="23" t="s">
        <v>1300</v>
      </c>
      <c r="K1123" s="11" t="s">
        <v>25</v>
      </c>
      <c r="L1123" s="20">
        <v>-1.0364421725928825</v>
      </c>
      <c r="M1123" s="1" t="s">
        <v>23</v>
      </c>
      <c r="N1123" s="11" t="s">
        <v>230</v>
      </c>
      <c r="O1123" s="1" t="s">
        <v>25</v>
      </c>
      <c r="P1123" s="3" t="s">
        <v>25</v>
      </c>
      <c r="Q1123" s="37" t="s">
        <v>25</v>
      </c>
      <c r="R1123" s="11" t="s">
        <v>25</v>
      </c>
      <c r="S1123" s="13">
        <f t="shared" si="17"/>
        <v>-1.0364421725928825</v>
      </c>
    </row>
    <row r="1124" spans="1:19">
      <c r="A1124" s="18" t="s">
        <v>1294</v>
      </c>
      <c r="B1124" s="11">
        <v>3285</v>
      </c>
      <c r="C1124" t="s">
        <v>1204</v>
      </c>
      <c r="D1124" t="s">
        <v>1333</v>
      </c>
      <c r="E1124" s="1" t="s">
        <v>25</v>
      </c>
      <c r="F1124">
        <v>2041.6244999999999</v>
      </c>
      <c r="G1124">
        <v>2041.6244999999999</v>
      </c>
      <c r="H1124" s="20">
        <v>1936.49</v>
      </c>
      <c r="I1124" s="1" t="s">
        <v>1332</v>
      </c>
      <c r="J1124" s="23" t="s">
        <v>1301</v>
      </c>
      <c r="K1124" s="11" t="s">
        <v>25</v>
      </c>
      <c r="L1124" s="20">
        <v>-1.0008696545518365</v>
      </c>
      <c r="M1124" s="1" t="s">
        <v>23</v>
      </c>
      <c r="N1124" s="11" t="s">
        <v>230</v>
      </c>
      <c r="O1124" s="1" t="s">
        <v>25</v>
      </c>
      <c r="P1124" s="3" t="s">
        <v>25</v>
      </c>
      <c r="Q1124" s="37" t="s">
        <v>25</v>
      </c>
      <c r="R1124" s="11" t="s">
        <v>25</v>
      </c>
      <c r="S1124" s="13">
        <f t="shared" si="17"/>
        <v>-1.0008696545518365</v>
      </c>
    </row>
    <row r="1125" spans="1:19">
      <c r="A1125" s="18" t="s">
        <v>1294</v>
      </c>
      <c r="B1125" s="11">
        <v>3304</v>
      </c>
      <c r="C1125" t="s">
        <v>1204</v>
      </c>
      <c r="D1125" t="s">
        <v>1333</v>
      </c>
      <c r="E1125" s="1" t="s">
        <v>25</v>
      </c>
      <c r="F1125">
        <v>2042.1624999999999</v>
      </c>
      <c r="G1125">
        <v>2042.1624999999999</v>
      </c>
      <c r="H1125" s="20">
        <v>1947.25</v>
      </c>
      <c r="I1125" s="1" t="s">
        <v>1332</v>
      </c>
      <c r="J1125" s="23" t="s">
        <v>1302</v>
      </c>
      <c r="K1125" s="11" t="s">
        <v>25</v>
      </c>
      <c r="L1125" s="20">
        <v>-1.1313042185315867</v>
      </c>
      <c r="M1125" s="1" t="s">
        <v>23</v>
      </c>
      <c r="N1125" s="11" t="s">
        <v>230</v>
      </c>
      <c r="O1125" s="1" t="s">
        <v>25</v>
      </c>
      <c r="P1125" s="3" t="s">
        <v>25</v>
      </c>
      <c r="Q1125" s="37" t="s">
        <v>25</v>
      </c>
      <c r="R1125" s="11" t="s">
        <v>25</v>
      </c>
      <c r="S1125" s="13">
        <f t="shared" si="17"/>
        <v>-1.1313042185315867</v>
      </c>
    </row>
    <row r="1126" spans="1:19">
      <c r="A1126" s="18" t="s">
        <v>1294</v>
      </c>
      <c r="B1126" s="11">
        <v>3321</v>
      </c>
      <c r="C1126" t="s">
        <v>1204</v>
      </c>
      <c r="D1126" t="s">
        <v>1333</v>
      </c>
      <c r="E1126" s="1" t="s">
        <v>25</v>
      </c>
      <c r="F1126">
        <v>2042.6775</v>
      </c>
      <c r="G1126">
        <v>2042.6775</v>
      </c>
      <c r="H1126" s="20">
        <v>1957.55</v>
      </c>
      <c r="I1126" s="1" t="s">
        <v>1332</v>
      </c>
      <c r="J1126" s="23" t="s">
        <v>1303</v>
      </c>
      <c r="K1126" s="11" t="s">
        <v>25</v>
      </c>
      <c r="L1126" s="20">
        <v>-1.0990677981554913</v>
      </c>
      <c r="M1126" s="1" t="s">
        <v>23</v>
      </c>
      <c r="N1126" s="11" t="s">
        <v>230</v>
      </c>
      <c r="O1126" s="1" t="s">
        <v>25</v>
      </c>
      <c r="P1126" s="3" t="s">
        <v>25</v>
      </c>
      <c r="Q1126" s="37" t="s">
        <v>25</v>
      </c>
      <c r="R1126" s="11" t="s">
        <v>25</v>
      </c>
      <c r="S1126" s="13">
        <f t="shared" si="17"/>
        <v>-1.0990677981554913</v>
      </c>
    </row>
    <row r="1127" spans="1:19">
      <c r="A1127" s="18" t="s">
        <v>1294</v>
      </c>
      <c r="B1127" s="11">
        <v>3331</v>
      </c>
      <c r="C1127" t="s">
        <v>1204</v>
      </c>
      <c r="D1127" t="s">
        <v>1333</v>
      </c>
      <c r="E1127" s="1" t="s">
        <v>25</v>
      </c>
      <c r="F1127">
        <v>2042.7304999999999</v>
      </c>
      <c r="G1127">
        <v>2042.7304999999999</v>
      </c>
      <c r="H1127" s="20">
        <v>1958.61</v>
      </c>
      <c r="I1127" s="1" t="s">
        <v>1332</v>
      </c>
      <c r="J1127" s="23" t="s">
        <v>1304</v>
      </c>
      <c r="K1127" s="11" t="s">
        <v>25</v>
      </c>
      <c r="L1127" s="20">
        <v>-1.0471171890624618</v>
      </c>
      <c r="M1127" s="1" t="s">
        <v>23</v>
      </c>
      <c r="N1127" s="11" t="s">
        <v>230</v>
      </c>
      <c r="O1127" s="1" t="s">
        <v>25</v>
      </c>
      <c r="P1127" s="3" t="s">
        <v>25</v>
      </c>
      <c r="Q1127" s="37" t="s">
        <v>25</v>
      </c>
      <c r="R1127" s="11" t="s">
        <v>25</v>
      </c>
      <c r="S1127" s="13">
        <f t="shared" si="17"/>
        <v>-1.0471171890624618</v>
      </c>
    </row>
    <row r="1128" spans="1:19">
      <c r="A1128" s="18" t="s">
        <v>1294</v>
      </c>
      <c r="B1128" s="11">
        <v>3366</v>
      </c>
      <c r="C1128" t="s">
        <v>1204</v>
      </c>
      <c r="D1128" t="s">
        <v>1333</v>
      </c>
      <c r="E1128" s="1" t="s">
        <v>25</v>
      </c>
      <c r="F1128">
        <v>2043.3975</v>
      </c>
      <c r="G1128">
        <v>2043.3975</v>
      </c>
      <c r="H1128" s="20">
        <v>1971.95</v>
      </c>
      <c r="I1128" s="1" t="s">
        <v>1332</v>
      </c>
      <c r="J1128" s="23" t="s">
        <v>1305</v>
      </c>
      <c r="K1128" s="11" t="s">
        <v>25</v>
      </c>
      <c r="L1128" s="20">
        <v>-0.92823790427458042</v>
      </c>
      <c r="M1128" s="1" t="s">
        <v>23</v>
      </c>
      <c r="N1128" s="11" t="s">
        <v>230</v>
      </c>
      <c r="O1128" s="1" t="s">
        <v>25</v>
      </c>
      <c r="P1128" s="3" t="s">
        <v>25</v>
      </c>
      <c r="Q1128" s="37" t="s">
        <v>25</v>
      </c>
      <c r="R1128" s="11" t="s">
        <v>25</v>
      </c>
      <c r="S1128" s="13">
        <f t="shared" si="17"/>
        <v>-0.92823790427458042</v>
      </c>
    </row>
    <row r="1129" spans="1:19">
      <c r="A1129" s="18" t="s">
        <v>1294</v>
      </c>
      <c r="B1129" s="11">
        <v>3392</v>
      </c>
      <c r="C1129" t="s">
        <v>1204</v>
      </c>
      <c r="D1129" t="s">
        <v>1333</v>
      </c>
      <c r="E1129" s="1" t="s">
        <v>25</v>
      </c>
      <c r="F1129">
        <v>2043.8544999999999</v>
      </c>
      <c r="G1129">
        <v>2043.8544999999999</v>
      </c>
      <c r="H1129" s="20">
        <v>1981.09</v>
      </c>
      <c r="I1129" s="1" t="s">
        <v>1332</v>
      </c>
      <c r="J1129" s="23" t="s">
        <v>1306</v>
      </c>
      <c r="K1129" s="11" t="s">
        <v>25</v>
      </c>
      <c r="L1129" s="20">
        <v>-0.84113593316649782</v>
      </c>
      <c r="M1129" s="1" t="s">
        <v>23</v>
      </c>
      <c r="N1129" s="11" t="s">
        <v>230</v>
      </c>
      <c r="O1129" s="1" t="s">
        <v>25</v>
      </c>
      <c r="P1129" s="3" t="s">
        <v>25</v>
      </c>
      <c r="Q1129" s="37" t="s">
        <v>25</v>
      </c>
      <c r="R1129" s="11" t="s">
        <v>25</v>
      </c>
      <c r="S1129" s="13">
        <f t="shared" si="17"/>
        <v>-0.84113593316649782</v>
      </c>
    </row>
    <row r="1130" spans="1:19">
      <c r="A1130" s="18" t="s">
        <v>1294</v>
      </c>
      <c r="B1130" s="11">
        <v>3405</v>
      </c>
      <c r="C1130" t="s">
        <v>1204</v>
      </c>
      <c r="D1130" t="s">
        <v>1333</v>
      </c>
      <c r="E1130" s="1" t="s">
        <v>25</v>
      </c>
      <c r="F1130">
        <v>2044.35</v>
      </c>
      <c r="G1130">
        <v>2044.35</v>
      </c>
      <c r="H1130" s="20">
        <v>1991</v>
      </c>
      <c r="I1130" s="1" t="s">
        <v>1332</v>
      </c>
      <c r="J1130" s="23" t="s">
        <v>1307</v>
      </c>
      <c r="K1130" s="11" t="s">
        <v>25</v>
      </c>
      <c r="L1130" s="20">
        <v>-0.82315351856943564</v>
      </c>
      <c r="M1130" s="1" t="s">
        <v>23</v>
      </c>
      <c r="N1130" s="11" t="s">
        <v>230</v>
      </c>
      <c r="O1130" s="1" t="s">
        <v>25</v>
      </c>
      <c r="P1130" s="3" t="s">
        <v>25</v>
      </c>
      <c r="Q1130" s="37" t="s">
        <v>25</v>
      </c>
      <c r="R1130" s="11" t="s">
        <v>25</v>
      </c>
      <c r="S1130" s="13">
        <f t="shared" si="17"/>
        <v>-0.82315351856943564</v>
      </c>
    </row>
    <row r="1131" spans="1:19">
      <c r="A1131" s="18" t="s">
        <v>1294</v>
      </c>
      <c r="B1131" s="11">
        <v>3449</v>
      </c>
      <c r="C1131" t="s">
        <v>1204</v>
      </c>
      <c r="D1131" t="s">
        <v>1333</v>
      </c>
      <c r="E1131" s="1" t="s">
        <v>25</v>
      </c>
      <c r="F1131">
        <v>2045.123</v>
      </c>
      <c r="G1131">
        <v>2045.123</v>
      </c>
      <c r="H1131" s="20">
        <v>2006.46</v>
      </c>
      <c r="I1131" s="1" t="s">
        <v>1332</v>
      </c>
      <c r="J1131" s="23" t="s">
        <v>1308</v>
      </c>
      <c r="K1131" s="11" t="s">
        <v>25</v>
      </c>
      <c r="L1131" s="20">
        <v>-0.72719998293874455</v>
      </c>
      <c r="M1131" s="1" t="s">
        <v>23</v>
      </c>
      <c r="N1131" s="11" t="s">
        <v>230</v>
      </c>
      <c r="O1131" s="1" t="s">
        <v>25</v>
      </c>
      <c r="P1131" s="3" t="s">
        <v>25</v>
      </c>
      <c r="Q1131" s="37" t="s">
        <v>25</v>
      </c>
      <c r="R1131" s="11" t="s">
        <v>25</v>
      </c>
      <c r="S1131" s="13">
        <f t="shared" si="17"/>
        <v>-0.72719998293874455</v>
      </c>
    </row>
    <row r="1132" spans="1:19">
      <c r="A1132" s="18" t="s">
        <v>1294</v>
      </c>
      <c r="B1132" s="11">
        <v>3460</v>
      </c>
      <c r="C1132" t="s">
        <v>1204</v>
      </c>
      <c r="D1132" t="s">
        <v>1333</v>
      </c>
      <c r="E1132" s="1" t="s">
        <v>25</v>
      </c>
      <c r="F1132">
        <v>2045.35</v>
      </c>
      <c r="G1132">
        <v>2045.35</v>
      </c>
      <c r="H1132" s="20">
        <v>2011</v>
      </c>
      <c r="I1132" s="1" t="s">
        <v>1332</v>
      </c>
      <c r="J1132" s="23" t="s">
        <v>1309</v>
      </c>
      <c r="K1132" s="11" t="s">
        <v>25</v>
      </c>
      <c r="L1132" s="20">
        <v>-0.65453957593730516</v>
      </c>
      <c r="M1132" s="1" t="s">
        <v>23</v>
      </c>
      <c r="N1132" s="11" t="s">
        <v>230</v>
      </c>
      <c r="O1132" s="1" t="s">
        <v>25</v>
      </c>
      <c r="P1132" s="3" t="s">
        <v>25</v>
      </c>
      <c r="Q1132" s="37" t="s">
        <v>25</v>
      </c>
      <c r="R1132" s="11" t="s">
        <v>25</v>
      </c>
      <c r="S1132" s="13">
        <f t="shared" si="17"/>
        <v>-0.65453957593730516</v>
      </c>
    </row>
    <row r="1133" spans="1:19">
      <c r="A1133" s="18" t="s">
        <v>1294</v>
      </c>
      <c r="B1133" s="11">
        <v>3494</v>
      </c>
      <c r="C1133" t="s">
        <v>1204</v>
      </c>
      <c r="D1133" t="s">
        <v>1333</v>
      </c>
      <c r="E1133" s="1" t="s">
        <v>25</v>
      </c>
      <c r="F1133">
        <v>2046.0554999999999</v>
      </c>
      <c r="G1133">
        <v>2046.0554999999999</v>
      </c>
      <c r="H1133" s="20">
        <v>2025.11</v>
      </c>
      <c r="I1133" s="1" t="s">
        <v>1332</v>
      </c>
      <c r="J1133" s="23" t="s">
        <v>1305</v>
      </c>
      <c r="K1133" s="11" t="s">
        <v>25</v>
      </c>
      <c r="L1133" s="20">
        <v>-0.72502031914809739</v>
      </c>
      <c r="M1133" s="1" t="s">
        <v>23</v>
      </c>
      <c r="N1133" s="11" t="s">
        <v>230</v>
      </c>
      <c r="O1133" s="1" t="s">
        <v>25</v>
      </c>
      <c r="P1133" s="3" t="s">
        <v>25</v>
      </c>
      <c r="Q1133" s="37" t="s">
        <v>25</v>
      </c>
      <c r="R1133" s="11" t="s">
        <v>25</v>
      </c>
      <c r="S1133" s="13">
        <f t="shared" si="17"/>
        <v>-0.72502031914809739</v>
      </c>
    </row>
    <row r="1134" spans="1:19">
      <c r="A1134" s="18" t="s">
        <v>1294</v>
      </c>
      <c r="B1134" s="11">
        <v>3526</v>
      </c>
      <c r="C1134" t="s">
        <v>1204</v>
      </c>
      <c r="D1134" t="s">
        <v>1333</v>
      </c>
      <c r="E1134" s="1" t="s">
        <v>25</v>
      </c>
      <c r="F1134">
        <v>2046.694</v>
      </c>
      <c r="G1134">
        <v>2046.694</v>
      </c>
      <c r="H1134" s="20">
        <v>2037.88</v>
      </c>
      <c r="I1134" s="1" t="s">
        <v>1332</v>
      </c>
      <c r="J1134" s="23" t="s">
        <v>1310</v>
      </c>
      <c r="K1134" s="11" t="s">
        <v>25</v>
      </c>
      <c r="L1134" s="20">
        <v>-0.73528891097643323</v>
      </c>
      <c r="M1134" s="1" t="s">
        <v>23</v>
      </c>
      <c r="N1134" s="11" t="s">
        <v>230</v>
      </c>
      <c r="O1134" s="1" t="s">
        <v>25</v>
      </c>
      <c r="P1134" s="3" t="s">
        <v>25</v>
      </c>
      <c r="Q1134" s="37" t="s">
        <v>25</v>
      </c>
      <c r="R1134" s="11" t="s">
        <v>25</v>
      </c>
      <c r="S1134" s="13">
        <f t="shared" si="17"/>
        <v>-0.73528891097643323</v>
      </c>
    </row>
    <row r="1135" spans="1:19">
      <c r="A1135" s="18" t="s">
        <v>1294</v>
      </c>
      <c r="B1135" s="11">
        <v>3540</v>
      </c>
      <c r="C1135" t="s">
        <v>1204</v>
      </c>
      <c r="D1135" t="s">
        <v>1333</v>
      </c>
      <c r="E1135" s="1" t="s">
        <v>25</v>
      </c>
      <c r="F1135">
        <v>2046.7204999999999</v>
      </c>
      <c r="G1135">
        <v>2046.7204999999999</v>
      </c>
      <c r="H1135" s="20">
        <v>2038.41</v>
      </c>
      <c r="I1135" s="1" t="s">
        <v>1332</v>
      </c>
      <c r="J1135" t="s">
        <v>1311</v>
      </c>
      <c r="K1135" s="11" t="s">
        <v>25</v>
      </c>
      <c r="L1135" s="20">
        <v>-0.73509654846889794</v>
      </c>
      <c r="M1135" s="1" t="s">
        <v>23</v>
      </c>
      <c r="N1135" s="11" t="s">
        <v>230</v>
      </c>
      <c r="O1135" s="1" t="s">
        <v>25</v>
      </c>
      <c r="P1135" s="3" t="s">
        <v>25</v>
      </c>
      <c r="Q1135" s="37" t="s">
        <v>25</v>
      </c>
      <c r="R1135" s="11" t="s">
        <v>25</v>
      </c>
      <c r="S1135" s="13">
        <f t="shared" si="17"/>
        <v>-0.73509654846889794</v>
      </c>
    </row>
    <row r="1136" spans="1:19">
      <c r="A1136" s="18" t="s">
        <v>1294</v>
      </c>
      <c r="B1136" s="11">
        <v>3561</v>
      </c>
      <c r="C1136" t="s">
        <v>1204</v>
      </c>
      <c r="D1136" t="s">
        <v>1333</v>
      </c>
      <c r="E1136" s="1" t="s">
        <v>25</v>
      </c>
      <c r="F1136">
        <v>2047</v>
      </c>
      <c r="G1136">
        <v>2047</v>
      </c>
      <c r="H1136" s="20">
        <v>2044</v>
      </c>
      <c r="I1136" s="1" t="s">
        <v>1332</v>
      </c>
      <c r="J1136" s="23" t="s">
        <v>1312</v>
      </c>
      <c r="K1136" s="11" t="s">
        <v>25</v>
      </c>
      <c r="L1136" s="20">
        <v>-0.70274285389892743</v>
      </c>
      <c r="M1136" s="1" t="s">
        <v>23</v>
      </c>
      <c r="N1136" s="11" t="s">
        <v>230</v>
      </c>
      <c r="O1136" s="1" t="s">
        <v>25</v>
      </c>
      <c r="P1136" s="3" t="s">
        <v>25</v>
      </c>
      <c r="Q1136" s="37" t="s">
        <v>25</v>
      </c>
      <c r="R1136" s="11" t="s">
        <v>25</v>
      </c>
      <c r="S1136" s="13">
        <f t="shared" si="17"/>
        <v>-0.70274285389892743</v>
      </c>
    </row>
    <row r="1137" spans="1:19">
      <c r="A1137" s="18" t="s">
        <v>1294</v>
      </c>
      <c r="B1137" s="11">
        <v>3592</v>
      </c>
      <c r="C1137" t="s">
        <v>1204</v>
      </c>
      <c r="D1137" t="s">
        <v>1333</v>
      </c>
      <c r="E1137" s="1" t="s">
        <v>25</v>
      </c>
      <c r="F1137">
        <v>2047.4369999999999</v>
      </c>
      <c r="G1137">
        <v>2047.4369999999999</v>
      </c>
      <c r="H1137" s="20">
        <v>2052.7399999999998</v>
      </c>
      <c r="I1137" s="1" t="s">
        <v>1332</v>
      </c>
      <c r="J1137" s="23" t="s">
        <v>1313</v>
      </c>
      <c r="K1137" s="11" t="s">
        <v>25</v>
      </c>
      <c r="L1137" s="20">
        <v>-0.78822088263253987</v>
      </c>
      <c r="M1137" s="1" t="s">
        <v>23</v>
      </c>
      <c r="N1137" s="11" t="s">
        <v>230</v>
      </c>
      <c r="O1137" s="1" t="s">
        <v>25</v>
      </c>
      <c r="P1137" s="3" t="s">
        <v>25</v>
      </c>
      <c r="Q1137" s="37" t="s">
        <v>25</v>
      </c>
      <c r="R1137" s="11" t="s">
        <v>25</v>
      </c>
      <c r="S1137" s="13">
        <f t="shared" si="17"/>
        <v>-0.78822088263253987</v>
      </c>
    </row>
    <row r="1138" spans="1:19">
      <c r="A1138" s="18" t="s">
        <v>1294</v>
      </c>
      <c r="B1138" s="11">
        <v>3606</v>
      </c>
      <c r="C1138" t="s">
        <v>1204</v>
      </c>
      <c r="D1138" t="s">
        <v>1333</v>
      </c>
      <c r="E1138" s="1" t="s">
        <v>25</v>
      </c>
      <c r="F1138">
        <v>2048.1774999999998</v>
      </c>
      <c r="G1138">
        <v>2048.1774999999998</v>
      </c>
      <c r="H1138" s="20">
        <v>2067.5500000000002</v>
      </c>
      <c r="I1138" s="1" t="s">
        <v>1332</v>
      </c>
      <c r="J1138" s="23" t="s">
        <v>1314</v>
      </c>
      <c r="K1138" s="11" t="s">
        <v>25</v>
      </c>
      <c r="L1138" s="20">
        <v>-0.75141858788780946</v>
      </c>
      <c r="M1138" s="1" t="s">
        <v>23</v>
      </c>
      <c r="N1138" s="11" t="s">
        <v>230</v>
      </c>
      <c r="O1138" s="1" t="s">
        <v>25</v>
      </c>
      <c r="P1138" s="3" t="s">
        <v>25</v>
      </c>
      <c r="Q1138" s="37" t="s">
        <v>25</v>
      </c>
      <c r="R1138" s="11" t="s">
        <v>25</v>
      </c>
      <c r="S1138" s="13">
        <f t="shared" si="17"/>
        <v>-0.75141858788780946</v>
      </c>
    </row>
    <row r="1139" spans="1:19">
      <c r="A1139" s="18" t="s">
        <v>1294</v>
      </c>
      <c r="B1139" s="11">
        <v>3618</v>
      </c>
      <c r="C1139" t="s">
        <v>1204</v>
      </c>
      <c r="D1139" t="s">
        <v>1333</v>
      </c>
      <c r="E1139" s="1" t="s">
        <v>25</v>
      </c>
      <c r="F1139">
        <v>2048.241</v>
      </c>
      <c r="G1139">
        <v>2048.241</v>
      </c>
      <c r="H1139" s="20">
        <v>2068.8200000000002</v>
      </c>
      <c r="I1139" s="1" t="s">
        <v>1332</v>
      </c>
      <c r="J1139" s="23" t="s">
        <v>1315</v>
      </c>
      <c r="K1139" s="11" t="s">
        <v>25</v>
      </c>
      <c r="L1139" s="20">
        <v>-0.48723138514147213</v>
      </c>
      <c r="M1139" s="1" t="s">
        <v>23</v>
      </c>
      <c r="N1139" s="11" t="s">
        <v>230</v>
      </c>
      <c r="O1139" s="1" t="s">
        <v>25</v>
      </c>
      <c r="P1139" s="3" t="s">
        <v>25</v>
      </c>
      <c r="Q1139" s="37" t="s">
        <v>25</v>
      </c>
      <c r="R1139" s="11" t="s">
        <v>25</v>
      </c>
      <c r="S1139" s="13">
        <f t="shared" si="17"/>
        <v>-0.48723138514147213</v>
      </c>
    </row>
    <row r="1140" spans="1:19">
      <c r="A1140" s="18" t="s">
        <v>1294</v>
      </c>
      <c r="B1140" s="11">
        <v>3631</v>
      </c>
      <c r="C1140" t="s">
        <v>1204</v>
      </c>
      <c r="D1140" t="s">
        <v>1333</v>
      </c>
      <c r="E1140" s="1" t="s">
        <v>25</v>
      </c>
      <c r="F1140">
        <v>2048.6779999999999</v>
      </c>
      <c r="G1140">
        <v>2048.6779999999999</v>
      </c>
      <c r="H1140" s="20">
        <v>2077.56</v>
      </c>
      <c r="I1140" s="1" t="s">
        <v>1332</v>
      </c>
      <c r="J1140" s="23" t="s">
        <v>1316</v>
      </c>
      <c r="K1140" s="11" t="s">
        <v>25</v>
      </c>
      <c r="L1140" s="20">
        <v>-0.73274175806533792</v>
      </c>
      <c r="M1140" s="1" t="s">
        <v>23</v>
      </c>
      <c r="N1140" s="11" t="s">
        <v>230</v>
      </c>
      <c r="O1140" s="1" t="s">
        <v>25</v>
      </c>
      <c r="P1140" s="3" t="s">
        <v>25</v>
      </c>
      <c r="Q1140" s="37" t="s">
        <v>25</v>
      </c>
      <c r="R1140" s="11" t="s">
        <v>25</v>
      </c>
      <c r="S1140" s="13">
        <f t="shared" si="17"/>
        <v>-0.73274175806533792</v>
      </c>
    </row>
    <row r="1141" spans="1:19">
      <c r="A1141" s="18" t="s">
        <v>1294</v>
      </c>
      <c r="B1141" s="11">
        <v>3641</v>
      </c>
      <c r="C1141" t="s">
        <v>1204</v>
      </c>
      <c r="D1141" t="s">
        <v>1333</v>
      </c>
      <c r="E1141" s="1" t="s">
        <v>25</v>
      </c>
      <c r="F1141">
        <v>2048.721</v>
      </c>
      <c r="G1141">
        <v>2048.721</v>
      </c>
      <c r="H1141" s="20">
        <v>2078.42</v>
      </c>
      <c r="I1141" s="1" t="s">
        <v>1332</v>
      </c>
      <c r="J1141" s="23" t="s">
        <v>1304</v>
      </c>
      <c r="K1141" s="11" t="s">
        <v>25</v>
      </c>
      <c r="L1141" s="20">
        <v>-0.71674561697105887</v>
      </c>
      <c r="M1141" s="1" t="s">
        <v>23</v>
      </c>
      <c r="N1141" s="11" t="s">
        <v>230</v>
      </c>
      <c r="O1141" s="1" t="s">
        <v>25</v>
      </c>
      <c r="P1141" s="3" t="s">
        <v>25</v>
      </c>
      <c r="Q1141" s="37" t="s">
        <v>25</v>
      </c>
      <c r="R1141" s="11" t="s">
        <v>25</v>
      </c>
      <c r="S1141" s="13">
        <f t="shared" si="17"/>
        <v>-0.71674561697105887</v>
      </c>
    </row>
    <row r="1142" spans="1:19">
      <c r="A1142" s="18" t="s">
        <v>1294</v>
      </c>
      <c r="B1142" s="11">
        <v>3672</v>
      </c>
      <c r="C1142" t="s">
        <v>1204</v>
      </c>
      <c r="D1142" t="s">
        <v>1333</v>
      </c>
      <c r="E1142" s="1" t="s">
        <v>25</v>
      </c>
      <c r="F1142">
        <v>2049.1174999999998</v>
      </c>
      <c r="G1142">
        <v>2049.1174999999998</v>
      </c>
      <c r="H1142" s="20">
        <v>2086.35</v>
      </c>
      <c r="I1142" s="1" t="s">
        <v>1332</v>
      </c>
      <c r="J1142" s="23" t="s">
        <v>1317</v>
      </c>
      <c r="K1142" s="11" t="s">
        <v>25</v>
      </c>
      <c r="L1142" s="20">
        <v>-0.51154446503786721</v>
      </c>
      <c r="M1142" s="1" t="s">
        <v>23</v>
      </c>
      <c r="N1142" s="11" t="s">
        <v>230</v>
      </c>
      <c r="O1142" s="1" t="s">
        <v>25</v>
      </c>
      <c r="P1142" s="3" t="s">
        <v>25</v>
      </c>
      <c r="Q1142" s="37" t="s">
        <v>25</v>
      </c>
      <c r="R1142" s="11" t="s">
        <v>25</v>
      </c>
      <c r="S1142" s="13">
        <f t="shared" si="17"/>
        <v>-0.51154446503786721</v>
      </c>
    </row>
    <row r="1143" spans="1:19">
      <c r="A1143" s="18" t="s">
        <v>1294</v>
      </c>
      <c r="B1143" s="11">
        <v>3688</v>
      </c>
      <c r="C1143" t="s">
        <v>1204</v>
      </c>
      <c r="D1143" t="s">
        <v>1333</v>
      </c>
      <c r="E1143" s="1" t="s">
        <v>25</v>
      </c>
      <c r="F1143">
        <v>2049.4845</v>
      </c>
      <c r="G1143">
        <v>2049.4845</v>
      </c>
      <c r="H1143" s="20">
        <v>2093.69</v>
      </c>
      <c r="I1143" s="1" t="s">
        <v>1332</v>
      </c>
      <c r="J1143" s="23" t="s">
        <v>1305</v>
      </c>
      <c r="K1143" s="11" t="s">
        <v>25</v>
      </c>
      <c r="L1143" s="20">
        <v>-0.98803105848254824</v>
      </c>
      <c r="M1143" s="1" t="s">
        <v>23</v>
      </c>
      <c r="N1143" s="11" t="s">
        <v>230</v>
      </c>
      <c r="O1143" s="1" t="s">
        <v>25</v>
      </c>
      <c r="P1143" s="3" t="s">
        <v>25</v>
      </c>
      <c r="Q1143" s="37" t="s">
        <v>25</v>
      </c>
      <c r="R1143" s="11" t="s">
        <v>25</v>
      </c>
      <c r="S1143" s="13">
        <f t="shared" si="17"/>
        <v>-0.98803105848254824</v>
      </c>
    </row>
    <row r="1144" spans="1:19">
      <c r="A1144" s="18" t="s">
        <v>1294</v>
      </c>
      <c r="B1144" s="11">
        <v>3690</v>
      </c>
      <c r="C1144" t="s">
        <v>1204</v>
      </c>
      <c r="D1144" t="s">
        <v>1333</v>
      </c>
      <c r="E1144" s="1" t="s">
        <v>25</v>
      </c>
      <c r="F1144">
        <v>2049.4924999999998</v>
      </c>
      <c r="G1144">
        <v>2049.4924999999998</v>
      </c>
      <c r="H1144" s="20">
        <v>2093.85</v>
      </c>
      <c r="I1144" s="1" t="s">
        <v>1332</v>
      </c>
      <c r="J1144" s="23" t="s">
        <v>1315</v>
      </c>
      <c r="K1144" s="11" t="s">
        <v>25</v>
      </c>
      <c r="L1144" s="20">
        <v>-0.71245876506306072</v>
      </c>
      <c r="M1144" s="1" t="s">
        <v>23</v>
      </c>
      <c r="N1144" s="11" t="s">
        <v>230</v>
      </c>
      <c r="O1144" s="1" t="s">
        <v>25</v>
      </c>
      <c r="P1144" s="3" t="s">
        <v>25</v>
      </c>
      <c r="Q1144" s="37" t="s">
        <v>25</v>
      </c>
      <c r="R1144" s="11" t="s">
        <v>25</v>
      </c>
      <c r="S1144" s="13">
        <f t="shared" si="17"/>
        <v>-0.71245876506306072</v>
      </c>
    </row>
    <row r="1145" spans="1:19">
      <c r="A1145" s="18" t="s">
        <v>1294</v>
      </c>
      <c r="B1145" s="11">
        <v>3717</v>
      </c>
      <c r="C1145" t="s">
        <v>1204</v>
      </c>
      <c r="D1145" t="s">
        <v>1333</v>
      </c>
      <c r="E1145" s="1" t="s">
        <v>25</v>
      </c>
      <c r="F1145">
        <v>2050</v>
      </c>
      <c r="G1145">
        <v>2050</v>
      </c>
      <c r="H1145" s="20">
        <v>2104.4899999999998</v>
      </c>
      <c r="I1145" s="1" t="s">
        <v>1332</v>
      </c>
      <c r="J1145" s="23" t="s">
        <v>1315</v>
      </c>
      <c r="K1145" s="11" t="s">
        <v>25</v>
      </c>
      <c r="L1145" s="20">
        <v>-0.47066600442116224</v>
      </c>
      <c r="M1145" s="1" t="s">
        <v>23</v>
      </c>
      <c r="N1145" s="11" t="s">
        <v>230</v>
      </c>
      <c r="O1145" s="1" t="s">
        <v>25</v>
      </c>
      <c r="P1145" s="3" t="s">
        <v>25</v>
      </c>
      <c r="Q1145" s="37" t="s">
        <v>25</v>
      </c>
      <c r="R1145" s="11" t="s">
        <v>25</v>
      </c>
      <c r="S1145" s="13">
        <f t="shared" si="17"/>
        <v>-0.47066600442116224</v>
      </c>
    </row>
    <row r="1146" spans="1:19">
      <c r="A1146" s="18" t="s">
        <v>1294</v>
      </c>
      <c r="B1146" s="11">
        <v>3739</v>
      </c>
      <c r="C1146" t="s">
        <v>1204</v>
      </c>
      <c r="D1146" t="s">
        <v>1334</v>
      </c>
      <c r="E1146" s="1" t="s">
        <v>25</v>
      </c>
      <c r="F1146">
        <v>2055.0855000000001</v>
      </c>
      <c r="G1146">
        <v>2055.0855000000001</v>
      </c>
      <c r="H1146" s="20">
        <v>2205.71</v>
      </c>
      <c r="I1146" s="1" t="s">
        <v>1332</v>
      </c>
      <c r="J1146" s="23" t="s">
        <v>1318</v>
      </c>
      <c r="K1146" s="11" t="s">
        <v>25</v>
      </c>
      <c r="L1146" s="20" t="s">
        <v>25</v>
      </c>
      <c r="M1146" s="1" t="s">
        <v>23</v>
      </c>
      <c r="N1146" s="11" t="s">
        <v>230</v>
      </c>
      <c r="O1146" s="1" t="s">
        <v>25</v>
      </c>
      <c r="P1146" s="3" t="s">
        <v>25</v>
      </c>
      <c r="Q1146" s="37" t="s">
        <v>25</v>
      </c>
      <c r="R1146" s="11" t="s">
        <v>25</v>
      </c>
      <c r="S1146" s="13" t="str">
        <f t="shared" si="17"/>
        <v>Na</v>
      </c>
    </row>
    <row r="1147" spans="1:19">
      <c r="A1147" s="18" t="s">
        <v>1294</v>
      </c>
      <c r="B1147" s="11">
        <v>3757</v>
      </c>
      <c r="C1147" t="s">
        <v>1204</v>
      </c>
      <c r="D1147" t="s">
        <v>1334</v>
      </c>
      <c r="E1147" s="1" t="s">
        <v>25</v>
      </c>
      <c r="F1147">
        <v>2055.1895</v>
      </c>
      <c r="G1147">
        <v>2055.1895</v>
      </c>
      <c r="H1147" s="20">
        <v>2207.79</v>
      </c>
      <c r="I1147" s="1" t="s">
        <v>1332</v>
      </c>
      <c r="J1147" s="23" t="s">
        <v>1319</v>
      </c>
      <c r="K1147" s="11" t="s">
        <v>25</v>
      </c>
      <c r="L1147" s="20">
        <v>-1.2602896491809621</v>
      </c>
      <c r="M1147" s="1" t="s">
        <v>23</v>
      </c>
      <c r="N1147" s="11" t="s">
        <v>230</v>
      </c>
      <c r="O1147" s="1" t="s">
        <v>25</v>
      </c>
      <c r="P1147" s="3" t="s">
        <v>25</v>
      </c>
      <c r="Q1147" s="37" t="s">
        <v>25</v>
      </c>
      <c r="R1147" s="11" t="s">
        <v>25</v>
      </c>
      <c r="S1147" s="13">
        <f t="shared" si="17"/>
        <v>-1.2602896491809621</v>
      </c>
    </row>
    <row r="1148" spans="1:19">
      <c r="A1148" s="18" t="s">
        <v>1294</v>
      </c>
      <c r="B1148" s="11">
        <v>3760</v>
      </c>
      <c r="C1148" t="s">
        <v>1204</v>
      </c>
      <c r="D1148" t="s">
        <v>1334</v>
      </c>
      <c r="E1148" s="1" t="s">
        <v>25</v>
      </c>
      <c r="F1148">
        <v>2055.2174999999997</v>
      </c>
      <c r="G1148">
        <v>2055.2174999999997</v>
      </c>
      <c r="H1148" s="20">
        <v>2208.35</v>
      </c>
      <c r="I1148" s="1" t="s">
        <v>1332</v>
      </c>
      <c r="J1148" s="23" t="s">
        <v>1320</v>
      </c>
      <c r="K1148" s="11" t="s">
        <v>25</v>
      </c>
      <c r="L1148" s="20">
        <v>-1.4919353346121795</v>
      </c>
      <c r="M1148" s="1" t="s">
        <v>23</v>
      </c>
      <c r="N1148" s="11" t="s">
        <v>230</v>
      </c>
      <c r="O1148" s="1" t="s">
        <v>25</v>
      </c>
      <c r="P1148" s="3" t="s">
        <v>25</v>
      </c>
      <c r="Q1148" s="37" t="s">
        <v>25</v>
      </c>
      <c r="R1148" s="11" t="s">
        <v>25</v>
      </c>
      <c r="S1148" s="13">
        <f t="shared" si="17"/>
        <v>-1.4919353346121795</v>
      </c>
    </row>
    <row r="1149" spans="1:19">
      <c r="A1149" s="18" t="s">
        <v>1294</v>
      </c>
      <c r="B1149" s="11">
        <v>3770</v>
      </c>
      <c r="C1149" t="s">
        <v>1204</v>
      </c>
      <c r="D1149" t="s">
        <v>1334</v>
      </c>
      <c r="E1149" s="1" t="s">
        <v>25</v>
      </c>
      <c r="F1149">
        <v>2055.7370000000001</v>
      </c>
      <c r="G1149">
        <v>2055.7370000000001</v>
      </c>
      <c r="H1149" s="20">
        <v>2218.7399999999998</v>
      </c>
      <c r="I1149" s="1" t="s">
        <v>1332</v>
      </c>
      <c r="J1149" s="23" t="s">
        <v>1321</v>
      </c>
      <c r="K1149" s="11" t="s">
        <v>25</v>
      </c>
      <c r="L1149" s="20">
        <v>-1.2329495926418492</v>
      </c>
      <c r="M1149" s="1" t="s">
        <v>23</v>
      </c>
      <c r="N1149" s="11" t="s">
        <v>230</v>
      </c>
      <c r="O1149" s="1" t="s">
        <v>25</v>
      </c>
      <c r="P1149" s="3" t="s">
        <v>25</v>
      </c>
      <c r="Q1149" s="37" t="s">
        <v>25</v>
      </c>
      <c r="R1149" s="11" t="s">
        <v>25</v>
      </c>
      <c r="S1149" s="13">
        <f t="shared" si="17"/>
        <v>-1.2329495926418492</v>
      </c>
    </row>
    <row r="1150" spans="1:19">
      <c r="A1150" s="18" t="s">
        <v>1294</v>
      </c>
      <c r="B1150" s="11">
        <v>3775</v>
      </c>
      <c r="C1150" t="s">
        <v>1204</v>
      </c>
      <c r="D1150" t="s">
        <v>1334</v>
      </c>
      <c r="E1150" s="1" t="s">
        <v>25</v>
      </c>
      <c r="F1150">
        <v>2055.7575000000002</v>
      </c>
      <c r="G1150">
        <v>2055.7575000000002</v>
      </c>
      <c r="H1150" s="20">
        <v>2219.15</v>
      </c>
      <c r="I1150" s="1" t="s">
        <v>1332</v>
      </c>
      <c r="J1150" s="23" t="s">
        <v>1322</v>
      </c>
      <c r="K1150" s="11" t="s">
        <v>25</v>
      </c>
      <c r="L1150" s="20">
        <v>-0.98869493825736288</v>
      </c>
      <c r="M1150" s="1" t="s">
        <v>23</v>
      </c>
      <c r="N1150" s="11" t="s">
        <v>230</v>
      </c>
      <c r="O1150" s="1" t="s">
        <v>25</v>
      </c>
      <c r="P1150" s="3" t="s">
        <v>25</v>
      </c>
      <c r="Q1150" s="37" t="s">
        <v>25</v>
      </c>
      <c r="R1150" s="11" t="s">
        <v>25</v>
      </c>
      <c r="S1150" s="13">
        <f t="shared" si="17"/>
        <v>-0.98869493825736288</v>
      </c>
    </row>
    <row r="1151" spans="1:19">
      <c r="A1151" s="18" t="s">
        <v>1294</v>
      </c>
      <c r="B1151" s="11">
        <v>3780</v>
      </c>
      <c r="C1151" t="s">
        <v>1204</v>
      </c>
      <c r="D1151" t="s">
        <v>1334</v>
      </c>
      <c r="E1151" s="1" t="s">
        <v>25</v>
      </c>
      <c r="F1151">
        <v>2055.7840000000001</v>
      </c>
      <c r="G1151">
        <v>2055.7840000000001</v>
      </c>
      <c r="H1151" s="20">
        <v>2219.6799999999998</v>
      </c>
      <c r="I1151" s="1" t="s">
        <v>1332</v>
      </c>
      <c r="J1151" s="23" t="s">
        <v>1323</v>
      </c>
      <c r="K1151" s="11" t="s">
        <v>25</v>
      </c>
      <c r="L1151" s="20">
        <v>-0.91911819093441471</v>
      </c>
      <c r="M1151" s="1" t="s">
        <v>23</v>
      </c>
      <c r="N1151" s="11" t="s">
        <v>230</v>
      </c>
      <c r="O1151" s="1" t="s">
        <v>25</v>
      </c>
      <c r="P1151" s="3" t="s">
        <v>25</v>
      </c>
      <c r="Q1151" s="37" t="s">
        <v>25</v>
      </c>
      <c r="R1151" s="11" t="s">
        <v>25</v>
      </c>
      <c r="S1151" s="13">
        <f t="shared" si="17"/>
        <v>-0.91911819093441471</v>
      </c>
    </row>
    <row r="1152" spans="1:19">
      <c r="A1152" s="18" t="s">
        <v>1294</v>
      </c>
      <c r="B1152" s="11">
        <v>3795</v>
      </c>
      <c r="C1152" t="s">
        <v>1204</v>
      </c>
      <c r="D1152" t="s">
        <v>1334</v>
      </c>
      <c r="E1152" s="1" t="s">
        <v>25</v>
      </c>
      <c r="F1152">
        <v>2055.8670000000002</v>
      </c>
      <c r="G1152">
        <v>2055.8670000000002</v>
      </c>
      <c r="H1152" s="20">
        <v>2221.34</v>
      </c>
      <c r="I1152" s="1" t="s">
        <v>1332</v>
      </c>
      <c r="J1152" s="23" t="s">
        <v>1324</v>
      </c>
      <c r="K1152" s="11" t="s">
        <v>25</v>
      </c>
      <c r="L1152" s="20">
        <v>-1.3032345126419893</v>
      </c>
      <c r="M1152" s="1" t="s">
        <v>23</v>
      </c>
      <c r="N1152" s="11" t="s">
        <v>230</v>
      </c>
      <c r="O1152" s="1" t="s">
        <v>25</v>
      </c>
      <c r="P1152" s="3" t="s">
        <v>25</v>
      </c>
      <c r="Q1152" s="37" t="s">
        <v>25</v>
      </c>
      <c r="R1152" s="11" t="s">
        <v>25</v>
      </c>
      <c r="S1152" s="13">
        <f t="shared" si="17"/>
        <v>-1.3032345126419893</v>
      </c>
    </row>
    <row r="1153" spans="1:19">
      <c r="A1153" s="18" t="s">
        <v>1294</v>
      </c>
      <c r="B1153" s="11">
        <v>3807</v>
      </c>
      <c r="C1153" t="s">
        <v>1204</v>
      </c>
      <c r="D1153" t="s">
        <v>1334</v>
      </c>
      <c r="E1153" s="1" t="s">
        <v>25</v>
      </c>
      <c r="F1153">
        <v>2056.2305000000001</v>
      </c>
      <c r="G1153">
        <v>2056.2305000000001</v>
      </c>
      <c r="H1153" s="20">
        <v>2228.61</v>
      </c>
      <c r="I1153" s="1" t="s">
        <v>1332</v>
      </c>
      <c r="J1153" s="23" t="s">
        <v>1325</v>
      </c>
      <c r="K1153" s="11" t="s">
        <v>25</v>
      </c>
      <c r="L1153" s="20">
        <v>-0.80714441522634073</v>
      </c>
      <c r="M1153" s="1" t="s">
        <v>23</v>
      </c>
      <c r="N1153" s="11" t="s">
        <v>230</v>
      </c>
      <c r="O1153" s="1" t="s">
        <v>25</v>
      </c>
      <c r="P1153" s="3" t="s">
        <v>25</v>
      </c>
      <c r="Q1153" s="37" t="s">
        <v>25</v>
      </c>
      <c r="R1153" s="11" t="s">
        <v>25</v>
      </c>
      <c r="S1153" s="13">
        <f t="shared" si="17"/>
        <v>-0.80714441522634073</v>
      </c>
    </row>
    <row r="1154" spans="1:19">
      <c r="A1154" s="18" t="s">
        <v>1294</v>
      </c>
      <c r="B1154" s="11" t="s">
        <v>1295</v>
      </c>
      <c r="C1154" t="s">
        <v>1204</v>
      </c>
      <c r="D1154" t="s">
        <v>1334</v>
      </c>
      <c r="E1154" s="1" t="s">
        <v>25</v>
      </c>
      <c r="F1154">
        <v>2055.9940000000001</v>
      </c>
      <c r="G1154">
        <v>2055.9940000000001</v>
      </c>
      <c r="H1154" s="20">
        <v>2223.88</v>
      </c>
      <c r="I1154" s="1" t="s">
        <v>1332</v>
      </c>
      <c r="J1154" s="23" t="s">
        <v>1326</v>
      </c>
      <c r="K1154" s="11" t="s">
        <v>25</v>
      </c>
      <c r="L1154" s="20">
        <v>-0.86463486170642179</v>
      </c>
      <c r="M1154" s="1" t="s">
        <v>23</v>
      </c>
      <c r="N1154" s="11" t="s">
        <v>230</v>
      </c>
      <c r="O1154" s="1" t="s">
        <v>25</v>
      </c>
      <c r="P1154" s="3" t="s">
        <v>25</v>
      </c>
      <c r="Q1154" s="37" t="s">
        <v>25</v>
      </c>
      <c r="R1154" s="11" t="s">
        <v>25</v>
      </c>
      <c r="S1154" s="13">
        <f t="shared" si="17"/>
        <v>-0.86463486170642179</v>
      </c>
    </row>
    <row r="1155" spans="1:19">
      <c r="A1155" s="18" t="s">
        <v>1294</v>
      </c>
      <c r="B1155" s="11">
        <v>3821</v>
      </c>
      <c r="C1155" t="s">
        <v>1204</v>
      </c>
      <c r="D1155" t="s">
        <v>1334</v>
      </c>
      <c r="E1155" s="1" t="s">
        <v>25</v>
      </c>
      <c r="F1155">
        <v>2056.319</v>
      </c>
      <c r="G1155">
        <v>2056.319</v>
      </c>
      <c r="H1155" s="20">
        <v>2230.38</v>
      </c>
      <c r="I1155" s="1" t="s">
        <v>1332</v>
      </c>
      <c r="J1155" s="23" t="s">
        <v>1327</v>
      </c>
      <c r="K1155" s="11" t="s">
        <v>25</v>
      </c>
      <c r="L1155" s="20" t="s">
        <v>25</v>
      </c>
      <c r="M1155" s="1" t="s">
        <v>23</v>
      </c>
      <c r="N1155" s="11" t="s">
        <v>230</v>
      </c>
      <c r="O1155" s="1" t="s">
        <v>25</v>
      </c>
      <c r="P1155" s="3" t="s">
        <v>25</v>
      </c>
      <c r="Q1155" s="37" t="s">
        <v>25</v>
      </c>
      <c r="R1155" s="11" t="s">
        <v>25</v>
      </c>
      <c r="S1155" s="13" t="str">
        <f t="shared" ref="S1155:S1218" si="18">IF(NOT(N1155="SW"),L1155-1.88,L1155)</f>
        <v>Na</v>
      </c>
    </row>
    <row r="1156" spans="1:19">
      <c r="A1156" s="18" t="s">
        <v>1294</v>
      </c>
      <c r="B1156" s="11" t="s">
        <v>1296</v>
      </c>
      <c r="C1156" t="s">
        <v>1204</v>
      </c>
      <c r="D1156" t="s">
        <v>1334</v>
      </c>
      <c r="E1156" s="1" t="s">
        <v>25</v>
      </c>
      <c r="F1156">
        <v>2056.0720000000001</v>
      </c>
      <c r="G1156">
        <v>2056.0720000000001</v>
      </c>
      <c r="H1156" s="20">
        <v>2225.44</v>
      </c>
      <c r="I1156" s="1" t="s">
        <v>1332</v>
      </c>
      <c r="J1156" s="23" t="s">
        <v>1328</v>
      </c>
      <c r="K1156" s="11" t="s">
        <v>25</v>
      </c>
      <c r="L1156" s="20">
        <v>-1.4913863848565141</v>
      </c>
      <c r="M1156" s="1" t="s">
        <v>23</v>
      </c>
      <c r="N1156" s="11" t="s">
        <v>230</v>
      </c>
      <c r="O1156" s="1" t="s">
        <v>25</v>
      </c>
      <c r="P1156" s="3" t="s">
        <v>25</v>
      </c>
      <c r="Q1156" s="37" t="s">
        <v>25</v>
      </c>
      <c r="R1156" s="11" t="s">
        <v>25</v>
      </c>
      <c r="S1156" s="13">
        <f t="shared" si="18"/>
        <v>-1.4913863848565141</v>
      </c>
    </row>
    <row r="1157" spans="1:19">
      <c r="A1157" s="18" t="s">
        <v>1294</v>
      </c>
      <c r="B1157" s="11">
        <v>3853</v>
      </c>
      <c r="C1157" t="s">
        <v>1204</v>
      </c>
      <c r="D1157" t="s">
        <v>1334</v>
      </c>
      <c r="E1157" s="1" t="s">
        <v>25</v>
      </c>
      <c r="F1157">
        <v>2056.4740000000002</v>
      </c>
      <c r="G1157">
        <v>2056.4740000000002</v>
      </c>
      <c r="H1157" s="20">
        <v>2233.48</v>
      </c>
      <c r="I1157" s="1" t="s">
        <v>1332</v>
      </c>
      <c r="J1157" s="23" t="s">
        <v>1329</v>
      </c>
      <c r="K1157" s="11" t="s">
        <v>25</v>
      </c>
      <c r="L1157" s="20">
        <v>-0.92706954554744869</v>
      </c>
      <c r="M1157" s="1" t="s">
        <v>23</v>
      </c>
      <c r="N1157" s="11" t="s">
        <v>230</v>
      </c>
      <c r="O1157" s="1" t="s">
        <v>25</v>
      </c>
      <c r="P1157" s="3" t="s">
        <v>25</v>
      </c>
      <c r="Q1157" s="37" t="s">
        <v>25</v>
      </c>
      <c r="R1157" s="11" t="s">
        <v>25</v>
      </c>
      <c r="S1157" s="13">
        <f t="shared" si="18"/>
        <v>-0.92706954554744869</v>
      </c>
    </row>
    <row r="1158" spans="1:19">
      <c r="A1158" s="18" t="s">
        <v>1294</v>
      </c>
      <c r="B1158" s="11">
        <v>3867</v>
      </c>
      <c r="C1158" t="s">
        <v>1204</v>
      </c>
      <c r="D1158" t="s">
        <v>1334</v>
      </c>
      <c r="E1158" s="1" t="s">
        <v>25</v>
      </c>
      <c r="F1158">
        <v>2056.5504999999998</v>
      </c>
      <c r="G1158">
        <v>2056.5504999999998</v>
      </c>
      <c r="H1158" s="20">
        <v>2235.0100000000002</v>
      </c>
      <c r="I1158" s="1" t="s">
        <v>1332</v>
      </c>
      <c r="J1158" s="23" t="s">
        <v>1330</v>
      </c>
      <c r="K1158" s="11" t="s">
        <v>25</v>
      </c>
      <c r="L1158" s="20">
        <v>-0.85625311324343922</v>
      </c>
      <c r="M1158" s="1" t="s">
        <v>23</v>
      </c>
      <c r="N1158" s="11" t="s">
        <v>230</v>
      </c>
      <c r="O1158" s="1" t="s">
        <v>25</v>
      </c>
      <c r="P1158" s="3" t="s">
        <v>25</v>
      </c>
      <c r="Q1158" s="37" t="s">
        <v>25</v>
      </c>
      <c r="R1158" s="11" t="s">
        <v>25</v>
      </c>
      <c r="S1158" s="13">
        <f t="shared" si="18"/>
        <v>-0.85625311324343922</v>
      </c>
    </row>
    <row r="1159" spans="1:19">
      <c r="A1159" s="18" t="s">
        <v>1294</v>
      </c>
      <c r="B1159" s="11">
        <v>3894</v>
      </c>
      <c r="C1159" t="s">
        <v>1204</v>
      </c>
      <c r="D1159" t="s">
        <v>1334</v>
      </c>
      <c r="E1159" s="1" t="s">
        <v>25</v>
      </c>
      <c r="F1159">
        <v>2056.9029999999998</v>
      </c>
      <c r="G1159">
        <v>2056.9029999999998</v>
      </c>
      <c r="H1159" s="20">
        <v>2242.06</v>
      </c>
      <c r="I1159" s="1" t="s">
        <v>1332</v>
      </c>
      <c r="J1159" s="23" t="s">
        <v>1331</v>
      </c>
      <c r="K1159" s="11" t="s">
        <v>25</v>
      </c>
      <c r="L1159" s="20">
        <v>-0.76252726583075037</v>
      </c>
      <c r="M1159" s="1" t="s">
        <v>23</v>
      </c>
      <c r="N1159" s="11" t="s">
        <v>230</v>
      </c>
      <c r="O1159" s="1" t="s">
        <v>25</v>
      </c>
      <c r="P1159" s="3" t="s">
        <v>25</v>
      </c>
      <c r="Q1159" s="37" t="s">
        <v>25</v>
      </c>
      <c r="R1159" s="11" t="s">
        <v>25</v>
      </c>
      <c r="S1159" s="13">
        <f t="shared" si="18"/>
        <v>-0.76252726583075037</v>
      </c>
    </row>
    <row r="1160" spans="1:19" s="4" customFormat="1">
      <c r="B1160" s="5"/>
      <c r="D1160" s="5"/>
      <c r="E1160" s="5"/>
      <c r="I1160" s="5"/>
      <c r="J1160" s="5"/>
      <c r="M1160" s="5"/>
      <c r="O1160" s="5"/>
      <c r="P1160" s="6"/>
      <c r="Q1160" s="38"/>
      <c r="S1160" s="24"/>
    </row>
    <row r="1161" spans="1:19">
      <c r="A1161" s="18" t="s">
        <v>1335</v>
      </c>
      <c r="B1161" s="1" t="s">
        <v>627</v>
      </c>
      <c r="C1161" s="1" t="s">
        <v>1489</v>
      </c>
      <c r="D1161" s="1" t="s">
        <v>25</v>
      </c>
      <c r="E1161" s="1" t="s">
        <v>25</v>
      </c>
      <c r="F1161">
        <v>100.5</v>
      </c>
      <c r="G1161">
        <v>127.6</v>
      </c>
      <c r="H1161">
        <v>320.5</v>
      </c>
      <c r="I1161" s="1" t="s">
        <v>1490</v>
      </c>
      <c r="J1161" s="1" t="s">
        <v>1336</v>
      </c>
      <c r="K1161" s="11" t="s">
        <v>25</v>
      </c>
      <c r="L1161">
        <v>-1.03</v>
      </c>
      <c r="M1161" s="1" t="s">
        <v>23</v>
      </c>
      <c r="N1161" s="11" t="s">
        <v>230</v>
      </c>
      <c r="Q1161" s="37">
        <v>0.18</v>
      </c>
      <c r="R1161" s="11" t="s">
        <v>231</v>
      </c>
      <c r="S1161" s="13">
        <f t="shared" si="18"/>
        <v>-1.03</v>
      </c>
    </row>
    <row r="1162" spans="1:19">
      <c r="A1162" s="18" t="s">
        <v>1335</v>
      </c>
      <c r="B1162" s="1" t="s">
        <v>631</v>
      </c>
      <c r="C1162" s="1" t="s">
        <v>1489</v>
      </c>
      <c r="D1162" s="1" t="s">
        <v>25</v>
      </c>
      <c r="E1162" s="1" t="s">
        <v>25</v>
      </c>
      <c r="F1162">
        <v>100.5</v>
      </c>
      <c r="G1162">
        <v>127.6</v>
      </c>
      <c r="H1162">
        <v>327.67</v>
      </c>
      <c r="I1162" s="1" t="s">
        <v>1490</v>
      </c>
      <c r="J1162" s="1" t="s">
        <v>1336</v>
      </c>
      <c r="K1162" s="11" t="s">
        <v>25</v>
      </c>
      <c r="L1162">
        <v>-0.93</v>
      </c>
      <c r="M1162" s="1" t="s">
        <v>23</v>
      </c>
      <c r="N1162" s="11" t="s">
        <v>230</v>
      </c>
      <c r="Q1162" s="37">
        <v>0.3</v>
      </c>
      <c r="R1162" s="11" t="s">
        <v>231</v>
      </c>
      <c r="S1162" s="13">
        <f t="shared" si="18"/>
        <v>-0.93</v>
      </c>
    </row>
    <row r="1163" spans="1:19">
      <c r="A1163" s="18" t="s">
        <v>1335</v>
      </c>
      <c r="B1163" s="1" t="s">
        <v>632</v>
      </c>
      <c r="C1163" s="1" t="s">
        <v>1489</v>
      </c>
      <c r="D1163" s="1" t="s">
        <v>25</v>
      </c>
      <c r="E1163" s="1" t="s">
        <v>25</v>
      </c>
      <c r="F1163">
        <v>100.5</v>
      </c>
      <c r="G1163">
        <v>127.6</v>
      </c>
      <c r="H1163">
        <v>330.43</v>
      </c>
      <c r="I1163" s="1" t="s">
        <v>1490</v>
      </c>
      <c r="J1163" s="1" t="s">
        <v>1336</v>
      </c>
      <c r="K1163" s="11" t="s">
        <v>25</v>
      </c>
      <c r="L1163">
        <v>-0.81</v>
      </c>
      <c r="M1163" s="1" t="s">
        <v>23</v>
      </c>
      <c r="N1163" s="11" t="s">
        <v>230</v>
      </c>
      <c r="Q1163" s="37">
        <v>0.18</v>
      </c>
      <c r="R1163" s="11" t="s">
        <v>231</v>
      </c>
      <c r="S1163" s="13">
        <f t="shared" si="18"/>
        <v>-0.81</v>
      </c>
    </row>
    <row r="1164" spans="1:19">
      <c r="A1164" s="18" t="s">
        <v>1335</v>
      </c>
      <c r="B1164" s="1" t="s">
        <v>633</v>
      </c>
      <c r="C1164" s="1" t="s">
        <v>1489</v>
      </c>
      <c r="D1164" s="1" t="s">
        <v>25</v>
      </c>
      <c r="E1164" s="1" t="s">
        <v>25</v>
      </c>
      <c r="F1164">
        <v>100.5</v>
      </c>
      <c r="G1164">
        <v>127.6</v>
      </c>
      <c r="H1164">
        <v>339.33</v>
      </c>
      <c r="I1164" s="1" t="s">
        <v>1490</v>
      </c>
      <c r="J1164" s="1" t="s">
        <v>1336</v>
      </c>
      <c r="K1164" s="11" t="s">
        <v>25</v>
      </c>
      <c r="L1164">
        <v>-0.73</v>
      </c>
      <c r="M1164" s="1" t="s">
        <v>23</v>
      </c>
      <c r="N1164" s="11" t="s">
        <v>230</v>
      </c>
      <c r="Q1164" s="37">
        <v>0.18</v>
      </c>
      <c r="R1164" s="11" t="s">
        <v>231</v>
      </c>
      <c r="S1164" s="13">
        <f t="shared" si="18"/>
        <v>-0.73</v>
      </c>
    </row>
    <row r="1165" spans="1:19">
      <c r="A1165" s="18" t="s">
        <v>1335</v>
      </c>
      <c r="B1165" s="1" t="s">
        <v>634</v>
      </c>
      <c r="C1165" s="1" t="s">
        <v>1489</v>
      </c>
      <c r="D1165" s="1" t="s">
        <v>25</v>
      </c>
      <c r="E1165" s="1" t="s">
        <v>25</v>
      </c>
      <c r="F1165">
        <v>100.5</v>
      </c>
      <c r="G1165">
        <v>127.6</v>
      </c>
      <c r="H1165">
        <v>343.93</v>
      </c>
      <c r="I1165" s="1" t="s">
        <v>1490</v>
      </c>
      <c r="J1165" s="1" t="s">
        <v>1336</v>
      </c>
      <c r="K1165" s="11" t="s">
        <v>25</v>
      </c>
      <c r="L1165">
        <v>-0.62</v>
      </c>
      <c r="M1165" s="1" t="s">
        <v>23</v>
      </c>
      <c r="N1165" s="11" t="s">
        <v>230</v>
      </c>
      <c r="Q1165" s="37">
        <v>0.19</v>
      </c>
      <c r="R1165" s="11" t="s">
        <v>231</v>
      </c>
      <c r="S1165" s="13">
        <f t="shared" si="18"/>
        <v>-0.62</v>
      </c>
    </row>
    <row r="1166" spans="1:19">
      <c r="A1166" s="18" t="s">
        <v>1335</v>
      </c>
      <c r="B1166" s="1" t="s">
        <v>637</v>
      </c>
      <c r="C1166" s="1" t="s">
        <v>1489</v>
      </c>
      <c r="D1166" s="1" t="s">
        <v>25</v>
      </c>
      <c r="E1166" s="1" t="s">
        <v>25</v>
      </c>
      <c r="F1166">
        <v>100.5</v>
      </c>
      <c r="G1166">
        <v>127.6</v>
      </c>
      <c r="H1166">
        <v>348.93</v>
      </c>
      <c r="I1166" s="1" t="s">
        <v>1490</v>
      </c>
      <c r="J1166" s="1" t="s">
        <v>1336</v>
      </c>
      <c r="K1166" s="11" t="s">
        <v>25</v>
      </c>
      <c r="L1166">
        <v>-0.82</v>
      </c>
      <c r="M1166" s="1" t="s">
        <v>23</v>
      </c>
      <c r="N1166" s="11" t="s">
        <v>230</v>
      </c>
      <c r="Q1166" s="37">
        <v>0.17</v>
      </c>
      <c r="R1166" s="11" t="s">
        <v>231</v>
      </c>
      <c r="S1166" s="13">
        <f t="shared" si="18"/>
        <v>-0.82</v>
      </c>
    </row>
    <row r="1167" spans="1:19">
      <c r="A1167" s="18" t="s">
        <v>1335</v>
      </c>
      <c r="B1167" s="1" t="s">
        <v>638</v>
      </c>
      <c r="C1167" s="1" t="s">
        <v>1489</v>
      </c>
      <c r="D1167" s="1" t="s">
        <v>25</v>
      </c>
      <c r="E1167" s="1" t="s">
        <v>25</v>
      </c>
      <c r="F1167">
        <v>100.5</v>
      </c>
      <c r="G1167">
        <v>127.6</v>
      </c>
      <c r="H1167">
        <v>351.73</v>
      </c>
      <c r="I1167" s="1" t="s">
        <v>1490</v>
      </c>
      <c r="J1167" s="1" t="s">
        <v>1336</v>
      </c>
      <c r="K1167" s="11" t="s">
        <v>25</v>
      </c>
      <c r="L1167">
        <v>-0.53</v>
      </c>
      <c r="M1167" s="1" t="s">
        <v>23</v>
      </c>
      <c r="N1167" s="11" t="s">
        <v>230</v>
      </c>
      <c r="Q1167" s="37">
        <v>0.16</v>
      </c>
      <c r="R1167" s="11" t="s">
        <v>231</v>
      </c>
      <c r="S1167" s="13">
        <f t="shared" si="18"/>
        <v>-0.53</v>
      </c>
    </row>
    <row r="1168" spans="1:19">
      <c r="A1168" s="18" t="s">
        <v>1335</v>
      </c>
      <c r="B1168" s="1" t="s">
        <v>641</v>
      </c>
      <c r="C1168" s="1" t="s">
        <v>1489</v>
      </c>
      <c r="D1168" s="1" t="s">
        <v>25</v>
      </c>
      <c r="E1168" s="1" t="s">
        <v>25</v>
      </c>
      <c r="F1168">
        <v>100.5</v>
      </c>
      <c r="G1168">
        <v>127.6</v>
      </c>
      <c r="H1168">
        <v>368.57</v>
      </c>
      <c r="I1168" s="1" t="s">
        <v>1490</v>
      </c>
      <c r="J1168" s="1" t="s">
        <v>1336</v>
      </c>
      <c r="K1168" s="11" t="s">
        <v>25</v>
      </c>
      <c r="L1168">
        <v>-0.84</v>
      </c>
      <c r="M1168" s="1" t="s">
        <v>23</v>
      </c>
      <c r="N1168" s="11" t="s">
        <v>230</v>
      </c>
      <c r="Q1168" s="37">
        <v>0.19</v>
      </c>
      <c r="R1168" s="11" t="s">
        <v>231</v>
      </c>
      <c r="S1168" s="13">
        <f t="shared" si="18"/>
        <v>-0.84</v>
      </c>
    </row>
    <row r="1169" spans="1:19">
      <c r="A1169" s="18" t="s">
        <v>1335</v>
      </c>
      <c r="B1169" s="1" t="s">
        <v>642</v>
      </c>
      <c r="C1169" s="1" t="s">
        <v>1489</v>
      </c>
      <c r="D1169" s="1" t="s">
        <v>25</v>
      </c>
      <c r="E1169" s="1" t="s">
        <v>25</v>
      </c>
      <c r="F1169">
        <v>100.5</v>
      </c>
      <c r="G1169">
        <v>127.6</v>
      </c>
      <c r="H1169">
        <v>417.03</v>
      </c>
      <c r="I1169" s="1" t="s">
        <v>1490</v>
      </c>
      <c r="J1169" s="1" t="s">
        <v>1336</v>
      </c>
      <c r="K1169" s="11" t="s">
        <v>25</v>
      </c>
      <c r="L1169">
        <v>-0.69</v>
      </c>
      <c r="M1169" s="1" t="s">
        <v>23</v>
      </c>
      <c r="N1169" s="11" t="s">
        <v>230</v>
      </c>
      <c r="Q1169" s="37">
        <v>0.15</v>
      </c>
      <c r="R1169" s="11" t="s">
        <v>231</v>
      </c>
      <c r="S1169" s="13">
        <f t="shared" si="18"/>
        <v>-0.69</v>
      </c>
    </row>
    <row r="1170" spans="1:19">
      <c r="A1170" s="18" t="s">
        <v>1335</v>
      </c>
      <c r="B1170" s="1" t="s">
        <v>643</v>
      </c>
      <c r="C1170" s="1" t="s">
        <v>1489</v>
      </c>
      <c r="D1170" s="1" t="s">
        <v>25</v>
      </c>
      <c r="E1170" s="1" t="s">
        <v>25</v>
      </c>
      <c r="F1170">
        <v>100.5</v>
      </c>
      <c r="G1170">
        <v>127.6</v>
      </c>
      <c r="H1170">
        <v>426.13</v>
      </c>
      <c r="I1170" s="1" t="s">
        <v>1490</v>
      </c>
      <c r="J1170" s="1" t="s">
        <v>1336</v>
      </c>
      <c r="K1170" s="11" t="s">
        <v>25</v>
      </c>
      <c r="L1170">
        <v>-0.91</v>
      </c>
      <c r="M1170" s="1" t="s">
        <v>23</v>
      </c>
      <c r="N1170" s="11" t="s">
        <v>230</v>
      </c>
      <c r="Q1170" s="37">
        <v>0.15</v>
      </c>
      <c r="R1170" s="11" t="s">
        <v>231</v>
      </c>
      <c r="S1170" s="13">
        <f t="shared" si="18"/>
        <v>-0.91</v>
      </c>
    </row>
    <row r="1171" spans="1:19">
      <c r="A1171" s="18" t="s">
        <v>1335</v>
      </c>
      <c r="B1171" s="1" t="s">
        <v>644</v>
      </c>
      <c r="C1171" s="1" t="s">
        <v>1489</v>
      </c>
      <c r="D1171" s="1" t="s">
        <v>25</v>
      </c>
      <c r="E1171" s="1" t="s">
        <v>25</v>
      </c>
      <c r="F1171">
        <v>100.5</v>
      </c>
      <c r="G1171">
        <v>127.6</v>
      </c>
      <c r="H1171">
        <v>435.33</v>
      </c>
      <c r="I1171" s="1" t="s">
        <v>1490</v>
      </c>
      <c r="J1171" s="1" t="s">
        <v>1336</v>
      </c>
      <c r="K1171" s="11" t="s">
        <v>25</v>
      </c>
      <c r="L1171">
        <v>-0.79</v>
      </c>
      <c r="M1171" s="1" t="s">
        <v>23</v>
      </c>
      <c r="N1171" s="11" t="s">
        <v>230</v>
      </c>
      <c r="Q1171" s="37">
        <v>0.18</v>
      </c>
      <c r="R1171" s="11" t="s">
        <v>231</v>
      </c>
      <c r="S1171" s="13">
        <f t="shared" si="18"/>
        <v>-0.79</v>
      </c>
    </row>
    <row r="1172" spans="1:19">
      <c r="A1172" s="18" t="s">
        <v>1335</v>
      </c>
      <c r="B1172" s="1" t="s">
        <v>645</v>
      </c>
      <c r="C1172" s="1" t="s">
        <v>1489</v>
      </c>
      <c r="D1172" s="1" t="s">
        <v>25</v>
      </c>
      <c r="E1172" s="1" t="s">
        <v>25</v>
      </c>
      <c r="F1172">
        <v>100.5</v>
      </c>
      <c r="G1172">
        <v>127.6</v>
      </c>
      <c r="H1172">
        <v>484.07</v>
      </c>
      <c r="I1172" s="1" t="s">
        <v>1490</v>
      </c>
      <c r="J1172" s="1" t="s">
        <v>1336</v>
      </c>
      <c r="K1172" s="11" t="s">
        <v>25</v>
      </c>
      <c r="L1172">
        <v>-1.23</v>
      </c>
      <c r="M1172" s="1" t="s">
        <v>23</v>
      </c>
      <c r="N1172" s="11" t="s">
        <v>230</v>
      </c>
      <c r="Q1172" s="37">
        <v>0.4</v>
      </c>
      <c r="R1172" s="11" t="s">
        <v>231</v>
      </c>
      <c r="S1172" s="13">
        <f t="shared" si="18"/>
        <v>-1.23</v>
      </c>
    </row>
    <row r="1173" spans="1:19">
      <c r="A1173" s="18" t="s">
        <v>1335</v>
      </c>
      <c r="B1173" s="1" t="s">
        <v>648</v>
      </c>
      <c r="C1173" s="1" t="s">
        <v>1489</v>
      </c>
      <c r="D1173" s="1" t="s">
        <v>25</v>
      </c>
      <c r="E1173" s="1" t="s">
        <v>25</v>
      </c>
      <c r="F1173">
        <v>100.5</v>
      </c>
      <c r="G1173">
        <v>127.6</v>
      </c>
      <c r="H1173">
        <v>512.92999999999995</v>
      </c>
      <c r="I1173" s="1" t="s">
        <v>1490</v>
      </c>
      <c r="J1173" s="1" t="s">
        <v>1336</v>
      </c>
      <c r="K1173" s="11" t="s">
        <v>25</v>
      </c>
      <c r="L1173">
        <v>-1</v>
      </c>
      <c r="M1173" s="1" t="s">
        <v>23</v>
      </c>
      <c r="N1173" s="11" t="s">
        <v>230</v>
      </c>
      <c r="Q1173" s="37">
        <v>0.26</v>
      </c>
      <c r="R1173" s="11" t="s">
        <v>231</v>
      </c>
      <c r="S1173" s="13">
        <f t="shared" si="18"/>
        <v>-1</v>
      </c>
    </row>
    <row r="1174" spans="1:19">
      <c r="A1174" s="18" t="s">
        <v>1335</v>
      </c>
      <c r="B1174" s="1" t="s">
        <v>649</v>
      </c>
      <c r="C1174" s="1" t="s">
        <v>1489</v>
      </c>
      <c r="D1174" s="1" t="s">
        <v>25</v>
      </c>
      <c r="E1174" s="1" t="s">
        <v>25</v>
      </c>
      <c r="F1174">
        <v>100.5</v>
      </c>
      <c r="G1174">
        <v>127.6</v>
      </c>
      <c r="H1174">
        <v>532.42999999999995</v>
      </c>
      <c r="I1174" s="1" t="s">
        <v>1490</v>
      </c>
      <c r="J1174" s="1" t="s">
        <v>1336</v>
      </c>
      <c r="K1174" s="11" t="s">
        <v>25</v>
      </c>
      <c r="L1174">
        <v>-1.01</v>
      </c>
      <c r="M1174" s="1" t="s">
        <v>23</v>
      </c>
      <c r="N1174" s="11" t="s">
        <v>230</v>
      </c>
      <c r="Q1174" s="37">
        <v>0.23</v>
      </c>
      <c r="R1174" s="11" t="s">
        <v>231</v>
      </c>
      <c r="S1174" s="13">
        <f t="shared" si="18"/>
        <v>-1.01</v>
      </c>
    </row>
    <row r="1175" spans="1:19">
      <c r="A1175" s="18" t="s">
        <v>1335</v>
      </c>
      <c r="B1175" s="1" t="s">
        <v>650</v>
      </c>
      <c r="C1175" s="1" t="s">
        <v>1489</v>
      </c>
      <c r="D1175" s="1" t="s">
        <v>25</v>
      </c>
      <c r="E1175" s="1" t="s">
        <v>25</v>
      </c>
      <c r="F1175">
        <v>100.5</v>
      </c>
      <c r="G1175">
        <v>127.6</v>
      </c>
      <c r="H1175">
        <v>542.53</v>
      </c>
      <c r="I1175" s="1" t="s">
        <v>1490</v>
      </c>
      <c r="J1175" s="1" t="s">
        <v>1336</v>
      </c>
      <c r="K1175" s="11" t="s">
        <v>25</v>
      </c>
      <c r="L1175">
        <v>-0.65</v>
      </c>
      <c r="M1175" s="1" t="s">
        <v>23</v>
      </c>
      <c r="N1175" s="11" t="s">
        <v>230</v>
      </c>
      <c r="Q1175" s="37">
        <v>0.28000000000000003</v>
      </c>
      <c r="R1175" s="11" t="s">
        <v>231</v>
      </c>
      <c r="S1175" s="13">
        <f t="shared" si="18"/>
        <v>-0.65</v>
      </c>
    </row>
    <row r="1176" spans="1:19">
      <c r="A1176" s="18" t="s">
        <v>1335</v>
      </c>
      <c r="B1176" s="1" t="s">
        <v>652</v>
      </c>
      <c r="C1176" s="1" t="s">
        <v>1489</v>
      </c>
      <c r="D1176" s="1" t="s">
        <v>25</v>
      </c>
      <c r="E1176" s="1" t="s">
        <v>25</v>
      </c>
      <c r="F1176">
        <v>100.5</v>
      </c>
      <c r="G1176">
        <v>127.6</v>
      </c>
      <c r="H1176">
        <v>551.53</v>
      </c>
      <c r="I1176" s="1" t="s">
        <v>1490</v>
      </c>
      <c r="J1176" s="1" t="s">
        <v>1336</v>
      </c>
      <c r="K1176" s="11" t="s">
        <v>25</v>
      </c>
      <c r="L1176">
        <v>-0.55000000000000004</v>
      </c>
      <c r="M1176" s="1" t="s">
        <v>23</v>
      </c>
      <c r="N1176" s="11" t="s">
        <v>230</v>
      </c>
      <c r="Q1176" s="37">
        <v>0.26</v>
      </c>
      <c r="R1176" s="11" t="s">
        <v>231</v>
      </c>
      <c r="S1176" s="13">
        <f t="shared" si="18"/>
        <v>-0.55000000000000004</v>
      </c>
    </row>
    <row r="1177" spans="1:19">
      <c r="A1177" s="18" t="s">
        <v>1335</v>
      </c>
      <c r="B1177" s="1" t="s">
        <v>653</v>
      </c>
      <c r="C1177" s="1" t="s">
        <v>1489</v>
      </c>
      <c r="D1177" s="1" t="s">
        <v>25</v>
      </c>
      <c r="E1177" s="1" t="s">
        <v>25</v>
      </c>
      <c r="F1177">
        <v>100.5</v>
      </c>
      <c r="G1177">
        <v>127.6</v>
      </c>
      <c r="H1177">
        <v>561.83000000000004</v>
      </c>
      <c r="I1177" s="1" t="s">
        <v>1490</v>
      </c>
      <c r="J1177" s="1" t="s">
        <v>1336</v>
      </c>
      <c r="K1177" s="11" t="s">
        <v>25</v>
      </c>
      <c r="L1177">
        <v>-0.92</v>
      </c>
      <c r="M1177" s="1" t="s">
        <v>23</v>
      </c>
      <c r="N1177" s="11" t="s">
        <v>230</v>
      </c>
      <c r="Q1177" s="37">
        <v>0.28999999999999998</v>
      </c>
      <c r="R1177" s="11" t="s">
        <v>231</v>
      </c>
      <c r="S1177" s="13">
        <f t="shared" si="18"/>
        <v>-0.92</v>
      </c>
    </row>
    <row r="1178" spans="1:19">
      <c r="A1178" s="18" t="s">
        <v>1335</v>
      </c>
      <c r="B1178" s="1" t="s">
        <v>655</v>
      </c>
      <c r="C1178" s="1" t="s">
        <v>1489</v>
      </c>
      <c r="D1178" s="1" t="s">
        <v>25</v>
      </c>
      <c r="E1178" s="1" t="s">
        <v>25</v>
      </c>
      <c r="F1178">
        <v>100.5</v>
      </c>
      <c r="G1178">
        <v>127.6</v>
      </c>
      <c r="H1178">
        <v>580.63</v>
      </c>
      <c r="I1178" s="1" t="s">
        <v>1490</v>
      </c>
      <c r="J1178" s="1" t="s">
        <v>1336</v>
      </c>
      <c r="K1178" s="11" t="s">
        <v>25</v>
      </c>
      <c r="L1178">
        <v>-0.65</v>
      </c>
      <c r="M1178" s="1" t="s">
        <v>23</v>
      </c>
      <c r="N1178" s="11" t="s">
        <v>230</v>
      </c>
      <c r="Q1178" s="37">
        <v>0.25</v>
      </c>
      <c r="R1178" s="11" t="s">
        <v>231</v>
      </c>
      <c r="S1178" s="13">
        <f t="shared" si="18"/>
        <v>-0.65</v>
      </c>
    </row>
    <row r="1179" spans="1:19">
      <c r="A1179" s="18" t="s">
        <v>1335</v>
      </c>
      <c r="B1179" s="1" t="s">
        <v>657</v>
      </c>
      <c r="C1179" s="1" t="s">
        <v>1489</v>
      </c>
      <c r="D1179" s="1" t="s">
        <v>25</v>
      </c>
      <c r="E1179" s="1" t="s">
        <v>25</v>
      </c>
      <c r="F1179">
        <v>100.5</v>
      </c>
      <c r="G1179">
        <v>127.6</v>
      </c>
      <c r="H1179">
        <v>583.03</v>
      </c>
      <c r="I1179" s="1" t="s">
        <v>1490</v>
      </c>
      <c r="J1179" s="1" t="s">
        <v>1336</v>
      </c>
      <c r="K1179" s="11" t="s">
        <v>25</v>
      </c>
      <c r="L1179">
        <v>-0.77</v>
      </c>
      <c r="M1179" s="1" t="s">
        <v>23</v>
      </c>
      <c r="N1179" s="11" t="s">
        <v>230</v>
      </c>
      <c r="Q1179" s="37">
        <v>0.31</v>
      </c>
      <c r="R1179" s="11" t="s">
        <v>231</v>
      </c>
      <c r="S1179" s="13">
        <f t="shared" si="18"/>
        <v>-0.77</v>
      </c>
    </row>
    <row r="1180" spans="1:19">
      <c r="A1180" s="18" t="s">
        <v>1335</v>
      </c>
      <c r="B1180" s="1" t="s">
        <v>659</v>
      </c>
      <c r="C1180" s="1" t="s">
        <v>1489</v>
      </c>
      <c r="D1180" s="1" t="s">
        <v>25</v>
      </c>
      <c r="E1180" s="1" t="s">
        <v>25</v>
      </c>
      <c r="F1180">
        <v>100.5</v>
      </c>
      <c r="G1180">
        <v>127.6</v>
      </c>
      <c r="H1180">
        <v>590.92999999999995</v>
      </c>
      <c r="I1180" s="1" t="s">
        <v>1490</v>
      </c>
      <c r="J1180" s="1" t="s">
        <v>1336</v>
      </c>
      <c r="K1180" s="11" t="s">
        <v>25</v>
      </c>
      <c r="L1180">
        <v>-0.9</v>
      </c>
      <c r="M1180" s="1" t="s">
        <v>23</v>
      </c>
      <c r="N1180" s="11" t="s">
        <v>230</v>
      </c>
      <c r="Q1180" s="37">
        <v>0.28999999999999998</v>
      </c>
      <c r="R1180" s="11" t="s">
        <v>231</v>
      </c>
      <c r="S1180" s="13">
        <f t="shared" si="18"/>
        <v>-0.9</v>
      </c>
    </row>
    <row r="1181" spans="1:19">
      <c r="A1181" s="18" t="s">
        <v>1335</v>
      </c>
      <c r="B1181" s="1" t="s">
        <v>661</v>
      </c>
      <c r="C1181" s="1" t="s">
        <v>1489</v>
      </c>
      <c r="D1181" s="1" t="s">
        <v>25</v>
      </c>
      <c r="E1181" s="1" t="s">
        <v>25</v>
      </c>
      <c r="F1181">
        <v>100.5</v>
      </c>
      <c r="G1181">
        <v>127.6</v>
      </c>
      <c r="H1181">
        <v>600.23</v>
      </c>
      <c r="I1181" s="1" t="s">
        <v>1490</v>
      </c>
      <c r="J1181" s="1" t="s">
        <v>1336</v>
      </c>
      <c r="K1181" s="11" t="s">
        <v>25</v>
      </c>
      <c r="L1181">
        <v>-0.73</v>
      </c>
      <c r="M1181" s="1" t="s">
        <v>23</v>
      </c>
      <c r="N1181" s="11" t="s">
        <v>230</v>
      </c>
      <c r="Q1181" s="37">
        <v>0.32</v>
      </c>
      <c r="R1181" s="11" t="s">
        <v>231</v>
      </c>
      <c r="S1181" s="13">
        <f t="shared" si="18"/>
        <v>-0.73</v>
      </c>
    </row>
    <row r="1182" spans="1:19">
      <c r="A1182" s="18" t="s">
        <v>1335</v>
      </c>
      <c r="B1182" s="1" t="s">
        <v>663</v>
      </c>
      <c r="C1182" s="1" t="s">
        <v>1489</v>
      </c>
      <c r="D1182" s="1" t="s">
        <v>25</v>
      </c>
      <c r="E1182" s="1" t="s">
        <v>25</v>
      </c>
      <c r="F1182">
        <v>100.5</v>
      </c>
      <c r="G1182">
        <v>127.6</v>
      </c>
      <c r="H1182">
        <v>609.73</v>
      </c>
      <c r="I1182" s="1" t="s">
        <v>1490</v>
      </c>
      <c r="J1182" s="1" t="s">
        <v>1336</v>
      </c>
      <c r="K1182" s="11" t="s">
        <v>25</v>
      </c>
      <c r="L1182">
        <v>-0.72</v>
      </c>
      <c r="M1182" s="1" t="s">
        <v>23</v>
      </c>
      <c r="N1182" s="11" t="s">
        <v>230</v>
      </c>
      <c r="Q1182" s="37">
        <v>0.31</v>
      </c>
      <c r="R1182" s="11" t="s">
        <v>231</v>
      </c>
      <c r="S1182" s="13">
        <f t="shared" si="18"/>
        <v>-0.72</v>
      </c>
    </row>
    <row r="1183" spans="1:19">
      <c r="A1183" s="18" t="s">
        <v>1335</v>
      </c>
      <c r="B1183" s="1" t="s">
        <v>666</v>
      </c>
      <c r="C1183" s="1" t="s">
        <v>1489</v>
      </c>
      <c r="D1183" s="1" t="s">
        <v>25</v>
      </c>
      <c r="E1183" s="1" t="s">
        <v>25</v>
      </c>
      <c r="F1183">
        <v>100.5</v>
      </c>
      <c r="G1183">
        <v>127.6</v>
      </c>
      <c r="H1183">
        <v>647.97</v>
      </c>
      <c r="I1183" s="1" t="s">
        <v>1490</v>
      </c>
      <c r="J1183" s="1" t="s">
        <v>1336</v>
      </c>
      <c r="K1183" s="11" t="s">
        <v>25</v>
      </c>
      <c r="L1183">
        <v>-0.73</v>
      </c>
      <c r="M1183" s="1" t="s">
        <v>23</v>
      </c>
      <c r="N1183" s="11" t="s">
        <v>230</v>
      </c>
      <c r="Q1183" s="37">
        <v>0.32</v>
      </c>
      <c r="R1183" s="11" t="s">
        <v>231</v>
      </c>
      <c r="S1183" s="13">
        <f t="shared" si="18"/>
        <v>-0.73</v>
      </c>
    </row>
    <row r="1184" spans="1:19">
      <c r="A1184" s="18" t="s">
        <v>1335</v>
      </c>
      <c r="B1184" s="1" t="s">
        <v>667</v>
      </c>
      <c r="C1184" s="1" t="s">
        <v>1489</v>
      </c>
      <c r="D1184" s="1" t="s">
        <v>25</v>
      </c>
      <c r="E1184" s="1" t="s">
        <v>25</v>
      </c>
      <c r="F1184">
        <v>100.5</v>
      </c>
      <c r="G1184">
        <v>127.6</v>
      </c>
      <c r="H1184">
        <v>668.13</v>
      </c>
      <c r="I1184" s="1" t="s">
        <v>1490</v>
      </c>
      <c r="J1184" s="1" t="s">
        <v>1336</v>
      </c>
      <c r="K1184" s="11" t="s">
        <v>25</v>
      </c>
      <c r="L1184">
        <v>-0.79</v>
      </c>
      <c r="M1184" s="1" t="s">
        <v>23</v>
      </c>
      <c r="N1184" s="11" t="s">
        <v>230</v>
      </c>
      <c r="Q1184" s="37">
        <v>0.35</v>
      </c>
      <c r="R1184" s="11" t="s">
        <v>231</v>
      </c>
      <c r="S1184" s="13">
        <f t="shared" si="18"/>
        <v>-0.79</v>
      </c>
    </row>
    <row r="1185" spans="1:19">
      <c r="A1185" s="18" t="s">
        <v>1335</v>
      </c>
      <c r="B1185" s="1" t="s">
        <v>668</v>
      </c>
      <c r="C1185" s="1" t="s">
        <v>1489</v>
      </c>
      <c r="D1185" s="1" t="s">
        <v>25</v>
      </c>
      <c r="E1185" s="1" t="s">
        <v>25</v>
      </c>
      <c r="F1185">
        <v>100.5</v>
      </c>
      <c r="G1185">
        <v>127.6</v>
      </c>
      <c r="H1185">
        <v>687.43</v>
      </c>
      <c r="I1185" s="1" t="s">
        <v>1490</v>
      </c>
      <c r="J1185" s="1" t="s">
        <v>1336</v>
      </c>
      <c r="K1185" s="11" t="s">
        <v>25</v>
      </c>
      <c r="L1185">
        <v>-0.82</v>
      </c>
      <c r="M1185" s="1" t="s">
        <v>23</v>
      </c>
      <c r="N1185" s="11" t="s">
        <v>230</v>
      </c>
      <c r="Q1185" s="37">
        <v>0.33</v>
      </c>
      <c r="R1185" s="11" t="s">
        <v>231</v>
      </c>
      <c r="S1185" s="13">
        <f t="shared" si="18"/>
        <v>-0.82</v>
      </c>
    </row>
    <row r="1186" spans="1:19">
      <c r="A1186" s="18" t="s">
        <v>1335</v>
      </c>
      <c r="B1186" s="1" t="s">
        <v>671</v>
      </c>
      <c r="C1186" s="1" t="s">
        <v>1489</v>
      </c>
      <c r="D1186" s="1" t="s">
        <v>25</v>
      </c>
      <c r="E1186" s="1" t="s">
        <v>25</v>
      </c>
      <c r="F1186">
        <v>100.5</v>
      </c>
      <c r="G1186">
        <v>127.6</v>
      </c>
      <c r="H1186">
        <v>689.07</v>
      </c>
      <c r="I1186" s="1" t="s">
        <v>1490</v>
      </c>
      <c r="J1186" s="1" t="s">
        <v>1336</v>
      </c>
      <c r="K1186" s="11" t="s">
        <v>25</v>
      </c>
      <c r="L1186">
        <v>-1.1299999999999999</v>
      </c>
      <c r="M1186" s="1" t="s">
        <v>23</v>
      </c>
      <c r="N1186" s="11" t="s">
        <v>230</v>
      </c>
      <c r="Q1186" s="37">
        <v>0.35</v>
      </c>
      <c r="R1186" s="11" t="s">
        <v>231</v>
      </c>
      <c r="S1186" s="13">
        <f t="shared" si="18"/>
        <v>-1.1299999999999999</v>
      </c>
    </row>
    <row r="1187" spans="1:19">
      <c r="A1187" s="18" t="s">
        <v>1335</v>
      </c>
      <c r="B1187" s="1" t="s">
        <v>672</v>
      </c>
      <c r="C1187" s="1" t="s">
        <v>1489</v>
      </c>
      <c r="D1187" s="1" t="s">
        <v>25</v>
      </c>
      <c r="E1187" s="1" t="s">
        <v>25</v>
      </c>
      <c r="F1187">
        <v>100.5</v>
      </c>
      <c r="G1187">
        <v>127.6</v>
      </c>
      <c r="H1187">
        <v>691.93</v>
      </c>
      <c r="I1187" s="1" t="s">
        <v>1490</v>
      </c>
      <c r="J1187" s="1" t="s">
        <v>1336</v>
      </c>
      <c r="K1187" s="11" t="s">
        <v>25</v>
      </c>
      <c r="L1187">
        <v>-0.84</v>
      </c>
      <c r="M1187" s="1" t="s">
        <v>23</v>
      </c>
      <c r="N1187" s="11" t="s">
        <v>230</v>
      </c>
      <c r="Q1187" s="37">
        <v>0.32</v>
      </c>
      <c r="R1187" s="11" t="s">
        <v>231</v>
      </c>
      <c r="S1187" s="13">
        <f t="shared" si="18"/>
        <v>-0.84</v>
      </c>
    </row>
    <row r="1188" spans="1:19">
      <c r="A1188" s="18" t="s">
        <v>1335</v>
      </c>
      <c r="B1188" s="1" t="s">
        <v>675</v>
      </c>
      <c r="C1188" s="1" t="s">
        <v>1489</v>
      </c>
      <c r="D1188" s="1" t="s">
        <v>25</v>
      </c>
      <c r="E1188" s="1" t="s">
        <v>25</v>
      </c>
      <c r="F1188">
        <v>100.5</v>
      </c>
      <c r="G1188">
        <v>127.6</v>
      </c>
      <c r="H1188">
        <v>697.07</v>
      </c>
      <c r="I1188" s="1" t="s">
        <v>1490</v>
      </c>
      <c r="J1188" s="1" t="s">
        <v>1336</v>
      </c>
      <c r="K1188" s="11" t="s">
        <v>25</v>
      </c>
      <c r="L1188">
        <v>-0.93</v>
      </c>
      <c r="M1188" s="1" t="s">
        <v>23</v>
      </c>
      <c r="N1188" s="11" t="s">
        <v>230</v>
      </c>
      <c r="Q1188" s="37">
        <v>0.31</v>
      </c>
      <c r="R1188" s="11" t="s">
        <v>231</v>
      </c>
      <c r="S1188" s="13">
        <f t="shared" si="18"/>
        <v>-0.93</v>
      </c>
    </row>
    <row r="1189" spans="1:19">
      <c r="A1189" s="18" t="s">
        <v>1335</v>
      </c>
      <c r="B1189" s="1" t="s">
        <v>677</v>
      </c>
      <c r="C1189" s="1" t="s">
        <v>1489</v>
      </c>
      <c r="D1189" s="1" t="s">
        <v>25</v>
      </c>
      <c r="E1189" s="1" t="s">
        <v>25</v>
      </c>
      <c r="F1189">
        <v>100.5</v>
      </c>
      <c r="G1189">
        <v>127.6</v>
      </c>
      <c r="H1189">
        <v>698.67</v>
      </c>
      <c r="I1189" s="1" t="s">
        <v>1490</v>
      </c>
      <c r="J1189" s="1" t="s">
        <v>1336</v>
      </c>
      <c r="K1189" s="11" t="s">
        <v>25</v>
      </c>
      <c r="L1189">
        <v>-0.72</v>
      </c>
      <c r="M1189" s="1" t="s">
        <v>23</v>
      </c>
      <c r="N1189" s="11" t="s">
        <v>230</v>
      </c>
      <c r="Q1189" s="37">
        <v>0.26</v>
      </c>
      <c r="R1189" s="11" t="s">
        <v>231</v>
      </c>
      <c r="S1189" s="13">
        <f t="shared" si="18"/>
        <v>-0.72</v>
      </c>
    </row>
    <row r="1190" spans="1:19">
      <c r="A1190" s="18" t="s">
        <v>1335</v>
      </c>
      <c r="B1190" s="1" t="s">
        <v>678</v>
      </c>
      <c r="C1190" s="1" t="s">
        <v>1489</v>
      </c>
      <c r="D1190" s="1" t="s">
        <v>25</v>
      </c>
      <c r="E1190" s="1" t="s">
        <v>25</v>
      </c>
      <c r="F1190">
        <v>100.5</v>
      </c>
      <c r="G1190">
        <v>127.6</v>
      </c>
      <c r="H1190">
        <v>702.03</v>
      </c>
      <c r="I1190" s="1" t="s">
        <v>1490</v>
      </c>
      <c r="J1190" s="1" t="s">
        <v>1336</v>
      </c>
      <c r="K1190" s="11" t="s">
        <v>25</v>
      </c>
      <c r="L1190">
        <v>-0.7</v>
      </c>
      <c r="M1190" s="1" t="s">
        <v>23</v>
      </c>
      <c r="N1190" s="11" t="s">
        <v>230</v>
      </c>
      <c r="Q1190" s="37">
        <v>0.3</v>
      </c>
      <c r="R1190" s="11" t="s">
        <v>231</v>
      </c>
      <c r="S1190" s="13">
        <f t="shared" si="18"/>
        <v>-0.7</v>
      </c>
    </row>
    <row r="1191" spans="1:19">
      <c r="A1191" s="18" t="s">
        <v>1335</v>
      </c>
      <c r="B1191" s="1" t="s">
        <v>679</v>
      </c>
      <c r="C1191" s="1" t="s">
        <v>1489</v>
      </c>
      <c r="D1191" s="1" t="s">
        <v>25</v>
      </c>
      <c r="E1191" s="1" t="s">
        <v>25</v>
      </c>
      <c r="F1191">
        <v>100.5</v>
      </c>
      <c r="G1191">
        <v>127.6</v>
      </c>
      <c r="H1191">
        <v>706.77</v>
      </c>
      <c r="I1191" s="1" t="s">
        <v>1490</v>
      </c>
      <c r="J1191" s="1" t="s">
        <v>1336</v>
      </c>
      <c r="K1191" s="11" t="s">
        <v>25</v>
      </c>
      <c r="L1191">
        <v>-0.97</v>
      </c>
      <c r="M1191" s="1" t="s">
        <v>23</v>
      </c>
      <c r="N1191" s="11" t="s">
        <v>230</v>
      </c>
      <c r="Q1191" s="37">
        <v>0.33</v>
      </c>
      <c r="R1191" s="11" t="s">
        <v>231</v>
      </c>
      <c r="S1191" s="13">
        <f t="shared" si="18"/>
        <v>-0.97</v>
      </c>
    </row>
    <row r="1192" spans="1:19">
      <c r="A1192" s="18" t="s">
        <v>1335</v>
      </c>
      <c r="B1192" s="1" t="s">
        <v>1016</v>
      </c>
      <c r="C1192" s="1" t="s">
        <v>1489</v>
      </c>
      <c r="D1192" s="1" t="s">
        <v>25</v>
      </c>
      <c r="E1192" s="1" t="s">
        <v>25</v>
      </c>
      <c r="F1192">
        <v>100.5</v>
      </c>
      <c r="G1192">
        <v>127.6</v>
      </c>
      <c r="H1192">
        <v>707.67</v>
      </c>
      <c r="I1192" s="1" t="s">
        <v>1490</v>
      </c>
      <c r="J1192" s="1" t="s">
        <v>1336</v>
      </c>
      <c r="K1192" s="11" t="s">
        <v>25</v>
      </c>
      <c r="L1192">
        <v>-0.95</v>
      </c>
      <c r="M1192" s="1" t="s">
        <v>23</v>
      </c>
      <c r="N1192" s="11" t="s">
        <v>230</v>
      </c>
      <c r="Q1192" s="37">
        <v>0.28999999999999998</v>
      </c>
      <c r="R1192" s="11" t="s">
        <v>231</v>
      </c>
      <c r="S1192" s="13">
        <f t="shared" si="18"/>
        <v>-0.95</v>
      </c>
    </row>
    <row r="1193" spans="1:19">
      <c r="A1193" s="18" t="s">
        <v>1335</v>
      </c>
      <c r="B1193" s="1" t="s">
        <v>1338</v>
      </c>
      <c r="C1193" s="1" t="s">
        <v>1489</v>
      </c>
      <c r="D1193" s="1" t="s">
        <v>25</v>
      </c>
      <c r="E1193" s="1" t="s">
        <v>25</v>
      </c>
      <c r="F1193">
        <v>100.5</v>
      </c>
      <c r="G1193">
        <v>127.6</v>
      </c>
      <c r="H1193">
        <v>709.07</v>
      </c>
      <c r="I1193" s="1" t="s">
        <v>1490</v>
      </c>
      <c r="J1193" s="1" t="s">
        <v>1336</v>
      </c>
      <c r="K1193" s="11" t="s">
        <v>25</v>
      </c>
      <c r="L1193">
        <v>-0.83</v>
      </c>
      <c r="M1193" s="1" t="s">
        <v>23</v>
      </c>
      <c r="N1193" s="11" t="s">
        <v>230</v>
      </c>
      <c r="Q1193" s="37">
        <v>0.41</v>
      </c>
      <c r="R1193" s="11" t="s">
        <v>231</v>
      </c>
      <c r="S1193" s="13">
        <f t="shared" si="18"/>
        <v>-0.83</v>
      </c>
    </row>
    <row r="1194" spans="1:19">
      <c r="A1194" s="18" t="s">
        <v>1335</v>
      </c>
      <c r="B1194" s="1" t="s">
        <v>1339</v>
      </c>
      <c r="C1194" s="1" t="s">
        <v>1489</v>
      </c>
      <c r="D1194" s="1" t="s">
        <v>25</v>
      </c>
      <c r="E1194" s="1" t="s">
        <v>25</v>
      </c>
      <c r="F1194">
        <v>100.5</v>
      </c>
      <c r="G1194">
        <v>127.6</v>
      </c>
      <c r="H1194">
        <v>711.33</v>
      </c>
      <c r="I1194" s="1" t="s">
        <v>1490</v>
      </c>
      <c r="J1194" s="1" t="s">
        <v>1336</v>
      </c>
      <c r="K1194" s="11" t="s">
        <v>25</v>
      </c>
      <c r="L1194">
        <v>-1.1100000000000001</v>
      </c>
      <c r="M1194" s="1" t="s">
        <v>23</v>
      </c>
      <c r="N1194" s="11" t="s">
        <v>230</v>
      </c>
      <c r="Q1194" s="37">
        <v>0.36</v>
      </c>
      <c r="R1194" s="11" t="s">
        <v>231</v>
      </c>
      <c r="S1194" s="13">
        <f t="shared" si="18"/>
        <v>-1.1100000000000001</v>
      </c>
    </row>
    <row r="1195" spans="1:19">
      <c r="A1195" s="18" t="s">
        <v>1335</v>
      </c>
      <c r="B1195" s="1" t="s">
        <v>1340</v>
      </c>
      <c r="C1195" s="1" t="s">
        <v>1489</v>
      </c>
      <c r="D1195" s="1" t="s">
        <v>25</v>
      </c>
      <c r="E1195" s="1" t="s">
        <v>25</v>
      </c>
      <c r="F1195">
        <v>100.5</v>
      </c>
      <c r="G1195">
        <v>127.6</v>
      </c>
      <c r="H1195">
        <v>715.67</v>
      </c>
      <c r="I1195" s="1" t="s">
        <v>1490</v>
      </c>
      <c r="J1195" s="1" t="s">
        <v>1336</v>
      </c>
      <c r="K1195" s="11" t="s">
        <v>25</v>
      </c>
      <c r="L1195">
        <v>-0.89</v>
      </c>
      <c r="M1195" s="1" t="s">
        <v>23</v>
      </c>
      <c r="N1195" s="11" t="s">
        <v>230</v>
      </c>
      <c r="Q1195" s="37">
        <v>0.36</v>
      </c>
      <c r="R1195" s="11" t="s">
        <v>231</v>
      </c>
      <c r="S1195" s="13">
        <f t="shared" si="18"/>
        <v>-0.89</v>
      </c>
    </row>
    <row r="1196" spans="1:19">
      <c r="A1196" s="18" t="s">
        <v>1335</v>
      </c>
      <c r="B1196" s="1" t="s">
        <v>1341</v>
      </c>
      <c r="C1196" s="1" t="s">
        <v>1489</v>
      </c>
      <c r="D1196" s="1" t="s">
        <v>25</v>
      </c>
      <c r="E1196" s="1" t="s">
        <v>25</v>
      </c>
      <c r="F1196">
        <v>100.5</v>
      </c>
      <c r="G1196">
        <v>127.6</v>
      </c>
      <c r="H1196">
        <v>718.57</v>
      </c>
      <c r="I1196" s="1" t="s">
        <v>1490</v>
      </c>
      <c r="J1196" s="1" t="s">
        <v>1336</v>
      </c>
      <c r="K1196" s="11" t="s">
        <v>25</v>
      </c>
      <c r="L1196">
        <v>-1.2</v>
      </c>
      <c r="M1196" s="1" t="s">
        <v>23</v>
      </c>
      <c r="N1196" s="11" t="s">
        <v>230</v>
      </c>
      <c r="Q1196" s="37">
        <v>0.26</v>
      </c>
      <c r="R1196" s="11" t="s">
        <v>231</v>
      </c>
      <c r="S1196" s="13">
        <f t="shared" si="18"/>
        <v>-1.2</v>
      </c>
    </row>
    <row r="1197" spans="1:19">
      <c r="A1197" s="18" t="s">
        <v>1335</v>
      </c>
      <c r="B1197" s="1" t="s">
        <v>1342</v>
      </c>
      <c r="C1197" s="1" t="s">
        <v>1489</v>
      </c>
      <c r="D1197" s="1" t="s">
        <v>25</v>
      </c>
      <c r="E1197" s="1" t="s">
        <v>25</v>
      </c>
      <c r="F1197">
        <v>100.5</v>
      </c>
      <c r="G1197">
        <v>127.6</v>
      </c>
      <c r="H1197">
        <v>720.73</v>
      </c>
      <c r="I1197" s="1" t="s">
        <v>1490</v>
      </c>
      <c r="J1197" s="1" t="s">
        <v>1336</v>
      </c>
      <c r="K1197" s="11" t="s">
        <v>25</v>
      </c>
      <c r="L1197">
        <v>-1.07</v>
      </c>
      <c r="M1197" s="1" t="s">
        <v>23</v>
      </c>
      <c r="N1197" s="11" t="s">
        <v>230</v>
      </c>
      <c r="Q1197" s="37">
        <v>0.32</v>
      </c>
      <c r="R1197" s="11" t="s">
        <v>231</v>
      </c>
      <c r="S1197" s="13">
        <f t="shared" si="18"/>
        <v>-1.07</v>
      </c>
    </row>
    <row r="1198" spans="1:19">
      <c r="A1198" s="18" t="s">
        <v>1335</v>
      </c>
      <c r="B1198" s="1" t="s">
        <v>1017</v>
      </c>
      <c r="C1198" s="1" t="s">
        <v>1489</v>
      </c>
      <c r="D1198" s="1" t="s">
        <v>25</v>
      </c>
      <c r="E1198" s="1" t="s">
        <v>25</v>
      </c>
      <c r="F1198">
        <v>100.5</v>
      </c>
      <c r="G1198">
        <v>127.6</v>
      </c>
      <c r="H1198">
        <v>725.87</v>
      </c>
      <c r="I1198" s="1" t="s">
        <v>1490</v>
      </c>
      <c r="J1198" s="1" t="s">
        <v>1336</v>
      </c>
      <c r="K1198" s="11" t="s">
        <v>25</v>
      </c>
      <c r="L1198">
        <v>-0.94</v>
      </c>
      <c r="M1198" s="1" t="s">
        <v>23</v>
      </c>
      <c r="N1198" s="11" t="s">
        <v>230</v>
      </c>
      <c r="Q1198" s="37">
        <v>0.34</v>
      </c>
      <c r="R1198" s="11" t="s">
        <v>231</v>
      </c>
      <c r="S1198" s="13">
        <f t="shared" si="18"/>
        <v>-0.94</v>
      </c>
    </row>
    <row r="1199" spans="1:19">
      <c r="A1199" s="18" t="s">
        <v>1335</v>
      </c>
      <c r="B1199" s="1" t="s">
        <v>1343</v>
      </c>
      <c r="C1199" s="1" t="s">
        <v>1489</v>
      </c>
      <c r="D1199" s="1" t="s">
        <v>25</v>
      </c>
      <c r="E1199" s="1" t="s">
        <v>25</v>
      </c>
      <c r="F1199">
        <v>100.5</v>
      </c>
      <c r="G1199">
        <v>127.6</v>
      </c>
      <c r="H1199">
        <v>728.07</v>
      </c>
      <c r="I1199" s="1" t="s">
        <v>1490</v>
      </c>
      <c r="J1199" s="1" t="s">
        <v>1336</v>
      </c>
      <c r="K1199" s="11" t="s">
        <v>25</v>
      </c>
      <c r="L1199">
        <v>-0.89</v>
      </c>
      <c r="M1199" s="1" t="s">
        <v>23</v>
      </c>
      <c r="N1199" s="11" t="s">
        <v>230</v>
      </c>
      <c r="Q1199" s="37">
        <v>0.32</v>
      </c>
      <c r="R1199" s="11" t="s">
        <v>231</v>
      </c>
      <c r="S1199" s="13">
        <f t="shared" si="18"/>
        <v>-0.89</v>
      </c>
    </row>
    <row r="1200" spans="1:19">
      <c r="A1200" s="18" t="s">
        <v>1335</v>
      </c>
      <c r="B1200" s="1" t="s">
        <v>1344</v>
      </c>
      <c r="C1200" s="1" t="s">
        <v>1489</v>
      </c>
      <c r="D1200" s="1" t="s">
        <v>25</v>
      </c>
      <c r="E1200" s="1" t="s">
        <v>25</v>
      </c>
      <c r="F1200">
        <v>100.5</v>
      </c>
      <c r="G1200">
        <v>127.6</v>
      </c>
      <c r="H1200">
        <v>731.07</v>
      </c>
      <c r="I1200" s="1" t="s">
        <v>1490</v>
      </c>
      <c r="J1200" s="1" t="s">
        <v>1336</v>
      </c>
      <c r="K1200" s="11" t="s">
        <v>25</v>
      </c>
      <c r="L1200">
        <v>-0.93</v>
      </c>
      <c r="M1200" s="1" t="s">
        <v>23</v>
      </c>
      <c r="N1200" s="11" t="s">
        <v>230</v>
      </c>
      <c r="Q1200" s="37">
        <v>0.31</v>
      </c>
      <c r="R1200" s="11" t="s">
        <v>231</v>
      </c>
      <c r="S1200" s="13">
        <f t="shared" si="18"/>
        <v>-0.93</v>
      </c>
    </row>
    <row r="1201" spans="1:19">
      <c r="A1201" s="18" t="s">
        <v>1335</v>
      </c>
      <c r="B1201" s="1" t="s">
        <v>1345</v>
      </c>
      <c r="C1201" s="1" t="s">
        <v>1489</v>
      </c>
      <c r="D1201" s="1" t="s">
        <v>25</v>
      </c>
      <c r="E1201" s="1" t="s">
        <v>25</v>
      </c>
      <c r="F1201">
        <v>100.5</v>
      </c>
      <c r="G1201">
        <v>127.6</v>
      </c>
      <c r="H1201">
        <v>733.37</v>
      </c>
      <c r="I1201" s="1" t="s">
        <v>1490</v>
      </c>
      <c r="J1201" s="1" t="s">
        <v>1336</v>
      </c>
      <c r="K1201" s="11" t="s">
        <v>25</v>
      </c>
      <c r="L1201">
        <v>-0.86</v>
      </c>
      <c r="M1201" s="1" t="s">
        <v>23</v>
      </c>
      <c r="N1201" s="11" t="s">
        <v>230</v>
      </c>
      <c r="Q1201" s="37">
        <v>0.34</v>
      </c>
      <c r="R1201" s="11" t="s">
        <v>231</v>
      </c>
      <c r="S1201" s="13">
        <f t="shared" si="18"/>
        <v>-0.86</v>
      </c>
    </row>
    <row r="1202" spans="1:19">
      <c r="A1202" s="18" t="s">
        <v>1335</v>
      </c>
      <c r="B1202" s="1" t="s">
        <v>1346</v>
      </c>
      <c r="C1202" s="1" t="s">
        <v>1489</v>
      </c>
      <c r="D1202" s="1" t="s">
        <v>25</v>
      </c>
      <c r="E1202" s="1" t="s">
        <v>25</v>
      </c>
      <c r="F1202">
        <v>100.5</v>
      </c>
      <c r="G1202">
        <v>127.6</v>
      </c>
      <c r="H1202">
        <v>735.17</v>
      </c>
      <c r="I1202" s="1" t="s">
        <v>1490</v>
      </c>
      <c r="J1202" s="1" t="s">
        <v>1336</v>
      </c>
      <c r="K1202" s="11" t="s">
        <v>25</v>
      </c>
      <c r="L1202">
        <v>-1.05</v>
      </c>
      <c r="M1202" s="1" t="s">
        <v>23</v>
      </c>
      <c r="N1202" s="11" t="s">
        <v>230</v>
      </c>
      <c r="Q1202" s="37">
        <v>0.26</v>
      </c>
      <c r="R1202" s="11" t="s">
        <v>231</v>
      </c>
      <c r="S1202" s="13">
        <f t="shared" si="18"/>
        <v>-1.05</v>
      </c>
    </row>
    <row r="1203" spans="1:19">
      <c r="A1203" s="18" t="s">
        <v>1335</v>
      </c>
      <c r="B1203" s="1" t="s">
        <v>1018</v>
      </c>
      <c r="C1203" s="1" t="s">
        <v>1489</v>
      </c>
      <c r="D1203" s="1" t="s">
        <v>25</v>
      </c>
      <c r="E1203" s="1" t="s">
        <v>25</v>
      </c>
      <c r="F1203">
        <v>100.5</v>
      </c>
      <c r="G1203">
        <v>127.6</v>
      </c>
      <c r="H1203">
        <v>738.17</v>
      </c>
      <c r="I1203" s="1" t="s">
        <v>1490</v>
      </c>
      <c r="J1203" s="1" t="s">
        <v>1336</v>
      </c>
      <c r="K1203" s="11" t="s">
        <v>25</v>
      </c>
      <c r="L1203">
        <v>-0.89</v>
      </c>
      <c r="M1203" s="1" t="s">
        <v>23</v>
      </c>
      <c r="N1203" s="11" t="s">
        <v>230</v>
      </c>
      <c r="Q1203" s="37">
        <v>0.33</v>
      </c>
      <c r="R1203" s="11" t="s">
        <v>231</v>
      </c>
      <c r="S1203" s="13">
        <f t="shared" si="18"/>
        <v>-0.89</v>
      </c>
    </row>
    <row r="1204" spans="1:19">
      <c r="A1204" s="18" t="s">
        <v>1335</v>
      </c>
      <c r="B1204" s="1" t="s">
        <v>1347</v>
      </c>
      <c r="C1204" s="1" t="s">
        <v>1489</v>
      </c>
      <c r="D1204" s="1" t="s">
        <v>25</v>
      </c>
      <c r="E1204" s="1" t="s">
        <v>25</v>
      </c>
      <c r="F1204">
        <v>100.5</v>
      </c>
      <c r="G1204">
        <v>127.6</v>
      </c>
      <c r="H1204">
        <v>740.57</v>
      </c>
      <c r="I1204" s="1" t="s">
        <v>1490</v>
      </c>
      <c r="J1204" s="1" t="s">
        <v>1336</v>
      </c>
      <c r="K1204" s="11" t="s">
        <v>25</v>
      </c>
      <c r="L1204">
        <v>-0.7</v>
      </c>
      <c r="M1204" s="1" t="s">
        <v>23</v>
      </c>
      <c r="N1204" s="11" t="s">
        <v>230</v>
      </c>
      <c r="Q1204" s="37">
        <v>0.33</v>
      </c>
      <c r="R1204" s="11" t="s">
        <v>231</v>
      </c>
      <c r="S1204" s="13">
        <f t="shared" si="18"/>
        <v>-0.7</v>
      </c>
    </row>
    <row r="1205" spans="1:19">
      <c r="A1205" s="18" t="s">
        <v>1335</v>
      </c>
      <c r="B1205" s="1" t="s">
        <v>1348</v>
      </c>
      <c r="C1205" s="1" t="s">
        <v>1489</v>
      </c>
      <c r="D1205" s="1" t="s">
        <v>25</v>
      </c>
      <c r="E1205" s="1" t="s">
        <v>25</v>
      </c>
      <c r="F1205">
        <v>100.5</v>
      </c>
      <c r="G1205">
        <v>127.6</v>
      </c>
      <c r="H1205">
        <v>742.37</v>
      </c>
      <c r="I1205" s="1" t="s">
        <v>1490</v>
      </c>
      <c r="J1205" s="1" t="s">
        <v>1336</v>
      </c>
      <c r="K1205" s="11" t="s">
        <v>25</v>
      </c>
      <c r="L1205">
        <v>-1.01</v>
      </c>
      <c r="M1205" s="1" t="s">
        <v>23</v>
      </c>
      <c r="N1205" s="11" t="s">
        <v>230</v>
      </c>
      <c r="Q1205" s="37">
        <v>0.33</v>
      </c>
      <c r="R1205" s="11" t="s">
        <v>231</v>
      </c>
      <c r="S1205" s="13">
        <f t="shared" si="18"/>
        <v>-1.01</v>
      </c>
    </row>
    <row r="1206" spans="1:19">
      <c r="A1206" s="18" t="s">
        <v>1335</v>
      </c>
      <c r="B1206" s="1" t="s">
        <v>1349</v>
      </c>
      <c r="C1206" s="1" t="s">
        <v>1489</v>
      </c>
      <c r="D1206" s="1" t="s">
        <v>25</v>
      </c>
      <c r="E1206" s="1" t="s">
        <v>25</v>
      </c>
      <c r="F1206">
        <v>100.5</v>
      </c>
      <c r="G1206">
        <v>127.6</v>
      </c>
      <c r="H1206">
        <v>745.37</v>
      </c>
      <c r="I1206" s="1" t="s">
        <v>1490</v>
      </c>
      <c r="J1206" s="1" t="s">
        <v>1336</v>
      </c>
      <c r="K1206" s="11" t="s">
        <v>25</v>
      </c>
      <c r="L1206">
        <v>-1.03</v>
      </c>
      <c r="M1206" s="1" t="s">
        <v>23</v>
      </c>
      <c r="N1206" s="11" t="s">
        <v>230</v>
      </c>
      <c r="Q1206" s="37">
        <v>0.27</v>
      </c>
      <c r="R1206" s="11" t="s">
        <v>231</v>
      </c>
      <c r="S1206" s="13">
        <f t="shared" si="18"/>
        <v>-1.03</v>
      </c>
    </row>
    <row r="1207" spans="1:19">
      <c r="A1207" s="18" t="s">
        <v>1335</v>
      </c>
      <c r="B1207" s="1" t="s">
        <v>1019</v>
      </c>
      <c r="C1207" s="1" t="s">
        <v>1489</v>
      </c>
      <c r="D1207" s="1" t="s">
        <v>25</v>
      </c>
      <c r="E1207" s="1" t="s">
        <v>25</v>
      </c>
      <c r="F1207">
        <v>100.5</v>
      </c>
      <c r="G1207">
        <v>127.6</v>
      </c>
      <c r="H1207">
        <v>754.97</v>
      </c>
      <c r="I1207" s="1" t="s">
        <v>1490</v>
      </c>
      <c r="J1207" s="1" t="s">
        <v>1336</v>
      </c>
      <c r="K1207" s="11" t="s">
        <v>25</v>
      </c>
      <c r="L1207">
        <v>-1.08</v>
      </c>
      <c r="M1207" s="1" t="s">
        <v>23</v>
      </c>
      <c r="N1207" s="11" t="s">
        <v>230</v>
      </c>
      <c r="Q1207" s="37">
        <v>0.28000000000000003</v>
      </c>
      <c r="R1207" s="11" t="s">
        <v>231</v>
      </c>
      <c r="S1207" s="13">
        <f t="shared" si="18"/>
        <v>-1.08</v>
      </c>
    </row>
    <row r="1208" spans="1:19">
      <c r="A1208" s="18" t="s">
        <v>1335</v>
      </c>
      <c r="B1208" s="1" t="s">
        <v>1020</v>
      </c>
      <c r="C1208" s="1" t="s">
        <v>1489</v>
      </c>
      <c r="D1208" s="1" t="s">
        <v>25</v>
      </c>
      <c r="E1208" s="1" t="s">
        <v>25</v>
      </c>
      <c r="F1208">
        <v>100.5</v>
      </c>
      <c r="G1208">
        <v>127.6</v>
      </c>
      <c r="H1208">
        <v>763.97</v>
      </c>
      <c r="I1208" s="1" t="s">
        <v>1490</v>
      </c>
      <c r="J1208" s="1" t="s">
        <v>1336</v>
      </c>
      <c r="K1208" s="11" t="s">
        <v>25</v>
      </c>
      <c r="L1208">
        <v>-0.79</v>
      </c>
      <c r="M1208" s="1" t="s">
        <v>23</v>
      </c>
      <c r="N1208" s="11" t="s">
        <v>230</v>
      </c>
      <c r="Q1208" s="37">
        <v>0.31</v>
      </c>
      <c r="R1208" s="11" t="s">
        <v>231</v>
      </c>
      <c r="S1208" s="13">
        <f t="shared" si="18"/>
        <v>-0.79</v>
      </c>
    </row>
    <row r="1209" spans="1:19">
      <c r="A1209" s="18" t="s">
        <v>1335</v>
      </c>
      <c r="B1209" s="1" t="s">
        <v>1350</v>
      </c>
      <c r="C1209" s="1" t="s">
        <v>1489</v>
      </c>
      <c r="D1209" s="1" t="s">
        <v>25</v>
      </c>
      <c r="E1209" s="1" t="s">
        <v>25</v>
      </c>
      <c r="F1209">
        <v>100.5</v>
      </c>
      <c r="G1209">
        <v>127.6</v>
      </c>
      <c r="H1209">
        <v>766.37</v>
      </c>
      <c r="I1209" s="1" t="s">
        <v>1490</v>
      </c>
      <c r="J1209" s="1" t="s">
        <v>1336</v>
      </c>
      <c r="K1209" s="11" t="s">
        <v>25</v>
      </c>
      <c r="L1209">
        <v>-0.9</v>
      </c>
      <c r="M1209" s="1" t="s">
        <v>23</v>
      </c>
      <c r="N1209" s="11" t="s">
        <v>230</v>
      </c>
      <c r="Q1209" s="37">
        <v>0.28999999999999998</v>
      </c>
      <c r="R1209" s="11" t="s">
        <v>231</v>
      </c>
      <c r="S1209" s="13">
        <f t="shared" si="18"/>
        <v>-0.9</v>
      </c>
    </row>
    <row r="1210" spans="1:19">
      <c r="A1210" s="18" t="s">
        <v>1335</v>
      </c>
      <c r="B1210" s="1" t="s">
        <v>1351</v>
      </c>
      <c r="C1210" s="1" t="s">
        <v>1489</v>
      </c>
      <c r="D1210" s="1" t="s">
        <v>25</v>
      </c>
      <c r="E1210" s="1" t="s">
        <v>25</v>
      </c>
      <c r="F1210">
        <v>100.5</v>
      </c>
      <c r="G1210">
        <v>127.6</v>
      </c>
      <c r="H1210">
        <v>773.57</v>
      </c>
      <c r="I1210" s="1" t="s">
        <v>1490</v>
      </c>
      <c r="J1210" s="1" t="s">
        <v>1336</v>
      </c>
      <c r="K1210" s="11" t="s">
        <v>25</v>
      </c>
      <c r="L1210">
        <v>-1.36</v>
      </c>
      <c r="M1210" s="1" t="s">
        <v>23</v>
      </c>
      <c r="N1210" s="11" t="s">
        <v>230</v>
      </c>
      <c r="Q1210" s="37">
        <v>0.25</v>
      </c>
      <c r="R1210" s="11" t="s">
        <v>231</v>
      </c>
      <c r="S1210" s="13">
        <f t="shared" si="18"/>
        <v>-1.36</v>
      </c>
    </row>
    <row r="1211" spans="1:19">
      <c r="A1211" s="18" t="s">
        <v>1335</v>
      </c>
      <c r="B1211" s="1" t="s">
        <v>1352</v>
      </c>
      <c r="C1211" s="1" t="s">
        <v>1489</v>
      </c>
      <c r="D1211" s="1" t="s">
        <v>25</v>
      </c>
      <c r="E1211" s="1" t="s">
        <v>25</v>
      </c>
      <c r="F1211">
        <v>100.5</v>
      </c>
      <c r="G1211">
        <v>127.6</v>
      </c>
      <c r="H1211">
        <v>793.57</v>
      </c>
      <c r="I1211" s="1" t="s">
        <v>1490</v>
      </c>
      <c r="J1211" s="1" t="s">
        <v>1336</v>
      </c>
      <c r="K1211" s="11" t="s">
        <v>25</v>
      </c>
      <c r="L1211">
        <v>-0.84</v>
      </c>
      <c r="M1211" s="1" t="s">
        <v>23</v>
      </c>
      <c r="N1211" s="11" t="s">
        <v>230</v>
      </c>
      <c r="Q1211" s="37">
        <v>0.3</v>
      </c>
      <c r="R1211" s="11" t="s">
        <v>231</v>
      </c>
      <c r="S1211" s="13">
        <f t="shared" si="18"/>
        <v>-0.84</v>
      </c>
    </row>
    <row r="1212" spans="1:19">
      <c r="A1212" s="18" t="s">
        <v>1335</v>
      </c>
      <c r="B1212" s="1" t="s">
        <v>1353</v>
      </c>
      <c r="C1212" s="1" t="s">
        <v>1489</v>
      </c>
      <c r="D1212" s="1" t="s">
        <v>25</v>
      </c>
      <c r="E1212" s="1" t="s">
        <v>25</v>
      </c>
      <c r="F1212">
        <v>100.5</v>
      </c>
      <c r="G1212">
        <v>127.6</v>
      </c>
      <c r="H1212">
        <v>795.37</v>
      </c>
      <c r="I1212" s="1" t="s">
        <v>1490</v>
      </c>
      <c r="J1212" s="1" t="s">
        <v>1336</v>
      </c>
      <c r="K1212" s="11" t="s">
        <v>25</v>
      </c>
      <c r="L1212">
        <v>-0.64</v>
      </c>
      <c r="M1212" s="1" t="s">
        <v>23</v>
      </c>
      <c r="N1212" s="11" t="s">
        <v>230</v>
      </c>
      <c r="Q1212" s="37">
        <v>0.28000000000000003</v>
      </c>
      <c r="R1212" s="11" t="s">
        <v>231</v>
      </c>
      <c r="S1212" s="13">
        <f t="shared" si="18"/>
        <v>-0.64</v>
      </c>
    </row>
    <row r="1213" spans="1:19">
      <c r="A1213" s="18" t="s">
        <v>1335</v>
      </c>
      <c r="B1213" s="1" t="s">
        <v>1354</v>
      </c>
      <c r="C1213" s="1" t="s">
        <v>1489</v>
      </c>
      <c r="D1213" s="1" t="s">
        <v>25</v>
      </c>
      <c r="E1213" s="1" t="s">
        <v>25</v>
      </c>
      <c r="F1213">
        <v>100.5</v>
      </c>
      <c r="G1213">
        <v>127.6</v>
      </c>
      <c r="H1213">
        <v>797.67</v>
      </c>
      <c r="I1213" s="1" t="s">
        <v>1490</v>
      </c>
      <c r="J1213" s="1" t="s">
        <v>1336</v>
      </c>
      <c r="K1213" s="11" t="s">
        <v>25</v>
      </c>
      <c r="L1213">
        <v>-0.69</v>
      </c>
      <c r="M1213" s="1" t="s">
        <v>23</v>
      </c>
      <c r="N1213" s="11" t="s">
        <v>230</v>
      </c>
      <c r="Q1213" s="37">
        <v>0.3</v>
      </c>
      <c r="R1213" s="11" t="s">
        <v>231</v>
      </c>
      <c r="S1213" s="13">
        <f t="shared" si="18"/>
        <v>-0.69</v>
      </c>
    </row>
    <row r="1214" spans="1:19">
      <c r="A1214" s="18" t="s">
        <v>1335</v>
      </c>
      <c r="B1214" s="1" t="s">
        <v>1355</v>
      </c>
      <c r="C1214" s="1" t="s">
        <v>1489</v>
      </c>
      <c r="D1214" s="1" t="s">
        <v>25</v>
      </c>
      <c r="E1214" s="1" t="s">
        <v>25</v>
      </c>
      <c r="F1214">
        <v>100.5</v>
      </c>
      <c r="G1214">
        <v>127.6</v>
      </c>
      <c r="H1214">
        <v>802.57</v>
      </c>
      <c r="I1214" s="1" t="s">
        <v>1490</v>
      </c>
      <c r="J1214" s="1" t="s">
        <v>1336</v>
      </c>
      <c r="K1214" s="11" t="s">
        <v>25</v>
      </c>
      <c r="L1214">
        <v>-0.77</v>
      </c>
      <c r="M1214" s="1" t="s">
        <v>23</v>
      </c>
      <c r="N1214" s="11" t="s">
        <v>230</v>
      </c>
      <c r="Q1214" s="37">
        <v>0.28000000000000003</v>
      </c>
      <c r="R1214" s="11" t="s">
        <v>231</v>
      </c>
      <c r="S1214" s="13">
        <f t="shared" si="18"/>
        <v>-0.77</v>
      </c>
    </row>
    <row r="1215" spans="1:19">
      <c r="A1215" s="18" t="s">
        <v>1335</v>
      </c>
      <c r="B1215" s="1" t="s">
        <v>1356</v>
      </c>
      <c r="C1215" s="1" t="s">
        <v>1489</v>
      </c>
      <c r="D1215" s="1" t="s">
        <v>25</v>
      </c>
      <c r="E1215" s="1" t="s">
        <v>25</v>
      </c>
      <c r="F1215">
        <v>100.5</v>
      </c>
      <c r="G1215">
        <v>127.6</v>
      </c>
      <c r="H1215">
        <v>808.27</v>
      </c>
      <c r="I1215" s="1" t="s">
        <v>1490</v>
      </c>
      <c r="J1215" s="1" t="s">
        <v>1336</v>
      </c>
      <c r="K1215" s="11" t="s">
        <v>25</v>
      </c>
      <c r="L1215">
        <v>-0.82</v>
      </c>
      <c r="M1215" s="1" t="s">
        <v>23</v>
      </c>
      <c r="N1215" s="11" t="s">
        <v>230</v>
      </c>
      <c r="Q1215" s="37">
        <v>0.45</v>
      </c>
      <c r="R1215" s="11" t="s">
        <v>231</v>
      </c>
      <c r="S1215" s="13">
        <f t="shared" si="18"/>
        <v>-0.82</v>
      </c>
    </row>
    <row r="1216" spans="1:19">
      <c r="A1216" s="18" t="s">
        <v>1335</v>
      </c>
      <c r="B1216" s="1" t="s">
        <v>1357</v>
      </c>
      <c r="C1216" s="1" t="s">
        <v>1489</v>
      </c>
      <c r="D1216" s="1" t="s">
        <v>25</v>
      </c>
      <c r="E1216" s="1" t="s">
        <v>25</v>
      </c>
      <c r="F1216">
        <v>100.5</v>
      </c>
      <c r="G1216">
        <v>127.6</v>
      </c>
      <c r="H1216">
        <v>812.57</v>
      </c>
      <c r="I1216" s="1" t="s">
        <v>1490</v>
      </c>
      <c r="J1216" s="1" t="s">
        <v>1336</v>
      </c>
      <c r="K1216" s="11" t="s">
        <v>25</v>
      </c>
      <c r="L1216">
        <v>-0.71</v>
      </c>
      <c r="M1216" s="1" t="s">
        <v>23</v>
      </c>
      <c r="N1216" s="11" t="s">
        <v>230</v>
      </c>
      <c r="Q1216" s="37">
        <v>0.23</v>
      </c>
      <c r="R1216" s="11" t="s">
        <v>231</v>
      </c>
      <c r="S1216" s="13">
        <f t="shared" si="18"/>
        <v>-0.71</v>
      </c>
    </row>
    <row r="1217" spans="1:19">
      <c r="A1217" s="18" t="s">
        <v>1335</v>
      </c>
      <c r="B1217" s="1" t="s">
        <v>1358</v>
      </c>
      <c r="C1217" s="1" t="s">
        <v>1489</v>
      </c>
      <c r="D1217" s="1" t="s">
        <v>25</v>
      </c>
      <c r="E1217" s="1" t="s">
        <v>25</v>
      </c>
      <c r="F1217">
        <v>100.5</v>
      </c>
      <c r="G1217">
        <v>127.6</v>
      </c>
      <c r="H1217">
        <v>816.67</v>
      </c>
      <c r="I1217" s="1" t="s">
        <v>1490</v>
      </c>
      <c r="J1217" s="1" t="s">
        <v>1336</v>
      </c>
      <c r="K1217" s="11" t="s">
        <v>25</v>
      </c>
      <c r="L1217">
        <v>-1.22</v>
      </c>
      <c r="M1217" s="1" t="s">
        <v>23</v>
      </c>
      <c r="N1217" s="11" t="s">
        <v>230</v>
      </c>
      <c r="Q1217" s="37">
        <v>0.34</v>
      </c>
      <c r="R1217" s="11" t="s">
        <v>231</v>
      </c>
      <c r="S1217" s="13">
        <f t="shared" si="18"/>
        <v>-1.22</v>
      </c>
    </row>
    <row r="1218" spans="1:19">
      <c r="A1218" s="18" t="s">
        <v>1335</v>
      </c>
      <c r="B1218" s="1" t="s">
        <v>1359</v>
      </c>
      <c r="C1218" s="1" t="s">
        <v>1489</v>
      </c>
      <c r="D1218" s="1" t="s">
        <v>25</v>
      </c>
      <c r="E1218" s="1" t="s">
        <v>25</v>
      </c>
      <c r="F1218">
        <v>100.5</v>
      </c>
      <c r="G1218">
        <v>127.6</v>
      </c>
      <c r="H1218">
        <v>821.17</v>
      </c>
      <c r="I1218" s="1" t="s">
        <v>1490</v>
      </c>
      <c r="J1218" s="1" t="s">
        <v>1336</v>
      </c>
      <c r="K1218" s="11" t="s">
        <v>25</v>
      </c>
      <c r="L1218">
        <v>-1.28</v>
      </c>
      <c r="M1218" s="1" t="s">
        <v>23</v>
      </c>
      <c r="N1218" s="11" t="s">
        <v>230</v>
      </c>
      <c r="Q1218" s="37">
        <v>0.62</v>
      </c>
      <c r="R1218" s="11" t="s">
        <v>231</v>
      </c>
      <c r="S1218" s="13">
        <f t="shared" si="18"/>
        <v>-1.28</v>
      </c>
    </row>
    <row r="1219" spans="1:19">
      <c r="A1219" s="18" t="s">
        <v>1335</v>
      </c>
      <c r="B1219" s="1" t="s">
        <v>1360</v>
      </c>
      <c r="C1219" s="1" t="s">
        <v>1489</v>
      </c>
      <c r="D1219" s="1" t="s">
        <v>25</v>
      </c>
      <c r="E1219" s="1" t="s">
        <v>25</v>
      </c>
      <c r="F1219">
        <v>100.5</v>
      </c>
      <c r="G1219">
        <v>127.6</v>
      </c>
      <c r="H1219">
        <v>822.27</v>
      </c>
      <c r="I1219" s="1" t="s">
        <v>1490</v>
      </c>
      <c r="J1219" s="1" t="s">
        <v>1336</v>
      </c>
      <c r="K1219" s="11" t="s">
        <v>25</v>
      </c>
      <c r="L1219" t="s">
        <v>25</v>
      </c>
      <c r="M1219" s="1" t="s">
        <v>23</v>
      </c>
      <c r="N1219" s="11" t="s">
        <v>230</v>
      </c>
      <c r="Q1219" s="37">
        <v>0.6</v>
      </c>
      <c r="R1219" s="11" t="s">
        <v>231</v>
      </c>
      <c r="S1219" s="13" t="str">
        <f t="shared" ref="S1219:S1282" si="19">IF(NOT(N1219="SW"),L1219-1.88,L1219)</f>
        <v>Na</v>
      </c>
    </row>
    <row r="1220" spans="1:19">
      <c r="A1220" s="18" t="s">
        <v>1335</v>
      </c>
      <c r="B1220" s="1" t="s">
        <v>1361</v>
      </c>
      <c r="C1220" s="1" t="s">
        <v>1489</v>
      </c>
      <c r="D1220" s="1" t="s">
        <v>25</v>
      </c>
      <c r="E1220" s="1" t="s">
        <v>25</v>
      </c>
      <c r="F1220">
        <v>100.5</v>
      </c>
      <c r="G1220">
        <v>127.6</v>
      </c>
      <c r="H1220">
        <v>822.77</v>
      </c>
      <c r="I1220" s="1" t="s">
        <v>1490</v>
      </c>
      <c r="J1220" s="1" t="s">
        <v>1336</v>
      </c>
      <c r="K1220" s="11" t="s">
        <v>25</v>
      </c>
      <c r="L1220">
        <v>-0.97</v>
      </c>
      <c r="M1220" s="1" t="s">
        <v>23</v>
      </c>
      <c r="N1220" s="11" t="s">
        <v>230</v>
      </c>
      <c r="Q1220" s="37">
        <v>0.36</v>
      </c>
      <c r="R1220" s="11" t="s">
        <v>231</v>
      </c>
      <c r="S1220" s="13">
        <f t="shared" si="19"/>
        <v>-0.97</v>
      </c>
    </row>
    <row r="1221" spans="1:19">
      <c r="A1221" s="18" t="s">
        <v>1335</v>
      </c>
      <c r="B1221" s="1" t="s">
        <v>1362</v>
      </c>
      <c r="C1221" s="1" t="s">
        <v>1489</v>
      </c>
      <c r="D1221" s="1" t="s">
        <v>25</v>
      </c>
      <c r="E1221" s="1" t="s">
        <v>25</v>
      </c>
      <c r="F1221">
        <v>100.5</v>
      </c>
      <c r="G1221">
        <v>127.6</v>
      </c>
      <c r="H1221">
        <v>823.17</v>
      </c>
      <c r="I1221" s="1" t="s">
        <v>1490</v>
      </c>
      <c r="J1221" s="1" t="s">
        <v>1336</v>
      </c>
      <c r="K1221" s="11" t="s">
        <v>25</v>
      </c>
      <c r="L1221" t="s">
        <v>25</v>
      </c>
      <c r="M1221" s="1" t="s">
        <v>23</v>
      </c>
      <c r="N1221" s="11" t="s">
        <v>230</v>
      </c>
      <c r="Q1221" s="37">
        <v>0.67</v>
      </c>
      <c r="R1221" s="11" t="s">
        <v>231</v>
      </c>
      <c r="S1221" s="13" t="str">
        <f t="shared" si="19"/>
        <v>Na</v>
      </c>
    </row>
    <row r="1222" spans="1:19">
      <c r="A1222" s="18" t="s">
        <v>1335</v>
      </c>
      <c r="B1222" s="1" t="s">
        <v>1363</v>
      </c>
      <c r="C1222" s="1" t="s">
        <v>1489</v>
      </c>
      <c r="D1222" s="1" t="s">
        <v>25</v>
      </c>
      <c r="E1222" s="1" t="s">
        <v>25</v>
      </c>
      <c r="F1222">
        <v>100.5</v>
      </c>
      <c r="G1222">
        <v>127.6</v>
      </c>
      <c r="H1222">
        <v>824.27</v>
      </c>
      <c r="I1222" s="1" t="s">
        <v>1490</v>
      </c>
      <c r="J1222" s="1" t="s">
        <v>1336</v>
      </c>
      <c r="K1222" s="11" t="s">
        <v>25</v>
      </c>
      <c r="L1222">
        <v>-0.96</v>
      </c>
      <c r="M1222" s="1" t="s">
        <v>23</v>
      </c>
      <c r="N1222" s="11" t="s">
        <v>230</v>
      </c>
      <c r="Q1222" s="37">
        <v>0.34</v>
      </c>
      <c r="R1222" s="11" t="s">
        <v>231</v>
      </c>
      <c r="S1222" s="13">
        <f t="shared" si="19"/>
        <v>-0.96</v>
      </c>
    </row>
    <row r="1223" spans="1:19">
      <c r="A1223" s="18" t="s">
        <v>1335</v>
      </c>
      <c r="B1223" s="1" t="s">
        <v>1364</v>
      </c>
      <c r="C1223" s="1" t="s">
        <v>1489</v>
      </c>
      <c r="D1223" s="1" t="s">
        <v>25</v>
      </c>
      <c r="E1223" s="1" t="s">
        <v>25</v>
      </c>
      <c r="F1223">
        <v>100.5</v>
      </c>
      <c r="G1223">
        <v>127.6</v>
      </c>
      <c r="H1223">
        <v>824.97</v>
      </c>
      <c r="I1223" s="1" t="s">
        <v>1490</v>
      </c>
      <c r="J1223" s="1" t="s">
        <v>1336</v>
      </c>
      <c r="K1223" s="11" t="s">
        <v>25</v>
      </c>
      <c r="L1223">
        <v>-1.1200000000000001</v>
      </c>
      <c r="M1223" s="1" t="s">
        <v>23</v>
      </c>
      <c r="N1223" s="11" t="s">
        <v>230</v>
      </c>
      <c r="Q1223" s="37">
        <v>0.53</v>
      </c>
      <c r="R1223" s="11" t="s">
        <v>231</v>
      </c>
      <c r="S1223" s="13">
        <f t="shared" si="19"/>
        <v>-1.1200000000000001</v>
      </c>
    </row>
    <row r="1224" spans="1:19">
      <c r="A1224" s="18" t="s">
        <v>1335</v>
      </c>
      <c r="B1224" s="1" t="s">
        <v>1365</v>
      </c>
      <c r="C1224" s="1" t="s">
        <v>1489</v>
      </c>
      <c r="D1224" s="1" t="s">
        <v>25</v>
      </c>
      <c r="E1224" s="1" t="s">
        <v>25</v>
      </c>
      <c r="F1224">
        <v>100.5</v>
      </c>
      <c r="G1224">
        <v>127.6</v>
      </c>
      <c r="H1224">
        <v>825.87</v>
      </c>
      <c r="I1224" s="1" t="s">
        <v>1490</v>
      </c>
      <c r="J1224" s="1" t="s">
        <v>1336</v>
      </c>
      <c r="K1224" s="11" t="s">
        <v>25</v>
      </c>
      <c r="L1224">
        <v>-0.89</v>
      </c>
      <c r="M1224" s="1" t="s">
        <v>23</v>
      </c>
      <c r="N1224" s="11" t="s">
        <v>230</v>
      </c>
      <c r="Q1224" s="37">
        <v>0.26</v>
      </c>
      <c r="R1224" s="11" t="s">
        <v>231</v>
      </c>
      <c r="S1224" s="13">
        <f t="shared" si="19"/>
        <v>-0.89</v>
      </c>
    </row>
    <row r="1225" spans="1:19">
      <c r="A1225" s="18" t="s">
        <v>1335</v>
      </c>
      <c r="B1225" s="1" t="s">
        <v>1366</v>
      </c>
      <c r="C1225" s="1" t="s">
        <v>1489</v>
      </c>
      <c r="D1225" s="1" t="s">
        <v>25</v>
      </c>
      <c r="E1225" s="1" t="s">
        <v>25</v>
      </c>
      <c r="F1225">
        <v>100.5</v>
      </c>
      <c r="G1225">
        <v>127.6</v>
      </c>
      <c r="H1225">
        <v>826.67</v>
      </c>
      <c r="I1225" s="1" t="s">
        <v>1490</v>
      </c>
      <c r="J1225" s="1" t="s">
        <v>1336</v>
      </c>
      <c r="K1225" s="11" t="s">
        <v>25</v>
      </c>
      <c r="L1225" t="s">
        <v>25</v>
      </c>
      <c r="M1225" s="1" t="s">
        <v>23</v>
      </c>
      <c r="N1225" s="11" t="s">
        <v>230</v>
      </c>
      <c r="Q1225" s="37">
        <v>0.36</v>
      </c>
      <c r="R1225" s="11" t="s">
        <v>231</v>
      </c>
      <c r="S1225" s="13" t="str">
        <f t="shared" si="19"/>
        <v>Na</v>
      </c>
    </row>
    <row r="1226" spans="1:19">
      <c r="A1226" s="18" t="s">
        <v>1335</v>
      </c>
      <c r="B1226" s="1" t="s">
        <v>1367</v>
      </c>
      <c r="C1226" s="1" t="s">
        <v>1489</v>
      </c>
      <c r="D1226" s="1" t="s">
        <v>25</v>
      </c>
      <c r="E1226" s="1" t="s">
        <v>25</v>
      </c>
      <c r="F1226">
        <v>100.5</v>
      </c>
      <c r="G1226">
        <v>127.6</v>
      </c>
      <c r="H1226">
        <v>828.77</v>
      </c>
      <c r="I1226" s="1" t="s">
        <v>1490</v>
      </c>
      <c r="J1226" s="1" t="s">
        <v>1336</v>
      </c>
      <c r="K1226" s="11" t="s">
        <v>25</v>
      </c>
      <c r="L1226">
        <v>-0.94</v>
      </c>
      <c r="M1226" s="1" t="s">
        <v>23</v>
      </c>
      <c r="N1226" s="11" t="s">
        <v>230</v>
      </c>
      <c r="Q1226" s="37">
        <v>0.24</v>
      </c>
      <c r="R1226" s="11" t="s">
        <v>231</v>
      </c>
      <c r="S1226" s="13">
        <f t="shared" si="19"/>
        <v>-0.94</v>
      </c>
    </row>
    <row r="1227" spans="1:19">
      <c r="A1227" s="18" t="s">
        <v>1335</v>
      </c>
      <c r="B1227" s="1" t="s">
        <v>1368</v>
      </c>
      <c r="C1227" s="1" t="s">
        <v>1489</v>
      </c>
      <c r="D1227" s="1" t="s">
        <v>25</v>
      </c>
      <c r="E1227" s="1" t="s">
        <v>25</v>
      </c>
      <c r="F1227">
        <v>100.5</v>
      </c>
      <c r="G1227">
        <v>127.6</v>
      </c>
      <c r="H1227">
        <v>828.97</v>
      </c>
      <c r="I1227" s="1" t="s">
        <v>1490</v>
      </c>
      <c r="J1227" s="1" t="s">
        <v>1336</v>
      </c>
      <c r="K1227" s="11" t="s">
        <v>25</v>
      </c>
      <c r="L1227">
        <v>-0.84</v>
      </c>
      <c r="M1227" s="1" t="s">
        <v>23</v>
      </c>
      <c r="N1227" s="11" t="s">
        <v>230</v>
      </c>
      <c r="Q1227" s="37">
        <v>0.26</v>
      </c>
      <c r="R1227" s="11" t="s">
        <v>231</v>
      </c>
      <c r="S1227" s="13">
        <f t="shared" si="19"/>
        <v>-0.84</v>
      </c>
    </row>
    <row r="1228" spans="1:19">
      <c r="A1228" s="18" t="s">
        <v>1335</v>
      </c>
      <c r="B1228" s="1" t="s">
        <v>1369</v>
      </c>
      <c r="C1228" s="1" t="s">
        <v>1489</v>
      </c>
      <c r="D1228" s="1" t="s">
        <v>25</v>
      </c>
      <c r="E1228" s="1" t="s">
        <v>25</v>
      </c>
      <c r="F1228">
        <v>100.5</v>
      </c>
      <c r="G1228">
        <v>127.6</v>
      </c>
      <c r="H1228">
        <v>829.57</v>
      </c>
      <c r="I1228" s="1" t="s">
        <v>1490</v>
      </c>
      <c r="J1228" s="1" t="s">
        <v>1336</v>
      </c>
      <c r="K1228" s="11" t="s">
        <v>25</v>
      </c>
      <c r="L1228" t="s">
        <v>25</v>
      </c>
      <c r="M1228" t="s">
        <v>25</v>
      </c>
      <c r="N1228" t="s">
        <v>230</v>
      </c>
      <c r="Q1228" s="37">
        <v>0.24</v>
      </c>
      <c r="R1228" s="11" t="s">
        <v>231</v>
      </c>
      <c r="S1228" s="13" t="str">
        <f t="shared" si="19"/>
        <v>Na</v>
      </c>
    </row>
    <row r="1229" spans="1:19">
      <c r="A1229" s="18" t="s">
        <v>1335</v>
      </c>
      <c r="B1229" s="1" t="s">
        <v>1370</v>
      </c>
      <c r="C1229" s="1" t="s">
        <v>1489</v>
      </c>
      <c r="D1229" s="1" t="s">
        <v>25</v>
      </c>
      <c r="E1229" s="1" t="s">
        <v>25</v>
      </c>
      <c r="F1229">
        <v>100.5</v>
      </c>
      <c r="G1229">
        <v>127.6</v>
      </c>
      <c r="H1229">
        <v>831.07</v>
      </c>
      <c r="I1229" s="1" t="s">
        <v>1490</v>
      </c>
      <c r="J1229" s="1" t="s">
        <v>1336</v>
      </c>
      <c r="K1229" s="11" t="s">
        <v>25</v>
      </c>
      <c r="L1229" t="s">
        <v>25</v>
      </c>
      <c r="M1229" s="1" t="s">
        <v>23</v>
      </c>
      <c r="N1229" s="11" t="s">
        <v>230</v>
      </c>
      <c r="Q1229" s="37">
        <v>0.37</v>
      </c>
      <c r="R1229" s="11" t="s">
        <v>231</v>
      </c>
      <c r="S1229" s="13" t="str">
        <f t="shared" si="19"/>
        <v>Na</v>
      </c>
    </row>
    <row r="1230" spans="1:19">
      <c r="A1230" s="18" t="s">
        <v>1335</v>
      </c>
      <c r="B1230" s="1" t="s">
        <v>1371</v>
      </c>
      <c r="C1230" s="1" t="s">
        <v>1489</v>
      </c>
      <c r="D1230" s="1" t="s">
        <v>25</v>
      </c>
      <c r="E1230" s="1" t="s">
        <v>25</v>
      </c>
      <c r="F1230">
        <v>100.5</v>
      </c>
      <c r="G1230">
        <v>127.6</v>
      </c>
      <c r="H1230">
        <v>831.97</v>
      </c>
      <c r="I1230" s="1" t="s">
        <v>1490</v>
      </c>
      <c r="J1230" s="1" t="s">
        <v>1336</v>
      </c>
      <c r="K1230" s="11" t="s">
        <v>25</v>
      </c>
      <c r="L1230" t="s">
        <v>25</v>
      </c>
      <c r="M1230" s="1" t="s">
        <v>23</v>
      </c>
      <c r="N1230" s="11" t="s">
        <v>230</v>
      </c>
      <c r="Q1230" s="37">
        <v>0.35</v>
      </c>
      <c r="R1230" s="11" t="s">
        <v>231</v>
      </c>
      <c r="S1230" s="13" t="str">
        <f t="shared" si="19"/>
        <v>Na</v>
      </c>
    </row>
    <row r="1231" spans="1:19">
      <c r="A1231" s="18" t="s">
        <v>1335</v>
      </c>
      <c r="B1231" s="1" t="s">
        <v>1372</v>
      </c>
      <c r="C1231" s="1" t="s">
        <v>1489</v>
      </c>
      <c r="D1231" s="1" t="s">
        <v>25</v>
      </c>
      <c r="E1231" s="1" t="s">
        <v>25</v>
      </c>
      <c r="F1231">
        <v>100.5</v>
      </c>
      <c r="G1231">
        <v>127.6</v>
      </c>
      <c r="H1231">
        <v>832.03</v>
      </c>
      <c r="I1231" s="1" t="s">
        <v>1490</v>
      </c>
      <c r="J1231" s="1" t="s">
        <v>1336</v>
      </c>
      <c r="K1231" s="11" t="s">
        <v>25</v>
      </c>
      <c r="L1231" t="s">
        <v>25</v>
      </c>
      <c r="M1231" s="1" t="s">
        <v>23</v>
      </c>
      <c r="N1231" s="11" t="s">
        <v>230</v>
      </c>
      <c r="Q1231" s="37">
        <v>0.36</v>
      </c>
      <c r="R1231" s="11" t="s">
        <v>231</v>
      </c>
      <c r="S1231" s="13" t="str">
        <f t="shared" si="19"/>
        <v>Na</v>
      </c>
    </row>
    <row r="1232" spans="1:19">
      <c r="A1232" s="18" t="s">
        <v>1335</v>
      </c>
      <c r="B1232" s="1" t="s">
        <v>1373</v>
      </c>
      <c r="C1232" s="1" t="s">
        <v>1489</v>
      </c>
      <c r="D1232" s="1" t="s">
        <v>25</v>
      </c>
      <c r="E1232" s="1" t="s">
        <v>25</v>
      </c>
      <c r="F1232">
        <v>100.5</v>
      </c>
      <c r="G1232">
        <v>127.6</v>
      </c>
      <c r="H1232">
        <v>832.77</v>
      </c>
      <c r="I1232" s="1" t="s">
        <v>1490</v>
      </c>
      <c r="J1232" s="1" t="s">
        <v>1336</v>
      </c>
      <c r="K1232" s="11" t="s">
        <v>25</v>
      </c>
      <c r="L1232" t="s">
        <v>25</v>
      </c>
      <c r="M1232" s="1" t="s">
        <v>23</v>
      </c>
      <c r="N1232" s="11" t="s">
        <v>230</v>
      </c>
      <c r="Q1232" s="37">
        <v>0.35</v>
      </c>
      <c r="R1232" s="11" t="s">
        <v>231</v>
      </c>
      <c r="S1232" s="13" t="str">
        <f t="shared" si="19"/>
        <v>Na</v>
      </c>
    </row>
    <row r="1233" spans="1:19">
      <c r="A1233" s="18" t="s">
        <v>1335</v>
      </c>
      <c r="B1233" s="1" t="s">
        <v>1374</v>
      </c>
      <c r="C1233" s="1" t="s">
        <v>1489</v>
      </c>
      <c r="D1233" s="1" t="s">
        <v>25</v>
      </c>
      <c r="E1233" s="1" t="s">
        <v>25</v>
      </c>
      <c r="F1233">
        <v>100.5</v>
      </c>
      <c r="G1233">
        <v>127.6</v>
      </c>
      <c r="H1233">
        <v>834.27</v>
      </c>
      <c r="I1233" s="1" t="s">
        <v>1490</v>
      </c>
      <c r="J1233" s="1" t="s">
        <v>1336</v>
      </c>
      <c r="K1233" s="11" t="s">
        <v>25</v>
      </c>
      <c r="L1233" t="s">
        <v>25</v>
      </c>
      <c r="M1233" s="1" t="s">
        <v>23</v>
      </c>
      <c r="N1233" s="11" t="s">
        <v>230</v>
      </c>
      <c r="Q1233" s="37">
        <v>0.3</v>
      </c>
      <c r="R1233" s="11" t="s">
        <v>231</v>
      </c>
      <c r="S1233" s="13" t="str">
        <f t="shared" si="19"/>
        <v>Na</v>
      </c>
    </row>
    <row r="1234" spans="1:19">
      <c r="A1234" s="18" t="s">
        <v>1335</v>
      </c>
      <c r="B1234" s="1" t="s">
        <v>1375</v>
      </c>
      <c r="C1234" s="1" t="s">
        <v>1489</v>
      </c>
      <c r="D1234" s="1" t="s">
        <v>25</v>
      </c>
      <c r="E1234" s="1" t="s">
        <v>25</v>
      </c>
      <c r="F1234">
        <v>100.5</v>
      </c>
      <c r="G1234">
        <v>127.6</v>
      </c>
      <c r="H1234">
        <v>850.67</v>
      </c>
      <c r="I1234" s="1" t="s">
        <v>1490</v>
      </c>
      <c r="J1234" s="1" t="s">
        <v>1336</v>
      </c>
      <c r="K1234" s="11" t="s">
        <v>25</v>
      </c>
      <c r="L1234">
        <v>-1.05</v>
      </c>
      <c r="M1234" s="1" t="s">
        <v>23</v>
      </c>
      <c r="N1234" s="11" t="s">
        <v>230</v>
      </c>
      <c r="Q1234" s="37">
        <v>0.48</v>
      </c>
      <c r="R1234" s="11" t="s">
        <v>231</v>
      </c>
      <c r="S1234" s="13">
        <f t="shared" si="19"/>
        <v>-1.05</v>
      </c>
    </row>
    <row r="1235" spans="1:19">
      <c r="A1235" s="18" t="s">
        <v>1335</v>
      </c>
      <c r="B1235" s="1" t="s">
        <v>1376</v>
      </c>
      <c r="C1235" s="1" t="s">
        <v>1489</v>
      </c>
      <c r="D1235" s="1" t="s">
        <v>25</v>
      </c>
      <c r="E1235" s="1" t="s">
        <v>25</v>
      </c>
      <c r="F1235">
        <v>100.5</v>
      </c>
      <c r="G1235">
        <v>127.6</v>
      </c>
      <c r="H1235">
        <v>879.47</v>
      </c>
      <c r="I1235" s="1" t="s">
        <v>1490</v>
      </c>
      <c r="J1235" s="1" t="s">
        <v>1336</v>
      </c>
      <c r="K1235" s="11" t="s">
        <v>25</v>
      </c>
      <c r="L1235">
        <v>-1.01</v>
      </c>
      <c r="M1235" s="1" t="s">
        <v>23</v>
      </c>
      <c r="N1235" s="11" t="s">
        <v>230</v>
      </c>
      <c r="Q1235" s="37">
        <v>0.34</v>
      </c>
      <c r="R1235" s="11" t="s">
        <v>231</v>
      </c>
      <c r="S1235" s="13">
        <f t="shared" si="19"/>
        <v>-1.01</v>
      </c>
    </row>
    <row r="1236" spans="1:19">
      <c r="A1236" s="18" t="s">
        <v>1335</v>
      </c>
      <c r="B1236" s="1" t="s">
        <v>1377</v>
      </c>
      <c r="C1236" s="1" t="s">
        <v>1489</v>
      </c>
      <c r="D1236" s="1" t="s">
        <v>25</v>
      </c>
      <c r="E1236" s="1" t="s">
        <v>25</v>
      </c>
      <c r="F1236">
        <v>100.5</v>
      </c>
      <c r="G1236">
        <v>127.6</v>
      </c>
      <c r="H1236">
        <v>918.07</v>
      </c>
      <c r="I1236" s="1" t="s">
        <v>1490</v>
      </c>
      <c r="J1236" s="1" t="s">
        <v>1336</v>
      </c>
      <c r="K1236" s="11" t="s">
        <v>25</v>
      </c>
      <c r="L1236">
        <v>-0.83</v>
      </c>
      <c r="M1236" s="1" t="s">
        <v>23</v>
      </c>
      <c r="N1236" s="11" t="s">
        <v>230</v>
      </c>
      <c r="Q1236" s="37">
        <v>0.3</v>
      </c>
      <c r="R1236" s="11" t="s">
        <v>231</v>
      </c>
      <c r="S1236" s="13">
        <f t="shared" si="19"/>
        <v>-0.83</v>
      </c>
    </row>
    <row r="1237" spans="1:19">
      <c r="A1237" s="18" t="s">
        <v>1335</v>
      </c>
      <c r="B1237" s="1" t="s">
        <v>1378</v>
      </c>
      <c r="C1237" s="1" t="s">
        <v>1489</v>
      </c>
      <c r="D1237" s="1" t="s">
        <v>25</v>
      </c>
      <c r="E1237" s="1" t="s">
        <v>25</v>
      </c>
      <c r="F1237">
        <v>100.5</v>
      </c>
      <c r="G1237">
        <v>127.6</v>
      </c>
      <c r="H1237">
        <v>954.57</v>
      </c>
      <c r="I1237" s="1" t="s">
        <v>1490</v>
      </c>
      <c r="J1237" s="1" t="s">
        <v>1336</v>
      </c>
      <c r="K1237" s="11" t="s">
        <v>25</v>
      </c>
      <c r="L1237">
        <v>-1.08</v>
      </c>
      <c r="M1237" s="1" t="s">
        <v>23</v>
      </c>
      <c r="N1237" s="11" t="s">
        <v>230</v>
      </c>
      <c r="Q1237" s="37">
        <v>0.32</v>
      </c>
      <c r="R1237" s="11" t="s">
        <v>231</v>
      </c>
      <c r="S1237" s="13">
        <f t="shared" si="19"/>
        <v>-1.08</v>
      </c>
    </row>
    <row r="1238" spans="1:19">
      <c r="A1238" s="18" t="s">
        <v>1335</v>
      </c>
      <c r="B1238" s="1" t="s">
        <v>1379</v>
      </c>
      <c r="C1238" s="1" t="s">
        <v>1489</v>
      </c>
      <c r="D1238" s="1" t="s">
        <v>25</v>
      </c>
      <c r="E1238" s="1" t="s">
        <v>25</v>
      </c>
      <c r="F1238">
        <v>100.5</v>
      </c>
      <c r="G1238">
        <v>127.6</v>
      </c>
      <c r="H1238">
        <v>957.17</v>
      </c>
      <c r="I1238" s="1" t="s">
        <v>1490</v>
      </c>
      <c r="J1238" s="1" t="s">
        <v>1336</v>
      </c>
      <c r="K1238" s="11" t="s">
        <v>25</v>
      </c>
      <c r="L1238">
        <v>-1.1000000000000001</v>
      </c>
      <c r="M1238" s="1" t="s">
        <v>23</v>
      </c>
      <c r="N1238" s="11" t="s">
        <v>230</v>
      </c>
      <c r="Q1238" s="37">
        <v>0.42</v>
      </c>
      <c r="R1238" s="11" t="s">
        <v>231</v>
      </c>
      <c r="S1238" s="13">
        <f t="shared" si="19"/>
        <v>-1.1000000000000001</v>
      </c>
    </row>
    <row r="1239" spans="1:19">
      <c r="A1239" s="18" t="s">
        <v>1335</v>
      </c>
      <c r="B1239" s="1" t="s">
        <v>1380</v>
      </c>
      <c r="C1239" s="1" t="s">
        <v>1489</v>
      </c>
      <c r="D1239" s="1" t="s">
        <v>25</v>
      </c>
      <c r="E1239" s="1" t="s">
        <v>25</v>
      </c>
      <c r="F1239">
        <v>100.5</v>
      </c>
      <c r="G1239">
        <v>127.6</v>
      </c>
      <c r="H1239">
        <v>973.07</v>
      </c>
      <c r="I1239" s="1" t="s">
        <v>1490</v>
      </c>
      <c r="J1239" s="1" t="s">
        <v>1336</v>
      </c>
      <c r="K1239" s="11" t="s">
        <v>25</v>
      </c>
      <c r="L1239">
        <v>-0.98</v>
      </c>
      <c r="M1239" s="1" t="s">
        <v>23</v>
      </c>
      <c r="N1239" s="11" t="s">
        <v>230</v>
      </c>
      <c r="Q1239" s="37">
        <v>0.26</v>
      </c>
      <c r="R1239" s="11" t="s">
        <v>231</v>
      </c>
      <c r="S1239" s="13">
        <f t="shared" si="19"/>
        <v>-0.98</v>
      </c>
    </row>
    <row r="1240" spans="1:19">
      <c r="A1240" s="18" t="s">
        <v>1335</v>
      </c>
      <c r="B1240" s="1" t="s">
        <v>1381</v>
      </c>
      <c r="C1240" s="1" t="s">
        <v>1489</v>
      </c>
      <c r="D1240" s="1" t="s">
        <v>25</v>
      </c>
      <c r="E1240" s="1" t="s">
        <v>25</v>
      </c>
      <c r="F1240">
        <v>100.5</v>
      </c>
      <c r="G1240">
        <v>127.6</v>
      </c>
      <c r="H1240">
        <v>992.27</v>
      </c>
      <c r="I1240" s="1" t="s">
        <v>1490</v>
      </c>
      <c r="J1240" s="1" t="s">
        <v>1336</v>
      </c>
      <c r="K1240" s="11" t="s">
        <v>25</v>
      </c>
      <c r="L1240">
        <v>-0.79</v>
      </c>
      <c r="M1240" s="1" t="s">
        <v>23</v>
      </c>
      <c r="N1240" s="11" t="s">
        <v>230</v>
      </c>
      <c r="Q1240" s="37">
        <v>0.31</v>
      </c>
      <c r="R1240" s="11" t="s">
        <v>231</v>
      </c>
      <c r="S1240" s="13">
        <f t="shared" si="19"/>
        <v>-0.79</v>
      </c>
    </row>
    <row r="1241" spans="1:19">
      <c r="A1241" s="18" t="s">
        <v>1335</v>
      </c>
      <c r="B1241" s="1" t="s">
        <v>1382</v>
      </c>
      <c r="C1241" s="1" t="s">
        <v>1489</v>
      </c>
      <c r="D1241" s="1" t="s">
        <v>25</v>
      </c>
      <c r="E1241" s="1" t="s">
        <v>25</v>
      </c>
      <c r="F1241">
        <v>100.5</v>
      </c>
      <c r="G1241">
        <v>127.6</v>
      </c>
      <c r="H1241">
        <v>1021.27</v>
      </c>
      <c r="I1241" s="1" t="s">
        <v>1490</v>
      </c>
      <c r="J1241" s="1" t="s">
        <v>1336</v>
      </c>
      <c r="K1241" s="11" t="s">
        <v>25</v>
      </c>
      <c r="L1241">
        <v>-0.93</v>
      </c>
      <c r="M1241" s="1" t="s">
        <v>23</v>
      </c>
      <c r="N1241" s="11" t="s">
        <v>230</v>
      </c>
      <c r="Q1241" s="37">
        <v>0.2</v>
      </c>
      <c r="R1241" s="11" t="s">
        <v>231</v>
      </c>
      <c r="S1241" s="13">
        <f t="shared" si="19"/>
        <v>-0.93</v>
      </c>
    </row>
    <row r="1242" spans="1:19">
      <c r="A1242" s="18" t="s">
        <v>1335</v>
      </c>
      <c r="B1242" s="1" t="s">
        <v>1383</v>
      </c>
      <c r="C1242" s="1" t="s">
        <v>1489</v>
      </c>
      <c r="D1242" s="1" t="s">
        <v>25</v>
      </c>
      <c r="E1242" s="1" t="s">
        <v>25</v>
      </c>
      <c r="F1242">
        <v>100.5</v>
      </c>
      <c r="G1242">
        <v>127.6</v>
      </c>
      <c r="H1242">
        <v>1024.27</v>
      </c>
      <c r="I1242" s="1" t="s">
        <v>1490</v>
      </c>
      <c r="J1242" s="1" t="s">
        <v>1336</v>
      </c>
      <c r="K1242" s="11" t="s">
        <v>25</v>
      </c>
      <c r="L1242">
        <v>-1.05</v>
      </c>
      <c r="M1242" s="1" t="s">
        <v>23</v>
      </c>
      <c r="N1242" s="11" t="s">
        <v>230</v>
      </c>
      <c r="Q1242" s="37">
        <v>0.42</v>
      </c>
      <c r="R1242" s="11" t="s">
        <v>231</v>
      </c>
      <c r="S1242" s="13">
        <f t="shared" si="19"/>
        <v>-1.05</v>
      </c>
    </row>
    <row r="1243" spans="1:19">
      <c r="A1243" s="18" t="s">
        <v>1335</v>
      </c>
      <c r="B1243" s="1" t="s">
        <v>1021</v>
      </c>
      <c r="C1243" s="1" t="s">
        <v>1489</v>
      </c>
      <c r="D1243" s="1" t="s">
        <v>25</v>
      </c>
      <c r="E1243" s="1" t="s">
        <v>25</v>
      </c>
      <c r="F1243">
        <v>100.5</v>
      </c>
      <c r="G1243">
        <v>127.6</v>
      </c>
      <c r="H1243">
        <v>1030.67</v>
      </c>
      <c r="I1243" s="1" t="s">
        <v>1490</v>
      </c>
      <c r="J1243" s="1" t="s">
        <v>1336</v>
      </c>
      <c r="K1243" s="11" t="s">
        <v>25</v>
      </c>
      <c r="L1243">
        <v>-0.85</v>
      </c>
      <c r="M1243" s="1" t="s">
        <v>23</v>
      </c>
      <c r="N1243" s="11" t="s">
        <v>230</v>
      </c>
      <c r="Q1243" s="37">
        <v>0.3</v>
      </c>
      <c r="R1243" s="11" t="s">
        <v>231</v>
      </c>
      <c r="S1243" s="13">
        <f t="shared" si="19"/>
        <v>-0.85</v>
      </c>
    </row>
    <row r="1244" spans="1:19">
      <c r="A1244" s="18" t="s">
        <v>1335</v>
      </c>
      <c r="B1244" s="1" t="s">
        <v>1384</v>
      </c>
      <c r="C1244" s="1" t="s">
        <v>1489</v>
      </c>
      <c r="D1244" s="1" t="s">
        <v>25</v>
      </c>
      <c r="E1244" s="1" t="s">
        <v>25</v>
      </c>
      <c r="F1244">
        <v>100.5</v>
      </c>
      <c r="G1244">
        <v>127.6</v>
      </c>
      <c r="H1244">
        <v>1033.27</v>
      </c>
      <c r="I1244" s="1" t="s">
        <v>1490</v>
      </c>
      <c r="J1244" s="1" t="s">
        <v>1336</v>
      </c>
      <c r="K1244" s="11" t="s">
        <v>25</v>
      </c>
      <c r="L1244">
        <v>-1.08</v>
      </c>
      <c r="M1244" s="1" t="s">
        <v>23</v>
      </c>
      <c r="N1244" s="11" t="s">
        <v>230</v>
      </c>
      <c r="Q1244" s="37">
        <v>0.27</v>
      </c>
      <c r="R1244" s="11" t="s">
        <v>231</v>
      </c>
      <c r="S1244" s="13">
        <f t="shared" si="19"/>
        <v>-1.08</v>
      </c>
    </row>
    <row r="1245" spans="1:19">
      <c r="A1245" s="18" t="s">
        <v>1335</v>
      </c>
      <c r="B1245" s="1" t="s">
        <v>1385</v>
      </c>
      <c r="C1245" s="1" t="s">
        <v>1489</v>
      </c>
      <c r="D1245" s="1" t="s">
        <v>25</v>
      </c>
      <c r="E1245" s="1" t="s">
        <v>25</v>
      </c>
      <c r="F1245">
        <v>100.5</v>
      </c>
      <c r="G1245">
        <v>127.6</v>
      </c>
      <c r="H1245">
        <v>1040.77</v>
      </c>
      <c r="I1245" s="1" t="s">
        <v>1490</v>
      </c>
      <c r="J1245" s="1" t="s">
        <v>1336</v>
      </c>
      <c r="K1245" s="11" t="s">
        <v>25</v>
      </c>
      <c r="L1245">
        <v>-0.91</v>
      </c>
      <c r="M1245" s="1" t="s">
        <v>23</v>
      </c>
      <c r="N1245" s="11" t="s">
        <v>230</v>
      </c>
      <c r="Q1245" s="37">
        <v>0.31</v>
      </c>
      <c r="R1245" s="11" t="s">
        <v>231</v>
      </c>
      <c r="S1245" s="13">
        <f t="shared" si="19"/>
        <v>-0.91</v>
      </c>
    </row>
    <row r="1246" spans="1:19">
      <c r="A1246" s="18" t="s">
        <v>1335</v>
      </c>
      <c r="B1246" s="1" t="s">
        <v>1022</v>
      </c>
      <c r="C1246" s="1" t="s">
        <v>1489</v>
      </c>
      <c r="D1246" s="1" t="s">
        <v>25</v>
      </c>
      <c r="E1246" s="1" t="s">
        <v>25</v>
      </c>
      <c r="F1246">
        <v>100.5</v>
      </c>
      <c r="G1246">
        <v>127.6</v>
      </c>
      <c r="H1246">
        <v>1050.17</v>
      </c>
      <c r="I1246" s="1" t="s">
        <v>1490</v>
      </c>
      <c r="J1246" s="1" t="s">
        <v>1336</v>
      </c>
      <c r="K1246" s="11" t="s">
        <v>25</v>
      </c>
      <c r="L1246">
        <v>-0.8</v>
      </c>
      <c r="M1246" s="1" t="s">
        <v>23</v>
      </c>
      <c r="N1246" s="11" t="s">
        <v>230</v>
      </c>
      <c r="Q1246" s="37">
        <v>0.22</v>
      </c>
      <c r="R1246" s="11" t="s">
        <v>231</v>
      </c>
      <c r="S1246" s="13">
        <f t="shared" si="19"/>
        <v>-0.8</v>
      </c>
    </row>
    <row r="1247" spans="1:19">
      <c r="A1247" s="18" t="s">
        <v>1335</v>
      </c>
      <c r="B1247" s="1" t="s">
        <v>1386</v>
      </c>
      <c r="C1247" s="1" t="s">
        <v>1489</v>
      </c>
      <c r="D1247" s="1" t="s">
        <v>25</v>
      </c>
      <c r="E1247" s="1" t="s">
        <v>25</v>
      </c>
      <c r="F1247">
        <v>100.5</v>
      </c>
      <c r="G1247">
        <v>127.6</v>
      </c>
      <c r="H1247">
        <v>1069.93</v>
      </c>
      <c r="I1247" s="1" t="s">
        <v>1490</v>
      </c>
      <c r="J1247" s="1" t="s">
        <v>1336</v>
      </c>
      <c r="K1247" s="11" t="s">
        <v>25</v>
      </c>
      <c r="L1247">
        <v>-1.0900000000000001</v>
      </c>
      <c r="M1247" s="1" t="s">
        <v>23</v>
      </c>
      <c r="N1247" s="11" t="s">
        <v>230</v>
      </c>
      <c r="Q1247" s="37">
        <v>0.38</v>
      </c>
      <c r="R1247" s="11" t="s">
        <v>231</v>
      </c>
      <c r="S1247" s="13">
        <f t="shared" si="19"/>
        <v>-1.0900000000000001</v>
      </c>
    </row>
    <row r="1248" spans="1:19">
      <c r="A1248" s="18" t="s">
        <v>1335</v>
      </c>
      <c r="B1248" s="1" t="s">
        <v>1023</v>
      </c>
      <c r="C1248" s="1" t="s">
        <v>1489</v>
      </c>
      <c r="D1248" s="1" t="s">
        <v>25</v>
      </c>
      <c r="E1248" s="1" t="s">
        <v>25</v>
      </c>
      <c r="F1248">
        <v>100.5</v>
      </c>
      <c r="G1248">
        <v>127.6</v>
      </c>
      <c r="H1248">
        <v>1089.17</v>
      </c>
      <c r="I1248" s="1" t="s">
        <v>1490</v>
      </c>
      <c r="J1248" s="1" t="s">
        <v>1336</v>
      </c>
      <c r="K1248" s="11" t="s">
        <v>25</v>
      </c>
      <c r="L1248">
        <v>-0.97</v>
      </c>
      <c r="M1248" s="1" t="s">
        <v>23</v>
      </c>
      <c r="N1248" s="11" t="s">
        <v>230</v>
      </c>
      <c r="Q1248" s="37">
        <v>0.27</v>
      </c>
      <c r="R1248" s="11" t="s">
        <v>231</v>
      </c>
      <c r="S1248" s="13">
        <f t="shared" si="19"/>
        <v>-0.97</v>
      </c>
    </row>
    <row r="1249" spans="1:19">
      <c r="A1249" s="18" t="s">
        <v>1335</v>
      </c>
      <c r="B1249" s="1" t="s">
        <v>1024</v>
      </c>
      <c r="C1249" s="1" t="s">
        <v>1489</v>
      </c>
      <c r="D1249" s="1" t="s">
        <v>25</v>
      </c>
      <c r="E1249" s="1" t="s">
        <v>25</v>
      </c>
      <c r="F1249">
        <v>100.5</v>
      </c>
      <c r="G1249">
        <v>127.6</v>
      </c>
      <c r="H1249">
        <v>1098.8699999999999</v>
      </c>
      <c r="I1249" s="1" t="s">
        <v>1490</v>
      </c>
      <c r="J1249" s="1" t="s">
        <v>1336</v>
      </c>
      <c r="K1249" s="11" t="s">
        <v>25</v>
      </c>
      <c r="L1249">
        <v>-0.92</v>
      </c>
      <c r="M1249" s="1" t="s">
        <v>23</v>
      </c>
      <c r="N1249" s="11" t="s">
        <v>230</v>
      </c>
      <c r="Q1249" s="37">
        <v>0.35</v>
      </c>
      <c r="R1249" s="11" t="s">
        <v>231</v>
      </c>
      <c r="S1249" s="13">
        <f t="shared" si="19"/>
        <v>-0.92</v>
      </c>
    </row>
    <row r="1250" spans="1:19">
      <c r="A1250" s="18" t="s">
        <v>1335</v>
      </c>
      <c r="B1250" s="1" t="s">
        <v>1387</v>
      </c>
      <c r="C1250" s="1" t="s">
        <v>1489</v>
      </c>
      <c r="D1250" s="1" t="s">
        <v>25</v>
      </c>
      <c r="E1250" s="1" t="s">
        <v>25</v>
      </c>
      <c r="F1250">
        <v>100.5</v>
      </c>
      <c r="G1250">
        <v>127.6</v>
      </c>
      <c r="H1250">
        <v>1100.8699999999999</v>
      </c>
      <c r="I1250" s="1" t="s">
        <v>1490</v>
      </c>
      <c r="J1250" s="1" t="s">
        <v>1336</v>
      </c>
      <c r="K1250" s="11" t="s">
        <v>25</v>
      </c>
      <c r="L1250">
        <v>-0.97</v>
      </c>
      <c r="M1250" s="1" t="s">
        <v>23</v>
      </c>
      <c r="N1250" s="11" t="s">
        <v>230</v>
      </c>
      <c r="Q1250" s="37">
        <v>0.31</v>
      </c>
      <c r="R1250" s="11" t="s">
        <v>231</v>
      </c>
      <c r="S1250" s="13">
        <f t="shared" si="19"/>
        <v>-0.97</v>
      </c>
    </row>
    <row r="1251" spans="1:19">
      <c r="A1251" s="18" t="s">
        <v>1335</v>
      </c>
      <c r="B1251" s="1" t="s">
        <v>1388</v>
      </c>
      <c r="C1251" s="1" t="s">
        <v>1489</v>
      </c>
      <c r="D1251" s="1" t="s">
        <v>25</v>
      </c>
      <c r="E1251" s="1" t="s">
        <v>25</v>
      </c>
      <c r="F1251">
        <v>100.5</v>
      </c>
      <c r="G1251">
        <v>127.6</v>
      </c>
      <c r="H1251">
        <v>1108.3699999999999</v>
      </c>
      <c r="I1251" s="1" t="s">
        <v>1490</v>
      </c>
      <c r="J1251" s="1" t="s">
        <v>1336</v>
      </c>
      <c r="K1251" s="11" t="s">
        <v>25</v>
      </c>
      <c r="L1251">
        <v>-0.99</v>
      </c>
      <c r="M1251" s="1" t="s">
        <v>23</v>
      </c>
      <c r="N1251" s="11" t="s">
        <v>230</v>
      </c>
      <c r="Q1251" s="37">
        <v>0.3</v>
      </c>
      <c r="R1251" s="11" t="s">
        <v>231</v>
      </c>
      <c r="S1251" s="13">
        <f t="shared" si="19"/>
        <v>-0.99</v>
      </c>
    </row>
    <row r="1252" spans="1:19">
      <c r="A1252" s="18" t="s">
        <v>1335</v>
      </c>
      <c r="B1252" s="1" t="s">
        <v>1389</v>
      </c>
      <c r="C1252" s="1" t="s">
        <v>1489</v>
      </c>
      <c r="D1252" s="1" t="s">
        <v>25</v>
      </c>
      <c r="E1252" s="1" t="s">
        <v>25</v>
      </c>
      <c r="F1252">
        <v>100.5</v>
      </c>
      <c r="G1252">
        <v>127.6</v>
      </c>
      <c r="H1252">
        <v>1110.8699999999999</v>
      </c>
      <c r="I1252" s="1" t="s">
        <v>1490</v>
      </c>
      <c r="J1252" s="1" t="s">
        <v>1336</v>
      </c>
      <c r="K1252" s="11" t="s">
        <v>25</v>
      </c>
      <c r="L1252">
        <v>-1.3</v>
      </c>
      <c r="M1252" s="1" t="s">
        <v>23</v>
      </c>
      <c r="N1252" s="11" t="s">
        <v>230</v>
      </c>
      <c r="Q1252" s="37">
        <v>0.43</v>
      </c>
      <c r="R1252" s="11" t="s">
        <v>231</v>
      </c>
      <c r="S1252" s="13">
        <f t="shared" si="19"/>
        <v>-1.3</v>
      </c>
    </row>
    <row r="1253" spans="1:19">
      <c r="A1253" s="18" t="s">
        <v>1335</v>
      </c>
      <c r="B1253" s="1" t="s">
        <v>1390</v>
      </c>
      <c r="C1253" s="1" t="s">
        <v>1489</v>
      </c>
      <c r="D1253" s="1" t="s">
        <v>25</v>
      </c>
      <c r="E1253" s="1" t="s">
        <v>25</v>
      </c>
      <c r="F1253">
        <v>100.5</v>
      </c>
      <c r="G1253">
        <v>127.6</v>
      </c>
      <c r="H1253">
        <v>1117.77</v>
      </c>
      <c r="I1253" s="1" t="s">
        <v>1490</v>
      </c>
      <c r="J1253" s="1" t="s">
        <v>1336</v>
      </c>
      <c r="K1253" s="11" t="s">
        <v>25</v>
      </c>
      <c r="L1253">
        <v>-0.74</v>
      </c>
      <c r="M1253" s="1" t="s">
        <v>23</v>
      </c>
      <c r="N1253" s="11" t="s">
        <v>230</v>
      </c>
      <c r="Q1253" s="37">
        <v>0.21</v>
      </c>
      <c r="R1253" s="11" t="s">
        <v>231</v>
      </c>
      <c r="S1253" s="13">
        <f t="shared" si="19"/>
        <v>-0.74</v>
      </c>
    </row>
    <row r="1254" spans="1:19">
      <c r="A1254" s="18" t="s">
        <v>1335</v>
      </c>
      <c r="B1254" s="1" t="s">
        <v>1391</v>
      </c>
      <c r="C1254" s="1" t="s">
        <v>1489</v>
      </c>
      <c r="D1254" s="1" t="s">
        <v>25</v>
      </c>
      <c r="E1254" s="1" t="s">
        <v>25</v>
      </c>
      <c r="F1254">
        <v>100.5</v>
      </c>
      <c r="G1254">
        <v>127.6</v>
      </c>
      <c r="H1254">
        <v>1127.97</v>
      </c>
      <c r="I1254" s="1" t="s">
        <v>1490</v>
      </c>
      <c r="J1254" s="1" t="s">
        <v>1336</v>
      </c>
      <c r="K1254" s="11" t="s">
        <v>25</v>
      </c>
      <c r="L1254">
        <v>-0.75</v>
      </c>
      <c r="M1254" s="1" t="s">
        <v>23</v>
      </c>
      <c r="N1254" s="11" t="s">
        <v>230</v>
      </c>
      <c r="Q1254" s="37">
        <v>0.2</v>
      </c>
      <c r="R1254" s="11" t="s">
        <v>231</v>
      </c>
      <c r="S1254" s="13">
        <f t="shared" si="19"/>
        <v>-0.75</v>
      </c>
    </row>
    <row r="1255" spans="1:19">
      <c r="A1255" s="18" t="s">
        <v>1335</v>
      </c>
      <c r="B1255" s="1" t="s">
        <v>1392</v>
      </c>
      <c r="C1255" s="1" t="s">
        <v>1489</v>
      </c>
      <c r="D1255" s="1" t="s">
        <v>25</v>
      </c>
      <c r="E1255" s="1" t="s">
        <v>25</v>
      </c>
      <c r="F1255">
        <v>100.5</v>
      </c>
      <c r="G1255">
        <v>127.6</v>
      </c>
      <c r="H1255">
        <v>1137.47</v>
      </c>
      <c r="I1255" s="1" t="s">
        <v>1490</v>
      </c>
      <c r="J1255" s="1" t="s">
        <v>1491</v>
      </c>
      <c r="K1255" s="11" t="s">
        <v>25</v>
      </c>
      <c r="L1255">
        <v>-1.05</v>
      </c>
      <c r="M1255" s="1" t="s">
        <v>23</v>
      </c>
      <c r="N1255" s="11" t="s">
        <v>230</v>
      </c>
      <c r="Q1255" s="37">
        <v>0.33</v>
      </c>
      <c r="R1255" s="11" t="s">
        <v>231</v>
      </c>
      <c r="S1255" s="13">
        <f t="shared" si="19"/>
        <v>-1.05</v>
      </c>
    </row>
    <row r="1256" spans="1:19">
      <c r="A1256" s="18" t="s">
        <v>1335</v>
      </c>
      <c r="B1256" s="1" t="s">
        <v>1393</v>
      </c>
      <c r="C1256" s="1" t="s">
        <v>1489</v>
      </c>
      <c r="D1256" s="1" t="s">
        <v>25</v>
      </c>
      <c r="E1256" s="1" t="s">
        <v>25</v>
      </c>
      <c r="F1256">
        <v>100.5</v>
      </c>
      <c r="G1256">
        <v>127.6</v>
      </c>
      <c r="H1256">
        <v>1146.77</v>
      </c>
      <c r="I1256" s="1" t="s">
        <v>1490</v>
      </c>
      <c r="J1256" s="1" t="s">
        <v>1336</v>
      </c>
      <c r="K1256" s="11" t="s">
        <v>25</v>
      </c>
      <c r="L1256">
        <v>-0.91</v>
      </c>
      <c r="M1256" s="1" t="s">
        <v>23</v>
      </c>
      <c r="N1256" s="11" t="s">
        <v>230</v>
      </c>
      <c r="Q1256" s="37">
        <v>0.28999999999999998</v>
      </c>
      <c r="R1256" s="11" t="s">
        <v>231</v>
      </c>
      <c r="S1256" s="13">
        <f t="shared" si="19"/>
        <v>-0.91</v>
      </c>
    </row>
    <row r="1257" spans="1:19">
      <c r="A1257" s="18" t="s">
        <v>1335</v>
      </c>
      <c r="B1257" s="1" t="s">
        <v>1394</v>
      </c>
      <c r="C1257" s="1" t="s">
        <v>1489</v>
      </c>
      <c r="D1257" s="1" t="s">
        <v>25</v>
      </c>
      <c r="E1257" s="1" t="s">
        <v>25</v>
      </c>
      <c r="F1257">
        <v>100.5</v>
      </c>
      <c r="G1257">
        <v>127.6</v>
      </c>
      <c r="H1257">
        <v>1156.17</v>
      </c>
      <c r="I1257" s="1" t="s">
        <v>1490</v>
      </c>
      <c r="J1257" s="1" t="s">
        <v>1491</v>
      </c>
      <c r="K1257" s="11" t="s">
        <v>25</v>
      </c>
      <c r="L1257">
        <v>-0.92</v>
      </c>
      <c r="M1257" s="1" t="s">
        <v>23</v>
      </c>
      <c r="N1257" s="11" t="s">
        <v>230</v>
      </c>
      <c r="Q1257" s="37">
        <v>0.34</v>
      </c>
      <c r="R1257" s="11" t="s">
        <v>231</v>
      </c>
      <c r="S1257" s="13">
        <f t="shared" si="19"/>
        <v>-0.92</v>
      </c>
    </row>
    <row r="1258" spans="1:19">
      <c r="A1258" s="18" t="s">
        <v>1335</v>
      </c>
      <c r="B1258" s="1" t="s">
        <v>1395</v>
      </c>
      <c r="C1258" s="1" t="s">
        <v>1489</v>
      </c>
      <c r="D1258" s="1" t="s">
        <v>25</v>
      </c>
      <c r="E1258" s="1" t="s">
        <v>25</v>
      </c>
      <c r="F1258">
        <v>100.5</v>
      </c>
      <c r="G1258">
        <v>127.6</v>
      </c>
      <c r="H1258">
        <v>1166.33</v>
      </c>
      <c r="I1258" s="1" t="s">
        <v>1490</v>
      </c>
      <c r="J1258" s="1" t="s">
        <v>1336</v>
      </c>
      <c r="K1258" s="11" t="s">
        <v>25</v>
      </c>
      <c r="L1258">
        <v>-0.98</v>
      </c>
      <c r="M1258" s="1" t="s">
        <v>23</v>
      </c>
      <c r="N1258" s="11" t="s">
        <v>230</v>
      </c>
      <c r="Q1258" s="37">
        <v>0.3</v>
      </c>
      <c r="R1258" s="11" t="s">
        <v>231</v>
      </c>
      <c r="S1258" s="13">
        <f t="shared" si="19"/>
        <v>-0.98</v>
      </c>
    </row>
    <row r="1259" spans="1:19">
      <c r="A1259" s="18" t="s">
        <v>1335</v>
      </c>
      <c r="B1259" s="1" t="s">
        <v>1396</v>
      </c>
      <c r="C1259" s="1" t="s">
        <v>1489</v>
      </c>
      <c r="D1259" s="1" t="s">
        <v>25</v>
      </c>
      <c r="E1259" s="1" t="s">
        <v>25</v>
      </c>
      <c r="F1259">
        <v>100.5</v>
      </c>
      <c r="G1259">
        <v>127.6</v>
      </c>
      <c r="H1259">
        <v>1175.67</v>
      </c>
      <c r="I1259" s="1" t="s">
        <v>1490</v>
      </c>
      <c r="J1259" s="1" t="s">
        <v>1336</v>
      </c>
      <c r="K1259" s="11" t="s">
        <v>25</v>
      </c>
      <c r="L1259">
        <v>-0.96</v>
      </c>
      <c r="M1259" s="1" t="s">
        <v>23</v>
      </c>
      <c r="N1259" s="11" t="s">
        <v>230</v>
      </c>
      <c r="Q1259" s="37">
        <v>0.38</v>
      </c>
      <c r="R1259" s="11" t="s">
        <v>231</v>
      </c>
      <c r="S1259" s="13">
        <f t="shared" si="19"/>
        <v>-0.96</v>
      </c>
    </row>
    <row r="1260" spans="1:19">
      <c r="A1260" s="18" t="s">
        <v>1335</v>
      </c>
      <c r="B1260" s="1" t="s">
        <v>1397</v>
      </c>
      <c r="C1260" s="1" t="s">
        <v>1489</v>
      </c>
      <c r="D1260" s="1" t="s">
        <v>25</v>
      </c>
      <c r="E1260" s="1" t="s">
        <v>25</v>
      </c>
      <c r="F1260">
        <v>100.5</v>
      </c>
      <c r="G1260">
        <v>127.6</v>
      </c>
      <c r="H1260">
        <v>1178.3699999999999</v>
      </c>
      <c r="I1260" s="1" t="s">
        <v>1490</v>
      </c>
      <c r="J1260" s="1" t="s">
        <v>1336</v>
      </c>
      <c r="K1260" s="11" t="s">
        <v>25</v>
      </c>
      <c r="L1260">
        <v>-0.98</v>
      </c>
      <c r="M1260" s="1" t="s">
        <v>23</v>
      </c>
      <c r="N1260" s="11" t="s">
        <v>230</v>
      </c>
      <c r="Q1260" s="37">
        <v>0.37</v>
      </c>
      <c r="R1260" s="11" t="s">
        <v>231</v>
      </c>
      <c r="S1260" s="13">
        <f t="shared" si="19"/>
        <v>-0.98</v>
      </c>
    </row>
    <row r="1261" spans="1:19">
      <c r="A1261" s="18" t="s">
        <v>1335</v>
      </c>
      <c r="B1261" s="1" t="s">
        <v>1398</v>
      </c>
      <c r="C1261" s="1" t="s">
        <v>1489</v>
      </c>
      <c r="D1261" s="1" t="s">
        <v>25</v>
      </c>
      <c r="E1261" s="1" t="s">
        <v>25</v>
      </c>
      <c r="F1261">
        <v>100.5</v>
      </c>
      <c r="G1261">
        <v>127.6</v>
      </c>
      <c r="H1261">
        <v>1178.93</v>
      </c>
      <c r="I1261" s="1" t="s">
        <v>1490</v>
      </c>
      <c r="J1261" s="1" t="s">
        <v>1336</v>
      </c>
      <c r="K1261" s="11" t="s">
        <v>25</v>
      </c>
      <c r="L1261">
        <v>-0.88</v>
      </c>
      <c r="M1261" s="1" t="s">
        <v>23</v>
      </c>
      <c r="N1261" s="11" t="s">
        <v>230</v>
      </c>
      <c r="Q1261" s="37">
        <v>0.35</v>
      </c>
      <c r="R1261" s="11" t="s">
        <v>231</v>
      </c>
      <c r="S1261" s="13">
        <f t="shared" si="19"/>
        <v>-0.88</v>
      </c>
    </row>
    <row r="1262" spans="1:19">
      <c r="A1262" s="18" t="s">
        <v>1335</v>
      </c>
      <c r="B1262" s="1" t="s">
        <v>1399</v>
      </c>
      <c r="C1262" s="1" t="s">
        <v>1489</v>
      </c>
      <c r="D1262" s="1" t="s">
        <v>25</v>
      </c>
      <c r="E1262" s="1" t="s">
        <v>25</v>
      </c>
      <c r="F1262">
        <v>100.5</v>
      </c>
      <c r="G1262">
        <v>127.6</v>
      </c>
      <c r="H1262">
        <v>1181.07</v>
      </c>
      <c r="I1262" s="1" t="s">
        <v>1490</v>
      </c>
      <c r="J1262" s="1" t="s">
        <v>1336</v>
      </c>
      <c r="K1262" s="11" t="s">
        <v>25</v>
      </c>
      <c r="L1262">
        <v>-0.88</v>
      </c>
      <c r="M1262" s="1" t="s">
        <v>23</v>
      </c>
      <c r="N1262" s="11" t="s">
        <v>230</v>
      </c>
      <c r="Q1262" s="37">
        <v>0.4</v>
      </c>
      <c r="R1262" s="11" t="s">
        <v>231</v>
      </c>
      <c r="S1262" s="13">
        <f t="shared" si="19"/>
        <v>-0.88</v>
      </c>
    </row>
    <row r="1263" spans="1:19">
      <c r="A1263" s="18" t="s">
        <v>1335</v>
      </c>
      <c r="B1263" s="1" t="s">
        <v>1400</v>
      </c>
      <c r="C1263" s="1" t="s">
        <v>1489</v>
      </c>
      <c r="D1263" s="1" t="s">
        <v>25</v>
      </c>
      <c r="E1263" s="1" t="s">
        <v>25</v>
      </c>
      <c r="F1263">
        <v>100.5</v>
      </c>
      <c r="G1263">
        <v>127.6</v>
      </c>
      <c r="H1263">
        <v>1185.27</v>
      </c>
      <c r="I1263" s="1" t="s">
        <v>1490</v>
      </c>
      <c r="J1263" s="1" t="s">
        <v>1336</v>
      </c>
      <c r="K1263" s="11" t="s">
        <v>25</v>
      </c>
      <c r="L1263">
        <v>-0.73</v>
      </c>
      <c r="M1263" s="1" t="s">
        <v>23</v>
      </c>
      <c r="N1263" s="11" t="s">
        <v>230</v>
      </c>
      <c r="Q1263" s="37">
        <v>0.36</v>
      </c>
      <c r="R1263" s="11" t="s">
        <v>231</v>
      </c>
      <c r="S1263" s="13">
        <f t="shared" si="19"/>
        <v>-0.73</v>
      </c>
    </row>
    <row r="1264" spans="1:19">
      <c r="A1264" s="18" t="s">
        <v>1335</v>
      </c>
      <c r="B1264" s="1" t="s">
        <v>1401</v>
      </c>
      <c r="C1264" s="1" t="s">
        <v>1489</v>
      </c>
      <c r="D1264" s="1" t="s">
        <v>25</v>
      </c>
      <c r="E1264" s="1" t="s">
        <v>25</v>
      </c>
      <c r="F1264">
        <v>100.5</v>
      </c>
      <c r="G1264">
        <v>127.6</v>
      </c>
      <c r="H1264">
        <v>1187.97</v>
      </c>
      <c r="I1264" s="1" t="s">
        <v>1490</v>
      </c>
      <c r="J1264" s="1" t="s">
        <v>1336</v>
      </c>
      <c r="K1264" s="11" t="s">
        <v>25</v>
      </c>
      <c r="L1264">
        <v>-0.81</v>
      </c>
      <c r="M1264" s="1" t="s">
        <v>23</v>
      </c>
      <c r="N1264" s="11" t="s">
        <v>230</v>
      </c>
      <c r="Q1264" s="37">
        <v>0.42</v>
      </c>
      <c r="R1264" s="11" t="s">
        <v>231</v>
      </c>
      <c r="S1264" s="13">
        <f t="shared" si="19"/>
        <v>-0.81</v>
      </c>
    </row>
    <row r="1265" spans="1:19">
      <c r="A1265" s="18" t="s">
        <v>1335</v>
      </c>
      <c r="B1265" s="1" t="s">
        <v>1402</v>
      </c>
      <c r="C1265" s="1" t="s">
        <v>1489</v>
      </c>
      <c r="D1265" s="1" t="s">
        <v>25</v>
      </c>
      <c r="E1265" s="1" t="s">
        <v>25</v>
      </c>
      <c r="F1265">
        <v>100.5</v>
      </c>
      <c r="G1265">
        <v>127.6</v>
      </c>
      <c r="H1265">
        <v>1194.57</v>
      </c>
      <c r="I1265" s="1" t="s">
        <v>1490</v>
      </c>
      <c r="J1265" s="1" t="s">
        <v>1336</v>
      </c>
      <c r="K1265" s="11" t="s">
        <v>25</v>
      </c>
      <c r="L1265">
        <v>-0.65</v>
      </c>
      <c r="M1265" s="1" t="s">
        <v>23</v>
      </c>
      <c r="N1265" s="11" t="s">
        <v>230</v>
      </c>
      <c r="Q1265" s="37">
        <v>0.25</v>
      </c>
      <c r="R1265" s="11" t="s">
        <v>231</v>
      </c>
      <c r="S1265" s="13">
        <f t="shared" si="19"/>
        <v>-0.65</v>
      </c>
    </row>
    <row r="1266" spans="1:19">
      <c r="A1266" s="18" t="s">
        <v>1335</v>
      </c>
      <c r="B1266" s="1" t="s">
        <v>1403</v>
      </c>
      <c r="C1266" s="1" t="s">
        <v>1489</v>
      </c>
      <c r="D1266" s="1" t="s">
        <v>25</v>
      </c>
      <c r="E1266" s="1" t="s">
        <v>25</v>
      </c>
      <c r="F1266">
        <v>100.5</v>
      </c>
      <c r="G1266">
        <v>127.6</v>
      </c>
      <c r="H1266">
        <v>1203.83</v>
      </c>
      <c r="I1266" s="1" t="s">
        <v>1490</v>
      </c>
      <c r="J1266" s="1" t="s">
        <v>1336</v>
      </c>
      <c r="K1266" s="11" t="s">
        <v>25</v>
      </c>
      <c r="L1266">
        <v>-0.93</v>
      </c>
      <c r="M1266" s="1" t="s">
        <v>23</v>
      </c>
      <c r="N1266" s="11" t="s">
        <v>230</v>
      </c>
      <c r="Q1266" s="37">
        <v>0.36</v>
      </c>
      <c r="R1266" s="11" t="s">
        <v>231</v>
      </c>
      <c r="S1266" s="13">
        <f t="shared" si="19"/>
        <v>-0.93</v>
      </c>
    </row>
    <row r="1267" spans="1:19">
      <c r="A1267" s="18" t="s">
        <v>1335</v>
      </c>
      <c r="B1267" s="1" t="s">
        <v>1404</v>
      </c>
      <c r="C1267" s="1" t="s">
        <v>1489</v>
      </c>
      <c r="D1267" s="1" t="s">
        <v>25</v>
      </c>
      <c r="E1267" s="1" t="s">
        <v>25</v>
      </c>
      <c r="F1267">
        <v>100.5</v>
      </c>
      <c r="G1267">
        <v>127.6</v>
      </c>
      <c r="H1267">
        <v>1207.3699999999999</v>
      </c>
      <c r="I1267" s="1" t="s">
        <v>1490</v>
      </c>
      <c r="J1267" s="1" t="s">
        <v>1491</v>
      </c>
      <c r="K1267" s="11" t="s">
        <v>25</v>
      </c>
      <c r="L1267">
        <v>-0.99</v>
      </c>
      <c r="M1267" s="1" t="s">
        <v>23</v>
      </c>
      <c r="N1267" s="11" t="s">
        <v>230</v>
      </c>
      <c r="Q1267" s="37">
        <v>0.28000000000000003</v>
      </c>
      <c r="R1267" s="11" t="s">
        <v>231</v>
      </c>
      <c r="S1267" s="13">
        <f t="shared" si="19"/>
        <v>-0.99</v>
      </c>
    </row>
    <row r="1268" spans="1:19">
      <c r="A1268" s="18" t="s">
        <v>1335</v>
      </c>
      <c r="B1268" s="1" t="s">
        <v>1405</v>
      </c>
      <c r="C1268" s="1" t="s">
        <v>1489</v>
      </c>
      <c r="D1268" s="1" t="s">
        <v>25</v>
      </c>
      <c r="E1268" s="1" t="s">
        <v>25</v>
      </c>
      <c r="F1268">
        <v>100.5</v>
      </c>
      <c r="G1268">
        <v>127.6</v>
      </c>
      <c r="H1268">
        <v>1214.47</v>
      </c>
      <c r="I1268" s="1" t="s">
        <v>1490</v>
      </c>
      <c r="J1268" s="1" t="s">
        <v>1336</v>
      </c>
      <c r="K1268" s="11" t="s">
        <v>25</v>
      </c>
      <c r="L1268">
        <v>-1.06</v>
      </c>
      <c r="M1268" s="1" t="s">
        <v>23</v>
      </c>
      <c r="N1268" s="11" t="s">
        <v>230</v>
      </c>
      <c r="Q1268" s="37">
        <v>0.47</v>
      </c>
      <c r="R1268" s="11" t="s">
        <v>231</v>
      </c>
      <c r="S1268" s="13">
        <f t="shared" si="19"/>
        <v>-1.06</v>
      </c>
    </row>
    <row r="1269" spans="1:19">
      <c r="A1269" s="18" t="s">
        <v>1335</v>
      </c>
      <c r="B1269" s="1" t="s">
        <v>1406</v>
      </c>
      <c r="C1269" s="1" t="s">
        <v>1489</v>
      </c>
      <c r="D1269" s="1" t="s">
        <v>25</v>
      </c>
      <c r="E1269" s="1" t="s">
        <v>25</v>
      </c>
      <c r="F1269">
        <v>100.5</v>
      </c>
      <c r="G1269">
        <v>127.6</v>
      </c>
      <c r="H1269">
        <v>1217.3</v>
      </c>
      <c r="I1269" s="1" t="s">
        <v>1490</v>
      </c>
      <c r="J1269" s="1" t="s">
        <v>1336</v>
      </c>
      <c r="K1269" s="11" t="s">
        <v>25</v>
      </c>
      <c r="L1269">
        <v>-0.93</v>
      </c>
      <c r="M1269" s="1" t="s">
        <v>23</v>
      </c>
      <c r="N1269" s="11" t="s">
        <v>230</v>
      </c>
      <c r="Q1269" s="37">
        <v>0.37</v>
      </c>
      <c r="R1269" s="11" t="s">
        <v>231</v>
      </c>
      <c r="S1269" s="13">
        <f t="shared" si="19"/>
        <v>-0.93</v>
      </c>
    </row>
    <row r="1270" spans="1:19">
      <c r="A1270" s="18" t="s">
        <v>1335</v>
      </c>
      <c r="B1270" s="1" t="s">
        <v>1407</v>
      </c>
      <c r="C1270" s="1" t="s">
        <v>1489</v>
      </c>
      <c r="D1270" s="1" t="s">
        <v>25</v>
      </c>
      <c r="E1270" s="1" t="s">
        <v>25</v>
      </c>
      <c r="F1270">
        <v>100.5</v>
      </c>
      <c r="G1270">
        <v>127.6</v>
      </c>
      <c r="H1270">
        <v>1223.97</v>
      </c>
      <c r="I1270" s="1" t="s">
        <v>1490</v>
      </c>
      <c r="J1270" s="1" t="s">
        <v>1336</v>
      </c>
      <c r="K1270" s="11" t="s">
        <v>25</v>
      </c>
      <c r="L1270">
        <v>-1.1200000000000001</v>
      </c>
      <c r="M1270" s="1" t="s">
        <v>23</v>
      </c>
      <c r="N1270" s="11" t="s">
        <v>230</v>
      </c>
      <c r="Q1270" s="37">
        <v>0.36</v>
      </c>
      <c r="R1270" s="11" t="s">
        <v>231</v>
      </c>
      <c r="S1270" s="13">
        <f t="shared" si="19"/>
        <v>-1.1200000000000001</v>
      </c>
    </row>
    <row r="1271" spans="1:19">
      <c r="A1271" s="18" t="s">
        <v>1335</v>
      </c>
      <c r="B1271" s="1" t="s">
        <v>1408</v>
      </c>
      <c r="C1271" s="1" t="s">
        <v>1489</v>
      </c>
      <c r="D1271" s="1" t="s">
        <v>25</v>
      </c>
      <c r="E1271" s="1" t="s">
        <v>25</v>
      </c>
      <c r="F1271">
        <v>100.5</v>
      </c>
      <c r="G1271">
        <v>127.6</v>
      </c>
      <c r="H1271">
        <v>1226.53</v>
      </c>
      <c r="I1271" s="1" t="s">
        <v>1490</v>
      </c>
      <c r="J1271" s="1" t="s">
        <v>1491</v>
      </c>
      <c r="K1271" s="11" t="s">
        <v>25</v>
      </c>
      <c r="L1271">
        <v>-1.2</v>
      </c>
      <c r="M1271" s="1" t="s">
        <v>23</v>
      </c>
      <c r="N1271" s="11" t="s">
        <v>230</v>
      </c>
      <c r="Q1271" s="37">
        <v>0.24</v>
      </c>
      <c r="R1271" s="11" t="s">
        <v>231</v>
      </c>
      <c r="S1271" s="13">
        <f t="shared" si="19"/>
        <v>-1.2</v>
      </c>
    </row>
    <row r="1272" spans="1:19">
      <c r="A1272" s="18" t="s">
        <v>1335</v>
      </c>
      <c r="B1272" s="1" t="s">
        <v>1409</v>
      </c>
      <c r="C1272" s="1" t="s">
        <v>1489</v>
      </c>
      <c r="D1272" s="1" t="s">
        <v>25</v>
      </c>
      <c r="E1272" s="1" t="s">
        <v>25</v>
      </c>
      <c r="F1272">
        <v>100.5</v>
      </c>
      <c r="G1272">
        <v>127.6</v>
      </c>
      <c r="H1272">
        <v>1233.43</v>
      </c>
      <c r="I1272" s="1" t="s">
        <v>1490</v>
      </c>
      <c r="J1272" s="1" t="s">
        <v>1491</v>
      </c>
      <c r="K1272" s="11" t="s">
        <v>25</v>
      </c>
      <c r="L1272">
        <v>-1.04</v>
      </c>
      <c r="M1272" s="1" t="s">
        <v>23</v>
      </c>
      <c r="N1272" s="11" t="s">
        <v>230</v>
      </c>
      <c r="Q1272" s="37">
        <v>0.28000000000000003</v>
      </c>
      <c r="R1272" s="11" t="s">
        <v>231</v>
      </c>
      <c r="S1272" s="13">
        <f t="shared" si="19"/>
        <v>-1.04</v>
      </c>
    </row>
    <row r="1273" spans="1:19">
      <c r="A1273" s="18" t="s">
        <v>1335</v>
      </c>
      <c r="B1273" s="1" t="s">
        <v>1410</v>
      </c>
      <c r="C1273" s="1" t="s">
        <v>1489</v>
      </c>
      <c r="D1273" s="1" t="s">
        <v>25</v>
      </c>
      <c r="E1273" s="1" t="s">
        <v>25</v>
      </c>
      <c r="F1273">
        <v>100.5</v>
      </c>
      <c r="G1273">
        <v>127.6</v>
      </c>
      <c r="H1273">
        <v>1234.93</v>
      </c>
      <c r="I1273" s="1" t="s">
        <v>1490</v>
      </c>
      <c r="J1273" s="1" t="s">
        <v>1491</v>
      </c>
      <c r="K1273" s="11" t="s">
        <v>25</v>
      </c>
      <c r="L1273">
        <v>-1.1000000000000001</v>
      </c>
      <c r="M1273" s="1" t="s">
        <v>23</v>
      </c>
      <c r="N1273" s="11" t="s">
        <v>230</v>
      </c>
      <c r="Q1273" s="37">
        <v>0.21</v>
      </c>
      <c r="R1273" s="11" t="s">
        <v>231</v>
      </c>
      <c r="S1273" s="13">
        <f t="shared" si="19"/>
        <v>-1.1000000000000001</v>
      </c>
    </row>
    <row r="1274" spans="1:19">
      <c r="A1274" s="18" t="s">
        <v>1335</v>
      </c>
      <c r="B1274" s="1" t="s">
        <v>1025</v>
      </c>
      <c r="C1274" s="1" t="s">
        <v>1489</v>
      </c>
      <c r="D1274" s="1" t="s">
        <v>25</v>
      </c>
      <c r="E1274" s="1" t="s">
        <v>25</v>
      </c>
      <c r="F1274">
        <v>100.5</v>
      </c>
      <c r="G1274">
        <v>127.6</v>
      </c>
      <c r="H1274">
        <v>1234.97</v>
      </c>
      <c r="I1274" s="1" t="s">
        <v>1490</v>
      </c>
      <c r="J1274" s="1" t="s">
        <v>1491</v>
      </c>
      <c r="K1274" s="11" t="s">
        <v>25</v>
      </c>
      <c r="L1274">
        <v>-0.92</v>
      </c>
      <c r="M1274" s="1" t="s">
        <v>23</v>
      </c>
      <c r="N1274" s="11" t="s">
        <v>230</v>
      </c>
      <c r="Q1274" s="37">
        <v>0.21</v>
      </c>
      <c r="R1274" s="11" t="s">
        <v>231</v>
      </c>
      <c r="S1274" s="13">
        <f t="shared" si="19"/>
        <v>-0.92</v>
      </c>
    </row>
    <row r="1275" spans="1:19">
      <c r="A1275" s="18" t="s">
        <v>1335</v>
      </c>
      <c r="B1275" s="1" t="s">
        <v>1411</v>
      </c>
      <c r="C1275" s="1" t="s">
        <v>1489</v>
      </c>
      <c r="D1275" s="1" t="s">
        <v>25</v>
      </c>
      <c r="E1275" s="1" t="s">
        <v>25</v>
      </c>
      <c r="F1275">
        <v>100.5</v>
      </c>
      <c r="G1275">
        <v>127.6</v>
      </c>
      <c r="H1275">
        <v>1237.03</v>
      </c>
      <c r="I1275" s="1" t="s">
        <v>1490</v>
      </c>
      <c r="J1275" s="1" t="s">
        <v>1491</v>
      </c>
      <c r="K1275" s="11" t="s">
        <v>25</v>
      </c>
      <c r="L1275">
        <v>-1</v>
      </c>
      <c r="M1275" s="1" t="s">
        <v>23</v>
      </c>
      <c r="N1275" s="11" t="s">
        <v>230</v>
      </c>
      <c r="Q1275" s="37">
        <v>0.21</v>
      </c>
      <c r="R1275" s="11" t="s">
        <v>231</v>
      </c>
      <c r="S1275" s="13">
        <f t="shared" si="19"/>
        <v>-1</v>
      </c>
    </row>
    <row r="1276" spans="1:19">
      <c r="A1276" s="18" t="s">
        <v>1335</v>
      </c>
      <c r="B1276" s="1" t="s">
        <v>1412</v>
      </c>
      <c r="C1276" s="1" t="s">
        <v>1489</v>
      </c>
      <c r="D1276" s="1" t="s">
        <v>25</v>
      </c>
      <c r="E1276" s="1" t="s">
        <v>25</v>
      </c>
      <c r="F1276">
        <v>100.5</v>
      </c>
      <c r="G1276">
        <v>127.6</v>
      </c>
      <c r="H1276">
        <v>1246.3</v>
      </c>
      <c r="I1276" s="1" t="s">
        <v>1490</v>
      </c>
      <c r="J1276" s="1" t="s">
        <v>1336</v>
      </c>
      <c r="K1276" s="11" t="s">
        <v>25</v>
      </c>
      <c r="L1276">
        <v>-0.85</v>
      </c>
      <c r="M1276" s="1" t="s">
        <v>23</v>
      </c>
      <c r="N1276" s="11" t="s">
        <v>230</v>
      </c>
      <c r="Q1276" s="37">
        <v>0.27</v>
      </c>
      <c r="R1276" s="11" t="s">
        <v>231</v>
      </c>
      <c r="S1276" s="13">
        <f t="shared" si="19"/>
        <v>-0.85</v>
      </c>
    </row>
    <row r="1277" spans="1:19">
      <c r="A1277" s="18" t="s">
        <v>1335</v>
      </c>
      <c r="B1277" s="1" t="s">
        <v>1413</v>
      </c>
      <c r="C1277" s="1" t="s">
        <v>1489</v>
      </c>
      <c r="D1277" s="1" t="s">
        <v>25</v>
      </c>
      <c r="E1277" s="1" t="s">
        <v>25</v>
      </c>
      <c r="F1277">
        <v>100.5</v>
      </c>
      <c r="G1277">
        <v>127.6</v>
      </c>
      <c r="H1277">
        <v>1248.03</v>
      </c>
      <c r="I1277" s="1" t="s">
        <v>1490</v>
      </c>
      <c r="J1277" s="1" t="s">
        <v>1336</v>
      </c>
      <c r="K1277" s="11" t="s">
        <v>25</v>
      </c>
      <c r="L1277">
        <v>-0.92</v>
      </c>
      <c r="M1277" s="1" t="s">
        <v>23</v>
      </c>
      <c r="N1277" s="11" t="s">
        <v>230</v>
      </c>
      <c r="Q1277" s="37">
        <v>0.35</v>
      </c>
      <c r="R1277" s="11" t="s">
        <v>231</v>
      </c>
      <c r="S1277" s="13">
        <f t="shared" si="19"/>
        <v>-0.92</v>
      </c>
    </row>
    <row r="1278" spans="1:19">
      <c r="A1278" s="18" t="s">
        <v>1335</v>
      </c>
      <c r="B1278" s="1" t="s">
        <v>1414</v>
      </c>
      <c r="C1278" s="1" t="s">
        <v>1489</v>
      </c>
      <c r="D1278" s="1" t="s">
        <v>25</v>
      </c>
      <c r="E1278" s="1" t="s">
        <v>25</v>
      </c>
      <c r="F1278">
        <v>100.5</v>
      </c>
      <c r="G1278">
        <v>127.6</v>
      </c>
      <c r="H1278">
        <v>1248.43</v>
      </c>
      <c r="I1278" s="1" t="s">
        <v>1490</v>
      </c>
      <c r="J1278" s="1" t="s">
        <v>1491</v>
      </c>
      <c r="K1278" s="11" t="s">
        <v>25</v>
      </c>
      <c r="L1278">
        <v>-0.84</v>
      </c>
      <c r="M1278" s="1" t="s">
        <v>23</v>
      </c>
      <c r="N1278" s="11" t="s">
        <v>230</v>
      </c>
      <c r="Q1278" s="37">
        <v>0.24</v>
      </c>
      <c r="R1278" s="11" t="s">
        <v>231</v>
      </c>
      <c r="S1278" s="13">
        <f t="shared" si="19"/>
        <v>-0.84</v>
      </c>
    </row>
    <row r="1279" spans="1:19">
      <c r="A1279" s="18" t="s">
        <v>1335</v>
      </c>
      <c r="B1279" s="1" t="s">
        <v>1026</v>
      </c>
      <c r="C1279" s="1" t="s">
        <v>1489</v>
      </c>
      <c r="D1279" s="1" t="s">
        <v>25</v>
      </c>
      <c r="E1279" s="1" t="s">
        <v>25</v>
      </c>
      <c r="F1279">
        <v>100.5</v>
      </c>
      <c r="G1279">
        <v>127.6</v>
      </c>
      <c r="H1279">
        <v>1294.77</v>
      </c>
      <c r="I1279" s="1" t="s">
        <v>1490</v>
      </c>
      <c r="J1279" s="1" t="s">
        <v>1491</v>
      </c>
      <c r="K1279" s="11" t="s">
        <v>25</v>
      </c>
      <c r="L1279">
        <v>-0.74</v>
      </c>
      <c r="M1279" s="1" t="s">
        <v>23</v>
      </c>
      <c r="N1279" s="11" t="s">
        <v>230</v>
      </c>
      <c r="Q1279" s="37">
        <v>0.26</v>
      </c>
      <c r="R1279" s="11" t="s">
        <v>231</v>
      </c>
      <c r="S1279" s="13">
        <f t="shared" si="19"/>
        <v>-0.74</v>
      </c>
    </row>
    <row r="1280" spans="1:19">
      <c r="A1280" s="18" t="s">
        <v>1335</v>
      </c>
      <c r="B1280" s="1" t="s">
        <v>1415</v>
      </c>
      <c r="C1280" s="1" t="s">
        <v>1489</v>
      </c>
      <c r="D1280" s="1" t="s">
        <v>25</v>
      </c>
      <c r="E1280" s="1" t="s">
        <v>25</v>
      </c>
      <c r="F1280">
        <v>100.5</v>
      </c>
      <c r="G1280">
        <v>127.6</v>
      </c>
      <c r="H1280">
        <v>1296.3699999999999</v>
      </c>
      <c r="I1280" s="1" t="s">
        <v>1490</v>
      </c>
      <c r="J1280" s="1" t="s">
        <v>1491</v>
      </c>
      <c r="K1280" s="11" t="s">
        <v>25</v>
      </c>
      <c r="L1280">
        <v>-0.82</v>
      </c>
      <c r="M1280" s="1" t="s">
        <v>23</v>
      </c>
      <c r="N1280" s="11" t="s">
        <v>230</v>
      </c>
      <c r="Q1280" s="37">
        <v>0.27</v>
      </c>
      <c r="R1280" s="11" t="s">
        <v>231</v>
      </c>
      <c r="S1280" s="13">
        <f t="shared" si="19"/>
        <v>-0.82</v>
      </c>
    </row>
    <row r="1281" spans="1:19">
      <c r="A1281" s="18" t="s">
        <v>1335</v>
      </c>
      <c r="B1281" s="1" t="s">
        <v>1416</v>
      </c>
      <c r="C1281" s="1" t="s">
        <v>1489</v>
      </c>
      <c r="D1281" s="1" t="s">
        <v>25</v>
      </c>
      <c r="E1281" s="1" t="s">
        <v>25</v>
      </c>
      <c r="F1281">
        <v>100.5</v>
      </c>
      <c r="G1281">
        <v>127.6</v>
      </c>
      <c r="H1281">
        <v>1296.67</v>
      </c>
      <c r="I1281" s="1" t="s">
        <v>1490</v>
      </c>
      <c r="J1281" s="1" t="s">
        <v>1491</v>
      </c>
      <c r="K1281" s="11" t="s">
        <v>25</v>
      </c>
      <c r="L1281">
        <v>-0.83</v>
      </c>
      <c r="M1281" s="1" t="s">
        <v>23</v>
      </c>
      <c r="N1281" s="11" t="s">
        <v>230</v>
      </c>
      <c r="Q1281" s="37">
        <v>0.26</v>
      </c>
      <c r="R1281" s="11" t="s">
        <v>231</v>
      </c>
      <c r="S1281" s="13">
        <f t="shared" si="19"/>
        <v>-0.83</v>
      </c>
    </row>
    <row r="1282" spans="1:19">
      <c r="A1282" s="18" t="s">
        <v>1335</v>
      </c>
      <c r="B1282" s="1" t="s">
        <v>1417</v>
      </c>
      <c r="C1282" s="1" t="s">
        <v>1489</v>
      </c>
      <c r="D1282" s="1" t="s">
        <v>25</v>
      </c>
      <c r="E1282" s="1" t="s">
        <v>25</v>
      </c>
      <c r="F1282">
        <v>100.5</v>
      </c>
      <c r="G1282">
        <v>127.6</v>
      </c>
      <c r="H1282">
        <v>1302.97</v>
      </c>
      <c r="I1282" s="1" t="s">
        <v>1490</v>
      </c>
      <c r="J1282" s="1" t="s">
        <v>1491</v>
      </c>
      <c r="K1282" s="11" t="s">
        <v>25</v>
      </c>
      <c r="L1282">
        <v>-0.71</v>
      </c>
      <c r="M1282" s="1" t="s">
        <v>23</v>
      </c>
      <c r="N1282" s="11" t="s">
        <v>230</v>
      </c>
      <c r="Q1282" s="37">
        <v>0.26</v>
      </c>
      <c r="R1282" s="11" t="s">
        <v>231</v>
      </c>
      <c r="S1282" s="13">
        <f t="shared" si="19"/>
        <v>-0.71</v>
      </c>
    </row>
    <row r="1283" spans="1:19">
      <c r="A1283" s="18" t="s">
        <v>1335</v>
      </c>
      <c r="B1283" s="1" t="s">
        <v>1418</v>
      </c>
      <c r="C1283" s="1" t="s">
        <v>1489</v>
      </c>
      <c r="D1283" s="1" t="s">
        <v>25</v>
      </c>
      <c r="E1283" s="1" t="s">
        <v>25</v>
      </c>
      <c r="F1283">
        <v>100.5</v>
      </c>
      <c r="G1283">
        <v>127.6</v>
      </c>
      <c r="H1283">
        <v>1303.27</v>
      </c>
      <c r="I1283" s="1" t="s">
        <v>1490</v>
      </c>
      <c r="J1283" s="1" t="s">
        <v>1491</v>
      </c>
      <c r="K1283" s="11" t="s">
        <v>25</v>
      </c>
      <c r="L1283" t="s">
        <v>25</v>
      </c>
      <c r="M1283" s="1" t="s">
        <v>25</v>
      </c>
      <c r="N1283" s="11" t="s">
        <v>230</v>
      </c>
      <c r="Q1283" s="37">
        <v>0.27</v>
      </c>
      <c r="R1283" s="11" t="s">
        <v>231</v>
      </c>
      <c r="S1283" s="13" t="str">
        <f t="shared" ref="S1283:S1346" si="20">IF(NOT(N1283="SW"),L1283-1.88,L1283)</f>
        <v>Na</v>
      </c>
    </row>
    <row r="1284" spans="1:19">
      <c r="A1284" s="18" t="s">
        <v>1335</v>
      </c>
      <c r="B1284" s="1" t="s">
        <v>1027</v>
      </c>
      <c r="C1284" s="1" t="s">
        <v>1489</v>
      </c>
      <c r="D1284" s="1" t="s">
        <v>25</v>
      </c>
      <c r="E1284" s="1" t="s">
        <v>25</v>
      </c>
      <c r="F1284">
        <v>100.5</v>
      </c>
      <c r="G1284">
        <v>127.6</v>
      </c>
      <c r="H1284">
        <v>1377.27</v>
      </c>
      <c r="I1284" s="1" t="s">
        <v>1490</v>
      </c>
      <c r="J1284" s="1" t="s">
        <v>1491</v>
      </c>
      <c r="K1284" s="11" t="s">
        <v>25</v>
      </c>
      <c r="L1284">
        <v>-1.1200000000000001</v>
      </c>
      <c r="M1284" s="1" t="s">
        <v>23</v>
      </c>
      <c r="N1284" s="11" t="s">
        <v>230</v>
      </c>
      <c r="Q1284" s="37">
        <v>0.18</v>
      </c>
      <c r="R1284" s="11" t="s">
        <v>231</v>
      </c>
      <c r="S1284" s="13">
        <f t="shared" si="20"/>
        <v>-1.1200000000000001</v>
      </c>
    </row>
    <row r="1285" spans="1:19">
      <c r="A1285" s="18" t="s">
        <v>1335</v>
      </c>
      <c r="B1285" s="1" t="s">
        <v>1028</v>
      </c>
      <c r="C1285" s="1" t="s">
        <v>1489</v>
      </c>
      <c r="D1285" s="1" t="s">
        <v>25</v>
      </c>
      <c r="E1285" s="1" t="s">
        <v>25</v>
      </c>
      <c r="F1285">
        <v>100.5</v>
      </c>
      <c r="G1285">
        <v>127.6</v>
      </c>
      <c r="H1285">
        <v>1381.87</v>
      </c>
      <c r="I1285" s="1" t="s">
        <v>1490</v>
      </c>
      <c r="J1285" s="1" t="s">
        <v>1336</v>
      </c>
      <c r="K1285" s="11" t="s">
        <v>25</v>
      </c>
      <c r="L1285">
        <v>-0.81</v>
      </c>
      <c r="M1285" s="1" t="s">
        <v>23</v>
      </c>
      <c r="N1285" s="11" t="s">
        <v>230</v>
      </c>
      <c r="Q1285" s="37">
        <v>0.2</v>
      </c>
      <c r="R1285" s="11" t="s">
        <v>231</v>
      </c>
      <c r="S1285" s="13">
        <f t="shared" si="20"/>
        <v>-0.81</v>
      </c>
    </row>
    <row r="1286" spans="1:19">
      <c r="A1286" s="18" t="s">
        <v>1335</v>
      </c>
      <c r="B1286" s="1" t="s">
        <v>1029</v>
      </c>
      <c r="C1286" s="1" t="s">
        <v>1489</v>
      </c>
      <c r="D1286" s="1" t="s">
        <v>25</v>
      </c>
      <c r="E1286" s="1" t="s">
        <v>25</v>
      </c>
      <c r="F1286">
        <v>100.5</v>
      </c>
      <c r="G1286">
        <v>127.6</v>
      </c>
      <c r="H1286">
        <v>1400.57</v>
      </c>
      <c r="I1286" s="1" t="s">
        <v>1490</v>
      </c>
      <c r="J1286" s="1" t="s">
        <v>1491</v>
      </c>
      <c r="K1286" s="11" t="s">
        <v>25</v>
      </c>
      <c r="L1286">
        <v>-0.99</v>
      </c>
      <c r="M1286" s="1" t="s">
        <v>23</v>
      </c>
      <c r="N1286" s="11" t="s">
        <v>230</v>
      </c>
      <c r="Q1286" s="37">
        <v>0.3</v>
      </c>
      <c r="R1286" s="11" t="s">
        <v>231</v>
      </c>
      <c r="S1286" s="13">
        <f t="shared" si="20"/>
        <v>-0.99</v>
      </c>
    </row>
    <row r="1287" spans="1:19">
      <c r="A1287" s="18" t="s">
        <v>1335</v>
      </c>
      <c r="B1287" s="1" t="s">
        <v>1419</v>
      </c>
      <c r="C1287" s="1" t="s">
        <v>1489</v>
      </c>
      <c r="D1287" s="1" t="s">
        <v>25</v>
      </c>
      <c r="E1287" s="1" t="s">
        <v>25</v>
      </c>
      <c r="F1287">
        <v>100.5</v>
      </c>
      <c r="G1287">
        <v>127.6</v>
      </c>
      <c r="H1287">
        <v>1441.47</v>
      </c>
      <c r="I1287" s="1" t="s">
        <v>1490</v>
      </c>
      <c r="J1287" s="1" t="s">
        <v>1336</v>
      </c>
      <c r="K1287" s="11" t="s">
        <v>25</v>
      </c>
      <c r="L1287">
        <v>-0.88</v>
      </c>
      <c r="M1287" s="1" t="s">
        <v>23</v>
      </c>
      <c r="N1287" s="11" t="s">
        <v>230</v>
      </c>
      <c r="Q1287" s="37">
        <v>0.37</v>
      </c>
      <c r="R1287" s="11" t="s">
        <v>231</v>
      </c>
      <c r="S1287" s="13">
        <f t="shared" si="20"/>
        <v>-0.88</v>
      </c>
    </row>
    <row r="1288" spans="1:19">
      <c r="A1288" s="18" t="s">
        <v>1335</v>
      </c>
      <c r="B1288" s="1" t="s">
        <v>1420</v>
      </c>
      <c r="C1288" s="1" t="s">
        <v>1489</v>
      </c>
      <c r="D1288" s="1" t="s">
        <v>25</v>
      </c>
      <c r="E1288" s="1" t="s">
        <v>25</v>
      </c>
      <c r="F1288">
        <v>100.5</v>
      </c>
      <c r="G1288">
        <v>127.6</v>
      </c>
      <c r="H1288">
        <v>1441.77</v>
      </c>
      <c r="I1288" s="1" t="s">
        <v>1490</v>
      </c>
      <c r="J1288" s="1" t="s">
        <v>1336</v>
      </c>
      <c r="K1288" s="11" t="s">
        <v>25</v>
      </c>
      <c r="L1288">
        <v>-0.87</v>
      </c>
      <c r="M1288" s="1" t="s">
        <v>23</v>
      </c>
      <c r="N1288" s="11" t="s">
        <v>230</v>
      </c>
      <c r="Q1288" s="37">
        <v>0.4</v>
      </c>
      <c r="R1288" s="11" t="s">
        <v>231</v>
      </c>
      <c r="S1288" s="13">
        <f t="shared" si="20"/>
        <v>-0.87</v>
      </c>
    </row>
    <row r="1289" spans="1:19">
      <c r="A1289" s="18" t="s">
        <v>1335</v>
      </c>
      <c r="B1289" s="1" t="s">
        <v>1421</v>
      </c>
      <c r="C1289" s="1" t="s">
        <v>1489</v>
      </c>
      <c r="D1289" s="1" t="s">
        <v>25</v>
      </c>
      <c r="E1289" s="1" t="s">
        <v>25</v>
      </c>
      <c r="F1289">
        <v>100.5</v>
      </c>
      <c r="G1289">
        <v>127.6</v>
      </c>
      <c r="H1289">
        <v>1452.47</v>
      </c>
      <c r="I1289" s="1" t="s">
        <v>1490</v>
      </c>
      <c r="J1289" s="1" t="s">
        <v>1491</v>
      </c>
      <c r="K1289" s="11" t="s">
        <v>25</v>
      </c>
      <c r="L1289">
        <v>-1</v>
      </c>
      <c r="M1289" s="1" t="s">
        <v>23</v>
      </c>
      <c r="N1289" s="11" t="s">
        <v>230</v>
      </c>
      <c r="Q1289" s="37">
        <v>0.26</v>
      </c>
      <c r="R1289" s="11" t="s">
        <v>231</v>
      </c>
      <c r="S1289" s="13">
        <f t="shared" si="20"/>
        <v>-1</v>
      </c>
    </row>
    <row r="1290" spans="1:19">
      <c r="A1290" s="18" t="s">
        <v>1335</v>
      </c>
      <c r="B1290" s="1" t="s">
        <v>1422</v>
      </c>
      <c r="C1290" s="1" t="s">
        <v>1489</v>
      </c>
      <c r="D1290" s="1" t="s">
        <v>25</v>
      </c>
      <c r="E1290" s="1" t="s">
        <v>25</v>
      </c>
      <c r="F1290">
        <v>100.5</v>
      </c>
      <c r="G1290">
        <v>127.6</v>
      </c>
      <c r="H1290">
        <v>1453.07</v>
      </c>
      <c r="I1290" s="1" t="s">
        <v>1490</v>
      </c>
      <c r="J1290" s="1" t="s">
        <v>1491</v>
      </c>
      <c r="K1290" s="11" t="s">
        <v>25</v>
      </c>
      <c r="L1290">
        <v>-1.1100000000000001</v>
      </c>
      <c r="M1290" s="1" t="s">
        <v>23</v>
      </c>
      <c r="N1290" s="11" t="s">
        <v>230</v>
      </c>
      <c r="Q1290" s="37">
        <v>0.23</v>
      </c>
      <c r="R1290" s="11" t="s">
        <v>231</v>
      </c>
      <c r="S1290" s="13">
        <f t="shared" si="20"/>
        <v>-1.1100000000000001</v>
      </c>
    </row>
    <row r="1291" spans="1:19">
      <c r="A1291" s="18" t="s">
        <v>1335</v>
      </c>
      <c r="B1291" s="1" t="s">
        <v>1423</v>
      </c>
      <c r="C1291" s="1" t="s">
        <v>1489</v>
      </c>
      <c r="D1291" s="1" t="s">
        <v>25</v>
      </c>
      <c r="E1291" s="1" t="s">
        <v>25</v>
      </c>
      <c r="F1291">
        <v>100.5</v>
      </c>
      <c r="G1291">
        <v>127.6</v>
      </c>
      <c r="H1291">
        <v>1465.97</v>
      </c>
      <c r="I1291" s="1" t="s">
        <v>1490</v>
      </c>
      <c r="J1291" s="1" t="s">
        <v>1491</v>
      </c>
      <c r="K1291" s="11" t="s">
        <v>25</v>
      </c>
      <c r="L1291">
        <v>-1.03</v>
      </c>
      <c r="M1291" s="1" t="s">
        <v>23</v>
      </c>
      <c r="N1291" s="11" t="s">
        <v>230</v>
      </c>
      <c r="Q1291" s="37">
        <v>0.25</v>
      </c>
      <c r="R1291" s="11" t="s">
        <v>231</v>
      </c>
      <c r="S1291" s="13">
        <f t="shared" si="20"/>
        <v>-1.03</v>
      </c>
    </row>
    <row r="1292" spans="1:19">
      <c r="A1292" s="18" t="s">
        <v>1335</v>
      </c>
      <c r="B1292" s="1" t="s">
        <v>1424</v>
      </c>
      <c r="C1292" s="1" t="s">
        <v>1489</v>
      </c>
      <c r="D1292" s="1" t="s">
        <v>25</v>
      </c>
      <c r="E1292" s="1" t="s">
        <v>25</v>
      </c>
      <c r="F1292">
        <v>100.5</v>
      </c>
      <c r="G1292">
        <v>127.6</v>
      </c>
      <c r="H1292">
        <v>1495.07</v>
      </c>
      <c r="I1292" s="1" t="s">
        <v>1490</v>
      </c>
      <c r="J1292" s="1" t="s">
        <v>1336</v>
      </c>
      <c r="K1292" s="11" t="s">
        <v>25</v>
      </c>
      <c r="L1292">
        <v>-1</v>
      </c>
      <c r="M1292" s="1" t="s">
        <v>23</v>
      </c>
      <c r="N1292" s="11" t="s">
        <v>230</v>
      </c>
      <c r="Q1292" s="37">
        <v>0.43</v>
      </c>
      <c r="R1292" s="11" t="s">
        <v>231</v>
      </c>
      <c r="S1292" s="13">
        <f t="shared" si="20"/>
        <v>-1</v>
      </c>
    </row>
    <row r="1293" spans="1:19">
      <c r="A1293" s="18" t="s">
        <v>1335</v>
      </c>
      <c r="B1293" s="1" t="s">
        <v>1425</v>
      </c>
      <c r="C1293" s="1" t="s">
        <v>1489</v>
      </c>
      <c r="D1293" s="1" t="s">
        <v>25</v>
      </c>
      <c r="E1293" s="1" t="s">
        <v>25</v>
      </c>
      <c r="F1293">
        <v>100.5</v>
      </c>
      <c r="G1293">
        <v>127.6</v>
      </c>
      <c r="H1293">
        <v>1495.17</v>
      </c>
      <c r="I1293" s="1" t="s">
        <v>1490</v>
      </c>
      <c r="J1293" s="1" t="s">
        <v>1336</v>
      </c>
      <c r="K1293" s="11" t="s">
        <v>25</v>
      </c>
      <c r="L1293">
        <v>-1.02</v>
      </c>
      <c r="M1293" s="1" t="s">
        <v>23</v>
      </c>
      <c r="N1293" s="11" t="s">
        <v>230</v>
      </c>
      <c r="Q1293" s="37">
        <v>0.38</v>
      </c>
      <c r="R1293" s="11" t="s">
        <v>231</v>
      </c>
      <c r="S1293" s="13">
        <f t="shared" si="20"/>
        <v>-1.02</v>
      </c>
    </row>
    <row r="1294" spans="1:19">
      <c r="A1294" s="18" t="s">
        <v>1335</v>
      </c>
      <c r="B1294" s="1" t="s">
        <v>1426</v>
      </c>
      <c r="C1294" s="1" t="s">
        <v>1489</v>
      </c>
      <c r="D1294" s="1" t="s">
        <v>25</v>
      </c>
      <c r="E1294" s="1" t="s">
        <v>25</v>
      </c>
      <c r="F1294">
        <v>100.5</v>
      </c>
      <c r="G1294">
        <v>127.6</v>
      </c>
      <c r="H1294">
        <v>1519.03</v>
      </c>
      <c r="I1294" s="1" t="s">
        <v>1490</v>
      </c>
      <c r="J1294" s="1" t="s">
        <v>1491</v>
      </c>
      <c r="K1294" s="11" t="s">
        <v>25</v>
      </c>
      <c r="L1294">
        <v>-1.01</v>
      </c>
      <c r="M1294" s="1" t="s">
        <v>23</v>
      </c>
      <c r="N1294" s="11" t="s">
        <v>230</v>
      </c>
      <c r="Q1294" s="37">
        <v>0.2</v>
      </c>
      <c r="R1294" s="11" t="s">
        <v>231</v>
      </c>
      <c r="S1294" s="13">
        <f t="shared" si="20"/>
        <v>-1.01</v>
      </c>
    </row>
    <row r="1295" spans="1:19">
      <c r="A1295" s="18" t="s">
        <v>1335</v>
      </c>
      <c r="B1295" s="1" t="s">
        <v>1427</v>
      </c>
      <c r="C1295" s="1" t="s">
        <v>1489</v>
      </c>
      <c r="D1295" s="1" t="s">
        <v>25</v>
      </c>
      <c r="E1295" s="1" t="s">
        <v>25</v>
      </c>
      <c r="F1295">
        <v>100.5</v>
      </c>
      <c r="G1295">
        <v>127.6</v>
      </c>
      <c r="H1295">
        <v>1528.67</v>
      </c>
      <c r="I1295" s="1" t="s">
        <v>1490</v>
      </c>
      <c r="J1295" s="1" t="s">
        <v>1491</v>
      </c>
      <c r="K1295" s="11" t="s">
        <v>25</v>
      </c>
      <c r="L1295">
        <v>-1.01</v>
      </c>
      <c r="M1295" s="1" t="s">
        <v>23</v>
      </c>
      <c r="N1295" s="11" t="s">
        <v>230</v>
      </c>
      <c r="Q1295" s="37">
        <v>0.19</v>
      </c>
      <c r="R1295" s="11" t="s">
        <v>231</v>
      </c>
      <c r="S1295" s="13">
        <f t="shared" si="20"/>
        <v>-1.01</v>
      </c>
    </row>
    <row r="1296" spans="1:19">
      <c r="A1296" s="18" t="s">
        <v>1335</v>
      </c>
      <c r="B1296" s="1" t="s">
        <v>1428</v>
      </c>
      <c r="C1296" s="1" t="s">
        <v>1489</v>
      </c>
      <c r="D1296" s="1" t="s">
        <v>25</v>
      </c>
      <c r="E1296" s="1" t="s">
        <v>25</v>
      </c>
      <c r="F1296">
        <v>100.5</v>
      </c>
      <c r="G1296">
        <v>127.6</v>
      </c>
      <c r="H1296">
        <v>1536.47</v>
      </c>
      <c r="I1296" s="1" t="s">
        <v>1490</v>
      </c>
      <c r="J1296" s="1" t="s">
        <v>1491</v>
      </c>
      <c r="K1296" s="11" t="s">
        <v>25</v>
      </c>
      <c r="L1296">
        <v>-1.1399999999999999</v>
      </c>
      <c r="M1296" s="1" t="s">
        <v>23</v>
      </c>
      <c r="N1296" s="11" t="s">
        <v>230</v>
      </c>
      <c r="Q1296" s="37">
        <v>0.21</v>
      </c>
      <c r="R1296" s="11" t="s">
        <v>231</v>
      </c>
      <c r="S1296" s="13">
        <f t="shared" si="20"/>
        <v>-1.1399999999999999</v>
      </c>
    </row>
    <row r="1297" spans="1:19">
      <c r="A1297" s="18" t="s">
        <v>1335</v>
      </c>
      <c r="B1297" s="1" t="s">
        <v>1429</v>
      </c>
      <c r="C1297" s="1" t="s">
        <v>1489</v>
      </c>
      <c r="D1297" s="1" t="s">
        <v>25</v>
      </c>
      <c r="E1297" s="1" t="s">
        <v>25</v>
      </c>
      <c r="F1297">
        <v>100.5</v>
      </c>
      <c r="G1297">
        <v>127.6</v>
      </c>
      <c r="H1297">
        <v>1544.67</v>
      </c>
      <c r="I1297" s="1" t="s">
        <v>1490</v>
      </c>
      <c r="J1297" s="1" t="s">
        <v>1491</v>
      </c>
      <c r="K1297" s="11" t="s">
        <v>25</v>
      </c>
      <c r="L1297">
        <v>-1.1000000000000001</v>
      </c>
      <c r="M1297" s="1" t="s">
        <v>23</v>
      </c>
      <c r="N1297" s="11" t="s">
        <v>230</v>
      </c>
      <c r="Q1297" s="37">
        <v>0.3</v>
      </c>
      <c r="R1297" s="11" t="s">
        <v>231</v>
      </c>
      <c r="S1297" s="13">
        <f t="shared" si="20"/>
        <v>-1.1000000000000001</v>
      </c>
    </row>
    <row r="1298" spans="1:19">
      <c r="A1298" s="18" t="s">
        <v>1335</v>
      </c>
      <c r="B1298" s="1" t="s">
        <v>1030</v>
      </c>
      <c r="C1298" s="1" t="s">
        <v>1489</v>
      </c>
      <c r="D1298" s="1" t="s">
        <v>25</v>
      </c>
      <c r="E1298" s="1" t="s">
        <v>25</v>
      </c>
      <c r="F1298">
        <v>100.5</v>
      </c>
      <c r="G1298">
        <v>127.6</v>
      </c>
      <c r="H1298">
        <v>1544.87</v>
      </c>
      <c r="I1298" s="1" t="s">
        <v>1490</v>
      </c>
      <c r="J1298" s="1" t="s">
        <v>1491</v>
      </c>
      <c r="K1298" s="11" t="s">
        <v>25</v>
      </c>
      <c r="L1298">
        <v>-1.0900000000000001</v>
      </c>
      <c r="M1298" s="1" t="s">
        <v>23</v>
      </c>
      <c r="N1298" s="11" t="s">
        <v>230</v>
      </c>
      <c r="Q1298" s="37">
        <v>0.2</v>
      </c>
      <c r="R1298" s="11" t="s">
        <v>231</v>
      </c>
      <c r="S1298" s="13">
        <f t="shared" si="20"/>
        <v>-1.0900000000000001</v>
      </c>
    </row>
    <row r="1299" spans="1:19">
      <c r="A1299" s="18" t="s">
        <v>1335</v>
      </c>
      <c r="B1299" s="1" t="s">
        <v>1430</v>
      </c>
      <c r="C1299" s="1" t="s">
        <v>1489</v>
      </c>
      <c r="D1299" s="1" t="s">
        <v>25</v>
      </c>
      <c r="E1299" s="1" t="s">
        <v>25</v>
      </c>
      <c r="F1299">
        <v>100.5</v>
      </c>
      <c r="G1299">
        <v>127.6</v>
      </c>
      <c r="H1299">
        <v>1554.77</v>
      </c>
      <c r="I1299" s="1" t="s">
        <v>1490</v>
      </c>
      <c r="J1299" s="1" t="s">
        <v>1491</v>
      </c>
      <c r="K1299" s="11" t="s">
        <v>25</v>
      </c>
      <c r="L1299">
        <v>-0.92</v>
      </c>
      <c r="M1299" s="1" t="s">
        <v>23</v>
      </c>
      <c r="N1299" s="11" t="s">
        <v>230</v>
      </c>
      <c r="Q1299" s="37">
        <v>0.22</v>
      </c>
      <c r="R1299" s="11" t="s">
        <v>231</v>
      </c>
      <c r="S1299" s="13">
        <f t="shared" si="20"/>
        <v>-0.92</v>
      </c>
    </row>
    <row r="1300" spans="1:19">
      <c r="A1300" s="18" t="s">
        <v>1335</v>
      </c>
      <c r="B1300" s="1" t="s">
        <v>1431</v>
      </c>
      <c r="C1300" s="1" t="s">
        <v>1489</v>
      </c>
      <c r="D1300" s="1" t="s">
        <v>25</v>
      </c>
      <c r="E1300" s="1" t="s">
        <v>25</v>
      </c>
      <c r="F1300">
        <v>100.5</v>
      </c>
      <c r="G1300">
        <v>127.6</v>
      </c>
      <c r="H1300">
        <v>1556.47</v>
      </c>
      <c r="I1300" s="1" t="s">
        <v>1490</v>
      </c>
      <c r="J1300" s="1" t="s">
        <v>1491</v>
      </c>
      <c r="K1300" s="11" t="s">
        <v>25</v>
      </c>
      <c r="L1300">
        <v>-0.91</v>
      </c>
      <c r="M1300" s="1" t="s">
        <v>23</v>
      </c>
      <c r="N1300" s="11" t="s">
        <v>230</v>
      </c>
      <c r="Q1300" s="37">
        <v>0.22</v>
      </c>
      <c r="R1300" s="11" t="s">
        <v>231</v>
      </c>
      <c r="S1300" s="13">
        <f t="shared" si="20"/>
        <v>-0.91</v>
      </c>
    </row>
    <row r="1301" spans="1:19">
      <c r="A1301" s="18" t="s">
        <v>1335</v>
      </c>
      <c r="B1301" s="1" t="s">
        <v>1432</v>
      </c>
      <c r="C1301" s="1" t="s">
        <v>1489</v>
      </c>
      <c r="D1301" s="1" t="s">
        <v>25</v>
      </c>
      <c r="E1301" s="1" t="s">
        <v>25</v>
      </c>
      <c r="F1301">
        <v>100.5</v>
      </c>
      <c r="G1301">
        <v>127.6</v>
      </c>
      <c r="H1301">
        <v>1563.87</v>
      </c>
      <c r="I1301" s="1" t="s">
        <v>1490</v>
      </c>
      <c r="J1301" s="1" t="s">
        <v>1491</v>
      </c>
      <c r="K1301" s="11" t="s">
        <v>25</v>
      </c>
      <c r="L1301">
        <v>-1.04</v>
      </c>
      <c r="M1301" s="1" t="s">
        <v>23</v>
      </c>
      <c r="N1301" s="11" t="s">
        <v>230</v>
      </c>
      <c r="Q1301" s="37">
        <v>0.22</v>
      </c>
      <c r="R1301" s="11" t="s">
        <v>231</v>
      </c>
      <c r="S1301" s="13">
        <f t="shared" si="20"/>
        <v>-1.04</v>
      </c>
    </row>
    <row r="1302" spans="1:19">
      <c r="A1302" s="18" t="s">
        <v>1335</v>
      </c>
      <c r="B1302" s="1" t="s">
        <v>1433</v>
      </c>
      <c r="C1302" s="1" t="s">
        <v>1489</v>
      </c>
      <c r="D1302" s="1" t="s">
        <v>25</v>
      </c>
      <c r="E1302" s="1" t="s">
        <v>25</v>
      </c>
      <c r="F1302">
        <v>100.5</v>
      </c>
      <c r="G1302">
        <v>127.6</v>
      </c>
      <c r="H1302">
        <v>1567.77</v>
      </c>
      <c r="I1302" s="1" t="s">
        <v>1490</v>
      </c>
      <c r="J1302" s="1" t="s">
        <v>1491</v>
      </c>
      <c r="K1302" s="11" t="s">
        <v>25</v>
      </c>
      <c r="L1302">
        <v>-0.92</v>
      </c>
      <c r="M1302" s="1" t="s">
        <v>23</v>
      </c>
      <c r="N1302" s="11" t="s">
        <v>230</v>
      </c>
      <c r="Q1302" s="37">
        <v>0.22</v>
      </c>
      <c r="R1302" s="11" t="s">
        <v>231</v>
      </c>
      <c r="S1302" s="13">
        <f t="shared" si="20"/>
        <v>-0.92</v>
      </c>
    </row>
    <row r="1303" spans="1:19">
      <c r="A1303" s="18" t="s">
        <v>1335</v>
      </c>
      <c r="B1303" s="1" t="s">
        <v>1434</v>
      </c>
      <c r="C1303" s="1" t="s">
        <v>1489</v>
      </c>
      <c r="D1303" s="1" t="s">
        <v>25</v>
      </c>
      <c r="E1303" s="1" t="s">
        <v>25</v>
      </c>
      <c r="F1303">
        <v>100.5</v>
      </c>
      <c r="G1303">
        <v>127.6</v>
      </c>
      <c r="H1303">
        <v>1571.03</v>
      </c>
      <c r="I1303" s="1" t="s">
        <v>1490</v>
      </c>
      <c r="J1303" s="1" t="s">
        <v>1491</v>
      </c>
      <c r="K1303" s="11" t="s">
        <v>25</v>
      </c>
      <c r="L1303">
        <v>-1.02</v>
      </c>
      <c r="M1303" s="1" t="s">
        <v>23</v>
      </c>
      <c r="N1303" s="11" t="s">
        <v>230</v>
      </c>
      <c r="Q1303" s="37">
        <v>0.27</v>
      </c>
      <c r="R1303" s="11" t="s">
        <v>231</v>
      </c>
      <c r="S1303" s="13">
        <f t="shared" si="20"/>
        <v>-1.02</v>
      </c>
    </row>
    <row r="1304" spans="1:19">
      <c r="A1304" s="18" t="s">
        <v>1335</v>
      </c>
      <c r="B1304" s="1" t="s">
        <v>1435</v>
      </c>
      <c r="C1304" s="1" t="s">
        <v>1489</v>
      </c>
      <c r="D1304" s="1" t="s">
        <v>25</v>
      </c>
      <c r="E1304" s="1" t="s">
        <v>25</v>
      </c>
      <c r="F1304">
        <v>100.5</v>
      </c>
      <c r="G1304">
        <v>127.6</v>
      </c>
      <c r="H1304">
        <v>1579.07</v>
      </c>
      <c r="I1304" s="1" t="s">
        <v>1490</v>
      </c>
      <c r="J1304" s="1" t="s">
        <v>1491</v>
      </c>
      <c r="K1304" s="11" t="s">
        <v>25</v>
      </c>
      <c r="L1304">
        <v>-1.08</v>
      </c>
      <c r="M1304" s="1" t="s">
        <v>23</v>
      </c>
      <c r="N1304" s="11" t="s">
        <v>230</v>
      </c>
      <c r="Q1304" s="37">
        <v>0.22</v>
      </c>
      <c r="R1304" s="11" t="s">
        <v>231</v>
      </c>
      <c r="S1304" s="13">
        <f t="shared" si="20"/>
        <v>-1.08</v>
      </c>
    </row>
    <row r="1305" spans="1:19">
      <c r="A1305" s="18" t="s">
        <v>1335</v>
      </c>
      <c r="B1305" s="1" t="s">
        <v>1436</v>
      </c>
      <c r="C1305" s="1" t="s">
        <v>1489</v>
      </c>
      <c r="D1305" s="1" t="s">
        <v>25</v>
      </c>
      <c r="E1305" s="1" t="s">
        <v>25</v>
      </c>
      <c r="F1305">
        <v>100.5</v>
      </c>
      <c r="G1305">
        <v>127.6</v>
      </c>
      <c r="H1305">
        <v>1591.87</v>
      </c>
      <c r="I1305" s="1" t="s">
        <v>1490</v>
      </c>
      <c r="J1305" s="1" t="s">
        <v>1491</v>
      </c>
      <c r="K1305" s="11" t="s">
        <v>25</v>
      </c>
      <c r="L1305">
        <v>-1.1599999999999999</v>
      </c>
      <c r="M1305" s="1" t="s">
        <v>23</v>
      </c>
      <c r="N1305" s="11" t="s">
        <v>230</v>
      </c>
      <c r="Q1305" s="37">
        <v>0.3</v>
      </c>
      <c r="R1305" s="11" t="s">
        <v>231</v>
      </c>
      <c r="S1305" s="13">
        <f t="shared" si="20"/>
        <v>-1.1599999999999999</v>
      </c>
    </row>
    <row r="1306" spans="1:19">
      <c r="A1306" s="18" t="s">
        <v>1335</v>
      </c>
      <c r="B1306" s="1" t="s">
        <v>1437</v>
      </c>
      <c r="C1306" s="1" t="s">
        <v>1489</v>
      </c>
      <c r="D1306" s="1" t="s">
        <v>25</v>
      </c>
      <c r="E1306" s="1" t="s">
        <v>25</v>
      </c>
      <c r="F1306">
        <v>100.5</v>
      </c>
      <c r="G1306">
        <v>127.6</v>
      </c>
      <c r="H1306">
        <v>1594.07</v>
      </c>
      <c r="I1306" s="1" t="s">
        <v>1490</v>
      </c>
      <c r="J1306" s="1" t="s">
        <v>1491</v>
      </c>
      <c r="K1306" s="11" t="s">
        <v>25</v>
      </c>
      <c r="L1306">
        <v>-1.05</v>
      </c>
      <c r="M1306" s="1" t="s">
        <v>23</v>
      </c>
      <c r="N1306" s="11" t="s">
        <v>230</v>
      </c>
      <c r="Q1306" s="37">
        <v>0.2</v>
      </c>
      <c r="R1306" s="11" t="s">
        <v>231</v>
      </c>
      <c r="S1306" s="13">
        <f t="shared" si="20"/>
        <v>-1.05</v>
      </c>
    </row>
    <row r="1307" spans="1:19">
      <c r="A1307" s="18" t="s">
        <v>1335</v>
      </c>
      <c r="B1307" s="1" t="s">
        <v>1438</v>
      </c>
      <c r="C1307" s="1" t="s">
        <v>1489</v>
      </c>
      <c r="D1307" s="1" t="s">
        <v>25</v>
      </c>
      <c r="E1307" s="1" t="s">
        <v>25</v>
      </c>
      <c r="F1307">
        <v>100.5</v>
      </c>
      <c r="G1307">
        <v>127.6</v>
      </c>
      <c r="H1307">
        <v>1598.17</v>
      </c>
      <c r="I1307" s="1" t="s">
        <v>1490</v>
      </c>
      <c r="J1307" s="1" t="s">
        <v>1491</v>
      </c>
      <c r="K1307" s="11" t="s">
        <v>25</v>
      </c>
      <c r="L1307">
        <v>-1.05</v>
      </c>
      <c r="M1307" s="1" t="s">
        <v>23</v>
      </c>
      <c r="N1307" s="11" t="s">
        <v>230</v>
      </c>
      <c r="Q1307" s="37">
        <v>0.28999999999999998</v>
      </c>
      <c r="R1307" s="11" t="s">
        <v>231</v>
      </c>
      <c r="S1307" s="13">
        <f t="shared" si="20"/>
        <v>-1.05</v>
      </c>
    </row>
    <row r="1308" spans="1:19">
      <c r="A1308" s="18" t="s">
        <v>1335</v>
      </c>
      <c r="B1308" s="1" t="s">
        <v>1439</v>
      </c>
      <c r="C1308" s="1" t="s">
        <v>1489</v>
      </c>
      <c r="D1308" s="1" t="s">
        <v>25</v>
      </c>
      <c r="E1308" s="1" t="s">
        <v>25</v>
      </c>
      <c r="F1308">
        <v>100.5</v>
      </c>
      <c r="G1308">
        <v>127.6</v>
      </c>
      <c r="H1308">
        <v>1601.17</v>
      </c>
      <c r="I1308" s="1" t="s">
        <v>1490</v>
      </c>
      <c r="J1308" s="1" t="s">
        <v>1491</v>
      </c>
      <c r="K1308" s="11" t="s">
        <v>25</v>
      </c>
      <c r="L1308">
        <v>-0.95</v>
      </c>
      <c r="M1308" s="1" t="s">
        <v>23</v>
      </c>
      <c r="N1308" s="11" t="s">
        <v>230</v>
      </c>
      <c r="Q1308" s="37">
        <v>0.27</v>
      </c>
      <c r="R1308" s="11" t="s">
        <v>231</v>
      </c>
      <c r="S1308" s="13">
        <f t="shared" si="20"/>
        <v>-0.95</v>
      </c>
    </row>
    <row r="1309" spans="1:19" s="4" customFormat="1">
      <c r="B1309" s="5"/>
      <c r="C1309" s="5"/>
      <c r="D1309" s="5"/>
      <c r="E1309" s="5"/>
      <c r="I1309" s="5"/>
      <c r="J1309" s="5"/>
      <c r="M1309" s="5"/>
      <c r="O1309" s="5"/>
      <c r="P1309" s="6"/>
      <c r="Q1309" s="38"/>
      <c r="S1309" s="24"/>
    </row>
    <row r="1310" spans="1:19">
      <c r="A1310" s="18" t="s">
        <v>1486</v>
      </c>
      <c r="B1310" t="s">
        <v>1440</v>
      </c>
      <c r="C1310" s="1" t="s">
        <v>1487</v>
      </c>
      <c r="D1310" t="s">
        <v>1441</v>
      </c>
      <c r="E1310" s="1" t="s">
        <v>25</v>
      </c>
      <c r="F1310">
        <v>521</v>
      </c>
      <c r="G1310">
        <v>551</v>
      </c>
      <c r="H1310">
        <v>266.7</v>
      </c>
      <c r="I1310" s="1" t="s">
        <v>1490</v>
      </c>
      <c r="J1310" s="1" t="s">
        <v>1491</v>
      </c>
      <c r="K1310" s="11" t="s">
        <v>25</v>
      </c>
      <c r="L1310">
        <v>0.87</v>
      </c>
      <c r="M1310" s="1" t="s">
        <v>23</v>
      </c>
      <c r="N1310" s="11" t="s">
        <v>24</v>
      </c>
      <c r="O1310">
        <v>305.10000000000002</v>
      </c>
      <c r="P1310" s="3" t="s">
        <v>28</v>
      </c>
      <c r="Q1310" s="37">
        <v>20.75</v>
      </c>
      <c r="R1310" t="s">
        <v>1488</v>
      </c>
      <c r="S1310" s="13">
        <f t="shared" si="20"/>
        <v>-1.0099999999999998</v>
      </c>
    </row>
    <row r="1311" spans="1:19">
      <c r="A1311" s="18" t="s">
        <v>1486</v>
      </c>
      <c r="B1311" t="s">
        <v>1442</v>
      </c>
      <c r="C1311" s="1" t="s">
        <v>1487</v>
      </c>
      <c r="D1311" t="s">
        <v>1441</v>
      </c>
      <c r="E1311" s="1" t="s">
        <v>25</v>
      </c>
      <c r="F1311">
        <v>521</v>
      </c>
      <c r="G1311">
        <v>551</v>
      </c>
      <c r="H1311">
        <v>264.7</v>
      </c>
      <c r="I1311" s="1" t="s">
        <v>1490</v>
      </c>
      <c r="J1311" s="1" t="s">
        <v>1491</v>
      </c>
      <c r="K1311" s="11" t="s">
        <v>25</v>
      </c>
      <c r="L1311">
        <v>0.9</v>
      </c>
      <c r="M1311" s="1" t="s">
        <v>23</v>
      </c>
      <c r="N1311" s="11" t="s">
        <v>24</v>
      </c>
      <c r="O1311">
        <v>215.6</v>
      </c>
      <c r="P1311" s="3" t="s">
        <v>28</v>
      </c>
      <c r="Q1311" s="37">
        <v>8.6</v>
      </c>
      <c r="R1311" t="s">
        <v>1488</v>
      </c>
      <c r="S1311" s="13">
        <f t="shared" si="20"/>
        <v>-0.97999999999999987</v>
      </c>
    </row>
    <row r="1312" spans="1:19">
      <c r="A1312" s="18" t="s">
        <v>1486</v>
      </c>
      <c r="B1312" t="s">
        <v>1443</v>
      </c>
      <c r="C1312" s="1" t="s">
        <v>1487</v>
      </c>
      <c r="D1312" t="s">
        <v>1441</v>
      </c>
      <c r="E1312" s="1" t="s">
        <v>25</v>
      </c>
      <c r="F1312">
        <v>521</v>
      </c>
      <c r="G1312">
        <v>551</v>
      </c>
      <c r="H1312">
        <v>261.39999999999998</v>
      </c>
      <c r="I1312" s="1" t="s">
        <v>1490</v>
      </c>
      <c r="J1312" s="1" t="s">
        <v>1491</v>
      </c>
      <c r="K1312" s="11" t="s">
        <v>25</v>
      </c>
      <c r="L1312">
        <v>1.01</v>
      </c>
      <c r="M1312" s="1" t="s">
        <v>23</v>
      </c>
      <c r="N1312" s="11" t="s">
        <v>24</v>
      </c>
      <c r="O1312">
        <v>426.2</v>
      </c>
      <c r="P1312" s="3" t="s">
        <v>28</v>
      </c>
      <c r="Q1312" s="37">
        <v>17.38</v>
      </c>
      <c r="R1312" t="s">
        <v>1488</v>
      </c>
      <c r="S1312" s="13">
        <f t="shared" si="20"/>
        <v>-0.86999999999999988</v>
      </c>
    </row>
    <row r="1313" spans="1:19">
      <c r="A1313" s="18" t="s">
        <v>1486</v>
      </c>
      <c r="B1313" t="s">
        <v>1444</v>
      </c>
      <c r="C1313" s="1" t="s">
        <v>1487</v>
      </c>
      <c r="D1313" t="s">
        <v>1441</v>
      </c>
      <c r="E1313" s="1" t="s">
        <v>25</v>
      </c>
      <c r="F1313">
        <v>521</v>
      </c>
      <c r="G1313">
        <v>551</v>
      </c>
      <c r="H1313">
        <v>258.7</v>
      </c>
      <c r="I1313" s="1" t="s">
        <v>1490</v>
      </c>
      <c r="J1313" s="1" t="s">
        <v>1491</v>
      </c>
      <c r="K1313" s="11" t="s">
        <v>25</v>
      </c>
      <c r="L1313">
        <v>0.86</v>
      </c>
      <c r="M1313" s="1" t="s">
        <v>23</v>
      </c>
      <c r="N1313" s="11" t="s">
        <v>24</v>
      </c>
      <c r="O1313">
        <v>185.5</v>
      </c>
      <c r="P1313" s="3" t="s">
        <v>28</v>
      </c>
      <c r="Q1313" s="37">
        <v>12.5</v>
      </c>
      <c r="R1313" t="s">
        <v>1488</v>
      </c>
      <c r="S1313" s="13">
        <f t="shared" si="20"/>
        <v>-1.02</v>
      </c>
    </row>
    <row r="1314" spans="1:19">
      <c r="A1314" s="18" t="s">
        <v>1486</v>
      </c>
      <c r="B1314" t="s">
        <v>1445</v>
      </c>
      <c r="C1314" s="1" t="s">
        <v>1487</v>
      </c>
      <c r="D1314" t="s">
        <v>1441</v>
      </c>
      <c r="E1314" s="1" t="s">
        <v>25</v>
      </c>
      <c r="F1314">
        <v>521</v>
      </c>
      <c r="G1314">
        <v>551</v>
      </c>
      <c r="H1314">
        <v>257.7</v>
      </c>
      <c r="I1314" s="1" t="s">
        <v>1490</v>
      </c>
      <c r="J1314" s="1" t="s">
        <v>1491</v>
      </c>
      <c r="K1314" s="11" t="s">
        <v>25</v>
      </c>
      <c r="L1314">
        <v>1.25</v>
      </c>
      <c r="M1314" s="1" t="s">
        <v>23</v>
      </c>
      <c r="N1314" s="11" t="s">
        <v>24</v>
      </c>
      <c r="O1314">
        <v>19.600000000000001</v>
      </c>
      <c r="P1314" s="3" t="s">
        <v>28</v>
      </c>
      <c r="Q1314" s="37">
        <v>10.14</v>
      </c>
      <c r="R1314" t="s">
        <v>1488</v>
      </c>
      <c r="S1314" s="13">
        <f t="shared" si="20"/>
        <v>-0.62999999999999989</v>
      </c>
    </row>
    <row r="1315" spans="1:19">
      <c r="A1315" s="18" t="s">
        <v>1486</v>
      </c>
      <c r="B1315" t="s">
        <v>1446</v>
      </c>
      <c r="C1315" s="1" t="s">
        <v>1487</v>
      </c>
      <c r="D1315" t="s">
        <v>1441</v>
      </c>
      <c r="E1315" s="1" t="s">
        <v>25</v>
      </c>
      <c r="F1315">
        <v>521</v>
      </c>
      <c r="G1315">
        <v>551</v>
      </c>
      <c r="H1315">
        <v>257.10000000000002</v>
      </c>
      <c r="I1315" s="1" t="s">
        <v>1490</v>
      </c>
      <c r="J1315" s="1" t="s">
        <v>1491</v>
      </c>
      <c r="K1315" s="11" t="s">
        <v>25</v>
      </c>
      <c r="L1315">
        <v>1.31</v>
      </c>
      <c r="M1315" s="1" t="s">
        <v>23</v>
      </c>
      <c r="N1315" s="11" t="s">
        <v>24</v>
      </c>
      <c r="O1315">
        <v>81.7</v>
      </c>
      <c r="P1315" s="3" t="s">
        <v>28</v>
      </c>
      <c r="Q1315" s="37">
        <v>5.22</v>
      </c>
      <c r="R1315" t="s">
        <v>1488</v>
      </c>
      <c r="S1315" s="13">
        <f t="shared" si="20"/>
        <v>-0.56999999999999984</v>
      </c>
    </row>
    <row r="1316" spans="1:19">
      <c r="A1316" s="18" t="s">
        <v>1486</v>
      </c>
      <c r="B1316" t="s">
        <v>1447</v>
      </c>
      <c r="C1316" s="1" t="s">
        <v>1487</v>
      </c>
      <c r="D1316" t="s">
        <v>1441</v>
      </c>
      <c r="E1316" s="1" t="s">
        <v>25</v>
      </c>
      <c r="F1316">
        <v>521</v>
      </c>
      <c r="G1316">
        <v>551</v>
      </c>
      <c r="H1316">
        <v>256.7</v>
      </c>
      <c r="I1316" s="1" t="s">
        <v>1490</v>
      </c>
      <c r="J1316" s="1" t="s">
        <v>1491</v>
      </c>
      <c r="K1316" s="11" t="s">
        <v>25</v>
      </c>
      <c r="L1316">
        <v>1.36</v>
      </c>
      <c r="M1316" s="1" t="s">
        <v>23</v>
      </c>
      <c r="N1316" s="11" t="s">
        <v>24</v>
      </c>
      <c r="O1316">
        <v>14.9</v>
      </c>
      <c r="P1316" s="3" t="s">
        <v>28</v>
      </c>
      <c r="Q1316" s="37">
        <v>13.62</v>
      </c>
      <c r="R1316" t="s">
        <v>1488</v>
      </c>
      <c r="S1316" s="13">
        <f t="shared" si="20"/>
        <v>-0.5199999999999998</v>
      </c>
    </row>
    <row r="1317" spans="1:19">
      <c r="A1317" s="18" t="s">
        <v>1486</v>
      </c>
      <c r="B1317" t="s">
        <v>1448</v>
      </c>
      <c r="C1317" s="1" t="s">
        <v>1487</v>
      </c>
      <c r="D1317" t="s">
        <v>1441</v>
      </c>
      <c r="E1317" s="1" t="s">
        <v>25</v>
      </c>
      <c r="F1317">
        <v>521</v>
      </c>
      <c r="G1317">
        <v>551</v>
      </c>
      <c r="H1317">
        <v>250.7</v>
      </c>
      <c r="I1317" s="1" t="s">
        <v>1490</v>
      </c>
      <c r="J1317" s="1" t="s">
        <v>1491</v>
      </c>
      <c r="K1317" s="11" t="s">
        <v>25</v>
      </c>
      <c r="L1317">
        <v>1.05</v>
      </c>
      <c r="M1317" s="1" t="s">
        <v>23</v>
      </c>
      <c r="N1317" s="11" t="s">
        <v>24</v>
      </c>
      <c r="O1317">
        <v>34.5</v>
      </c>
      <c r="P1317" s="3" t="s">
        <v>28</v>
      </c>
      <c r="Q1317" s="37">
        <v>2.67</v>
      </c>
      <c r="R1317" t="s">
        <v>1488</v>
      </c>
      <c r="S1317" s="13">
        <f t="shared" si="20"/>
        <v>-0.82999999999999985</v>
      </c>
    </row>
    <row r="1318" spans="1:19">
      <c r="A1318" s="18" t="s">
        <v>1486</v>
      </c>
      <c r="B1318" t="s">
        <v>1449</v>
      </c>
      <c r="C1318" s="1" t="s">
        <v>1487</v>
      </c>
      <c r="D1318" t="s">
        <v>1441</v>
      </c>
      <c r="E1318" s="1" t="s">
        <v>25</v>
      </c>
      <c r="F1318">
        <v>521</v>
      </c>
      <c r="G1318">
        <v>551</v>
      </c>
      <c r="H1318">
        <v>243.1</v>
      </c>
      <c r="I1318" s="1" t="s">
        <v>1490</v>
      </c>
      <c r="J1318" s="1" t="s">
        <v>1491</v>
      </c>
      <c r="K1318" s="11" t="s">
        <v>25</v>
      </c>
      <c r="L1318">
        <v>1.1100000000000001</v>
      </c>
      <c r="M1318" s="1" t="s">
        <v>23</v>
      </c>
      <c r="N1318" s="11" t="s">
        <v>24</v>
      </c>
      <c r="O1318">
        <v>57.3</v>
      </c>
      <c r="P1318" s="3" t="s">
        <v>28</v>
      </c>
      <c r="Q1318" s="37">
        <v>3.68</v>
      </c>
      <c r="R1318" t="s">
        <v>1488</v>
      </c>
      <c r="S1318" s="13">
        <f t="shared" si="20"/>
        <v>-0.7699999999999998</v>
      </c>
    </row>
    <row r="1319" spans="1:19">
      <c r="A1319" s="18" t="s">
        <v>1486</v>
      </c>
      <c r="B1319" t="s">
        <v>1450</v>
      </c>
      <c r="C1319" s="1" t="s">
        <v>1487</v>
      </c>
      <c r="D1319" t="s">
        <v>1441</v>
      </c>
      <c r="E1319" s="1" t="s">
        <v>25</v>
      </c>
      <c r="F1319">
        <v>521</v>
      </c>
      <c r="G1319">
        <v>551</v>
      </c>
      <c r="H1319">
        <v>242.3</v>
      </c>
      <c r="I1319" s="1" t="s">
        <v>1490</v>
      </c>
      <c r="J1319" s="1" t="s">
        <v>1491</v>
      </c>
      <c r="K1319" s="11" t="s">
        <v>25</v>
      </c>
      <c r="L1319">
        <v>1.34</v>
      </c>
      <c r="M1319" s="1" t="s">
        <v>23</v>
      </c>
      <c r="N1319" s="11" t="s">
        <v>24</v>
      </c>
      <c r="O1319">
        <v>64.8</v>
      </c>
      <c r="P1319" s="3" t="s">
        <v>28</v>
      </c>
      <c r="Q1319" s="37">
        <v>4.82</v>
      </c>
      <c r="R1319" t="s">
        <v>1488</v>
      </c>
      <c r="S1319" s="13">
        <f t="shared" si="20"/>
        <v>-0.53999999999999981</v>
      </c>
    </row>
    <row r="1320" spans="1:19">
      <c r="A1320" s="18" t="s">
        <v>1486</v>
      </c>
      <c r="B1320" t="s">
        <v>1451</v>
      </c>
      <c r="C1320" s="1" t="s">
        <v>1487</v>
      </c>
      <c r="D1320" t="s">
        <v>1441</v>
      </c>
      <c r="E1320" s="1" t="s">
        <v>25</v>
      </c>
      <c r="F1320">
        <v>521</v>
      </c>
      <c r="G1320">
        <v>551</v>
      </c>
      <c r="H1320">
        <v>241</v>
      </c>
      <c r="I1320" s="1" t="s">
        <v>1490</v>
      </c>
      <c r="J1320" s="1" t="s">
        <v>1491</v>
      </c>
      <c r="K1320" s="11" t="s">
        <v>25</v>
      </c>
      <c r="L1320">
        <v>1.1399999999999999</v>
      </c>
      <c r="M1320" s="1" t="s">
        <v>23</v>
      </c>
      <c r="N1320" s="11" t="s">
        <v>24</v>
      </c>
      <c r="O1320">
        <v>52.6</v>
      </c>
      <c r="P1320" s="3" t="s">
        <v>28</v>
      </c>
      <c r="Q1320" s="37">
        <v>4.0599999999999996</v>
      </c>
      <c r="R1320" t="s">
        <v>1488</v>
      </c>
      <c r="S1320" s="13">
        <f t="shared" si="20"/>
        <v>-0.74</v>
      </c>
    </row>
    <row r="1321" spans="1:19">
      <c r="A1321" s="18" t="s">
        <v>1486</v>
      </c>
      <c r="B1321" t="s">
        <v>1452</v>
      </c>
      <c r="C1321" s="1" t="s">
        <v>1487</v>
      </c>
      <c r="D1321" t="s">
        <v>1453</v>
      </c>
      <c r="E1321" s="1" t="s">
        <v>25</v>
      </c>
      <c r="F1321">
        <v>521</v>
      </c>
      <c r="G1321">
        <v>551</v>
      </c>
      <c r="H1321">
        <v>240.6</v>
      </c>
      <c r="I1321" s="1" t="s">
        <v>1490</v>
      </c>
      <c r="J1321" s="1" t="s">
        <v>1491</v>
      </c>
      <c r="K1321" s="11" t="s">
        <v>25</v>
      </c>
      <c r="L1321">
        <v>1.27</v>
      </c>
      <c r="M1321" s="1" t="s">
        <v>23</v>
      </c>
      <c r="N1321" s="11" t="s">
        <v>24</v>
      </c>
      <c r="O1321">
        <v>39.200000000000003</v>
      </c>
      <c r="P1321" s="3" t="s">
        <v>28</v>
      </c>
      <c r="Q1321" s="37">
        <v>2.33</v>
      </c>
      <c r="R1321" t="s">
        <v>1488</v>
      </c>
      <c r="S1321" s="13">
        <f t="shared" si="20"/>
        <v>-0.60999999999999988</v>
      </c>
    </row>
    <row r="1322" spans="1:19">
      <c r="A1322" s="18" t="s">
        <v>1486</v>
      </c>
      <c r="B1322" t="s">
        <v>1454</v>
      </c>
      <c r="C1322" s="1" t="s">
        <v>1487</v>
      </c>
      <c r="D1322" t="s">
        <v>1453</v>
      </c>
      <c r="E1322" s="1" t="s">
        <v>25</v>
      </c>
      <c r="F1322">
        <v>521</v>
      </c>
      <c r="G1322">
        <v>551</v>
      </c>
      <c r="H1322">
        <v>234.5</v>
      </c>
      <c r="I1322" s="1" t="s">
        <v>1490</v>
      </c>
      <c r="J1322" s="1" t="s">
        <v>1491</v>
      </c>
      <c r="K1322" s="11" t="s">
        <v>25</v>
      </c>
      <c r="L1322">
        <v>0.03</v>
      </c>
      <c r="M1322" s="1" t="s">
        <v>23</v>
      </c>
      <c r="N1322" s="11" t="s">
        <v>24</v>
      </c>
      <c r="O1322">
        <v>52.8</v>
      </c>
      <c r="P1322" s="3" t="s">
        <v>28</v>
      </c>
      <c r="Q1322" s="37">
        <v>3.01</v>
      </c>
      <c r="R1322" t="s">
        <v>1488</v>
      </c>
      <c r="S1322" s="13">
        <f t="shared" si="20"/>
        <v>-1.8499999999999999</v>
      </c>
    </row>
    <row r="1323" spans="1:19">
      <c r="A1323" s="18" t="s">
        <v>1486</v>
      </c>
      <c r="B1323" t="s">
        <v>1455</v>
      </c>
      <c r="C1323" s="1" t="s">
        <v>1487</v>
      </c>
      <c r="D1323" t="s">
        <v>1453</v>
      </c>
      <c r="E1323" s="1" t="s">
        <v>25</v>
      </c>
      <c r="F1323">
        <v>521</v>
      </c>
      <c r="G1323">
        <v>551</v>
      </c>
      <c r="H1323">
        <v>231.1</v>
      </c>
      <c r="I1323" s="1" t="s">
        <v>1490</v>
      </c>
      <c r="J1323" s="1" t="s">
        <v>1491</v>
      </c>
      <c r="K1323" s="11" t="s">
        <v>25</v>
      </c>
      <c r="L1323">
        <v>1.29</v>
      </c>
      <c r="M1323" s="1" t="s">
        <v>23</v>
      </c>
      <c r="N1323" s="11" t="s">
        <v>24</v>
      </c>
      <c r="O1323">
        <v>47.5</v>
      </c>
      <c r="P1323" s="3" t="s">
        <v>28</v>
      </c>
      <c r="Q1323" s="37">
        <v>3.23</v>
      </c>
      <c r="R1323" t="s">
        <v>1488</v>
      </c>
      <c r="S1323" s="13">
        <f t="shared" si="20"/>
        <v>-0.58999999999999986</v>
      </c>
    </row>
    <row r="1324" spans="1:19">
      <c r="A1324" s="18" t="s">
        <v>1486</v>
      </c>
      <c r="B1324" t="s">
        <v>1456</v>
      </c>
      <c r="C1324" s="1" t="s">
        <v>1487</v>
      </c>
      <c r="D1324" t="s">
        <v>1453</v>
      </c>
      <c r="E1324" s="1" t="s">
        <v>25</v>
      </c>
      <c r="F1324">
        <v>521</v>
      </c>
      <c r="G1324">
        <v>551</v>
      </c>
      <c r="H1324">
        <v>227.9</v>
      </c>
      <c r="I1324" s="1" t="s">
        <v>1490</v>
      </c>
      <c r="J1324" s="1" t="s">
        <v>1491</v>
      </c>
      <c r="K1324" s="11" t="s">
        <v>25</v>
      </c>
      <c r="L1324">
        <v>1.23</v>
      </c>
      <c r="M1324" s="1" t="s">
        <v>23</v>
      </c>
      <c r="N1324" s="11" t="s">
        <v>24</v>
      </c>
      <c r="O1324">
        <v>34.1</v>
      </c>
      <c r="P1324" s="3" t="s">
        <v>28</v>
      </c>
      <c r="Q1324" s="37">
        <v>2.2999999999999998</v>
      </c>
      <c r="R1324" t="s">
        <v>1488</v>
      </c>
      <c r="S1324" s="13">
        <f t="shared" si="20"/>
        <v>-0.64999999999999991</v>
      </c>
    </row>
    <row r="1325" spans="1:19">
      <c r="A1325" s="18" t="s">
        <v>1486</v>
      </c>
      <c r="B1325" t="s">
        <v>1457</v>
      </c>
      <c r="C1325" s="1" t="s">
        <v>1487</v>
      </c>
      <c r="D1325" t="s">
        <v>1453</v>
      </c>
      <c r="E1325" s="1" t="s">
        <v>25</v>
      </c>
      <c r="F1325">
        <v>521</v>
      </c>
      <c r="G1325">
        <v>551</v>
      </c>
      <c r="H1325">
        <v>223.9</v>
      </c>
      <c r="I1325" s="1" t="s">
        <v>1490</v>
      </c>
      <c r="J1325" s="1" t="s">
        <v>1491</v>
      </c>
      <c r="K1325" s="11" t="s">
        <v>25</v>
      </c>
      <c r="L1325">
        <v>1.1499999999999999</v>
      </c>
      <c r="M1325" s="1" t="s">
        <v>23</v>
      </c>
      <c r="N1325" s="11" t="s">
        <v>24</v>
      </c>
      <c r="O1325">
        <v>23.6</v>
      </c>
      <c r="P1325" s="3" t="s">
        <v>28</v>
      </c>
      <c r="Q1325" s="37">
        <v>1.86</v>
      </c>
      <c r="R1325" t="s">
        <v>1488</v>
      </c>
      <c r="S1325" s="13">
        <f t="shared" si="20"/>
        <v>-0.73</v>
      </c>
    </row>
    <row r="1326" spans="1:19">
      <c r="A1326" s="18" t="s">
        <v>1486</v>
      </c>
      <c r="B1326" t="s">
        <v>1458</v>
      </c>
      <c r="C1326" s="1" t="s">
        <v>1487</v>
      </c>
      <c r="D1326" t="s">
        <v>1453</v>
      </c>
      <c r="E1326" s="1" t="s">
        <v>25</v>
      </c>
      <c r="F1326">
        <v>521</v>
      </c>
      <c r="G1326">
        <v>551</v>
      </c>
      <c r="H1326">
        <v>214.9</v>
      </c>
      <c r="I1326" s="1" t="s">
        <v>1490</v>
      </c>
      <c r="J1326" s="1" t="s">
        <v>1491</v>
      </c>
      <c r="K1326" s="11" t="s">
        <v>25</v>
      </c>
      <c r="L1326">
        <v>0</v>
      </c>
      <c r="M1326" s="1" t="s">
        <v>23</v>
      </c>
      <c r="N1326" s="11" t="s">
        <v>24</v>
      </c>
      <c r="O1326">
        <v>43.5</v>
      </c>
      <c r="P1326" s="3" t="s">
        <v>28</v>
      </c>
      <c r="Q1326" s="37">
        <v>2.16</v>
      </c>
      <c r="R1326" t="s">
        <v>1488</v>
      </c>
      <c r="S1326" s="13">
        <f t="shared" si="20"/>
        <v>-1.88</v>
      </c>
    </row>
    <row r="1327" spans="1:19">
      <c r="A1327" s="18" t="s">
        <v>1486</v>
      </c>
      <c r="B1327" t="s">
        <v>1459</v>
      </c>
      <c r="C1327" s="1" t="s">
        <v>1487</v>
      </c>
      <c r="D1327" t="s">
        <v>1453</v>
      </c>
      <c r="E1327" s="1" t="s">
        <v>25</v>
      </c>
      <c r="F1327">
        <v>521</v>
      </c>
      <c r="G1327">
        <v>551</v>
      </c>
      <c r="H1327">
        <v>210.9</v>
      </c>
      <c r="I1327" s="1" t="s">
        <v>1490</v>
      </c>
      <c r="J1327" s="1" t="s">
        <v>1491</v>
      </c>
      <c r="K1327" s="11" t="s">
        <v>25</v>
      </c>
      <c r="L1327">
        <v>0</v>
      </c>
      <c r="M1327" s="1" t="s">
        <v>23</v>
      </c>
      <c r="N1327" s="11" t="s">
        <v>24</v>
      </c>
      <c r="O1327">
        <v>45.2</v>
      </c>
      <c r="P1327" s="3" t="s">
        <v>28</v>
      </c>
      <c r="Q1327" s="37">
        <v>2.2200000000000002</v>
      </c>
      <c r="R1327" t="s">
        <v>1488</v>
      </c>
      <c r="S1327" s="13">
        <f t="shared" si="20"/>
        <v>-1.88</v>
      </c>
    </row>
    <row r="1328" spans="1:19">
      <c r="A1328" s="18" t="s">
        <v>1486</v>
      </c>
      <c r="B1328" t="s">
        <v>1460</v>
      </c>
      <c r="C1328" s="1" t="s">
        <v>1487</v>
      </c>
      <c r="D1328" t="s">
        <v>1453</v>
      </c>
      <c r="E1328" s="1" t="s">
        <v>25</v>
      </c>
      <c r="F1328">
        <v>521</v>
      </c>
      <c r="G1328">
        <v>551</v>
      </c>
      <c r="H1328">
        <v>207.4</v>
      </c>
      <c r="I1328" s="1" t="s">
        <v>1490</v>
      </c>
      <c r="J1328" s="1" t="s">
        <v>1491</v>
      </c>
      <c r="K1328" s="11" t="s">
        <v>25</v>
      </c>
      <c r="L1328">
        <v>1.39</v>
      </c>
      <c r="M1328" s="1" t="s">
        <v>23</v>
      </c>
      <c r="N1328" s="11" t="s">
        <v>24</v>
      </c>
      <c r="O1328">
        <v>35.700000000000003</v>
      </c>
      <c r="P1328" s="3" t="s">
        <v>28</v>
      </c>
      <c r="Q1328" s="37">
        <v>2.0099999999999998</v>
      </c>
      <c r="R1328" t="s">
        <v>1488</v>
      </c>
      <c r="S1328" s="13">
        <f t="shared" si="20"/>
        <v>-0.49</v>
      </c>
    </row>
    <row r="1329" spans="1:19">
      <c r="A1329" s="18" t="s">
        <v>1486</v>
      </c>
      <c r="B1329" t="s">
        <v>1461</v>
      </c>
      <c r="C1329" s="1" t="s">
        <v>1487</v>
      </c>
      <c r="D1329" t="s">
        <v>1453</v>
      </c>
      <c r="E1329" s="1" t="s">
        <v>25</v>
      </c>
      <c r="F1329">
        <v>521</v>
      </c>
      <c r="G1329">
        <v>551</v>
      </c>
      <c r="H1329">
        <v>204.4</v>
      </c>
      <c r="I1329" s="1" t="s">
        <v>1490</v>
      </c>
      <c r="J1329" s="1" t="s">
        <v>1491</v>
      </c>
      <c r="K1329" s="11" t="s">
        <v>25</v>
      </c>
      <c r="L1329">
        <v>0</v>
      </c>
      <c r="M1329" s="1" t="s">
        <v>23</v>
      </c>
      <c r="N1329" s="11" t="s">
        <v>24</v>
      </c>
      <c r="O1329">
        <v>34.1</v>
      </c>
      <c r="P1329" s="3" t="s">
        <v>28</v>
      </c>
      <c r="Q1329" s="37">
        <v>2.04</v>
      </c>
      <c r="R1329" t="s">
        <v>1488</v>
      </c>
      <c r="S1329" s="13">
        <f t="shared" si="20"/>
        <v>-1.88</v>
      </c>
    </row>
    <row r="1330" spans="1:19">
      <c r="A1330" s="18" t="s">
        <v>1486</v>
      </c>
      <c r="B1330" t="s">
        <v>1462</v>
      </c>
      <c r="C1330" s="1" t="s">
        <v>1487</v>
      </c>
      <c r="D1330" t="s">
        <v>1453</v>
      </c>
      <c r="E1330" s="1" t="s">
        <v>25</v>
      </c>
      <c r="F1330">
        <v>521</v>
      </c>
      <c r="G1330">
        <v>551</v>
      </c>
      <c r="H1330">
        <v>201.9</v>
      </c>
      <c r="I1330" s="1" t="s">
        <v>1490</v>
      </c>
      <c r="J1330" s="1" t="s">
        <v>1491</v>
      </c>
      <c r="K1330" s="11" t="s">
        <v>25</v>
      </c>
      <c r="L1330">
        <v>1.34</v>
      </c>
      <c r="M1330" s="1" t="s">
        <v>23</v>
      </c>
      <c r="N1330" s="11" t="s">
        <v>24</v>
      </c>
      <c r="O1330">
        <v>39</v>
      </c>
      <c r="P1330" s="3" t="s">
        <v>28</v>
      </c>
      <c r="Q1330" s="37">
        <v>2.39</v>
      </c>
      <c r="R1330" t="s">
        <v>1488</v>
      </c>
      <c r="S1330" s="13">
        <f t="shared" si="20"/>
        <v>-0.53999999999999981</v>
      </c>
    </row>
    <row r="1331" spans="1:19">
      <c r="A1331" s="18" t="s">
        <v>1486</v>
      </c>
      <c r="B1331" t="s">
        <v>1463</v>
      </c>
      <c r="C1331" s="1" t="s">
        <v>1487</v>
      </c>
      <c r="D1331" t="s">
        <v>1453</v>
      </c>
      <c r="E1331" s="1" t="s">
        <v>25</v>
      </c>
      <c r="F1331">
        <v>521</v>
      </c>
      <c r="G1331">
        <v>551</v>
      </c>
      <c r="H1331">
        <v>199.9</v>
      </c>
      <c r="I1331" s="1" t="s">
        <v>1490</v>
      </c>
      <c r="J1331" s="1" t="s">
        <v>1491</v>
      </c>
      <c r="K1331" s="11" t="s">
        <v>25</v>
      </c>
      <c r="L1331">
        <v>1.25</v>
      </c>
      <c r="M1331" s="1" t="s">
        <v>23</v>
      </c>
      <c r="N1331" s="11" t="s">
        <v>24</v>
      </c>
      <c r="O1331">
        <v>39.6</v>
      </c>
      <c r="P1331" s="3" t="s">
        <v>28</v>
      </c>
      <c r="Q1331" s="37">
        <v>1.97</v>
      </c>
      <c r="R1331" t="s">
        <v>1488</v>
      </c>
      <c r="S1331" s="13">
        <f t="shared" si="20"/>
        <v>-0.62999999999999989</v>
      </c>
    </row>
    <row r="1332" spans="1:19">
      <c r="A1332" s="18" t="s">
        <v>1486</v>
      </c>
      <c r="B1332" t="s">
        <v>1464</v>
      </c>
      <c r="C1332" s="1" t="s">
        <v>1487</v>
      </c>
      <c r="D1332" t="s">
        <v>1465</v>
      </c>
      <c r="E1332" s="1" t="s">
        <v>25</v>
      </c>
      <c r="F1332">
        <v>521</v>
      </c>
      <c r="G1332">
        <v>551</v>
      </c>
      <c r="H1332">
        <v>198.2</v>
      </c>
      <c r="I1332" s="1" t="s">
        <v>1490</v>
      </c>
      <c r="J1332" s="1" t="s">
        <v>1492</v>
      </c>
      <c r="K1332" s="11" t="s">
        <v>25</v>
      </c>
      <c r="L1332">
        <v>0</v>
      </c>
      <c r="M1332" s="1" t="s">
        <v>23</v>
      </c>
      <c r="N1332" s="11" t="s">
        <v>24</v>
      </c>
      <c r="O1332">
        <v>49.5</v>
      </c>
      <c r="P1332" s="3" t="s">
        <v>28</v>
      </c>
      <c r="Q1332" s="37">
        <v>3.13</v>
      </c>
      <c r="R1332" t="s">
        <v>1488</v>
      </c>
      <c r="S1332" s="13">
        <f t="shared" si="20"/>
        <v>-1.88</v>
      </c>
    </row>
    <row r="1333" spans="1:19">
      <c r="A1333" s="18" t="s">
        <v>1486</v>
      </c>
      <c r="B1333" t="s">
        <v>1466</v>
      </c>
      <c r="C1333" s="1" t="s">
        <v>1487</v>
      </c>
      <c r="D1333" t="s">
        <v>1465</v>
      </c>
      <c r="E1333" s="1" t="s">
        <v>25</v>
      </c>
      <c r="F1333">
        <v>521</v>
      </c>
      <c r="G1333">
        <v>551</v>
      </c>
      <c r="H1333">
        <v>197</v>
      </c>
      <c r="I1333" s="1" t="s">
        <v>1490</v>
      </c>
      <c r="J1333" s="1" t="s">
        <v>1492</v>
      </c>
      <c r="K1333" s="11" t="s">
        <v>25</v>
      </c>
      <c r="L1333">
        <v>1.02</v>
      </c>
      <c r="M1333" s="1" t="s">
        <v>23</v>
      </c>
      <c r="N1333" s="11" t="s">
        <v>24</v>
      </c>
      <c r="O1333" t="s">
        <v>25</v>
      </c>
      <c r="P1333" s="3" t="s">
        <v>28</v>
      </c>
      <c r="Q1333" s="37">
        <v>69.48</v>
      </c>
      <c r="R1333" t="s">
        <v>1488</v>
      </c>
      <c r="S1333" s="13">
        <f t="shared" si="20"/>
        <v>-0.85999999999999988</v>
      </c>
    </row>
    <row r="1334" spans="1:19">
      <c r="A1334" s="18" t="s">
        <v>1486</v>
      </c>
      <c r="B1334" t="s">
        <v>1467</v>
      </c>
      <c r="C1334" s="1" t="s">
        <v>1487</v>
      </c>
      <c r="D1334" t="s">
        <v>1465</v>
      </c>
      <c r="E1334" s="1" t="s">
        <v>25</v>
      </c>
      <c r="F1334">
        <v>521</v>
      </c>
      <c r="G1334">
        <v>551</v>
      </c>
      <c r="H1334">
        <v>194.6</v>
      </c>
      <c r="I1334" s="1" t="s">
        <v>1490</v>
      </c>
      <c r="J1334" s="1" t="s">
        <v>1492</v>
      </c>
      <c r="K1334" s="11" t="s">
        <v>25</v>
      </c>
      <c r="L1334">
        <v>0.33</v>
      </c>
      <c r="M1334" s="1" t="s">
        <v>23</v>
      </c>
      <c r="N1334" s="11" t="s">
        <v>24</v>
      </c>
      <c r="O1334" t="s">
        <v>25</v>
      </c>
      <c r="P1334" s="3" t="s">
        <v>28</v>
      </c>
      <c r="Q1334" s="37">
        <v>96.64</v>
      </c>
      <c r="R1334" t="s">
        <v>1488</v>
      </c>
      <c r="S1334" s="13">
        <f t="shared" si="20"/>
        <v>-1.5499999999999998</v>
      </c>
    </row>
    <row r="1335" spans="1:19">
      <c r="A1335" s="18" t="s">
        <v>1486</v>
      </c>
      <c r="B1335" t="s">
        <v>1468</v>
      </c>
      <c r="C1335" s="1" t="s">
        <v>1487</v>
      </c>
      <c r="D1335" t="s">
        <v>1465</v>
      </c>
      <c r="E1335" s="1" t="s">
        <v>25</v>
      </c>
      <c r="F1335">
        <v>521</v>
      </c>
      <c r="G1335">
        <v>551</v>
      </c>
      <c r="H1335">
        <v>192.6</v>
      </c>
      <c r="I1335" s="1" t="s">
        <v>1490</v>
      </c>
      <c r="J1335" s="1" t="s">
        <v>1492</v>
      </c>
      <c r="K1335" s="11" t="s">
        <v>25</v>
      </c>
      <c r="L1335">
        <v>0.52</v>
      </c>
      <c r="M1335" s="1" t="s">
        <v>23</v>
      </c>
      <c r="N1335" s="11" t="s">
        <v>24</v>
      </c>
      <c r="O1335" t="s">
        <v>25</v>
      </c>
      <c r="P1335" s="3" t="s">
        <v>28</v>
      </c>
      <c r="Q1335" s="37">
        <v>65.010000000000005</v>
      </c>
      <c r="R1335" t="s">
        <v>1488</v>
      </c>
      <c r="S1335" s="13">
        <f t="shared" si="20"/>
        <v>-1.3599999999999999</v>
      </c>
    </row>
    <row r="1336" spans="1:19">
      <c r="A1336" s="18" t="s">
        <v>1486</v>
      </c>
      <c r="B1336" t="s">
        <v>1469</v>
      </c>
      <c r="C1336" s="1" t="s">
        <v>1487</v>
      </c>
      <c r="D1336" t="s">
        <v>1465</v>
      </c>
      <c r="E1336" s="1" t="s">
        <v>25</v>
      </c>
      <c r="F1336">
        <v>521</v>
      </c>
      <c r="G1336">
        <v>551</v>
      </c>
      <c r="H1336">
        <v>189.6</v>
      </c>
      <c r="I1336" s="1" t="s">
        <v>1490</v>
      </c>
      <c r="J1336" s="1" t="s">
        <v>1492</v>
      </c>
      <c r="K1336" s="11" t="s">
        <v>25</v>
      </c>
      <c r="L1336">
        <v>0.67</v>
      </c>
      <c r="M1336" s="1" t="s">
        <v>23</v>
      </c>
      <c r="N1336" s="11" t="s">
        <v>24</v>
      </c>
      <c r="O1336" t="s">
        <v>25</v>
      </c>
      <c r="P1336" s="3" t="s">
        <v>28</v>
      </c>
      <c r="Q1336" s="37">
        <v>77.56</v>
      </c>
      <c r="R1336" t="s">
        <v>1488</v>
      </c>
      <c r="S1336" s="13">
        <f t="shared" si="20"/>
        <v>-1.21</v>
      </c>
    </row>
    <row r="1337" spans="1:19">
      <c r="A1337" s="18" t="s">
        <v>1486</v>
      </c>
      <c r="B1337" t="s">
        <v>1470</v>
      </c>
      <c r="C1337" s="1" t="s">
        <v>1487</v>
      </c>
      <c r="D1337" t="s">
        <v>1465</v>
      </c>
      <c r="E1337" s="1" t="s">
        <v>25</v>
      </c>
      <c r="F1337">
        <v>521</v>
      </c>
      <c r="G1337">
        <v>551</v>
      </c>
      <c r="H1337">
        <v>170.4</v>
      </c>
      <c r="I1337" s="1" t="s">
        <v>1490</v>
      </c>
      <c r="J1337" s="1" t="s">
        <v>1492</v>
      </c>
      <c r="K1337" s="11" t="s">
        <v>25</v>
      </c>
      <c r="L1337">
        <v>0.74</v>
      </c>
      <c r="M1337" s="1" t="s">
        <v>23</v>
      </c>
      <c r="N1337" s="11" t="s">
        <v>24</v>
      </c>
      <c r="O1337" t="s">
        <v>25</v>
      </c>
      <c r="P1337" s="3" t="s">
        <v>28</v>
      </c>
      <c r="Q1337" s="37" t="s">
        <v>25</v>
      </c>
      <c r="R1337" t="s">
        <v>1488</v>
      </c>
      <c r="S1337" s="13">
        <f t="shared" si="20"/>
        <v>-1.1399999999999999</v>
      </c>
    </row>
    <row r="1338" spans="1:19">
      <c r="A1338" s="18" t="s">
        <v>1486</v>
      </c>
      <c r="B1338" t="s">
        <v>1471</v>
      </c>
      <c r="C1338" s="1" t="s">
        <v>1487</v>
      </c>
      <c r="D1338" t="s">
        <v>1465</v>
      </c>
      <c r="E1338" s="1" t="s">
        <v>25</v>
      </c>
      <c r="F1338">
        <v>521</v>
      </c>
      <c r="G1338">
        <v>551</v>
      </c>
      <c r="H1338">
        <v>166.6</v>
      </c>
      <c r="I1338" s="1" t="s">
        <v>1490</v>
      </c>
      <c r="J1338" s="1" t="s">
        <v>1492</v>
      </c>
      <c r="K1338" s="11" t="s">
        <v>25</v>
      </c>
      <c r="L1338">
        <v>0.24</v>
      </c>
      <c r="M1338" s="1" t="s">
        <v>23</v>
      </c>
      <c r="N1338" s="11" t="s">
        <v>24</v>
      </c>
      <c r="O1338" t="s">
        <v>25</v>
      </c>
      <c r="P1338" s="3" t="s">
        <v>28</v>
      </c>
      <c r="Q1338" s="37" t="s">
        <v>25</v>
      </c>
      <c r="R1338" t="s">
        <v>1488</v>
      </c>
      <c r="S1338" s="13">
        <f t="shared" si="20"/>
        <v>-1.64</v>
      </c>
    </row>
    <row r="1339" spans="1:19">
      <c r="A1339" s="18" t="s">
        <v>1486</v>
      </c>
      <c r="B1339" t="s">
        <v>1472</v>
      </c>
      <c r="C1339" s="1" t="s">
        <v>1487</v>
      </c>
      <c r="D1339" t="s">
        <v>1465</v>
      </c>
      <c r="E1339" s="1" t="s">
        <v>25</v>
      </c>
      <c r="F1339">
        <v>521</v>
      </c>
      <c r="G1339">
        <v>551</v>
      </c>
      <c r="H1339">
        <v>162.4</v>
      </c>
      <c r="I1339" s="1" t="s">
        <v>1490</v>
      </c>
      <c r="J1339" s="1" t="s">
        <v>1492</v>
      </c>
      <c r="K1339" s="11" t="s">
        <v>25</v>
      </c>
      <c r="L1339">
        <v>0.55000000000000004</v>
      </c>
      <c r="M1339" s="1" t="s">
        <v>23</v>
      </c>
      <c r="N1339" s="11" t="s">
        <v>24</v>
      </c>
      <c r="O1339" t="s">
        <v>25</v>
      </c>
      <c r="P1339" s="3" t="s">
        <v>28</v>
      </c>
      <c r="Q1339" s="37">
        <v>5.04</v>
      </c>
      <c r="R1339" t="s">
        <v>1488</v>
      </c>
      <c r="S1339" s="13">
        <f t="shared" si="20"/>
        <v>-1.3299999999999998</v>
      </c>
    </row>
    <row r="1340" spans="1:19">
      <c r="A1340" s="18" t="s">
        <v>1486</v>
      </c>
      <c r="B1340" t="s">
        <v>1473</v>
      </c>
      <c r="C1340" s="1" t="s">
        <v>1487</v>
      </c>
      <c r="D1340" t="s">
        <v>1465</v>
      </c>
      <c r="E1340" s="1" t="s">
        <v>25</v>
      </c>
      <c r="F1340">
        <v>521</v>
      </c>
      <c r="G1340">
        <v>551</v>
      </c>
      <c r="H1340">
        <v>159.9</v>
      </c>
      <c r="I1340" s="1" t="s">
        <v>1490</v>
      </c>
      <c r="J1340" s="1" t="s">
        <v>1492</v>
      </c>
      <c r="K1340" s="11" t="s">
        <v>25</v>
      </c>
      <c r="L1340">
        <v>0.57999999999999996</v>
      </c>
      <c r="M1340" s="1" t="s">
        <v>23</v>
      </c>
      <c r="N1340" s="11" t="s">
        <v>24</v>
      </c>
      <c r="O1340" t="s">
        <v>25</v>
      </c>
      <c r="P1340" s="3" t="s">
        <v>28</v>
      </c>
      <c r="Q1340" s="37">
        <v>35.53</v>
      </c>
      <c r="R1340" t="s">
        <v>1488</v>
      </c>
      <c r="S1340" s="13">
        <f t="shared" si="20"/>
        <v>-1.2999999999999998</v>
      </c>
    </row>
    <row r="1341" spans="1:19">
      <c r="A1341" s="18" t="s">
        <v>1486</v>
      </c>
      <c r="B1341" t="s">
        <v>1474</v>
      </c>
      <c r="C1341" s="1" t="s">
        <v>1487</v>
      </c>
      <c r="D1341" t="s">
        <v>1465</v>
      </c>
      <c r="E1341" s="1" t="s">
        <v>25</v>
      </c>
      <c r="F1341">
        <v>521</v>
      </c>
      <c r="G1341">
        <v>551</v>
      </c>
      <c r="H1341">
        <v>158.1</v>
      </c>
      <c r="I1341" s="1" t="s">
        <v>1490</v>
      </c>
      <c r="J1341" s="1" t="s">
        <v>1492</v>
      </c>
      <c r="K1341" s="11" t="s">
        <v>25</v>
      </c>
      <c r="L1341">
        <v>0.48</v>
      </c>
      <c r="M1341" s="1" t="s">
        <v>23</v>
      </c>
      <c r="N1341" s="11" t="s">
        <v>24</v>
      </c>
      <c r="O1341" t="s">
        <v>25</v>
      </c>
      <c r="P1341" s="3" t="s">
        <v>28</v>
      </c>
      <c r="Q1341" s="37">
        <v>31.93</v>
      </c>
      <c r="R1341" t="s">
        <v>1488</v>
      </c>
      <c r="S1341" s="13">
        <f t="shared" si="20"/>
        <v>-1.4</v>
      </c>
    </row>
    <row r="1342" spans="1:19">
      <c r="A1342" s="18" t="s">
        <v>1486</v>
      </c>
      <c r="B1342" t="s">
        <v>1475</v>
      </c>
      <c r="C1342" s="1" t="s">
        <v>1487</v>
      </c>
      <c r="D1342" t="s">
        <v>1465</v>
      </c>
      <c r="E1342" s="1" t="s">
        <v>25</v>
      </c>
      <c r="F1342">
        <v>521</v>
      </c>
      <c r="G1342">
        <v>551</v>
      </c>
      <c r="H1342">
        <v>152.6</v>
      </c>
      <c r="I1342" s="1" t="s">
        <v>1490</v>
      </c>
      <c r="J1342" s="1" t="s">
        <v>1492</v>
      </c>
      <c r="K1342" s="11" t="s">
        <v>25</v>
      </c>
      <c r="L1342">
        <v>0.44</v>
      </c>
      <c r="M1342" s="1" t="s">
        <v>23</v>
      </c>
      <c r="N1342" s="11" t="s">
        <v>24</v>
      </c>
      <c r="O1342" t="s">
        <v>25</v>
      </c>
      <c r="P1342" s="3" t="s">
        <v>28</v>
      </c>
      <c r="Q1342" s="37">
        <v>51.48</v>
      </c>
      <c r="R1342" t="s">
        <v>1488</v>
      </c>
      <c r="S1342" s="13">
        <f t="shared" si="20"/>
        <v>-1.44</v>
      </c>
    </row>
    <row r="1343" spans="1:19">
      <c r="A1343" s="18" t="s">
        <v>1486</v>
      </c>
      <c r="B1343" t="s">
        <v>1476</v>
      </c>
      <c r="C1343" s="1" t="s">
        <v>1487</v>
      </c>
      <c r="D1343" t="s">
        <v>1465</v>
      </c>
      <c r="E1343" s="1" t="s">
        <v>25</v>
      </c>
      <c r="F1343">
        <v>521</v>
      </c>
      <c r="G1343">
        <v>551</v>
      </c>
      <c r="H1343">
        <v>148.6</v>
      </c>
      <c r="I1343" s="1" t="s">
        <v>1490</v>
      </c>
      <c r="J1343" s="1" t="s">
        <v>1492</v>
      </c>
      <c r="K1343" s="11" t="s">
        <v>25</v>
      </c>
      <c r="L1343">
        <v>0.47</v>
      </c>
      <c r="M1343" s="1" t="s">
        <v>23</v>
      </c>
      <c r="N1343" s="11" t="s">
        <v>24</v>
      </c>
      <c r="O1343" t="s">
        <v>25</v>
      </c>
      <c r="P1343" s="3" t="s">
        <v>28</v>
      </c>
      <c r="Q1343" s="37" t="s">
        <v>25</v>
      </c>
      <c r="R1343" t="s">
        <v>1488</v>
      </c>
      <c r="S1343" s="13">
        <f t="shared" si="20"/>
        <v>-1.41</v>
      </c>
    </row>
    <row r="1344" spans="1:19">
      <c r="A1344" s="18" t="s">
        <v>1486</v>
      </c>
      <c r="B1344" t="s">
        <v>1477</v>
      </c>
      <c r="C1344" s="1" t="s">
        <v>1487</v>
      </c>
      <c r="D1344" t="s">
        <v>1478</v>
      </c>
      <c r="E1344" s="1" t="s">
        <v>25</v>
      </c>
      <c r="F1344">
        <v>521</v>
      </c>
      <c r="G1344">
        <v>551</v>
      </c>
      <c r="H1344">
        <v>144.6</v>
      </c>
      <c r="I1344" s="1" t="s">
        <v>1490</v>
      </c>
      <c r="J1344" s="1" t="s">
        <v>1493</v>
      </c>
      <c r="K1344" s="11" t="s">
        <v>25</v>
      </c>
      <c r="L1344">
        <v>1.54</v>
      </c>
      <c r="M1344" s="1" t="s">
        <v>23</v>
      </c>
      <c r="N1344" s="11" t="s">
        <v>24</v>
      </c>
      <c r="O1344">
        <v>102.4</v>
      </c>
      <c r="P1344" s="3" t="s">
        <v>28</v>
      </c>
      <c r="Q1344" s="37">
        <v>4.8899999999999997</v>
      </c>
      <c r="R1344" t="s">
        <v>1488</v>
      </c>
      <c r="S1344" s="13">
        <f t="shared" si="20"/>
        <v>-0.33999999999999986</v>
      </c>
    </row>
    <row r="1345" spans="1:19">
      <c r="A1345" s="18" t="s">
        <v>1486</v>
      </c>
      <c r="B1345" t="s">
        <v>1479</v>
      </c>
      <c r="C1345" s="1" t="s">
        <v>1487</v>
      </c>
      <c r="D1345" t="s">
        <v>1478</v>
      </c>
      <c r="E1345" s="1" t="s">
        <v>25</v>
      </c>
      <c r="F1345">
        <v>521</v>
      </c>
      <c r="G1345">
        <v>551</v>
      </c>
      <c r="H1345">
        <v>139.5</v>
      </c>
      <c r="I1345" s="1" t="s">
        <v>1490</v>
      </c>
      <c r="J1345" s="1" t="s">
        <v>1493</v>
      </c>
      <c r="K1345" s="11" t="s">
        <v>25</v>
      </c>
      <c r="L1345">
        <v>1.39</v>
      </c>
      <c r="M1345" s="1" t="s">
        <v>23</v>
      </c>
      <c r="N1345" s="11" t="s">
        <v>24</v>
      </c>
      <c r="O1345">
        <v>77.8</v>
      </c>
      <c r="P1345" s="3" t="s">
        <v>28</v>
      </c>
      <c r="Q1345" s="37">
        <v>3.88</v>
      </c>
      <c r="R1345" t="s">
        <v>1488</v>
      </c>
      <c r="S1345" s="13">
        <f t="shared" si="20"/>
        <v>-0.49</v>
      </c>
    </row>
    <row r="1346" spans="1:19">
      <c r="A1346" s="18" t="s">
        <v>1486</v>
      </c>
      <c r="B1346" t="s">
        <v>1480</v>
      </c>
      <c r="C1346" s="1" t="s">
        <v>1487</v>
      </c>
      <c r="D1346" t="s">
        <v>1478</v>
      </c>
      <c r="E1346" s="1" t="s">
        <v>25</v>
      </c>
      <c r="F1346">
        <v>521</v>
      </c>
      <c r="G1346">
        <v>551</v>
      </c>
      <c r="H1346">
        <v>136.30000000000001</v>
      </c>
      <c r="I1346" s="1" t="s">
        <v>1490</v>
      </c>
      <c r="J1346" s="1" t="s">
        <v>1493</v>
      </c>
      <c r="K1346" s="11" t="s">
        <v>25</v>
      </c>
      <c r="L1346">
        <v>1.25</v>
      </c>
      <c r="M1346" s="1" t="s">
        <v>23</v>
      </c>
      <c r="N1346" s="11" t="s">
        <v>24</v>
      </c>
      <c r="O1346">
        <v>44.5</v>
      </c>
      <c r="P1346" s="3" t="s">
        <v>28</v>
      </c>
      <c r="Q1346" s="37">
        <v>2.46</v>
      </c>
      <c r="R1346" t="s">
        <v>1488</v>
      </c>
      <c r="S1346" s="13">
        <f t="shared" si="20"/>
        <v>-0.62999999999999989</v>
      </c>
    </row>
    <row r="1347" spans="1:19">
      <c r="A1347" s="18" t="s">
        <v>1486</v>
      </c>
      <c r="B1347" t="s">
        <v>1481</v>
      </c>
      <c r="C1347" s="1" t="s">
        <v>1487</v>
      </c>
      <c r="D1347" t="s">
        <v>1478</v>
      </c>
      <c r="E1347" s="1" t="s">
        <v>25</v>
      </c>
      <c r="F1347">
        <v>521</v>
      </c>
      <c r="G1347">
        <v>551</v>
      </c>
      <c r="H1347">
        <v>133.80000000000001</v>
      </c>
      <c r="I1347" s="1" t="s">
        <v>1490</v>
      </c>
      <c r="J1347" s="1" t="s">
        <v>1493</v>
      </c>
      <c r="K1347" s="11" t="s">
        <v>25</v>
      </c>
      <c r="L1347">
        <v>1.52</v>
      </c>
      <c r="M1347" s="1" t="s">
        <v>23</v>
      </c>
      <c r="N1347" s="11" t="s">
        <v>24</v>
      </c>
      <c r="O1347">
        <v>46.5</v>
      </c>
      <c r="P1347" s="3" t="s">
        <v>28</v>
      </c>
      <c r="Q1347" s="37">
        <v>3.19</v>
      </c>
      <c r="R1347" t="s">
        <v>1488</v>
      </c>
      <c r="S1347" s="13">
        <f t="shared" ref="S1347:S1410" si="21">IF(NOT(N1347="SW"),L1347-1.88,L1347)</f>
        <v>-0.35999999999999988</v>
      </c>
    </row>
    <row r="1348" spans="1:19">
      <c r="A1348" s="18" t="s">
        <v>1486</v>
      </c>
      <c r="B1348" t="s">
        <v>1482</v>
      </c>
      <c r="C1348" s="1" t="s">
        <v>1487</v>
      </c>
      <c r="D1348" t="s">
        <v>1478</v>
      </c>
      <c r="E1348" s="1" t="s">
        <v>25</v>
      </c>
      <c r="F1348">
        <v>521</v>
      </c>
      <c r="G1348">
        <v>551</v>
      </c>
      <c r="H1348">
        <v>132</v>
      </c>
      <c r="I1348" s="1" t="s">
        <v>1490</v>
      </c>
      <c r="J1348" s="1" t="s">
        <v>1493</v>
      </c>
      <c r="K1348" s="11" t="s">
        <v>25</v>
      </c>
      <c r="L1348">
        <v>1.34</v>
      </c>
      <c r="M1348" s="1" t="s">
        <v>23</v>
      </c>
      <c r="N1348" s="11" t="s">
        <v>24</v>
      </c>
      <c r="O1348">
        <v>65</v>
      </c>
      <c r="P1348" s="3" t="s">
        <v>28</v>
      </c>
      <c r="Q1348" s="37">
        <v>3.25</v>
      </c>
      <c r="R1348" t="s">
        <v>1488</v>
      </c>
      <c r="S1348" s="13">
        <f t="shared" si="21"/>
        <v>-0.53999999999999981</v>
      </c>
    </row>
    <row r="1349" spans="1:19">
      <c r="A1349" s="18" t="s">
        <v>1486</v>
      </c>
      <c r="B1349" t="s">
        <v>1483</v>
      </c>
      <c r="C1349" s="1" t="s">
        <v>1487</v>
      </c>
      <c r="D1349" t="s">
        <v>1478</v>
      </c>
      <c r="E1349" s="1" t="s">
        <v>25</v>
      </c>
      <c r="F1349">
        <v>521</v>
      </c>
      <c r="G1349">
        <v>551</v>
      </c>
      <c r="H1349">
        <v>129.5</v>
      </c>
      <c r="I1349" s="1" t="s">
        <v>1490</v>
      </c>
      <c r="J1349" s="1" t="s">
        <v>1493</v>
      </c>
      <c r="K1349" s="11" t="s">
        <v>25</v>
      </c>
      <c r="L1349">
        <v>1.38</v>
      </c>
      <c r="M1349" s="1" t="s">
        <v>23</v>
      </c>
      <c r="N1349" s="11" t="s">
        <v>24</v>
      </c>
      <c r="O1349">
        <v>55.6</v>
      </c>
      <c r="P1349" s="3" t="s">
        <v>28</v>
      </c>
      <c r="Q1349" s="37">
        <v>3.99</v>
      </c>
      <c r="R1349" t="s">
        <v>1488</v>
      </c>
      <c r="S1349" s="13">
        <f t="shared" si="21"/>
        <v>-0.5</v>
      </c>
    </row>
    <row r="1350" spans="1:19">
      <c r="A1350" s="18" t="s">
        <v>1486</v>
      </c>
      <c r="B1350" t="s">
        <v>1484</v>
      </c>
      <c r="C1350" s="1" t="s">
        <v>1487</v>
      </c>
      <c r="D1350" t="s">
        <v>1478</v>
      </c>
      <c r="E1350" s="1" t="s">
        <v>25</v>
      </c>
      <c r="F1350">
        <v>521</v>
      </c>
      <c r="G1350">
        <v>551</v>
      </c>
      <c r="H1350">
        <v>127.9</v>
      </c>
      <c r="I1350" s="1" t="s">
        <v>1490</v>
      </c>
      <c r="J1350" s="1" t="s">
        <v>1493</v>
      </c>
      <c r="K1350" s="11" t="s">
        <v>25</v>
      </c>
      <c r="L1350">
        <v>1.61</v>
      </c>
      <c r="M1350" s="1" t="s">
        <v>23</v>
      </c>
      <c r="N1350" s="11" t="s">
        <v>24</v>
      </c>
      <c r="O1350">
        <v>51.7</v>
      </c>
      <c r="P1350" s="3" t="s">
        <v>28</v>
      </c>
      <c r="Q1350" s="37">
        <v>4.09</v>
      </c>
      <c r="R1350" t="s">
        <v>1488</v>
      </c>
      <c r="S1350" s="13">
        <f t="shared" si="21"/>
        <v>-0.2699999999999998</v>
      </c>
    </row>
    <row r="1351" spans="1:19">
      <c r="A1351" s="18" t="s">
        <v>1486</v>
      </c>
      <c r="B1351" t="s">
        <v>1485</v>
      </c>
      <c r="C1351" s="1" t="s">
        <v>1487</v>
      </c>
      <c r="D1351" t="s">
        <v>1478</v>
      </c>
      <c r="E1351" s="1" t="s">
        <v>25</v>
      </c>
      <c r="F1351">
        <v>521</v>
      </c>
      <c r="G1351">
        <v>551</v>
      </c>
      <c r="H1351">
        <v>126.6</v>
      </c>
      <c r="I1351" s="1" t="s">
        <v>1490</v>
      </c>
      <c r="J1351" s="1" t="s">
        <v>1493</v>
      </c>
      <c r="K1351" s="11" t="s">
        <v>25</v>
      </c>
      <c r="L1351">
        <v>1.1499999999999999</v>
      </c>
      <c r="M1351" s="1" t="s">
        <v>23</v>
      </c>
      <c r="N1351" s="11" t="s">
        <v>24</v>
      </c>
      <c r="O1351">
        <v>57.3</v>
      </c>
      <c r="P1351" s="3" t="s">
        <v>28</v>
      </c>
      <c r="Q1351" s="37">
        <v>2.76</v>
      </c>
      <c r="R1351" t="s">
        <v>1488</v>
      </c>
      <c r="S1351" s="13">
        <f t="shared" si="21"/>
        <v>-0.73</v>
      </c>
    </row>
    <row r="1352" spans="1:19" s="4" customFormat="1">
      <c r="B1352" s="5"/>
      <c r="C1352" s="5"/>
      <c r="D1352" s="5"/>
      <c r="E1352" s="5"/>
      <c r="I1352" s="5"/>
      <c r="J1352" s="5"/>
      <c r="M1352" s="5"/>
      <c r="O1352" s="5"/>
      <c r="P1352" s="6"/>
      <c r="Q1352" s="38"/>
      <c r="S1352" s="24"/>
    </row>
    <row r="1353" spans="1:19" ht="16">
      <c r="A1353" s="18" t="s">
        <v>1510</v>
      </c>
      <c r="B1353" s="26" t="s">
        <v>1495</v>
      </c>
      <c r="C1353" s="1" t="s">
        <v>1514</v>
      </c>
      <c r="D1353" s="26" t="s">
        <v>1509</v>
      </c>
      <c r="E1353" s="1" t="s">
        <v>25</v>
      </c>
      <c r="F1353">
        <v>346.7</v>
      </c>
      <c r="G1353">
        <v>358.86</v>
      </c>
      <c r="H1353" s="27">
        <v>52.727272727272727</v>
      </c>
      <c r="I1353" s="1" t="s">
        <v>1528</v>
      </c>
      <c r="J1353" s="1" t="s">
        <v>1511</v>
      </c>
      <c r="K1353" s="11" t="s">
        <v>1530</v>
      </c>
      <c r="L1353">
        <v>-1.1999999999999997</v>
      </c>
      <c r="M1353" s="1" t="s">
        <v>23</v>
      </c>
      <c r="N1353" s="11" t="s">
        <v>230</v>
      </c>
      <c r="O1353" s="28">
        <v>285.81755593803786</v>
      </c>
      <c r="P1353" s="3" t="s">
        <v>28</v>
      </c>
      <c r="Q1353" s="37">
        <v>0.34</v>
      </c>
      <c r="R1353" t="s">
        <v>231</v>
      </c>
      <c r="S1353" s="13">
        <f t="shared" si="21"/>
        <v>-1.1999999999999997</v>
      </c>
    </row>
    <row r="1354" spans="1:19" ht="16">
      <c r="A1354" s="18" t="s">
        <v>1510</v>
      </c>
      <c r="B1354" s="26" t="s">
        <v>1496</v>
      </c>
      <c r="C1354" s="1" t="s">
        <v>1514</v>
      </c>
      <c r="D1354" s="26" t="s">
        <v>1509</v>
      </c>
      <c r="E1354" s="1" t="s">
        <v>25</v>
      </c>
      <c r="F1354">
        <v>346.7</v>
      </c>
      <c r="G1354">
        <v>358.86</v>
      </c>
      <c r="H1354" s="27">
        <v>52.727272727272727</v>
      </c>
      <c r="I1354" s="1" t="s">
        <v>1528</v>
      </c>
      <c r="J1354" s="1" t="s">
        <v>25</v>
      </c>
      <c r="K1354" s="11" t="s">
        <v>1530</v>
      </c>
      <c r="L1354">
        <v>-1.17</v>
      </c>
      <c r="M1354" s="1" t="s">
        <v>23</v>
      </c>
      <c r="N1354" s="11" t="s">
        <v>230</v>
      </c>
      <c r="O1354" s="28">
        <v>290</v>
      </c>
      <c r="P1354" s="3" t="s">
        <v>28</v>
      </c>
      <c r="Q1354" s="37">
        <v>0.35</v>
      </c>
      <c r="R1354" t="s">
        <v>231</v>
      </c>
      <c r="S1354" s="13">
        <f t="shared" si="21"/>
        <v>-1.17</v>
      </c>
    </row>
    <row r="1355" spans="1:19" ht="16">
      <c r="A1355" s="18" t="s">
        <v>1510</v>
      </c>
      <c r="B1355" s="26" t="s">
        <v>1497</v>
      </c>
      <c r="C1355" s="1" t="s">
        <v>1514</v>
      </c>
      <c r="D1355" s="26" t="s">
        <v>1509</v>
      </c>
      <c r="E1355" s="1" t="s">
        <v>25</v>
      </c>
      <c r="F1355">
        <v>346.7</v>
      </c>
      <c r="G1355">
        <v>358.86</v>
      </c>
      <c r="H1355" s="27">
        <v>55.151515151515156</v>
      </c>
      <c r="I1355" s="1" t="s">
        <v>1528</v>
      </c>
      <c r="J1355" s="1" t="s">
        <v>1512</v>
      </c>
      <c r="K1355" s="11" t="s">
        <v>1530</v>
      </c>
      <c r="L1355">
        <v>-1.1999999999999997</v>
      </c>
      <c r="M1355" s="1" t="s">
        <v>23</v>
      </c>
      <c r="N1355" s="11" t="s">
        <v>230</v>
      </c>
      <c r="O1355" s="28">
        <v>310.48327137546471</v>
      </c>
      <c r="P1355" s="3" t="s">
        <v>28</v>
      </c>
      <c r="Q1355" s="37">
        <v>0.37</v>
      </c>
      <c r="R1355" t="s">
        <v>231</v>
      </c>
      <c r="S1355" s="13">
        <f t="shared" si="21"/>
        <v>-1.1999999999999997</v>
      </c>
    </row>
    <row r="1356" spans="1:19" ht="16">
      <c r="A1356" s="18" t="s">
        <v>1510</v>
      </c>
      <c r="B1356" s="26" t="s">
        <v>1498</v>
      </c>
      <c r="C1356" s="1" t="s">
        <v>1514</v>
      </c>
      <c r="D1356" s="26" t="s">
        <v>1509</v>
      </c>
      <c r="E1356" s="1" t="s">
        <v>25</v>
      </c>
      <c r="F1356">
        <v>346.7</v>
      </c>
      <c r="G1356">
        <v>358.86</v>
      </c>
      <c r="H1356" s="27">
        <v>56.969696969696976</v>
      </c>
      <c r="I1356" s="1" t="s">
        <v>1528</v>
      </c>
      <c r="J1356" s="1" t="s">
        <v>1513</v>
      </c>
      <c r="K1356" s="11" t="s">
        <v>1530</v>
      </c>
      <c r="L1356">
        <v>-1.0349999999999999</v>
      </c>
      <c r="M1356" s="1" t="s">
        <v>23</v>
      </c>
      <c r="N1356" s="11" t="s">
        <v>230</v>
      </c>
      <c r="O1356" s="28">
        <v>252.47079964061098</v>
      </c>
      <c r="P1356" s="3" t="s">
        <v>28</v>
      </c>
      <c r="Q1356" s="37">
        <v>0.32</v>
      </c>
      <c r="R1356" t="s">
        <v>231</v>
      </c>
      <c r="S1356" s="13">
        <f t="shared" si="21"/>
        <v>-1.0349999999999999</v>
      </c>
    </row>
    <row r="1357" spans="1:19" ht="16">
      <c r="A1357" s="18" t="s">
        <v>1510</v>
      </c>
      <c r="B1357" s="26" t="s">
        <v>1499</v>
      </c>
      <c r="C1357" s="1" t="s">
        <v>1514</v>
      </c>
      <c r="D1357" s="26" t="s">
        <v>1509</v>
      </c>
      <c r="E1357" s="1" t="s">
        <v>25</v>
      </c>
      <c r="F1357">
        <v>346.7</v>
      </c>
      <c r="G1357">
        <v>358.86</v>
      </c>
      <c r="H1357" s="27">
        <v>58.787878787878789</v>
      </c>
      <c r="I1357" s="1" t="s">
        <v>1528</v>
      </c>
      <c r="J1357" s="1" t="s">
        <v>1513</v>
      </c>
      <c r="K1357" s="11" t="s">
        <v>1530</v>
      </c>
      <c r="L1357">
        <v>-0.81499999999999995</v>
      </c>
      <c r="M1357" s="1" t="s">
        <v>23</v>
      </c>
      <c r="N1357" s="11" t="s">
        <v>230</v>
      </c>
      <c r="O1357" s="28">
        <v>224.58620689655169</v>
      </c>
      <c r="P1357" s="3" t="s">
        <v>28</v>
      </c>
      <c r="Q1357" s="37">
        <v>0.27</v>
      </c>
      <c r="R1357" t="s">
        <v>231</v>
      </c>
      <c r="S1357" s="13">
        <f t="shared" si="21"/>
        <v>-0.81499999999999995</v>
      </c>
    </row>
    <row r="1358" spans="1:19" ht="16">
      <c r="A1358" s="18" t="s">
        <v>1510</v>
      </c>
      <c r="B1358" s="26" t="s">
        <v>1500</v>
      </c>
      <c r="C1358" s="1" t="s">
        <v>1514</v>
      </c>
      <c r="D1358" s="26" t="s">
        <v>1509</v>
      </c>
      <c r="E1358" s="1" t="s">
        <v>25</v>
      </c>
      <c r="F1358">
        <v>346.7</v>
      </c>
      <c r="G1358">
        <v>358.86</v>
      </c>
      <c r="H1358" s="27">
        <v>61.212121212121218</v>
      </c>
      <c r="I1358" s="1" t="s">
        <v>1528</v>
      </c>
      <c r="J1358" s="1" t="s">
        <v>1512</v>
      </c>
      <c r="K1358" s="11" t="s">
        <v>1530</v>
      </c>
      <c r="L1358">
        <v>-0.90999999999999992</v>
      </c>
      <c r="M1358" s="1" t="s">
        <v>23</v>
      </c>
      <c r="N1358" s="11" t="s">
        <v>230</v>
      </c>
      <c r="O1358" s="28">
        <v>199.42186088527549</v>
      </c>
      <c r="P1358" s="3" t="s">
        <v>28</v>
      </c>
      <c r="Q1358" s="37">
        <v>0.24</v>
      </c>
      <c r="R1358" t="s">
        <v>231</v>
      </c>
      <c r="S1358" s="13">
        <f t="shared" si="21"/>
        <v>-0.90999999999999992</v>
      </c>
    </row>
    <row r="1359" spans="1:19" ht="16">
      <c r="A1359" s="18" t="s">
        <v>1510</v>
      </c>
      <c r="B1359" s="26" t="s">
        <v>1501</v>
      </c>
      <c r="C1359" s="1" t="s">
        <v>1514</v>
      </c>
      <c r="D1359" s="26" t="s">
        <v>1509</v>
      </c>
      <c r="E1359" s="1" t="s">
        <v>25</v>
      </c>
      <c r="F1359">
        <v>346.7</v>
      </c>
      <c r="G1359">
        <v>358.86</v>
      </c>
      <c r="H1359" s="27">
        <v>66.666666666666671</v>
      </c>
      <c r="I1359" s="1" t="s">
        <v>1528</v>
      </c>
      <c r="J1359" s="1" t="s">
        <v>1513</v>
      </c>
      <c r="K1359" s="11" t="s">
        <v>1530</v>
      </c>
      <c r="L1359">
        <v>-0.83499999999999996</v>
      </c>
      <c r="M1359" s="1" t="s">
        <v>23</v>
      </c>
      <c r="N1359" s="11" t="s">
        <v>230</v>
      </c>
      <c r="O1359" s="28">
        <v>218.58657243816251</v>
      </c>
      <c r="P1359" s="3" t="s">
        <v>28</v>
      </c>
      <c r="Q1359" s="37">
        <v>0.27</v>
      </c>
      <c r="R1359" t="s">
        <v>231</v>
      </c>
      <c r="S1359" s="13">
        <f t="shared" si="21"/>
        <v>-0.83499999999999996</v>
      </c>
    </row>
    <row r="1360" spans="1:19" ht="16">
      <c r="A1360" s="18" t="s">
        <v>1510</v>
      </c>
      <c r="B1360" s="26" t="s">
        <v>1502</v>
      </c>
      <c r="C1360" s="1" t="s">
        <v>1514</v>
      </c>
      <c r="D1360" s="26" t="s">
        <v>1509</v>
      </c>
      <c r="E1360" s="1" t="s">
        <v>25</v>
      </c>
      <c r="F1360">
        <v>346.7</v>
      </c>
      <c r="G1360">
        <v>358.86</v>
      </c>
      <c r="H1360" s="27">
        <v>70.909090909090907</v>
      </c>
      <c r="I1360" s="1" t="s">
        <v>1528</v>
      </c>
      <c r="J1360" s="1" t="s">
        <v>1513</v>
      </c>
      <c r="K1360" s="11" t="s">
        <v>1530</v>
      </c>
      <c r="L1360">
        <v>-0.80499999999999994</v>
      </c>
      <c r="M1360" s="1" t="s">
        <v>23</v>
      </c>
      <c r="N1360" s="11" t="s">
        <v>230</v>
      </c>
      <c r="O1360" s="28">
        <v>197.63157894736841</v>
      </c>
      <c r="P1360" s="3" t="s">
        <v>28</v>
      </c>
      <c r="Q1360" s="37">
        <v>0.25</v>
      </c>
      <c r="R1360" t="s">
        <v>231</v>
      </c>
      <c r="S1360" s="13">
        <f t="shared" si="21"/>
        <v>-0.80499999999999994</v>
      </c>
    </row>
    <row r="1361" spans="1:19" ht="16">
      <c r="A1361" s="18" t="s">
        <v>1510</v>
      </c>
      <c r="B1361" s="26" t="s">
        <v>1503</v>
      </c>
      <c r="C1361" s="1" t="s">
        <v>1514</v>
      </c>
      <c r="D1361" s="26" t="s">
        <v>1509</v>
      </c>
      <c r="E1361" s="1" t="s">
        <v>25</v>
      </c>
      <c r="F1361">
        <v>346.7</v>
      </c>
      <c r="G1361">
        <v>358.86</v>
      </c>
      <c r="H1361" s="27">
        <v>72.727272727272734</v>
      </c>
      <c r="I1361" s="1" t="s">
        <v>1528</v>
      </c>
      <c r="J1361" s="1" t="s">
        <v>1512</v>
      </c>
      <c r="K1361" s="11" t="s">
        <v>1530</v>
      </c>
      <c r="L1361">
        <v>-0.7649999999999999</v>
      </c>
      <c r="M1361" s="1" t="s">
        <v>23</v>
      </c>
      <c r="N1361" s="11" t="s">
        <v>230</v>
      </c>
      <c r="O1361" s="28">
        <v>188.51123595505621</v>
      </c>
      <c r="P1361" s="3" t="s">
        <v>28</v>
      </c>
      <c r="Q1361" s="37">
        <v>0.23</v>
      </c>
      <c r="R1361" t="s">
        <v>231</v>
      </c>
      <c r="S1361" s="13">
        <f t="shared" si="21"/>
        <v>-0.7649999999999999</v>
      </c>
    </row>
    <row r="1362" spans="1:19" ht="16">
      <c r="A1362" s="18" t="s">
        <v>1510</v>
      </c>
      <c r="B1362" s="26" t="s">
        <v>1504</v>
      </c>
      <c r="C1362" s="1" t="s">
        <v>1514</v>
      </c>
      <c r="D1362" s="26" t="s">
        <v>1509</v>
      </c>
      <c r="E1362" s="1" t="s">
        <v>25</v>
      </c>
      <c r="F1362">
        <v>346.7</v>
      </c>
      <c r="G1362">
        <v>358.86</v>
      </c>
      <c r="H1362" s="27">
        <v>75.757575757575765</v>
      </c>
      <c r="I1362" s="1" t="s">
        <v>1528</v>
      </c>
      <c r="J1362" s="1" t="s">
        <v>1512</v>
      </c>
      <c r="K1362" s="11" t="s">
        <v>1530</v>
      </c>
      <c r="L1362">
        <v>-0.875</v>
      </c>
      <c r="M1362" s="1" t="s">
        <v>23</v>
      </c>
      <c r="N1362" s="11" t="s">
        <v>230</v>
      </c>
      <c r="O1362" s="28">
        <v>187.2709739633558</v>
      </c>
      <c r="P1362" s="3" t="s">
        <v>28</v>
      </c>
      <c r="Q1362" s="37">
        <v>0.22</v>
      </c>
      <c r="R1362" t="s">
        <v>231</v>
      </c>
      <c r="S1362" s="13">
        <f t="shared" si="21"/>
        <v>-0.875</v>
      </c>
    </row>
    <row r="1363" spans="1:19" ht="16">
      <c r="A1363" s="18" t="s">
        <v>1510</v>
      </c>
      <c r="B1363" s="26" t="s">
        <v>1505</v>
      </c>
      <c r="C1363" s="1" t="s">
        <v>1514</v>
      </c>
      <c r="D1363" s="26" t="s">
        <v>1509</v>
      </c>
      <c r="E1363" s="1" t="s">
        <v>25</v>
      </c>
      <c r="F1363">
        <v>346.7</v>
      </c>
      <c r="G1363">
        <v>358.86</v>
      </c>
      <c r="H1363" s="27">
        <v>81.818181818181827</v>
      </c>
      <c r="I1363" s="1" t="s">
        <v>1528</v>
      </c>
      <c r="J1363" s="1" t="s">
        <v>1513</v>
      </c>
      <c r="K1363" s="11" t="s">
        <v>1530</v>
      </c>
      <c r="L1363">
        <v>-0.875</v>
      </c>
      <c r="M1363" s="1" t="s">
        <v>23</v>
      </c>
      <c r="N1363" s="11" t="s">
        <v>230</v>
      </c>
      <c r="O1363" s="28">
        <v>176.52173913043478</v>
      </c>
      <c r="P1363" s="3" t="s">
        <v>28</v>
      </c>
      <c r="Q1363" s="37">
        <v>0.21</v>
      </c>
      <c r="R1363" t="s">
        <v>231</v>
      </c>
      <c r="S1363" s="13">
        <f t="shared" si="21"/>
        <v>-0.875</v>
      </c>
    </row>
    <row r="1364" spans="1:19" ht="16">
      <c r="A1364" s="18" t="s">
        <v>1510</v>
      </c>
      <c r="B1364" s="26" t="s">
        <v>1506</v>
      </c>
      <c r="C1364" s="1" t="s">
        <v>1514</v>
      </c>
      <c r="D1364" s="26" t="s">
        <v>1509</v>
      </c>
      <c r="E1364" s="1" t="s">
        <v>25</v>
      </c>
      <c r="F1364">
        <v>346.7</v>
      </c>
      <c r="G1364">
        <v>358.86</v>
      </c>
      <c r="H1364" s="27">
        <v>81.818181818181827</v>
      </c>
      <c r="I1364" s="1" t="s">
        <v>1528</v>
      </c>
      <c r="J1364" s="1" t="s">
        <v>25</v>
      </c>
      <c r="K1364" s="11" t="s">
        <v>1530</v>
      </c>
      <c r="L1364">
        <v>-0.87999999999999989</v>
      </c>
      <c r="M1364" s="1" t="s">
        <v>23</v>
      </c>
      <c r="N1364" s="11" t="s">
        <v>230</v>
      </c>
      <c r="O1364" s="28">
        <v>158.60838537020518</v>
      </c>
      <c r="P1364" s="3" t="s">
        <v>28</v>
      </c>
      <c r="Q1364" s="37">
        <v>0.19</v>
      </c>
      <c r="R1364" t="s">
        <v>231</v>
      </c>
      <c r="S1364" s="13">
        <f t="shared" si="21"/>
        <v>-0.87999999999999989</v>
      </c>
    </row>
    <row r="1365" spans="1:19" ht="16">
      <c r="A1365" s="18" t="s">
        <v>1510</v>
      </c>
      <c r="B1365" s="26" t="s">
        <v>1507</v>
      </c>
      <c r="C1365" s="1" t="s">
        <v>1514</v>
      </c>
      <c r="D1365" s="26" t="s">
        <v>1509</v>
      </c>
      <c r="E1365" s="1" t="s">
        <v>25</v>
      </c>
      <c r="F1365">
        <v>346.7</v>
      </c>
      <c r="G1365">
        <v>358.86</v>
      </c>
      <c r="H1365" s="27">
        <v>86.666666666666671</v>
      </c>
      <c r="I1365" s="1" t="s">
        <v>1528</v>
      </c>
      <c r="J1365" s="1" t="s">
        <v>1491</v>
      </c>
      <c r="K1365" s="11" t="s">
        <v>1337</v>
      </c>
      <c r="L1365">
        <v>-0.85999999999999988</v>
      </c>
      <c r="M1365" s="1" t="s">
        <v>23</v>
      </c>
      <c r="N1365" s="11" t="s">
        <v>230</v>
      </c>
      <c r="O1365" s="28">
        <v>49.431438127090296</v>
      </c>
      <c r="P1365" s="3" t="s">
        <v>28</v>
      </c>
      <c r="Q1365" s="37">
        <v>0.14000000000000001</v>
      </c>
      <c r="R1365" t="s">
        <v>231</v>
      </c>
      <c r="S1365" s="13">
        <f t="shared" si="21"/>
        <v>-0.85999999999999988</v>
      </c>
    </row>
    <row r="1366" spans="1:19" ht="16">
      <c r="A1366" s="18" t="s">
        <v>1510</v>
      </c>
      <c r="B1366" s="26" t="s">
        <v>1508</v>
      </c>
      <c r="C1366" s="1" t="s">
        <v>1514</v>
      </c>
      <c r="D1366" s="26" t="s">
        <v>1509</v>
      </c>
      <c r="E1366" s="1" t="s">
        <v>25</v>
      </c>
      <c r="F1366">
        <v>346.7</v>
      </c>
      <c r="G1366">
        <v>358.86</v>
      </c>
      <c r="H1366" s="27">
        <v>93.939393939393938</v>
      </c>
      <c r="I1366" s="1" t="s">
        <v>1528</v>
      </c>
      <c r="J1366" s="1" t="s">
        <v>1511</v>
      </c>
      <c r="K1366" s="11" t="s">
        <v>1530</v>
      </c>
      <c r="L1366">
        <v>-0.81999999999999984</v>
      </c>
      <c r="M1366" s="1" t="s">
        <v>23</v>
      </c>
      <c r="N1366" s="11" t="s">
        <v>230</v>
      </c>
      <c r="O1366" s="28">
        <v>299.55782312925169</v>
      </c>
      <c r="P1366" s="3" t="s">
        <v>28</v>
      </c>
      <c r="Q1366" s="37">
        <v>0.35</v>
      </c>
      <c r="R1366" t="s">
        <v>231</v>
      </c>
      <c r="S1366" s="13">
        <f t="shared" si="21"/>
        <v>-0.81999999999999984</v>
      </c>
    </row>
    <row r="1367" spans="1:19" s="4" customFormat="1">
      <c r="B1367" s="5"/>
      <c r="C1367" s="5"/>
      <c r="D1367" s="5"/>
      <c r="E1367" s="5"/>
      <c r="I1367" s="5"/>
      <c r="J1367" s="5"/>
      <c r="M1367" s="5"/>
      <c r="O1367" s="5"/>
      <c r="P1367" s="6"/>
      <c r="Q1367" s="38"/>
      <c r="S1367" s="24"/>
    </row>
    <row r="1368" spans="1:19" ht="16">
      <c r="A1368" s="18" t="s">
        <v>1494</v>
      </c>
      <c r="B1368" s="26" t="s">
        <v>1515</v>
      </c>
      <c r="C1368" s="1" t="s">
        <v>1526</v>
      </c>
      <c r="D1368" s="26" t="s">
        <v>1527</v>
      </c>
      <c r="E1368" s="1" t="s">
        <v>25</v>
      </c>
      <c r="F1368">
        <v>346.7</v>
      </c>
      <c r="G1368">
        <v>358.86</v>
      </c>
      <c r="H1368" s="29">
        <v>22.5</v>
      </c>
      <c r="I1368" s="1" t="s">
        <v>1528</v>
      </c>
      <c r="J1368" s="26" t="s">
        <v>1513</v>
      </c>
      <c r="K1368" s="11" t="s">
        <v>25</v>
      </c>
      <c r="L1368">
        <v>-1.0299999999999998</v>
      </c>
      <c r="M1368" s="1" t="s">
        <v>23</v>
      </c>
      <c r="N1368" s="11" t="s">
        <v>230</v>
      </c>
      <c r="O1368" s="28">
        <v>227.20133667502088</v>
      </c>
      <c r="P1368" s="3" t="s">
        <v>28</v>
      </c>
      <c r="Q1368" s="37">
        <v>0.31</v>
      </c>
      <c r="R1368" t="s">
        <v>231</v>
      </c>
      <c r="S1368" s="13">
        <f t="shared" si="21"/>
        <v>-1.0299999999999998</v>
      </c>
    </row>
    <row r="1369" spans="1:19" ht="16">
      <c r="A1369" s="18" t="s">
        <v>1494</v>
      </c>
      <c r="B1369" s="26" t="s">
        <v>1516</v>
      </c>
      <c r="C1369" s="1" t="s">
        <v>1526</v>
      </c>
      <c r="D1369" s="26" t="s">
        <v>1527</v>
      </c>
      <c r="E1369" s="1" t="s">
        <v>25</v>
      </c>
      <c r="F1369">
        <v>346.7</v>
      </c>
      <c r="G1369">
        <v>358.86</v>
      </c>
      <c r="H1369" s="29">
        <v>34</v>
      </c>
      <c r="I1369" s="1" t="s">
        <v>1528</v>
      </c>
      <c r="J1369" s="26" t="s">
        <v>1529</v>
      </c>
      <c r="K1369" s="11" t="s">
        <v>25</v>
      </c>
      <c r="L1369">
        <v>-1.1299999999999999</v>
      </c>
      <c r="M1369" s="1" t="s">
        <v>23</v>
      </c>
      <c r="N1369" s="11" t="s">
        <v>230</v>
      </c>
      <c r="O1369" s="28">
        <v>239.63369963369965</v>
      </c>
      <c r="P1369" s="3" t="s">
        <v>28</v>
      </c>
      <c r="Q1369" s="37">
        <v>0.28999999999999998</v>
      </c>
      <c r="R1369" t="s">
        <v>231</v>
      </c>
      <c r="S1369" s="13">
        <f t="shared" si="21"/>
        <v>-1.1299999999999999</v>
      </c>
    </row>
    <row r="1370" spans="1:19" ht="16">
      <c r="A1370" s="18" t="s">
        <v>1494</v>
      </c>
      <c r="B1370" s="26" t="s">
        <v>1517</v>
      </c>
      <c r="C1370" s="1" t="s">
        <v>1526</v>
      </c>
      <c r="D1370" s="26" t="s">
        <v>1527</v>
      </c>
      <c r="E1370" s="1" t="s">
        <v>25</v>
      </c>
      <c r="F1370">
        <v>346.7</v>
      </c>
      <c r="G1370">
        <v>358.86</v>
      </c>
      <c r="H1370" s="29">
        <v>44.5</v>
      </c>
      <c r="I1370" s="1" t="s">
        <v>1528</v>
      </c>
      <c r="J1370" s="26" t="s">
        <v>1512</v>
      </c>
      <c r="K1370" s="11" t="s">
        <v>25</v>
      </c>
      <c r="L1370">
        <v>-1.1499999999999999</v>
      </c>
      <c r="M1370" s="1" t="s">
        <v>23</v>
      </c>
      <c r="N1370" s="11" t="s">
        <v>230</v>
      </c>
      <c r="O1370" s="28">
        <v>409.88352745424294</v>
      </c>
      <c r="P1370" s="3" t="s">
        <v>28</v>
      </c>
      <c r="Q1370" s="37">
        <v>0.55000000000000004</v>
      </c>
      <c r="R1370" t="s">
        <v>231</v>
      </c>
      <c r="S1370" s="13">
        <f t="shared" si="21"/>
        <v>-1.1499999999999999</v>
      </c>
    </row>
    <row r="1371" spans="1:19" ht="16">
      <c r="A1371" s="18" t="s">
        <v>1494</v>
      </c>
      <c r="B1371" s="26" t="s">
        <v>1518</v>
      </c>
      <c r="C1371" s="1" t="s">
        <v>1526</v>
      </c>
      <c r="D1371" s="26" t="s">
        <v>1527</v>
      </c>
      <c r="E1371" s="1" t="s">
        <v>25</v>
      </c>
      <c r="F1371">
        <v>346.7</v>
      </c>
      <c r="G1371">
        <v>358.86</v>
      </c>
      <c r="H1371" s="29">
        <v>50.5</v>
      </c>
      <c r="I1371" s="1" t="s">
        <v>1528</v>
      </c>
      <c r="J1371" s="26" t="s">
        <v>1512</v>
      </c>
      <c r="K1371" s="11" t="s">
        <v>25</v>
      </c>
      <c r="L1371">
        <v>-1.1099999999999999</v>
      </c>
      <c r="M1371" s="1" t="s">
        <v>23</v>
      </c>
      <c r="N1371" s="11" t="s">
        <v>230</v>
      </c>
      <c r="O1371" s="28">
        <v>191.73581710414902</v>
      </c>
      <c r="P1371" s="3" t="s">
        <v>28</v>
      </c>
      <c r="Q1371" s="37">
        <v>0.22</v>
      </c>
      <c r="R1371" t="s">
        <v>231</v>
      </c>
      <c r="S1371" s="13">
        <f t="shared" si="21"/>
        <v>-1.1099999999999999</v>
      </c>
    </row>
    <row r="1372" spans="1:19" ht="16">
      <c r="A1372" s="18" t="s">
        <v>1494</v>
      </c>
      <c r="B1372" s="26" t="s">
        <v>1519</v>
      </c>
      <c r="C1372" s="1" t="s">
        <v>1526</v>
      </c>
      <c r="D1372" s="26" t="s">
        <v>1527</v>
      </c>
      <c r="E1372" s="1" t="s">
        <v>25</v>
      </c>
      <c r="F1372">
        <v>346.7</v>
      </c>
      <c r="G1372">
        <v>358.86</v>
      </c>
      <c r="H1372" s="29">
        <v>61</v>
      </c>
      <c r="I1372" s="1" t="s">
        <v>1528</v>
      </c>
      <c r="J1372" s="26" t="s">
        <v>1529</v>
      </c>
      <c r="K1372" s="11" t="s">
        <v>25</v>
      </c>
      <c r="L1372">
        <v>-1.1099999999999999</v>
      </c>
      <c r="M1372" s="1" t="s">
        <v>23</v>
      </c>
      <c r="N1372" s="11" t="s">
        <v>230</v>
      </c>
      <c r="O1372" s="28">
        <v>169.79044425817267</v>
      </c>
      <c r="P1372" s="3" t="s">
        <v>28</v>
      </c>
      <c r="Q1372" s="37">
        <v>0.18</v>
      </c>
      <c r="R1372" t="s">
        <v>231</v>
      </c>
      <c r="S1372" s="13">
        <f t="shared" si="21"/>
        <v>-1.1099999999999999</v>
      </c>
    </row>
    <row r="1373" spans="1:19" ht="16">
      <c r="A1373" s="18" t="s">
        <v>1494</v>
      </c>
      <c r="B1373" s="26" t="s">
        <v>1520</v>
      </c>
      <c r="C1373" s="1" t="s">
        <v>1526</v>
      </c>
      <c r="D1373" s="26" t="s">
        <v>1527</v>
      </c>
      <c r="E1373" s="1" t="s">
        <v>25</v>
      </c>
      <c r="F1373">
        <v>346.7</v>
      </c>
      <c r="G1373">
        <v>358.86</v>
      </c>
      <c r="H1373" s="29">
        <v>67</v>
      </c>
      <c r="I1373" s="1" t="s">
        <v>1528</v>
      </c>
      <c r="J1373" s="26" t="s">
        <v>1512</v>
      </c>
      <c r="K1373" s="11" t="s">
        <v>25</v>
      </c>
      <c r="L1373">
        <v>-1.0299999999999998</v>
      </c>
      <c r="M1373" s="1" t="s">
        <v>23</v>
      </c>
      <c r="N1373" s="11" t="s">
        <v>230</v>
      </c>
      <c r="O1373" s="28">
        <v>128.28300258843831</v>
      </c>
      <c r="P1373" s="3" t="s">
        <v>28</v>
      </c>
      <c r="Q1373" s="37">
        <v>0.13</v>
      </c>
      <c r="R1373" t="s">
        <v>231</v>
      </c>
      <c r="S1373" s="13">
        <f t="shared" si="21"/>
        <v>-1.0299999999999998</v>
      </c>
    </row>
    <row r="1374" spans="1:19" ht="16">
      <c r="A1374" s="18" t="s">
        <v>1494</v>
      </c>
      <c r="B1374" s="26" t="s">
        <v>1521</v>
      </c>
      <c r="C1374" s="1" t="s">
        <v>1526</v>
      </c>
      <c r="D1374" s="26" t="s">
        <v>1527</v>
      </c>
      <c r="E1374" s="1" t="s">
        <v>25</v>
      </c>
      <c r="F1374">
        <v>346.7</v>
      </c>
      <c r="G1374">
        <v>358.86</v>
      </c>
      <c r="H1374" s="29">
        <v>78</v>
      </c>
      <c r="I1374" s="1" t="s">
        <v>1528</v>
      </c>
      <c r="J1374" s="26" t="s">
        <v>1529</v>
      </c>
      <c r="K1374" s="11" t="s">
        <v>25</v>
      </c>
      <c r="L1374">
        <v>-1.06</v>
      </c>
      <c r="M1374" s="1" t="s">
        <v>23</v>
      </c>
      <c r="N1374" s="11" t="s">
        <v>230</v>
      </c>
      <c r="O1374" s="28">
        <v>488.52160727824111</v>
      </c>
      <c r="P1374" s="3" t="s">
        <v>28</v>
      </c>
      <c r="Q1374" s="37">
        <v>0.57999999999999996</v>
      </c>
      <c r="R1374" t="s">
        <v>231</v>
      </c>
      <c r="S1374" s="13">
        <f t="shared" si="21"/>
        <v>-1.06</v>
      </c>
    </row>
    <row r="1375" spans="1:19" ht="16">
      <c r="A1375" s="18" t="s">
        <v>1494</v>
      </c>
      <c r="B1375" s="26" t="s">
        <v>1522</v>
      </c>
      <c r="C1375" s="1" t="s">
        <v>1526</v>
      </c>
      <c r="D1375" s="26" t="s">
        <v>1527</v>
      </c>
      <c r="E1375" s="1" t="s">
        <v>25</v>
      </c>
      <c r="F1375">
        <v>346.7</v>
      </c>
      <c r="G1375">
        <v>358.86</v>
      </c>
      <c r="H1375" s="29">
        <v>85</v>
      </c>
      <c r="I1375" s="1" t="s">
        <v>1528</v>
      </c>
      <c r="J1375" s="26" t="s">
        <v>1511</v>
      </c>
      <c r="K1375" s="11" t="s">
        <v>25</v>
      </c>
      <c r="L1375">
        <v>-1.0499999999999998</v>
      </c>
      <c r="M1375" s="1" t="s">
        <v>23</v>
      </c>
      <c r="N1375" s="11" t="s">
        <v>230</v>
      </c>
      <c r="O1375" s="28">
        <v>302.42479489516859</v>
      </c>
      <c r="P1375" s="3" t="s">
        <v>28</v>
      </c>
      <c r="Q1375" s="37">
        <v>0.34</v>
      </c>
      <c r="R1375" t="s">
        <v>231</v>
      </c>
      <c r="S1375" s="13">
        <f t="shared" si="21"/>
        <v>-1.0499999999999998</v>
      </c>
    </row>
    <row r="1376" spans="1:19" ht="16">
      <c r="A1376" s="18" t="s">
        <v>1494</v>
      </c>
      <c r="B1376" s="26" t="s">
        <v>1523</v>
      </c>
      <c r="C1376" s="1" t="s">
        <v>1526</v>
      </c>
      <c r="D1376" s="26" t="s">
        <v>1527</v>
      </c>
      <c r="E1376" s="1" t="s">
        <v>25</v>
      </c>
      <c r="F1376">
        <v>346.7</v>
      </c>
      <c r="G1376">
        <v>358.86</v>
      </c>
      <c r="H1376" s="29">
        <v>85</v>
      </c>
      <c r="I1376" s="1" t="s">
        <v>1528</v>
      </c>
      <c r="J1376" s="26" t="s">
        <v>25</v>
      </c>
      <c r="K1376" s="11" t="s">
        <v>25</v>
      </c>
      <c r="L1376">
        <v>-1.0899999999999999</v>
      </c>
      <c r="M1376" s="1" t="s">
        <v>23</v>
      </c>
      <c r="N1376" s="11" t="s">
        <v>230</v>
      </c>
      <c r="O1376" s="28">
        <v>545.76948700866092</v>
      </c>
      <c r="P1376" s="3" t="s">
        <v>28</v>
      </c>
      <c r="Q1376" s="37">
        <v>0.59</v>
      </c>
      <c r="R1376" t="s">
        <v>231</v>
      </c>
      <c r="S1376" s="13">
        <f t="shared" si="21"/>
        <v>-1.0899999999999999</v>
      </c>
    </row>
    <row r="1377" spans="1:19" ht="16">
      <c r="A1377" s="18" t="s">
        <v>1494</v>
      </c>
      <c r="B1377" s="26" t="s">
        <v>1524</v>
      </c>
      <c r="C1377" s="1" t="s">
        <v>1526</v>
      </c>
      <c r="D1377" s="26" t="s">
        <v>1527</v>
      </c>
      <c r="E1377" s="1" t="s">
        <v>25</v>
      </c>
      <c r="F1377">
        <v>346.7</v>
      </c>
      <c r="G1377">
        <v>358.86</v>
      </c>
      <c r="H1377" s="29">
        <v>91</v>
      </c>
      <c r="I1377" s="1" t="s">
        <v>1528</v>
      </c>
      <c r="J1377" s="26" t="s">
        <v>1511</v>
      </c>
      <c r="K1377" s="11" t="s">
        <v>25</v>
      </c>
      <c r="L1377">
        <v>-1.0099999999999998</v>
      </c>
      <c r="M1377" s="1" t="s">
        <v>23</v>
      </c>
      <c r="N1377" s="11" t="s">
        <v>230</v>
      </c>
      <c r="O1377" s="28">
        <v>291.54061624649859</v>
      </c>
      <c r="P1377" s="3" t="s">
        <v>28</v>
      </c>
      <c r="Q1377" s="37">
        <v>0.31</v>
      </c>
      <c r="R1377" t="s">
        <v>231</v>
      </c>
      <c r="S1377" s="13">
        <f t="shared" si="21"/>
        <v>-1.0099999999999998</v>
      </c>
    </row>
    <row r="1378" spans="1:19" ht="16">
      <c r="A1378" s="18" t="s">
        <v>1494</v>
      </c>
      <c r="B1378" s="26" t="s">
        <v>1525</v>
      </c>
      <c r="C1378" s="1" t="s">
        <v>1526</v>
      </c>
      <c r="D1378" s="26" t="s">
        <v>1527</v>
      </c>
      <c r="E1378" s="1" t="s">
        <v>25</v>
      </c>
      <c r="F1378">
        <v>346.7</v>
      </c>
      <c r="G1378">
        <v>358.86</v>
      </c>
      <c r="H1378" s="29">
        <v>91</v>
      </c>
      <c r="I1378" s="1" t="s">
        <v>1528</v>
      </c>
      <c r="J1378" s="26" t="s">
        <v>25</v>
      </c>
      <c r="K1378" s="11" t="s">
        <v>25</v>
      </c>
      <c r="L1378">
        <v>-1.06</v>
      </c>
      <c r="M1378" s="1" t="s">
        <v>23</v>
      </c>
      <c r="N1378" s="11" t="s">
        <v>230</v>
      </c>
      <c r="O1378" s="28">
        <v>526.59822039698838</v>
      </c>
      <c r="P1378" s="3" t="s">
        <v>28</v>
      </c>
      <c r="Q1378" s="37">
        <v>0.59</v>
      </c>
      <c r="R1378" t="s">
        <v>231</v>
      </c>
      <c r="S1378" s="13">
        <f t="shared" si="21"/>
        <v>-1.06</v>
      </c>
    </row>
    <row r="1379" spans="1:19" s="4" customFormat="1">
      <c r="B1379" s="5"/>
      <c r="C1379" s="5"/>
      <c r="D1379" s="5"/>
      <c r="E1379" s="5"/>
      <c r="I1379" s="5"/>
      <c r="J1379" s="5"/>
      <c r="M1379" s="5"/>
      <c r="O1379" s="5"/>
      <c r="P1379" s="6"/>
      <c r="Q1379" s="38"/>
      <c r="S1379" s="24"/>
    </row>
    <row r="1380" spans="1:19">
      <c r="A1380" s="18" t="s">
        <v>1531</v>
      </c>
      <c r="B1380" s="1" t="s">
        <v>1532</v>
      </c>
      <c r="C1380" s="1" t="s">
        <v>1590</v>
      </c>
      <c r="D1380" s="1" t="s">
        <v>1591</v>
      </c>
      <c r="E1380" s="1" t="s">
        <v>25</v>
      </c>
      <c r="F1380">
        <v>246</v>
      </c>
      <c r="G1380">
        <v>249.2</v>
      </c>
      <c r="H1380" s="30">
        <v>3.2</v>
      </c>
      <c r="I1380" s="1" t="s">
        <v>1528</v>
      </c>
      <c r="J1380" s="1" t="s">
        <v>25</v>
      </c>
      <c r="K1380" s="11" t="s">
        <v>25</v>
      </c>
      <c r="L1380" s="1" t="s">
        <v>25</v>
      </c>
      <c r="M1380" s="1" t="s">
        <v>25</v>
      </c>
      <c r="N1380" s="1" t="s">
        <v>25</v>
      </c>
      <c r="O1380" s="1" t="s">
        <v>25</v>
      </c>
      <c r="P1380" s="3" t="s">
        <v>25</v>
      </c>
      <c r="Q1380" s="37" t="s">
        <v>25</v>
      </c>
      <c r="R1380" s="1" t="s">
        <v>25</v>
      </c>
      <c r="S1380" s="13" t="s">
        <v>25</v>
      </c>
    </row>
    <row r="1381" spans="1:19">
      <c r="A1381" s="18" t="s">
        <v>1531</v>
      </c>
      <c r="B1381" s="1" t="s">
        <v>1533</v>
      </c>
      <c r="C1381" s="1" t="s">
        <v>1590</v>
      </c>
      <c r="D1381" s="1" t="s">
        <v>1591</v>
      </c>
      <c r="E1381" s="1" t="s">
        <v>25</v>
      </c>
      <c r="F1381">
        <v>246</v>
      </c>
      <c r="G1381">
        <v>249.2</v>
      </c>
      <c r="H1381" s="30">
        <v>5</v>
      </c>
      <c r="I1381" s="1" t="s">
        <v>1528</v>
      </c>
      <c r="J1381" s="1" t="s">
        <v>25</v>
      </c>
      <c r="K1381" s="11" t="s">
        <v>25</v>
      </c>
      <c r="L1381" s="1" t="s">
        <v>25</v>
      </c>
      <c r="M1381" s="1" t="s">
        <v>25</v>
      </c>
      <c r="N1381" s="1" t="s">
        <v>25</v>
      </c>
      <c r="O1381" s="1" t="s">
        <v>25</v>
      </c>
      <c r="P1381" s="3" t="s">
        <v>25</v>
      </c>
      <c r="Q1381" s="37" t="s">
        <v>25</v>
      </c>
      <c r="R1381" s="1" t="s">
        <v>25</v>
      </c>
      <c r="S1381" s="13" t="s">
        <v>25</v>
      </c>
    </row>
    <row r="1382" spans="1:19">
      <c r="A1382" s="18" t="s">
        <v>1531</v>
      </c>
      <c r="B1382" s="1" t="s">
        <v>1534</v>
      </c>
      <c r="C1382" s="1" t="s">
        <v>1590</v>
      </c>
      <c r="D1382" s="1" t="s">
        <v>1591</v>
      </c>
      <c r="E1382" s="1" t="s">
        <v>25</v>
      </c>
      <c r="F1382">
        <v>246</v>
      </c>
      <c r="G1382">
        <v>249.2</v>
      </c>
      <c r="H1382" s="30">
        <v>7.8</v>
      </c>
      <c r="I1382" s="1" t="s">
        <v>1528</v>
      </c>
      <c r="J1382" s="1" t="s">
        <v>25</v>
      </c>
      <c r="K1382" s="11" t="s">
        <v>25</v>
      </c>
      <c r="L1382">
        <v>-1.0393819901782255</v>
      </c>
      <c r="M1382" s="1" t="s">
        <v>23</v>
      </c>
      <c r="N1382" s="11" t="s">
        <v>230</v>
      </c>
      <c r="O1382" s="1" t="s">
        <v>25</v>
      </c>
      <c r="P1382" s="3" t="s">
        <v>25</v>
      </c>
      <c r="Q1382" s="37" t="s">
        <v>25</v>
      </c>
      <c r="R1382" s="1" t="s">
        <v>25</v>
      </c>
      <c r="S1382" s="13">
        <f t="shared" si="21"/>
        <v>-1.0393819901782255</v>
      </c>
    </row>
    <row r="1383" spans="1:19">
      <c r="A1383" s="18" t="s">
        <v>1531</v>
      </c>
      <c r="B1383" s="1" t="s">
        <v>1535</v>
      </c>
      <c r="C1383" s="1" t="s">
        <v>1590</v>
      </c>
      <c r="D1383" s="1" t="s">
        <v>1591</v>
      </c>
      <c r="E1383" s="1" t="s">
        <v>25</v>
      </c>
      <c r="F1383">
        <v>246</v>
      </c>
      <c r="G1383">
        <v>249.2</v>
      </c>
      <c r="H1383" s="30">
        <v>16.100000000000001</v>
      </c>
      <c r="I1383" s="1" t="s">
        <v>1528</v>
      </c>
      <c r="J1383" s="1" t="s">
        <v>25</v>
      </c>
      <c r="K1383" s="11" t="s">
        <v>25</v>
      </c>
      <c r="L1383" s="1" t="s">
        <v>25</v>
      </c>
      <c r="M1383" s="1" t="s">
        <v>25</v>
      </c>
      <c r="N1383" s="1" t="s">
        <v>25</v>
      </c>
      <c r="O1383" s="1" t="s">
        <v>25</v>
      </c>
      <c r="P1383" s="3" t="s">
        <v>25</v>
      </c>
      <c r="Q1383" s="37" t="s">
        <v>25</v>
      </c>
      <c r="R1383" s="1" t="s">
        <v>25</v>
      </c>
      <c r="S1383" s="13" t="s">
        <v>25</v>
      </c>
    </row>
    <row r="1384" spans="1:19">
      <c r="A1384" s="18" t="s">
        <v>1531</v>
      </c>
      <c r="B1384" s="1" t="s">
        <v>1536</v>
      </c>
      <c r="C1384" s="1" t="s">
        <v>1590</v>
      </c>
      <c r="D1384" s="1" t="s">
        <v>1591</v>
      </c>
      <c r="E1384" s="1" t="s">
        <v>25</v>
      </c>
      <c r="F1384">
        <v>246</v>
      </c>
      <c r="G1384">
        <v>249.2</v>
      </c>
      <c r="H1384" s="30">
        <v>20.7</v>
      </c>
      <c r="I1384" s="1" t="s">
        <v>1528</v>
      </c>
      <c r="J1384" s="1" t="s">
        <v>25</v>
      </c>
      <c r="K1384" s="11" t="s">
        <v>25</v>
      </c>
      <c r="L1384">
        <v>-0.97998268519894283</v>
      </c>
      <c r="M1384" s="1" t="s">
        <v>23</v>
      </c>
      <c r="N1384" s="11" t="s">
        <v>230</v>
      </c>
      <c r="O1384" s="1" t="s">
        <v>25</v>
      </c>
      <c r="P1384" s="3" t="s">
        <v>25</v>
      </c>
      <c r="Q1384" s="37" t="s">
        <v>25</v>
      </c>
      <c r="R1384" s="1" t="s">
        <v>25</v>
      </c>
      <c r="S1384" s="13">
        <f t="shared" si="21"/>
        <v>-0.97998268519894283</v>
      </c>
    </row>
    <row r="1385" spans="1:19">
      <c r="A1385" s="18" t="s">
        <v>1531</v>
      </c>
      <c r="B1385" s="1" t="s">
        <v>1537</v>
      </c>
      <c r="C1385" s="1" t="s">
        <v>1590</v>
      </c>
      <c r="D1385" s="1" t="s">
        <v>1591</v>
      </c>
      <c r="E1385" s="1" t="s">
        <v>25</v>
      </c>
      <c r="F1385">
        <v>246</v>
      </c>
      <c r="G1385">
        <v>249.2</v>
      </c>
      <c r="H1385" s="30">
        <v>34.6</v>
      </c>
      <c r="I1385" s="1" t="s">
        <v>1528</v>
      </c>
      <c r="J1385" s="1" t="s">
        <v>25</v>
      </c>
      <c r="K1385" s="11" t="s">
        <v>25</v>
      </c>
      <c r="L1385" s="1" t="s">
        <v>25</v>
      </c>
      <c r="M1385" s="1" t="s">
        <v>25</v>
      </c>
      <c r="N1385" s="1" t="s">
        <v>25</v>
      </c>
      <c r="O1385" s="1" t="s">
        <v>25</v>
      </c>
      <c r="P1385" s="3" t="s">
        <v>25</v>
      </c>
      <c r="Q1385" s="37" t="s">
        <v>25</v>
      </c>
      <c r="R1385" s="1" t="s">
        <v>25</v>
      </c>
      <c r="S1385" s="13" t="s">
        <v>25</v>
      </c>
    </row>
    <row r="1386" spans="1:19">
      <c r="A1386" s="18" t="s">
        <v>1531</v>
      </c>
      <c r="B1386" s="1" t="s">
        <v>1538</v>
      </c>
      <c r="C1386" s="1" t="s">
        <v>1590</v>
      </c>
      <c r="D1386" s="1" t="s">
        <v>1591</v>
      </c>
      <c r="E1386" s="1" t="s">
        <v>25</v>
      </c>
      <c r="F1386">
        <v>246</v>
      </c>
      <c r="G1386">
        <v>249.2</v>
      </c>
      <c r="H1386" s="30">
        <v>36.5</v>
      </c>
      <c r="I1386" s="1" t="s">
        <v>1528</v>
      </c>
      <c r="J1386" s="1" t="s">
        <v>25</v>
      </c>
      <c r="K1386" s="11" t="s">
        <v>25</v>
      </c>
      <c r="L1386">
        <v>-1.0366769401752223</v>
      </c>
      <c r="M1386" s="1" t="s">
        <v>23</v>
      </c>
      <c r="N1386" s="11" t="s">
        <v>230</v>
      </c>
      <c r="O1386" s="1" t="s">
        <v>25</v>
      </c>
      <c r="P1386" s="3" t="s">
        <v>25</v>
      </c>
      <c r="Q1386" s="37" t="s">
        <v>25</v>
      </c>
      <c r="R1386" s="1" t="s">
        <v>25</v>
      </c>
      <c r="S1386" s="13">
        <f t="shared" si="21"/>
        <v>-1.0366769401752223</v>
      </c>
    </row>
    <row r="1387" spans="1:19">
      <c r="A1387" s="18" t="s">
        <v>1531</v>
      </c>
      <c r="B1387" s="1" t="s">
        <v>1539</v>
      </c>
      <c r="C1387" s="1" t="s">
        <v>1590</v>
      </c>
      <c r="D1387" s="1" t="s">
        <v>1591</v>
      </c>
      <c r="E1387" s="1" t="s">
        <v>25</v>
      </c>
      <c r="F1387">
        <v>246</v>
      </c>
      <c r="G1387">
        <v>249.2</v>
      </c>
      <c r="H1387" s="30">
        <v>40</v>
      </c>
      <c r="I1387" s="1" t="s">
        <v>1528</v>
      </c>
      <c r="J1387" s="1" t="s">
        <v>25</v>
      </c>
      <c r="K1387" s="11" t="s">
        <v>25</v>
      </c>
      <c r="L1387" s="1" t="s">
        <v>25</v>
      </c>
      <c r="M1387" s="1" t="s">
        <v>25</v>
      </c>
      <c r="N1387" s="1" t="s">
        <v>25</v>
      </c>
      <c r="O1387" s="1" t="s">
        <v>25</v>
      </c>
      <c r="P1387" s="3" t="s">
        <v>25</v>
      </c>
      <c r="Q1387" s="37" t="s">
        <v>25</v>
      </c>
      <c r="R1387" s="1" t="s">
        <v>25</v>
      </c>
      <c r="S1387" s="13" t="s">
        <v>25</v>
      </c>
    </row>
    <row r="1388" spans="1:19">
      <c r="A1388" s="18" t="s">
        <v>1531</v>
      </c>
      <c r="B1388" s="1" t="s">
        <v>1540</v>
      </c>
      <c r="C1388" s="1" t="s">
        <v>1590</v>
      </c>
      <c r="D1388" s="1" t="s">
        <v>1591</v>
      </c>
      <c r="E1388" s="1" t="s">
        <v>25</v>
      </c>
      <c r="F1388">
        <v>246</v>
      </c>
      <c r="G1388">
        <v>249.2</v>
      </c>
      <c r="H1388" s="30">
        <v>42</v>
      </c>
      <c r="I1388" s="1" t="s">
        <v>1528</v>
      </c>
      <c r="J1388" s="1" t="s">
        <v>25</v>
      </c>
      <c r="K1388" s="11" t="s">
        <v>25</v>
      </c>
      <c r="L1388">
        <v>-0.95668574113820037</v>
      </c>
      <c r="M1388" s="1" t="s">
        <v>23</v>
      </c>
      <c r="N1388" s="11" t="s">
        <v>230</v>
      </c>
      <c r="O1388" s="1" t="s">
        <v>25</v>
      </c>
      <c r="P1388" s="3" t="s">
        <v>25</v>
      </c>
      <c r="Q1388" s="37" t="s">
        <v>25</v>
      </c>
      <c r="R1388" s="1" t="s">
        <v>25</v>
      </c>
      <c r="S1388" s="13">
        <f t="shared" si="21"/>
        <v>-0.95668574113820037</v>
      </c>
    </row>
    <row r="1389" spans="1:19">
      <c r="A1389" s="18" t="s">
        <v>1531</v>
      </c>
      <c r="B1389" s="1" t="s">
        <v>1541</v>
      </c>
      <c r="C1389" s="1" t="s">
        <v>1590</v>
      </c>
      <c r="D1389" s="1" t="s">
        <v>1591</v>
      </c>
      <c r="E1389" s="1" t="s">
        <v>25</v>
      </c>
      <c r="F1389">
        <v>246</v>
      </c>
      <c r="G1389">
        <v>249.2</v>
      </c>
      <c r="H1389" s="30">
        <v>44.2</v>
      </c>
      <c r="I1389" s="1" t="s">
        <v>1528</v>
      </c>
      <c r="J1389" s="1" t="s">
        <v>25</v>
      </c>
      <c r="K1389" s="11" t="s">
        <v>25</v>
      </c>
      <c r="L1389" s="1" t="s">
        <v>25</v>
      </c>
      <c r="M1389" s="1" t="s">
        <v>25</v>
      </c>
      <c r="N1389" s="1" t="s">
        <v>25</v>
      </c>
      <c r="O1389" s="1" t="s">
        <v>25</v>
      </c>
      <c r="P1389" s="3" t="s">
        <v>25</v>
      </c>
      <c r="Q1389" s="37" t="s">
        <v>25</v>
      </c>
      <c r="R1389" s="1" t="s">
        <v>25</v>
      </c>
      <c r="S1389" s="13" t="s">
        <v>25</v>
      </c>
    </row>
    <row r="1390" spans="1:19">
      <c r="A1390" s="18" t="s">
        <v>1531</v>
      </c>
      <c r="B1390" s="1" t="s">
        <v>1542</v>
      </c>
      <c r="C1390" s="1" t="s">
        <v>1590</v>
      </c>
      <c r="D1390" s="1" t="s">
        <v>1591</v>
      </c>
      <c r="E1390" s="1" t="s">
        <v>25</v>
      </c>
      <c r="F1390">
        <v>246</v>
      </c>
      <c r="G1390">
        <v>249.2</v>
      </c>
      <c r="H1390" s="30">
        <v>47.5</v>
      </c>
      <c r="I1390" s="1" t="s">
        <v>1528</v>
      </c>
      <c r="J1390" s="1" t="s">
        <v>25</v>
      </c>
      <c r="K1390" s="11" t="s">
        <v>25</v>
      </c>
      <c r="L1390">
        <v>-0.90536582145563849</v>
      </c>
      <c r="M1390" s="1" t="s">
        <v>23</v>
      </c>
      <c r="N1390" s="11" t="s">
        <v>230</v>
      </c>
      <c r="O1390" s="1" t="s">
        <v>25</v>
      </c>
      <c r="P1390" s="3" t="s">
        <v>25</v>
      </c>
      <c r="Q1390" s="37" t="s">
        <v>25</v>
      </c>
      <c r="R1390" s="1" t="s">
        <v>25</v>
      </c>
      <c r="S1390" s="13">
        <f t="shared" si="21"/>
        <v>-0.90536582145563849</v>
      </c>
    </row>
    <row r="1391" spans="1:19">
      <c r="A1391" s="18" t="s">
        <v>1531</v>
      </c>
      <c r="B1391" s="1" t="s">
        <v>1543</v>
      </c>
      <c r="C1391" s="1" t="s">
        <v>1590</v>
      </c>
      <c r="D1391" s="1" t="s">
        <v>1591</v>
      </c>
      <c r="E1391" s="1" t="s">
        <v>25</v>
      </c>
      <c r="F1391">
        <v>246</v>
      </c>
      <c r="G1391">
        <v>249.2</v>
      </c>
      <c r="H1391" s="30">
        <v>49</v>
      </c>
      <c r="I1391" s="1" t="s">
        <v>1528</v>
      </c>
      <c r="J1391" s="1" t="s">
        <v>25</v>
      </c>
      <c r="K1391" s="11" t="s">
        <v>25</v>
      </c>
      <c r="L1391" s="1" t="s">
        <v>25</v>
      </c>
      <c r="M1391" s="1" t="s">
        <v>25</v>
      </c>
      <c r="N1391" s="1" t="s">
        <v>25</v>
      </c>
      <c r="O1391" s="1" t="s">
        <v>25</v>
      </c>
      <c r="P1391" s="3" t="s">
        <v>25</v>
      </c>
      <c r="Q1391" s="37" t="s">
        <v>25</v>
      </c>
      <c r="R1391" s="1" t="s">
        <v>25</v>
      </c>
      <c r="S1391" s="13" t="s">
        <v>25</v>
      </c>
    </row>
    <row r="1392" spans="1:19">
      <c r="A1392" s="18" t="s">
        <v>1531</v>
      </c>
      <c r="B1392" s="1" t="s">
        <v>1544</v>
      </c>
      <c r="C1392" s="1" t="s">
        <v>1590</v>
      </c>
      <c r="D1392" s="1" t="s">
        <v>1591</v>
      </c>
      <c r="E1392" s="1" t="s">
        <v>25</v>
      </c>
      <c r="F1392">
        <v>246</v>
      </c>
      <c r="G1392">
        <v>249.2</v>
      </c>
      <c r="H1392" s="30">
        <v>58.5</v>
      </c>
      <c r="I1392" s="1" t="s">
        <v>1528</v>
      </c>
      <c r="J1392" s="1" t="s">
        <v>25</v>
      </c>
      <c r="K1392" s="11" t="s">
        <v>25</v>
      </c>
      <c r="L1392" s="1" t="s">
        <v>25</v>
      </c>
      <c r="M1392" s="1" t="s">
        <v>25</v>
      </c>
      <c r="N1392" s="1" t="s">
        <v>25</v>
      </c>
      <c r="O1392" s="1" t="s">
        <v>25</v>
      </c>
      <c r="P1392" s="3" t="s">
        <v>25</v>
      </c>
      <c r="Q1392" s="37" t="s">
        <v>25</v>
      </c>
      <c r="R1392" s="1" t="s">
        <v>25</v>
      </c>
      <c r="S1392" s="13" t="s">
        <v>25</v>
      </c>
    </row>
    <row r="1393" spans="1:19">
      <c r="A1393" s="18" t="s">
        <v>1531</v>
      </c>
      <c r="B1393" s="1" t="s">
        <v>1545</v>
      </c>
      <c r="C1393" s="1" t="s">
        <v>1590</v>
      </c>
      <c r="D1393" s="1" t="s">
        <v>1591</v>
      </c>
      <c r="E1393" s="1" t="s">
        <v>25</v>
      </c>
      <c r="F1393">
        <v>246</v>
      </c>
      <c r="G1393">
        <v>249.2</v>
      </c>
      <c r="H1393" s="30">
        <v>59.2</v>
      </c>
      <c r="I1393" s="1" t="s">
        <v>1528</v>
      </c>
      <c r="J1393" s="1" t="s">
        <v>25</v>
      </c>
      <c r="K1393" s="11" t="s">
        <v>25</v>
      </c>
      <c r="L1393">
        <v>-0.91920626526702132</v>
      </c>
      <c r="M1393" s="1" t="s">
        <v>23</v>
      </c>
      <c r="N1393" s="11" t="s">
        <v>230</v>
      </c>
      <c r="O1393" s="1" t="s">
        <v>25</v>
      </c>
      <c r="P1393" s="3" t="s">
        <v>25</v>
      </c>
      <c r="Q1393" s="37" t="s">
        <v>25</v>
      </c>
      <c r="R1393" s="1" t="s">
        <v>25</v>
      </c>
      <c r="S1393" s="13">
        <f t="shared" si="21"/>
        <v>-0.91920626526702132</v>
      </c>
    </row>
    <row r="1394" spans="1:19">
      <c r="A1394" s="18" t="s">
        <v>1531</v>
      </c>
      <c r="B1394" s="1" t="s">
        <v>1546</v>
      </c>
      <c r="C1394" s="1" t="s">
        <v>1590</v>
      </c>
      <c r="D1394" s="1" t="s">
        <v>1591</v>
      </c>
      <c r="E1394" s="1" t="s">
        <v>25</v>
      </c>
      <c r="F1394">
        <v>246</v>
      </c>
      <c r="G1394">
        <v>249.2</v>
      </c>
      <c r="H1394" s="30">
        <v>60.5</v>
      </c>
      <c r="I1394" s="1" t="s">
        <v>1528</v>
      </c>
      <c r="J1394" s="1" t="s">
        <v>25</v>
      </c>
      <c r="K1394" s="11" t="s">
        <v>25</v>
      </c>
      <c r="L1394" s="1" t="s">
        <v>25</v>
      </c>
      <c r="M1394" s="1" t="s">
        <v>25</v>
      </c>
      <c r="N1394" s="1" t="s">
        <v>25</v>
      </c>
      <c r="O1394" s="1" t="s">
        <v>25</v>
      </c>
      <c r="P1394" s="3" t="s">
        <v>25</v>
      </c>
      <c r="Q1394" s="37" t="s">
        <v>25</v>
      </c>
      <c r="R1394" s="1" t="s">
        <v>25</v>
      </c>
      <c r="S1394" s="13" t="s">
        <v>25</v>
      </c>
    </row>
    <row r="1395" spans="1:19">
      <c r="A1395" s="18" t="s">
        <v>1531</v>
      </c>
      <c r="B1395" s="1" t="s">
        <v>1547</v>
      </c>
      <c r="C1395" s="1" t="s">
        <v>1590</v>
      </c>
      <c r="D1395" s="1" t="s">
        <v>1591</v>
      </c>
      <c r="E1395" s="1" t="s">
        <v>25</v>
      </c>
      <c r="F1395">
        <v>246</v>
      </c>
      <c r="G1395">
        <v>249.2</v>
      </c>
      <c r="H1395" s="30">
        <v>64.5</v>
      </c>
      <c r="I1395" s="1" t="s">
        <v>1528</v>
      </c>
      <c r="J1395" s="1" t="s">
        <v>25</v>
      </c>
      <c r="K1395" s="11" t="s">
        <v>25</v>
      </c>
      <c r="L1395">
        <v>-0.96928522178747401</v>
      </c>
      <c r="M1395" s="1" t="s">
        <v>23</v>
      </c>
      <c r="N1395" s="11" t="s">
        <v>230</v>
      </c>
      <c r="O1395" s="1" t="s">
        <v>25</v>
      </c>
      <c r="P1395" s="3" t="s">
        <v>25</v>
      </c>
      <c r="Q1395" s="37" t="s">
        <v>25</v>
      </c>
      <c r="R1395" s="1" t="s">
        <v>25</v>
      </c>
      <c r="S1395" s="13">
        <f t="shared" si="21"/>
        <v>-0.96928522178747401</v>
      </c>
    </row>
    <row r="1396" spans="1:19">
      <c r="A1396" s="18" t="s">
        <v>1531</v>
      </c>
      <c r="B1396" s="1" t="s">
        <v>1548</v>
      </c>
      <c r="C1396" s="1" t="s">
        <v>1590</v>
      </c>
      <c r="D1396" s="1" t="s">
        <v>1591</v>
      </c>
      <c r="E1396" s="1" t="s">
        <v>25</v>
      </c>
      <c r="F1396">
        <v>246</v>
      </c>
      <c r="G1396">
        <v>249.2</v>
      </c>
      <c r="H1396" s="30">
        <v>67.5</v>
      </c>
      <c r="I1396" s="1" t="s">
        <v>1528</v>
      </c>
      <c r="J1396" s="1" t="s">
        <v>25</v>
      </c>
      <c r="K1396" s="11" t="s">
        <v>25</v>
      </c>
      <c r="L1396">
        <v>-0.75828350234378483</v>
      </c>
      <c r="M1396" s="1" t="s">
        <v>23</v>
      </c>
      <c r="N1396" s="11" t="s">
        <v>230</v>
      </c>
      <c r="O1396" s="1" t="s">
        <v>25</v>
      </c>
      <c r="P1396" s="3" t="s">
        <v>25</v>
      </c>
      <c r="Q1396" s="37" t="s">
        <v>25</v>
      </c>
      <c r="R1396" s="1" t="s">
        <v>25</v>
      </c>
      <c r="S1396" s="13">
        <f t="shared" si="21"/>
        <v>-0.75828350234378483</v>
      </c>
    </row>
    <row r="1397" spans="1:19">
      <c r="A1397" s="18" t="s">
        <v>1531</v>
      </c>
      <c r="B1397" s="1" t="s">
        <v>1549</v>
      </c>
      <c r="C1397" s="1" t="s">
        <v>1590</v>
      </c>
      <c r="D1397" s="1" t="s">
        <v>1591</v>
      </c>
      <c r="E1397" s="1" t="s">
        <v>25</v>
      </c>
      <c r="F1397">
        <v>246</v>
      </c>
      <c r="G1397">
        <v>249.2</v>
      </c>
      <c r="H1397" s="30">
        <v>70.5</v>
      </c>
      <c r="I1397" s="1" t="s">
        <v>1528</v>
      </c>
      <c r="J1397" s="1" t="s">
        <v>25</v>
      </c>
      <c r="K1397" s="11" t="s">
        <v>25</v>
      </c>
      <c r="L1397">
        <v>-0.95638092792775242</v>
      </c>
      <c r="M1397" s="1" t="s">
        <v>23</v>
      </c>
      <c r="N1397" s="11" t="s">
        <v>230</v>
      </c>
      <c r="O1397" s="1" t="s">
        <v>25</v>
      </c>
      <c r="P1397" s="3" t="s">
        <v>25</v>
      </c>
      <c r="Q1397" s="37" t="s">
        <v>25</v>
      </c>
      <c r="R1397" s="1" t="s">
        <v>25</v>
      </c>
      <c r="S1397" s="13">
        <f t="shared" si="21"/>
        <v>-0.95638092792775242</v>
      </c>
    </row>
    <row r="1398" spans="1:19">
      <c r="A1398" s="18" t="s">
        <v>1531</v>
      </c>
      <c r="B1398" s="1" t="s">
        <v>1550</v>
      </c>
      <c r="C1398" s="1" t="s">
        <v>1590</v>
      </c>
      <c r="D1398" s="1" t="s">
        <v>1591</v>
      </c>
      <c r="E1398" s="1" t="s">
        <v>25</v>
      </c>
      <c r="F1398">
        <v>246</v>
      </c>
      <c r="G1398">
        <v>249.2</v>
      </c>
      <c r="H1398" s="30">
        <v>72</v>
      </c>
      <c r="I1398" s="1" t="s">
        <v>1528</v>
      </c>
      <c r="J1398" s="1" t="s">
        <v>25</v>
      </c>
      <c r="K1398" s="11" t="s">
        <v>25</v>
      </c>
      <c r="L1398">
        <v>-0.93190742632435819</v>
      </c>
      <c r="M1398" s="1" t="s">
        <v>23</v>
      </c>
      <c r="N1398" s="11" t="s">
        <v>230</v>
      </c>
      <c r="O1398" s="1" t="s">
        <v>25</v>
      </c>
      <c r="P1398" s="3" t="s">
        <v>25</v>
      </c>
      <c r="Q1398" s="37" t="s">
        <v>25</v>
      </c>
      <c r="R1398" s="1" t="s">
        <v>25</v>
      </c>
      <c r="S1398" s="13">
        <f t="shared" si="21"/>
        <v>-0.93190742632435819</v>
      </c>
    </row>
    <row r="1399" spans="1:19">
      <c r="A1399" s="18" t="s">
        <v>1531</v>
      </c>
      <c r="B1399" s="1" t="s">
        <v>1551</v>
      </c>
      <c r="C1399" s="1" t="s">
        <v>1590</v>
      </c>
      <c r="D1399" s="1" t="s">
        <v>1591</v>
      </c>
      <c r="E1399" s="1" t="s">
        <v>25</v>
      </c>
      <c r="F1399">
        <v>246</v>
      </c>
      <c r="G1399">
        <v>249.2</v>
      </c>
      <c r="H1399" s="30">
        <v>72.8</v>
      </c>
      <c r="I1399" s="1" t="s">
        <v>1528</v>
      </c>
      <c r="J1399" s="1" t="s">
        <v>25</v>
      </c>
      <c r="K1399" s="11" t="s">
        <v>25</v>
      </c>
      <c r="L1399">
        <v>-1.0964044638220891</v>
      </c>
      <c r="M1399" s="1" t="s">
        <v>23</v>
      </c>
      <c r="N1399" s="11" t="s">
        <v>230</v>
      </c>
      <c r="O1399" s="1" t="s">
        <v>25</v>
      </c>
      <c r="P1399" s="3" t="s">
        <v>25</v>
      </c>
      <c r="Q1399" s="37" t="s">
        <v>25</v>
      </c>
      <c r="R1399" s="1" t="s">
        <v>25</v>
      </c>
      <c r="S1399" s="13">
        <f t="shared" si="21"/>
        <v>-1.0964044638220891</v>
      </c>
    </row>
    <row r="1400" spans="1:19">
      <c r="A1400" s="18" t="s">
        <v>1531</v>
      </c>
      <c r="B1400" s="1" t="s">
        <v>1552</v>
      </c>
      <c r="C1400" s="1" t="s">
        <v>1590</v>
      </c>
      <c r="D1400" s="1" t="s">
        <v>1591</v>
      </c>
      <c r="E1400" s="1" t="s">
        <v>25</v>
      </c>
      <c r="F1400">
        <v>246</v>
      </c>
      <c r="G1400">
        <v>249.2</v>
      </c>
      <c r="H1400" s="30">
        <v>74.8</v>
      </c>
      <c r="I1400" s="1" t="s">
        <v>1528</v>
      </c>
      <c r="J1400" s="1" t="s">
        <v>25</v>
      </c>
      <c r="K1400" s="11" t="s">
        <v>25</v>
      </c>
      <c r="L1400">
        <v>-1.0102093166631336</v>
      </c>
      <c r="M1400" s="1" t="s">
        <v>23</v>
      </c>
      <c r="N1400" s="11" t="s">
        <v>230</v>
      </c>
      <c r="O1400" s="1" t="s">
        <v>25</v>
      </c>
      <c r="P1400" s="3" t="s">
        <v>25</v>
      </c>
      <c r="Q1400" s="37" t="s">
        <v>25</v>
      </c>
      <c r="R1400" s="1" t="s">
        <v>25</v>
      </c>
      <c r="S1400" s="13">
        <f t="shared" si="21"/>
        <v>-1.0102093166631336</v>
      </c>
    </row>
    <row r="1401" spans="1:19">
      <c r="A1401" s="18" t="s">
        <v>1531</v>
      </c>
      <c r="B1401" s="1" t="s">
        <v>1553</v>
      </c>
      <c r="C1401" s="1" t="s">
        <v>1590</v>
      </c>
      <c r="D1401" s="1" t="s">
        <v>1591</v>
      </c>
      <c r="E1401" s="1" t="s">
        <v>25</v>
      </c>
      <c r="F1401">
        <v>246</v>
      </c>
      <c r="G1401">
        <v>249.2</v>
      </c>
      <c r="H1401" s="30">
        <v>75.8</v>
      </c>
      <c r="I1401" s="1" t="s">
        <v>1528</v>
      </c>
      <c r="J1401" s="1" t="s">
        <v>25</v>
      </c>
      <c r="K1401" s="11" t="s">
        <v>25</v>
      </c>
      <c r="L1401">
        <v>-1.2732713991331601</v>
      </c>
      <c r="M1401" s="1" t="s">
        <v>23</v>
      </c>
      <c r="N1401" s="11" t="s">
        <v>230</v>
      </c>
      <c r="O1401" s="1" t="s">
        <v>25</v>
      </c>
      <c r="P1401" s="3" t="s">
        <v>25</v>
      </c>
      <c r="Q1401" s="37" t="s">
        <v>25</v>
      </c>
      <c r="R1401" s="1" t="s">
        <v>25</v>
      </c>
      <c r="S1401" s="13">
        <f t="shared" si="21"/>
        <v>-1.2732713991331601</v>
      </c>
    </row>
    <row r="1402" spans="1:19">
      <c r="A1402" s="18" t="s">
        <v>1531</v>
      </c>
      <c r="B1402" s="1" t="s">
        <v>1554</v>
      </c>
      <c r="C1402" s="1" t="s">
        <v>1590</v>
      </c>
      <c r="D1402" s="1" t="s">
        <v>1591</v>
      </c>
      <c r="E1402" s="1" t="s">
        <v>25</v>
      </c>
      <c r="F1402">
        <v>246</v>
      </c>
      <c r="G1402">
        <v>249.2</v>
      </c>
      <c r="H1402" s="30">
        <v>77</v>
      </c>
      <c r="I1402" s="1" t="s">
        <v>1528</v>
      </c>
      <c r="J1402" s="1" t="s">
        <v>25</v>
      </c>
      <c r="K1402" s="11" t="s">
        <v>25</v>
      </c>
      <c r="L1402">
        <v>-0.93087659287873259</v>
      </c>
      <c r="M1402" s="1" t="s">
        <v>23</v>
      </c>
      <c r="N1402" s="11" t="s">
        <v>230</v>
      </c>
      <c r="O1402" s="1" t="s">
        <v>25</v>
      </c>
      <c r="P1402" s="3" t="s">
        <v>25</v>
      </c>
      <c r="Q1402" s="37" t="s">
        <v>25</v>
      </c>
      <c r="R1402" s="1" t="s">
        <v>25</v>
      </c>
      <c r="S1402" s="13">
        <f t="shared" si="21"/>
        <v>-0.93087659287873259</v>
      </c>
    </row>
    <row r="1403" spans="1:19">
      <c r="A1403" s="18" t="s">
        <v>1531</v>
      </c>
      <c r="B1403" s="1" t="s">
        <v>1555</v>
      </c>
      <c r="C1403" s="1" t="s">
        <v>1590</v>
      </c>
      <c r="D1403" s="1" t="s">
        <v>1591</v>
      </c>
      <c r="E1403" s="1" t="s">
        <v>25</v>
      </c>
      <c r="F1403">
        <v>246</v>
      </c>
      <c r="G1403">
        <v>249.2</v>
      </c>
      <c r="H1403" s="30">
        <v>78.5</v>
      </c>
      <c r="I1403" s="1" t="s">
        <v>1528</v>
      </c>
      <c r="J1403" s="1" t="s">
        <v>25</v>
      </c>
      <c r="K1403" s="11" t="s">
        <v>25</v>
      </c>
      <c r="M1403" s="1" t="s">
        <v>25</v>
      </c>
      <c r="N1403" s="1" t="s">
        <v>25</v>
      </c>
      <c r="O1403" s="1" t="s">
        <v>25</v>
      </c>
      <c r="P1403" s="3" t="s">
        <v>25</v>
      </c>
      <c r="Q1403" s="37" t="s">
        <v>25</v>
      </c>
      <c r="R1403" s="1" t="s">
        <v>25</v>
      </c>
      <c r="S1403" s="13">
        <f t="shared" si="21"/>
        <v>-1.88</v>
      </c>
    </row>
    <row r="1404" spans="1:19">
      <c r="A1404" s="18" t="s">
        <v>1531</v>
      </c>
      <c r="B1404" s="1" t="s">
        <v>1556</v>
      </c>
      <c r="C1404" s="1" t="s">
        <v>1590</v>
      </c>
      <c r="D1404" s="1" t="s">
        <v>1591</v>
      </c>
      <c r="E1404" s="1" t="s">
        <v>25</v>
      </c>
      <c r="F1404">
        <v>246</v>
      </c>
      <c r="G1404">
        <v>249.2</v>
      </c>
      <c r="H1404" s="30">
        <v>78.7</v>
      </c>
      <c r="I1404" s="1" t="s">
        <v>1528</v>
      </c>
      <c r="J1404" s="1" t="s">
        <v>25</v>
      </c>
      <c r="K1404" s="11" t="s">
        <v>25</v>
      </c>
      <c r="L1404">
        <v>-0.99669420309135981</v>
      </c>
      <c r="M1404" s="1" t="s">
        <v>23</v>
      </c>
      <c r="N1404" s="11" t="s">
        <v>230</v>
      </c>
      <c r="O1404" s="1" t="s">
        <v>25</v>
      </c>
      <c r="P1404" s="3" t="s">
        <v>25</v>
      </c>
      <c r="Q1404" s="37" t="s">
        <v>25</v>
      </c>
      <c r="R1404" s="1" t="s">
        <v>25</v>
      </c>
      <c r="S1404" s="13">
        <f t="shared" si="21"/>
        <v>-0.99669420309135981</v>
      </c>
    </row>
    <row r="1405" spans="1:19">
      <c r="A1405" s="18" t="s">
        <v>1531</v>
      </c>
      <c r="B1405" s="1" t="s">
        <v>1557</v>
      </c>
      <c r="C1405" s="1" t="s">
        <v>1590</v>
      </c>
      <c r="D1405" s="1" t="s">
        <v>1591</v>
      </c>
      <c r="E1405" s="1" t="s">
        <v>25</v>
      </c>
      <c r="F1405">
        <v>246</v>
      </c>
      <c r="G1405">
        <v>249.2</v>
      </c>
      <c r="H1405" s="30">
        <v>81.5</v>
      </c>
      <c r="I1405" s="1" t="s">
        <v>1528</v>
      </c>
      <c r="J1405" s="1" t="s">
        <v>25</v>
      </c>
      <c r="K1405" s="11" t="s">
        <v>25</v>
      </c>
      <c r="L1405">
        <v>-0.80705855992032338</v>
      </c>
      <c r="M1405" s="1" t="s">
        <v>23</v>
      </c>
      <c r="N1405" s="11" t="s">
        <v>230</v>
      </c>
      <c r="O1405" s="1" t="s">
        <v>25</v>
      </c>
      <c r="P1405" s="3" t="s">
        <v>25</v>
      </c>
      <c r="Q1405" s="37" t="s">
        <v>25</v>
      </c>
      <c r="R1405" s="1" t="s">
        <v>25</v>
      </c>
      <c r="S1405" s="13">
        <f t="shared" si="21"/>
        <v>-0.80705855992032338</v>
      </c>
    </row>
    <row r="1406" spans="1:19">
      <c r="A1406" s="18" t="s">
        <v>1531</v>
      </c>
      <c r="B1406" s="1" t="s">
        <v>1558</v>
      </c>
      <c r="C1406" s="1" t="s">
        <v>1590</v>
      </c>
      <c r="D1406" s="1" t="s">
        <v>1591</v>
      </c>
      <c r="E1406" s="1" t="s">
        <v>25</v>
      </c>
      <c r="F1406">
        <v>246</v>
      </c>
      <c r="G1406">
        <v>249.2</v>
      </c>
      <c r="H1406" s="30">
        <v>83.5</v>
      </c>
      <c r="I1406" s="1" t="s">
        <v>1528</v>
      </c>
      <c r="J1406" s="1" t="s">
        <v>25</v>
      </c>
      <c r="K1406" s="11" t="s">
        <v>25</v>
      </c>
      <c r="L1406">
        <v>-0.95954376862195534</v>
      </c>
      <c r="M1406" s="1" t="s">
        <v>23</v>
      </c>
      <c r="N1406" s="11" t="s">
        <v>230</v>
      </c>
      <c r="O1406" s="1" t="s">
        <v>25</v>
      </c>
      <c r="P1406" s="3" t="s">
        <v>25</v>
      </c>
      <c r="Q1406" s="37" t="s">
        <v>25</v>
      </c>
      <c r="R1406" s="1" t="s">
        <v>25</v>
      </c>
      <c r="S1406" s="13">
        <f t="shared" si="21"/>
        <v>-0.95954376862195534</v>
      </c>
    </row>
    <row r="1407" spans="1:19">
      <c r="A1407" s="18" t="s">
        <v>1531</v>
      </c>
      <c r="B1407" s="1" t="s">
        <v>1559</v>
      </c>
      <c r="C1407" s="1" t="s">
        <v>1590</v>
      </c>
      <c r="D1407" s="1" t="s">
        <v>1591</v>
      </c>
      <c r="E1407" s="1" t="s">
        <v>25</v>
      </c>
      <c r="F1407">
        <v>246</v>
      </c>
      <c r="G1407">
        <v>249.2</v>
      </c>
      <c r="H1407" s="30">
        <v>84.2</v>
      </c>
      <c r="I1407" s="1" t="s">
        <v>1528</v>
      </c>
      <c r="J1407" s="1" t="s">
        <v>25</v>
      </c>
      <c r="K1407" s="11" t="s">
        <v>25</v>
      </c>
      <c r="L1407">
        <v>-1.0574704862394071</v>
      </c>
      <c r="M1407" s="1" t="s">
        <v>23</v>
      </c>
      <c r="N1407" s="11" t="s">
        <v>230</v>
      </c>
      <c r="O1407" s="1" t="s">
        <v>25</v>
      </c>
      <c r="P1407" s="3" t="s">
        <v>25</v>
      </c>
      <c r="Q1407" s="37" t="s">
        <v>25</v>
      </c>
      <c r="R1407" s="1" t="s">
        <v>25</v>
      </c>
      <c r="S1407" s="13">
        <f t="shared" si="21"/>
        <v>-1.0574704862394071</v>
      </c>
    </row>
    <row r="1408" spans="1:19">
      <c r="A1408" s="18" t="s">
        <v>1531</v>
      </c>
      <c r="B1408" s="1" t="s">
        <v>1560</v>
      </c>
      <c r="C1408" s="1" t="s">
        <v>1590</v>
      </c>
      <c r="D1408" s="1" t="s">
        <v>1591</v>
      </c>
      <c r="E1408" s="1" t="s">
        <v>25</v>
      </c>
      <c r="F1408">
        <v>246</v>
      </c>
      <c r="G1408">
        <v>249.2</v>
      </c>
      <c r="H1408" s="30">
        <v>85</v>
      </c>
      <c r="I1408" s="1" t="s">
        <v>1528</v>
      </c>
      <c r="J1408" s="1" t="s">
        <v>25</v>
      </c>
      <c r="K1408" s="11" t="s">
        <v>25</v>
      </c>
      <c r="L1408">
        <v>-0.80802705123419372</v>
      </c>
      <c r="M1408" s="1" t="s">
        <v>23</v>
      </c>
      <c r="N1408" s="11" t="s">
        <v>230</v>
      </c>
      <c r="O1408" s="1" t="s">
        <v>25</v>
      </c>
      <c r="P1408" s="3" t="s">
        <v>25</v>
      </c>
      <c r="Q1408" s="37" t="s">
        <v>25</v>
      </c>
      <c r="R1408" s="1" t="s">
        <v>25</v>
      </c>
      <c r="S1408" s="13">
        <f t="shared" si="21"/>
        <v>-0.80802705123419372</v>
      </c>
    </row>
    <row r="1409" spans="1:19">
      <c r="A1409" s="18" t="s">
        <v>1531</v>
      </c>
      <c r="B1409" s="1" t="s">
        <v>1561</v>
      </c>
      <c r="C1409" s="1" t="s">
        <v>1590</v>
      </c>
      <c r="D1409" s="1" t="s">
        <v>1591</v>
      </c>
      <c r="E1409" s="1" t="s">
        <v>25</v>
      </c>
      <c r="F1409">
        <v>246</v>
      </c>
      <c r="G1409">
        <v>249.2</v>
      </c>
      <c r="H1409" s="30">
        <v>86</v>
      </c>
      <c r="I1409" s="1" t="s">
        <v>1528</v>
      </c>
      <c r="J1409" s="1" t="s">
        <v>25</v>
      </c>
      <c r="K1409" s="11" t="s">
        <v>25</v>
      </c>
      <c r="L1409">
        <v>-0.82238312950500703</v>
      </c>
      <c r="M1409" s="1" t="s">
        <v>23</v>
      </c>
      <c r="N1409" s="11" t="s">
        <v>230</v>
      </c>
      <c r="O1409" s="1" t="s">
        <v>25</v>
      </c>
      <c r="P1409" s="3" t="s">
        <v>25</v>
      </c>
      <c r="Q1409" s="37" t="s">
        <v>25</v>
      </c>
      <c r="R1409" s="1" t="s">
        <v>25</v>
      </c>
      <c r="S1409" s="13">
        <f t="shared" si="21"/>
        <v>-0.82238312950500703</v>
      </c>
    </row>
    <row r="1410" spans="1:19">
      <c r="A1410" s="18" t="s">
        <v>1531</v>
      </c>
      <c r="B1410" s="1" t="s">
        <v>1562</v>
      </c>
      <c r="C1410" s="1" t="s">
        <v>1590</v>
      </c>
      <c r="D1410" s="1" t="s">
        <v>1591</v>
      </c>
      <c r="E1410" s="1" t="s">
        <v>25</v>
      </c>
      <c r="F1410">
        <v>246</v>
      </c>
      <c r="G1410">
        <v>249.2</v>
      </c>
      <c r="H1410" s="30">
        <v>87.5</v>
      </c>
      <c r="I1410" s="1" t="s">
        <v>1528</v>
      </c>
      <c r="J1410" s="1" t="s">
        <v>25</v>
      </c>
      <c r="K1410" s="11" t="s">
        <v>25</v>
      </c>
      <c r="L1410">
        <v>-0.86154083515845659</v>
      </c>
      <c r="M1410" s="1" t="s">
        <v>23</v>
      </c>
      <c r="N1410" s="11" t="s">
        <v>230</v>
      </c>
      <c r="O1410" s="1" t="s">
        <v>25</v>
      </c>
      <c r="P1410" s="3" t="s">
        <v>25</v>
      </c>
      <c r="Q1410" s="37" t="s">
        <v>25</v>
      </c>
      <c r="R1410" s="1" t="s">
        <v>25</v>
      </c>
      <c r="S1410" s="13">
        <f t="shared" si="21"/>
        <v>-0.86154083515845659</v>
      </c>
    </row>
    <row r="1411" spans="1:19">
      <c r="A1411" s="18" t="s">
        <v>1531</v>
      </c>
      <c r="B1411" s="1" t="s">
        <v>1563</v>
      </c>
      <c r="C1411" s="1" t="s">
        <v>1590</v>
      </c>
      <c r="D1411" s="1" t="s">
        <v>1591</v>
      </c>
      <c r="E1411" s="1" t="s">
        <v>25</v>
      </c>
      <c r="F1411">
        <v>246</v>
      </c>
      <c r="G1411">
        <v>249.2</v>
      </c>
      <c r="H1411" s="30">
        <v>89.5</v>
      </c>
      <c r="I1411" s="1" t="s">
        <v>1528</v>
      </c>
      <c r="J1411" s="1" t="s">
        <v>25</v>
      </c>
      <c r="K1411" s="11" t="s">
        <v>25</v>
      </c>
      <c r="L1411">
        <v>-0.80668045939802335</v>
      </c>
      <c r="M1411" s="1" t="s">
        <v>23</v>
      </c>
      <c r="N1411" s="11" t="s">
        <v>230</v>
      </c>
      <c r="O1411" s="1" t="s">
        <v>25</v>
      </c>
      <c r="P1411" s="3" t="s">
        <v>25</v>
      </c>
      <c r="Q1411" s="37" t="s">
        <v>25</v>
      </c>
      <c r="R1411" s="1" t="s">
        <v>25</v>
      </c>
      <c r="S1411" s="13">
        <f t="shared" ref="S1411:S1474" si="22">IF(NOT(N1411="SW"),L1411-1.88,L1411)</f>
        <v>-0.80668045939802335</v>
      </c>
    </row>
    <row r="1412" spans="1:19">
      <c r="A1412" s="18" t="s">
        <v>1531</v>
      </c>
      <c r="B1412" s="1" t="s">
        <v>1564</v>
      </c>
      <c r="C1412" s="1" t="s">
        <v>1590</v>
      </c>
      <c r="D1412" s="1" t="s">
        <v>1591</v>
      </c>
      <c r="E1412" s="1" t="s">
        <v>25</v>
      </c>
      <c r="F1412">
        <v>246</v>
      </c>
      <c r="G1412">
        <v>249.2</v>
      </c>
      <c r="H1412" s="30">
        <v>90.5</v>
      </c>
      <c r="I1412" s="1" t="s">
        <v>1528</v>
      </c>
      <c r="J1412" s="1" t="s">
        <v>25</v>
      </c>
      <c r="K1412" s="11" t="s">
        <v>25</v>
      </c>
      <c r="L1412">
        <v>-0.71765687407532419</v>
      </c>
      <c r="M1412" s="1" t="s">
        <v>23</v>
      </c>
      <c r="N1412" s="11" t="s">
        <v>230</v>
      </c>
      <c r="O1412" s="1" t="s">
        <v>25</v>
      </c>
      <c r="P1412" s="3" t="s">
        <v>25</v>
      </c>
      <c r="Q1412" s="37" t="s">
        <v>25</v>
      </c>
      <c r="R1412" s="1" t="s">
        <v>25</v>
      </c>
      <c r="S1412" s="13">
        <f t="shared" si="22"/>
        <v>-0.71765687407532419</v>
      </c>
    </row>
    <row r="1413" spans="1:19">
      <c r="A1413" s="18" t="s">
        <v>1531</v>
      </c>
      <c r="B1413" s="1" t="s">
        <v>1565</v>
      </c>
      <c r="C1413" s="1" t="s">
        <v>1590</v>
      </c>
      <c r="D1413" s="1" t="s">
        <v>1591</v>
      </c>
      <c r="E1413" s="1" t="s">
        <v>25</v>
      </c>
      <c r="F1413">
        <v>246</v>
      </c>
      <c r="G1413">
        <v>249.2</v>
      </c>
      <c r="H1413" s="30">
        <v>92.1</v>
      </c>
      <c r="I1413" s="1" t="s">
        <v>1528</v>
      </c>
      <c r="J1413" s="1" t="s">
        <v>25</v>
      </c>
      <c r="K1413" s="11" t="s">
        <v>25</v>
      </c>
      <c r="L1413">
        <v>-1.0131794812315662</v>
      </c>
      <c r="M1413" s="1" t="s">
        <v>23</v>
      </c>
      <c r="N1413" s="11" t="s">
        <v>230</v>
      </c>
      <c r="O1413" s="1" t="s">
        <v>25</v>
      </c>
      <c r="P1413" s="3" t="s">
        <v>25</v>
      </c>
      <c r="Q1413" s="37" t="s">
        <v>25</v>
      </c>
      <c r="R1413" s="1" t="s">
        <v>25</v>
      </c>
      <c r="S1413" s="13">
        <f t="shared" si="22"/>
        <v>-1.0131794812315662</v>
      </c>
    </row>
    <row r="1414" spans="1:19">
      <c r="A1414" s="18" t="s">
        <v>1531</v>
      </c>
      <c r="B1414" s="1" t="s">
        <v>1566</v>
      </c>
      <c r="C1414" s="1" t="s">
        <v>1590</v>
      </c>
      <c r="D1414" s="1" t="s">
        <v>1591</v>
      </c>
      <c r="E1414" s="1" t="s">
        <v>25</v>
      </c>
      <c r="F1414">
        <v>246</v>
      </c>
      <c r="G1414">
        <v>249.2</v>
      </c>
      <c r="H1414" s="30">
        <v>93</v>
      </c>
      <c r="I1414" s="1" t="s">
        <v>1528</v>
      </c>
      <c r="J1414" s="1" t="s">
        <v>25</v>
      </c>
      <c r="K1414" s="11" t="s">
        <v>25</v>
      </c>
      <c r="L1414">
        <v>-1.0638150784255866</v>
      </c>
      <c r="M1414" s="1" t="s">
        <v>23</v>
      </c>
      <c r="N1414" s="11" t="s">
        <v>230</v>
      </c>
      <c r="O1414" s="1" t="s">
        <v>25</v>
      </c>
      <c r="P1414" s="3" t="s">
        <v>25</v>
      </c>
      <c r="Q1414" s="37" t="s">
        <v>25</v>
      </c>
      <c r="R1414" s="1" t="s">
        <v>25</v>
      </c>
      <c r="S1414" s="13">
        <f t="shared" si="22"/>
        <v>-1.0638150784255866</v>
      </c>
    </row>
    <row r="1415" spans="1:19">
      <c r="A1415" s="18" t="s">
        <v>1531</v>
      </c>
      <c r="B1415" s="1" t="s">
        <v>1567</v>
      </c>
      <c r="C1415" s="1" t="s">
        <v>1590</v>
      </c>
      <c r="D1415" s="1" t="s">
        <v>1591</v>
      </c>
      <c r="E1415" s="1" t="s">
        <v>25</v>
      </c>
      <c r="F1415">
        <v>246</v>
      </c>
      <c r="G1415">
        <v>249.2</v>
      </c>
      <c r="H1415" s="30">
        <v>94.8</v>
      </c>
      <c r="I1415" s="1" t="s">
        <v>1528</v>
      </c>
      <c r="J1415" s="1" t="s">
        <v>25</v>
      </c>
      <c r="K1415" s="11" t="s">
        <v>25</v>
      </c>
      <c r="L1415">
        <v>-1.2195353548399783</v>
      </c>
      <c r="M1415" s="1" t="s">
        <v>23</v>
      </c>
      <c r="N1415" s="11" t="s">
        <v>230</v>
      </c>
      <c r="O1415" s="1" t="s">
        <v>25</v>
      </c>
      <c r="P1415" s="3" t="s">
        <v>25</v>
      </c>
      <c r="Q1415" s="37" t="s">
        <v>25</v>
      </c>
      <c r="R1415" s="1" t="s">
        <v>25</v>
      </c>
      <c r="S1415" s="13">
        <f t="shared" si="22"/>
        <v>-1.2195353548399783</v>
      </c>
    </row>
    <row r="1416" spans="1:19">
      <c r="A1416" s="18" t="s">
        <v>1531</v>
      </c>
      <c r="B1416" s="1" t="s">
        <v>1568</v>
      </c>
      <c r="C1416" s="1" t="s">
        <v>1590</v>
      </c>
      <c r="D1416" s="1" t="s">
        <v>1591</v>
      </c>
      <c r="E1416" s="1" t="s">
        <v>25</v>
      </c>
      <c r="F1416">
        <v>246</v>
      </c>
      <c r="G1416">
        <v>249.2</v>
      </c>
      <c r="H1416" s="30">
        <v>96</v>
      </c>
      <c r="I1416" s="1" t="s">
        <v>1528</v>
      </c>
      <c r="J1416" s="1" t="s">
        <v>25</v>
      </c>
      <c r="K1416" s="11" t="s">
        <v>25</v>
      </c>
      <c r="L1416">
        <v>-1.0283553375031964</v>
      </c>
      <c r="M1416" s="1" t="s">
        <v>23</v>
      </c>
      <c r="N1416" s="11" t="s">
        <v>230</v>
      </c>
      <c r="O1416" s="1" t="s">
        <v>25</v>
      </c>
      <c r="P1416" s="3" t="s">
        <v>25</v>
      </c>
      <c r="Q1416" s="37" t="s">
        <v>25</v>
      </c>
      <c r="R1416" s="1" t="s">
        <v>25</v>
      </c>
      <c r="S1416" s="13">
        <f t="shared" si="22"/>
        <v>-1.0283553375031964</v>
      </c>
    </row>
    <row r="1417" spans="1:19">
      <c r="A1417" s="18" t="s">
        <v>1531</v>
      </c>
      <c r="B1417" s="1" t="s">
        <v>1569</v>
      </c>
      <c r="C1417" s="1" t="s">
        <v>1590</v>
      </c>
      <c r="D1417" s="1" t="s">
        <v>1591</v>
      </c>
      <c r="E1417" s="1" t="s">
        <v>25</v>
      </c>
      <c r="F1417">
        <v>246</v>
      </c>
      <c r="G1417">
        <v>249.2</v>
      </c>
      <c r="H1417" s="30">
        <v>97</v>
      </c>
      <c r="I1417" s="1" t="s">
        <v>1528</v>
      </c>
      <c r="J1417" s="1" t="s">
        <v>25</v>
      </c>
      <c r="K1417" s="11" t="s">
        <v>25</v>
      </c>
      <c r="L1417">
        <v>-1.0193595505713908</v>
      </c>
      <c r="M1417" s="1" t="s">
        <v>23</v>
      </c>
      <c r="N1417" s="11" t="s">
        <v>230</v>
      </c>
      <c r="O1417" s="1" t="s">
        <v>25</v>
      </c>
      <c r="P1417" s="3" t="s">
        <v>25</v>
      </c>
      <c r="Q1417" s="37" t="s">
        <v>25</v>
      </c>
      <c r="R1417" s="1" t="s">
        <v>25</v>
      </c>
      <c r="S1417" s="13">
        <f t="shared" si="22"/>
        <v>-1.0193595505713908</v>
      </c>
    </row>
    <row r="1418" spans="1:19">
      <c r="A1418" s="18" t="s">
        <v>1531</v>
      </c>
      <c r="B1418" s="1" t="s">
        <v>1570</v>
      </c>
      <c r="C1418" s="1" t="s">
        <v>1590</v>
      </c>
      <c r="D1418" s="1" t="s">
        <v>1591</v>
      </c>
      <c r="E1418" s="1" t="s">
        <v>25</v>
      </c>
      <c r="F1418">
        <v>246</v>
      </c>
      <c r="G1418">
        <v>249.2</v>
      </c>
      <c r="H1418" s="30">
        <v>98</v>
      </c>
      <c r="I1418" s="1" t="s">
        <v>1528</v>
      </c>
      <c r="J1418" s="1" t="s">
        <v>25</v>
      </c>
      <c r="K1418" s="11" t="s">
        <v>25</v>
      </c>
      <c r="L1418">
        <v>-1.10662939959095</v>
      </c>
      <c r="M1418" s="1" t="s">
        <v>23</v>
      </c>
      <c r="N1418" s="11" t="s">
        <v>230</v>
      </c>
      <c r="O1418" s="1" t="s">
        <v>25</v>
      </c>
      <c r="P1418" s="3" t="s">
        <v>25</v>
      </c>
      <c r="Q1418" s="37" t="s">
        <v>25</v>
      </c>
      <c r="R1418" s="1" t="s">
        <v>25</v>
      </c>
      <c r="S1418" s="13">
        <f t="shared" si="22"/>
        <v>-1.10662939959095</v>
      </c>
    </row>
    <row r="1419" spans="1:19">
      <c r="A1419" s="18" t="s">
        <v>1531</v>
      </c>
      <c r="B1419" s="1" t="s">
        <v>1571</v>
      </c>
      <c r="C1419" s="1" t="s">
        <v>1590</v>
      </c>
      <c r="D1419" s="1" t="s">
        <v>1591</v>
      </c>
      <c r="E1419" s="1" t="s">
        <v>25</v>
      </c>
      <c r="F1419">
        <v>246</v>
      </c>
      <c r="G1419">
        <v>249.2</v>
      </c>
      <c r="H1419" s="30">
        <v>99.9</v>
      </c>
      <c r="I1419" s="1" t="s">
        <v>1528</v>
      </c>
      <c r="J1419" s="1" t="s">
        <v>25</v>
      </c>
      <c r="K1419" s="11" t="s">
        <v>25</v>
      </c>
      <c r="L1419">
        <v>-1.0013361062278856</v>
      </c>
      <c r="M1419" s="1" t="s">
        <v>23</v>
      </c>
      <c r="N1419" s="11" t="s">
        <v>230</v>
      </c>
      <c r="O1419" s="1" t="s">
        <v>25</v>
      </c>
      <c r="P1419" s="3" t="s">
        <v>25</v>
      </c>
      <c r="Q1419" s="37" t="s">
        <v>25</v>
      </c>
      <c r="R1419" s="1" t="s">
        <v>25</v>
      </c>
      <c r="S1419" s="13">
        <f t="shared" si="22"/>
        <v>-1.0013361062278856</v>
      </c>
    </row>
    <row r="1420" spans="1:19">
      <c r="A1420" s="18" t="s">
        <v>1531</v>
      </c>
      <c r="B1420" s="1" t="s">
        <v>1572</v>
      </c>
      <c r="C1420" s="1" t="s">
        <v>1590</v>
      </c>
      <c r="D1420" s="1" t="s">
        <v>1591</v>
      </c>
      <c r="E1420" s="1" t="s">
        <v>25</v>
      </c>
      <c r="F1420">
        <v>246</v>
      </c>
      <c r="G1420">
        <v>249.2</v>
      </c>
      <c r="H1420" s="30">
        <v>102.1</v>
      </c>
      <c r="I1420" s="1" t="s">
        <v>1528</v>
      </c>
      <c r="J1420" s="1" t="s">
        <v>25</v>
      </c>
      <c r="K1420" s="11" t="s">
        <v>25</v>
      </c>
      <c r="L1420">
        <v>-0.99342535401713083</v>
      </c>
      <c r="M1420" s="1" t="s">
        <v>23</v>
      </c>
      <c r="N1420" s="11" t="s">
        <v>230</v>
      </c>
      <c r="O1420" s="1" t="s">
        <v>25</v>
      </c>
      <c r="P1420" s="3" t="s">
        <v>25</v>
      </c>
      <c r="Q1420" s="37" t="s">
        <v>25</v>
      </c>
      <c r="R1420" s="1" t="s">
        <v>25</v>
      </c>
      <c r="S1420" s="13">
        <f t="shared" si="22"/>
        <v>-0.99342535401713083</v>
      </c>
    </row>
    <row r="1421" spans="1:19">
      <c r="A1421" s="18" t="s">
        <v>1531</v>
      </c>
      <c r="B1421" s="1" t="s">
        <v>1573</v>
      </c>
      <c r="C1421" s="1" t="s">
        <v>1590</v>
      </c>
      <c r="D1421" s="1" t="s">
        <v>1591</v>
      </c>
      <c r="E1421" s="1" t="s">
        <v>25</v>
      </c>
      <c r="F1421">
        <v>246</v>
      </c>
      <c r="G1421">
        <v>249.2</v>
      </c>
      <c r="H1421" s="30">
        <v>104.5</v>
      </c>
      <c r="I1421" s="1" t="s">
        <v>1528</v>
      </c>
      <c r="J1421" s="1" t="s">
        <v>25</v>
      </c>
      <c r="K1421" s="11" t="s">
        <v>25</v>
      </c>
      <c r="L1421">
        <v>-0.94789820411218695</v>
      </c>
      <c r="M1421" s="1" t="s">
        <v>23</v>
      </c>
      <c r="N1421" s="11" t="s">
        <v>230</v>
      </c>
      <c r="O1421" s="1" t="s">
        <v>25</v>
      </c>
      <c r="P1421" s="3" t="s">
        <v>25</v>
      </c>
      <c r="Q1421" s="37" t="s">
        <v>25</v>
      </c>
      <c r="R1421" s="1" t="s">
        <v>25</v>
      </c>
      <c r="S1421" s="13">
        <f t="shared" si="22"/>
        <v>-0.94789820411218695</v>
      </c>
    </row>
    <row r="1422" spans="1:19">
      <c r="A1422" s="18" t="s">
        <v>1531</v>
      </c>
      <c r="B1422" s="1" t="s">
        <v>1574</v>
      </c>
      <c r="C1422" s="1" t="s">
        <v>1590</v>
      </c>
      <c r="D1422" s="1" t="s">
        <v>1591</v>
      </c>
      <c r="E1422" s="1" t="s">
        <v>25</v>
      </c>
      <c r="F1422">
        <v>246</v>
      </c>
      <c r="G1422">
        <v>249.2</v>
      </c>
      <c r="H1422" s="30">
        <v>107.5</v>
      </c>
      <c r="I1422" s="1" t="s">
        <v>1528</v>
      </c>
      <c r="J1422" s="1" t="s">
        <v>25</v>
      </c>
      <c r="K1422" s="11" t="s">
        <v>25</v>
      </c>
      <c r="L1422">
        <v>-0.87743399159545221</v>
      </c>
      <c r="M1422" s="1" t="s">
        <v>23</v>
      </c>
      <c r="N1422" s="11" t="s">
        <v>230</v>
      </c>
      <c r="O1422" s="1" t="s">
        <v>25</v>
      </c>
      <c r="P1422" s="3" t="s">
        <v>25</v>
      </c>
      <c r="Q1422" s="37" t="s">
        <v>25</v>
      </c>
      <c r="R1422" s="1" t="s">
        <v>25</v>
      </c>
      <c r="S1422" s="13">
        <f t="shared" si="22"/>
        <v>-0.87743399159545221</v>
      </c>
    </row>
    <row r="1423" spans="1:19">
      <c r="A1423" s="18" t="s">
        <v>1531</v>
      </c>
      <c r="B1423" s="1" t="s">
        <v>1575</v>
      </c>
      <c r="C1423" s="1" t="s">
        <v>1590</v>
      </c>
      <c r="D1423" s="1" t="s">
        <v>1591</v>
      </c>
      <c r="E1423" s="1" t="s">
        <v>25</v>
      </c>
      <c r="F1423">
        <v>246</v>
      </c>
      <c r="G1423">
        <v>249.2</v>
      </c>
      <c r="H1423" s="30">
        <v>111.8</v>
      </c>
      <c r="I1423" s="1" t="s">
        <v>1528</v>
      </c>
      <c r="J1423" s="1" t="s">
        <v>25</v>
      </c>
      <c r="K1423" s="11" t="s">
        <v>25</v>
      </c>
      <c r="L1423">
        <v>-1.166869618964175</v>
      </c>
      <c r="M1423" s="1" t="s">
        <v>23</v>
      </c>
      <c r="N1423" s="11" t="s">
        <v>230</v>
      </c>
      <c r="O1423" s="1" t="s">
        <v>25</v>
      </c>
      <c r="P1423" s="3" t="s">
        <v>25</v>
      </c>
      <c r="Q1423" s="37" t="s">
        <v>25</v>
      </c>
      <c r="R1423" s="1" t="s">
        <v>25</v>
      </c>
      <c r="S1423" s="13">
        <f t="shared" si="22"/>
        <v>-1.166869618964175</v>
      </c>
    </row>
    <row r="1424" spans="1:19">
      <c r="A1424" s="18" t="s">
        <v>1531</v>
      </c>
      <c r="B1424" s="1" t="s">
        <v>1576</v>
      </c>
      <c r="C1424" s="1" t="s">
        <v>1590</v>
      </c>
      <c r="D1424" s="1" t="s">
        <v>1591</v>
      </c>
      <c r="E1424" s="1" t="s">
        <v>25</v>
      </c>
      <c r="F1424">
        <v>246</v>
      </c>
      <c r="G1424">
        <v>249.2</v>
      </c>
      <c r="H1424" s="30">
        <v>114.6</v>
      </c>
      <c r="I1424" s="1" t="s">
        <v>1528</v>
      </c>
      <c r="J1424" s="1" t="s">
        <v>25</v>
      </c>
      <c r="K1424" s="11" t="s">
        <v>25</v>
      </c>
      <c r="L1424">
        <v>-1.3117333881049131</v>
      </c>
      <c r="M1424" s="1" t="s">
        <v>23</v>
      </c>
      <c r="N1424" s="11" t="s">
        <v>230</v>
      </c>
      <c r="O1424" s="1" t="s">
        <v>25</v>
      </c>
      <c r="P1424" s="3" t="s">
        <v>25</v>
      </c>
      <c r="Q1424" s="37" t="s">
        <v>25</v>
      </c>
      <c r="R1424" s="1" t="s">
        <v>25</v>
      </c>
      <c r="S1424" s="13">
        <f t="shared" si="22"/>
        <v>-1.3117333881049131</v>
      </c>
    </row>
    <row r="1425" spans="1:19">
      <c r="A1425" s="18" t="s">
        <v>1531</v>
      </c>
      <c r="B1425" s="1" t="s">
        <v>1577</v>
      </c>
      <c r="C1425" s="1" t="s">
        <v>1590</v>
      </c>
      <c r="D1425" s="1" t="s">
        <v>1591</v>
      </c>
      <c r="E1425" s="1" t="s">
        <v>25</v>
      </c>
      <c r="F1425">
        <v>246</v>
      </c>
      <c r="G1425">
        <v>249.2</v>
      </c>
      <c r="H1425" s="30">
        <v>118</v>
      </c>
      <c r="I1425" s="1" t="s">
        <v>1528</v>
      </c>
      <c r="J1425" s="1" t="s">
        <v>25</v>
      </c>
      <c r="K1425" s="11" t="s">
        <v>25</v>
      </c>
      <c r="L1425">
        <v>-1.1199640745621766</v>
      </c>
      <c r="M1425" s="1" t="s">
        <v>23</v>
      </c>
      <c r="N1425" s="11" t="s">
        <v>230</v>
      </c>
      <c r="O1425" s="1" t="s">
        <v>25</v>
      </c>
      <c r="P1425" s="3" t="s">
        <v>25</v>
      </c>
      <c r="Q1425" s="37" t="s">
        <v>25</v>
      </c>
      <c r="R1425" s="1" t="s">
        <v>25</v>
      </c>
      <c r="S1425" s="13">
        <f t="shared" si="22"/>
        <v>-1.1199640745621766</v>
      </c>
    </row>
    <row r="1426" spans="1:19">
      <c r="A1426" s="18" t="s">
        <v>1531</v>
      </c>
      <c r="B1426" s="1" t="s">
        <v>1578</v>
      </c>
      <c r="C1426" s="1" t="s">
        <v>1590</v>
      </c>
      <c r="D1426" s="1" t="s">
        <v>1591</v>
      </c>
      <c r="E1426" s="1" t="s">
        <v>25</v>
      </c>
      <c r="F1426">
        <v>246</v>
      </c>
      <c r="G1426">
        <v>249.2</v>
      </c>
      <c r="H1426" s="30">
        <v>122.8</v>
      </c>
      <c r="I1426" s="1" t="s">
        <v>1528</v>
      </c>
      <c r="J1426" s="1" t="s">
        <v>25</v>
      </c>
      <c r="K1426" s="11" t="s">
        <v>25</v>
      </c>
      <c r="L1426">
        <v>-1.0981704129096337</v>
      </c>
      <c r="M1426" s="1" t="s">
        <v>23</v>
      </c>
      <c r="N1426" s="11" t="s">
        <v>230</v>
      </c>
      <c r="O1426" s="1" t="s">
        <v>25</v>
      </c>
      <c r="P1426" s="3" t="s">
        <v>25</v>
      </c>
      <c r="Q1426" s="37" t="s">
        <v>25</v>
      </c>
      <c r="R1426" s="1" t="s">
        <v>25</v>
      </c>
      <c r="S1426" s="13">
        <f t="shared" si="22"/>
        <v>-1.0981704129096337</v>
      </c>
    </row>
    <row r="1427" spans="1:19">
      <c r="A1427" s="18" t="s">
        <v>1531</v>
      </c>
      <c r="B1427" s="1" t="s">
        <v>1579</v>
      </c>
      <c r="C1427" s="1" t="s">
        <v>1590</v>
      </c>
      <c r="D1427" s="1" t="s">
        <v>1591</v>
      </c>
      <c r="E1427" s="1" t="s">
        <v>25</v>
      </c>
      <c r="F1427">
        <v>246</v>
      </c>
      <c r="G1427">
        <v>249.2</v>
      </c>
      <c r="H1427" s="30">
        <v>124.2</v>
      </c>
      <c r="I1427" s="1" t="s">
        <v>1528</v>
      </c>
      <c r="J1427" s="1" t="s">
        <v>25</v>
      </c>
      <c r="K1427" s="11" t="s">
        <v>25</v>
      </c>
      <c r="L1427">
        <v>-1.2999298691250381</v>
      </c>
      <c r="M1427" s="1" t="s">
        <v>23</v>
      </c>
      <c r="N1427" s="11" t="s">
        <v>230</v>
      </c>
      <c r="O1427" s="1" t="s">
        <v>25</v>
      </c>
      <c r="P1427" s="3" t="s">
        <v>25</v>
      </c>
      <c r="Q1427" s="37" t="s">
        <v>25</v>
      </c>
      <c r="R1427" s="1" t="s">
        <v>25</v>
      </c>
      <c r="S1427" s="13">
        <f t="shared" si="22"/>
        <v>-1.2999298691250381</v>
      </c>
    </row>
    <row r="1428" spans="1:19">
      <c r="A1428" s="18" t="s">
        <v>1531</v>
      </c>
      <c r="B1428" s="1" t="s">
        <v>1580</v>
      </c>
      <c r="C1428" s="1" t="s">
        <v>1590</v>
      </c>
      <c r="D1428" s="1" t="s">
        <v>1591</v>
      </c>
      <c r="E1428" s="1" t="s">
        <v>25</v>
      </c>
      <c r="F1428">
        <v>246</v>
      </c>
      <c r="G1428">
        <v>249.2</v>
      </c>
      <c r="H1428" s="30">
        <v>127</v>
      </c>
      <c r="I1428" s="1" t="s">
        <v>1528</v>
      </c>
      <c r="J1428" s="1" t="s">
        <v>25</v>
      </c>
      <c r="K1428" s="11" t="s">
        <v>25</v>
      </c>
      <c r="L1428">
        <v>-1.1513671277614075</v>
      </c>
      <c r="M1428" s="1" t="s">
        <v>23</v>
      </c>
      <c r="N1428" s="11" t="s">
        <v>230</v>
      </c>
      <c r="O1428" s="1" t="s">
        <v>25</v>
      </c>
      <c r="P1428" s="3" t="s">
        <v>25</v>
      </c>
      <c r="Q1428" s="37" t="s">
        <v>25</v>
      </c>
      <c r="R1428" s="1" t="s">
        <v>25</v>
      </c>
      <c r="S1428" s="13">
        <f t="shared" si="22"/>
        <v>-1.1513671277614075</v>
      </c>
    </row>
    <row r="1429" spans="1:19">
      <c r="A1429" s="18" t="s">
        <v>1531</v>
      </c>
      <c r="B1429" s="1" t="s">
        <v>1581</v>
      </c>
      <c r="C1429" s="1" t="s">
        <v>1590</v>
      </c>
      <c r="D1429" s="1" t="s">
        <v>1591</v>
      </c>
      <c r="E1429" s="1" t="s">
        <v>25</v>
      </c>
      <c r="F1429">
        <v>246</v>
      </c>
      <c r="G1429">
        <v>249.2</v>
      </c>
      <c r="H1429" s="30">
        <v>128.5</v>
      </c>
      <c r="I1429" s="1" t="s">
        <v>1528</v>
      </c>
      <c r="J1429" s="1" t="s">
        <v>25</v>
      </c>
      <c r="K1429" s="11" t="s">
        <v>25</v>
      </c>
      <c r="L1429">
        <v>-1.3417325183720556</v>
      </c>
      <c r="M1429" s="1" t="s">
        <v>23</v>
      </c>
      <c r="N1429" s="11" t="s">
        <v>230</v>
      </c>
      <c r="O1429" s="1" t="s">
        <v>25</v>
      </c>
      <c r="P1429" s="3" t="s">
        <v>25</v>
      </c>
      <c r="Q1429" s="37" t="s">
        <v>25</v>
      </c>
      <c r="R1429" s="1" t="s">
        <v>25</v>
      </c>
      <c r="S1429" s="13">
        <f t="shared" si="22"/>
        <v>-1.3417325183720556</v>
      </c>
    </row>
    <row r="1430" spans="1:19">
      <c r="A1430" s="18" t="s">
        <v>1531</v>
      </c>
      <c r="B1430" s="1" t="s">
        <v>1582</v>
      </c>
      <c r="C1430" s="1" t="s">
        <v>1590</v>
      </c>
      <c r="D1430" s="1" t="s">
        <v>1591</v>
      </c>
      <c r="E1430" s="1" t="s">
        <v>25</v>
      </c>
      <c r="F1430">
        <v>246</v>
      </c>
      <c r="G1430">
        <v>249.2</v>
      </c>
      <c r="H1430" s="30">
        <v>129.80000000000001</v>
      </c>
      <c r="I1430" s="1" t="s">
        <v>1528</v>
      </c>
      <c r="J1430" s="1" t="s">
        <v>25</v>
      </c>
      <c r="K1430" s="11" t="s">
        <v>25</v>
      </c>
      <c r="L1430">
        <v>-1.2210877731933689</v>
      </c>
      <c r="M1430" s="1" t="s">
        <v>23</v>
      </c>
      <c r="N1430" s="11" t="s">
        <v>230</v>
      </c>
      <c r="O1430" s="1" t="s">
        <v>25</v>
      </c>
      <c r="P1430" s="3" t="s">
        <v>25</v>
      </c>
      <c r="Q1430" s="37" t="s">
        <v>25</v>
      </c>
      <c r="R1430" s="1" t="s">
        <v>25</v>
      </c>
      <c r="S1430" s="13">
        <f t="shared" si="22"/>
        <v>-1.2210877731933689</v>
      </c>
    </row>
    <row r="1431" spans="1:19">
      <c r="A1431" s="18" t="s">
        <v>1531</v>
      </c>
      <c r="B1431" s="1" t="s">
        <v>1583</v>
      </c>
      <c r="C1431" s="1" t="s">
        <v>1590</v>
      </c>
      <c r="D1431" s="1" t="s">
        <v>1591</v>
      </c>
      <c r="E1431" s="1" t="s">
        <v>25</v>
      </c>
      <c r="F1431">
        <v>246</v>
      </c>
      <c r="G1431">
        <v>249.2</v>
      </c>
      <c r="H1431" s="30">
        <v>134.19999999999999</v>
      </c>
      <c r="I1431" s="1" t="s">
        <v>1528</v>
      </c>
      <c r="J1431" s="1" t="s">
        <v>25</v>
      </c>
      <c r="K1431" s="11" t="s">
        <v>25</v>
      </c>
      <c r="L1431">
        <v>-1.3280136447295385</v>
      </c>
      <c r="M1431" s="1" t="s">
        <v>23</v>
      </c>
      <c r="N1431" s="11" t="s">
        <v>230</v>
      </c>
      <c r="O1431" s="1" t="s">
        <v>25</v>
      </c>
      <c r="P1431" s="3" t="s">
        <v>25</v>
      </c>
      <c r="Q1431" s="37" t="s">
        <v>25</v>
      </c>
      <c r="R1431" s="1" t="s">
        <v>25</v>
      </c>
      <c r="S1431" s="13">
        <f t="shared" si="22"/>
        <v>-1.3280136447295385</v>
      </c>
    </row>
    <row r="1432" spans="1:19">
      <c r="A1432" s="18" t="s">
        <v>1531</v>
      </c>
      <c r="B1432" s="1" t="s">
        <v>1584</v>
      </c>
      <c r="C1432" s="1" t="s">
        <v>1590</v>
      </c>
      <c r="D1432" s="1" t="s">
        <v>1591</v>
      </c>
      <c r="E1432" s="1" t="s">
        <v>25</v>
      </c>
      <c r="F1432">
        <v>246</v>
      </c>
      <c r="G1432">
        <v>249.2</v>
      </c>
      <c r="H1432" s="30">
        <v>137.4</v>
      </c>
      <c r="I1432" s="1" t="s">
        <v>1528</v>
      </c>
      <c r="J1432" s="1" t="s">
        <v>25</v>
      </c>
      <c r="K1432" s="11" t="s">
        <v>25</v>
      </c>
      <c r="L1432">
        <v>-1.2702927775402639</v>
      </c>
      <c r="M1432" s="1" t="s">
        <v>23</v>
      </c>
      <c r="N1432" s="11" t="s">
        <v>230</v>
      </c>
      <c r="O1432" s="1" t="s">
        <v>25</v>
      </c>
      <c r="P1432" s="3" t="s">
        <v>25</v>
      </c>
      <c r="Q1432" s="37" t="s">
        <v>25</v>
      </c>
      <c r="R1432" s="1" t="s">
        <v>25</v>
      </c>
      <c r="S1432" s="13">
        <f t="shared" si="22"/>
        <v>-1.2702927775402639</v>
      </c>
    </row>
    <row r="1433" spans="1:19">
      <c r="A1433" s="18" t="s">
        <v>1531</v>
      </c>
      <c r="B1433" s="1" t="s">
        <v>1585</v>
      </c>
      <c r="C1433" s="1" t="s">
        <v>1590</v>
      </c>
      <c r="D1433" s="1" t="s">
        <v>1591</v>
      </c>
      <c r="E1433" s="1" t="s">
        <v>25</v>
      </c>
      <c r="F1433">
        <v>246</v>
      </c>
      <c r="G1433">
        <v>249.2</v>
      </c>
      <c r="H1433" s="30">
        <v>143.5</v>
      </c>
      <c r="I1433" s="1" t="s">
        <v>1528</v>
      </c>
      <c r="J1433" s="1" t="s">
        <v>25</v>
      </c>
      <c r="K1433" s="11" t="s">
        <v>25</v>
      </c>
      <c r="L1433">
        <v>-1.2913297444220699</v>
      </c>
      <c r="M1433" s="1" t="s">
        <v>23</v>
      </c>
      <c r="N1433" s="11" t="s">
        <v>230</v>
      </c>
      <c r="O1433" s="1" t="s">
        <v>25</v>
      </c>
      <c r="P1433" s="3" t="s">
        <v>25</v>
      </c>
      <c r="Q1433" s="37" t="s">
        <v>25</v>
      </c>
      <c r="R1433" s="1" t="s">
        <v>25</v>
      </c>
      <c r="S1433" s="13">
        <f t="shared" si="22"/>
        <v>-1.2913297444220699</v>
      </c>
    </row>
    <row r="1434" spans="1:19">
      <c r="A1434" s="18" t="s">
        <v>1531</v>
      </c>
      <c r="B1434" s="1" t="s">
        <v>1586</v>
      </c>
      <c r="C1434" s="1" t="s">
        <v>1590</v>
      </c>
      <c r="D1434" s="1" t="s">
        <v>1591</v>
      </c>
      <c r="E1434" s="1" t="s">
        <v>25</v>
      </c>
      <c r="F1434">
        <v>246</v>
      </c>
      <c r="G1434">
        <v>249.2</v>
      </c>
      <c r="H1434" s="30">
        <v>144.30000000000001</v>
      </c>
      <c r="I1434" s="1" t="s">
        <v>1528</v>
      </c>
      <c r="J1434" s="1" t="s">
        <v>25</v>
      </c>
      <c r="K1434" s="11" t="s">
        <v>25</v>
      </c>
      <c r="L1434">
        <v>-1.1727289917523425</v>
      </c>
      <c r="M1434" s="1" t="s">
        <v>23</v>
      </c>
      <c r="N1434" s="11" t="s">
        <v>230</v>
      </c>
      <c r="O1434" s="1" t="s">
        <v>25</v>
      </c>
      <c r="P1434" s="3" t="s">
        <v>25</v>
      </c>
      <c r="Q1434" s="37" t="s">
        <v>25</v>
      </c>
      <c r="R1434" s="1" t="s">
        <v>25</v>
      </c>
      <c r="S1434" s="13">
        <f t="shared" si="22"/>
        <v>-1.1727289917523425</v>
      </c>
    </row>
    <row r="1435" spans="1:19">
      <c r="A1435" s="18" t="s">
        <v>1531</v>
      </c>
      <c r="B1435" s="1" t="s">
        <v>1587</v>
      </c>
      <c r="C1435" s="1" t="s">
        <v>1590</v>
      </c>
      <c r="D1435" s="1" t="s">
        <v>1591</v>
      </c>
      <c r="E1435" s="1" t="s">
        <v>25</v>
      </c>
      <c r="F1435">
        <v>246</v>
      </c>
      <c r="G1435">
        <v>249.2</v>
      </c>
      <c r="H1435" s="30">
        <v>147.5</v>
      </c>
      <c r="I1435" s="1" t="s">
        <v>1528</v>
      </c>
      <c r="J1435" s="1" t="s">
        <v>25</v>
      </c>
      <c r="K1435" s="11" t="s">
        <v>25</v>
      </c>
      <c r="L1435" t="s">
        <v>25</v>
      </c>
      <c r="M1435" s="1" t="s">
        <v>25</v>
      </c>
      <c r="N1435" s="1" t="s">
        <v>25</v>
      </c>
      <c r="O1435" s="1" t="s">
        <v>25</v>
      </c>
      <c r="P1435" s="3" t="s">
        <v>25</v>
      </c>
      <c r="Q1435" s="37" t="s">
        <v>25</v>
      </c>
      <c r="R1435" s="1" t="s">
        <v>25</v>
      </c>
      <c r="S1435" s="13" t="s">
        <v>25</v>
      </c>
    </row>
    <row r="1436" spans="1:19">
      <c r="A1436" s="18" t="s">
        <v>1531</v>
      </c>
      <c r="B1436" s="1" t="s">
        <v>1588</v>
      </c>
      <c r="C1436" s="1" t="s">
        <v>1590</v>
      </c>
      <c r="D1436" s="1" t="s">
        <v>1591</v>
      </c>
      <c r="E1436" s="1" t="s">
        <v>25</v>
      </c>
      <c r="F1436">
        <v>246</v>
      </c>
      <c r="G1436">
        <v>249.2</v>
      </c>
      <c r="H1436" s="30">
        <v>149.80000000000001</v>
      </c>
      <c r="I1436" s="1" t="s">
        <v>1528</v>
      </c>
      <c r="J1436" s="1" t="s">
        <v>25</v>
      </c>
      <c r="K1436" s="11" t="s">
        <v>25</v>
      </c>
      <c r="L1436">
        <v>-1.1112126723870148</v>
      </c>
      <c r="M1436" s="1" t="s">
        <v>23</v>
      </c>
      <c r="N1436" s="11" t="s">
        <v>230</v>
      </c>
      <c r="O1436" s="1" t="s">
        <v>25</v>
      </c>
      <c r="P1436" s="3" t="s">
        <v>25</v>
      </c>
      <c r="Q1436" s="37" t="s">
        <v>25</v>
      </c>
      <c r="R1436" s="1" t="s">
        <v>25</v>
      </c>
      <c r="S1436" s="13">
        <f t="shared" si="22"/>
        <v>-1.1112126723870148</v>
      </c>
    </row>
    <row r="1437" spans="1:19">
      <c r="A1437" s="18" t="s">
        <v>1531</v>
      </c>
      <c r="B1437" s="1" t="s">
        <v>1589</v>
      </c>
      <c r="C1437" s="1" t="s">
        <v>1590</v>
      </c>
      <c r="D1437" s="1" t="s">
        <v>1591</v>
      </c>
      <c r="E1437" s="1" t="s">
        <v>25</v>
      </c>
      <c r="F1437">
        <v>246</v>
      </c>
      <c r="G1437">
        <v>249.2</v>
      </c>
      <c r="H1437" s="30">
        <v>151.80000000000001</v>
      </c>
      <c r="I1437" s="1" t="s">
        <v>1528</v>
      </c>
      <c r="J1437" s="1" t="s">
        <v>25</v>
      </c>
      <c r="K1437" s="11" t="s">
        <v>25</v>
      </c>
      <c r="L1437">
        <v>-1.1753033494040341</v>
      </c>
      <c r="M1437" s="1" t="s">
        <v>23</v>
      </c>
      <c r="N1437" s="11" t="s">
        <v>230</v>
      </c>
      <c r="O1437" s="1" t="s">
        <v>25</v>
      </c>
      <c r="P1437" s="3" t="s">
        <v>25</v>
      </c>
      <c r="Q1437" s="37" t="s">
        <v>25</v>
      </c>
      <c r="R1437" s="1" t="s">
        <v>25</v>
      </c>
      <c r="S1437" s="13">
        <f t="shared" si="22"/>
        <v>-1.1753033494040341</v>
      </c>
    </row>
    <row r="1438" spans="1:19" s="4" customFormat="1">
      <c r="B1438" s="5"/>
      <c r="C1438" s="5"/>
      <c r="D1438" s="5"/>
      <c r="E1438" s="5"/>
      <c r="I1438" s="5"/>
      <c r="J1438" s="5"/>
      <c r="M1438" s="5"/>
      <c r="O1438" s="5"/>
      <c r="P1438" s="6"/>
      <c r="Q1438" s="38"/>
      <c r="S1438" s="24"/>
    </row>
    <row r="1439" spans="1:19">
      <c r="A1439" s="18" t="s">
        <v>1592</v>
      </c>
      <c r="B1439" s="1" t="s">
        <v>1593</v>
      </c>
      <c r="C1439" s="1" t="s">
        <v>1697</v>
      </c>
      <c r="D1439" s="1" t="s">
        <v>1698</v>
      </c>
      <c r="E1439" s="1" t="s">
        <v>25</v>
      </c>
      <c r="F1439">
        <v>371.78725925925897</v>
      </c>
      <c r="G1439">
        <v>371.78725925925897</v>
      </c>
      <c r="H1439">
        <v>23.24</v>
      </c>
      <c r="I1439" s="1" t="s">
        <v>20</v>
      </c>
      <c r="J1439" s="1" t="s">
        <v>25</v>
      </c>
      <c r="K1439" s="11" t="s">
        <v>25</v>
      </c>
      <c r="L1439">
        <v>-1.1375403028116999</v>
      </c>
      <c r="M1439" s="1" t="s">
        <v>23</v>
      </c>
      <c r="N1439" s="11" t="s">
        <v>230</v>
      </c>
      <c r="O1439" s="31">
        <v>277.16124316579999</v>
      </c>
      <c r="P1439" s="3" t="str">
        <f>IF(ISNUMBER(SEARCH("Na", O1439)), "Na", "ppm")</f>
        <v>ppm</v>
      </c>
      <c r="Q1439" s="37">
        <v>3.3102420064205909E-4</v>
      </c>
      <c r="R1439" s="1" t="s">
        <v>29</v>
      </c>
      <c r="S1439" s="13">
        <f t="shared" si="22"/>
        <v>-1.1375403028116999</v>
      </c>
    </row>
    <row r="1440" spans="1:19">
      <c r="A1440" s="18" t="s">
        <v>1592</v>
      </c>
      <c r="B1440" s="1" t="s">
        <v>1594</v>
      </c>
      <c r="C1440" s="1" t="s">
        <v>1697</v>
      </c>
      <c r="D1440" s="1" t="s">
        <v>1698</v>
      </c>
      <c r="E1440" s="1" t="s">
        <v>25</v>
      </c>
      <c r="F1440">
        <v>371.78874074074099</v>
      </c>
      <c r="G1440">
        <v>371.78874074074099</v>
      </c>
      <c r="H1440">
        <v>23.19</v>
      </c>
      <c r="I1440" s="1" t="s">
        <v>20</v>
      </c>
      <c r="J1440" s="1" t="s">
        <v>25</v>
      </c>
      <c r="K1440" s="11" t="s">
        <v>25</v>
      </c>
      <c r="L1440" t="s">
        <v>25</v>
      </c>
      <c r="M1440" t="s">
        <v>25</v>
      </c>
      <c r="N1440" t="s">
        <v>25</v>
      </c>
      <c r="O1440" s="31" t="s">
        <v>25</v>
      </c>
      <c r="P1440" s="3" t="str">
        <f t="shared" ref="P1440:P1503" si="23">IF(ISNUMBER(SEARCH("Na", O1440)), "Na", "ppm")</f>
        <v>Na</v>
      </c>
      <c r="Q1440" s="37" t="s">
        <v>25</v>
      </c>
      <c r="R1440" t="str">
        <f>IF(ISNUMBER(SEARCH("Na", Q1440)), "Na", "")</f>
        <v>Na</v>
      </c>
      <c r="S1440" s="13" t="s">
        <v>25</v>
      </c>
    </row>
    <row r="1441" spans="1:19">
      <c r="A1441" s="18" t="s">
        <v>1592</v>
      </c>
      <c r="B1441" s="1" t="s">
        <v>1595</v>
      </c>
      <c r="C1441" s="1" t="s">
        <v>1697</v>
      </c>
      <c r="D1441" s="1" t="s">
        <v>1698</v>
      </c>
      <c r="E1441" s="1" t="s">
        <v>25</v>
      </c>
      <c r="F1441">
        <v>371.80948148148099</v>
      </c>
      <c r="G1441">
        <v>371.80948148148099</v>
      </c>
      <c r="H1441">
        <v>22.49</v>
      </c>
      <c r="I1441" s="1" t="s">
        <v>20</v>
      </c>
      <c r="J1441" s="1" t="s">
        <v>25</v>
      </c>
      <c r="K1441" s="11" t="s">
        <v>25</v>
      </c>
      <c r="L1441" t="s">
        <v>25</v>
      </c>
      <c r="M1441" t="s">
        <v>25</v>
      </c>
      <c r="N1441" t="s">
        <v>25</v>
      </c>
      <c r="O1441" s="31" t="s">
        <v>25</v>
      </c>
      <c r="P1441" s="3" t="str">
        <f t="shared" si="23"/>
        <v>Na</v>
      </c>
      <c r="Q1441" s="37" t="s">
        <v>25</v>
      </c>
      <c r="R1441" t="str">
        <f t="shared" ref="R1441:R1503" si="24">IF(ISNUMBER(SEARCH("Na", Q1441)), "Na", "")</f>
        <v>Na</v>
      </c>
      <c r="S1441" s="13" t="s">
        <v>25</v>
      </c>
    </row>
    <row r="1442" spans="1:19">
      <c r="A1442" s="18" t="s">
        <v>1592</v>
      </c>
      <c r="B1442" s="1" t="s">
        <v>1596</v>
      </c>
      <c r="C1442" s="1" t="s">
        <v>1697</v>
      </c>
      <c r="D1442" s="1" t="s">
        <v>1698</v>
      </c>
      <c r="E1442" s="1" t="s">
        <v>25</v>
      </c>
      <c r="F1442">
        <v>371.83318518518502</v>
      </c>
      <c r="G1442">
        <v>371.83318518518502</v>
      </c>
      <c r="H1442">
        <v>21.69</v>
      </c>
      <c r="I1442" s="1" t="s">
        <v>20</v>
      </c>
      <c r="J1442" s="1" t="s">
        <v>25</v>
      </c>
      <c r="K1442" s="11" t="s">
        <v>25</v>
      </c>
      <c r="L1442">
        <v>-1.0084191770184101</v>
      </c>
      <c r="M1442" s="1" t="s">
        <v>23</v>
      </c>
      <c r="N1442" t="s">
        <v>230</v>
      </c>
      <c r="O1442" s="31">
        <v>220.458246209847</v>
      </c>
      <c r="P1442" s="3" t="str">
        <f t="shared" si="23"/>
        <v>ppm</v>
      </c>
      <c r="Q1442" s="37">
        <v>2.9176699622992998E-4</v>
      </c>
      <c r="R1442" s="1" t="s">
        <v>29</v>
      </c>
      <c r="S1442" s="13">
        <f t="shared" si="22"/>
        <v>-1.0084191770184101</v>
      </c>
    </row>
    <row r="1443" spans="1:19">
      <c r="A1443" s="18" t="s">
        <v>1592</v>
      </c>
      <c r="B1443" s="1" t="s">
        <v>1597</v>
      </c>
      <c r="C1443" s="1" t="s">
        <v>1697</v>
      </c>
      <c r="D1443" s="1" t="s">
        <v>1698</v>
      </c>
      <c r="E1443" s="1" t="s">
        <v>25</v>
      </c>
      <c r="F1443">
        <v>371.83911111111098</v>
      </c>
      <c r="G1443">
        <v>371.83911111111098</v>
      </c>
      <c r="H1443">
        <v>21.49</v>
      </c>
      <c r="I1443" s="1" t="s">
        <v>20</v>
      </c>
      <c r="J1443" s="1" t="s">
        <v>25</v>
      </c>
      <c r="K1443" s="11" t="s">
        <v>25</v>
      </c>
      <c r="L1443" t="s">
        <v>25</v>
      </c>
      <c r="M1443" t="s">
        <v>25</v>
      </c>
      <c r="N1443" t="s">
        <v>25</v>
      </c>
      <c r="O1443" s="31" t="s">
        <v>25</v>
      </c>
      <c r="P1443" s="3" t="str">
        <f t="shared" si="23"/>
        <v>Na</v>
      </c>
      <c r="Q1443" s="37" t="s">
        <v>25</v>
      </c>
      <c r="R1443" t="str">
        <f t="shared" si="24"/>
        <v>Na</v>
      </c>
      <c r="S1443" s="13" t="s">
        <v>25</v>
      </c>
    </row>
    <row r="1444" spans="1:19">
      <c r="A1444" s="18" t="s">
        <v>1592</v>
      </c>
      <c r="B1444" s="1" t="s">
        <v>1598</v>
      </c>
      <c r="C1444" s="1" t="s">
        <v>1697</v>
      </c>
      <c r="D1444" s="1" t="s">
        <v>1698</v>
      </c>
      <c r="E1444" s="1" t="s">
        <v>25</v>
      </c>
      <c r="F1444">
        <v>371.85688888888899</v>
      </c>
      <c r="G1444">
        <v>371.85688888888899</v>
      </c>
      <c r="H1444">
        <v>20.89</v>
      </c>
      <c r="I1444" s="1" t="s">
        <v>20</v>
      </c>
      <c r="J1444" s="1" t="s">
        <v>25</v>
      </c>
      <c r="K1444" s="11" t="s">
        <v>25</v>
      </c>
      <c r="L1444" t="s">
        <v>25</v>
      </c>
      <c r="M1444" t="s">
        <v>25</v>
      </c>
      <c r="N1444" t="s">
        <v>25</v>
      </c>
      <c r="O1444" s="31" t="s">
        <v>25</v>
      </c>
      <c r="P1444" s="3" t="str">
        <f t="shared" si="23"/>
        <v>Na</v>
      </c>
      <c r="Q1444" s="37" t="s">
        <v>25</v>
      </c>
      <c r="R1444" t="str">
        <f t="shared" si="24"/>
        <v>Na</v>
      </c>
      <c r="S1444" s="13" t="s">
        <v>25</v>
      </c>
    </row>
    <row r="1445" spans="1:19">
      <c r="A1445" s="18" t="s">
        <v>1592</v>
      </c>
      <c r="B1445" s="1" t="s">
        <v>1599</v>
      </c>
      <c r="C1445" s="1" t="s">
        <v>1697</v>
      </c>
      <c r="D1445" s="1" t="s">
        <v>1698</v>
      </c>
      <c r="E1445" s="1" t="s">
        <v>25</v>
      </c>
      <c r="F1445">
        <v>371.86874074074098</v>
      </c>
      <c r="G1445">
        <v>371.86874074074098</v>
      </c>
      <c r="H1445">
        <v>20.49</v>
      </c>
      <c r="I1445" s="1" t="s">
        <v>20</v>
      </c>
      <c r="J1445" s="1" t="s">
        <v>25</v>
      </c>
      <c r="K1445" s="11" t="s">
        <v>25</v>
      </c>
      <c r="L1445" t="s">
        <v>25</v>
      </c>
      <c r="M1445" t="s">
        <v>25</v>
      </c>
      <c r="N1445" t="s">
        <v>25</v>
      </c>
      <c r="O1445" s="31" t="s">
        <v>25</v>
      </c>
      <c r="P1445" s="3" t="str">
        <f t="shared" si="23"/>
        <v>Na</v>
      </c>
      <c r="Q1445" s="37" t="s">
        <v>25</v>
      </c>
      <c r="R1445" t="str">
        <f t="shared" si="24"/>
        <v>Na</v>
      </c>
      <c r="S1445" s="13" t="s">
        <v>25</v>
      </c>
    </row>
    <row r="1446" spans="1:19">
      <c r="A1446" s="18" t="s">
        <v>1592</v>
      </c>
      <c r="B1446" s="1" t="s">
        <v>1600</v>
      </c>
      <c r="C1446" s="1" t="s">
        <v>1697</v>
      </c>
      <c r="D1446" s="1" t="s">
        <v>1698</v>
      </c>
      <c r="E1446" s="1" t="s">
        <v>25</v>
      </c>
      <c r="F1446">
        <v>371.88355555555597</v>
      </c>
      <c r="G1446">
        <v>371.88355555555597</v>
      </c>
      <c r="H1446">
        <v>19.989999999999998</v>
      </c>
      <c r="I1446" s="1" t="s">
        <v>20</v>
      </c>
      <c r="J1446" s="1" t="s">
        <v>25</v>
      </c>
      <c r="K1446" s="11" t="s">
        <v>25</v>
      </c>
      <c r="L1446">
        <v>-0.99556161884398997</v>
      </c>
      <c r="M1446" s="1" t="s">
        <v>23</v>
      </c>
      <c r="N1446" t="s">
        <v>230</v>
      </c>
      <c r="O1446" s="31">
        <v>263.37417569143003</v>
      </c>
      <c r="P1446" s="3" t="str">
        <f t="shared" si="23"/>
        <v>ppm</v>
      </c>
      <c r="Q1446" s="37">
        <v>3.3620961890136502E-4</v>
      </c>
      <c r="R1446" s="1" t="s">
        <v>29</v>
      </c>
      <c r="S1446" s="13">
        <f t="shared" si="22"/>
        <v>-0.99556161884398997</v>
      </c>
    </row>
    <row r="1447" spans="1:19">
      <c r="A1447" s="18" t="s">
        <v>1592</v>
      </c>
      <c r="B1447" s="1" t="s">
        <v>1601</v>
      </c>
      <c r="C1447" s="1" t="s">
        <v>1697</v>
      </c>
      <c r="D1447" s="1" t="s">
        <v>1698</v>
      </c>
      <c r="E1447" s="1" t="s">
        <v>25</v>
      </c>
      <c r="F1447">
        <v>371.90429629629602</v>
      </c>
      <c r="G1447">
        <v>371.90429629629602</v>
      </c>
      <c r="H1447">
        <v>19.29</v>
      </c>
      <c r="I1447" s="1" t="s">
        <v>20</v>
      </c>
      <c r="J1447" s="1" t="s">
        <v>25</v>
      </c>
      <c r="K1447" s="11" t="s">
        <v>25</v>
      </c>
      <c r="L1447" t="s">
        <v>25</v>
      </c>
      <c r="M1447" t="s">
        <v>25</v>
      </c>
      <c r="N1447" t="s">
        <v>25</v>
      </c>
      <c r="O1447" s="31" t="s">
        <v>25</v>
      </c>
      <c r="P1447" s="3" t="str">
        <f t="shared" si="23"/>
        <v>Na</v>
      </c>
      <c r="Q1447" s="37" t="s">
        <v>25</v>
      </c>
      <c r="R1447" t="str">
        <f t="shared" si="24"/>
        <v>Na</v>
      </c>
      <c r="S1447" s="13" t="s">
        <v>25</v>
      </c>
    </row>
    <row r="1448" spans="1:19">
      <c r="A1448" s="18" t="s">
        <v>1592</v>
      </c>
      <c r="B1448" s="1" t="s">
        <v>1602</v>
      </c>
      <c r="C1448" s="1" t="s">
        <v>1697</v>
      </c>
      <c r="D1448" s="1" t="s">
        <v>1698</v>
      </c>
      <c r="E1448" s="1" t="s">
        <v>25</v>
      </c>
      <c r="F1448">
        <v>371.92385185185202</v>
      </c>
      <c r="G1448">
        <v>371.92385185185202</v>
      </c>
      <c r="H1448">
        <v>18.63</v>
      </c>
      <c r="I1448" s="1" t="s">
        <v>20</v>
      </c>
      <c r="J1448" s="1" t="s">
        <v>25</v>
      </c>
      <c r="K1448" s="11" t="s">
        <v>25</v>
      </c>
      <c r="L1448" t="s">
        <v>25</v>
      </c>
      <c r="M1448" t="s">
        <v>25</v>
      </c>
      <c r="N1448" t="s">
        <v>25</v>
      </c>
      <c r="O1448" s="31" t="s">
        <v>25</v>
      </c>
      <c r="P1448" s="3" t="str">
        <f t="shared" si="23"/>
        <v>Na</v>
      </c>
      <c r="Q1448" s="37" t="s">
        <v>25</v>
      </c>
      <c r="R1448" t="str">
        <f t="shared" si="24"/>
        <v>Na</v>
      </c>
      <c r="S1448" s="13" t="s">
        <v>25</v>
      </c>
    </row>
    <row r="1449" spans="1:19">
      <c r="A1449" s="18" t="s">
        <v>1592</v>
      </c>
      <c r="B1449" s="1" t="s">
        <v>1603</v>
      </c>
      <c r="C1449" s="1" t="s">
        <v>1697</v>
      </c>
      <c r="D1449" s="1" t="s">
        <v>1698</v>
      </c>
      <c r="E1449" s="1" t="s">
        <v>25</v>
      </c>
      <c r="F1449">
        <v>371.92503703703699</v>
      </c>
      <c r="G1449">
        <v>371.92503703703699</v>
      </c>
      <c r="H1449">
        <v>18.59</v>
      </c>
      <c r="I1449" s="1" t="s">
        <v>20</v>
      </c>
      <c r="J1449" s="1" t="s">
        <v>25</v>
      </c>
      <c r="K1449" s="11" t="s">
        <v>25</v>
      </c>
      <c r="L1449" t="s">
        <v>25</v>
      </c>
      <c r="M1449" t="s">
        <v>25</v>
      </c>
      <c r="N1449" t="s">
        <v>25</v>
      </c>
      <c r="O1449" s="31" t="s">
        <v>25</v>
      </c>
      <c r="P1449" s="3" t="str">
        <f t="shared" si="23"/>
        <v>Na</v>
      </c>
      <c r="Q1449" s="37" t="s">
        <v>25</v>
      </c>
      <c r="R1449" t="str">
        <f t="shared" si="24"/>
        <v>Na</v>
      </c>
      <c r="S1449" s="13" t="s">
        <v>25</v>
      </c>
    </row>
    <row r="1450" spans="1:19">
      <c r="A1450" s="18" t="s">
        <v>1592</v>
      </c>
      <c r="B1450" s="1" t="s">
        <v>1604</v>
      </c>
      <c r="C1450" s="1" t="s">
        <v>1697</v>
      </c>
      <c r="D1450" s="1" t="s">
        <v>1698</v>
      </c>
      <c r="E1450" s="1" t="s">
        <v>25</v>
      </c>
      <c r="F1450">
        <v>371.94162962962997</v>
      </c>
      <c r="G1450">
        <v>371.94162962962997</v>
      </c>
      <c r="H1450">
        <v>18.03</v>
      </c>
      <c r="I1450" s="1" t="s">
        <v>20</v>
      </c>
      <c r="J1450" s="1" t="s">
        <v>25</v>
      </c>
      <c r="K1450" s="11" t="s">
        <v>25</v>
      </c>
      <c r="L1450">
        <v>-0.99691045462551797</v>
      </c>
      <c r="M1450" s="1" t="s">
        <v>23</v>
      </c>
      <c r="N1450" t="s">
        <v>230</v>
      </c>
      <c r="O1450" s="31">
        <v>193.38923637623699</v>
      </c>
      <c r="P1450" s="3" t="str">
        <f t="shared" si="23"/>
        <v>ppm</v>
      </c>
      <c r="Q1450" s="37">
        <v>2.7013027649559399E-4</v>
      </c>
      <c r="R1450" s="1" t="s">
        <v>29</v>
      </c>
      <c r="S1450" s="13">
        <f t="shared" si="22"/>
        <v>-0.99691045462551797</v>
      </c>
    </row>
    <row r="1451" spans="1:19">
      <c r="A1451" s="18" t="s">
        <v>1592</v>
      </c>
      <c r="B1451" s="1" t="s">
        <v>1605</v>
      </c>
      <c r="C1451" s="1" t="s">
        <v>1697</v>
      </c>
      <c r="D1451" s="1" t="s">
        <v>1698</v>
      </c>
      <c r="E1451" s="1" t="s">
        <v>25</v>
      </c>
      <c r="F1451">
        <v>371.94962962963001</v>
      </c>
      <c r="G1451">
        <v>371.94962962963001</v>
      </c>
      <c r="H1451">
        <v>17.760000000000002</v>
      </c>
      <c r="I1451" s="1" t="s">
        <v>20</v>
      </c>
      <c r="J1451" s="1" t="s">
        <v>25</v>
      </c>
      <c r="K1451" s="11" t="s">
        <v>25</v>
      </c>
      <c r="L1451" t="s">
        <v>25</v>
      </c>
      <c r="M1451" t="s">
        <v>25</v>
      </c>
      <c r="N1451" t="s">
        <v>25</v>
      </c>
      <c r="O1451" s="31" t="s">
        <v>25</v>
      </c>
      <c r="P1451" s="3" t="str">
        <f t="shared" si="23"/>
        <v>Na</v>
      </c>
      <c r="Q1451" s="37" t="s">
        <v>25</v>
      </c>
      <c r="R1451" t="str">
        <f t="shared" si="24"/>
        <v>Na</v>
      </c>
      <c r="S1451" s="13" t="s">
        <v>25</v>
      </c>
    </row>
    <row r="1452" spans="1:19">
      <c r="A1452" s="18" t="s">
        <v>1592</v>
      </c>
      <c r="B1452" s="1" t="s">
        <v>1606</v>
      </c>
      <c r="C1452" s="1" t="s">
        <v>1697</v>
      </c>
      <c r="D1452" s="1" t="s">
        <v>1698</v>
      </c>
      <c r="E1452" s="1" t="s">
        <v>25</v>
      </c>
      <c r="F1452">
        <v>371.95051851851798</v>
      </c>
      <c r="G1452">
        <v>371.95051851851798</v>
      </c>
      <c r="H1452">
        <v>17.73</v>
      </c>
      <c r="I1452" s="1" t="s">
        <v>20</v>
      </c>
      <c r="J1452" s="1" t="s">
        <v>25</v>
      </c>
      <c r="K1452" s="11" t="s">
        <v>25</v>
      </c>
      <c r="L1452" t="s">
        <v>25</v>
      </c>
      <c r="M1452" t="s">
        <v>25</v>
      </c>
      <c r="N1452" t="s">
        <v>25</v>
      </c>
      <c r="O1452" s="31" t="s">
        <v>25</v>
      </c>
      <c r="P1452" s="3" t="str">
        <f t="shared" si="23"/>
        <v>Na</v>
      </c>
      <c r="Q1452" s="37" t="s">
        <v>25</v>
      </c>
      <c r="R1452" t="str">
        <f t="shared" si="24"/>
        <v>Na</v>
      </c>
      <c r="S1452" s="13" t="s">
        <v>25</v>
      </c>
    </row>
    <row r="1453" spans="1:19">
      <c r="A1453" s="18" t="s">
        <v>1592</v>
      </c>
      <c r="B1453" s="1" t="s">
        <v>1607</v>
      </c>
      <c r="C1453" s="1" t="s">
        <v>1697</v>
      </c>
      <c r="D1453" s="1" t="s">
        <v>1698</v>
      </c>
      <c r="E1453" s="1" t="s">
        <v>25</v>
      </c>
      <c r="F1453">
        <v>371.965925925926</v>
      </c>
      <c r="G1453">
        <v>371.965925925926</v>
      </c>
      <c r="H1453">
        <v>17.21</v>
      </c>
      <c r="I1453" s="1" t="s">
        <v>20</v>
      </c>
      <c r="J1453" s="1" t="s">
        <v>25</v>
      </c>
      <c r="K1453" s="11" t="s">
        <v>25</v>
      </c>
      <c r="L1453">
        <v>-0.98337982154988102</v>
      </c>
      <c r="M1453" s="1" t="s">
        <v>23</v>
      </c>
      <c r="N1453" t="s">
        <v>230</v>
      </c>
      <c r="O1453" s="31">
        <v>170.98467837085599</v>
      </c>
      <c r="P1453" s="3" t="str">
        <f t="shared" si="23"/>
        <v>ppm</v>
      </c>
      <c r="Q1453" s="37">
        <v>2.5289267929383798E-4</v>
      </c>
      <c r="R1453" s="1" t="s">
        <v>29</v>
      </c>
      <c r="S1453" s="13">
        <f t="shared" si="22"/>
        <v>-0.98337982154988102</v>
      </c>
    </row>
    <row r="1454" spans="1:19">
      <c r="A1454" s="18" t="s">
        <v>1592</v>
      </c>
      <c r="B1454" s="1" t="s">
        <v>1608</v>
      </c>
      <c r="C1454" s="1" t="s">
        <v>1697</v>
      </c>
      <c r="D1454" s="1" t="s">
        <v>1698</v>
      </c>
      <c r="E1454" s="1" t="s">
        <v>25</v>
      </c>
      <c r="F1454">
        <v>371.97777777777799</v>
      </c>
      <c r="G1454">
        <v>371.97777777777799</v>
      </c>
      <c r="H1454">
        <v>16.809999999999999</v>
      </c>
      <c r="I1454" s="1" t="s">
        <v>20</v>
      </c>
      <c r="J1454" s="1" t="s">
        <v>25</v>
      </c>
      <c r="K1454" s="11" t="s">
        <v>25</v>
      </c>
      <c r="L1454" t="s">
        <v>25</v>
      </c>
      <c r="M1454" t="s">
        <v>25</v>
      </c>
      <c r="N1454" t="s">
        <v>25</v>
      </c>
      <c r="O1454" s="31" t="s">
        <v>25</v>
      </c>
      <c r="P1454" s="3" t="str">
        <f t="shared" si="23"/>
        <v>Na</v>
      </c>
      <c r="Q1454" s="37" t="s">
        <v>25</v>
      </c>
      <c r="R1454" t="str">
        <f t="shared" si="24"/>
        <v>Na</v>
      </c>
      <c r="S1454" s="13" t="s">
        <v>25</v>
      </c>
    </row>
    <row r="1455" spans="1:19">
      <c r="A1455" s="18" t="s">
        <v>1592</v>
      </c>
      <c r="B1455" s="1" t="s">
        <v>1609</v>
      </c>
      <c r="C1455" s="1" t="s">
        <v>1697</v>
      </c>
      <c r="D1455" s="1" t="s">
        <v>1698</v>
      </c>
      <c r="E1455" s="1" t="s">
        <v>25</v>
      </c>
      <c r="F1455">
        <v>371.97925925925898</v>
      </c>
      <c r="G1455">
        <v>371.97925925925898</v>
      </c>
      <c r="H1455">
        <v>16.760000000000002</v>
      </c>
      <c r="I1455" s="1" t="s">
        <v>20</v>
      </c>
      <c r="J1455" s="1" t="s">
        <v>25</v>
      </c>
      <c r="K1455" s="11" t="s">
        <v>25</v>
      </c>
      <c r="L1455" t="s">
        <v>25</v>
      </c>
      <c r="M1455" t="s">
        <v>25</v>
      </c>
      <c r="N1455" t="s">
        <v>25</v>
      </c>
      <c r="O1455" s="31" t="s">
        <v>25</v>
      </c>
      <c r="P1455" s="3" t="str">
        <f t="shared" si="23"/>
        <v>Na</v>
      </c>
      <c r="Q1455" s="37" t="s">
        <v>25</v>
      </c>
      <c r="R1455" t="str">
        <f t="shared" si="24"/>
        <v>Na</v>
      </c>
      <c r="S1455" s="13" t="s">
        <v>25</v>
      </c>
    </row>
    <row r="1456" spans="1:19">
      <c r="A1456" s="18" t="s">
        <v>1592</v>
      </c>
      <c r="B1456" s="1" t="s">
        <v>1610</v>
      </c>
      <c r="C1456" s="1" t="s">
        <v>1697</v>
      </c>
      <c r="D1456" s="1" t="s">
        <v>1698</v>
      </c>
      <c r="E1456" s="1" t="s">
        <v>25</v>
      </c>
      <c r="F1456">
        <v>371.98874074074098</v>
      </c>
      <c r="G1456">
        <v>371.98874074074098</v>
      </c>
      <c r="H1456">
        <v>16.440000000000001</v>
      </c>
      <c r="I1456" s="1" t="s">
        <v>20</v>
      </c>
      <c r="J1456" s="1" t="s">
        <v>25</v>
      </c>
      <c r="K1456" s="11" t="s">
        <v>25</v>
      </c>
      <c r="L1456">
        <v>-0.94324347144141196</v>
      </c>
      <c r="M1456" s="1" t="s">
        <v>23</v>
      </c>
      <c r="N1456" t="s">
        <v>230</v>
      </c>
      <c r="O1456" s="31">
        <v>162.581545742255</v>
      </c>
      <c r="P1456" s="3" t="str">
        <f t="shared" si="23"/>
        <v>ppm</v>
      </c>
      <c r="Q1456" s="37">
        <v>2.14512410965838E-4</v>
      </c>
      <c r="R1456" s="1" t="s">
        <v>29</v>
      </c>
      <c r="S1456" s="13">
        <f t="shared" si="22"/>
        <v>-0.94324347144141196</v>
      </c>
    </row>
    <row r="1457" spans="1:19">
      <c r="A1457" s="18" t="s">
        <v>1592</v>
      </c>
      <c r="B1457" s="1" t="s">
        <v>1611</v>
      </c>
      <c r="C1457" s="1" t="s">
        <v>1697</v>
      </c>
      <c r="D1457" s="1" t="s">
        <v>1698</v>
      </c>
      <c r="E1457" s="1" t="s">
        <v>25</v>
      </c>
      <c r="F1457">
        <v>371.99911111111101</v>
      </c>
      <c r="G1457">
        <v>371.99911111111101</v>
      </c>
      <c r="H1457">
        <v>16.09</v>
      </c>
      <c r="I1457" s="1" t="s">
        <v>20</v>
      </c>
      <c r="J1457" s="1" t="s">
        <v>25</v>
      </c>
      <c r="K1457" s="11" t="s">
        <v>25</v>
      </c>
      <c r="L1457" t="s">
        <v>25</v>
      </c>
      <c r="M1457" t="s">
        <v>25</v>
      </c>
      <c r="N1457" t="s">
        <v>25</v>
      </c>
      <c r="O1457" s="31" t="s">
        <v>25</v>
      </c>
      <c r="P1457" s="3" t="str">
        <f t="shared" si="23"/>
        <v>Na</v>
      </c>
      <c r="Q1457" s="37" t="s">
        <v>25</v>
      </c>
      <c r="R1457" t="str">
        <f t="shared" si="24"/>
        <v>Na</v>
      </c>
      <c r="S1457" s="13" t="s">
        <v>25</v>
      </c>
    </row>
    <row r="1458" spans="1:19">
      <c r="A1458" s="18" t="s">
        <v>1592</v>
      </c>
      <c r="B1458" s="1" t="s">
        <v>1612</v>
      </c>
      <c r="C1458" s="1" t="s">
        <v>1697</v>
      </c>
      <c r="D1458" s="1" t="s">
        <v>1698</v>
      </c>
      <c r="E1458" s="1" t="s">
        <v>25</v>
      </c>
      <c r="F1458">
        <v>372.00148148148099</v>
      </c>
      <c r="G1458">
        <v>372.00148148148099</v>
      </c>
      <c r="H1458">
        <v>16.010000000000002</v>
      </c>
      <c r="I1458" s="1" t="s">
        <v>20</v>
      </c>
      <c r="J1458" s="1" t="s">
        <v>25</v>
      </c>
      <c r="K1458" s="11" t="s">
        <v>25</v>
      </c>
      <c r="L1458" t="s">
        <v>25</v>
      </c>
      <c r="M1458" t="s">
        <v>25</v>
      </c>
      <c r="N1458" t="s">
        <v>25</v>
      </c>
      <c r="O1458" s="31" t="s">
        <v>25</v>
      </c>
      <c r="P1458" s="3" t="str">
        <f t="shared" si="23"/>
        <v>Na</v>
      </c>
      <c r="Q1458" s="37" t="s">
        <v>25</v>
      </c>
      <c r="R1458" t="str">
        <f t="shared" si="24"/>
        <v>Na</v>
      </c>
      <c r="S1458" s="13" t="s">
        <v>25</v>
      </c>
    </row>
    <row r="1459" spans="1:19">
      <c r="A1459" s="18" t="s">
        <v>1592</v>
      </c>
      <c r="B1459" s="1" t="s">
        <v>1613</v>
      </c>
      <c r="C1459" s="1" t="s">
        <v>1697</v>
      </c>
      <c r="D1459" s="1" t="s">
        <v>1698</v>
      </c>
      <c r="E1459" s="1" t="s">
        <v>25</v>
      </c>
      <c r="F1459">
        <v>372.00829629629601</v>
      </c>
      <c r="G1459">
        <v>372.00829629629601</v>
      </c>
      <c r="H1459">
        <v>15.78</v>
      </c>
      <c r="I1459" s="1" t="s">
        <v>20</v>
      </c>
      <c r="J1459" s="1" t="s">
        <v>25</v>
      </c>
      <c r="K1459" s="11" t="s">
        <v>25</v>
      </c>
      <c r="L1459">
        <v>-0.95676660395403401</v>
      </c>
      <c r="M1459" s="1" t="s">
        <v>23</v>
      </c>
      <c r="N1459" t="s">
        <v>230</v>
      </c>
      <c r="O1459" s="31">
        <v>137.76937085903401</v>
      </c>
      <c r="P1459" s="3" t="str">
        <f t="shared" si="23"/>
        <v>ppm</v>
      </c>
      <c r="Q1459" s="37">
        <v>2.3378568679164799E-4</v>
      </c>
      <c r="R1459" s="1" t="s">
        <v>29</v>
      </c>
      <c r="S1459" s="13">
        <f t="shared" si="22"/>
        <v>-0.95676660395403401</v>
      </c>
    </row>
    <row r="1460" spans="1:19">
      <c r="A1460" s="18" t="s">
        <v>1592</v>
      </c>
      <c r="B1460" s="1" t="s">
        <v>1614</v>
      </c>
      <c r="C1460" s="1" t="s">
        <v>1697</v>
      </c>
      <c r="D1460" s="1" t="s">
        <v>1698</v>
      </c>
      <c r="E1460" s="1" t="s">
        <v>25</v>
      </c>
      <c r="F1460">
        <v>372.01600000000002</v>
      </c>
      <c r="G1460">
        <v>372.01600000000002</v>
      </c>
      <c r="H1460">
        <v>15.52</v>
      </c>
      <c r="I1460" s="1" t="s">
        <v>20</v>
      </c>
      <c r="J1460" s="1" t="s">
        <v>25</v>
      </c>
      <c r="K1460" s="11" t="s">
        <v>25</v>
      </c>
      <c r="L1460" t="s">
        <v>25</v>
      </c>
      <c r="M1460" t="s">
        <v>25</v>
      </c>
      <c r="N1460" t="s">
        <v>25</v>
      </c>
      <c r="O1460" s="31" t="s">
        <v>25</v>
      </c>
      <c r="P1460" s="3" t="str">
        <f t="shared" si="23"/>
        <v>Na</v>
      </c>
      <c r="Q1460" s="37" t="s">
        <v>25</v>
      </c>
      <c r="R1460" t="str">
        <f t="shared" si="24"/>
        <v>Na</v>
      </c>
      <c r="S1460" s="13" t="s">
        <v>25</v>
      </c>
    </row>
    <row r="1461" spans="1:19">
      <c r="A1461" s="18" t="s">
        <v>1592</v>
      </c>
      <c r="B1461" s="1" t="s">
        <v>1615</v>
      </c>
      <c r="C1461" s="1" t="s">
        <v>1697</v>
      </c>
      <c r="D1461" s="1" t="s">
        <v>1698</v>
      </c>
      <c r="E1461" s="1" t="s">
        <v>25</v>
      </c>
      <c r="F1461">
        <v>372.02370370370397</v>
      </c>
      <c r="G1461">
        <v>372.02370370370397</v>
      </c>
      <c r="H1461">
        <v>15.26</v>
      </c>
      <c r="I1461" s="1" t="s">
        <v>20</v>
      </c>
      <c r="J1461" s="1" t="s">
        <v>25</v>
      </c>
      <c r="K1461" s="11" t="s">
        <v>25</v>
      </c>
      <c r="L1461">
        <v>-0.94256007378018203</v>
      </c>
      <c r="M1461" s="1" t="s">
        <v>23</v>
      </c>
      <c r="N1461" t="s">
        <v>230</v>
      </c>
      <c r="O1461" s="31">
        <v>156.588652093908</v>
      </c>
      <c r="P1461" s="3" t="str">
        <f t="shared" si="23"/>
        <v>ppm</v>
      </c>
      <c r="Q1461" s="37">
        <v>2.2833040914191E-4</v>
      </c>
      <c r="R1461" s="1" t="s">
        <v>29</v>
      </c>
      <c r="S1461" s="13">
        <f t="shared" si="22"/>
        <v>-0.94256007378018203</v>
      </c>
    </row>
    <row r="1462" spans="1:19">
      <c r="A1462" s="18" t="s">
        <v>1592</v>
      </c>
      <c r="B1462" s="1" t="s">
        <v>1616</v>
      </c>
      <c r="C1462" s="1" t="s">
        <v>1697</v>
      </c>
      <c r="D1462" s="1" t="s">
        <v>1698</v>
      </c>
      <c r="E1462" s="1" t="s">
        <v>25</v>
      </c>
      <c r="F1462">
        <v>372.03199999999998</v>
      </c>
      <c r="G1462">
        <v>372.03199999999998</v>
      </c>
      <c r="H1462">
        <v>14.98</v>
      </c>
      <c r="I1462" s="1" t="s">
        <v>20</v>
      </c>
      <c r="J1462" s="1" t="s">
        <v>25</v>
      </c>
      <c r="K1462" s="11" t="s">
        <v>25</v>
      </c>
      <c r="L1462" t="s">
        <v>25</v>
      </c>
      <c r="M1462" t="s">
        <v>25</v>
      </c>
      <c r="N1462" t="s">
        <v>25</v>
      </c>
      <c r="O1462" s="31" t="s">
        <v>25</v>
      </c>
      <c r="P1462" s="3" t="str">
        <f t="shared" si="23"/>
        <v>Na</v>
      </c>
      <c r="Q1462" s="37" t="s">
        <v>25</v>
      </c>
      <c r="R1462" t="str">
        <f t="shared" si="24"/>
        <v>Na</v>
      </c>
      <c r="S1462" s="13" t="s">
        <v>25</v>
      </c>
    </row>
    <row r="1463" spans="1:19">
      <c r="A1463" s="18" t="s">
        <v>1592</v>
      </c>
      <c r="B1463" s="1" t="s">
        <v>1617</v>
      </c>
      <c r="C1463" s="1" t="s">
        <v>1697</v>
      </c>
      <c r="D1463" s="1" t="s">
        <v>1698</v>
      </c>
      <c r="E1463" s="1" t="s">
        <v>25</v>
      </c>
      <c r="F1463">
        <v>372.03644444444399</v>
      </c>
      <c r="G1463">
        <v>372.03644444444399</v>
      </c>
      <c r="H1463">
        <v>14.83</v>
      </c>
      <c r="I1463" s="1" t="s">
        <v>20</v>
      </c>
      <c r="J1463" s="1" t="s">
        <v>25</v>
      </c>
      <c r="K1463" s="11" t="s">
        <v>25</v>
      </c>
      <c r="L1463">
        <v>-0.98471704233350599</v>
      </c>
      <c r="M1463" s="1" t="s">
        <v>23</v>
      </c>
      <c r="N1463" t="s">
        <v>230</v>
      </c>
      <c r="O1463" s="31">
        <v>141.45347234580399</v>
      </c>
      <c r="P1463" s="3" t="str">
        <f t="shared" si="23"/>
        <v>ppm</v>
      </c>
      <c r="Q1463" s="37">
        <v>2.1915291866290401E-4</v>
      </c>
      <c r="R1463" s="1" t="s">
        <v>29</v>
      </c>
      <c r="S1463" s="13">
        <f t="shared" si="22"/>
        <v>-0.98471704233350599</v>
      </c>
    </row>
    <row r="1464" spans="1:19">
      <c r="A1464" s="18" t="s">
        <v>1592</v>
      </c>
      <c r="B1464" s="1" t="s">
        <v>1618</v>
      </c>
      <c r="C1464" s="1" t="s">
        <v>1697</v>
      </c>
      <c r="D1464" s="1" t="s">
        <v>1698</v>
      </c>
      <c r="E1464" s="1" t="s">
        <v>25</v>
      </c>
      <c r="F1464">
        <v>372.04829629629597</v>
      </c>
      <c r="G1464">
        <v>372.04829629629597</v>
      </c>
      <c r="H1464">
        <v>14.43</v>
      </c>
      <c r="I1464" s="1" t="s">
        <v>20</v>
      </c>
      <c r="J1464" s="1" t="s">
        <v>25</v>
      </c>
      <c r="K1464" s="11" t="s">
        <v>25</v>
      </c>
      <c r="L1464" t="s">
        <v>25</v>
      </c>
      <c r="M1464" t="s">
        <v>25</v>
      </c>
      <c r="N1464" t="s">
        <v>25</v>
      </c>
      <c r="O1464" s="31" t="s">
        <v>25</v>
      </c>
      <c r="P1464" s="3" t="str">
        <f t="shared" si="23"/>
        <v>Na</v>
      </c>
      <c r="Q1464" s="37" t="s">
        <v>25</v>
      </c>
      <c r="R1464" t="str">
        <f t="shared" si="24"/>
        <v>Na</v>
      </c>
      <c r="S1464" s="13" t="s">
        <v>25</v>
      </c>
    </row>
    <row r="1465" spans="1:19">
      <c r="A1465" s="18" t="s">
        <v>1592</v>
      </c>
      <c r="B1465" s="1" t="s">
        <v>1619</v>
      </c>
      <c r="C1465" s="1" t="s">
        <v>1697</v>
      </c>
      <c r="D1465" s="1" t="s">
        <v>1698</v>
      </c>
      <c r="E1465" s="1" t="s">
        <v>25</v>
      </c>
      <c r="F1465">
        <v>372.052740740741</v>
      </c>
      <c r="G1465">
        <v>372.052740740741</v>
      </c>
      <c r="H1465">
        <v>14.28</v>
      </c>
      <c r="I1465" s="1" t="s">
        <v>20</v>
      </c>
      <c r="J1465" s="1" t="s">
        <v>25</v>
      </c>
      <c r="K1465" s="11" t="s">
        <v>25</v>
      </c>
      <c r="L1465">
        <v>-0.966008449504411</v>
      </c>
      <c r="M1465" s="1" t="s">
        <v>23</v>
      </c>
      <c r="N1465" t="s">
        <v>230</v>
      </c>
      <c r="O1465" s="31">
        <v>131.38873772295901</v>
      </c>
      <c r="P1465" s="3" t="str">
        <f t="shared" si="23"/>
        <v>ppm</v>
      </c>
      <c r="Q1465" s="37">
        <v>2.14623228237745E-4</v>
      </c>
      <c r="R1465" s="1" t="s">
        <v>29</v>
      </c>
      <c r="S1465" s="13">
        <f t="shared" si="22"/>
        <v>-0.966008449504411</v>
      </c>
    </row>
    <row r="1466" spans="1:19">
      <c r="A1466" s="18" t="s">
        <v>1592</v>
      </c>
      <c r="B1466" s="1" t="s">
        <v>1620</v>
      </c>
      <c r="C1466" s="1" t="s">
        <v>1697</v>
      </c>
      <c r="D1466" s="1" t="s">
        <v>1698</v>
      </c>
      <c r="E1466" s="1" t="s">
        <v>25</v>
      </c>
      <c r="F1466">
        <v>372.06696296296298</v>
      </c>
      <c r="G1466">
        <v>372.06696296296298</v>
      </c>
      <c r="H1466">
        <v>13.8</v>
      </c>
      <c r="I1466" s="1" t="s">
        <v>20</v>
      </c>
      <c r="J1466" s="1" t="s">
        <v>25</v>
      </c>
      <c r="K1466" s="11" t="s">
        <v>25</v>
      </c>
      <c r="L1466" t="s">
        <v>25</v>
      </c>
      <c r="M1466" t="s">
        <v>25</v>
      </c>
      <c r="N1466" t="s">
        <v>25</v>
      </c>
      <c r="O1466" s="31" t="s">
        <v>25</v>
      </c>
      <c r="P1466" s="3" t="str">
        <f t="shared" si="23"/>
        <v>Na</v>
      </c>
      <c r="Q1466" s="37" t="s">
        <v>25</v>
      </c>
      <c r="R1466" t="str">
        <f t="shared" si="24"/>
        <v>Na</v>
      </c>
      <c r="S1466" s="13" t="s">
        <v>25</v>
      </c>
    </row>
    <row r="1467" spans="1:19">
      <c r="A1467" s="18" t="s">
        <v>1592</v>
      </c>
      <c r="B1467" s="1" t="s">
        <v>1621</v>
      </c>
      <c r="C1467" s="1" t="s">
        <v>1697</v>
      </c>
      <c r="D1467" s="1" t="s">
        <v>1698</v>
      </c>
      <c r="E1467" s="1" t="s">
        <v>25</v>
      </c>
      <c r="F1467">
        <v>372.07229629629597</v>
      </c>
      <c r="G1467">
        <v>372.07229629629597</v>
      </c>
      <c r="H1467">
        <v>13.62</v>
      </c>
      <c r="I1467" s="1" t="s">
        <v>20</v>
      </c>
      <c r="J1467" s="1" t="s">
        <v>25</v>
      </c>
      <c r="K1467" s="11" t="s">
        <v>25</v>
      </c>
      <c r="L1467">
        <v>-0.97343990556287097</v>
      </c>
      <c r="M1467" s="1" t="s">
        <v>23</v>
      </c>
      <c r="N1467" t="s">
        <v>230</v>
      </c>
      <c r="O1467" s="31">
        <v>136.668756857343</v>
      </c>
      <c r="P1467" s="3" t="str">
        <f t="shared" si="23"/>
        <v>ppm</v>
      </c>
      <c r="Q1467" s="37">
        <v>2.3461466491748201E-4</v>
      </c>
      <c r="R1467" s="1" t="s">
        <v>29</v>
      </c>
      <c r="S1467" s="13">
        <f t="shared" si="22"/>
        <v>-0.97343990556287097</v>
      </c>
    </row>
    <row r="1468" spans="1:19">
      <c r="A1468" s="18" t="s">
        <v>1592</v>
      </c>
      <c r="B1468" s="1" t="s">
        <v>1622</v>
      </c>
      <c r="C1468" s="1" t="s">
        <v>1697</v>
      </c>
      <c r="D1468" s="1" t="s">
        <v>1698</v>
      </c>
      <c r="E1468" s="1" t="s">
        <v>25</v>
      </c>
      <c r="F1468">
        <v>372.07881481481502</v>
      </c>
      <c r="G1468">
        <v>372.07881481481502</v>
      </c>
      <c r="H1468">
        <v>13.4</v>
      </c>
      <c r="I1468" s="1" t="s">
        <v>20</v>
      </c>
      <c r="J1468" s="1" t="s">
        <v>25</v>
      </c>
      <c r="K1468" s="11" t="s">
        <v>25</v>
      </c>
      <c r="L1468" t="s">
        <v>25</v>
      </c>
      <c r="M1468" t="s">
        <v>25</v>
      </c>
      <c r="N1468" t="s">
        <v>25</v>
      </c>
      <c r="O1468" s="31" t="s">
        <v>25</v>
      </c>
      <c r="P1468" s="3" t="str">
        <f t="shared" si="23"/>
        <v>Na</v>
      </c>
      <c r="Q1468" s="37" t="s">
        <v>25</v>
      </c>
      <c r="R1468" t="str">
        <f t="shared" si="24"/>
        <v>Na</v>
      </c>
      <c r="S1468" s="13" t="s">
        <v>25</v>
      </c>
    </row>
    <row r="1469" spans="1:19">
      <c r="A1469" s="18" t="s">
        <v>1592</v>
      </c>
      <c r="B1469" s="1" t="s">
        <v>1623</v>
      </c>
      <c r="C1469" s="1" t="s">
        <v>1697</v>
      </c>
      <c r="D1469" s="1" t="s">
        <v>1698</v>
      </c>
      <c r="E1469" s="1" t="s">
        <v>25</v>
      </c>
      <c r="F1469">
        <v>372.07940740740702</v>
      </c>
      <c r="G1469">
        <v>372.07940740740702</v>
      </c>
      <c r="H1469">
        <v>13.38</v>
      </c>
      <c r="I1469" s="1" t="s">
        <v>20</v>
      </c>
      <c r="J1469" s="1" t="s">
        <v>25</v>
      </c>
      <c r="K1469" s="11" t="s">
        <v>25</v>
      </c>
      <c r="L1469">
        <v>-0.93932682586944904</v>
      </c>
      <c r="M1469" s="1" t="s">
        <v>23</v>
      </c>
      <c r="N1469" t="s">
        <v>230</v>
      </c>
      <c r="O1469" s="31">
        <v>156.39494754677699</v>
      </c>
      <c r="P1469" s="3" t="str">
        <f t="shared" si="23"/>
        <v>ppm</v>
      </c>
      <c r="Q1469" s="37">
        <v>2.22783397466508E-4</v>
      </c>
      <c r="R1469" s="1" t="s">
        <v>29</v>
      </c>
      <c r="S1469" s="13">
        <f t="shared" si="22"/>
        <v>-0.93932682586944904</v>
      </c>
    </row>
    <row r="1470" spans="1:19">
      <c r="A1470" s="18" t="s">
        <v>1592</v>
      </c>
      <c r="B1470" s="1" t="s">
        <v>1624</v>
      </c>
      <c r="C1470" s="1" t="s">
        <v>1697</v>
      </c>
      <c r="D1470" s="1" t="s">
        <v>1698</v>
      </c>
      <c r="E1470" s="1" t="s">
        <v>25</v>
      </c>
      <c r="F1470">
        <v>372.08266666666702</v>
      </c>
      <c r="G1470">
        <v>372.08266666666702</v>
      </c>
      <c r="H1470">
        <v>13.27</v>
      </c>
      <c r="I1470" s="1" t="s">
        <v>20</v>
      </c>
      <c r="J1470" s="1" t="s">
        <v>25</v>
      </c>
      <c r="K1470" s="11" t="s">
        <v>25</v>
      </c>
      <c r="L1470" t="s">
        <v>25</v>
      </c>
      <c r="M1470" t="s">
        <v>25</v>
      </c>
      <c r="N1470" t="s">
        <v>25</v>
      </c>
      <c r="O1470" s="31" t="s">
        <v>25</v>
      </c>
      <c r="P1470" s="3" t="str">
        <f t="shared" si="23"/>
        <v>Na</v>
      </c>
      <c r="Q1470" s="37" t="s">
        <v>25</v>
      </c>
      <c r="R1470" t="str">
        <f t="shared" si="24"/>
        <v>Na</v>
      </c>
      <c r="S1470" s="13" t="s">
        <v>25</v>
      </c>
    </row>
    <row r="1471" spans="1:19">
      <c r="A1471" s="18" t="s">
        <v>1592</v>
      </c>
      <c r="B1471" s="1" t="s">
        <v>1625</v>
      </c>
      <c r="C1471" s="1" t="s">
        <v>1697</v>
      </c>
      <c r="D1471" s="1" t="s">
        <v>1698</v>
      </c>
      <c r="E1471" s="1" t="s">
        <v>25</v>
      </c>
      <c r="F1471">
        <v>372.08622222222198</v>
      </c>
      <c r="G1471">
        <v>372.08622222222198</v>
      </c>
      <c r="H1471">
        <v>13.15</v>
      </c>
      <c r="I1471" s="1" t="s">
        <v>20</v>
      </c>
      <c r="J1471" s="1" t="s">
        <v>25</v>
      </c>
      <c r="K1471" s="11" t="s">
        <v>25</v>
      </c>
      <c r="L1471">
        <v>-0.96180439970685105</v>
      </c>
      <c r="M1471" s="1" t="s">
        <v>23</v>
      </c>
      <c r="N1471" t="s">
        <v>230</v>
      </c>
      <c r="O1471" s="31">
        <v>150.436646091657</v>
      </c>
      <c r="P1471" s="3" t="str">
        <f t="shared" si="23"/>
        <v>ppm</v>
      </c>
      <c r="Q1471" s="37">
        <v>2.0508294510208599E-4</v>
      </c>
      <c r="R1471" s="1" t="s">
        <v>29</v>
      </c>
      <c r="S1471" s="13">
        <f t="shared" si="22"/>
        <v>-0.96180439970685105</v>
      </c>
    </row>
    <row r="1472" spans="1:19">
      <c r="A1472" s="18" t="s">
        <v>1592</v>
      </c>
      <c r="B1472" s="1" t="s">
        <v>1626</v>
      </c>
      <c r="C1472" s="1" t="s">
        <v>1697</v>
      </c>
      <c r="D1472" s="1" t="s">
        <v>1698</v>
      </c>
      <c r="E1472" s="1" t="s">
        <v>25</v>
      </c>
      <c r="F1472">
        <v>372.08977777777801</v>
      </c>
      <c r="G1472">
        <v>372.08977777777801</v>
      </c>
      <c r="H1472">
        <v>13.03</v>
      </c>
      <c r="I1472" s="1" t="s">
        <v>20</v>
      </c>
      <c r="J1472" s="1" t="s">
        <v>25</v>
      </c>
      <c r="K1472" s="11" t="s">
        <v>25</v>
      </c>
      <c r="L1472" t="s">
        <v>25</v>
      </c>
      <c r="M1472" t="s">
        <v>25</v>
      </c>
      <c r="N1472" t="s">
        <v>25</v>
      </c>
      <c r="O1472" s="31">
        <v>49.642422915585399</v>
      </c>
      <c r="P1472" s="3" t="str">
        <f t="shared" si="23"/>
        <v>ppm</v>
      </c>
      <c r="Q1472" s="37">
        <v>5.0324900458517804E-4</v>
      </c>
      <c r="R1472" s="1" t="s">
        <v>29</v>
      </c>
      <c r="S1472" s="13" t="s">
        <v>25</v>
      </c>
    </row>
    <row r="1473" spans="1:19">
      <c r="A1473" s="18" t="s">
        <v>1592</v>
      </c>
      <c r="B1473" s="1" t="s">
        <v>1627</v>
      </c>
      <c r="C1473" s="1" t="s">
        <v>1697</v>
      </c>
      <c r="D1473" s="1" t="s">
        <v>1698</v>
      </c>
      <c r="E1473" s="1" t="s">
        <v>25</v>
      </c>
      <c r="F1473">
        <v>372.09362962963002</v>
      </c>
      <c r="G1473">
        <v>372.09362962963002</v>
      </c>
      <c r="H1473">
        <v>12.9</v>
      </c>
      <c r="I1473" s="1" t="s">
        <v>20</v>
      </c>
      <c r="J1473" s="1" t="s">
        <v>25</v>
      </c>
      <c r="K1473" s="11" t="s">
        <v>25</v>
      </c>
      <c r="L1473" t="s">
        <v>25</v>
      </c>
      <c r="M1473" t="s">
        <v>25</v>
      </c>
      <c r="N1473" t="s">
        <v>25</v>
      </c>
      <c r="O1473" s="31" t="s">
        <v>25</v>
      </c>
      <c r="P1473" s="3" t="str">
        <f t="shared" si="23"/>
        <v>Na</v>
      </c>
      <c r="Q1473" s="37" t="s">
        <v>25</v>
      </c>
      <c r="R1473" t="str">
        <f t="shared" si="24"/>
        <v>Na</v>
      </c>
      <c r="S1473" s="13" t="s">
        <v>25</v>
      </c>
    </row>
    <row r="1474" spans="1:19">
      <c r="A1474" s="18" t="s">
        <v>1592</v>
      </c>
      <c r="B1474" s="1" t="s">
        <v>1628</v>
      </c>
      <c r="C1474" s="1" t="s">
        <v>1697</v>
      </c>
      <c r="D1474" s="1" t="s">
        <v>1698</v>
      </c>
      <c r="E1474" s="1" t="s">
        <v>25</v>
      </c>
      <c r="F1474">
        <v>372.09511111111101</v>
      </c>
      <c r="G1474">
        <v>372.09511111111101</v>
      </c>
      <c r="H1474">
        <v>12.85</v>
      </c>
      <c r="I1474" s="1" t="s">
        <v>20</v>
      </c>
      <c r="J1474" s="1" t="s">
        <v>25</v>
      </c>
      <c r="K1474" s="11" t="s">
        <v>25</v>
      </c>
      <c r="L1474">
        <v>-0.94785089468083705</v>
      </c>
      <c r="M1474" s="1" t="s">
        <v>23</v>
      </c>
      <c r="N1474" t="s">
        <v>230</v>
      </c>
      <c r="O1474" s="31">
        <v>151.72656062003099</v>
      </c>
      <c r="P1474" s="3" t="str">
        <f t="shared" si="23"/>
        <v>ppm</v>
      </c>
      <c r="Q1474" s="37">
        <v>2.2192918050926099E-4</v>
      </c>
      <c r="R1474" s="1" t="s">
        <v>29</v>
      </c>
      <c r="S1474" s="13">
        <f t="shared" si="22"/>
        <v>-0.94785089468083705</v>
      </c>
    </row>
    <row r="1475" spans="1:19">
      <c r="A1475" s="18" t="s">
        <v>1592</v>
      </c>
      <c r="B1475" s="1" t="s">
        <v>1629</v>
      </c>
      <c r="C1475" s="1" t="s">
        <v>1697</v>
      </c>
      <c r="D1475" s="1" t="s">
        <v>1698</v>
      </c>
      <c r="E1475" s="1" t="s">
        <v>25</v>
      </c>
      <c r="F1475">
        <v>372.09659259259303</v>
      </c>
      <c r="G1475">
        <v>372.09659259259303</v>
      </c>
      <c r="H1475">
        <v>12.8</v>
      </c>
      <c r="I1475" s="1" t="s">
        <v>20</v>
      </c>
      <c r="J1475" s="1" t="s">
        <v>25</v>
      </c>
      <c r="K1475" s="11" t="s">
        <v>25</v>
      </c>
      <c r="L1475" t="s">
        <v>25</v>
      </c>
      <c r="M1475" t="s">
        <v>25</v>
      </c>
      <c r="N1475" t="s">
        <v>25</v>
      </c>
      <c r="O1475" s="31">
        <v>256.53879564373102</v>
      </c>
      <c r="P1475" s="3" t="str">
        <f t="shared" si="23"/>
        <v>ppm</v>
      </c>
      <c r="Q1475" s="37">
        <v>3.6109255038391897E-4</v>
      </c>
      <c r="R1475" s="1" t="s">
        <v>29</v>
      </c>
      <c r="S1475" s="13" t="s">
        <v>25</v>
      </c>
    </row>
    <row r="1476" spans="1:19">
      <c r="A1476" s="18" t="s">
        <v>1592</v>
      </c>
      <c r="B1476" s="1" t="s">
        <v>1630</v>
      </c>
      <c r="C1476" s="1" t="s">
        <v>1697</v>
      </c>
      <c r="D1476" s="1" t="s">
        <v>1698</v>
      </c>
      <c r="E1476" s="1" t="s">
        <v>25</v>
      </c>
      <c r="F1476">
        <v>372.10192592592603</v>
      </c>
      <c r="G1476">
        <v>372.10192592592603</v>
      </c>
      <c r="H1476">
        <v>12.62</v>
      </c>
      <c r="I1476" s="1" t="s">
        <v>20</v>
      </c>
      <c r="J1476" s="1" t="s">
        <v>25</v>
      </c>
      <c r="K1476" s="11" t="s">
        <v>25</v>
      </c>
      <c r="L1476" t="s">
        <v>25</v>
      </c>
      <c r="M1476" t="s">
        <v>25</v>
      </c>
      <c r="N1476" t="s">
        <v>25</v>
      </c>
      <c r="O1476" s="31" t="s">
        <v>25</v>
      </c>
      <c r="P1476" s="3" t="str">
        <f t="shared" si="23"/>
        <v>Na</v>
      </c>
      <c r="Q1476" s="37" t="s">
        <v>25</v>
      </c>
      <c r="R1476" t="str">
        <f t="shared" si="24"/>
        <v>Na</v>
      </c>
      <c r="S1476" s="13" t="s">
        <v>25</v>
      </c>
    </row>
    <row r="1477" spans="1:19">
      <c r="A1477" s="18" t="s">
        <v>1592</v>
      </c>
      <c r="B1477" s="1" t="s">
        <v>1631</v>
      </c>
      <c r="C1477" s="1" t="s">
        <v>1697</v>
      </c>
      <c r="D1477" s="1" t="s">
        <v>1698</v>
      </c>
      <c r="E1477" s="1" t="s">
        <v>25</v>
      </c>
      <c r="F1477">
        <v>372.10488888888898</v>
      </c>
      <c r="G1477">
        <v>372.10488888888898</v>
      </c>
      <c r="H1477">
        <v>12.52</v>
      </c>
      <c r="I1477" s="1" t="s">
        <v>20</v>
      </c>
      <c r="J1477" s="1" t="s">
        <v>25</v>
      </c>
      <c r="K1477" s="11" t="s">
        <v>25</v>
      </c>
      <c r="L1477">
        <v>-1.0268498581694701</v>
      </c>
      <c r="M1477" s="1" t="s">
        <v>23</v>
      </c>
      <c r="N1477" t="s">
        <v>230</v>
      </c>
      <c r="O1477" s="31">
        <v>196.339361607482</v>
      </c>
      <c r="P1477" s="3" t="str">
        <f t="shared" si="23"/>
        <v>ppm</v>
      </c>
      <c r="Q1477" s="37">
        <v>2.6651749086154398E-4</v>
      </c>
      <c r="R1477" s="1" t="s">
        <v>29</v>
      </c>
      <c r="S1477" s="13">
        <f t="shared" ref="S1477:S1538" si="25">IF(NOT(N1477="SW"),L1477-1.88,L1477)</f>
        <v>-1.0268498581694701</v>
      </c>
    </row>
    <row r="1478" spans="1:19">
      <c r="A1478" s="18" t="s">
        <v>1592</v>
      </c>
      <c r="B1478" s="1" t="s">
        <v>1632</v>
      </c>
      <c r="C1478" s="1" t="s">
        <v>1697</v>
      </c>
      <c r="D1478" s="1" t="s">
        <v>1698</v>
      </c>
      <c r="E1478" s="1" t="s">
        <v>25</v>
      </c>
      <c r="F1478">
        <v>372.10785185185199</v>
      </c>
      <c r="G1478">
        <v>372.10785185185199</v>
      </c>
      <c r="H1478">
        <v>12.42</v>
      </c>
      <c r="I1478" s="1" t="s">
        <v>20</v>
      </c>
      <c r="J1478" s="1" t="s">
        <v>25</v>
      </c>
      <c r="K1478" s="11" t="s">
        <v>25</v>
      </c>
      <c r="L1478" t="s">
        <v>25</v>
      </c>
      <c r="M1478" t="s">
        <v>25</v>
      </c>
      <c r="N1478" t="s">
        <v>25</v>
      </c>
      <c r="O1478" s="31">
        <v>226.19385807304499</v>
      </c>
      <c r="P1478" s="3" t="str">
        <f t="shared" si="23"/>
        <v>ppm</v>
      </c>
      <c r="Q1478" s="37">
        <v>3.8871693696074803E-4</v>
      </c>
      <c r="R1478" s="1" t="s">
        <v>29</v>
      </c>
      <c r="S1478" s="13" t="s">
        <v>25</v>
      </c>
    </row>
    <row r="1479" spans="1:19">
      <c r="A1479" s="18" t="s">
        <v>1592</v>
      </c>
      <c r="B1479" s="1" t="s">
        <v>1633</v>
      </c>
      <c r="C1479" s="1" t="s">
        <v>1697</v>
      </c>
      <c r="D1479" s="1" t="s">
        <v>1698</v>
      </c>
      <c r="E1479" s="1" t="s">
        <v>25</v>
      </c>
      <c r="F1479">
        <v>372.10844444444501</v>
      </c>
      <c r="G1479">
        <v>372.10844444444501</v>
      </c>
      <c r="H1479">
        <v>12.4</v>
      </c>
      <c r="I1479" s="1" t="s">
        <v>20</v>
      </c>
      <c r="J1479" s="1" t="s">
        <v>25</v>
      </c>
      <c r="K1479" s="11" t="s">
        <v>25</v>
      </c>
      <c r="L1479" t="s">
        <v>25</v>
      </c>
      <c r="M1479" t="s">
        <v>25</v>
      </c>
      <c r="N1479" t="s">
        <v>25</v>
      </c>
      <c r="O1479" s="31" t="s">
        <v>25</v>
      </c>
      <c r="P1479" s="3" t="str">
        <f t="shared" si="23"/>
        <v>Na</v>
      </c>
      <c r="Q1479" s="37" t="s">
        <v>25</v>
      </c>
      <c r="R1479" t="str">
        <f t="shared" si="24"/>
        <v>Na</v>
      </c>
      <c r="S1479" s="13" t="s">
        <v>25</v>
      </c>
    </row>
    <row r="1480" spans="1:19">
      <c r="A1480" s="18" t="s">
        <v>1592</v>
      </c>
      <c r="B1480" s="1" t="s">
        <v>1634</v>
      </c>
      <c r="C1480" s="1" t="s">
        <v>1697</v>
      </c>
      <c r="D1480" s="1" t="s">
        <v>1698</v>
      </c>
      <c r="E1480" s="1" t="s">
        <v>25</v>
      </c>
      <c r="F1480">
        <v>372.11437037037001</v>
      </c>
      <c r="G1480">
        <v>372.11437037037001</v>
      </c>
      <c r="H1480">
        <v>12.2</v>
      </c>
      <c r="I1480" s="1" t="s">
        <v>20</v>
      </c>
      <c r="J1480" s="1" t="s">
        <v>25</v>
      </c>
      <c r="K1480" s="11" t="s">
        <v>25</v>
      </c>
      <c r="L1480">
        <v>-1.0248139506784799</v>
      </c>
      <c r="M1480" s="1" t="s">
        <v>23</v>
      </c>
      <c r="N1480" t="s">
        <v>230</v>
      </c>
      <c r="O1480" s="31">
        <v>290.62347008006799</v>
      </c>
      <c r="P1480" s="3" t="str">
        <f t="shared" si="23"/>
        <v>ppm</v>
      </c>
      <c r="Q1480" s="37">
        <v>3.3898351159864599E-4</v>
      </c>
      <c r="R1480" s="1" t="s">
        <v>29</v>
      </c>
      <c r="S1480" s="13">
        <f t="shared" si="25"/>
        <v>-1.0248139506784799</v>
      </c>
    </row>
    <row r="1481" spans="1:19">
      <c r="A1481" s="18" t="s">
        <v>1592</v>
      </c>
      <c r="B1481" s="1" t="s">
        <v>1635</v>
      </c>
      <c r="C1481" s="1" t="s">
        <v>1697</v>
      </c>
      <c r="D1481" s="1" t="s">
        <v>1698</v>
      </c>
      <c r="E1481" s="1" t="s">
        <v>25</v>
      </c>
      <c r="F1481">
        <v>372.12029629629598</v>
      </c>
      <c r="G1481">
        <v>372.12029629629598</v>
      </c>
      <c r="H1481">
        <v>12</v>
      </c>
      <c r="I1481" s="1" t="s">
        <v>20</v>
      </c>
      <c r="J1481" s="1" t="s">
        <v>25</v>
      </c>
      <c r="K1481" s="11" t="s">
        <v>25</v>
      </c>
      <c r="L1481">
        <v>-1.08051600577419</v>
      </c>
      <c r="M1481" s="1" t="s">
        <v>23</v>
      </c>
      <c r="N1481" t="s">
        <v>230</v>
      </c>
      <c r="O1481" s="31">
        <v>290.88755845721801</v>
      </c>
      <c r="P1481" s="3" t="str">
        <f t="shared" si="23"/>
        <v>ppm</v>
      </c>
      <c r="Q1481" s="37">
        <v>3.6200653485042399E-4</v>
      </c>
      <c r="R1481" s="1" t="s">
        <v>29</v>
      </c>
      <c r="S1481" s="13">
        <f t="shared" si="25"/>
        <v>-1.08051600577419</v>
      </c>
    </row>
    <row r="1482" spans="1:19">
      <c r="A1482" s="18" t="s">
        <v>1592</v>
      </c>
      <c r="B1482" s="1" t="s">
        <v>1636</v>
      </c>
      <c r="C1482" s="1" t="s">
        <v>1697</v>
      </c>
      <c r="D1482" s="1" t="s">
        <v>1698</v>
      </c>
      <c r="E1482" s="1" t="s">
        <v>25</v>
      </c>
      <c r="F1482">
        <v>372.126222222222</v>
      </c>
      <c r="G1482">
        <v>372.126222222222</v>
      </c>
      <c r="H1482">
        <v>11.8</v>
      </c>
      <c r="I1482" s="1" t="s">
        <v>20</v>
      </c>
      <c r="J1482" s="1" t="s">
        <v>25</v>
      </c>
      <c r="K1482" s="11" t="s">
        <v>25</v>
      </c>
      <c r="L1482" t="s">
        <v>25</v>
      </c>
      <c r="M1482" t="s">
        <v>25</v>
      </c>
      <c r="N1482" t="s">
        <v>25</v>
      </c>
      <c r="O1482" s="31" t="s">
        <v>25</v>
      </c>
      <c r="P1482" s="3" t="str">
        <f t="shared" si="23"/>
        <v>Na</v>
      </c>
      <c r="Q1482" s="37" t="s">
        <v>25</v>
      </c>
      <c r="R1482" t="str">
        <f t="shared" si="24"/>
        <v>Na</v>
      </c>
      <c r="S1482" s="13" t="s">
        <v>25</v>
      </c>
    </row>
    <row r="1483" spans="1:19">
      <c r="A1483" s="18" t="s">
        <v>1592</v>
      </c>
      <c r="B1483" s="1" t="s">
        <v>1637</v>
      </c>
      <c r="C1483" s="1" t="s">
        <v>1697</v>
      </c>
      <c r="D1483" s="1" t="s">
        <v>1698</v>
      </c>
      <c r="E1483" s="1" t="s">
        <v>25</v>
      </c>
      <c r="F1483">
        <v>372.13214814814802</v>
      </c>
      <c r="G1483">
        <v>372.13214814814802</v>
      </c>
      <c r="H1483">
        <v>11.6</v>
      </c>
      <c r="I1483" s="1" t="s">
        <v>20</v>
      </c>
      <c r="J1483" s="1" t="s">
        <v>25</v>
      </c>
      <c r="K1483" s="11" t="s">
        <v>25</v>
      </c>
      <c r="L1483">
        <v>-1.05243563235767</v>
      </c>
      <c r="M1483" s="1" t="s">
        <v>23</v>
      </c>
      <c r="N1483" t="s">
        <v>230</v>
      </c>
      <c r="O1483" s="31">
        <v>296.95097536985799</v>
      </c>
      <c r="P1483" s="3" t="str">
        <f t="shared" si="23"/>
        <v>ppm</v>
      </c>
      <c r="Q1483" s="37">
        <v>3.5366210923396099E-4</v>
      </c>
      <c r="R1483" s="1" t="s">
        <v>29</v>
      </c>
      <c r="S1483" s="13">
        <f t="shared" si="25"/>
        <v>-1.05243563235767</v>
      </c>
    </row>
    <row r="1484" spans="1:19">
      <c r="A1484" s="18" t="s">
        <v>1592</v>
      </c>
      <c r="B1484" s="1" t="s">
        <v>1638</v>
      </c>
      <c r="C1484" s="1" t="s">
        <v>1697</v>
      </c>
      <c r="D1484" s="1" t="s">
        <v>1698</v>
      </c>
      <c r="E1484" s="1" t="s">
        <v>25</v>
      </c>
      <c r="F1484">
        <v>372.13362962962998</v>
      </c>
      <c r="G1484">
        <v>372.13362962962998</v>
      </c>
      <c r="H1484">
        <v>11.55</v>
      </c>
      <c r="I1484" s="1" t="s">
        <v>20</v>
      </c>
      <c r="J1484" s="1" t="s">
        <v>25</v>
      </c>
      <c r="K1484" s="11" t="s">
        <v>25</v>
      </c>
      <c r="L1484" t="s">
        <v>25</v>
      </c>
      <c r="M1484" t="s">
        <v>25</v>
      </c>
      <c r="N1484" t="s">
        <v>25</v>
      </c>
      <c r="O1484" s="31" t="s">
        <v>25</v>
      </c>
      <c r="P1484" s="3" t="str">
        <f t="shared" si="23"/>
        <v>Na</v>
      </c>
      <c r="Q1484" s="37" t="s">
        <v>25</v>
      </c>
      <c r="R1484" t="str">
        <f t="shared" si="24"/>
        <v>Na</v>
      </c>
      <c r="S1484" s="13" t="s">
        <v>25</v>
      </c>
    </row>
    <row r="1485" spans="1:19">
      <c r="A1485" s="18" t="s">
        <v>1592</v>
      </c>
      <c r="B1485" s="1" t="s">
        <v>1639</v>
      </c>
      <c r="C1485" s="1" t="s">
        <v>1697</v>
      </c>
      <c r="D1485" s="1" t="s">
        <v>1698</v>
      </c>
      <c r="E1485" s="1" t="s">
        <v>25</v>
      </c>
      <c r="F1485">
        <v>372.14340740740698</v>
      </c>
      <c r="G1485">
        <v>372.14340740740698</v>
      </c>
      <c r="H1485">
        <v>11.22</v>
      </c>
      <c r="I1485" s="1" t="s">
        <v>20</v>
      </c>
      <c r="J1485" s="1" t="s">
        <v>25</v>
      </c>
      <c r="K1485" s="11" t="s">
        <v>25</v>
      </c>
      <c r="L1485">
        <v>-1.1817467432715301</v>
      </c>
      <c r="M1485" s="1" t="s">
        <v>23</v>
      </c>
      <c r="N1485" t="s">
        <v>230</v>
      </c>
      <c r="O1485" s="31">
        <v>303.64821856662098</v>
      </c>
      <c r="P1485" s="3" t="str">
        <f t="shared" si="23"/>
        <v>ppm</v>
      </c>
      <c r="Q1485" s="37">
        <v>3.59475205902485E-4</v>
      </c>
      <c r="R1485" s="1" t="s">
        <v>29</v>
      </c>
      <c r="S1485" s="13">
        <f t="shared" si="25"/>
        <v>-1.1817467432715301</v>
      </c>
    </row>
    <row r="1486" spans="1:19">
      <c r="A1486" s="18" t="s">
        <v>1592</v>
      </c>
      <c r="B1486" s="1" t="s">
        <v>1640</v>
      </c>
      <c r="C1486" s="1" t="s">
        <v>1697</v>
      </c>
      <c r="D1486" s="1" t="s">
        <v>1698</v>
      </c>
      <c r="E1486" s="1" t="s">
        <v>25</v>
      </c>
      <c r="F1486">
        <v>372.14518518518503</v>
      </c>
      <c r="G1486">
        <v>372.14518518518503</v>
      </c>
      <c r="H1486">
        <v>11.16</v>
      </c>
      <c r="I1486" s="1" t="s">
        <v>20</v>
      </c>
      <c r="J1486" s="1" t="s">
        <v>25</v>
      </c>
      <c r="K1486" s="11" t="s">
        <v>25</v>
      </c>
      <c r="L1486" t="s">
        <v>25</v>
      </c>
      <c r="M1486" t="s">
        <v>25</v>
      </c>
      <c r="N1486" t="s">
        <v>25</v>
      </c>
      <c r="O1486" s="31" t="s">
        <v>25</v>
      </c>
      <c r="P1486" s="3" t="str">
        <f t="shared" si="23"/>
        <v>Na</v>
      </c>
      <c r="Q1486" s="37" t="s">
        <v>25</v>
      </c>
      <c r="R1486" t="str">
        <f t="shared" si="24"/>
        <v>Na</v>
      </c>
      <c r="S1486" s="13" t="s">
        <v>25</v>
      </c>
    </row>
    <row r="1487" spans="1:19">
      <c r="A1487" s="18" t="s">
        <v>1592</v>
      </c>
      <c r="B1487" s="1" t="s">
        <v>1641</v>
      </c>
      <c r="C1487" s="1" t="s">
        <v>1697</v>
      </c>
      <c r="D1487" s="1" t="s">
        <v>1698</v>
      </c>
      <c r="E1487" s="1" t="s">
        <v>25</v>
      </c>
      <c r="F1487">
        <v>372.14666666666699</v>
      </c>
      <c r="G1487">
        <v>372.14666666666699</v>
      </c>
      <c r="H1487">
        <v>11.11</v>
      </c>
      <c r="I1487" s="1" t="s">
        <v>20</v>
      </c>
      <c r="J1487" s="1" t="s">
        <v>25</v>
      </c>
      <c r="K1487" s="11" t="s">
        <v>25</v>
      </c>
      <c r="L1487">
        <v>-1.22822489456982</v>
      </c>
      <c r="M1487" s="1" t="s">
        <v>23</v>
      </c>
      <c r="N1487" t="s">
        <v>230</v>
      </c>
      <c r="O1487" s="31">
        <v>294.26872413168599</v>
      </c>
      <c r="P1487" s="3" t="str">
        <f t="shared" si="23"/>
        <v>ppm</v>
      </c>
      <c r="Q1487" s="37">
        <v>3.6218832206164601E-4</v>
      </c>
      <c r="R1487" s="1" t="s">
        <v>29</v>
      </c>
      <c r="S1487" s="13">
        <f t="shared" si="25"/>
        <v>-1.22822489456982</v>
      </c>
    </row>
    <row r="1488" spans="1:19">
      <c r="A1488" s="18" t="s">
        <v>1592</v>
      </c>
      <c r="B1488" s="1" t="s">
        <v>1642</v>
      </c>
      <c r="C1488" s="1" t="s">
        <v>1697</v>
      </c>
      <c r="D1488" s="1" t="s">
        <v>1698</v>
      </c>
      <c r="E1488" s="1" t="s">
        <v>25</v>
      </c>
      <c r="F1488">
        <v>372.15051851851899</v>
      </c>
      <c r="G1488">
        <v>372.15051851851899</v>
      </c>
      <c r="H1488">
        <v>10.98</v>
      </c>
      <c r="I1488" s="1" t="s">
        <v>20</v>
      </c>
      <c r="J1488" s="1" t="s">
        <v>25</v>
      </c>
      <c r="K1488" s="11" t="s">
        <v>25</v>
      </c>
      <c r="L1488">
        <v>-1.1416317336550501</v>
      </c>
      <c r="M1488" s="1" t="s">
        <v>23</v>
      </c>
      <c r="N1488" t="s">
        <v>230</v>
      </c>
      <c r="O1488" s="31">
        <v>287.442846271066</v>
      </c>
      <c r="P1488" s="3" t="str">
        <f t="shared" si="23"/>
        <v>ppm</v>
      </c>
      <c r="Q1488" s="37">
        <v>3.46828896599783E-4</v>
      </c>
      <c r="R1488" s="1" t="s">
        <v>29</v>
      </c>
      <c r="S1488" s="13">
        <f t="shared" si="25"/>
        <v>-1.1416317336550501</v>
      </c>
    </row>
    <row r="1489" spans="1:19">
      <c r="A1489" s="18" t="s">
        <v>1592</v>
      </c>
      <c r="B1489" s="1" t="s">
        <v>1643</v>
      </c>
      <c r="C1489" s="1" t="s">
        <v>1697</v>
      </c>
      <c r="D1489" s="1" t="s">
        <v>1698</v>
      </c>
      <c r="E1489" s="1" t="s">
        <v>25</v>
      </c>
      <c r="F1489">
        <v>372.15437037036997</v>
      </c>
      <c r="G1489">
        <v>372.15437037036997</v>
      </c>
      <c r="H1489">
        <v>10.85</v>
      </c>
      <c r="I1489" s="1" t="s">
        <v>20</v>
      </c>
      <c r="J1489" s="1" t="s">
        <v>25</v>
      </c>
      <c r="K1489" s="11" t="s">
        <v>25</v>
      </c>
      <c r="L1489" t="s">
        <v>25</v>
      </c>
      <c r="M1489" t="s">
        <v>25</v>
      </c>
      <c r="N1489" t="s">
        <v>25</v>
      </c>
      <c r="O1489" s="31" t="s">
        <v>25</v>
      </c>
      <c r="P1489" s="3" t="str">
        <f t="shared" si="23"/>
        <v>Na</v>
      </c>
      <c r="Q1489" s="37" t="s">
        <v>25</v>
      </c>
      <c r="R1489" t="str">
        <f t="shared" si="24"/>
        <v>Na</v>
      </c>
      <c r="S1489" s="13" t="s">
        <v>25</v>
      </c>
    </row>
    <row r="1490" spans="1:19">
      <c r="A1490" s="18" t="s">
        <v>1592</v>
      </c>
      <c r="B1490" s="1" t="s">
        <v>1644</v>
      </c>
      <c r="C1490" s="1" t="s">
        <v>1697</v>
      </c>
      <c r="D1490" s="1" t="s">
        <v>1698</v>
      </c>
      <c r="E1490" s="1" t="s">
        <v>25</v>
      </c>
      <c r="F1490">
        <v>372.15674074074099</v>
      </c>
      <c r="G1490">
        <v>372.15674074074099</v>
      </c>
      <c r="H1490">
        <v>10.77</v>
      </c>
      <c r="I1490" s="1" t="s">
        <v>20</v>
      </c>
      <c r="J1490" s="1" t="s">
        <v>25</v>
      </c>
      <c r="K1490" s="11" t="s">
        <v>25</v>
      </c>
      <c r="L1490">
        <v>-1.14229514627297</v>
      </c>
      <c r="M1490" s="1" t="s">
        <v>23</v>
      </c>
      <c r="N1490" t="s">
        <v>230</v>
      </c>
      <c r="O1490" s="31">
        <v>323.74817152610598</v>
      </c>
      <c r="P1490" s="3" t="str">
        <f t="shared" si="23"/>
        <v>ppm</v>
      </c>
      <c r="Q1490" s="37">
        <v>3.9664667375563203E-4</v>
      </c>
      <c r="R1490" s="1" t="s">
        <v>29</v>
      </c>
      <c r="S1490" s="13">
        <f t="shared" si="25"/>
        <v>-1.14229514627297</v>
      </c>
    </row>
    <row r="1491" spans="1:19">
      <c r="A1491" s="18" t="s">
        <v>1592</v>
      </c>
      <c r="B1491" s="1" t="s">
        <v>1645</v>
      </c>
      <c r="C1491" s="1" t="s">
        <v>1697</v>
      </c>
      <c r="D1491" s="1" t="s">
        <v>1698</v>
      </c>
      <c r="E1491" s="1" t="s">
        <v>25</v>
      </c>
      <c r="F1491">
        <v>372.16118518518499</v>
      </c>
      <c r="G1491">
        <v>372.16118518518499</v>
      </c>
      <c r="H1491">
        <v>10.62</v>
      </c>
      <c r="I1491" s="1" t="s">
        <v>20</v>
      </c>
      <c r="J1491" s="1" t="s">
        <v>25</v>
      </c>
      <c r="K1491" s="11" t="s">
        <v>25</v>
      </c>
      <c r="L1491">
        <v>-1.12499790303624</v>
      </c>
      <c r="M1491" s="1" t="s">
        <v>23</v>
      </c>
      <c r="N1491" t="s">
        <v>230</v>
      </c>
      <c r="O1491" s="31">
        <v>281.66887706070298</v>
      </c>
      <c r="P1491" s="3" t="str">
        <f t="shared" si="23"/>
        <v>ppm</v>
      </c>
      <c r="Q1491" s="37">
        <v>3.41220950990889E-4</v>
      </c>
      <c r="R1491" s="1" t="s">
        <v>29</v>
      </c>
      <c r="S1491" s="13">
        <f t="shared" si="25"/>
        <v>-1.12499790303624</v>
      </c>
    </row>
    <row r="1492" spans="1:19">
      <c r="A1492" s="18" t="s">
        <v>1592</v>
      </c>
      <c r="B1492" s="1" t="s">
        <v>1646</v>
      </c>
      <c r="C1492" s="1" t="s">
        <v>1697</v>
      </c>
      <c r="D1492" s="1" t="s">
        <v>1698</v>
      </c>
      <c r="E1492" s="1" t="s">
        <v>25</v>
      </c>
      <c r="F1492">
        <v>372.16562962963002</v>
      </c>
      <c r="G1492">
        <v>372.16562962963002</v>
      </c>
      <c r="H1492">
        <v>10.47</v>
      </c>
      <c r="I1492" s="1" t="s">
        <v>20</v>
      </c>
      <c r="J1492" s="1" t="s">
        <v>25</v>
      </c>
      <c r="K1492" s="11" t="s">
        <v>25</v>
      </c>
      <c r="L1492" t="s">
        <v>25</v>
      </c>
      <c r="M1492" t="s">
        <v>25</v>
      </c>
      <c r="N1492" t="s">
        <v>25</v>
      </c>
      <c r="O1492" s="31" t="s">
        <v>25</v>
      </c>
      <c r="P1492" s="3" t="str">
        <f t="shared" si="23"/>
        <v>Na</v>
      </c>
      <c r="Q1492" s="37" t="s">
        <v>25</v>
      </c>
      <c r="R1492" t="str">
        <f t="shared" si="24"/>
        <v>Na</v>
      </c>
      <c r="S1492" s="13" t="s">
        <v>25</v>
      </c>
    </row>
    <row r="1493" spans="1:19">
      <c r="A1493" s="18" t="s">
        <v>1592</v>
      </c>
      <c r="B1493" s="1" t="s">
        <v>1647</v>
      </c>
      <c r="C1493" s="1" t="s">
        <v>1697</v>
      </c>
      <c r="D1493" s="1" t="s">
        <v>1698</v>
      </c>
      <c r="E1493" s="1" t="s">
        <v>25</v>
      </c>
      <c r="F1493">
        <v>372.16651851851901</v>
      </c>
      <c r="G1493">
        <v>372.16651851851901</v>
      </c>
      <c r="H1493">
        <v>10.44</v>
      </c>
      <c r="I1493" s="1" t="s">
        <v>20</v>
      </c>
      <c r="J1493" s="1" t="s">
        <v>25</v>
      </c>
      <c r="K1493" s="11" t="s">
        <v>25</v>
      </c>
      <c r="L1493">
        <v>-1.1217154233706601</v>
      </c>
      <c r="M1493" s="1" t="s">
        <v>23</v>
      </c>
      <c r="N1493" t="s">
        <v>230</v>
      </c>
      <c r="O1493" s="31">
        <v>329.077857163386</v>
      </c>
      <c r="P1493" s="3" t="str">
        <f t="shared" si="23"/>
        <v>ppm</v>
      </c>
      <c r="Q1493" s="37">
        <v>5.0970224215787004E-4</v>
      </c>
      <c r="R1493" s="1" t="s">
        <v>29</v>
      </c>
      <c r="S1493" s="13">
        <f t="shared" si="25"/>
        <v>-1.1217154233706601</v>
      </c>
    </row>
    <row r="1494" spans="1:19">
      <c r="A1494" s="18" t="s">
        <v>1592</v>
      </c>
      <c r="B1494" s="1" t="s">
        <v>1648</v>
      </c>
      <c r="C1494" s="1" t="s">
        <v>1697</v>
      </c>
      <c r="D1494" s="1" t="s">
        <v>1698</v>
      </c>
      <c r="E1494" s="1" t="s">
        <v>25</v>
      </c>
      <c r="F1494">
        <v>372.16948148148202</v>
      </c>
      <c r="G1494">
        <v>372.16948148148202</v>
      </c>
      <c r="H1494">
        <v>10.34</v>
      </c>
      <c r="I1494" s="1" t="s">
        <v>20</v>
      </c>
      <c r="J1494" s="1" t="s">
        <v>25</v>
      </c>
      <c r="K1494" s="11" t="s">
        <v>25</v>
      </c>
      <c r="L1494">
        <v>-1.0770598914479801</v>
      </c>
      <c r="M1494" s="1" t="s">
        <v>23</v>
      </c>
      <c r="N1494" t="s">
        <v>230</v>
      </c>
      <c r="O1494" s="31">
        <v>277.85553023761901</v>
      </c>
      <c r="P1494" s="3" t="str">
        <f t="shared" si="23"/>
        <v>ppm</v>
      </c>
      <c r="Q1494" s="37">
        <v>3.2734006575001401E-4</v>
      </c>
      <c r="R1494" s="1" t="s">
        <v>29</v>
      </c>
      <c r="S1494" s="13">
        <f t="shared" si="25"/>
        <v>-1.0770598914479801</v>
      </c>
    </row>
    <row r="1495" spans="1:19">
      <c r="A1495" s="18" t="s">
        <v>1592</v>
      </c>
      <c r="B1495" s="1" t="s">
        <v>1649</v>
      </c>
      <c r="C1495" s="1" t="s">
        <v>1697</v>
      </c>
      <c r="D1495" s="1" t="s">
        <v>1698</v>
      </c>
      <c r="E1495" s="1" t="s">
        <v>25</v>
      </c>
      <c r="F1495">
        <v>372.17837037036998</v>
      </c>
      <c r="G1495">
        <v>372.17837037036998</v>
      </c>
      <c r="H1495">
        <v>10.039999999999999</v>
      </c>
      <c r="I1495" s="1" t="s">
        <v>20</v>
      </c>
      <c r="J1495" s="1" t="s">
        <v>25</v>
      </c>
      <c r="K1495" s="11" t="s">
        <v>25</v>
      </c>
      <c r="L1495">
        <v>-1.0392066749006601</v>
      </c>
      <c r="M1495" s="1" t="s">
        <v>23</v>
      </c>
      <c r="N1495" t="s">
        <v>230</v>
      </c>
      <c r="O1495" s="31">
        <v>231.231139682069</v>
      </c>
      <c r="P1495" s="3" t="str">
        <f t="shared" si="23"/>
        <v>ppm</v>
      </c>
      <c r="Q1495" s="37">
        <v>2.8525471517572802E-4</v>
      </c>
      <c r="R1495" s="1" t="s">
        <v>29</v>
      </c>
      <c r="S1495" s="13">
        <f t="shared" si="25"/>
        <v>-1.0392066749006601</v>
      </c>
    </row>
    <row r="1496" spans="1:19">
      <c r="A1496" s="18" t="s">
        <v>1592</v>
      </c>
      <c r="B1496" s="1" t="s">
        <v>1650</v>
      </c>
      <c r="C1496" s="1" t="s">
        <v>1697</v>
      </c>
      <c r="D1496" s="1" t="s">
        <v>1698</v>
      </c>
      <c r="E1496" s="1" t="s">
        <v>25</v>
      </c>
      <c r="F1496">
        <v>372.18014814814802</v>
      </c>
      <c r="G1496">
        <v>372.18014814814802</v>
      </c>
      <c r="H1496">
        <v>9.98</v>
      </c>
      <c r="I1496" s="1" t="s">
        <v>20</v>
      </c>
      <c r="J1496" s="1" t="s">
        <v>25</v>
      </c>
      <c r="K1496" s="11" t="s">
        <v>25</v>
      </c>
      <c r="L1496" t="s">
        <v>25</v>
      </c>
      <c r="M1496" t="s">
        <v>25</v>
      </c>
      <c r="N1496" t="s">
        <v>25</v>
      </c>
      <c r="O1496" s="31" t="s">
        <v>25</v>
      </c>
      <c r="P1496" s="3" t="str">
        <f t="shared" si="23"/>
        <v>Na</v>
      </c>
      <c r="Q1496" s="37" t="s">
        <v>25</v>
      </c>
      <c r="R1496" t="str">
        <f t="shared" si="24"/>
        <v>Na</v>
      </c>
      <c r="S1496" s="13" t="s">
        <v>25</v>
      </c>
    </row>
    <row r="1497" spans="1:19">
      <c r="A1497" s="18" t="s">
        <v>1592</v>
      </c>
      <c r="B1497" s="1" t="s">
        <v>1651</v>
      </c>
      <c r="C1497" s="1" t="s">
        <v>1697</v>
      </c>
      <c r="D1497" s="1" t="s">
        <v>1698</v>
      </c>
      <c r="E1497" s="1" t="s">
        <v>25</v>
      </c>
      <c r="F1497">
        <v>372.18014814814802</v>
      </c>
      <c r="G1497">
        <v>372.18014814814802</v>
      </c>
      <c r="H1497">
        <v>9.98</v>
      </c>
      <c r="I1497" s="1" t="s">
        <v>20</v>
      </c>
      <c r="J1497" s="1" t="s">
        <v>25</v>
      </c>
      <c r="K1497" s="11" t="s">
        <v>25</v>
      </c>
      <c r="L1497">
        <v>-1.0842980462659499</v>
      </c>
      <c r="M1497" s="1" t="s">
        <v>23</v>
      </c>
      <c r="N1497" t="s">
        <v>230</v>
      </c>
      <c r="O1497" s="31">
        <v>267.183932473737</v>
      </c>
      <c r="P1497" s="3" t="str">
        <f t="shared" si="23"/>
        <v>ppm</v>
      </c>
      <c r="Q1497" s="37">
        <v>3.2208050745818803E-4</v>
      </c>
      <c r="R1497" s="1" t="s">
        <v>29</v>
      </c>
      <c r="S1497" s="13">
        <f t="shared" si="25"/>
        <v>-1.0842980462659499</v>
      </c>
    </row>
    <row r="1498" spans="1:19">
      <c r="A1498" s="18" t="s">
        <v>1592</v>
      </c>
      <c r="B1498" s="1" t="s">
        <v>1652</v>
      </c>
      <c r="C1498" s="1" t="s">
        <v>1697</v>
      </c>
      <c r="D1498" s="1" t="s">
        <v>1698</v>
      </c>
      <c r="E1498" s="1" t="s">
        <v>25</v>
      </c>
      <c r="F1498">
        <v>372.19200000000001</v>
      </c>
      <c r="G1498">
        <v>372.19200000000001</v>
      </c>
      <c r="H1498">
        <v>9.58</v>
      </c>
      <c r="I1498" s="1" t="s">
        <v>20</v>
      </c>
      <c r="J1498" s="1" t="s">
        <v>25</v>
      </c>
      <c r="K1498" s="11" t="s">
        <v>25</v>
      </c>
      <c r="L1498">
        <v>-1.15155197040543</v>
      </c>
      <c r="M1498" s="1" t="s">
        <v>23</v>
      </c>
      <c r="N1498" t="s">
        <v>230</v>
      </c>
      <c r="O1498" s="31">
        <v>306.34228143165598</v>
      </c>
      <c r="P1498" s="3" t="str">
        <f t="shared" si="23"/>
        <v>ppm</v>
      </c>
      <c r="Q1498" s="37">
        <v>4.0407561828907098E-4</v>
      </c>
      <c r="R1498" s="1" t="s">
        <v>29</v>
      </c>
      <c r="S1498" s="13">
        <f t="shared" si="25"/>
        <v>-1.15155197040543</v>
      </c>
    </row>
    <row r="1499" spans="1:19">
      <c r="A1499" s="18" t="s">
        <v>1592</v>
      </c>
      <c r="B1499" s="1" t="s">
        <v>1653</v>
      </c>
      <c r="C1499" s="1" t="s">
        <v>1697</v>
      </c>
      <c r="D1499" s="1" t="s">
        <v>1698</v>
      </c>
      <c r="E1499" s="1" t="s">
        <v>25</v>
      </c>
      <c r="F1499">
        <v>372.2</v>
      </c>
      <c r="G1499">
        <v>372.2</v>
      </c>
      <c r="H1499">
        <v>9.31</v>
      </c>
      <c r="I1499" s="1" t="s">
        <v>20</v>
      </c>
      <c r="J1499" s="1" t="s">
        <v>25</v>
      </c>
      <c r="K1499" s="11" t="s">
        <v>25</v>
      </c>
      <c r="L1499" t="s">
        <v>25</v>
      </c>
      <c r="M1499" t="s">
        <v>25</v>
      </c>
      <c r="N1499" t="s">
        <v>25</v>
      </c>
      <c r="O1499" s="31">
        <v>274.559338695897</v>
      </c>
      <c r="P1499" s="3" t="str">
        <f t="shared" si="23"/>
        <v>ppm</v>
      </c>
      <c r="Q1499" s="37">
        <v>3.8133570614573299E-4</v>
      </c>
      <c r="R1499" s="1" t="s">
        <v>29</v>
      </c>
      <c r="S1499" s="13" t="s">
        <v>25</v>
      </c>
    </row>
    <row r="1500" spans="1:19">
      <c r="A1500" s="18" t="s">
        <v>1592</v>
      </c>
      <c r="B1500" s="1" t="s">
        <v>1654</v>
      </c>
      <c r="C1500" s="1" t="s">
        <v>1697</v>
      </c>
      <c r="D1500" s="1" t="s">
        <v>1698</v>
      </c>
      <c r="E1500" s="1" t="s">
        <v>25</v>
      </c>
      <c r="F1500">
        <v>372.21451851851901</v>
      </c>
      <c r="G1500">
        <v>372.21451851851901</v>
      </c>
      <c r="H1500">
        <v>8.82</v>
      </c>
      <c r="I1500" s="1" t="s">
        <v>20</v>
      </c>
      <c r="J1500" s="1" t="s">
        <v>25</v>
      </c>
      <c r="K1500" s="11" t="s">
        <v>25</v>
      </c>
      <c r="L1500">
        <v>-1.25141096279515</v>
      </c>
      <c r="M1500" s="1" t="s">
        <v>23</v>
      </c>
      <c r="N1500" t="s">
        <v>230</v>
      </c>
      <c r="O1500" s="31">
        <v>345.27808542421297</v>
      </c>
      <c r="P1500" s="3" t="str">
        <f t="shared" si="23"/>
        <v>ppm</v>
      </c>
      <c r="Q1500" s="37">
        <v>4.0722799289609702E-4</v>
      </c>
      <c r="R1500" s="1" t="s">
        <v>29</v>
      </c>
      <c r="S1500" s="13">
        <f t="shared" si="25"/>
        <v>-1.25141096279515</v>
      </c>
    </row>
    <row r="1501" spans="1:19">
      <c r="A1501" s="18" t="s">
        <v>1592</v>
      </c>
      <c r="B1501" s="1" t="s">
        <v>1655</v>
      </c>
      <c r="C1501" s="1" t="s">
        <v>1697</v>
      </c>
      <c r="D1501" s="1" t="s">
        <v>1698</v>
      </c>
      <c r="E1501" s="1" t="s">
        <v>25</v>
      </c>
      <c r="F1501">
        <v>372.22162962963</v>
      </c>
      <c r="G1501">
        <v>372.22162962963</v>
      </c>
      <c r="H1501">
        <v>8.58</v>
      </c>
      <c r="I1501" s="1" t="s">
        <v>20</v>
      </c>
      <c r="J1501" s="1" t="s">
        <v>25</v>
      </c>
      <c r="K1501" s="11" t="s">
        <v>25</v>
      </c>
      <c r="L1501" t="s">
        <v>25</v>
      </c>
      <c r="M1501" t="s">
        <v>25</v>
      </c>
      <c r="N1501" t="s">
        <v>25</v>
      </c>
      <c r="O1501" s="31" t="s">
        <v>25</v>
      </c>
      <c r="P1501" s="3" t="str">
        <f t="shared" si="23"/>
        <v>Na</v>
      </c>
      <c r="Q1501" s="37" t="s">
        <v>25</v>
      </c>
      <c r="R1501" t="str">
        <f t="shared" si="24"/>
        <v>Na</v>
      </c>
      <c r="S1501" s="13" t="s">
        <v>25</v>
      </c>
    </row>
    <row r="1502" spans="1:19">
      <c r="A1502" s="18" t="s">
        <v>1592</v>
      </c>
      <c r="B1502" s="1" t="s">
        <v>1656</v>
      </c>
      <c r="C1502" s="1" t="s">
        <v>1697</v>
      </c>
      <c r="D1502" s="1" t="s">
        <v>1698</v>
      </c>
      <c r="E1502" s="1" t="s">
        <v>25</v>
      </c>
      <c r="F1502">
        <v>372.23051851851801</v>
      </c>
      <c r="G1502">
        <v>372.23051851851801</v>
      </c>
      <c r="H1502">
        <v>8.2799999999999994</v>
      </c>
      <c r="I1502" s="1" t="s">
        <v>20</v>
      </c>
      <c r="J1502" s="1" t="s">
        <v>25</v>
      </c>
      <c r="K1502" s="11" t="s">
        <v>25</v>
      </c>
      <c r="L1502">
        <v>-1.00573027237795</v>
      </c>
      <c r="M1502" s="1" t="s">
        <v>23</v>
      </c>
      <c r="N1502" t="s">
        <v>230</v>
      </c>
      <c r="O1502" s="31">
        <v>203.54253236712901</v>
      </c>
      <c r="P1502" s="3" t="str">
        <f t="shared" si="23"/>
        <v>ppm</v>
      </c>
      <c r="Q1502" s="37">
        <v>2.6800377714568201E-4</v>
      </c>
      <c r="R1502" s="1" t="s">
        <v>29</v>
      </c>
      <c r="S1502" s="13">
        <f t="shared" si="25"/>
        <v>-1.00573027237795</v>
      </c>
    </row>
    <row r="1503" spans="1:19">
      <c r="A1503" s="18" t="s">
        <v>1592</v>
      </c>
      <c r="B1503" s="1" t="s">
        <v>1657</v>
      </c>
      <c r="C1503" s="1" t="s">
        <v>1697</v>
      </c>
      <c r="D1503" s="1" t="s">
        <v>1698</v>
      </c>
      <c r="E1503" s="1" t="s">
        <v>25</v>
      </c>
      <c r="F1503">
        <v>372.23940740740699</v>
      </c>
      <c r="G1503">
        <v>372.23940740740699</v>
      </c>
      <c r="H1503">
        <v>7.98</v>
      </c>
      <c r="I1503" s="1" t="s">
        <v>20</v>
      </c>
      <c r="J1503" s="1" t="s">
        <v>25</v>
      </c>
      <c r="K1503" s="11" t="s">
        <v>25</v>
      </c>
      <c r="L1503" t="s">
        <v>25</v>
      </c>
      <c r="M1503" t="s">
        <v>25</v>
      </c>
      <c r="N1503" t="s">
        <v>25</v>
      </c>
      <c r="O1503" s="31" t="s">
        <v>25</v>
      </c>
      <c r="P1503" s="3" t="str">
        <f t="shared" si="23"/>
        <v>Na</v>
      </c>
      <c r="Q1503" s="37" t="s">
        <v>25</v>
      </c>
      <c r="R1503" t="str">
        <f t="shared" si="24"/>
        <v>Na</v>
      </c>
      <c r="S1503" s="13" t="s">
        <v>25</v>
      </c>
    </row>
    <row r="1504" spans="1:19">
      <c r="A1504" s="18" t="s">
        <v>1592</v>
      </c>
      <c r="B1504" s="1" t="s">
        <v>1658</v>
      </c>
      <c r="C1504" s="1" t="s">
        <v>1697</v>
      </c>
      <c r="D1504" s="1" t="s">
        <v>1698</v>
      </c>
      <c r="E1504" s="1" t="s">
        <v>25</v>
      </c>
      <c r="F1504">
        <v>372.24385185185201</v>
      </c>
      <c r="G1504">
        <v>372.24385185185201</v>
      </c>
      <c r="H1504">
        <v>7.83</v>
      </c>
      <c r="I1504" s="1" t="s">
        <v>20</v>
      </c>
      <c r="J1504" s="1" t="s">
        <v>25</v>
      </c>
      <c r="K1504" s="11" t="s">
        <v>25</v>
      </c>
      <c r="L1504">
        <v>-0.97093705831583199</v>
      </c>
      <c r="M1504" s="1" t="s">
        <v>23</v>
      </c>
      <c r="N1504" t="s">
        <v>230</v>
      </c>
      <c r="O1504" s="31">
        <v>180.02909694425</v>
      </c>
      <c r="P1504" s="3" t="str">
        <f t="shared" ref="P1504:P1542" si="26">IF(ISNUMBER(SEARCH("Na", O1504)), "Na", "ppm")</f>
        <v>ppm</v>
      </c>
      <c r="Q1504" s="37">
        <v>2.3494833810420399E-4</v>
      </c>
      <c r="R1504" s="1" t="s">
        <v>29</v>
      </c>
      <c r="S1504" s="13">
        <f t="shared" si="25"/>
        <v>-0.97093705831583199</v>
      </c>
    </row>
    <row r="1505" spans="1:19">
      <c r="A1505" s="18" t="s">
        <v>1592</v>
      </c>
      <c r="B1505" s="1" t="s">
        <v>1659</v>
      </c>
      <c r="C1505" s="1" t="s">
        <v>1697</v>
      </c>
      <c r="D1505" s="1" t="s">
        <v>1698</v>
      </c>
      <c r="E1505" s="1" t="s">
        <v>25</v>
      </c>
      <c r="F1505">
        <v>372.24829629629602</v>
      </c>
      <c r="G1505">
        <v>372.24829629629602</v>
      </c>
      <c r="H1505">
        <v>7.68</v>
      </c>
      <c r="I1505" s="1" t="s">
        <v>20</v>
      </c>
      <c r="J1505" s="1" t="s">
        <v>25</v>
      </c>
      <c r="K1505" s="11" t="s">
        <v>25</v>
      </c>
      <c r="L1505" t="s">
        <v>25</v>
      </c>
      <c r="M1505" t="s">
        <v>25</v>
      </c>
      <c r="N1505" t="s">
        <v>25</v>
      </c>
      <c r="O1505" s="31" t="s">
        <v>25</v>
      </c>
      <c r="P1505" s="3" t="str">
        <f t="shared" si="26"/>
        <v>Na</v>
      </c>
      <c r="Q1505" s="37" t="s">
        <v>25</v>
      </c>
      <c r="R1505" t="str">
        <f t="shared" ref="R1505:R1541" si="27">IF(ISNUMBER(SEARCH("Na", Q1505)), "Na", "")</f>
        <v>Na</v>
      </c>
      <c r="S1505" s="13" t="s">
        <v>25</v>
      </c>
    </row>
    <row r="1506" spans="1:19">
      <c r="A1506" s="18" t="s">
        <v>1592</v>
      </c>
      <c r="B1506" s="1" t="s">
        <v>1660</v>
      </c>
      <c r="C1506" s="1" t="s">
        <v>1697</v>
      </c>
      <c r="D1506" s="1" t="s">
        <v>1698</v>
      </c>
      <c r="E1506" s="1" t="s">
        <v>25</v>
      </c>
      <c r="F1506">
        <v>372.25866666666701</v>
      </c>
      <c r="G1506">
        <v>372.25866666666701</v>
      </c>
      <c r="H1506">
        <v>7.33</v>
      </c>
      <c r="I1506" s="1" t="s">
        <v>20</v>
      </c>
      <c r="J1506" s="1" t="s">
        <v>25</v>
      </c>
      <c r="K1506" s="11" t="s">
        <v>25</v>
      </c>
      <c r="L1506">
        <v>-0.96921657263833205</v>
      </c>
      <c r="M1506" s="1" t="s">
        <v>23</v>
      </c>
      <c r="N1506" t="s">
        <v>230</v>
      </c>
      <c r="O1506" s="31">
        <v>162.69892799900299</v>
      </c>
      <c r="P1506" s="3" t="str">
        <f t="shared" si="26"/>
        <v>ppm</v>
      </c>
      <c r="Q1506" s="37">
        <v>2.16175352030949E-4</v>
      </c>
      <c r="R1506" s="1" t="s">
        <v>29</v>
      </c>
      <c r="S1506" s="13">
        <f t="shared" si="25"/>
        <v>-0.96921657263833205</v>
      </c>
    </row>
    <row r="1507" spans="1:19">
      <c r="A1507" s="18" t="s">
        <v>1592</v>
      </c>
      <c r="B1507" s="1" t="s">
        <v>1661</v>
      </c>
      <c r="C1507" s="1" t="s">
        <v>1697</v>
      </c>
      <c r="D1507" s="1" t="s">
        <v>1698</v>
      </c>
      <c r="E1507" s="1" t="s">
        <v>25</v>
      </c>
      <c r="F1507">
        <v>372.26903703703698</v>
      </c>
      <c r="G1507">
        <v>372.26903703703698</v>
      </c>
      <c r="H1507">
        <v>6.98</v>
      </c>
      <c r="I1507" s="1" t="s">
        <v>20</v>
      </c>
      <c r="J1507" s="1" t="s">
        <v>25</v>
      </c>
      <c r="K1507" s="11" t="s">
        <v>25</v>
      </c>
      <c r="L1507" t="s">
        <v>25</v>
      </c>
      <c r="M1507" t="s">
        <v>25</v>
      </c>
      <c r="N1507" t="s">
        <v>25</v>
      </c>
      <c r="O1507" s="31" t="s">
        <v>25</v>
      </c>
      <c r="P1507" s="3" t="str">
        <f t="shared" si="26"/>
        <v>Na</v>
      </c>
      <c r="Q1507" s="37" t="s">
        <v>25</v>
      </c>
      <c r="R1507" t="str">
        <f t="shared" si="27"/>
        <v>Na</v>
      </c>
      <c r="S1507" s="13" t="s">
        <v>25</v>
      </c>
    </row>
    <row r="1508" spans="1:19">
      <c r="A1508" s="18" t="s">
        <v>1592</v>
      </c>
      <c r="B1508" s="1" t="s">
        <v>1662</v>
      </c>
      <c r="C1508" s="1" t="s">
        <v>1697</v>
      </c>
      <c r="D1508" s="1" t="s">
        <v>1698</v>
      </c>
      <c r="E1508" s="1" t="s">
        <v>25</v>
      </c>
      <c r="F1508">
        <v>372.27851851851801</v>
      </c>
      <c r="G1508">
        <v>372.27851851851801</v>
      </c>
      <c r="H1508">
        <v>6.66</v>
      </c>
      <c r="I1508" s="1" t="s">
        <v>20</v>
      </c>
      <c r="J1508" s="1" t="s">
        <v>25</v>
      </c>
      <c r="K1508" s="11" t="s">
        <v>25</v>
      </c>
      <c r="L1508">
        <v>-0.96293928931986394</v>
      </c>
      <c r="M1508" s="1" t="s">
        <v>23</v>
      </c>
      <c r="N1508" t="s">
        <v>230</v>
      </c>
      <c r="O1508" s="31">
        <v>226.43786977005701</v>
      </c>
      <c r="P1508" s="3" t="str">
        <f t="shared" si="26"/>
        <v>ppm</v>
      </c>
      <c r="Q1508" s="37">
        <v>2.8439057483837003E-4</v>
      </c>
      <c r="R1508" s="1" t="s">
        <v>29</v>
      </c>
      <c r="S1508" s="13">
        <f t="shared" si="25"/>
        <v>-0.96293928931986394</v>
      </c>
    </row>
    <row r="1509" spans="1:19">
      <c r="A1509" s="18" t="s">
        <v>1592</v>
      </c>
      <c r="B1509" s="1" t="s">
        <v>1663</v>
      </c>
      <c r="C1509" s="1" t="s">
        <v>1697</v>
      </c>
      <c r="D1509" s="1" t="s">
        <v>1698</v>
      </c>
      <c r="E1509" s="1" t="s">
        <v>25</v>
      </c>
      <c r="F1509">
        <v>372.28888888888901</v>
      </c>
      <c r="G1509">
        <v>372.28888888888901</v>
      </c>
      <c r="H1509">
        <v>6.31</v>
      </c>
      <c r="I1509" s="1" t="s">
        <v>20</v>
      </c>
      <c r="J1509" s="1" t="s">
        <v>25</v>
      </c>
      <c r="K1509" s="11" t="s">
        <v>25</v>
      </c>
      <c r="L1509" t="s">
        <v>25</v>
      </c>
      <c r="M1509" t="s">
        <v>25</v>
      </c>
      <c r="N1509" t="s">
        <v>25</v>
      </c>
      <c r="O1509" s="31" t="s">
        <v>25</v>
      </c>
      <c r="P1509" s="3" t="str">
        <f t="shared" si="26"/>
        <v>Na</v>
      </c>
      <c r="Q1509" s="37" t="s">
        <v>25</v>
      </c>
      <c r="R1509" t="str">
        <f t="shared" si="27"/>
        <v>Na</v>
      </c>
      <c r="S1509" s="13" t="s">
        <v>25</v>
      </c>
    </row>
    <row r="1510" spans="1:19">
      <c r="A1510" s="18" t="s">
        <v>1592</v>
      </c>
      <c r="B1510" s="1" t="s">
        <v>1664</v>
      </c>
      <c r="C1510" s="1" t="s">
        <v>1697</v>
      </c>
      <c r="D1510" s="1" t="s">
        <v>1698</v>
      </c>
      <c r="E1510" s="1" t="s">
        <v>25</v>
      </c>
      <c r="F1510">
        <v>372.29777777777798</v>
      </c>
      <c r="G1510">
        <v>372.29777777777798</v>
      </c>
      <c r="H1510">
        <v>6.01</v>
      </c>
      <c r="I1510" s="1" t="s">
        <v>20</v>
      </c>
      <c r="J1510" s="1" t="s">
        <v>25</v>
      </c>
      <c r="K1510" s="11" t="s">
        <v>25</v>
      </c>
      <c r="L1510" t="s">
        <v>25</v>
      </c>
      <c r="M1510" t="s">
        <v>25</v>
      </c>
      <c r="N1510" t="s">
        <v>25</v>
      </c>
      <c r="O1510" s="31" t="s">
        <v>25</v>
      </c>
      <c r="P1510" s="3" t="str">
        <f t="shared" si="26"/>
        <v>Na</v>
      </c>
      <c r="Q1510" s="37" t="s">
        <v>25</v>
      </c>
      <c r="R1510" t="str">
        <f t="shared" si="27"/>
        <v>Na</v>
      </c>
      <c r="S1510" s="13" t="s">
        <v>25</v>
      </c>
    </row>
    <row r="1511" spans="1:19">
      <c r="A1511" s="18" t="s">
        <v>1592</v>
      </c>
      <c r="B1511" s="1" t="s">
        <v>1665</v>
      </c>
      <c r="C1511" s="1" t="s">
        <v>1697</v>
      </c>
      <c r="D1511" s="1" t="s">
        <v>1698</v>
      </c>
      <c r="E1511" s="1" t="s">
        <v>25</v>
      </c>
      <c r="F1511">
        <v>372.30666666666701</v>
      </c>
      <c r="G1511">
        <v>372.30666666666701</v>
      </c>
      <c r="H1511">
        <v>5.71</v>
      </c>
      <c r="I1511" s="1" t="s">
        <v>20</v>
      </c>
      <c r="J1511" s="1" t="s">
        <v>25</v>
      </c>
      <c r="K1511" s="11" t="s">
        <v>25</v>
      </c>
      <c r="L1511">
        <v>-1.0080912850910799</v>
      </c>
      <c r="M1511" s="1" t="s">
        <v>23</v>
      </c>
      <c r="N1511" t="s">
        <v>230</v>
      </c>
      <c r="O1511" s="31">
        <v>255.23673641464899</v>
      </c>
      <c r="P1511" s="3" t="str">
        <f t="shared" si="26"/>
        <v>ppm</v>
      </c>
      <c r="Q1511" s="37">
        <v>3.3064834129207702E-4</v>
      </c>
      <c r="R1511" s="1" t="s">
        <v>29</v>
      </c>
      <c r="S1511" s="13">
        <f t="shared" si="25"/>
        <v>-1.0080912850910799</v>
      </c>
    </row>
    <row r="1512" spans="1:19">
      <c r="A1512" s="18" t="s">
        <v>1592</v>
      </c>
      <c r="B1512" s="1" t="s">
        <v>1666</v>
      </c>
      <c r="C1512" s="1" t="s">
        <v>1697</v>
      </c>
      <c r="D1512" s="1" t="s">
        <v>1698</v>
      </c>
      <c r="E1512" s="1" t="s">
        <v>25</v>
      </c>
      <c r="F1512">
        <v>372.31644444444402</v>
      </c>
      <c r="G1512">
        <v>372.31644444444402</v>
      </c>
      <c r="H1512">
        <v>5.38</v>
      </c>
      <c r="I1512" s="1" t="s">
        <v>20</v>
      </c>
      <c r="J1512" s="1" t="s">
        <v>25</v>
      </c>
      <c r="K1512" s="11" t="s">
        <v>25</v>
      </c>
      <c r="L1512" t="s">
        <v>25</v>
      </c>
      <c r="M1512" t="s">
        <v>25</v>
      </c>
      <c r="N1512" t="s">
        <v>25</v>
      </c>
      <c r="O1512" s="31" t="s">
        <v>25</v>
      </c>
      <c r="P1512" s="3" t="str">
        <f t="shared" si="26"/>
        <v>Na</v>
      </c>
      <c r="Q1512" s="37" t="s">
        <v>25</v>
      </c>
      <c r="R1512" t="str">
        <f t="shared" si="27"/>
        <v>Na</v>
      </c>
      <c r="S1512" s="13" t="s">
        <v>25</v>
      </c>
    </row>
    <row r="1513" spans="1:19">
      <c r="A1513" s="18" t="s">
        <v>1592</v>
      </c>
      <c r="B1513" s="1" t="s">
        <v>1667</v>
      </c>
      <c r="C1513" s="1" t="s">
        <v>1697</v>
      </c>
      <c r="D1513" s="1" t="s">
        <v>1698</v>
      </c>
      <c r="E1513" s="1" t="s">
        <v>25</v>
      </c>
      <c r="F1513">
        <v>372.32237037036998</v>
      </c>
      <c r="G1513">
        <v>372.32237037036998</v>
      </c>
      <c r="H1513">
        <v>5.18</v>
      </c>
      <c r="I1513" s="1" t="s">
        <v>20</v>
      </c>
      <c r="J1513" s="1" t="s">
        <v>25</v>
      </c>
      <c r="K1513" s="11" t="s">
        <v>25</v>
      </c>
      <c r="L1513">
        <v>-1.01354784905891</v>
      </c>
      <c r="M1513" s="1" t="s">
        <v>23</v>
      </c>
      <c r="N1513" t="s">
        <v>230</v>
      </c>
      <c r="O1513" s="31">
        <v>248.391466015286</v>
      </c>
      <c r="P1513" s="3" t="str">
        <f t="shared" si="26"/>
        <v>ppm</v>
      </c>
      <c r="Q1513" s="37">
        <v>2.8909635697593701E-4</v>
      </c>
      <c r="R1513" s="1" t="s">
        <v>29</v>
      </c>
      <c r="S1513" s="13">
        <f t="shared" si="25"/>
        <v>-1.01354784905891</v>
      </c>
    </row>
    <row r="1514" spans="1:19">
      <c r="A1514" s="18" t="s">
        <v>1592</v>
      </c>
      <c r="B1514" s="1" t="s">
        <v>1668</v>
      </c>
      <c r="C1514" s="1" t="s">
        <v>1697</v>
      </c>
      <c r="D1514" s="1" t="s">
        <v>1698</v>
      </c>
      <c r="E1514" s="1" t="s">
        <v>25</v>
      </c>
      <c r="F1514">
        <v>372.32474074074099</v>
      </c>
      <c r="G1514">
        <v>372.32474074074099</v>
      </c>
      <c r="H1514">
        <v>5.0999999999999996</v>
      </c>
      <c r="I1514" s="1" t="s">
        <v>20</v>
      </c>
      <c r="J1514" s="1" t="s">
        <v>25</v>
      </c>
      <c r="K1514" s="11" t="s">
        <v>25</v>
      </c>
      <c r="L1514" t="s">
        <v>25</v>
      </c>
      <c r="M1514" t="s">
        <v>25</v>
      </c>
      <c r="N1514" t="s">
        <v>25</v>
      </c>
      <c r="O1514" s="31" t="s">
        <v>25</v>
      </c>
      <c r="P1514" s="3" t="str">
        <f t="shared" si="26"/>
        <v>Na</v>
      </c>
      <c r="Q1514" s="37" t="s">
        <v>25</v>
      </c>
      <c r="R1514" t="str">
        <f t="shared" si="27"/>
        <v>Na</v>
      </c>
      <c r="S1514" s="13" t="s">
        <v>25</v>
      </c>
    </row>
    <row r="1515" spans="1:19">
      <c r="A1515" s="18" t="s">
        <v>1592</v>
      </c>
      <c r="B1515" s="1" t="s">
        <v>1669</v>
      </c>
      <c r="C1515" s="1" t="s">
        <v>1697</v>
      </c>
      <c r="D1515" s="1" t="s">
        <v>1698</v>
      </c>
      <c r="E1515" s="1" t="s">
        <v>25</v>
      </c>
      <c r="F1515">
        <v>372.32711111111098</v>
      </c>
      <c r="G1515">
        <v>372.32711111111098</v>
      </c>
      <c r="H1515">
        <v>5.0199999999999996</v>
      </c>
      <c r="I1515" s="1" t="s">
        <v>20</v>
      </c>
      <c r="J1515" s="1" t="s">
        <v>25</v>
      </c>
      <c r="K1515" s="11" t="s">
        <v>25</v>
      </c>
      <c r="L1515">
        <v>-0.909827109599184</v>
      </c>
      <c r="M1515" s="1" t="s">
        <v>23</v>
      </c>
      <c r="N1515" t="s">
        <v>230</v>
      </c>
      <c r="O1515" s="31">
        <v>188.39712064123299</v>
      </c>
      <c r="P1515" s="3" t="str">
        <f t="shared" si="26"/>
        <v>ppm</v>
      </c>
      <c r="Q1515" s="37">
        <v>2.5247686780096001E-4</v>
      </c>
      <c r="R1515" s="1" t="s">
        <v>29</v>
      </c>
      <c r="S1515" s="13">
        <f t="shared" si="25"/>
        <v>-0.909827109599184</v>
      </c>
    </row>
    <row r="1516" spans="1:19">
      <c r="A1516" s="18" t="s">
        <v>1592</v>
      </c>
      <c r="B1516" s="1" t="s">
        <v>1670</v>
      </c>
      <c r="C1516" s="1" t="s">
        <v>1697</v>
      </c>
      <c r="D1516" s="1" t="s">
        <v>1698</v>
      </c>
      <c r="E1516" s="1" t="s">
        <v>25</v>
      </c>
      <c r="F1516">
        <v>372.32948148148103</v>
      </c>
      <c r="G1516">
        <v>372.32948148148103</v>
      </c>
      <c r="H1516">
        <v>4.9400000000000004</v>
      </c>
      <c r="I1516" s="1" t="s">
        <v>20</v>
      </c>
      <c r="J1516" s="1" t="s">
        <v>25</v>
      </c>
      <c r="K1516" s="11" t="s">
        <v>25</v>
      </c>
      <c r="L1516" t="s">
        <v>25</v>
      </c>
      <c r="M1516" t="s">
        <v>25</v>
      </c>
      <c r="N1516" t="s">
        <v>25</v>
      </c>
      <c r="O1516" s="31" t="s">
        <v>25</v>
      </c>
      <c r="P1516" s="3" t="str">
        <f t="shared" si="26"/>
        <v>Na</v>
      </c>
      <c r="Q1516" s="37" t="s">
        <v>25</v>
      </c>
      <c r="R1516" t="str">
        <f t="shared" si="27"/>
        <v>Na</v>
      </c>
      <c r="S1516" s="13" t="s">
        <v>25</v>
      </c>
    </row>
    <row r="1517" spans="1:19">
      <c r="A1517" s="18" t="s">
        <v>1592</v>
      </c>
      <c r="B1517" s="1" t="s">
        <v>1671</v>
      </c>
      <c r="C1517" s="1" t="s">
        <v>1697</v>
      </c>
      <c r="D1517" s="1" t="s">
        <v>1698</v>
      </c>
      <c r="E1517" s="1" t="s">
        <v>25</v>
      </c>
      <c r="F1517">
        <v>372.33600000000001</v>
      </c>
      <c r="G1517">
        <v>372.33600000000001</v>
      </c>
      <c r="H1517">
        <v>4.72</v>
      </c>
      <c r="I1517" s="1" t="s">
        <v>20</v>
      </c>
      <c r="J1517" s="1" t="s">
        <v>25</v>
      </c>
      <c r="K1517" s="11" t="s">
        <v>25</v>
      </c>
      <c r="L1517" t="s">
        <v>25</v>
      </c>
      <c r="M1517" t="s">
        <v>25</v>
      </c>
      <c r="N1517" t="s">
        <v>25</v>
      </c>
      <c r="O1517" s="31" t="s">
        <v>25</v>
      </c>
      <c r="P1517" s="3" t="str">
        <f t="shared" si="26"/>
        <v>Na</v>
      </c>
      <c r="Q1517" s="37" t="s">
        <v>25</v>
      </c>
      <c r="R1517" t="str">
        <f t="shared" si="27"/>
        <v>Na</v>
      </c>
      <c r="S1517" s="13" t="s">
        <v>25</v>
      </c>
    </row>
    <row r="1518" spans="1:19">
      <c r="A1518" s="18" t="s">
        <v>1592</v>
      </c>
      <c r="B1518" s="1" t="s">
        <v>1672</v>
      </c>
      <c r="C1518" s="1" t="s">
        <v>1697</v>
      </c>
      <c r="D1518" s="1" t="s">
        <v>1698</v>
      </c>
      <c r="E1518" s="1" t="s">
        <v>25</v>
      </c>
      <c r="F1518">
        <v>372.34488888888899</v>
      </c>
      <c r="G1518">
        <v>372.34488888888899</v>
      </c>
      <c r="H1518">
        <v>4.42</v>
      </c>
      <c r="I1518" s="1" t="s">
        <v>20</v>
      </c>
      <c r="J1518" s="1" t="s">
        <v>25</v>
      </c>
      <c r="K1518" s="11" t="s">
        <v>25</v>
      </c>
      <c r="L1518">
        <v>-0.99963158885381298</v>
      </c>
      <c r="M1518" s="1" t="s">
        <v>23</v>
      </c>
      <c r="N1518" t="s">
        <v>230</v>
      </c>
      <c r="O1518" s="31">
        <v>199.90750195579301</v>
      </c>
      <c r="P1518" s="3" t="str">
        <f t="shared" si="26"/>
        <v>ppm</v>
      </c>
      <c r="Q1518" s="37">
        <v>2.7622338724462599E-4</v>
      </c>
      <c r="R1518" s="1" t="s">
        <v>29</v>
      </c>
      <c r="S1518" s="13">
        <f t="shared" si="25"/>
        <v>-0.99963158885381298</v>
      </c>
    </row>
    <row r="1519" spans="1:19">
      <c r="A1519" s="18" t="s">
        <v>1592</v>
      </c>
      <c r="B1519" s="1" t="s">
        <v>1673</v>
      </c>
      <c r="C1519" s="1" t="s">
        <v>1697</v>
      </c>
      <c r="D1519" s="1" t="s">
        <v>1698</v>
      </c>
      <c r="E1519" s="1" t="s">
        <v>25</v>
      </c>
      <c r="F1519">
        <v>372.34814814814803</v>
      </c>
      <c r="G1519">
        <v>372.34814814814803</v>
      </c>
      <c r="H1519">
        <v>4.3099999999999996</v>
      </c>
      <c r="I1519" s="1" t="s">
        <v>20</v>
      </c>
      <c r="J1519" s="1" t="s">
        <v>25</v>
      </c>
      <c r="K1519" s="11" t="s">
        <v>25</v>
      </c>
      <c r="L1519" t="s">
        <v>25</v>
      </c>
      <c r="M1519" t="s">
        <v>25</v>
      </c>
      <c r="N1519" t="s">
        <v>25</v>
      </c>
      <c r="O1519" s="31" t="s">
        <v>25</v>
      </c>
      <c r="P1519" s="3" t="str">
        <f t="shared" si="26"/>
        <v>Na</v>
      </c>
      <c r="Q1519" s="37" t="s">
        <v>25</v>
      </c>
      <c r="R1519" t="str">
        <f t="shared" si="27"/>
        <v>Na</v>
      </c>
      <c r="S1519" s="13" t="s">
        <v>25</v>
      </c>
    </row>
    <row r="1520" spans="1:19">
      <c r="A1520" s="18" t="s">
        <v>1592</v>
      </c>
      <c r="B1520" s="1" t="s">
        <v>1674</v>
      </c>
      <c r="C1520" s="1" t="s">
        <v>1697</v>
      </c>
      <c r="D1520" s="1" t="s">
        <v>1698</v>
      </c>
      <c r="E1520" s="1" t="s">
        <v>25</v>
      </c>
      <c r="F1520">
        <v>372.358518518518</v>
      </c>
      <c r="G1520">
        <v>372.358518518518</v>
      </c>
      <c r="H1520">
        <v>3.96</v>
      </c>
      <c r="I1520" s="1" t="s">
        <v>20</v>
      </c>
      <c r="J1520" s="1" t="s">
        <v>25</v>
      </c>
      <c r="K1520" s="11" t="s">
        <v>25</v>
      </c>
      <c r="L1520">
        <v>-1.00256109891943</v>
      </c>
      <c r="M1520" s="1" t="s">
        <v>23</v>
      </c>
      <c r="N1520" t="s">
        <v>230</v>
      </c>
      <c r="O1520" s="31">
        <v>201.20496092182199</v>
      </c>
      <c r="P1520" s="3" t="str">
        <f t="shared" si="26"/>
        <v>ppm</v>
      </c>
      <c r="Q1520" s="37">
        <v>2.63261238552046E-4</v>
      </c>
      <c r="R1520" s="1" t="s">
        <v>29</v>
      </c>
      <c r="S1520" s="13">
        <f t="shared" si="25"/>
        <v>-1.00256109891943</v>
      </c>
    </row>
    <row r="1521" spans="1:19">
      <c r="A1521" s="18" t="s">
        <v>1592</v>
      </c>
      <c r="B1521" s="1" t="s">
        <v>1675</v>
      </c>
      <c r="C1521" s="1" t="s">
        <v>1697</v>
      </c>
      <c r="D1521" s="1" t="s">
        <v>1698</v>
      </c>
      <c r="E1521" s="1" t="s">
        <v>25</v>
      </c>
      <c r="F1521">
        <v>372.36296296296302</v>
      </c>
      <c r="G1521">
        <v>372.36296296296302</v>
      </c>
      <c r="H1521">
        <v>3.81</v>
      </c>
      <c r="I1521" s="1" t="s">
        <v>20</v>
      </c>
      <c r="J1521" s="1" t="s">
        <v>25</v>
      </c>
      <c r="K1521" s="11" t="s">
        <v>25</v>
      </c>
      <c r="L1521" t="s">
        <v>25</v>
      </c>
      <c r="M1521" t="s">
        <v>25</v>
      </c>
      <c r="N1521" t="s">
        <v>25</v>
      </c>
      <c r="O1521" s="31" t="s">
        <v>25</v>
      </c>
      <c r="P1521" s="3" t="str">
        <f t="shared" si="26"/>
        <v>Na</v>
      </c>
      <c r="Q1521" s="37" t="s">
        <v>25</v>
      </c>
      <c r="R1521" t="str">
        <f t="shared" si="27"/>
        <v>Na</v>
      </c>
      <c r="S1521" s="13" t="s">
        <v>25</v>
      </c>
    </row>
    <row r="1522" spans="1:19">
      <c r="A1522" s="18" t="s">
        <v>1592</v>
      </c>
      <c r="B1522" s="1" t="s">
        <v>1676</v>
      </c>
      <c r="C1522" s="1" t="s">
        <v>1697</v>
      </c>
      <c r="D1522" s="1" t="s">
        <v>1698</v>
      </c>
      <c r="E1522" s="1" t="s">
        <v>25</v>
      </c>
      <c r="F1522">
        <v>372.36740740740697</v>
      </c>
      <c r="G1522">
        <v>372.36740740740697</v>
      </c>
      <c r="H1522">
        <v>3.66</v>
      </c>
      <c r="I1522" s="1" t="s">
        <v>20</v>
      </c>
      <c r="J1522" s="1" t="s">
        <v>25</v>
      </c>
      <c r="K1522" s="11" t="s">
        <v>25</v>
      </c>
      <c r="L1522">
        <v>-1.0001787304911101</v>
      </c>
      <c r="M1522" s="1" t="s">
        <v>23</v>
      </c>
      <c r="N1522" t="s">
        <v>230</v>
      </c>
      <c r="O1522" s="31">
        <v>270.54380391192001</v>
      </c>
      <c r="P1522" s="3" t="str">
        <f t="shared" si="26"/>
        <v>ppm</v>
      </c>
      <c r="Q1522" s="37">
        <v>3.2105733711410001E-4</v>
      </c>
      <c r="R1522" s="1" t="s">
        <v>29</v>
      </c>
      <c r="S1522" s="13">
        <f t="shared" si="25"/>
        <v>-1.0001787304911101</v>
      </c>
    </row>
    <row r="1523" spans="1:19">
      <c r="A1523" s="18" t="s">
        <v>1592</v>
      </c>
      <c r="B1523" s="1" t="s">
        <v>1677</v>
      </c>
      <c r="C1523" s="1" t="s">
        <v>1697</v>
      </c>
      <c r="D1523" s="1" t="s">
        <v>1698</v>
      </c>
      <c r="E1523" s="1" t="s">
        <v>25</v>
      </c>
      <c r="F1523">
        <v>372.376296296296</v>
      </c>
      <c r="G1523">
        <v>372.376296296296</v>
      </c>
      <c r="H1523">
        <v>3.36</v>
      </c>
      <c r="I1523" s="1" t="s">
        <v>20</v>
      </c>
      <c r="J1523" s="1" t="s">
        <v>25</v>
      </c>
      <c r="K1523" s="11" t="s">
        <v>25</v>
      </c>
      <c r="L1523" t="s">
        <v>25</v>
      </c>
      <c r="M1523" t="s">
        <v>25</v>
      </c>
      <c r="N1523" t="s">
        <v>25</v>
      </c>
      <c r="O1523" s="31" t="s">
        <v>25</v>
      </c>
      <c r="P1523" s="3" t="str">
        <f t="shared" si="26"/>
        <v>Na</v>
      </c>
      <c r="Q1523" s="37" t="s">
        <v>25</v>
      </c>
      <c r="R1523" t="str">
        <f t="shared" si="27"/>
        <v>Na</v>
      </c>
      <c r="S1523" s="13" t="s">
        <v>25</v>
      </c>
    </row>
    <row r="1524" spans="1:19">
      <c r="A1524" s="18" t="s">
        <v>1592</v>
      </c>
      <c r="B1524" s="1" t="s">
        <v>1678</v>
      </c>
      <c r="C1524" s="1" t="s">
        <v>1697</v>
      </c>
      <c r="D1524" s="1" t="s">
        <v>1698</v>
      </c>
      <c r="E1524" s="1" t="s">
        <v>25</v>
      </c>
      <c r="F1524">
        <v>372.38518518518498</v>
      </c>
      <c r="G1524">
        <v>372.38518518518498</v>
      </c>
      <c r="H1524">
        <v>3.06</v>
      </c>
      <c r="I1524" s="1" t="s">
        <v>20</v>
      </c>
      <c r="J1524" s="1" t="s">
        <v>25</v>
      </c>
      <c r="K1524" s="11" t="s">
        <v>25</v>
      </c>
      <c r="L1524">
        <v>-1.0363207612896399</v>
      </c>
      <c r="M1524" s="1" t="s">
        <v>23</v>
      </c>
      <c r="N1524" t="s">
        <v>230</v>
      </c>
      <c r="O1524" s="31">
        <v>205.212891635152</v>
      </c>
      <c r="P1524" s="3" t="str">
        <f t="shared" si="26"/>
        <v>ppm</v>
      </c>
      <c r="Q1524" s="37">
        <v>2.5329946017596099E-4</v>
      </c>
      <c r="R1524" s="1" t="s">
        <v>29</v>
      </c>
      <c r="S1524" s="13">
        <f t="shared" si="25"/>
        <v>-1.0363207612896399</v>
      </c>
    </row>
    <row r="1525" spans="1:19">
      <c r="A1525" s="18" t="s">
        <v>1592</v>
      </c>
      <c r="B1525" s="1" t="s">
        <v>1679</v>
      </c>
      <c r="C1525" s="1" t="s">
        <v>1697</v>
      </c>
      <c r="D1525" s="1" t="s">
        <v>1698</v>
      </c>
      <c r="E1525" s="1" t="s">
        <v>25</v>
      </c>
      <c r="F1525">
        <v>372.38607407407397</v>
      </c>
      <c r="G1525">
        <v>372.38607407407397</v>
      </c>
      <c r="H1525">
        <v>3.03</v>
      </c>
      <c r="I1525" s="1" t="s">
        <v>20</v>
      </c>
      <c r="J1525" s="1" t="s">
        <v>25</v>
      </c>
      <c r="K1525" s="11" t="s">
        <v>25</v>
      </c>
      <c r="L1525" t="s">
        <v>25</v>
      </c>
      <c r="M1525" t="s">
        <v>25</v>
      </c>
      <c r="N1525" t="s">
        <v>25</v>
      </c>
      <c r="O1525" s="31" t="s">
        <v>25</v>
      </c>
      <c r="P1525" s="3" t="str">
        <f t="shared" si="26"/>
        <v>Na</v>
      </c>
      <c r="Q1525" s="37" t="s">
        <v>25</v>
      </c>
      <c r="R1525" t="str">
        <f t="shared" si="27"/>
        <v>Na</v>
      </c>
      <c r="S1525" s="13" t="s">
        <v>25</v>
      </c>
    </row>
    <row r="1526" spans="1:19">
      <c r="A1526" s="18" t="s">
        <v>1592</v>
      </c>
      <c r="B1526" s="1" t="s">
        <v>1680</v>
      </c>
      <c r="C1526" s="1" t="s">
        <v>1697</v>
      </c>
      <c r="D1526" s="1" t="s">
        <v>1698</v>
      </c>
      <c r="E1526" s="1" t="s">
        <v>25</v>
      </c>
      <c r="F1526">
        <v>372.39407407407401</v>
      </c>
      <c r="G1526">
        <v>372.39407407407401</v>
      </c>
      <c r="H1526">
        <v>2.76</v>
      </c>
      <c r="I1526" s="1" t="s">
        <v>20</v>
      </c>
      <c r="J1526" s="1" t="s">
        <v>25</v>
      </c>
      <c r="K1526" s="11" t="s">
        <v>25</v>
      </c>
      <c r="L1526">
        <v>-0.95881199748393098</v>
      </c>
      <c r="M1526" s="1" t="s">
        <v>23</v>
      </c>
      <c r="N1526" t="s">
        <v>230</v>
      </c>
      <c r="O1526" s="31">
        <v>207.190576442929</v>
      </c>
      <c r="P1526" s="3" t="str">
        <f t="shared" si="26"/>
        <v>ppm</v>
      </c>
      <c r="Q1526" s="37">
        <v>2.7282962245418101E-4</v>
      </c>
      <c r="R1526" s="1" t="s">
        <v>29</v>
      </c>
      <c r="S1526" s="13">
        <f t="shared" si="25"/>
        <v>-0.95881199748393098</v>
      </c>
    </row>
    <row r="1527" spans="1:19">
      <c r="A1527" s="18" t="s">
        <v>1592</v>
      </c>
      <c r="B1527" s="1" t="s">
        <v>1681</v>
      </c>
      <c r="C1527" s="1" t="s">
        <v>1697</v>
      </c>
      <c r="D1527" s="1" t="s">
        <v>1698</v>
      </c>
      <c r="E1527" s="1" t="s">
        <v>25</v>
      </c>
      <c r="F1527">
        <v>372.39851851851802</v>
      </c>
      <c r="G1527">
        <v>372.39851851851802</v>
      </c>
      <c r="H1527">
        <v>2.61</v>
      </c>
      <c r="I1527" s="1" t="s">
        <v>20</v>
      </c>
      <c r="J1527" s="1" t="s">
        <v>25</v>
      </c>
      <c r="K1527" s="11" t="s">
        <v>25</v>
      </c>
      <c r="L1527" t="s">
        <v>25</v>
      </c>
      <c r="M1527" t="s">
        <v>25</v>
      </c>
      <c r="N1527" t="s">
        <v>25</v>
      </c>
      <c r="O1527" s="31" t="s">
        <v>25</v>
      </c>
      <c r="P1527" s="3" t="str">
        <f t="shared" si="26"/>
        <v>Na</v>
      </c>
      <c r="Q1527" s="37" t="s">
        <v>25</v>
      </c>
      <c r="R1527" t="str">
        <f t="shared" si="27"/>
        <v>Na</v>
      </c>
      <c r="S1527" s="13" t="s">
        <v>25</v>
      </c>
    </row>
    <row r="1528" spans="1:19">
      <c r="A1528" s="18" t="s">
        <v>1592</v>
      </c>
      <c r="B1528" s="1" t="s">
        <v>1682</v>
      </c>
      <c r="C1528" s="1" t="s">
        <v>1697</v>
      </c>
      <c r="D1528" s="1" t="s">
        <v>1698</v>
      </c>
      <c r="E1528" s="1" t="s">
        <v>25</v>
      </c>
      <c r="F1528">
        <v>372.40740740740699</v>
      </c>
      <c r="G1528">
        <v>372.40740740740699</v>
      </c>
      <c r="H1528">
        <v>2.31</v>
      </c>
      <c r="I1528" s="1" t="s">
        <v>20</v>
      </c>
      <c r="J1528" s="1" t="s">
        <v>25</v>
      </c>
      <c r="K1528" s="11" t="s">
        <v>25</v>
      </c>
      <c r="L1528">
        <v>-1.0411674474567101</v>
      </c>
      <c r="M1528" s="1" t="s">
        <v>23</v>
      </c>
      <c r="N1528" t="s">
        <v>230</v>
      </c>
      <c r="O1528" s="31">
        <v>250.015831368763</v>
      </c>
      <c r="P1528" s="3" t="str">
        <f t="shared" si="26"/>
        <v>ppm</v>
      </c>
      <c r="Q1528" s="37">
        <v>3.0953920305977701E-4</v>
      </c>
      <c r="R1528" s="1" t="s">
        <v>29</v>
      </c>
      <c r="S1528" s="13">
        <f t="shared" si="25"/>
        <v>-1.0411674474567101</v>
      </c>
    </row>
    <row r="1529" spans="1:19">
      <c r="A1529" s="18" t="s">
        <v>1592</v>
      </c>
      <c r="B1529" s="1" t="s">
        <v>1683</v>
      </c>
      <c r="C1529" s="1" t="s">
        <v>1697</v>
      </c>
      <c r="D1529" s="1" t="s">
        <v>1698</v>
      </c>
      <c r="E1529" s="1" t="s">
        <v>25</v>
      </c>
      <c r="F1529">
        <v>372.40859259259202</v>
      </c>
      <c r="G1529">
        <v>372.40859259259202</v>
      </c>
      <c r="H1529">
        <v>2.27</v>
      </c>
      <c r="I1529" s="1" t="s">
        <v>20</v>
      </c>
      <c r="J1529" s="1" t="s">
        <v>25</v>
      </c>
      <c r="K1529" s="11" t="s">
        <v>25</v>
      </c>
      <c r="L1529" t="s">
        <v>25</v>
      </c>
      <c r="M1529" t="s">
        <v>25</v>
      </c>
      <c r="N1529" t="s">
        <v>25</v>
      </c>
      <c r="O1529" s="31" t="s">
        <v>25</v>
      </c>
      <c r="P1529" s="3" t="str">
        <f t="shared" si="26"/>
        <v>Na</v>
      </c>
      <c r="Q1529" s="37" t="s">
        <v>25</v>
      </c>
      <c r="R1529" t="str">
        <f t="shared" si="27"/>
        <v>Na</v>
      </c>
      <c r="S1529" s="13" t="s">
        <v>25</v>
      </c>
    </row>
    <row r="1530" spans="1:19">
      <c r="A1530" s="18" t="s">
        <v>1592</v>
      </c>
      <c r="B1530" s="1" t="s">
        <v>1684</v>
      </c>
      <c r="C1530" s="1" t="s">
        <v>1697</v>
      </c>
      <c r="D1530" s="1" t="s">
        <v>1698</v>
      </c>
      <c r="E1530" s="1" t="s">
        <v>25</v>
      </c>
      <c r="F1530">
        <v>372.41274074074101</v>
      </c>
      <c r="G1530">
        <v>372.41274074074101</v>
      </c>
      <c r="H1530">
        <v>2.13</v>
      </c>
      <c r="I1530" s="1" t="s">
        <v>20</v>
      </c>
      <c r="J1530" s="1" t="s">
        <v>25</v>
      </c>
      <c r="K1530" s="11" t="s">
        <v>25</v>
      </c>
      <c r="L1530">
        <v>-0.99083569841586605</v>
      </c>
      <c r="M1530" s="1" t="s">
        <v>23</v>
      </c>
      <c r="N1530" t="s">
        <v>230</v>
      </c>
      <c r="O1530" s="31">
        <v>260.71667640797</v>
      </c>
      <c r="P1530" s="3" t="str">
        <f t="shared" si="26"/>
        <v>ppm</v>
      </c>
      <c r="Q1530" s="37">
        <v>3.0747185729254899E-4</v>
      </c>
      <c r="R1530" s="1" t="s">
        <v>29</v>
      </c>
      <c r="S1530" s="13">
        <f t="shared" si="25"/>
        <v>-0.99083569841586605</v>
      </c>
    </row>
    <row r="1531" spans="1:19">
      <c r="A1531" s="18" t="s">
        <v>1592</v>
      </c>
      <c r="B1531" s="1" t="s">
        <v>1685</v>
      </c>
      <c r="C1531" s="1" t="s">
        <v>1697</v>
      </c>
      <c r="D1531" s="1" t="s">
        <v>1698</v>
      </c>
      <c r="E1531" s="1" t="s">
        <v>25</v>
      </c>
      <c r="F1531">
        <v>372.41837037036998</v>
      </c>
      <c r="G1531">
        <v>372.41837037036998</v>
      </c>
      <c r="H1531">
        <v>1.94</v>
      </c>
      <c r="I1531" s="1" t="s">
        <v>20</v>
      </c>
      <c r="J1531" s="1" t="s">
        <v>25</v>
      </c>
      <c r="K1531" s="11" t="s">
        <v>25</v>
      </c>
      <c r="L1531">
        <v>-0.93496099654851805</v>
      </c>
      <c r="M1531" s="1" t="s">
        <v>23</v>
      </c>
      <c r="N1531" t="s">
        <v>230</v>
      </c>
      <c r="O1531" s="31">
        <v>229.103603773054</v>
      </c>
      <c r="P1531" s="3" t="str">
        <f t="shared" si="26"/>
        <v>ppm</v>
      </c>
      <c r="Q1531" s="37">
        <v>2.66327692730629E-4</v>
      </c>
      <c r="R1531" s="1" t="s">
        <v>29</v>
      </c>
      <c r="S1531" s="13">
        <f t="shared" si="25"/>
        <v>-0.93496099654851805</v>
      </c>
    </row>
    <row r="1532" spans="1:19">
      <c r="A1532" s="18" t="s">
        <v>1592</v>
      </c>
      <c r="B1532" s="1" t="s">
        <v>1686</v>
      </c>
      <c r="C1532" s="1" t="s">
        <v>1697</v>
      </c>
      <c r="D1532" s="1" t="s">
        <v>1698</v>
      </c>
      <c r="E1532" s="1" t="s">
        <v>25</v>
      </c>
      <c r="F1532">
        <v>372.41925925925898</v>
      </c>
      <c r="G1532">
        <v>372.41925925925898</v>
      </c>
      <c r="H1532">
        <v>1.91</v>
      </c>
      <c r="I1532" s="1" t="s">
        <v>20</v>
      </c>
      <c r="J1532" s="1" t="s">
        <v>25</v>
      </c>
      <c r="K1532" s="11" t="s">
        <v>25</v>
      </c>
      <c r="L1532" t="s">
        <v>25</v>
      </c>
      <c r="M1532" t="s">
        <v>25</v>
      </c>
      <c r="N1532" t="s">
        <v>25</v>
      </c>
      <c r="O1532" s="31">
        <v>34.800805061249598</v>
      </c>
      <c r="P1532" s="3" t="str">
        <f t="shared" si="26"/>
        <v>ppm</v>
      </c>
      <c r="Q1532" s="37">
        <v>1.25618802899452E-3</v>
      </c>
      <c r="R1532" s="1" t="s">
        <v>29</v>
      </c>
      <c r="S1532" s="13" t="s">
        <v>25</v>
      </c>
    </row>
    <row r="1533" spans="1:19">
      <c r="A1533" s="18" t="s">
        <v>1592</v>
      </c>
      <c r="B1533" s="1" t="s">
        <v>1687</v>
      </c>
      <c r="C1533" s="1" t="s">
        <v>1697</v>
      </c>
      <c r="D1533" s="1" t="s">
        <v>1698</v>
      </c>
      <c r="E1533" s="1" t="s">
        <v>25</v>
      </c>
      <c r="F1533">
        <v>372.42103703703702</v>
      </c>
      <c r="G1533">
        <v>372.42103703703702</v>
      </c>
      <c r="H1533">
        <v>1.85</v>
      </c>
      <c r="I1533" s="1" t="s">
        <v>20</v>
      </c>
      <c r="J1533" s="1" t="s">
        <v>25</v>
      </c>
      <c r="K1533" s="11" t="s">
        <v>25</v>
      </c>
      <c r="L1533">
        <v>-0.99775107840715904</v>
      </c>
      <c r="M1533" s="1" t="s">
        <v>23</v>
      </c>
      <c r="N1533" t="s">
        <v>230</v>
      </c>
      <c r="O1533" s="31">
        <v>248.16658758449799</v>
      </c>
      <c r="P1533" s="3" t="str">
        <f t="shared" si="26"/>
        <v>ppm</v>
      </c>
      <c r="Q1533" s="37">
        <v>3.0852840749055299E-4</v>
      </c>
      <c r="R1533" s="1" t="s">
        <v>29</v>
      </c>
      <c r="S1533" s="13">
        <f t="shared" si="25"/>
        <v>-0.99775107840715904</v>
      </c>
    </row>
    <row r="1534" spans="1:19">
      <c r="A1534" s="18" t="s">
        <v>1592</v>
      </c>
      <c r="B1534" s="1" t="s">
        <v>1688</v>
      </c>
      <c r="C1534" s="1" t="s">
        <v>1697</v>
      </c>
      <c r="D1534" s="1" t="s">
        <v>1698</v>
      </c>
      <c r="E1534" s="1" t="s">
        <v>25</v>
      </c>
      <c r="F1534">
        <v>372.42548148148097</v>
      </c>
      <c r="G1534">
        <v>372.42548148148097</v>
      </c>
      <c r="H1534">
        <v>1.7</v>
      </c>
      <c r="I1534" s="1" t="s">
        <v>20</v>
      </c>
      <c r="J1534" s="1" t="s">
        <v>25</v>
      </c>
      <c r="K1534" s="11" t="s">
        <v>25</v>
      </c>
      <c r="L1534">
        <v>-0.94427391006264005</v>
      </c>
      <c r="M1534" s="1" t="s">
        <v>23</v>
      </c>
      <c r="N1534" t="s">
        <v>230</v>
      </c>
      <c r="O1534" s="31">
        <v>184.840630964751</v>
      </c>
      <c r="P1534" s="3" t="str">
        <f t="shared" si="26"/>
        <v>ppm</v>
      </c>
      <c r="Q1534" s="37">
        <v>2.5935111264916799E-4</v>
      </c>
      <c r="R1534" s="1" t="s">
        <v>29</v>
      </c>
      <c r="S1534" s="13">
        <f t="shared" si="25"/>
        <v>-0.94427391006264005</v>
      </c>
    </row>
    <row r="1535" spans="1:19">
      <c r="A1535" s="18" t="s">
        <v>1592</v>
      </c>
      <c r="B1535" s="1" t="s">
        <v>1689</v>
      </c>
      <c r="C1535" s="1" t="s">
        <v>1697</v>
      </c>
      <c r="D1535" s="1" t="s">
        <v>1698</v>
      </c>
      <c r="E1535" s="1" t="s">
        <v>25</v>
      </c>
      <c r="F1535">
        <v>372.43140740740699</v>
      </c>
      <c r="G1535">
        <v>372.43140740740699</v>
      </c>
      <c r="H1535">
        <v>1.5</v>
      </c>
      <c r="I1535" s="1" t="s">
        <v>20</v>
      </c>
      <c r="J1535" s="1" t="s">
        <v>25</v>
      </c>
      <c r="K1535" s="11" t="s">
        <v>25</v>
      </c>
      <c r="L1535" t="s">
        <v>25</v>
      </c>
      <c r="M1535" t="s">
        <v>25</v>
      </c>
      <c r="N1535" t="s">
        <v>25</v>
      </c>
      <c r="O1535" s="31" t="s">
        <v>25</v>
      </c>
      <c r="P1535" s="3" t="str">
        <f t="shared" si="26"/>
        <v>Na</v>
      </c>
      <c r="Q1535" s="37" t="s">
        <v>25</v>
      </c>
      <c r="R1535" t="str">
        <f t="shared" si="27"/>
        <v>Na</v>
      </c>
      <c r="S1535" s="13" t="s">
        <v>25</v>
      </c>
    </row>
    <row r="1536" spans="1:19">
      <c r="A1536" s="18" t="s">
        <v>1592</v>
      </c>
      <c r="B1536" s="1" t="s">
        <v>1690</v>
      </c>
      <c r="C1536" s="1" t="s">
        <v>1697</v>
      </c>
      <c r="D1536" s="1" t="s">
        <v>1698</v>
      </c>
      <c r="E1536" s="1" t="s">
        <v>25</v>
      </c>
      <c r="F1536">
        <v>372.43733333333302</v>
      </c>
      <c r="G1536">
        <v>372.43733333333302</v>
      </c>
      <c r="H1536">
        <v>1.3</v>
      </c>
      <c r="I1536" s="1" t="s">
        <v>20</v>
      </c>
      <c r="J1536" s="1" t="s">
        <v>25</v>
      </c>
      <c r="K1536" s="11" t="s">
        <v>25</v>
      </c>
      <c r="L1536">
        <v>-0.94723934199931303</v>
      </c>
      <c r="M1536" s="1" t="s">
        <v>23</v>
      </c>
      <c r="N1536" t="s">
        <v>230</v>
      </c>
      <c r="O1536" s="31">
        <v>210.50498141447301</v>
      </c>
      <c r="P1536" s="3" t="str">
        <f t="shared" si="26"/>
        <v>ppm</v>
      </c>
      <c r="Q1536" s="37">
        <v>2.79758418592855E-4</v>
      </c>
      <c r="R1536" s="1" t="s">
        <v>29</v>
      </c>
      <c r="S1536" s="13">
        <f t="shared" si="25"/>
        <v>-0.94723934199931303</v>
      </c>
    </row>
    <row r="1537" spans="1:19">
      <c r="A1537" s="18" t="s">
        <v>1592</v>
      </c>
      <c r="B1537" s="1" t="s">
        <v>1691</v>
      </c>
      <c r="C1537" s="1" t="s">
        <v>1697</v>
      </c>
      <c r="D1537" s="1" t="s">
        <v>1698</v>
      </c>
      <c r="E1537" s="1" t="s">
        <v>25</v>
      </c>
      <c r="F1537">
        <v>372.44622222222199</v>
      </c>
      <c r="G1537">
        <v>372.44622222222199</v>
      </c>
      <c r="H1537">
        <v>1</v>
      </c>
      <c r="I1537" s="1" t="s">
        <v>20</v>
      </c>
      <c r="J1537" s="1" t="s">
        <v>25</v>
      </c>
      <c r="K1537" s="11" t="s">
        <v>25</v>
      </c>
      <c r="L1537" t="s">
        <v>25</v>
      </c>
      <c r="M1537" t="s">
        <v>25</v>
      </c>
      <c r="N1537" t="s">
        <v>25</v>
      </c>
      <c r="O1537" s="31" t="s">
        <v>25</v>
      </c>
      <c r="P1537" s="3" t="str">
        <f t="shared" si="26"/>
        <v>Na</v>
      </c>
      <c r="Q1537" s="37" t="s">
        <v>25</v>
      </c>
      <c r="R1537" t="str">
        <f t="shared" si="27"/>
        <v>Na</v>
      </c>
      <c r="S1537" s="13" t="s">
        <v>25</v>
      </c>
    </row>
    <row r="1538" spans="1:19">
      <c r="A1538" s="18" t="s">
        <v>1592</v>
      </c>
      <c r="B1538" s="1" t="s">
        <v>1692</v>
      </c>
      <c r="C1538" s="1" t="s">
        <v>1697</v>
      </c>
      <c r="D1538" s="1" t="s">
        <v>1698</v>
      </c>
      <c r="E1538" s="1" t="s">
        <v>25</v>
      </c>
      <c r="F1538">
        <v>372.45214814814801</v>
      </c>
      <c r="G1538">
        <v>372.45214814814801</v>
      </c>
      <c r="H1538">
        <v>0.8</v>
      </c>
      <c r="I1538" s="1" t="s">
        <v>20</v>
      </c>
      <c r="J1538" s="1" t="s">
        <v>25</v>
      </c>
      <c r="K1538" s="11" t="s">
        <v>25</v>
      </c>
      <c r="L1538">
        <v>-0.98543104264320502</v>
      </c>
      <c r="M1538" s="1" t="s">
        <v>23</v>
      </c>
      <c r="N1538" t="s">
        <v>230</v>
      </c>
      <c r="O1538" s="31">
        <v>210.78095577021401</v>
      </c>
      <c r="P1538" s="3" t="str">
        <f t="shared" si="26"/>
        <v>ppm</v>
      </c>
      <c r="Q1538" s="37">
        <v>2.79723934471174E-4</v>
      </c>
      <c r="R1538" s="1" t="s">
        <v>29</v>
      </c>
      <c r="S1538" s="13">
        <f t="shared" si="25"/>
        <v>-0.98543104264320502</v>
      </c>
    </row>
    <row r="1539" spans="1:19">
      <c r="A1539" s="18" t="s">
        <v>1592</v>
      </c>
      <c r="B1539" s="1" t="s">
        <v>1693</v>
      </c>
      <c r="C1539" s="1" t="s">
        <v>1697</v>
      </c>
      <c r="D1539" s="1" t="s">
        <v>1698</v>
      </c>
      <c r="E1539" s="1" t="s">
        <v>25</v>
      </c>
      <c r="F1539">
        <v>372.45511111111102</v>
      </c>
      <c r="G1539">
        <v>372.45511111111102</v>
      </c>
      <c r="H1539">
        <v>0.7</v>
      </c>
      <c r="I1539" s="1" t="s">
        <v>20</v>
      </c>
      <c r="J1539" s="1" t="s">
        <v>25</v>
      </c>
      <c r="K1539" s="11" t="s">
        <v>25</v>
      </c>
      <c r="L1539" t="s">
        <v>25</v>
      </c>
      <c r="M1539" t="s">
        <v>25</v>
      </c>
      <c r="N1539" t="s">
        <v>25</v>
      </c>
      <c r="O1539" s="31" t="s">
        <v>25</v>
      </c>
      <c r="P1539" s="3" t="str">
        <f t="shared" si="26"/>
        <v>Na</v>
      </c>
      <c r="Q1539" s="37" t="s">
        <v>25</v>
      </c>
      <c r="R1539" t="str">
        <f t="shared" si="27"/>
        <v>Na</v>
      </c>
      <c r="S1539" s="13" t="s">
        <v>25</v>
      </c>
    </row>
    <row r="1540" spans="1:19">
      <c r="A1540" s="18" t="s">
        <v>1592</v>
      </c>
      <c r="B1540" s="1" t="s">
        <v>1694</v>
      </c>
      <c r="C1540" s="1" t="s">
        <v>1697</v>
      </c>
      <c r="D1540" s="1" t="s">
        <v>1698</v>
      </c>
      <c r="E1540" s="1" t="s">
        <v>25</v>
      </c>
      <c r="F1540">
        <v>372.46103703703699</v>
      </c>
      <c r="G1540">
        <v>372.46103703703699</v>
      </c>
      <c r="H1540">
        <v>0.5</v>
      </c>
      <c r="I1540" s="1" t="s">
        <v>20</v>
      </c>
      <c r="J1540" s="1" t="s">
        <v>25</v>
      </c>
      <c r="K1540" s="11" t="s">
        <v>25</v>
      </c>
      <c r="L1540">
        <v>-0.89839042182995998</v>
      </c>
      <c r="M1540" s="1" t="s">
        <v>23</v>
      </c>
      <c r="N1540" t="s">
        <v>230</v>
      </c>
      <c r="O1540" s="31">
        <v>220.37657395052199</v>
      </c>
      <c r="P1540" s="3" t="str">
        <f t="shared" si="26"/>
        <v>ppm</v>
      </c>
      <c r="Q1540" s="37">
        <v>2.8620767042278198E-4</v>
      </c>
      <c r="R1540" s="1" t="s">
        <v>29</v>
      </c>
      <c r="S1540" s="13">
        <f t="shared" ref="S1540:S1602" si="28">IF(NOT(N1540="SW"),L1540-1.88,L1540)</f>
        <v>-0.89839042182995998</v>
      </c>
    </row>
    <row r="1541" spans="1:19">
      <c r="A1541" s="18" t="s">
        <v>1592</v>
      </c>
      <c r="B1541" s="1" t="s">
        <v>1695</v>
      </c>
      <c r="C1541" s="1" t="s">
        <v>1697</v>
      </c>
      <c r="D1541" s="1" t="s">
        <v>1698</v>
      </c>
      <c r="E1541" s="1" t="s">
        <v>25</v>
      </c>
      <c r="F1541">
        <v>372.46992592592602</v>
      </c>
      <c r="G1541">
        <v>372.46992592592602</v>
      </c>
      <c r="H1541">
        <v>0.2</v>
      </c>
      <c r="I1541" s="1" t="s">
        <v>20</v>
      </c>
      <c r="J1541" s="1" t="s">
        <v>25</v>
      </c>
      <c r="K1541" s="11" t="s">
        <v>25</v>
      </c>
      <c r="L1541" t="s">
        <v>25</v>
      </c>
      <c r="M1541" t="s">
        <v>25</v>
      </c>
      <c r="N1541" t="s">
        <v>25</v>
      </c>
      <c r="O1541" s="31" t="s">
        <v>25</v>
      </c>
      <c r="P1541" s="3" t="str">
        <f t="shared" si="26"/>
        <v>Na</v>
      </c>
      <c r="Q1541" s="37" t="s">
        <v>25</v>
      </c>
      <c r="R1541" t="str">
        <f t="shared" si="27"/>
        <v>Na</v>
      </c>
      <c r="S1541" s="13" t="s">
        <v>25</v>
      </c>
    </row>
    <row r="1542" spans="1:19">
      <c r="A1542" s="18" t="s">
        <v>1592</v>
      </c>
      <c r="B1542" s="1" t="s">
        <v>1696</v>
      </c>
      <c r="C1542" s="1" t="s">
        <v>1697</v>
      </c>
      <c r="D1542" s="1" t="s">
        <v>1698</v>
      </c>
      <c r="E1542" s="1" t="s">
        <v>25</v>
      </c>
      <c r="F1542">
        <v>372.47585185185198</v>
      </c>
      <c r="G1542">
        <v>372.47585185185198</v>
      </c>
      <c r="H1542">
        <v>0</v>
      </c>
      <c r="I1542" s="1" t="s">
        <v>20</v>
      </c>
      <c r="J1542" s="1" t="s">
        <v>25</v>
      </c>
      <c r="K1542" s="11" t="s">
        <v>25</v>
      </c>
      <c r="L1542">
        <v>-0.97815943760728996</v>
      </c>
      <c r="M1542" s="1" t="s">
        <v>23</v>
      </c>
      <c r="N1542" t="s">
        <v>230</v>
      </c>
      <c r="O1542" s="31">
        <v>224.10728903277999</v>
      </c>
      <c r="P1542" s="3" t="str">
        <f t="shared" si="26"/>
        <v>ppm</v>
      </c>
      <c r="Q1542" s="37">
        <v>2.6473184697647901E-4</v>
      </c>
      <c r="R1542" s="1" t="s">
        <v>29</v>
      </c>
      <c r="S1542" s="13">
        <f t="shared" si="28"/>
        <v>-0.97815943760728996</v>
      </c>
    </row>
    <row r="1543" spans="1:19">
      <c r="A1543" s="18" t="s">
        <v>1592</v>
      </c>
      <c r="B1543" s="1" t="s">
        <v>1699</v>
      </c>
      <c r="C1543" s="1" t="s">
        <v>1697</v>
      </c>
      <c r="D1543" s="1" t="s">
        <v>1793</v>
      </c>
      <c r="E1543" s="1" t="s">
        <v>25</v>
      </c>
      <c r="F1543">
        <v>371.855350236356</v>
      </c>
      <c r="G1543">
        <v>371.855350236356</v>
      </c>
      <c r="H1543">
        <v>43.76</v>
      </c>
      <c r="I1543" s="1" t="s">
        <v>20</v>
      </c>
      <c r="J1543" s="1" t="s">
        <v>25</v>
      </c>
      <c r="K1543" s="11" t="s">
        <v>25</v>
      </c>
      <c r="L1543" s="32">
        <v>-1.1533482619978499</v>
      </c>
      <c r="M1543" s="3" t="str">
        <f>IF(ISNUMBER(SEARCH("Na", L1543)), "Na", "44/40")</f>
        <v>44/40</v>
      </c>
      <c r="N1543" s="3" t="str">
        <f>IF(ISNUMBER(SEARCH("Na", M1543)), "Na", "SW")</f>
        <v>SW</v>
      </c>
      <c r="O1543" s="1">
        <v>293.895643353808</v>
      </c>
      <c r="P1543" s="3" t="str">
        <f>IF(ISNUMBER(SEARCH("Na", O1543)), "Na", "ppm")</f>
        <v>ppm</v>
      </c>
      <c r="Q1543" s="37">
        <v>3.5745527676595847E-4</v>
      </c>
      <c r="R1543" s="3" t="str">
        <f>IF(ISNUMBER(SEARCH("Na", Q1543)), "Na", "mol/mol")</f>
        <v>mol/mol</v>
      </c>
      <c r="S1543" s="13">
        <f t="shared" si="28"/>
        <v>-1.1533482619978499</v>
      </c>
    </row>
    <row r="1544" spans="1:19">
      <c r="A1544" s="18" t="s">
        <v>1592</v>
      </c>
      <c r="B1544" s="1" t="s">
        <v>1700</v>
      </c>
      <c r="C1544" s="1" t="s">
        <v>1697</v>
      </c>
      <c r="D1544" s="1" t="s">
        <v>1793</v>
      </c>
      <c r="E1544" s="1" t="s">
        <v>25</v>
      </c>
      <c r="F1544">
        <v>371.88006016330002</v>
      </c>
      <c r="G1544">
        <v>371.88006016330002</v>
      </c>
      <c r="H1544">
        <v>42.61</v>
      </c>
      <c r="I1544" s="1" t="s">
        <v>20</v>
      </c>
      <c r="J1544" s="1" t="s">
        <v>25</v>
      </c>
      <c r="K1544" s="11" t="s">
        <v>25</v>
      </c>
      <c r="L1544" s="32" t="s">
        <v>25</v>
      </c>
      <c r="M1544" s="3" t="str">
        <f t="shared" ref="M1544:M1607" si="29">IF(ISNUMBER(SEARCH("Na", L1544)), "Na", "44/40")</f>
        <v>Na</v>
      </c>
      <c r="N1544" s="3" t="str">
        <f t="shared" ref="N1544:N1607" si="30">IF(ISNUMBER(SEARCH("Na", M1544)), "Na", "SW")</f>
        <v>Na</v>
      </c>
      <c r="O1544" s="1">
        <v>268.50475808827798</v>
      </c>
      <c r="P1544" s="3" t="str">
        <f t="shared" ref="P1544:P1607" si="31">IF(ISNUMBER(SEARCH("Na", O1544)), "Na", "ppm")</f>
        <v>ppm</v>
      </c>
      <c r="Q1544" s="37">
        <v>3.2059558706893423E-4</v>
      </c>
      <c r="R1544" s="3" t="str">
        <f t="shared" ref="R1544:R1607" si="32">IF(ISNUMBER(SEARCH("Na", Q1544)), "Na", "mol/mol")</f>
        <v>mol/mol</v>
      </c>
      <c r="S1544" s="13" t="s">
        <v>25</v>
      </c>
    </row>
    <row r="1545" spans="1:19">
      <c r="A1545" s="18" t="s">
        <v>1592</v>
      </c>
      <c r="B1545" s="1" t="s">
        <v>1701</v>
      </c>
      <c r="C1545" s="1" t="s">
        <v>1697</v>
      </c>
      <c r="D1545" s="1" t="s">
        <v>1793</v>
      </c>
      <c r="E1545" s="1" t="s">
        <v>25</v>
      </c>
      <c r="F1545">
        <v>371.89724967769598</v>
      </c>
      <c r="G1545">
        <v>371.89724967769598</v>
      </c>
      <c r="H1545">
        <v>41.81</v>
      </c>
      <c r="I1545" s="1" t="s">
        <v>20</v>
      </c>
      <c r="J1545" s="1" t="s">
        <v>25</v>
      </c>
      <c r="K1545" s="11" t="s">
        <v>25</v>
      </c>
      <c r="L1545" s="32" t="s">
        <v>25</v>
      </c>
      <c r="M1545" s="3" t="str">
        <f t="shared" si="29"/>
        <v>Na</v>
      </c>
      <c r="N1545" s="3" t="str">
        <f t="shared" si="30"/>
        <v>Na</v>
      </c>
      <c r="O1545" s="1">
        <v>276.90738981526601</v>
      </c>
      <c r="P1545" s="3" t="str">
        <f t="shared" si="31"/>
        <v>ppm</v>
      </c>
      <c r="Q1545" s="37">
        <v>3.3242896284123096E-4</v>
      </c>
      <c r="R1545" s="3" t="str">
        <f t="shared" si="32"/>
        <v>mol/mol</v>
      </c>
      <c r="S1545" s="13" t="s">
        <v>25</v>
      </c>
    </row>
    <row r="1546" spans="1:19">
      <c r="A1546" s="18" t="s">
        <v>1592</v>
      </c>
      <c r="B1546" s="1" t="s">
        <v>1702</v>
      </c>
      <c r="C1546" s="1" t="s">
        <v>1697</v>
      </c>
      <c r="D1546" s="1" t="s">
        <v>1793</v>
      </c>
      <c r="E1546" s="1" t="s">
        <v>25</v>
      </c>
      <c r="F1546">
        <v>371.92733132788999</v>
      </c>
      <c r="G1546">
        <v>371.92733132788999</v>
      </c>
      <c r="H1546">
        <v>40.409999999999997</v>
      </c>
      <c r="I1546" s="1" t="s">
        <v>20</v>
      </c>
      <c r="J1546" s="1" t="s">
        <v>25</v>
      </c>
      <c r="K1546" s="11" t="s">
        <v>25</v>
      </c>
      <c r="L1546" s="32" t="s">
        <v>25</v>
      </c>
      <c r="M1546" s="3" t="str">
        <f t="shared" si="29"/>
        <v>Na</v>
      </c>
      <c r="N1546" s="3" t="str">
        <f t="shared" si="30"/>
        <v>Na</v>
      </c>
      <c r="O1546" s="1">
        <v>228.007346946501</v>
      </c>
      <c r="P1546" s="3" t="str">
        <f t="shared" si="31"/>
        <v>ppm</v>
      </c>
      <c r="Q1546" s="37">
        <v>2.8412889149251997E-4</v>
      </c>
      <c r="R1546" s="3" t="str">
        <f t="shared" si="32"/>
        <v>mol/mol</v>
      </c>
      <c r="S1546" s="13" t="s">
        <v>25</v>
      </c>
    </row>
    <row r="1547" spans="1:19">
      <c r="A1547" s="18" t="s">
        <v>1592</v>
      </c>
      <c r="B1547" s="1" t="s">
        <v>1703</v>
      </c>
      <c r="C1547" s="1" t="s">
        <v>1697</v>
      </c>
      <c r="D1547" s="1" t="s">
        <v>1793</v>
      </c>
      <c r="E1547" s="1" t="s">
        <v>25</v>
      </c>
      <c r="F1547">
        <v>371.95161151697499</v>
      </c>
      <c r="G1547">
        <v>371.95161151697499</v>
      </c>
      <c r="H1547">
        <v>39.28</v>
      </c>
      <c r="I1547" s="1" t="s">
        <v>20</v>
      </c>
      <c r="J1547" s="1" t="s">
        <v>25</v>
      </c>
      <c r="K1547" s="11" t="s">
        <v>25</v>
      </c>
      <c r="L1547" s="32">
        <v>-1.1470971295218999</v>
      </c>
      <c r="M1547" s="3" t="str">
        <f t="shared" si="29"/>
        <v>44/40</v>
      </c>
      <c r="N1547" s="3" t="str">
        <f t="shared" si="30"/>
        <v>SW</v>
      </c>
      <c r="O1547" s="1">
        <v>245.525800445687</v>
      </c>
      <c r="P1547" s="3" t="str">
        <f t="shared" si="31"/>
        <v>ppm</v>
      </c>
      <c r="Q1547" s="37">
        <v>3.0787982091997924E-4</v>
      </c>
      <c r="R1547" s="3" t="str">
        <f t="shared" si="32"/>
        <v>mol/mol</v>
      </c>
      <c r="S1547" s="13">
        <f t="shared" si="28"/>
        <v>-1.1470971295218999</v>
      </c>
    </row>
    <row r="1548" spans="1:19">
      <c r="A1548" s="18" t="s">
        <v>1592</v>
      </c>
      <c r="B1548" s="1" t="s">
        <v>1704</v>
      </c>
      <c r="C1548" s="1" t="s">
        <v>1697</v>
      </c>
      <c r="D1548" s="1" t="s">
        <v>1793</v>
      </c>
      <c r="E1548" s="1" t="s">
        <v>25</v>
      </c>
      <c r="F1548">
        <v>371.976966050709</v>
      </c>
      <c r="G1548">
        <v>371.976966050709</v>
      </c>
      <c r="H1548">
        <v>38.1</v>
      </c>
      <c r="I1548" s="1" t="s">
        <v>20</v>
      </c>
      <c r="J1548" s="1" t="s">
        <v>25</v>
      </c>
      <c r="K1548" s="11" t="s">
        <v>25</v>
      </c>
      <c r="L1548" s="32" t="s">
        <v>25</v>
      </c>
      <c r="M1548" s="3" t="str">
        <f t="shared" si="29"/>
        <v>Na</v>
      </c>
      <c r="N1548" s="3" t="str">
        <f t="shared" si="30"/>
        <v>Na</v>
      </c>
      <c r="O1548" s="1">
        <v>208.539717652234</v>
      </c>
      <c r="P1548" s="3" t="str">
        <f t="shared" si="31"/>
        <v>ppm</v>
      </c>
      <c r="Q1548" s="37">
        <v>2.5096585375158822E-4</v>
      </c>
      <c r="R1548" s="3" t="str">
        <f t="shared" si="32"/>
        <v>mol/mol</v>
      </c>
      <c r="S1548" s="13" t="s">
        <v>25</v>
      </c>
    </row>
    <row r="1549" spans="1:19">
      <c r="A1549" s="18" t="s">
        <v>1592</v>
      </c>
      <c r="B1549" s="1" t="s">
        <v>1705</v>
      </c>
      <c r="C1549" s="1" t="s">
        <v>1697</v>
      </c>
      <c r="D1549" s="1" t="s">
        <v>1793</v>
      </c>
      <c r="E1549" s="1" t="s">
        <v>25</v>
      </c>
      <c r="F1549">
        <v>371.98878384185599</v>
      </c>
      <c r="G1549">
        <v>371.98878384185599</v>
      </c>
      <c r="H1549">
        <v>37.549999999999997</v>
      </c>
      <c r="I1549" s="1" t="s">
        <v>20</v>
      </c>
      <c r="J1549" s="1" t="s">
        <v>25</v>
      </c>
      <c r="K1549" s="11" t="s">
        <v>25</v>
      </c>
      <c r="L1549" s="32" t="s">
        <v>25</v>
      </c>
      <c r="M1549" s="3" t="str">
        <f t="shared" si="29"/>
        <v>Na</v>
      </c>
      <c r="N1549" s="3" t="str">
        <f t="shared" si="30"/>
        <v>Na</v>
      </c>
      <c r="O1549" s="1">
        <v>223.05954351006301</v>
      </c>
      <c r="P1549" s="3" t="str">
        <f t="shared" si="31"/>
        <v>ppm</v>
      </c>
      <c r="Q1549" s="37">
        <v>2.6743274938091394E-4</v>
      </c>
      <c r="R1549" s="3" t="str">
        <f t="shared" si="32"/>
        <v>mol/mol</v>
      </c>
      <c r="S1549" s="13" t="s">
        <v>25</v>
      </c>
    </row>
    <row r="1550" spans="1:19">
      <c r="A1550" s="18" t="s">
        <v>1592</v>
      </c>
      <c r="B1550" s="1" t="s">
        <v>1706</v>
      </c>
      <c r="C1550" s="1" t="s">
        <v>1697</v>
      </c>
      <c r="D1550" s="1" t="s">
        <v>1793</v>
      </c>
      <c r="E1550" s="1" t="s">
        <v>25</v>
      </c>
      <c r="F1550">
        <v>372.01134507950098</v>
      </c>
      <c r="G1550">
        <v>372.01134507950098</v>
      </c>
      <c r="H1550">
        <v>36.5</v>
      </c>
      <c r="I1550" s="1" t="s">
        <v>20</v>
      </c>
      <c r="J1550" s="1" t="s">
        <v>25</v>
      </c>
      <c r="K1550" s="11" t="s">
        <v>25</v>
      </c>
      <c r="L1550" s="32">
        <v>-1.00032854803048</v>
      </c>
      <c r="M1550" s="3" t="str">
        <f t="shared" si="29"/>
        <v>44/40</v>
      </c>
      <c r="N1550" s="3" t="str">
        <f t="shared" si="30"/>
        <v>SW</v>
      </c>
      <c r="O1550" s="1">
        <v>183.30367987053799</v>
      </c>
      <c r="P1550" s="3" t="str">
        <f t="shared" si="31"/>
        <v>ppm</v>
      </c>
      <c r="Q1550" s="37">
        <v>2.3591792756278489E-4</v>
      </c>
      <c r="R1550" s="3" t="str">
        <f t="shared" si="32"/>
        <v>mol/mol</v>
      </c>
      <c r="S1550" s="13">
        <f t="shared" si="28"/>
        <v>-1.00032854803048</v>
      </c>
    </row>
    <row r="1551" spans="1:19">
      <c r="A1551" s="18" t="s">
        <v>1592</v>
      </c>
      <c r="B1551" s="1" t="s">
        <v>1707</v>
      </c>
      <c r="C1551" s="1" t="s">
        <v>1697</v>
      </c>
      <c r="D1551" s="1" t="s">
        <v>1793</v>
      </c>
      <c r="E1551" s="1" t="s">
        <v>25</v>
      </c>
      <c r="F1551">
        <v>372.04035238504503</v>
      </c>
      <c r="G1551">
        <v>372.04035238504503</v>
      </c>
      <c r="H1551">
        <v>35.15</v>
      </c>
      <c r="I1551" s="1" t="s">
        <v>20</v>
      </c>
      <c r="J1551" s="1" t="s">
        <v>25</v>
      </c>
      <c r="K1551" s="11" t="s">
        <v>25</v>
      </c>
      <c r="L1551" s="32" t="s">
        <v>25</v>
      </c>
      <c r="M1551" s="3" t="str">
        <f t="shared" si="29"/>
        <v>Na</v>
      </c>
      <c r="N1551" s="3" t="str">
        <f t="shared" si="30"/>
        <v>Na</v>
      </c>
      <c r="O1551" s="1">
        <v>183.14097586032199</v>
      </c>
      <c r="P1551" s="3" t="str">
        <f t="shared" si="31"/>
        <v>ppm</v>
      </c>
      <c r="Q1551" s="37">
        <v>2.282191480007929E-4</v>
      </c>
      <c r="R1551" s="3" t="str">
        <f t="shared" si="32"/>
        <v>mol/mol</v>
      </c>
      <c r="S1551" s="13" t="s">
        <v>25</v>
      </c>
    </row>
    <row r="1552" spans="1:19">
      <c r="A1552" s="18" t="s">
        <v>1592</v>
      </c>
      <c r="B1552" s="1" t="s">
        <v>1708</v>
      </c>
      <c r="C1552" s="1" t="s">
        <v>1697</v>
      </c>
      <c r="D1552" s="1" t="s">
        <v>1793</v>
      </c>
      <c r="E1552" s="1" t="s">
        <v>25</v>
      </c>
      <c r="F1552">
        <v>372.06183927804</v>
      </c>
      <c r="G1552">
        <v>372.06183927804</v>
      </c>
      <c r="H1552">
        <v>34.15</v>
      </c>
      <c r="I1552" s="1" t="s">
        <v>20</v>
      </c>
      <c r="J1552" s="1" t="s">
        <v>25</v>
      </c>
      <c r="K1552" s="11" t="s">
        <v>25</v>
      </c>
      <c r="L1552" s="32" t="s">
        <v>25</v>
      </c>
      <c r="M1552" s="3" t="str">
        <f t="shared" si="29"/>
        <v>Na</v>
      </c>
      <c r="N1552" s="3" t="str">
        <f t="shared" si="30"/>
        <v>Na</v>
      </c>
      <c r="O1552" s="1">
        <v>192.15831535246801</v>
      </c>
      <c r="P1552" s="3" t="str">
        <f t="shared" si="31"/>
        <v>ppm</v>
      </c>
      <c r="Q1552" s="37">
        <v>2.4801318834805644E-4</v>
      </c>
      <c r="R1552" s="3" t="str">
        <f t="shared" si="32"/>
        <v>mol/mol</v>
      </c>
      <c r="S1552" s="13" t="s">
        <v>25</v>
      </c>
    </row>
    <row r="1553" spans="1:19">
      <c r="A1553" s="18" t="s">
        <v>1592</v>
      </c>
      <c r="B1553" s="1" t="s">
        <v>1709</v>
      </c>
      <c r="C1553" s="1" t="s">
        <v>1697</v>
      </c>
      <c r="D1553" s="1" t="s">
        <v>1793</v>
      </c>
      <c r="E1553" s="1" t="s">
        <v>25</v>
      </c>
      <c r="F1553">
        <v>372.092995272883</v>
      </c>
      <c r="G1553">
        <v>372.092995272883</v>
      </c>
      <c r="H1553">
        <v>32.700000000000003</v>
      </c>
      <c r="I1553" s="1" t="s">
        <v>20</v>
      </c>
      <c r="J1553" s="1" t="s">
        <v>25</v>
      </c>
      <c r="K1553" s="11" t="s">
        <v>25</v>
      </c>
      <c r="L1553" s="32" t="s">
        <v>25</v>
      </c>
      <c r="M1553" s="3" t="str">
        <f t="shared" si="29"/>
        <v>Na</v>
      </c>
      <c r="N1553" s="3" t="str">
        <f t="shared" si="30"/>
        <v>Na</v>
      </c>
      <c r="O1553" s="1">
        <v>190.28422645995801</v>
      </c>
      <c r="P1553" s="3" t="str">
        <f t="shared" si="31"/>
        <v>ppm</v>
      </c>
      <c r="Q1553" s="37">
        <v>2.3973765174408813E-4</v>
      </c>
      <c r="R1553" s="3" t="str">
        <f t="shared" si="32"/>
        <v>mol/mol</v>
      </c>
      <c r="S1553" s="13" t="s">
        <v>25</v>
      </c>
    </row>
    <row r="1554" spans="1:19">
      <c r="A1554" s="18" t="s">
        <v>1592</v>
      </c>
      <c r="B1554" s="1" t="s">
        <v>1710</v>
      </c>
      <c r="C1554" s="1" t="s">
        <v>1697</v>
      </c>
      <c r="D1554" s="1" t="s">
        <v>1793</v>
      </c>
      <c r="E1554" s="1" t="s">
        <v>25</v>
      </c>
      <c r="F1554">
        <v>372.10588740868099</v>
      </c>
      <c r="G1554">
        <v>372.10588740868099</v>
      </c>
      <c r="H1554">
        <v>32.1</v>
      </c>
      <c r="I1554" s="1" t="s">
        <v>20</v>
      </c>
      <c r="J1554" s="1" t="s">
        <v>25</v>
      </c>
      <c r="K1554" s="11" t="s">
        <v>25</v>
      </c>
      <c r="L1554" s="32">
        <v>-1.1077238973041801</v>
      </c>
      <c r="M1554" s="3" t="str">
        <f t="shared" si="29"/>
        <v>44/40</v>
      </c>
      <c r="N1554" s="3" t="str">
        <f t="shared" si="30"/>
        <v>SW</v>
      </c>
      <c r="O1554" s="1">
        <v>160.70453701647301</v>
      </c>
      <c r="P1554" s="3" t="str">
        <f t="shared" si="31"/>
        <v>ppm</v>
      </c>
      <c r="Q1554" s="37">
        <v>2.2895808777163683E-4</v>
      </c>
      <c r="R1554" s="3" t="str">
        <f t="shared" si="32"/>
        <v>mol/mol</v>
      </c>
      <c r="S1554" s="13">
        <f t="shared" si="28"/>
        <v>-1.1077238973041801</v>
      </c>
    </row>
    <row r="1555" spans="1:19">
      <c r="A1555" s="18" t="s">
        <v>1592</v>
      </c>
      <c r="B1555" s="1" t="s">
        <v>1711</v>
      </c>
      <c r="C1555" s="1" t="s">
        <v>1697</v>
      </c>
      <c r="D1555" s="1" t="s">
        <v>1793</v>
      </c>
      <c r="E1555" s="1" t="s">
        <v>25</v>
      </c>
      <c r="F1555">
        <v>372.13919209282301</v>
      </c>
      <c r="G1555">
        <v>372.13919209282301</v>
      </c>
      <c r="H1555">
        <v>30.55</v>
      </c>
      <c r="I1555" s="1" t="s">
        <v>20</v>
      </c>
      <c r="J1555" s="1" t="s">
        <v>25</v>
      </c>
      <c r="K1555" s="11" t="s">
        <v>25</v>
      </c>
      <c r="L1555" s="32" t="s">
        <v>25</v>
      </c>
      <c r="M1555" s="3" t="str">
        <f t="shared" si="29"/>
        <v>Na</v>
      </c>
      <c r="N1555" s="3" t="str">
        <f t="shared" si="30"/>
        <v>Na</v>
      </c>
      <c r="O1555" s="1">
        <v>166.12481355315501</v>
      </c>
      <c r="P1555" s="3" t="str">
        <f t="shared" si="31"/>
        <v>ppm</v>
      </c>
      <c r="Q1555" s="37">
        <v>2.2028315898614894E-4</v>
      </c>
      <c r="R1555" s="3" t="str">
        <f t="shared" si="32"/>
        <v>mol/mol</v>
      </c>
      <c r="S1555" s="13" t="s">
        <v>25</v>
      </c>
    </row>
    <row r="1556" spans="1:19">
      <c r="A1556" s="18" t="s">
        <v>1592</v>
      </c>
      <c r="B1556" s="1" t="s">
        <v>1712</v>
      </c>
      <c r="C1556" s="1" t="s">
        <v>1697</v>
      </c>
      <c r="D1556" s="1" t="s">
        <v>1793</v>
      </c>
      <c r="E1556" s="1" t="s">
        <v>25</v>
      </c>
      <c r="F1556">
        <v>372.15100988397103</v>
      </c>
      <c r="G1556">
        <v>372.15100988397103</v>
      </c>
      <c r="H1556">
        <v>30</v>
      </c>
      <c r="I1556" s="1" t="s">
        <v>20</v>
      </c>
      <c r="J1556" s="1" t="s">
        <v>25</v>
      </c>
      <c r="K1556" s="11" t="s">
        <v>25</v>
      </c>
      <c r="L1556" s="32" t="s">
        <v>25</v>
      </c>
      <c r="M1556" s="3" t="str">
        <f t="shared" si="29"/>
        <v>Na</v>
      </c>
      <c r="N1556" s="3" t="str">
        <f t="shared" si="30"/>
        <v>Na</v>
      </c>
      <c r="O1556" s="1">
        <v>179.212963588131</v>
      </c>
      <c r="P1556" s="3" t="str">
        <f t="shared" si="31"/>
        <v>ppm</v>
      </c>
      <c r="Q1556" s="37">
        <v>2.3163235918087347E-4</v>
      </c>
      <c r="R1556" s="3" t="str">
        <f t="shared" si="32"/>
        <v>mol/mol</v>
      </c>
      <c r="S1556" s="13" t="s">
        <v>25</v>
      </c>
    </row>
    <row r="1557" spans="1:19">
      <c r="A1557" s="18" t="s">
        <v>1592</v>
      </c>
      <c r="B1557" s="1" t="s">
        <v>1713</v>
      </c>
      <c r="C1557" s="1" t="s">
        <v>1697</v>
      </c>
      <c r="D1557" s="1" t="s">
        <v>1793</v>
      </c>
      <c r="E1557" s="1" t="s">
        <v>25</v>
      </c>
      <c r="F1557">
        <v>372.16024924795897</v>
      </c>
      <c r="G1557">
        <v>372.16024924795897</v>
      </c>
      <c r="H1557">
        <v>29.57</v>
      </c>
      <c r="I1557" s="1" t="s">
        <v>20</v>
      </c>
      <c r="J1557" s="1" t="s">
        <v>25</v>
      </c>
      <c r="K1557" s="11" t="s">
        <v>25</v>
      </c>
      <c r="L1557" s="32">
        <v>-1.01955315618769</v>
      </c>
      <c r="M1557" s="3" t="str">
        <f t="shared" si="29"/>
        <v>44/40</v>
      </c>
      <c r="N1557" s="3" t="str">
        <f t="shared" si="30"/>
        <v>SW</v>
      </c>
      <c r="O1557" s="1">
        <v>171.979535466828</v>
      </c>
      <c r="P1557" s="3" t="str">
        <f t="shared" si="31"/>
        <v>ppm</v>
      </c>
      <c r="Q1557" s="37">
        <v>2.2152177221352088E-4</v>
      </c>
      <c r="R1557" s="3" t="str">
        <f t="shared" si="32"/>
        <v>mol/mol</v>
      </c>
      <c r="S1557" s="13">
        <f t="shared" si="28"/>
        <v>-1.01955315618769</v>
      </c>
    </row>
    <row r="1558" spans="1:19">
      <c r="A1558" s="18" t="s">
        <v>1592</v>
      </c>
      <c r="B1558" s="1" t="s">
        <v>1714</v>
      </c>
      <c r="C1558" s="1" t="s">
        <v>1697</v>
      </c>
      <c r="D1558" s="1" t="s">
        <v>1793</v>
      </c>
      <c r="E1558" s="1" t="s">
        <v>25</v>
      </c>
      <c r="F1558">
        <v>372.16282767511802</v>
      </c>
      <c r="G1558">
        <v>372.16282767511802</v>
      </c>
      <c r="H1558">
        <v>29.45</v>
      </c>
      <c r="I1558" s="1" t="s">
        <v>20</v>
      </c>
      <c r="J1558" s="1" t="s">
        <v>25</v>
      </c>
      <c r="K1558" s="11" t="s">
        <v>25</v>
      </c>
      <c r="L1558" s="32" t="s">
        <v>25</v>
      </c>
      <c r="M1558" s="3" t="str">
        <f t="shared" si="29"/>
        <v>Na</v>
      </c>
      <c r="N1558" s="3" t="str">
        <f t="shared" si="30"/>
        <v>Na</v>
      </c>
      <c r="O1558" s="1">
        <v>179.350264849051</v>
      </c>
      <c r="P1558" s="3" t="str">
        <f t="shared" si="31"/>
        <v>ppm</v>
      </c>
      <c r="Q1558" s="37">
        <v>2.3494495357874042E-4</v>
      </c>
      <c r="R1558" s="3" t="str">
        <f t="shared" si="32"/>
        <v>mol/mol</v>
      </c>
      <c r="S1558" s="13" t="s">
        <v>25</v>
      </c>
    </row>
    <row r="1559" spans="1:19">
      <c r="A1559" s="18" t="s">
        <v>1592</v>
      </c>
      <c r="B1559" s="1" t="s">
        <v>1715</v>
      </c>
      <c r="C1559" s="1" t="s">
        <v>1697</v>
      </c>
      <c r="D1559" s="1" t="s">
        <v>1793</v>
      </c>
      <c r="E1559" s="1" t="s">
        <v>25</v>
      </c>
      <c r="F1559">
        <v>372.16562097120698</v>
      </c>
      <c r="G1559">
        <v>372.16562097120698</v>
      </c>
      <c r="H1559">
        <v>29.32</v>
      </c>
      <c r="I1559" s="1" t="s">
        <v>20</v>
      </c>
      <c r="J1559" s="1" t="s">
        <v>25</v>
      </c>
      <c r="K1559" s="11" t="s">
        <v>25</v>
      </c>
      <c r="L1559" s="32">
        <v>-1.0014695718551101</v>
      </c>
      <c r="M1559" s="3" t="str">
        <f t="shared" si="29"/>
        <v>44/40</v>
      </c>
      <c r="N1559" s="3" t="str">
        <f t="shared" si="30"/>
        <v>SW</v>
      </c>
      <c r="O1559" s="1">
        <v>186.40467620015099</v>
      </c>
      <c r="P1559" s="3" t="str">
        <f t="shared" si="31"/>
        <v>ppm</v>
      </c>
      <c r="Q1559" s="37">
        <v>2.5018435167602953E-4</v>
      </c>
      <c r="R1559" s="3" t="str">
        <f t="shared" si="32"/>
        <v>mol/mol</v>
      </c>
      <c r="S1559" s="13">
        <f t="shared" si="28"/>
        <v>-1.0014695718551101</v>
      </c>
    </row>
    <row r="1560" spans="1:19">
      <c r="A1560" s="18" t="s">
        <v>1592</v>
      </c>
      <c r="B1560" s="1" t="s">
        <v>1716</v>
      </c>
      <c r="C1560" s="1" t="s">
        <v>1697</v>
      </c>
      <c r="D1560" s="1" t="s">
        <v>1793</v>
      </c>
      <c r="E1560" s="1" t="s">
        <v>25</v>
      </c>
      <c r="F1560">
        <v>372.16819939836699</v>
      </c>
      <c r="G1560">
        <v>372.16819939836699</v>
      </c>
      <c r="H1560">
        <v>29.2</v>
      </c>
      <c r="I1560" s="1" t="s">
        <v>20</v>
      </c>
      <c r="J1560" s="1" t="s">
        <v>25</v>
      </c>
      <c r="K1560" s="11" t="s">
        <v>25</v>
      </c>
      <c r="L1560" s="32" t="s">
        <v>25</v>
      </c>
      <c r="M1560" s="3" t="str">
        <f t="shared" si="29"/>
        <v>Na</v>
      </c>
      <c r="N1560" s="3" t="str">
        <f t="shared" si="30"/>
        <v>Na</v>
      </c>
      <c r="O1560" s="1">
        <v>181.69451347073101</v>
      </c>
      <c r="P1560" s="3" t="str">
        <f t="shared" si="31"/>
        <v>ppm</v>
      </c>
      <c r="Q1560" s="37">
        <v>2.2694752593052674E-4</v>
      </c>
      <c r="R1560" s="3" t="str">
        <f t="shared" si="32"/>
        <v>mol/mol</v>
      </c>
      <c r="S1560" s="13" t="s">
        <v>25</v>
      </c>
    </row>
    <row r="1561" spans="1:19">
      <c r="A1561" s="18" t="s">
        <v>1592</v>
      </c>
      <c r="B1561" s="1" t="s">
        <v>1717</v>
      </c>
      <c r="C1561" s="1" t="s">
        <v>1697</v>
      </c>
      <c r="D1561" s="1" t="s">
        <v>1793</v>
      </c>
      <c r="E1561" s="1" t="s">
        <v>25</v>
      </c>
      <c r="F1561">
        <v>372.17056295659597</v>
      </c>
      <c r="G1561">
        <v>372.17056295659597</v>
      </c>
      <c r="H1561">
        <v>29.09</v>
      </c>
      <c r="I1561" s="1" t="s">
        <v>20</v>
      </c>
      <c r="J1561" s="1" t="s">
        <v>25</v>
      </c>
      <c r="K1561" s="11" t="s">
        <v>25</v>
      </c>
      <c r="L1561" s="32" t="s">
        <v>25</v>
      </c>
      <c r="M1561" s="3" t="str">
        <f t="shared" si="29"/>
        <v>Na</v>
      </c>
      <c r="N1561" s="3" t="str">
        <f t="shared" si="30"/>
        <v>Na</v>
      </c>
      <c r="O1561" s="1">
        <v>167.08710539482601</v>
      </c>
      <c r="P1561" s="3" t="str">
        <f t="shared" si="31"/>
        <v>ppm</v>
      </c>
      <c r="Q1561" s="37">
        <v>2.0947965224872318E-4</v>
      </c>
      <c r="R1561" s="3" t="str">
        <f t="shared" si="32"/>
        <v>mol/mol</v>
      </c>
      <c r="S1561" s="13" t="s">
        <v>25</v>
      </c>
    </row>
    <row r="1562" spans="1:19">
      <c r="A1562" s="18" t="s">
        <v>1592</v>
      </c>
      <c r="B1562" s="1" t="s">
        <v>1718</v>
      </c>
      <c r="C1562" s="1" t="s">
        <v>1697</v>
      </c>
      <c r="D1562" s="1" t="s">
        <v>1793</v>
      </c>
      <c r="E1562" s="1" t="s">
        <v>25</v>
      </c>
      <c r="F1562">
        <v>372.17292651482597</v>
      </c>
      <c r="G1562">
        <v>372.17292651482597</v>
      </c>
      <c r="H1562">
        <v>28.98</v>
      </c>
      <c r="I1562" s="1" t="s">
        <v>20</v>
      </c>
      <c r="J1562" s="1" t="s">
        <v>25</v>
      </c>
      <c r="K1562" s="11" t="s">
        <v>25</v>
      </c>
      <c r="L1562" s="32" t="s">
        <v>25</v>
      </c>
      <c r="M1562" s="3" t="str">
        <f t="shared" si="29"/>
        <v>Na</v>
      </c>
      <c r="N1562" s="3" t="str">
        <f t="shared" si="30"/>
        <v>Na</v>
      </c>
      <c r="O1562" s="1">
        <v>197.847371493971</v>
      </c>
      <c r="P1562" s="3" t="str">
        <f t="shared" si="31"/>
        <v>ppm</v>
      </c>
      <c r="Q1562" s="37">
        <v>2.3935990108119921E-4</v>
      </c>
      <c r="R1562" s="3" t="str">
        <f t="shared" si="32"/>
        <v>mol/mol</v>
      </c>
      <c r="S1562" s="13" t="s">
        <v>25</v>
      </c>
    </row>
    <row r="1563" spans="1:19">
      <c r="A1563" s="18" t="s">
        <v>1592</v>
      </c>
      <c r="B1563" s="1" t="s">
        <v>1719</v>
      </c>
      <c r="C1563" s="1" t="s">
        <v>1697</v>
      </c>
      <c r="D1563" s="1" t="s">
        <v>1793</v>
      </c>
      <c r="E1563" s="1" t="s">
        <v>25</v>
      </c>
      <c r="F1563">
        <v>372.17571981091498</v>
      </c>
      <c r="G1563">
        <v>372.17571981091498</v>
      </c>
      <c r="H1563">
        <v>28.85</v>
      </c>
      <c r="I1563" s="1" t="s">
        <v>20</v>
      </c>
      <c r="J1563" s="1" t="s">
        <v>25</v>
      </c>
      <c r="K1563" s="11" t="s">
        <v>25</v>
      </c>
      <c r="L1563" s="32" t="s">
        <v>25</v>
      </c>
      <c r="M1563" s="3" t="str">
        <f t="shared" si="29"/>
        <v>Na</v>
      </c>
      <c r="N1563" s="3" t="str">
        <f t="shared" si="30"/>
        <v>Na</v>
      </c>
      <c r="O1563" s="1">
        <v>187.64756621697501</v>
      </c>
      <c r="P1563" s="3" t="str">
        <f t="shared" si="31"/>
        <v>ppm</v>
      </c>
      <c r="Q1563" s="37">
        <v>2.348880913776373E-4</v>
      </c>
      <c r="R1563" s="3" t="str">
        <f t="shared" si="32"/>
        <v>mol/mol</v>
      </c>
      <c r="S1563" s="13" t="s">
        <v>25</v>
      </c>
    </row>
    <row r="1564" spans="1:19">
      <c r="A1564" s="18" t="s">
        <v>1592</v>
      </c>
      <c r="B1564" s="1" t="s">
        <v>1720</v>
      </c>
      <c r="C1564" s="1" t="s">
        <v>1697</v>
      </c>
      <c r="D1564" s="1" t="s">
        <v>1793</v>
      </c>
      <c r="E1564" s="1" t="s">
        <v>25</v>
      </c>
      <c r="F1564">
        <v>372.17851310700502</v>
      </c>
      <c r="G1564">
        <v>372.17851310700502</v>
      </c>
      <c r="H1564">
        <v>28.72</v>
      </c>
      <c r="I1564" s="1" t="s">
        <v>20</v>
      </c>
      <c r="J1564" s="1" t="s">
        <v>25</v>
      </c>
      <c r="K1564" s="11" t="s">
        <v>25</v>
      </c>
      <c r="L1564" s="32">
        <v>-1.0626809892547</v>
      </c>
      <c r="M1564" s="3" t="str">
        <f t="shared" si="29"/>
        <v>44/40</v>
      </c>
      <c r="N1564" s="3" t="str">
        <f t="shared" si="30"/>
        <v>SW</v>
      </c>
      <c r="O1564" s="1">
        <v>210.797739230042</v>
      </c>
      <c r="P1564" s="3" t="str">
        <f t="shared" si="31"/>
        <v>ppm</v>
      </c>
      <c r="Q1564" s="37">
        <v>2.5790726435695861E-4</v>
      </c>
      <c r="R1564" s="3" t="str">
        <f t="shared" si="32"/>
        <v>mol/mol</v>
      </c>
      <c r="S1564" s="13">
        <f t="shared" si="28"/>
        <v>-1.0626809892547</v>
      </c>
    </row>
    <row r="1565" spans="1:19">
      <c r="A1565" s="18" t="s">
        <v>1592</v>
      </c>
      <c r="B1565" s="1" t="s">
        <v>1721</v>
      </c>
      <c r="C1565" s="1" t="s">
        <v>1697</v>
      </c>
      <c r="D1565" s="1" t="s">
        <v>1793</v>
      </c>
      <c r="E1565" s="1" t="s">
        <v>25</v>
      </c>
      <c r="F1565">
        <v>372.18130640309403</v>
      </c>
      <c r="G1565">
        <v>372.18130640309403</v>
      </c>
      <c r="H1565">
        <v>28.59</v>
      </c>
      <c r="I1565" s="1" t="s">
        <v>20</v>
      </c>
      <c r="J1565" s="1" t="s">
        <v>25</v>
      </c>
      <c r="K1565" s="11" t="s">
        <v>25</v>
      </c>
      <c r="L1565" s="32" t="s">
        <v>25</v>
      </c>
      <c r="M1565" s="3" t="str">
        <f t="shared" si="29"/>
        <v>Na</v>
      </c>
      <c r="N1565" s="3" t="str">
        <f t="shared" si="30"/>
        <v>Na</v>
      </c>
      <c r="O1565" s="1">
        <v>253.15418503631</v>
      </c>
      <c r="P1565" s="3" t="str">
        <f t="shared" si="31"/>
        <v>ppm</v>
      </c>
      <c r="Q1565" s="37">
        <v>3.1694815039950671E-4</v>
      </c>
      <c r="R1565" s="3" t="str">
        <f t="shared" si="32"/>
        <v>mol/mol</v>
      </c>
      <c r="S1565" s="13" t="s">
        <v>25</v>
      </c>
    </row>
    <row r="1566" spans="1:19">
      <c r="A1566" s="18" t="s">
        <v>1592</v>
      </c>
      <c r="B1566" s="1" t="s">
        <v>1722</v>
      </c>
      <c r="C1566" s="1" t="s">
        <v>1697</v>
      </c>
      <c r="D1566" s="1" t="s">
        <v>1793</v>
      </c>
      <c r="E1566" s="1" t="s">
        <v>25</v>
      </c>
      <c r="F1566">
        <v>372.18345509239401</v>
      </c>
      <c r="G1566">
        <v>372.18345509239401</v>
      </c>
      <c r="H1566">
        <v>28.49</v>
      </c>
      <c r="I1566" s="1" t="s">
        <v>20</v>
      </c>
      <c r="J1566" s="1" t="s">
        <v>25</v>
      </c>
      <c r="K1566" s="11" t="s">
        <v>25</v>
      </c>
      <c r="L1566" s="32">
        <v>-1.01594982130606</v>
      </c>
      <c r="M1566" s="3" t="str">
        <f t="shared" si="29"/>
        <v>44/40</v>
      </c>
      <c r="N1566" s="3" t="str">
        <f t="shared" si="30"/>
        <v>SW</v>
      </c>
      <c r="O1566" s="1">
        <v>238.555305599056</v>
      </c>
      <c r="P1566" s="3" t="str">
        <f t="shared" si="31"/>
        <v>ppm</v>
      </c>
      <c r="Q1566" s="37">
        <v>3.0096922952858944E-4</v>
      </c>
      <c r="R1566" s="3" t="str">
        <f t="shared" si="32"/>
        <v>mol/mol</v>
      </c>
      <c r="S1566" s="13">
        <f t="shared" si="28"/>
        <v>-1.01594982130606</v>
      </c>
    </row>
    <row r="1567" spans="1:19">
      <c r="A1567" s="18" t="s">
        <v>1592</v>
      </c>
      <c r="B1567" s="1" t="s">
        <v>1723</v>
      </c>
      <c r="C1567" s="1" t="s">
        <v>1697</v>
      </c>
      <c r="D1567" s="1" t="s">
        <v>1793</v>
      </c>
      <c r="E1567" s="1" t="s">
        <v>25</v>
      </c>
      <c r="F1567">
        <v>372.18366996132397</v>
      </c>
      <c r="G1567">
        <v>372.18366996132397</v>
      </c>
      <c r="H1567">
        <v>28.48</v>
      </c>
      <c r="I1567" s="1" t="s">
        <v>20</v>
      </c>
      <c r="J1567" s="1" t="s">
        <v>25</v>
      </c>
      <c r="K1567" s="11" t="s">
        <v>25</v>
      </c>
      <c r="L1567" s="32" t="s">
        <v>25</v>
      </c>
      <c r="M1567" s="3" t="str">
        <f t="shared" si="29"/>
        <v>Na</v>
      </c>
      <c r="N1567" s="3" t="str">
        <f t="shared" si="30"/>
        <v>Na</v>
      </c>
      <c r="O1567" s="1">
        <v>236.82578697490499</v>
      </c>
      <c r="P1567" s="3" t="str">
        <f t="shared" si="31"/>
        <v>ppm</v>
      </c>
      <c r="Q1567" s="37">
        <v>2.8367150132645706E-4</v>
      </c>
      <c r="R1567" s="3" t="str">
        <f t="shared" si="32"/>
        <v>mol/mol</v>
      </c>
      <c r="S1567" s="13" t="s">
        <v>25</v>
      </c>
    </row>
    <row r="1568" spans="1:19">
      <c r="A1568" s="18" t="s">
        <v>1592</v>
      </c>
      <c r="B1568" s="1" t="s">
        <v>1724</v>
      </c>
      <c r="C1568" s="1" t="s">
        <v>1697</v>
      </c>
      <c r="D1568" s="1" t="s">
        <v>1793</v>
      </c>
      <c r="E1568" s="1" t="s">
        <v>25</v>
      </c>
      <c r="F1568">
        <v>372.18388483025399</v>
      </c>
      <c r="G1568">
        <v>372.18388483025399</v>
      </c>
      <c r="H1568">
        <v>28.47</v>
      </c>
      <c r="I1568" s="1" t="s">
        <v>20</v>
      </c>
      <c r="J1568" s="1" t="s">
        <v>25</v>
      </c>
      <c r="K1568" s="11" t="s">
        <v>25</v>
      </c>
      <c r="L1568" s="32" t="s">
        <v>25</v>
      </c>
      <c r="M1568" s="3" t="str">
        <f t="shared" si="29"/>
        <v>Na</v>
      </c>
      <c r="N1568" s="3" t="str">
        <f t="shared" si="30"/>
        <v>Na</v>
      </c>
      <c r="O1568" s="1">
        <v>256.04694375973997</v>
      </c>
      <c r="P1568" s="3" t="str">
        <f t="shared" si="31"/>
        <v>ppm</v>
      </c>
      <c r="Q1568" s="37">
        <v>3.0767477019915881E-4</v>
      </c>
      <c r="R1568" s="3" t="str">
        <f t="shared" si="32"/>
        <v>mol/mol</v>
      </c>
      <c r="S1568" s="13" t="s">
        <v>25</v>
      </c>
    </row>
    <row r="1569" spans="1:19">
      <c r="A1569" s="18" t="s">
        <v>1592</v>
      </c>
      <c r="B1569" s="1" t="s">
        <v>1725</v>
      </c>
      <c r="C1569" s="1" t="s">
        <v>1697</v>
      </c>
      <c r="D1569" s="1" t="s">
        <v>1793</v>
      </c>
      <c r="E1569" s="1" t="s">
        <v>25</v>
      </c>
      <c r="F1569">
        <v>372.18409969918298</v>
      </c>
      <c r="G1569">
        <v>372.18409969918298</v>
      </c>
      <c r="H1569">
        <v>28.46</v>
      </c>
      <c r="I1569" s="1" t="s">
        <v>20</v>
      </c>
      <c r="J1569" s="1" t="s">
        <v>25</v>
      </c>
      <c r="K1569" s="11" t="s">
        <v>25</v>
      </c>
      <c r="L1569" s="32" t="s">
        <v>25</v>
      </c>
      <c r="M1569" s="3" t="str">
        <f t="shared" si="29"/>
        <v>Na</v>
      </c>
      <c r="N1569" s="3" t="str">
        <f t="shared" si="30"/>
        <v>Na</v>
      </c>
      <c r="O1569" s="1">
        <v>361.35401001891802</v>
      </c>
      <c r="P1569" s="3" t="str">
        <f t="shared" si="31"/>
        <v>ppm</v>
      </c>
      <c r="Q1569" s="37">
        <v>4.3478743362020209E-4</v>
      </c>
      <c r="R1569" s="3" t="str">
        <f t="shared" si="32"/>
        <v>mol/mol</v>
      </c>
      <c r="S1569" s="13" t="s">
        <v>25</v>
      </c>
    </row>
    <row r="1570" spans="1:19">
      <c r="A1570" s="18" t="s">
        <v>1592</v>
      </c>
      <c r="B1570" s="1" t="s">
        <v>1726</v>
      </c>
      <c r="C1570" s="1" t="s">
        <v>1697</v>
      </c>
      <c r="D1570" s="1" t="s">
        <v>1793</v>
      </c>
      <c r="E1570" s="1" t="s">
        <v>25</v>
      </c>
      <c r="F1570">
        <v>372.18452943704301</v>
      </c>
      <c r="G1570">
        <v>372.18452943704301</v>
      </c>
      <c r="H1570">
        <v>28.44</v>
      </c>
      <c r="I1570" s="1" t="s">
        <v>20</v>
      </c>
      <c r="J1570" s="1" t="s">
        <v>25</v>
      </c>
      <c r="K1570" s="11" t="s">
        <v>25</v>
      </c>
      <c r="L1570" s="32" t="s">
        <v>25</v>
      </c>
      <c r="M1570" s="3" t="str">
        <f t="shared" si="29"/>
        <v>Na</v>
      </c>
      <c r="N1570" s="3" t="str">
        <f t="shared" si="30"/>
        <v>Na</v>
      </c>
      <c r="O1570" s="1">
        <v>222.125997050141</v>
      </c>
      <c r="P1570" s="3" t="str">
        <f t="shared" si="31"/>
        <v>ppm</v>
      </c>
      <c r="Q1570" s="37">
        <v>2.7913967815732058E-4</v>
      </c>
      <c r="R1570" s="3" t="str">
        <f t="shared" si="32"/>
        <v>mol/mol</v>
      </c>
      <c r="S1570" s="13" t="s">
        <v>25</v>
      </c>
    </row>
    <row r="1571" spans="1:19">
      <c r="A1571" s="18" t="s">
        <v>1592</v>
      </c>
      <c r="B1571" s="1" t="s">
        <v>1727</v>
      </c>
      <c r="C1571" s="1" t="s">
        <v>1697</v>
      </c>
      <c r="D1571" s="1" t="s">
        <v>1793</v>
      </c>
      <c r="E1571" s="1" t="s">
        <v>25</v>
      </c>
      <c r="F1571">
        <v>372.18495917490299</v>
      </c>
      <c r="G1571">
        <v>372.18495917490299</v>
      </c>
      <c r="H1571">
        <v>28.42</v>
      </c>
      <c r="I1571" s="1" t="s">
        <v>20</v>
      </c>
      <c r="J1571" s="1" t="s">
        <v>25</v>
      </c>
      <c r="K1571" s="11" t="s">
        <v>25</v>
      </c>
      <c r="L1571" s="32" t="s">
        <v>25</v>
      </c>
      <c r="M1571" s="3" t="str">
        <f t="shared" si="29"/>
        <v>Na</v>
      </c>
      <c r="N1571" s="3" t="str">
        <f t="shared" si="30"/>
        <v>Na</v>
      </c>
      <c r="O1571" s="1">
        <v>274.06083075264303</v>
      </c>
      <c r="P1571" s="3" t="str">
        <f t="shared" si="31"/>
        <v>ppm</v>
      </c>
      <c r="Q1571" s="37">
        <v>3.3601592748509919E-4</v>
      </c>
      <c r="R1571" s="3" t="str">
        <f t="shared" si="32"/>
        <v>mol/mol</v>
      </c>
      <c r="S1571" s="13" t="s">
        <v>25</v>
      </c>
    </row>
    <row r="1572" spans="1:19">
      <c r="A1572" s="18" t="s">
        <v>1592</v>
      </c>
      <c r="B1572" s="1" t="s">
        <v>1728</v>
      </c>
      <c r="C1572" s="1" t="s">
        <v>1697</v>
      </c>
      <c r="D1572" s="1" t="s">
        <v>1793</v>
      </c>
      <c r="E1572" s="1" t="s">
        <v>25</v>
      </c>
      <c r="F1572">
        <v>372.18560378169298</v>
      </c>
      <c r="G1572">
        <v>372.18560378169298</v>
      </c>
      <c r="H1572">
        <v>28.39</v>
      </c>
      <c r="I1572" s="1" t="s">
        <v>20</v>
      </c>
      <c r="J1572" s="1" t="s">
        <v>25</v>
      </c>
      <c r="K1572" s="11" t="s">
        <v>25</v>
      </c>
      <c r="L1572" s="32" t="s">
        <v>25</v>
      </c>
      <c r="M1572" s="3" t="str">
        <f t="shared" si="29"/>
        <v>Na</v>
      </c>
      <c r="N1572" s="3" t="str">
        <f t="shared" si="30"/>
        <v>Na</v>
      </c>
      <c r="O1572" s="1">
        <v>237.47744243748801</v>
      </c>
      <c r="P1572" s="3" t="str">
        <f t="shared" si="31"/>
        <v>ppm</v>
      </c>
      <c r="Q1572" s="37">
        <v>2.8933116763611233E-4</v>
      </c>
      <c r="R1572" s="3" t="str">
        <f t="shared" si="32"/>
        <v>mol/mol</v>
      </c>
      <c r="S1572" s="13" t="s">
        <v>25</v>
      </c>
    </row>
    <row r="1573" spans="1:19">
      <c r="A1573" s="18" t="s">
        <v>1592</v>
      </c>
      <c r="B1573" s="1" t="s">
        <v>1729</v>
      </c>
      <c r="C1573" s="1" t="s">
        <v>1697</v>
      </c>
      <c r="D1573" s="1" t="s">
        <v>1793</v>
      </c>
      <c r="E1573" s="1" t="s">
        <v>25</v>
      </c>
      <c r="F1573">
        <v>372.18839707778301</v>
      </c>
      <c r="G1573">
        <v>372.18839707778301</v>
      </c>
      <c r="H1573">
        <v>28.26</v>
      </c>
      <c r="I1573" s="1" t="s">
        <v>20</v>
      </c>
      <c r="J1573" s="1" t="s">
        <v>25</v>
      </c>
      <c r="K1573" s="11" t="s">
        <v>25</v>
      </c>
      <c r="L1573" s="32" t="s">
        <v>25</v>
      </c>
      <c r="M1573" s="3" t="str">
        <f t="shared" si="29"/>
        <v>Na</v>
      </c>
      <c r="N1573" s="3" t="str">
        <f t="shared" si="30"/>
        <v>Na</v>
      </c>
      <c r="O1573" s="1">
        <v>222.37969219016</v>
      </c>
      <c r="P1573" s="3" t="str">
        <f t="shared" si="31"/>
        <v>ppm</v>
      </c>
      <c r="Q1573" s="37">
        <v>2.6777271392012359E-4</v>
      </c>
      <c r="R1573" s="3" t="str">
        <f t="shared" si="32"/>
        <v>mol/mol</v>
      </c>
      <c r="S1573" s="13" t="s">
        <v>25</v>
      </c>
    </row>
    <row r="1574" spans="1:19">
      <c r="A1574" s="18" t="s">
        <v>1592</v>
      </c>
      <c r="B1574" s="1" t="s">
        <v>1730</v>
      </c>
      <c r="C1574" s="1" t="s">
        <v>1697</v>
      </c>
      <c r="D1574" s="1" t="s">
        <v>1793</v>
      </c>
      <c r="E1574" s="1" t="s">
        <v>25</v>
      </c>
      <c r="F1574">
        <v>372.19054576708203</v>
      </c>
      <c r="G1574">
        <v>372.19054576708203</v>
      </c>
      <c r="H1574">
        <v>28.16</v>
      </c>
      <c r="I1574" s="1" t="s">
        <v>20</v>
      </c>
      <c r="J1574" s="1" t="s">
        <v>25</v>
      </c>
      <c r="K1574" s="11" t="s">
        <v>25</v>
      </c>
      <c r="L1574" s="32">
        <v>-1.1306931037154699</v>
      </c>
      <c r="M1574" s="3" t="str">
        <f t="shared" si="29"/>
        <v>44/40</v>
      </c>
      <c r="N1574" s="3" t="str">
        <f t="shared" si="30"/>
        <v>SW</v>
      </c>
      <c r="O1574" s="1">
        <v>220.835218363146</v>
      </c>
      <c r="P1574" s="3" t="str">
        <f t="shared" si="31"/>
        <v>ppm</v>
      </c>
      <c r="Q1574" s="37">
        <v>2.7519142096220139E-4</v>
      </c>
      <c r="R1574" s="3" t="str">
        <f t="shared" si="32"/>
        <v>mol/mol</v>
      </c>
      <c r="S1574" s="13">
        <f t="shared" si="28"/>
        <v>-1.1306931037154699</v>
      </c>
    </row>
    <row r="1575" spans="1:19">
      <c r="A1575" s="18" t="s">
        <v>1592</v>
      </c>
      <c r="B1575" s="1" t="s">
        <v>1731</v>
      </c>
      <c r="C1575" s="1" t="s">
        <v>1697</v>
      </c>
      <c r="D1575" s="1" t="s">
        <v>1793</v>
      </c>
      <c r="E1575" s="1" t="s">
        <v>25</v>
      </c>
      <c r="F1575">
        <v>372.19204984959202</v>
      </c>
      <c r="G1575">
        <v>372.19204984959202</v>
      </c>
      <c r="H1575">
        <v>28.09</v>
      </c>
      <c r="I1575" s="1" t="s">
        <v>20</v>
      </c>
      <c r="J1575" s="1" t="s">
        <v>25</v>
      </c>
      <c r="K1575" s="11" t="s">
        <v>25</v>
      </c>
      <c r="L1575" s="32" t="s">
        <v>25</v>
      </c>
      <c r="M1575" s="3" t="str">
        <f t="shared" si="29"/>
        <v>Na</v>
      </c>
      <c r="N1575" s="3" t="str">
        <f t="shared" si="30"/>
        <v>Na</v>
      </c>
      <c r="O1575" s="1">
        <v>231.01500262310299</v>
      </c>
      <c r="P1575" s="3" t="str">
        <f t="shared" si="31"/>
        <v>ppm</v>
      </c>
      <c r="Q1575" s="37">
        <v>2.7948679711331889E-4</v>
      </c>
      <c r="R1575" s="3" t="str">
        <f t="shared" si="32"/>
        <v>mol/mol</v>
      </c>
      <c r="S1575" s="13" t="s">
        <v>25</v>
      </c>
    </row>
    <row r="1576" spans="1:19">
      <c r="A1576" s="18" t="s">
        <v>1592</v>
      </c>
      <c r="B1576" s="1" t="s">
        <v>1732</v>
      </c>
      <c r="C1576" s="1" t="s">
        <v>1697</v>
      </c>
      <c r="D1576" s="1" t="s">
        <v>1793</v>
      </c>
      <c r="E1576" s="1" t="s">
        <v>25</v>
      </c>
      <c r="F1576">
        <v>372.19398366996103</v>
      </c>
      <c r="G1576">
        <v>372.19398366996103</v>
      </c>
      <c r="H1576">
        <v>28</v>
      </c>
      <c r="I1576" s="1" t="s">
        <v>20</v>
      </c>
      <c r="J1576" s="1" t="s">
        <v>25</v>
      </c>
      <c r="K1576" s="11" t="s">
        <v>25</v>
      </c>
      <c r="L1576" s="32">
        <v>-1.1511027516729</v>
      </c>
      <c r="M1576" s="3" t="str">
        <f t="shared" si="29"/>
        <v>44/40</v>
      </c>
      <c r="N1576" s="3" t="str">
        <f t="shared" si="30"/>
        <v>SW</v>
      </c>
      <c r="O1576" s="1">
        <v>243.615804730359</v>
      </c>
      <c r="P1576" s="3" t="str">
        <f t="shared" si="31"/>
        <v>ppm</v>
      </c>
      <c r="Q1576" s="37">
        <v>2.9417478443115802E-4</v>
      </c>
      <c r="R1576" s="3" t="str">
        <f t="shared" si="32"/>
        <v>mol/mol</v>
      </c>
      <c r="S1576" s="13">
        <f t="shared" si="28"/>
        <v>-1.1511027516729</v>
      </c>
    </row>
    <row r="1577" spans="1:19">
      <c r="A1577" s="18" t="s">
        <v>1592</v>
      </c>
      <c r="B1577" s="1" t="s">
        <v>1733</v>
      </c>
      <c r="C1577" s="1" t="s">
        <v>1697</v>
      </c>
      <c r="D1577" s="1" t="s">
        <v>1793</v>
      </c>
      <c r="E1577" s="1" t="s">
        <v>25</v>
      </c>
      <c r="F1577">
        <v>372.19527288354101</v>
      </c>
      <c r="G1577">
        <v>372.19527288354101</v>
      </c>
      <c r="H1577">
        <v>27.94</v>
      </c>
      <c r="I1577" s="1" t="s">
        <v>20</v>
      </c>
      <c r="J1577" s="1" t="s">
        <v>25</v>
      </c>
      <c r="K1577" s="11" t="s">
        <v>25</v>
      </c>
      <c r="L1577" s="32" t="s">
        <v>25</v>
      </c>
      <c r="M1577" s="3" t="str">
        <f t="shared" si="29"/>
        <v>Na</v>
      </c>
      <c r="N1577" s="3" t="str">
        <f t="shared" si="30"/>
        <v>Na</v>
      </c>
      <c r="O1577" s="1">
        <v>265.68946679732198</v>
      </c>
      <c r="P1577" s="3" t="str">
        <f t="shared" si="31"/>
        <v>ppm</v>
      </c>
      <c r="Q1577" s="37">
        <v>3.1998332276623104E-4</v>
      </c>
      <c r="R1577" s="3" t="str">
        <f t="shared" si="32"/>
        <v>mol/mol</v>
      </c>
      <c r="S1577" s="13" t="s">
        <v>25</v>
      </c>
    </row>
    <row r="1578" spans="1:19">
      <c r="A1578" s="18" t="s">
        <v>1592</v>
      </c>
      <c r="B1578" s="1" t="s">
        <v>1734</v>
      </c>
      <c r="C1578" s="1" t="s">
        <v>1697</v>
      </c>
      <c r="D1578" s="1" t="s">
        <v>1793</v>
      </c>
      <c r="E1578" s="1" t="s">
        <v>25</v>
      </c>
      <c r="F1578">
        <v>372.196776966051</v>
      </c>
      <c r="G1578">
        <v>372.196776966051</v>
      </c>
      <c r="H1578">
        <v>27.87</v>
      </c>
      <c r="I1578" s="1" t="s">
        <v>20</v>
      </c>
      <c r="J1578" s="1" t="s">
        <v>25</v>
      </c>
      <c r="K1578" s="11" t="s">
        <v>25</v>
      </c>
      <c r="L1578" s="32">
        <v>-1.39277394174281</v>
      </c>
      <c r="M1578" s="3" t="str">
        <f t="shared" si="29"/>
        <v>44/40</v>
      </c>
      <c r="N1578" s="3" t="str">
        <f t="shared" si="30"/>
        <v>SW</v>
      </c>
      <c r="O1578" s="1">
        <v>343.43897549782002</v>
      </c>
      <c r="P1578" s="3" t="str">
        <f t="shared" si="31"/>
        <v>ppm</v>
      </c>
      <c r="Q1578" s="37">
        <v>4.1581445075493639E-4</v>
      </c>
      <c r="R1578" s="3" t="str">
        <f t="shared" si="32"/>
        <v>mol/mol</v>
      </c>
      <c r="S1578" s="13">
        <f t="shared" si="28"/>
        <v>-1.39277394174281</v>
      </c>
    </row>
    <row r="1579" spans="1:19">
      <c r="A1579" s="18" t="s">
        <v>1592</v>
      </c>
      <c r="B1579" s="1" t="s">
        <v>1735</v>
      </c>
      <c r="C1579" s="1" t="s">
        <v>1697</v>
      </c>
      <c r="D1579" s="1" t="s">
        <v>1793</v>
      </c>
      <c r="E1579" s="1" t="s">
        <v>25</v>
      </c>
      <c r="F1579">
        <v>372.19892565535002</v>
      </c>
      <c r="G1579">
        <v>372.19892565535002</v>
      </c>
      <c r="H1579">
        <v>27.77</v>
      </c>
      <c r="I1579" s="1" t="s">
        <v>20</v>
      </c>
      <c r="J1579" s="1" t="s">
        <v>25</v>
      </c>
      <c r="K1579" s="11" t="s">
        <v>25</v>
      </c>
      <c r="L1579" s="32">
        <v>-1.20634001801678</v>
      </c>
      <c r="M1579" s="3" t="str">
        <f t="shared" si="29"/>
        <v>44/40</v>
      </c>
      <c r="N1579" s="3" t="str">
        <f t="shared" si="30"/>
        <v>SW</v>
      </c>
      <c r="O1579" s="1">
        <v>314.79706629784499</v>
      </c>
      <c r="P1579" s="3" t="str">
        <f t="shared" si="31"/>
        <v>ppm</v>
      </c>
      <c r="Q1579" s="37">
        <v>3.7593897572648038E-4</v>
      </c>
      <c r="R1579" s="3" t="str">
        <f t="shared" si="32"/>
        <v>mol/mol</v>
      </c>
      <c r="S1579" s="13">
        <f t="shared" si="28"/>
        <v>-1.20634001801678</v>
      </c>
    </row>
    <row r="1580" spans="1:19">
      <c r="A1580" s="18" t="s">
        <v>1592</v>
      </c>
      <c r="B1580" s="1" t="s">
        <v>1736</v>
      </c>
      <c r="C1580" s="1" t="s">
        <v>1697</v>
      </c>
      <c r="D1580" s="1" t="s">
        <v>1793</v>
      </c>
      <c r="E1580" s="1" t="s">
        <v>25</v>
      </c>
      <c r="F1580">
        <v>372.2</v>
      </c>
      <c r="G1580">
        <v>372.2</v>
      </c>
      <c r="H1580">
        <v>27.72</v>
      </c>
      <c r="I1580" s="1" t="s">
        <v>20</v>
      </c>
      <c r="J1580" s="1" t="s">
        <v>25</v>
      </c>
      <c r="K1580" s="11" t="s">
        <v>25</v>
      </c>
      <c r="L1580" s="32">
        <v>-1.05187810735656</v>
      </c>
      <c r="M1580" s="3" t="str">
        <f t="shared" si="29"/>
        <v>44/40</v>
      </c>
      <c r="N1580" s="3" t="str">
        <f t="shared" si="30"/>
        <v>SW</v>
      </c>
      <c r="O1580" s="1">
        <v>272.57648210544897</v>
      </c>
      <c r="P1580" s="3" t="str">
        <f t="shared" si="31"/>
        <v>ppm</v>
      </c>
      <c r="Q1580" s="37">
        <v>3.3966823764553444E-4</v>
      </c>
      <c r="R1580" s="3" t="str">
        <f t="shared" si="32"/>
        <v>mol/mol</v>
      </c>
      <c r="S1580" s="13">
        <f t="shared" si="28"/>
        <v>-1.05187810735656</v>
      </c>
    </row>
    <row r="1581" spans="1:19">
      <c r="A1581" s="18" t="s">
        <v>1592</v>
      </c>
      <c r="B1581" s="1" t="s">
        <v>1737</v>
      </c>
      <c r="C1581" s="1" t="s">
        <v>1697</v>
      </c>
      <c r="D1581" s="1" t="s">
        <v>1793</v>
      </c>
      <c r="E1581" s="1" t="s">
        <v>25</v>
      </c>
      <c r="F1581">
        <v>372.20451224752901</v>
      </c>
      <c r="G1581">
        <v>372.20451224752901</v>
      </c>
      <c r="H1581">
        <v>27.51</v>
      </c>
      <c r="I1581" s="1" t="s">
        <v>20</v>
      </c>
      <c r="J1581" s="1" t="s">
        <v>25</v>
      </c>
      <c r="K1581" s="11" t="s">
        <v>25</v>
      </c>
      <c r="L1581" s="32">
        <v>-1.4084106002867101</v>
      </c>
      <c r="M1581" s="3" t="str">
        <f t="shared" si="29"/>
        <v>44/40</v>
      </c>
      <c r="N1581" s="3" t="str">
        <f t="shared" si="30"/>
        <v>SW</v>
      </c>
      <c r="O1581" s="1">
        <v>437.43923406655603</v>
      </c>
      <c r="P1581" s="3" t="str">
        <f t="shared" si="31"/>
        <v>ppm</v>
      </c>
      <c r="Q1581" s="37">
        <v>5.3153681713476912E-4</v>
      </c>
      <c r="R1581" s="3" t="str">
        <f t="shared" si="32"/>
        <v>mol/mol</v>
      </c>
      <c r="S1581" s="13">
        <f t="shared" si="28"/>
        <v>-1.4084106002867101</v>
      </c>
    </row>
    <row r="1582" spans="1:19">
      <c r="A1582" s="18" t="s">
        <v>1592</v>
      </c>
      <c r="B1582" s="1" t="s">
        <v>1738</v>
      </c>
      <c r="C1582" s="1" t="s">
        <v>1697</v>
      </c>
      <c r="D1582" s="1" t="s">
        <v>1793</v>
      </c>
      <c r="E1582" s="1" t="s">
        <v>25</v>
      </c>
      <c r="F1582">
        <v>372.20558659217897</v>
      </c>
      <c r="G1582">
        <v>372.20558659217897</v>
      </c>
      <c r="H1582">
        <v>27.46</v>
      </c>
      <c r="I1582" s="1" t="s">
        <v>20</v>
      </c>
      <c r="J1582" s="1" t="s">
        <v>25</v>
      </c>
      <c r="K1582" s="11" t="s">
        <v>25</v>
      </c>
      <c r="L1582" s="32">
        <v>-1.4198252702202601</v>
      </c>
      <c r="M1582" s="3" t="str">
        <f t="shared" si="29"/>
        <v>44/40</v>
      </c>
      <c r="N1582" s="3" t="str">
        <f t="shared" si="30"/>
        <v>SW</v>
      </c>
      <c r="O1582" s="1">
        <v>450.26847350836402</v>
      </c>
      <c r="P1582" s="3" t="str">
        <f t="shared" si="31"/>
        <v>ppm</v>
      </c>
      <c r="Q1582" s="37">
        <v>5.5654071882644304E-4</v>
      </c>
      <c r="R1582" s="3" t="str">
        <f t="shared" si="32"/>
        <v>mol/mol</v>
      </c>
      <c r="S1582" s="13">
        <f t="shared" si="28"/>
        <v>-1.4198252702202601</v>
      </c>
    </row>
    <row r="1583" spans="1:19">
      <c r="A1583" s="18" t="s">
        <v>1592</v>
      </c>
      <c r="B1583" s="1" t="s">
        <v>1739</v>
      </c>
      <c r="C1583" s="1" t="s">
        <v>1697</v>
      </c>
      <c r="D1583" s="1" t="s">
        <v>1793</v>
      </c>
      <c r="E1583" s="1" t="s">
        <v>25</v>
      </c>
      <c r="F1583">
        <v>372.20773528147799</v>
      </c>
      <c r="G1583">
        <v>372.20773528147799</v>
      </c>
      <c r="H1583">
        <v>27.36</v>
      </c>
      <c r="I1583" s="1" t="s">
        <v>20</v>
      </c>
      <c r="J1583" s="1" t="s">
        <v>25</v>
      </c>
      <c r="K1583" s="11" t="s">
        <v>25</v>
      </c>
      <c r="L1583" s="32">
        <v>-1.2767216127243</v>
      </c>
      <c r="M1583" s="3" t="str">
        <f t="shared" si="29"/>
        <v>44/40</v>
      </c>
      <c r="N1583" s="3" t="str">
        <f t="shared" si="30"/>
        <v>SW</v>
      </c>
      <c r="O1583" s="1">
        <v>361.81193672760401</v>
      </c>
      <c r="P1583" s="3" t="str">
        <f t="shared" si="31"/>
        <v>ppm</v>
      </c>
      <c r="Q1583" s="37">
        <v>4.3781052814243122E-4</v>
      </c>
      <c r="R1583" s="3" t="str">
        <f t="shared" si="32"/>
        <v>mol/mol</v>
      </c>
      <c r="S1583" s="13">
        <f t="shared" si="28"/>
        <v>-1.2767216127243</v>
      </c>
    </row>
    <row r="1584" spans="1:19">
      <c r="A1584" s="18" t="s">
        <v>1592</v>
      </c>
      <c r="B1584" s="1" t="s">
        <v>1740</v>
      </c>
      <c r="C1584" s="1" t="s">
        <v>1697</v>
      </c>
      <c r="D1584" s="1" t="s">
        <v>1793</v>
      </c>
      <c r="E1584" s="1" t="s">
        <v>25</v>
      </c>
      <c r="F1584">
        <v>372.210098839708</v>
      </c>
      <c r="G1584">
        <v>372.210098839708</v>
      </c>
      <c r="H1584">
        <v>27.25</v>
      </c>
      <c r="I1584" s="1" t="s">
        <v>20</v>
      </c>
      <c r="J1584" s="1" t="s">
        <v>25</v>
      </c>
      <c r="K1584" s="11" t="s">
        <v>25</v>
      </c>
      <c r="L1584" s="32">
        <v>-1.3081999281718799</v>
      </c>
      <c r="M1584" s="3" t="str">
        <f t="shared" si="29"/>
        <v>44/40</v>
      </c>
      <c r="N1584" s="3" t="str">
        <f t="shared" si="30"/>
        <v>SW</v>
      </c>
      <c r="O1584" s="1">
        <v>293.87994261238202</v>
      </c>
      <c r="P1584" s="3" t="str">
        <f t="shared" si="31"/>
        <v>ppm</v>
      </c>
      <c r="Q1584" s="37">
        <v>3.4777574317759437E-4</v>
      </c>
      <c r="R1584" s="3" t="str">
        <f t="shared" si="32"/>
        <v>mol/mol</v>
      </c>
      <c r="S1584" s="13">
        <f t="shared" si="28"/>
        <v>-1.3081999281718799</v>
      </c>
    </row>
    <row r="1585" spans="1:19">
      <c r="A1585" s="18" t="s">
        <v>1592</v>
      </c>
      <c r="B1585" s="1" t="s">
        <v>1741</v>
      </c>
      <c r="C1585" s="1" t="s">
        <v>1697</v>
      </c>
      <c r="D1585" s="1" t="s">
        <v>1793</v>
      </c>
      <c r="E1585" s="1" t="s">
        <v>25</v>
      </c>
      <c r="F1585">
        <v>372.21246239793697</v>
      </c>
      <c r="G1585">
        <v>372.21246239793697</v>
      </c>
      <c r="H1585">
        <v>27.14</v>
      </c>
      <c r="I1585" s="1" t="s">
        <v>20</v>
      </c>
      <c r="J1585" s="1" t="s">
        <v>25</v>
      </c>
      <c r="K1585" s="11" t="s">
        <v>25</v>
      </c>
      <c r="L1585" s="32">
        <v>-1.35655931874647</v>
      </c>
      <c r="M1585" s="3" t="str">
        <f t="shared" si="29"/>
        <v>44/40</v>
      </c>
      <c r="N1585" s="3" t="str">
        <f t="shared" si="30"/>
        <v>SW</v>
      </c>
      <c r="O1585" s="1">
        <v>362.52217361651299</v>
      </c>
      <c r="P1585" s="3" t="str">
        <f t="shared" si="31"/>
        <v>ppm</v>
      </c>
      <c r="Q1585" s="37">
        <v>4.3341936549844292E-4</v>
      </c>
      <c r="R1585" s="3" t="str">
        <f t="shared" si="32"/>
        <v>mol/mol</v>
      </c>
      <c r="S1585" s="13">
        <f t="shared" si="28"/>
        <v>-1.35655931874647</v>
      </c>
    </row>
    <row r="1586" spans="1:19">
      <c r="A1586" s="18" t="s">
        <v>1592</v>
      </c>
      <c r="B1586" s="1" t="s">
        <v>1742</v>
      </c>
      <c r="C1586" s="1" t="s">
        <v>1697</v>
      </c>
      <c r="D1586" s="1" t="s">
        <v>1793</v>
      </c>
      <c r="E1586" s="1" t="s">
        <v>25</v>
      </c>
      <c r="F1586">
        <v>372.21461108723702</v>
      </c>
      <c r="G1586">
        <v>372.21461108723702</v>
      </c>
      <c r="H1586">
        <v>27.04</v>
      </c>
      <c r="I1586" s="1" t="s">
        <v>20</v>
      </c>
      <c r="J1586" s="1" t="s">
        <v>25</v>
      </c>
      <c r="K1586" s="11" t="s">
        <v>25</v>
      </c>
      <c r="L1586" s="32">
        <v>-1.3320539487460501</v>
      </c>
      <c r="M1586" s="3" t="str">
        <f t="shared" si="29"/>
        <v>44/40</v>
      </c>
      <c r="N1586" s="3" t="str">
        <f t="shared" si="30"/>
        <v>SW</v>
      </c>
      <c r="O1586" s="1">
        <v>332.01620094560298</v>
      </c>
      <c r="P1586" s="3" t="str">
        <f t="shared" si="31"/>
        <v>ppm</v>
      </c>
      <c r="Q1586" s="37">
        <v>3.9276054717108261E-4</v>
      </c>
      <c r="R1586" s="3" t="str">
        <f t="shared" si="32"/>
        <v>mol/mol</v>
      </c>
      <c r="S1586" s="13">
        <f t="shared" si="28"/>
        <v>-1.3320539487460501</v>
      </c>
    </row>
    <row r="1587" spans="1:19">
      <c r="A1587" s="18" t="s">
        <v>1592</v>
      </c>
      <c r="B1587" s="1" t="s">
        <v>1743</v>
      </c>
      <c r="C1587" s="1" t="s">
        <v>1697</v>
      </c>
      <c r="D1587" s="1" t="s">
        <v>1793</v>
      </c>
      <c r="E1587" s="1" t="s">
        <v>25</v>
      </c>
      <c r="F1587">
        <v>372.21718951439601</v>
      </c>
      <c r="G1587">
        <v>372.21718951439601</v>
      </c>
      <c r="H1587">
        <v>26.92</v>
      </c>
      <c r="I1587" s="1" t="s">
        <v>20</v>
      </c>
      <c r="J1587" s="1" t="s">
        <v>25</v>
      </c>
      <c r="K1587" s="11" t="s">
        <v>25</v>
      </c>
      <c r="L1587" s="32">
        <v>-1.34756296895887</v>
      </c>
      <c r="M1587" s="3" t="str">
        <f t="shared" si="29"/>
        <v>44/40</v>
      </c>
      <c r="N1587" s="3" t="str">
        <f t="shared" si="30"/>
        <v>SW</v>
      </c>
      <c r="O1587" s="1">
        <v>347.88238142119502</v>
      </c>
      <c r="P1587" s="3" t="str">
        <f t="shared" si="31"/>
        <v>ppm</v>
      </c>
      <c r="Q1587" s="37">
        <v>4.1787028084480291E-4</v>
      </c>
      <c r="R1587" s="3" t="str">
        <f t="shared" si="32"/>
        <v>mol/mol</v>
      </c>
      <c r="S1587" s="13">
        <f t="shared" si="28"/>
        <v>-1.34756296895887</v>
      </c>
    </row>
    <row r="1588" spans="1:19">
      <c r="A1588" s="18" t="s">
        <v>1592</v>
      </c>
      <c r="B1588" s="1" t="s">
        <v>1744</v>
      </c>
      <c r="C1588" s="1" t="s">
        <v>1697</v>
      </c>
      <c r="D1588" s="1" t="s">
        <v>1793</v>
      </c>
      <c r="E1588" s="1" t="s">
        <v>25</v>
      </c>
      <c r="F1588">
        <v>372.21912333476598</v>
      </c>
      <c r="G1588">
        <v>372.21912333476598</v>
      </c>
      <c r="H1588">
        <v>26.83</v>
      </c>
      <c r="I1588" s="1" t="s">
        <v>20</v>
      </c>
      <c r="J1588" s="1" t="s">
        <v>25</v>
      </c>
      <c r="K1588" s="11" t="s">
        <v>25</v>
      </c>
      <c r="L1588" s="32" t="s">
        <v>25</v>
      </c>
      <c r="M1588" s="3" t="str">
        <f t="shared" si="29"/>
        <v>Na</v>
      </c>
      <c r="N1588" s="3" t="str">
        <f t="shared" si="30"/>
        <v>Na</v>
      </c>
      <c r="O1588" s="1">
        <v>325.25794903887203</v>
      </c>
      <c r="P1588" s="3" t="str">
        <f t="shared" si="31"/>
        <v>ppm</v>
      </c>
      <c r="Q1588" s="37">
        <v>3.783939144796813E-4</v>
      </c>
      <c r="R1588" s="3" t="str">
        <f t="shared" si="32"/>
        <v>mol/mol</v>
      </c>
      <c r="S1588" s="13" t="s">
        <v>25</v>
      </c>
    </row>
    <row r="1589" spans="1:19">
      <c r="A1589" s="18" t="s">
        <v>1592</v>
      </c>
      <c r="B1589" s="1" t="s">
        <v>1745</v>
      </c>
      <c r="C1589" s="1" t="s">
        <v>1697</v>
      </c>
      <c r="D1589" s="1" t="s">
        <v>1793</v>
      </c>
      <c r="E1589" s="1" t="s">
        <v>25</v>
      </c>
      <c r="F1589">
        <v>372.22256123764498</v>
      </c>
      <c r="G1589">
        <v>372.22256123764498</v>
      </c>
      <c r="H1589">
        <v>26.67</v>
      </c>
      <c r="I1589" s="1" t="s">
        <v>20</v>
      </c>
      <c r="J1589" s="1" t="s">
        <v>25</v>
      </c>
      <c r="K1589" s="11" t="s">
        <v>25</v>
      </c>
      <c r="L1589" s="32">
        <v>-1.1491198079807801</v>
      </c>
      <c r="M1589" s="3" t="str">
        <f t="shared" si="29"/>
        <v>44/40</v>
      </c>
      <c r="N1589" s="3" t="str">
        <f t="shared" si="30"/>
        <v>SW</v>
      </c>
      <c r="O1589" s="1">
        <v>271.09627517520101</v>
      </c>
      <c r="P1589" s="3" t="str">
        <f t="shared" si="31"/>
        <v>ppm</v>
      </c>
      <c r="Q1589" s="37">
        <v>3.2236524350171355E-4</v>
      </c>
      <c r="R1589" s="3" t="str">
        <f t="shared" si="32"/>
        <v>mol/mol</v>
      </c>
      <c r="S1589" s="13">
        <f t="shared" si="28"/>
        <v>-1.1491198079807801</v>
      </c>
    </row>
    <row r="1590" spans="1:19">
      <c r="A1590" s="18" t="s">
        <v>1592</v>
      </c>
      <c r="B1590" s="1" t="s">
        <v>1746</v>
      </c>
      <c r="C1590" s="1" t="s">
        <v>1697</v>
      </c>
      <c r="D1590" s="1" t="s">
        <v>1793</v>
      </c>
      <c r="E1590" s="1" t="s">
        <v>25</v>
      </c>
      <c r="F1590">
        <v>372.223635582295</v>
      </c>
      <c r="G1590">
        <v>372.223635582295</v>
      </c>
      <c r="H1590">
        <v>26.62</v>
      </c>
      <c r="I1590" s="1" t="s">
        <v>20</v>
      </c>
      <c r="J1590" s="1" t="s">
        <v>25</v>
      </c>
      <c r="K1590" s="11" t="s">
        <v>25</v>
      </c>
      <c r="L1590" s="32" t="s">
        <v>25</v>
      </c>
      <c r="M1590" s="3" t="str">
        <f t="shared" si="29"/>
        <v>Na</v>
      </c>
      <c r="N1590" s="3" t="str">
        <f t="shared" si="30"/>
        <v>Na</v>
      </c>
      <c r="O1590" s="1">
        <v>251.02295986628801</v>
      </c>
      <c r="P1590" s="3" t="str">
        <f t="shared" si="31"/>
        <v>ppm</v>
      </c>
      <c r="Q1590" s="37">
        <v>3.07534109897775E-4</v>
      </c>
      <c r="R1590" s="3" t="str">
        <f t="shared" si="32"/>
        <v>mol/mol</v>
      </c>
      <c r="S1590" s="13" t="s">
        <v>25</v>
      </c>
    </row>
    <row r="1591" spans="1:19">
      <c r="A1591" s="18" t="s">
        <v>1592</v>
      </c>
      <c r="B1591" s="1" t="s">
        <v>1747</v>
      </c>
      <c r="C1591" s="1" t="s">
        <v>1697</v>
      </c>
      <c r="D1591" s="1" t="s">
        <v>1793</v>
      </c>
      <c r="E1591" s="1" t="s">
        <v>25</v>
      </c>
      <c r="F1591">
        <v>372.22449505801501</v>
      </c>
      <c r="G1591">
        <v>372.22449505801501</v>
      </c>
      <c r="H1591">
        <v>26.58</v>
      </c>
      <c r="I1591" s="1" t="s">
        <v>20</v>
      </c>
      <c r="J1591" s="1" t="s">
        <v>25</v>
      </c>
      <c r="K1591" s="11" t="s">
        <v>25</v>
      </c>
      <c r="L1591" s="32">
        <v>-1.10405916958572</v>
      </c>
      <c r="M1591" s="3" t="str">
        <f t="shared" si="29"/>
        <v>44/40</v>
      </c>
      <c r="N1591" s="3" t="str">
        <f t="shared" si="30"/>
        <v>SW</v>
      </c>
      <c r="O1591" s="1">
        <v>251.733996885435</v>
      </c>
      <c r="P1591" s="3" t="str">
        <f t="shared" si="31"/>
        <v>ppm</v>
      </c>
      <c r="Q1591" s="37">
        <v>3.0455307107837306E-4</v>
      </c>
      <c r="R1591" s="3" t="str">
        <f t="shared" si="32"/>
        <v>mol/mol</v>
      </c>
      <c r="S1591" s="13">
        <f t="shared" si="28"/>
        <v>-1.10405916958572</v>
      </c>
    </row>
    <row r="1592" spans="1:19">
      <c r="A1592" s="18" t="s">
        <v>1592</v>
      </c>
      <c r="B1592" s="1" t="s">
        <v>1748</v>
      </c>
      <c r="C1592" s="1" t="s">
        <v>1697</v>
      </c>
      <c r="D1592" s="1" t="s">
        <v>1793</v>
      </c>
      <c r="E1592" s="1" t="s">
        <v>25</v>
      </c>
      <c r="F1592">
        <v>372.22642887838401</v>
      </c>
      <c r="G1592">
        <v>372.22642887838401</v>
      </c>
      <c r="H1592">
        <v>26.49</v>
      </c>
      <c r="I1592" s="1" t="s">
        <v>20</v>
      </c>
      <c r="J1592" s="1" t="s">
        <v>25</v>
      </c>
      <c r="K1592" s="11" t="s">
        <v>25</v>
      </c>
      <c r="L1592" s="32" t="s">
        <v>25</v>
      </c>
      <c r="M1592" s="3" t="str">
        <f t="shared" si="29"/>
        <v>Na</v>
      </c>
      <c r="N1592" s="3" t="str">
        <f t="shared" si="30"/>
        <v>Na</v>
      </c>
      <c r="O1592" s="1">
        <v>275.72163563695801</v>
      </c>
      <c r="P1592" s="3" t="str">
        <f t="shared" si="31"/>
        <v>ppm</v>
      </c>
      <c r="Q1592" s="37">
        <v>3.2323566173346935E-4</v>
      </c>
      <c r="R1592" s="3" t="str">
        <f t="shared" si="32"/>
        <v>mol/mol</v>
      </c>
      <c r="S1592" s="13" t="s">
        <v>25</v>
      </c>
    </row>
    <row r="1593" spans="1:19">
      <c r="A1593" s="18" t="s">
        <v>1592</v>
      </c>
      <c r="B1593" s="1" t="s">
        <v>1749</v>
      </c>
      <c r="C1593" s="1" t="s">
        <v>1697</v>
      </c>
      <c r="D1593" s="1" t="s">
        <v>1793</v>
      </c>
      <c r="E1593" s="1" t="s">
        <v>25</v>
      </c>
      <c r="F1593">
        <v>372.22943704340298</v>
      </c>
      <c r="G1593">
        <v>372.22943704340298</v>
      </c>
      <c r="H1593">
        <v>26.35</v>
      </c>
      <c r="I1593" s="1" t="s">
        <v>20</v>
      </c>
      <c r="J1593" s="1" t="s">
        <v>25</v>
      </c>
      <c r="K1593" s="11" t="s">
        <v>25</v>
      </c>
      <c r="L1593" s="32">
        <v>-1.1901620953013901</v>
      </c>
      <c r="M1593" s="3" t="str">
        <f t="shared" si="29"/>
        <v>44/40</v>
      </c>
      <c r="N1593" s="3" t="str">
        <f t="shared" si="30"/>
        <v>SW</v>
      </c>
      <c r="O1593" s="1" t="s">
        <v>25</v>
      </c>
      <c r="P1593" s="3" t="s">
        <v>25</v>
      </c>
      <c r="Q1593" s="37">
        <v>0</v>
      </c>
      <c r="R1593" s="3" t="str">
        <f t="shared" si="32"/>
        <v>mol/mol</v>
      </c>
      <c r="S1593" s="13">
        <f t="shared" si="28"/>
        <v>-1.1901620953013901</v>
      </c>
    </row>
    <row r="1594" spans="1:19">
      <c r="A1594" s="18" t="s">
        <v>1592</v>
      </c>
      <c r="B1594" s="1" t="s">
        <v>1750</v>
      </c>
      <c r="C1594" s="1" t="s">
        <v>1697</v>
      </c>
      <c r="D1594" s="1" t="s">
        <v>1793</v>
      </c>
      <c r="E1594" s="1" t="s">
        <v>25</v>
      </c>
      <c r="F1594">
        <v>372.23244520842297</v>
      </c>
      <c r="G1594">
        <v>372.23244520842297</v>
      </c>
      <c r="H1594">
        <v>26.21</v>
      </c>
      <c r="I1594" s="1" t="s">
        <v>20</v>
      </c>
      <c r="J1594" s="1" t="s">
        <v>25</v>
      </c>
      <c r="K1594" s="11" t="s">
        <v>25</v>
      </c>
      <c r="L1594" s="32" t="s">
        <v>25</v>
      </c>
      <c r="M1594" s="3" t="str">
        <f t="shared" si="29"/>
        <v>Na</v>
      </c>
      <c r="N1594" s="3" t="str">
        <f t="shared" si="30"/>
        <v>Na</v>
      </c>
      <c r="O1594" s="1" t="s">
        <v>25</v>
      </c>
      <c r="P1594" s="3" t="str">
        <f t="shared" si="31"/>
        <v>Na</v>
      </c>
      <c r="Q1594" s="37">
        <v>0</v>
      </c>
      <c r="R1594" s="3" t="str">
        <f t="shared" si="32"/>
        <v>mol/mol</v>
      </c>
      <c r="S1594" s="13" t="s">
        <v>25</v>
      </c>
    </row>
    <row r="1595" spans="1:19">
      <c r="A1595" s="18" t="s">
        <v>1592</v>
      </c>
      <c r="B1595" s="1" t="s">
        <v>1751</v>
      </c>
      <c r="C1595" s="1" t="s">
        <v>1697</v>
      </c>
      <c r="D1595" s="1" t="s">
        <v>1793</v>
      </c>
      <c r="E1595" s="1" t="s">
        <v>25</v>
      </c>
      <c r="F1595">
        <v>372.235453373442</v>
      </c>
      <c r="G1595">
        <v>372.235453373442</v>
      </c>
      <c r="H1595">
        <v>26.07</v>
      </c>
      <c r="I1595" s="1" t="s">
        <v>20</v>
      </c>
      <c r="J1595" s="1" t="s">
        <v>25</v>
      </c>
      <c r="K1595" s="11" t="s">
        <v>25</v>
      </c>
      <c r="L1595" s="32" t="s">
        <v>25</v>
      </c>
      <c r="M1595" s="3" t="str">
        <f t="shared" si="29"/>
        <v>Na</v>
      </c>
      <c r="N1595" s="3" t="str">
        <f t="shared" si="30"/>
        <v>Na</v>
      </c>
      <c r="O1595" s="1">
        <v>293.00488795387201</v>
      </c>
      <c r="P1595" s="3" t="str">
        <f t="shared" si="31"/>
        <v>ppm</v>
      </c>
      <c r="Q1595" s="37">
        <v>3.4661188155519915E-4</v>
      </c>
      <c r="R1595" s="3" t="str">
        <f t="shared" si="32"/>
        <v>mol/mol</v>
      </c>
      <c r="S1595" s="13" t="s">
        <v>25</v>
      </c>
    </row>
    <row r="1596" spans="1:19">
      <c r="A1596" s="18" t="s">
        <v>1592</v>
      </c>
      <c r="B1596" s="1" t="s">
        <v>1752</v>
      </c>
      <c r="C1596" s="1" t="s">
        <v>1697</v>
      </c>
      <c r="D1596" s="1" t="s">
        <v>1793</v>
      </c>
      <c r="E1596" s="1" t="s">
        <v>25</v>
      </c>
      <c r="F1596">
        <v>372.25586592178797</v>
      </c>
      <c r="G1596">
        <v>372.25586592178797</v>
      </c>
      <c r="H1596">
        <v>25.12</v>
      </c>
      <c r="I1596" s="1" t="s">
        <v>20</v>
      </c>
      <c r="J1596" s="1" t="s">
        <v>25</v>
      </c>
      <c r="K1596" s="11" t="s">
        <v>25</v>
      </c>
      <c r="L1596" s="32">
        <v>-1.0482816003095701</v>
      </c>
      <c r="M1596" s="3" t="str">
        <f t="shared" si="29"/>
        <v>44/40</v>
      </c>
      <c r="N1596" s="3" t="str">
        <f t="shared" si="30"/>
        <v>SW</v>
      </c>
      <c r="O1596" s="1">
        <v>281.423077276573</v>
      </c>
      <c r="P1596" s="3" t="str">
        <f t="shared" si="31"/>
        <v>ppm</v>
      </c>
      <c r="Q1596" s="37">
        <v>3.6418049302793545E-4</v>
      </c>
      <c r="R1596" s="3" t="str">
        <f t="shared" si="32"/>
        <v>mol/mol</v>
      </c>
      <c r="S1596" s="13">
        <f t="shared" si="28"/>
        <v>-1.0482816003095701</v>
      </c>
    </row>
    <row r="1597" spans="1:19">
      <c r="A1597" s="18" t="s">
        <v>1592</v>
      </c>
      <c r="B1597" s="1" t="s">
        <v>1753</v>
      </c>
      <c r="C1597" s="1" t="s">
        <v>1697</v>
      </c>
      <c r="D1597" s="1" t="s">
        <v>1793</v>
      </c>
      <c r="E1597" s="1" t="s">
        <v>25</v>
      </c>
      <c r="F1597">
        <v>372.26617963042497</v>
      </c>
      <c r="G1597">
        <v>372.26617963042497</v>
      </c>
      <c r="H1597">
        <v>24.64</v>
      </c>
      <c r="I1597" s="1" t="s">
        <v>20</v>
      </c>
      <c r="J1597" s="1" t="s">
        <v>25</v>
      </c>
      <c r="K1597" s="11" t="s">
        <v>25</v>
      </c>
      <c r="L1597" s="32">
        <v>-1.2623666336878301</v>
      </c>
      <c r="M1597" s="3" t="str">
        <f t="shared" si="29"/>
        <v>44/40</v>
      </c>
      <c r="N1597" s="3" t="str">
        <f t="shared" si="30"/>
        <v>SW</v>
      </c>
      <c r="O1597" s="1">
        <v>305.19086962515399</v>
      </c>
      <c r="P1597" s="3" t="str">
        <f t="shared" si="31"/>
        <v>ppm</v>
      </c>
      <c r="Q1597" s="37">
        <v>3.8397792966294485E-4</v>
      </c>
      <c r="R1597" s="3" t="str">
        <f t="shared" si="32"/>
        <v>mol/mol</v>
      </c>
      <c r="S1597" s="13">
        <f t="shared" si="28"/>
        <v>-1.2623666336878301</v>
      </c>
    </row>
    <row r="1598" spans="1:19">
      <c r="A1598" s="18" t="s">
        <v>1592</v>
      </c>
      <c r="B1598" s="1" t="s">
        <v>1754</v>
      </c>
      <c r="C1598" s="1" t="s">
        <v>1697</v>
      </c>
      <c r="D1598" s="1" t="s">
        <v>1793</v>
      </c>
      <c r="E1598" s="1" t="s">
        <v>25</v>
      </c>
      <c r="F1598">
        <v>372.28379888268199</v>
      </c>
      <c r="G1598">
        <v>372.28379888268199</v>
      </c>
      <c r="H1598">
        <v>23.82</v>
      </c>
      <c r="I1598" s="1" t="s">
        <v>20</v>
      </c>
      <c r="J1598" s="1" t="s">
        <v>25</v>
      </c>
      <c r="K1598" s="11" t="s">
        <v>25</v>
      </c>
      <c r="L1598" s="32" t="s">
        <v>25</v>
      </c>
      <c r="M1598" s="3" t="str">
        <f t="shared" si="29"/>
        <v>Na</v>
      </c>
      <c r="N1598" s="3" t="str">
        <f t="shared" si="30"/>
        <v>Na</v>
      </c>
      <c r="O1598" s="1">
        <v>310.38855976489498</v>
      </c>
      <c r="P1598" s="3" t="str">
        <f t="shared" si="31"/>
        <v>ppm</v>
      </c>
      <c r="Q1598" s="37">
        <v>4.2217427734465461E-4</v>
      </c>
      <c r="R1598" s="3" t="str">
        <f t="shared" si="32"/>
        <v>mol/mol</v>
      </c>
      <c r="S1598" s="13" t="s">
        <v>25</v>
      </c>
    </row>
    <row r="1599" spans="1:19">
      <c r="A1599" s="18" t="s">
        <v>1592</v>
      </c>
      <c r="B1599" s="1" t="s">
        <v>1755</v>
      </c>
      <c r="C1599" s="1" t="s">
        <v>1697</v>
      </c>
      <c r="D1599" s="1" t="s">
        <v>1793</v>
      </c>
      <c r="E1599" s="1" t="s">
        <v>25</v>
      </c>
      <c r="F1599">
        <v>372.288096261281</v>
      </c>
      <c r="G1599">
        <v>372.288096261281</v>
      </c>
      <c r="H1599">
        <v>23.62</v>
      </c>
      <c r="I1599" s="1" t="s">
        <v>20</v>
      </c>
      <c r="J1599" s="1" t="s">
        <v>25</v>
      </c>
      <c r="K1599" s="11" t="s">
        <v>25</v>
      </c>
      <c r="L1599" s="32">
        <v>-1.16893601270428</v>
      </c>
      <c r="M1599" s="3" t="str">
        <f t="shared" si="29"/>
        <v>44/40</v>
      </c>
      <c r="N1599" s="3" t="str">
        <f t="shared" si="30"/>
        <v>SW</v>
      </c>
      <c r="O1599" s="1">
        <v>335.57679830934899</v>
      </c>
      <c r="P1599" s="3" t="str">
        <f t="shared" si="31"/>
        <v>ppm</v>
      </c>
      <c r="Q1599" s="37">
        <v>4.1989426630334383E-4</v>
      </c>
      <c r="R1599" s="3" t="str">
        <f t="shared" si="32"/>
        <v>mol/mol</v>
      </c>
      <c r="S1599" s="13">
        <f t="shared" si="28"/>
        <v>-1.16893601270428</v>
      </c>
    </row>
    <row r="1600" spans="1:19">
      <c r="A1600" s="18" t="s">
        <v>1592</v>
      </c>
      <c r="B1600" s="1" t="s">
        <v>1756</v>
      </c>
      <c r="C1600" s="1" t="s">
        <v>1697</v>
      </c>
      <c r="D1600" s="1" t="s">
        <v>1793</v>
      </c>
      <c r="E1600" s="1" t="s">
        <v>25</v>
      </c>
      <c r="F1600">
        <v>372.29239363988</v>
      </c>
      <c r="G1600">
        <v>372.29239363988</v>
      </c>
      <c r="H1600">
        <v>23.42</v>
      </c>
      <c r="I1600" s="1" t="s">
        <v>20</v>
      </c>
      <c r="J1600" s="1" t="s">
        <v>25</v>
      </c>
      <c r="K1600" s="11" t="s">
        <v>25</v>
      </c>
      <c r="L1600" s="32" t="s">
        <v>25</v>
      </c>
      <c r="M1600" s="3" t="str">
        <f t="shared" si="29"/>
        <v>Na</v>
      </c>
      <c r="N1600" s="3" t="str">
        <f t="shared" si="30"/>
        <v>Na</v>
      </c>
      <c r="O1600" s="1">
        <v>255.211039373674</v>
      </c>
      <c r="P1600" s="3" t="str">
        <f t="shared" si="31"/>
        <v>ppm</v>
      </c>
      <c r="Q1600" s="37">
        <v>3.5676494564896368E-4</v>
      </c>
      <c r="R1600" s="3" t="str">
        <f t="shared" si="32"/>
        <v>mol/mol</v>
      </c>
      <c r="S1600" s="13" t="s">
        <v>25</v>
      </c>
    </row>
    <row r="1601" spans="1:19">
      <c r="A1601" s="18" t="s">
        <v>1592</v>
      </c>
      <c r="B1601" s="1" t="s">
        <v>1757</v>
      </c>
      <c r="C1601" s="1" t="s">
        <v>1697</v>
      </c>
      <c r="D1601" s="1" t="s">
        <v>1793</v>
      </c>
      <c r="E1601" s="1" t="s">
        <v>25</v>
      </c>
      <c r="F1601">
        <v>372.29561667382899</v>
      </c>
      <c r="G1601">
        <v>372.29561667382899</v>
      </c>
      <c r="H1601">
        <v>23.27</v>
      </c>
      <c r="I1601" s="1" t="s">
        <v>20</v>
      </c>
      <c r="J1601" s="1" t="s">
        <v>25</v>
      </c>
      <c r="K1601" s="11" t="s">
        <v>25</v>
      </c>
      <c r="L1601" s="32" t="s">
        <v>25</v>
      </c>
      <c r="M1601" s="3" t="str">
        <f t="shared" si="29"/>
        <v>Na</v>
      </c>
      <c r="N1601" s="3" t="str">
        <f t="shared" si="30"/>
        <v>Na</v>
      </c>
      <c r="O1601" s="1">
        <v>267.72422124558801</v>
      </c>
      <c r="P1601" s="3" t="str">
        <f t="shared" si="31"/>
        <v>ppm</v>
      </c>
      <c r="Q1601" s="37">
        <v>3.5940341031628166E-4</v>
      </c>
      <c r="R1601" s="3" t="str">
        <f t="shared" si="32"/>
        <v>mol/mol</v>
      </c>
      <c r="S1601" s="13" t="s">
        <v>25</v>
      </c>
    </row>
    <row r="1602" spans="1:19">
      <c r="A1602" s="18" t="s">
        <v>1592</v>
      </c>
      <c r="B1602" s="1" t="s">
        <v>1758</v>
      </c>
      <c r="C1602" s="1" t="s">
        <v>1697</v>
      </c>
      <c r="D1602" s="1" t="s">
        <v>1793</v>
      </c>
      <c r="E1602" s="1" t="s">
        <v>25</v>
      </c>
      <c r="F1602">
        <v>372.29991405242799</v>
      </c>
      <c r="G1602">
        <v>372.29991405242799</v>
      </c>
      <c r="H1602">
        <v>23.07</v>
      </c>
      <c r="I1602" s="1" t="s">
        <v>20</v>
      </c>
      <c r="J1602" s="1" t="s">
        <v>25</v>
      </c>
      <c r="K1602" s="11" t="s">
        <v>25</v>
      </c>
      <c r="L1602" s="32">
        <v>-1.1494449164863501</v>
      </c>
      <c r="M1602" s="3" t="str">
        <f t="shared" si="29"/>
        <v>44/40</v>
      </c>
      <c r="N1602" s="3" t="str">
        <f t="shared" si="30"/>
        <v>SW</v>
      </c>
      <c r="O1602" s="1">
        <v>222.887987122911</v>
      </c>
      <c r="P1602" s="3" t="str">
        <f t="shared" si="31"/>
        <v>ppm</v>
      </c>
      <c r="Q1602" s="37">
        <v>3.1797694983290729E-4</v>
      </c>
      <c r="R1602" s="3" t="str">
        <f t="shared" si="32"/>
        <v>mol/mol</v>
      </c>
      <c r="S1602" s="13">
        <f t="shared" si="28"/>
        <v>-1.1494449164863501</v>
      </c>
    </row>
    <row r="1603" spans="1:19">
      <c r="A1603" s="18" t="s">
        <v>1592</v>
      </c>
      <c r="B1603" s="1" t="s">
        <v>1759</v>
      </c>
      <c r="C1603" s="1" t="s">
        <v>1697</v>
      </c>
      <c r="D1603" s="1" t="s">
        <v>1793</v>
      </c>
      <c r="E1603" s="1" t="s">
        <v>25</v>
      </c>
      <c r="F1603">
        <v>372.30829394069599</v>
      </c>
      <c r="G1603">
        <v>372.30829394069599</v>
      </c>
      <c r="H1603">
        <v>22.68</v>
      </c>
      <c r="I1603" s="1" t="s">
        <v>20</v>
      </c>
      <c r="J1603" s="1" t="s">
        <v>25</v>
      </c>
      <c r="K1603" s="11" t="s">
        <v>25</v>
      </c>
      <c r="L1603" s="32" t="s">
        <v>25</v>
      </c>
      <c r="M1603" s="3" t="str">
        <f t="shared" si="29"/>
        <v>Na</v>
      </c>
      <c r="N1603" s="3" t="str">
        <f t="shared" si="30"/>
        <v>Na</v>
      </c>
      <c r="O1603" s="1">
        <v>259.52869043541699</v>
      </c>
      <c r="P1603" s="3" t="str">
        <f t="shared" si="31"/>
        <v>ppm</v>
      </c>
      <c r="Q1603" s="37">
        <v>3.3796853101756414E-4</v>
      </c>
      <c r="R1603" s="3" t="str">
        <f t="shared" si="32"/>
        <v>mol/mol</v>
      </c>
      <c r="S1603" s="13" t="s">
        <v>25</v>
      </c>
    </row>
    <row r="1604" spans="1:19">
      <c r="A1604" s="18" t="s">
        <v>1592</v>
      </c>
      <c r="B1604" s="1" t="s">
        <v>1760</v>
      </c>
      <c r="C1604" s="1" t="s">
        <v>1697</v>
      </c>
      <c r="D1604" s="1" t="s">
        <v>1793</v>
      </c>
      <c r="E1604" s="1" t="s">
        <v>25</v>
      </c>
      <c r="F1604">
        <v>372.31645896003403</v>
      </c>
      <c r="G1604">
        <v>372.31645896003403</v>
      </c>
      <c r="H1604">
        <v>22.3</v>
      </c>
      <c r="I1604" s="1" t="s">
        <v>20</v>
      </c>
      <c r="J1604" s="1" t="s">
        <v>25</v>
      </c>
      <c r="K1604" s="11" t="s">
        <v>25</v>
      </c>
      <c r="L1604" s="32" t="s">
        <v>25</v>
      </c>
      <c r="M1604" s="3" t="str">
        <f t="shared" si="29"/>
        <v>Na</v>
      </c>
      <c r="N1604" s="3" t="str">
        <f t="shared" si="30"/>
        <v>Na</v>
      </c>
      <c r="O1604" s="1">
        <v>248.76889158267701</v>
      </c>
      <c r="P1604" s="3" t="str">
        <f t="shared" si="31"/>
        <v>ppm</v>
      </c>
      <c r="Q1604" s="37">
        <v>3.5044147565232786E-4</v>
      </c>
      <c r="R1604" s="3" t="str">
        <f t="shared" si="32"/>
        <v>mol/mol</v>
      </c>
      <c r="S1604" s="13" t="s">
        <v>25</v>
      </c>
    </row>
    <row r="1605" spans="1:19">
      <c r="A1605" s="18" t="s">
        <v>1592</v>
      </c>
      <c r="B1605" s="1" t="s">
        <v>1761</v>
      </c>
      <c r="C1605" s="1" t="s">
        <v>1697</v>
      </c>
      <c r="D1605" s="1" t="s">
        <v>1793</v>
      </c>
      <c r="E1605" s="1" t="s">
        <v>25</v>
      </c>
      <c r="F1605">
        <v>372.32548345509201</v>
      </c>
      <c r="G1605">
        <v>372.32548345509201</v>
      </c>
      <c r="H1605">
        <v>21.88</v>
      </c>
      <c r="I1605" s="1" t="s">
        <v>20</v>
      </c>
      <c r="J1605" s="1" t="s">
        <v>25</v>
      </c>
      <c r="K1605" s="11" t="s">
        <v>25</v>
      </c>
      <c r="L1605" s="32" t="s">
        <v>25</v>
      </c>
      <c r="M1605" s="3" t="str">
        <f t="shared" si="29"/>
        <v>Na</v>
      </c>
      <c r="N1605" s="3" t="str">
        <f t="shared" si="30"/>
        <v>Na</v>
      </c>
      <c r="O1605" s="1">
        <v>267.08901274252901</v>
      </c>
      <c r="P1605" s="3" t="str">
        <f t="shared" si="31"/>
        <v>ppm</v>
      </c>
      <c r="Q1605" s="37">
        <v>3.4100626049516118E-4</v>
      </c>
      <c r="R1605" s="3" t="str">
        <f t="shared" si="32"/>
        <v>mol/mol</v>
      </c>
      <c r="S1605" s="13" t="s">
        <v>25</v>
      </c>
    </row>
    <row r="1606" spans="1:19">
      <c r="A1606" s="18" t="s">
        <v>1592</v>
      </c>
      <c r="B1606" s="1" t="s">
        <v>1762</v>
      </c>
      <c r="C1606" s="1" t="s">
        <v>1697</v>
      </c>
      <c r="D1606" s="1" t="s">
        <v>1793</v>
      </c>
      <c r="E1606" s="1" t="s">
        <v>25</v>
      </c>
      <c r="F1606">
        <v>372.33300386764103</v>
      </c>
      <c r="G1606">
        <v>372.33300386764103</v>
      </c>
      <c r="H1606">
        <v>21.53</v>
      </c>
      <c r="I1606" s="1" t="s">
        <v>20</v>
      </c>
      <c r="J1606" s="1" t="s">
        <v>25</v>
      </c>
      <c r="K1606" s="11" t="s">
        <v>25</v>
      </c>
      <c r="L1606" s="32" t="s">
        <v>25</v>
      </c>
      <c r="M1606" s="3" t="str">
        <f t="shared" si="29"/>
        <v>Na</v>
      </c>
      <c r="N1606" s="3" t="str">
        <f t="shared" si="30"/>
        <v>Na</v>
      </c>
      <c r="O1606" s="1">
        <v>262.99261265337401</v>
      </c>
      <c r="P1606" s="3" t="str">
        <f t="shared" si="31"/>
        <v>ppm</v>
      </c>
      <c r="Q1606" s="37">
        <v>3.3909465787935886E-4</v>
      </c>
      <c r="R1606" s="3" t="str">
        <f t="shared" si="32"/>
        <v>mol/mol</v>
      </c>
      <c r="S1606" s="13" t="s">
        <v>25</v>
      </c>
    </row>
    <row r="1607" spans="1:19">
      <c r="A1607" s="18" t="s">
        <v>1592</v>
      </c>
      <c r="B1607" s="1" t="s">
        <v>1763</v>
      </c>
      <c r="C1607" s="1" t="s">
        <v>1697</v>
      </c>
      <c r="D1607" s="1" t="s">
        <v>1793</v>
      </c>
      <c r="E1607" s="1" t="s">
        <v>25</v>
      </c>
      <c r="F1607">
        <v>372.34589600343799</v>
      </c>
      <c r="G1607">
        <v>372.34589600343799</v>
      </c>
      <c r="H1607">
        <v>20.93</v>
      </c>
      <c r="I1607" s="1" t="s">
        <v>20</v>
      </c>
      <c r="J1607" s="1" t="s">
        <v>25</v>
      </c>
      <c r="K1607" s="11" t="s">
        <v>25</v>
      </c>
      <c r="L1607" s="32">
        <v>-1.17922687936922</v>
      </c>
      <c r="M1607" s="3" t="str">
        <f t="shared" si="29"/>
        <v>44/40</v>
      </c>
      <c r="N1607" s="3" t="str">
        <f t="shared" si="30"/>
        <v>SW</v>
      </c>
      <c r="O1607" s="1">
        <v>270.39230787081902</v>
      </c>
      <c r="P1607" s="3" t="str">
        <f t="shared" si="31"/>
        <v>ppm</v>
      </c>
      <c r="Q1607" s="37">
        <v>3.6154262737027619E-4</v>
      </c>
      <c r="R1607" s="3" t="str">
        <f t="shared" si="32"/>
        <v>mol/mol</v>
      </c>
      <c r="S1607" s="13">
        <f t="shared" ref="S1607:S1635" si="33">IF(NOT(N1607="SW"),L1607-1.88,L1607)</f>
        <v>-1.17922687936922</v>
      </c>
    </row>
    <row r="1608" spans="1:19">
      <c r="A1608" s="18" t="s">
        <v>1592</v>
      </c>
      <c r="B1608" s="1" t="s">
        <v>1764</v>
      </c>
      <c r="C1608" s="1" t="s">
        <v>1697</v>
      </c>
      <c r="D1608" s="1" t="s">
        <v>1793</v>
      </c>
      <c r="E1608" s="1" t="s">
        <v>25</v>
      </c>
      <c r="F1608">
        <v>372.35986248388502</v>
      </c>
      <c r="G1608">
        <v>372.35986248388502</v>
      </c>
      <c r="H1608">
        <v>20.28</v>
      </c>
      <c r="I1608" s="1" t="s">
        <v>20</v>
      </c>
      <c r="J1608" s="1" t="s">
        <v>25</v>
      </c>
      <c r="K1608" s="11" t="s">
        <v>25</v>
      </c>
      <c r="L1608" s="32" t="s">
        <v>25</v>
      </c>
      <c r="M1608" s="3" t="str">
        <f t="shared" ref="M1608:M1671" si="34">IF(ISNUMBER(SEARCH("Na", L1608)), "Na", "44/40")</f>
        <v>Na</v>
      </c>
      <c r="N1608" s="3" t="str">
        <f t="shared" ref="N1608:N1636" si="35">IF(ISNUMBER(SEARCH("Na", M1608)), "Na", "SW")</f>
        <v>Na</v>
      </c>
      <c r="O1608" s="1">
        <v>286.65794539580702</v>
      </c>
      <c r="P1608" s="3" t="str">
        <f t="shared" ref="P1608:P1636" si="36">IF(ISNUMBER(SEARCH("Na", O1608)), "Na", "ppm")</f>
        <v>ppm</v>
      </c>
      <c r="Q1608" s="37">
        <v>3.5763398632109072E-4</v>
      </c>
      <c r="R1608" s="3" t="str">
        <f t="shared" ref="R1608:R1636" si="37">IF(ISNUMBER(SEARCH("Na", Q1608)), "Na", "mol/mol")</f>
        <v>mol/mol</v>
      </c>
      <c r="S1608" s="13" t="s">
        <v>25</v>
      </c>
    </row>
    <row r="1609" spans="1:19">
      <c r="A1609" s="18" t="s">
        <v>1592</v>
      </c>
      <c r="B1609" s="1" t="s">
        <v>1765</v>
      </c>
      <c r="C1609" s="1" t="s">
        <v>1697</v>
      </c>
      <c r="D1609" s="1" t="s">
        <v>1793</v>
      </c>
      <c r="E1609" s="1" t="s">
        <v>25</v>
      </c>
      <c r="F1609">
        <v>372.37103566824197</v>
      </c>
      <c r="G1609">
        <v>372.37103566824197</v>
      </c>
      <c r="H1609">
        <v>19.760000000000002</v>
      </c>
      <c r="I1609" s="1" t="s">
        <v>20</v>
      </c>
      <c r="J1609" s="1" t="s">
        <v>25</v>
      </c>
      <c r="K1609" s="11" t="s">
        <v>25</v>
      </c>
      <c r="L1609" s="32" t="s">
        <v>25</v>
      </c>
      <c r="M1609" s="3" t="str">
        <f t="shared" si="34"/>
        <v>Na</v>
      </c>
      <c r="N1609" s="3" t="str">
        <f t="shared" si="35"/>
        <v>Na</v>
      </c>
      <c r="O1609" s="1">
        <v>297.10210102995001</v>
      </c>
      <c r="P1609" s="3" t="str">
        <f t="shared" si="36"/>
        <v>ppm</v>
      </c>
      <c r="Q1609" s="37">
        <v>3.7902271754827049E-4</v>
      </c>
      <c r="R1609" s="3" t="str">
        <f t="shared" si="37"/>
        <v>mol/mol</v>
      </c>
      <c r="S1609" s="13" t="s">
        <v>25</v>
      </c>
    </row>
    <row r="1610" spans="1:19">
      <c r="A1610" s="18" t="s">
        <v>1592</v>
      </c>
      <c r="B1610" s="1" t="s">
        <v>1766</v>
      </c>
      <c r="C1610" s="1" t="s">
        <v>1697</v>
      </c>
      <c r="D1610" s="1" t="s">
        <v>1793</v>
      </c>
      <c r="E1610" s="1" t="s">
        <v>25</v>
      </c>
      <c r="F1610">
        <v>372.38027503222997</v>
      </c>
      <c r="G1610">
        <v>372.38027503222997</v>
      </c>
      <c r="H1610">
        <v>19.329999999999998</v>
      </c>
      <c r="I1610" s="1" t="s">
        <v>20</v>
      </c>
      <c r="J1610" s="1" t="s">
        <v>25</v>
      </c>
      <c r="K1610" s="11" t="s">
        <v>25</v>
      </c>
      <c r="L1610" s="32">
        <v>-1.0387984122171201</v>
      </c>
      <c r="M1610" s="3" t="str">
        <f t="shared" si="34"/>
        <v>44/40</v>
      </c>
      <c r="N1610" s="3" t="str">
        <f t="shared" si="35"/>
        <v>SW</v>
      </c>
      <c r="O1610" s="1">
        <v>275.16176663525999</v>
      </c>
      <c r="P1610" s="3" t="str">
        <f t="shared" si="36"/>
        <v>ppm</v>
      </c>
      <c r="Q1610" s="37">
        <v>3.503335973289936E-4</v>
      </c>
      <c r="R1610" s="3" t="str">
        <f t="shared" si="37"/>
        <v>mol/mol</v>
      </c>
      <c r="S1610" s="13">
        <f t="shared" si="33"/>
        <v>-1.0387984122171201</v>
      </c>
    </row>
    <row r="1611" spans="1:19">
      <c r="A1611" s="18" t="s">
        <v>1592</v>
      </c>
      <c r="B1611" s="1" t="s">
        <v>1767</v>
      </c>
      <c r="C1611" s="1" t="s">
        <v>1697</v>
      </c>
      <c r="D1611" s="1" t="s">
        <v>1793</v>
      </c>
      <c r="E1611" s="1" t="s">
        <v>25</v>
      </c>
      <c r="F1611">
        <v>372.38650623119901</v>
      </c>
      <c r="G1611">
        <v>372.38650623119901</v>
      </c>
      <c r="H1611">
        <v>19.04</v>
      </c>
      <c r="I1611" s="1" t="s">
        <v>20</v>
      </c>
      <c r="J1611" s="1" t="s">
        <v>25</v>
      </c>
      <c r="K1611" s="11" t="s">
        <v>25</v>
      </c>
      <c r="L1611" s="32" t="s">
        <v>25</v>
      </c>
      <c r="M1611" s="3" t="str">
        <f t="shared" si="34"/>
        <v>Na</v>
      </c>
      <c r="N1611" s="3" t="str">
        <f t="shared" si="35"/>
        <v>Na</v>
      </c>
      <c r="O1611" s="1">
        <v>254.834837772133</v>
      </c>
      <c r="P1611" s="3" t="str">
        <f t="shared" si="36"/>
        <v>ppm</v>
      </c>
      <c r="Q1611" s="37">
        <v>3.3205893899463914E-4</v>
      </c>
      <c r="R1611" s="3" t="str">
        <f t="shared" si="37"/>
        <v>mol/mol</v>
      </c>
      <c r="S1611" s="13" t="s">
        <v>25</v>
      </c>
    </row>
    <row r="1612" spans="1:19">
      <c r="A1612" s="18" t="s">
        <v>1592</v>
      </c>
      <c r="B1612" s="1" t="s">
        <v>1768</v>
      </c>
      <c r="C1612" s="1" t="s">
        <v>1697</v>
      </c>
      <c r="D1612" s="1" t="s">
        <v>1793</v>
      </c>
      <c r="E1612" s="1" t="s">
        <v>25</v>
      </c>
      <c r="F1612">
        <v>372.394026643747</v>
      </c>
      <c r="G1612">
        <v>372.394026643747</v>
      </c>
      <c r="H1612">
        <v>18.690000000000001</v>
      </c>
      <c r="I1612" s="1" t="s">
        <v>20</v>
      </c>
      <c r="J1612" s="1" t="s">
        <v>25</v>
      </c>
      <c r="K1612" s="11" t="s">
        <v>25</v>
      </c>
      <c r="L1612" s="32" t="s">
        <v>25</v>
      </c>
      <c r="M1612" s="3" t="str">
        <f t="shared" si="34"/>
        <v>Na</v>
      </c>
      <c r="N1612" s="3" t="str">
        <f t="shared" si="35"/>
        <v>Na</v>
      </c>
      <c r="O1612" s="1">
        <v>259.19535056080701</v>
      </c>
      <c r="P1612" s="3" t="str">
        <f t="shared" si="36"/>
        <v>ppm</v>
      </c>
      <c r="Q1612" s="37">
        <v>3.4412390008879202E-4</v>
      </c>
      <c r="R1612" s="3" t="str">
        <f t="shared" si="37"/>
        <v>mol/mol</v>
      </c>
      <c r="S1612" s="13" t="s">
        <v>25</v>
      </c>
    </row>
    <row r="1613" spans="1:19">
      <c r="A1613" s="18" t="s">
        <v>1592</v>
      </c>
      <c r="B1613" s="1" t="s">
        <v>1769</v>
      </c>
      <c r="C1613" s="1" t="s">
        <v>1697</v>
      </c>
      <c r="D1613" s="1" t="s">
        <v>1793</v>
      </c>
      <c r="E1613" s="1" t="s">
        <v>25</v>
      </c>
      <c r="F1613">
        <v>372.40111731843598</v>
      </c>
      <c r="G1613">
        <v>372.40111731843598</v>
      </c>
      <c r="H1613">
        <v>18.36</v>
      </c>
      <c r="I1613" s="1" t="s">
        <v>20</v>
      </c>
      <c r="J1613" s="1" t="s">
        <v>25</v>
      </c>
      <c r="K1613" s="11" t="s">
        <v>25</v>
      </c>
      <c r="L1613" s="32" t="s">
        <v>25</v>
      </c>
      <c r="M1613" s="3" t="str">
        <f t="shared" si="34"/>
        <v>Na</v>
      </c>
      <c r="N1613" s="3" t="str">
        <f t="shared" si="35"/>
        <v>Na</v>
      </c>
      <c r="O1613" s="1">
        <v>257.29108623736602</v>
      </c>
      <c r="P1613" s="3" t="str">
        <f t="shared" si="36"/>
        <v>ppm</v>
      </c>
      <c r="Q1613" s="37">
        <v>3.2641063696982027E-4</v>
      </c>
      <c r="R1613" s="3" t="str">
        <f t="shared" si="37"/>
        <v>mol/mol</v>
      </c>
      <c r="S1613" s="13" t="s">
        <v>25</v>
      </c>
    </row>
    <row r="1614" spans="1:19">
      <c r="A1614" s="18" t="s">
        <v>1592</v>
      </c>
      <c r="B1614" s="1" t="s">
        <v>1770</v>
      </c>
      <c r="C1614" s="1" t="s">
        <v>1697</v>
      </c>
      <c r="D1614" s="1" t="s">
        <v>1793</v>
      </c>
      <c r="E1614" s="1" t="s">
        <v>25</v>
      </c>
      <c r="F1614">
        <v>372.40498495917501</v>
      </c>
      <c r="G1614">
        <v>372.40498495917501</v>
      </c>
      <c r="H1614">
        <v>18.18</v>
      </c>
      <c r="I1614" s="1" t="s">
        <v>20</v>
      </c>
      <c r="J1614" s="1" t="s">
        <v>25</v>
      </c>
      <c r="K1614" s="11" t="s">
        <v>25</v>
      </c>
      <c r="L1614" s="32" t="s">
        <v>25</v>
      </c>
      <c r="M1614" s="3" t="str">
        <f t="shared" si="34"/>
        <v>Na</v>
      </c>
      <c r="N1614" s="3" t="str">
        <f t="shared" si="35"/>
        <v>Na</v>
      </c>
      <c r="O1614" s="1">
        <v>239.09528113113399</v>
      </c>
      <c r="P1614" s="3" t="str">
        <f t="shared" si="36"/>
        <v>ppm</v>
      </c>
      <c r="Q1614" s="37">
        <v>3.0332664901765096E-4</v>
      </c>
      <c r="R1614" s="3" t="str">
        <f t="shared" si="37"/>
        <v>mol/mol</v>
      </c>
      <c r="S1614" s="13" t="s">
        <v>25</v>
      </c>
    </row>
    <row r="1615" spans="1:19">
      <c r="A1615" s="18" t="s">
        <v>1592</v>
      </c>
      <c r="B1615" s="1" t="s">
        <v>1771</v>
      </c>
      <c r="C1615" s="1" t="s">
        <v>1697</v>
      </c>
      <c r="D1615" s="1" t="s">
        <v>1793</v>
      </c>
      <c r="E1615" s="1" t="s">
        <v>25</v>
      </c>
      <c r="F1615">
        <v>372.41014181349402</v>
      </c>
      <c r="G1615">
        <v>372.41014181349402</v>
      </c>
      <c r="H1615">
        <v>17.940000000000001</v>
      </c>
      <c r="I1615" s="1" t="s">
        <v>20</v>
      </c>
      <c r="J1615" s="1" t="s">
        <v>25</v>
      </c>
      <c r="K1615" s="11" t="s">
        <v>25</v>
      </c>
      <c r="L1615" s="32" t="s">
        <v>25</v>
      </c>
      <c r="M1615" s="3" t="str">
        <f t="shared" si="34"/>
        <v>Na</v>
      </c>
      <c r="N1615" s="3" t="str">
        <f t="shared" si="35"/>
        <v>Na</v>
      </c>
      <c r="O1615" s="1" t="s">
        <v>25</v>
      </c>
      <c r="P1615" s="3" t="str">
        <f t="shared" si="36"/>
        <v>Na</v>
      </c>
      <c r="R1615" s="3" t="str">
        <f t="shared" si="37"/>
        <v>mol/mol</v>
      </c>
      <c r="S1615" s="13" t="s">
        <v>25</v>
      </c>
    </row>
    <row r="1616" spans="1:19">
      <c r="A1616" s="18" t="s">
        <v>1592</v>
      </c>
      <c r="B1616" s="1" t="s">
        <v>1772</v>
      </c>
      <c r="C1616" s="1" t="s">
        <v>1697</v>
      </c>
      <c r="D1616" s="1" t="s">
        <v>1793</v>
      </c>
      <c r="E1616" s="1" t="s">
        <v>25</v>
      </c>
      <c r="F1616">
        <v>372.41465406102299</v>
      </c>
      <c r="G1616">
        <v>372.41465406102299</v>
      </c>
      <c r="H1616">
        <v>17.73</v>
      </c>
      <c r="I1616" s="1" t="s">
        <v>20</v>
      </c>
      <c r="J1616" s="1" t="s">
        <v>25</v>
      </c>
      <c r="K1616" s="11" t="s">
        <v>25</v>
      </c>
      <c r="L1616" s="32">
        <v>-1.3906444080881799</v>
      </c>
      <c r="M1616" s="3" t="str">
        <f t="shared" si="34"/>
        <v>44/40</v>
      </c>
      <c r="N1616" s="3" t="str">
        <f t="shared" si="35"/>
        <v>SW</v>
      </c>
      <c r="O1616" s="1">
        <v>271.87235594565499</v>
      </c>
      <c r="P1616" s="3" t="str">
        <f t="shared" si="36"/>
        <v>ppm</v>
      </c>
      <c r="Q1616" s="37">
        <v>3.3066910121758392E-4</v>
      </c>
      <c r="R1616" s="3" t="str">
        <f t="shared" si="37"/>
        <v>mol/mol</v>
      </c>
      <c r="S1616" s="13">
        <f t="shared" si="33"/>
        <v>-1.3906444080881799</v>
      </c>
    </row>
    <row r="1617" spans="1:19">
      <c r="A1617" s="18" t="s">
        <v>1592</v>
      </c>
      <c r="B1617" s="1" t="s">
        <v>1773</v>
      </c>
      <c r="C1617" s="1" t="s">
        <v>1697</v>
      </c>
      <c r="D1617" s="1" t="s">
        <v>1793</v>
      </c>
      <c r="E1617" s="1" t="s">
        <v>25</v>
      </c>
      <c r="F1617">
        <v>372.418306832832</v>
      </c>
      <c r="G1617">
        <v>372.418306832832</v>
      </c>
      <c r="H1617">
        <v>17.559999999999999</v>
      </c>
      <c r="I1617" s="1" t="s">
        <v>20</v>
      </c>
      <c r="J1617" s="1" t="s">
        <v>25</v>
      </c>
      <c r="K1617" s="11" t="s">
        <v>25</v>
      </c>
      <c r="L1617" s="32">
        <v>-1.02705068443777</v>
      </c>
      <c r="M1617" s="3" t="str">
        <f t="shared" si="34"/>
        <v>44/40</v>
      </c>
      <c r="N1617" s="3" t="str">
        <f t="shared" si="35"/>
        <v>SW</v>
      </c>
      <c r="O1617" s="1">
        <v>276.74974252592398</v>
      </c>
      <c r="P1617" s="3" t="str">
        <f t="shared" si="36"/>
        <v>ppm</v>
      </c>
      <c r="Q1617" s="37">
        <v>3.416057996213137E-4</v>
      </c>
      <c r="R1617" s="3" t="str">
        <f t="shared" si="37"/>
        <v>mol/mol</v>
      </c>
      <c r="S1617" s="13">
        <f t="shared" si="33"/>
        <v>-1.02705068443777</v>
      </c>
    </row>
    <row r="1618" spans="1:19">
      <c r="A1618" s="18" t="s">
        <v>1592</v>
      </c>
      <c r="B1618" s="1" t="s">
        <v>1774</v>
      </c>
      <c r="C1618" s="1" t="s">
        <v>1697</v>
      </c>
      <c r="D1618" s="1" t="s">
        <v>1793</v>
      </c>
      <c r="E1618" s="1" t="s">
        <v>25</v>
      </c>
      <c r="F1618">
        <v>372.42195960464102</v>
      </c>
      <c r="G1618">
        <v>372.42195960464102</v>
      </c>
      <c r="H1618">
        <v>17.39</v>
      </c>
      <c r="I1618" s="1" t="s">
        <v>20</v>
      </c>
      <c r="J1618" s="1" t="s">
        <v>25</v>
      </c>
      <c r="K1618" s="11" t="s">
        <v>25</v>
      </c>
      <c r="L1618" s="32" t="s">
        <v>25</v>
      </c>
      <c r="M1618" s="3" t="str">
        <f t="shared" si="34"/>
        <v>Na</v>
      </c>
      <c r="N1618" s="3" t="str">
        <f t="shared" si="35"/>
        <v>Na</v>
      </c>
      <c r="O1618" s="1">
        <v>329.63526844533197</v>
      </c>
      <c r="P1618" s="3" t="str">
        <f t="shared" si="36"/>
        <v>ppm</v>
      </c>
      <c r="Q1618" s="37">
        <v>4.1555066532270507E-4</v>
      </c>
      <c r="R1618" s="3" t="str">
        <f t="shared" si="37"/>
        <v>mol/mol</v>
      </c>
      <c r="S1618" s="13" t="s">
        <v>25</v>
      </c>
    </row>
    <row r="1619" spans="1:19">
      <c r="A1619" s="18" t="s">
        <v>1592</v>
      </c>
      <c r="B1619" s="1" t="s">
        <v>1775</v>
      </c>
      <c r="C1619" s="1" t="s">
        <v>1697</v>
      </c>
      <c r="D1619" s="1" t="s">
        <v>1793</v>
      </c>
      <c r="E1619" s="1" t="s">
        <v>25</v>
      </c>
      <c r="F1619">
        <v>372.42539750752002</v>
      </c>
      <c r="G1619">
        <v>372.42539750752002</v>
      </c>
      <c r="H1619">
        <v>17.23</v>
      </c>
      <c r="I1619" s="1" t="s">
        <v>20</v>
      </c>
      <c r="J1619" s="1" t="s">
        <v>25</v>
      </c>
      <c r="K1619" s="11" t="s">
        <v>25</v>
      </c>
      <c r="L1619" s="32">
        <v>-1.1957972883455701</v>
      </c>
      <c r="M1619" s="3" t="str">
        <f t="shared" si="34"/>
        <v>44/40</v>
      </c>
      <c r="N1619" s="3" t="str">
        <f t="shared" si="35"/>
        <v>SW</v>
      </c>
      <c r="O1619" s="1">
        <v>390.28707350880097</v>
      </c>
      <c r="P1619" s="3" t="str">
        <f t="shared" si="36"/>
        <v>ppm</v>
      </c>
      <c r="Q1619" s="37">
        <v>4.8045173465186399E-4</v>
      </c>
      <c r="R1619" s="3" t="str">
        <f t="shared" si="37"/>
        <v>mol/mol</v>
      </c>
      <c r="S1619" s="13">
        <f t="shared" si="33"/>
        <v>-1.1957972883455701</v>
      </c>
    </row>
    <row r="1620" spans="1:19">
      <c r="A1620" s="18" t="s">
        <v>1592</v>
      </c>
      <c r="B1620" s="1" t="s">
        <v>1776</v>
      </c>
      <c r="C1620" s="1" t="s">
        <v>1697</v>
      </c>
      <c r="D1620" s="1" t="s">
        <v>1793</v>
      </c>
      <c r="E1620" s="1" t="s">
        <v>25</v>
      </c>
      <c r="F1620">
        <v>372.42883541039998</v>
      </c>
      <c r="G1620">
        <v>372.42883541039998</v>
      </c>
      <c r="H1620">
        <v>17.07</v>
      </c>
      <c r="I1620" s="1" t="s">
        <v>20</v>
      </c>
      <c r="J1620" s="1" t="s">
        <v>25</v>
      </c>
      <c r="K1620" s="11" t="s">
        <v>25</v>
      </c>
      <c r="L1620" s="32">
        <v>-1.0511390574131101</v>
      </c>
      <c r="M1620" s="3" t="str">
        <f t="shared" si="34"/>
        <v>44/40</v>
      </c>
      <c r="N1620" s="3" t="str">
        <f t="shared" si="35"/>
        <v>SW</v>
      </c>
      <c r="O1620" s="1">
        <v>275.91555585932599</v>
      </c>
      <c r="P1620" s="3" t="str">
        <f t="shared" si="36"/>
        <v>ppm</v>
      </c>
      <c r="Q1620" s="37">
        <v>3.447700813305348E-4</v>
      </c>
      <c r="R1620" s="3" t="str">
        <f t="shared" si="37"/>
        <v>mol/mol</v>
      </c>
      <c r="S1620" s="13">
        <f t="shared" si="33"/>
        <v>-1.0511390574131101</v>
      </c>
    </row>
    <row r="1621" spans="1:19">
      <c r="A1621" s="18" t="s">
        <v>1592</v>
      </c>
      <c r="B1621" s="1" t="s">
        <v>1777</v>
      </c>
      <c r="C1621" s="1" t="s">
        <v>1697</v>
      </c>
      <c r="D1621" s="1" t="s">
        <v>1793</v>
      </c>
      <c r="E1621" s="1" t="s">
        <v>25</v>
      </c>
      <c r="F1621">
        <v>372.43205844434902</v>
      </c>
      <c r="G1621">
        <v>372.43205844434902</v>
      </c>
      <c r="H1621">
        <v>16.920000000000002</v>
      </c>
      <c r="I1621" s="1" t="s">
        <v>20</v>
      </c>
      <c r="J1621" s="1" t="s">
        <v>25</v>
      </c>
      <c r="K1621" s="11" t="s">
        <v>25</v>
      </c>
      <c r="L1621" s="32" t="s">
        <v>25</v>
      </c>
      <c r="M1621" s="3" t="str">
        <f t="shared" si="34"/>
        <v>Na</v>
      </c>
      <c r="N1621" s="3" t="str">
        <f t="shared" si="35"/>
        <v>Na</v>
      </c>
      <c r="O1621" s="1">
        <v>222.56676906964299</v>
      </c>
      <c r="P1621" s="3" t="str">
        <f t="shared" si="36"/>
        <v>ppm</v>
      </c>
      <c r="Q1621" s="37">
        <v>2.8074215932496148E-4</v>
      </c>
      <c r="R1621" s="3" t="str">
        <f t="shared" si="37"/>
        <v>mol/mol</v>
      </c>
      <c r="S1621" s="13" t="s">
        <v>25</v>
      </c>
    </row>
    <row r="1622" spans="1:19">
      <c r="A1622" s="18" t="s">
        <v>1592</v>
      </c>
      <c r="B1622" s="1" t="s">
        <v>1778</v>
      </c>
      <c r="C1622" s="1" t="s">
        <v>1697</v>
      </c>
      <c r="D1622" s="1" t="s">
        <v>1793</v>
      </c>
      <c r="E1622" s="1" t="s">
        <v>25</v>
      </c>
      <c r="F1622">
        <v>372.43485174043798</v>
      </c>
      <c r="G1622">
        <v>372.43485174043798</v>
      </c>
      <c r="H1622">
        <v>16.79</v>
      </c>
      <c r="I1622" s="1" t="s">
        <v>20</v>
      </c>
      <c r="J1622" s="1" t="s">
        <v>25</v>
      </c>
      <c r="K1622" s="11" t="s">
        <v>25</v>
      </c>
      <c r="L1622" s="32">
        <v>-1.2215287970127999</v>
      </c>
      <c r="M1622" s="3" t="str">
        <f t="shared" si="34"/>
        <v>44/40</v>
      </c>
      <c r="N1622" s="3" t="str">
        <f t="shared" si="35"/>
        <v>SW</v>
      </c>
      <c r="O1622" s="1">
        <v>394.274135009237</v>
      </c>
      <c r="P1622" s="3" t="str">
        <f t="shared" si="36"/>
        <v>ppm</v>
      </c>
      <c r="Q1622" s="37">
        <v>5.0278753689077975E-4</v>
      </c>
      <c r="R1622" s="3" t="str">
        <f t="shared" si="37"/>
        <v>mol/mol</v>
      </c>
      <c r="S1622" s="13">
        <f t="shared" si="33"/>
        <v>-1.2215287970127999</v>
      </c>
    </row>
    <row r="1623" spans="1:19">
      <c r="A1623" s="18" t="s">
        <v>1592</v>
      </c>
      <c r="B1623" s="1" t="s">
        <v>1779</v>
      </c>
      <c r="C1623" s="1" t="s">
        <v>1697</v>
      </c>
      <c r="D1623" s="1" t="s">
        <v>1793</v>
      </c>
      <c r="E1623" s="1" t="s">
        <v>25</v>
      </c>
      <c r="F1623">
        <v>372.43764503652801</v>
      </c>
      <c r="G1623">
        <v>372.43764503652801</v>
      </c>
      <c r="H1623">
        <v>16.66</v>
      </c>
      <c r="I1623" s="1" t="s">
        <v>20</v>
      </c>
      <c r="J1623" s="1" t="s">
        <v>25</v>
      </c>
      <c r="K1623" s="11" t="s">
        <v>25</v>
      </c>
      <c r="L1623" s="32" t="s">
        <v>25</v>
      </c>
      <c r="M1623" s="3" t="str">
        <f t="shared" si="34"/>
        <v>Na</v>
      </c>
      <c r="N1623" s="3" t="str">
        <f t="shared" si="35"/>
        <v>Na</v>
      </c>
      <c r="O1623" s="1">
        <v>328.94373673019498</v>
      </c>
      <c r="P1623" s="3" t="str">
        <f t="shared" si="36"/>
        <v>ppm</v>
      </c>
      <c r="Q1623" s="37">
        <v>3.9049891795005828E-4</v>
      </c>
      <c r="R1623" s="3" t="str">
        <f t="shared" si="37"/>
        <v>mol/mol</v>
      </c>
      <c r="S1623" s="13" t="s">
        <v>25</v>
      </c>
    </row>
    <row r="1624" spans="1:19">
      <c r="A1624" s="18" t="s">
        <v>1592</v>
      </c>
      <c r="B1624" s="1" t="s">
        <v>1780</v>
      </c>
      <c r="C1624" s="1" t="s">
        <v>1697</v>
      </c>
      <c r="D1624" s="1" t="s">
        <v>1793</v>
      </c>
      <c r="E1624" s="1" t="s">
        <v>25</v>
      </c>
      <c r="F1624">
        <v>372.44043833261702</v>
      </c>
      <c r="G1624">
        <v>372.44043833261702</v>
      </c>
      <c r="H1624">
        <v>16.53</v>
      </c>
      <c r="I1624" s="1" t="s">
        <v>20</v>
      </c>
      <c r="J1624" s="1" t="s">
        <v>25</v>
      </c>
      <c r="K1624" s="11" t="s">
        <v>25</v>
      </c>
      <c r="L1624" s="32">
        <v>-1.0317273195829599</v>
      </c>
      <c r="M1624" s="3" t="str">
        <f t="shared" si="34"/>
        <v>44/40</v>
      </c>
      <c r="N1624" s="3" t="str">
        <f t="shared" si="35"/>
        <v>SW</v>
      </c>
      <c r="O1624" s="1">
        <v>243.184104413884</v>
      </c>
      <c r="P1624" s="3" t="str">
        <f t="shared" si="36"/>
        <v>ppm</v>
      </c>
      <c r="Q1624" s="37">
        <v>2.947670801532093E-4</v>
      </c>
      <c r="R1624" s="3" t="str">
        <f t="shared" si="37"/>
        <v>mol/mol</v>
      </c>
      <c r="S1624" s="13">
        <f t="shared" si="33"/>
        <v>-1.0317273195829599</v>
      </c>
    </row>
    <row r="1625" spans="1:19">
      <c r="A1625" s="18" t="s">
        <v>1592</v>
      </c>
      <c r="B1625" s="1" t="s">
        <v>1781</v>
      </c>
      <c r="C1625" s="1" t="s">
        <v>1697</v>
      </c>
      <c r="D1625" s="1" t="s">
        <v>1793</v>
      </c>
      <c r="E1625" s="1" t="s">
        <v>25</v>
      </c>
      <c r="F1625">
        <v>372.45848732273299</v>
      </c>
      <c r="G1625">
        <v>372.45848732273299</v>
      </c>
      <c r="H1625">
        <v>15.69</v>
      </c>
      <c r="I1625" s="1" t="s">
        <v>20</v>
      </c>
      <c r="J1625" s="1" t="s">
        <v>25</v>
      </c>
      <c r="K1625" s="11" t="s">
        <v>25</v>
      </c>
      <c r="L1625" s="32" t="s">
        <v>25</v>
      </c>
      <c r="M1625" s="3" t="str">
        <f t="shared" si="34"/>
        <v>Na</v>
      </c>
      <c r="N1625" s="3" t="str">
        <f t="shared" si="35"/>
        <v>Na</v>
      </c>
      <c r="O1625" s="1">
        <v>391.84048633999902</v>
      </c>
      <c r="P1625" s="3" t="str">
        <f t="shared" si="36"/>
        <v>ppm</v>
      </c>
      <c r="Q1625" s="37">
        <v>4.796852453144307E-4</v>
      </c>
      <c r="R1625" s="3" t="str">
        <f t="shared" si="37"/>
        <v>mol/mol</v>
      </c>
      <c r="S1625" s="13" t="s">
        <v>25</v>
      </c>
    </row>
    <row r="1626" spans="1:19">
      <c r="A1626" s="18" t="s">
        <v>1592</v>
      </c>
      <c r="B1626" s="1" t="s">
        <v>1782</v>
      </c>
      <c r="C1626" s="1" t="s">
        <v>1697</v>
      </c>
      <c r="D1626" s="1" t="s">
        <v>1793</v>
      </c>
      <c r="E1626" s="1" t="s">
        <v>25</v>
      </c>
      <c r="F1626">
        <v>372.49458530296499</v>
      </c>
      <c r="G1626">
        <v>372.49458530296499</v>
      </c>
      <c r="H1626">
        <v>14.01</v>
      </c>
      <c r="I1626" s="1" t="s">
        <v>20</v>
      </c>
      <c r="J1626" s="1" t="s">
        <v>25</v>
      </c>
      <c r="K1626" s="11" t="s">
        <v>25</v>
      </c>
      <c r="L1626" s="32">
        <v>-1.0555901919850701</v>
      </c>
      <c r="M1626" s="3" t="str">
        <f t="shared" si="34"/>
        <v>44/40</v>
      </c>
      <c r="N1626" s="3" t="str">
        <f t="shared" si="35"/>
        <v>SW</v>
      </c>
      <c r="O1626" s="1">
        <v>242.75942774370699</v>
      </c>
      <c r="P1626" s="3" t="str">
        <f t="shared" si="36"/>
        <v>ppm</v>
      </c>
      <c r="Q1626" s="37">
        <v>3.0518913524080568E-4</v>
      </c>
      <c r="R1626" s="3" t="str">
        <f t="shared" si="37"/>
        <v>mol/mol</v>
      </c>
      <c r="S1626" s="13">
        <f t="shared" si="33"/>
        <v>-1.0555901919850701</v>
      </c>
    </row>
    <row r="1627" spans="1:19">
      <c r="A1627" s="18" t="s">
        <v>1592</v>
      </c>
      <c r="B1627" s="1" t="s">
        <v>1783</v>
      </c>
      <c r="C1627" s="1" t="s">
        <v>1697</v>
      </c>
      <c r="D1627" s="1" t="s">
        <v>1793</v>
      </c>
      <c r="E1627" s="1" t="s">
        <v>25</v>
      </c>
      <c r="F1627">
        <v>372.515427589171</v>
      </c>
      <c r="G1627">
        <v>372.515427589171</v>
      </c>
      <c r="H1627">
        <v>13.04</v>
      </c>
      <c r="I1627" s="1" t="s">
        <v>20</v>
      </c>
      <c r="J1627" s="1" t="s">
        <v>25</v>
      </c>
      <c r="K1627" s="11" t="s">
        <v>25</v>
      </c>
      <c r="L1627" s="32" t="s">
        <v>25</v>
      </c>
      <c r="M1627" s="3" t="str">
        <f t="shared" si="34"/>
        <v>Na</v>
      </c>
      <c r="N1627" s="3" t="str">
        <f t="shared" si="35"/>
        <v>Na</v>
      </c>
      <c r="O1627" s="1">
        <v>241.23591279267899</v>
      </c>
      <c r="P1627" s="3" t="str">
        <f t="shared" si="36"/>
        <v>ppm</v>
      </c>
      <c r="Q1627" s="37">
        <v>2.9257207127978682E-4</v>
      </c>
      <c r="R1627" s="3" t="str">
        <f t="shared" si="37"/>
        <v>mol/mol</v>
      </c>
      <c r="S1627" s="13" t="s">
        <v>25</v>
      </c>
    </row>
    <row r="1628" spans="1:19">
      <c r="A1628" s="18" t="s">
        <v>1592</v>
      </c>
      <c r="B1628" s="1" t="s">
        <v>1784</v>
      </c>
      <c r="C1628" s="1" t="s">
        <v>1697</v>
      </c>
      <c r="D1628" s="1" t="s">
        <v>1793</v>
      </c>
      <c r="E1628" s="1" t="s">
        <v>25</v>
      </c>
      <c r="F1628">
        <v>372.53562526858599</v>
      </c>
      <c r="G1628">
        <v>372.53562526858599</v>
      </c>
      <c r="H1628">
        <v>12.1</v>
      </c>
      <c r="I1628" s="1" t="s">
        <v>20</v>
      </c>
      <c r="J1628" s="1" t="s">
        <v>25</v>
      </c>
      <c r="K1628" s="11" t="s">
        <v>25</v>
      </c>
      <c r="L1628" s="32" t="s">
        <v>25</v>
      </c>
      <c r="M1628" s="3" t="str">
        <f t="shared" si="34"/>
        <v>Na</v>
      </c>
      <c r="N1628" s="3" t="str">
        <f t="shared" si="35"/>
        <v>Na</v>
      </c>
      <c r="O1628" s="1">
        <v>293.493197691131</v>
      </c>
      <c r="P1628" s="3" t="str">
        <f t="shared" si="36"/>
        <v>ppm</v>
      </c>
      <c r="Q1628" s="37">
        <v>3.4318862679404231E-4</v>
      </c>
      <c r="R1628" s="3" t="str">
        <f t="shared" si="37"/>
        <v>mol/mol</v>
      </c>
      <c r="S1628" s="13" t="s">
        <v>25</v>
      </c>
    </row>
    <row r="1629" spans="1:19">
      <c r="A1629" s="18" t="s">
        <v>1592</v>
      </c>
      <c r="B1629" s="1" t="s">
        <v>1785</v>
      </c>
      <c r="C1629" s="1" t="s">
        <v>1697</v>
      </c>
      <c r="D1629" s="1" t="s">
        <v>1793</v>
      </c>
      <c r="E1629" s="1" t="s">
        <v>25</v>
      </c>
      <c r="F1629">
        <v>372.55174043833301</v>
      </c>
      <c r="G1629">
        <v>372.55174043833301</v>
      </c>
      <c r="H1629">
        <v>11.35</v>
      </c>
      <c r="I1629" s="1" t="s">
        <v>20</v>
      </c>
      <c r="J1629" s="1" t="s">
        <v>25</v>
      </c>
      <c r="K1629" s="11" t="s">
        <v>25</v>
      </c>
      <c r="L1629" s="32">
        <v>-1.00540728851453</v>
      </c>
      <c r="M1629" s="3" t="str">
        <f t="shared" si="34"/>
        <v>44/40</v>
      </c>
      <c r="N1629" s="3" t="str">
        <f t="shared" si="35"/>
        <v>SW</v>
      </c>
      <c r="O1629" s="1">
        <v>238.51861117932501</v>
      </c>
      <c r="P1629" s="3" t="str">
        <f t="shared" si="36"/>
        <v>ppm</v>
      </c>
      <c r="Q1629" s="37">
        <v>2.8666601049486164E-4</v>
      </c>
      <c r="R1629" s="3" t="str">
        <f t="shared" si="37"/>
        <v>mol/mol</v>
      </c>
      <c r="S1629" s="13">
        <f t="shared" si="33"/>
        <v>-1.00540728851453</v>
      </c>
    </row>
    <row r="1630" spans="1:19">
      <c r="A1630" s="18" t="s">
        <v>1592</v>
      </c>
      <c r="B1630" s="1" t="s">
        <v>1786</v>
      </c>
      <c r="C1630" s="1" t="s">
        <v>1697</v>
      </c>
      <c r="D1630" s="1" t="s">
        <v>1793</v>
      </c>
      <c r="E1630" s="1" t="s">
        <v>25</v>
      </c>
      <c r="F1630">
        <v>372.57215298667802</v>
      </c>
      <c r="G1630">
        <v>372.57215298667802</v>
      </c>
      <c r="H1630">
        <v>10.4</v>
      </c>
      <c r="I1630" s="1" t="s">
        <v>20</v>
      </c>
      <c r="J1630" s="1" t="s">
        <v>25</v>
      </c>
      <c r="K1630" s="11" t="s">
        <v>25</v>
      </c>
      <c r="L1630" s="32" t="s">
        <v>25</v>
      </c>
      <c r="M1630" s="3" t="str">
        <f t="shared" si="34"/>
        <v>Na</v>
      </c>
      <c r="N1630" s="3" t="str">
        <f t="shared" si="35"/>
        <v>Na</v>
      </c>
      <c r="O1630" s="1">
        <v>266.60431525036699</v>
      </c>
      <c r="P1630" s="3" t="str">
        <f t="shared" si="36"/>
        <v>ppm</v>
      </c>
      <c r="Q1630" s="37">
        <v>3.1260451641935581E-4</v>
      </c>
      <c r="R1630" s="3" t="str">
        <f t="shared" si="37"/>
        <v>mol/mol</v>
      </c>
      <c r="S1630" s="13" t="s">
        <v>25</v>
      </c>
    </row>
    <row r="1631" spans="1:19">
      <c r="A1631" s="18" t="s">
        <v>1592</v>
      </c>
      <c r="B1631" s="1" t="s">
        <v>1787</v>
      </c>
      <c r="C1631" s="1" t="s">
        <v>1697</v>
      </c>
      <c r="D1631" s="1" t="s">
        <v>1793</v>
      </c>
      <c r="E1631" s="1" t="s">
        <v>25</v>
      </c>
      <c r="F1631">
        <v>372.58074774387597</v>
      </c>
      <c r="G1631">
        <v>372.58074774387597</v>
      </c>
      <c r="H1631">
        <v>10</v>
      </c>
      <c r="I1631" s="1" t="s">
        <v>20</v>
      </c>
      <c r="J1631" s="1" t="s">
        <v>25</v>
      </c>
      <c r="K1631" s="11" t="s">
        <v>25</v>
      </c>
      <c r="L1631" s="32">
        <v>-1.08941135601368</v>
      </c>
      <c r="M1631" s="3" t="str">
        <f t="shared" si="34"/>
        <v>44/40</v>
      </c>
      <c r="N1631" s="3" t="str">
        <f t="shared" si="35"/>
        <v>SW</v>
      </c>
      <c r="O1631" s="1">
        <v>282.20799888660201</v>
      </c>
      <c r="P1631" s="3" t="str">
        <f t="shared" si="36"/>
        <v>ppm</v>
      </c>
      <c r="Q1631" s="37">
        <v>3.2855024572483728E-4</v>
      </c>
      <c r="R1631" s="3" t="str">
        <f t="shared" si="37"/>
        <v>mol/mol</v>
      </c>
      <c r="S1631" s="13">
        <f t="shared" si="33"/>
        <v>-1.08941135601368</v>
      </c>
    </row>
    <row r="1632" spans="1:19">
      <c r="A1632" s="18" t="s">
        <v>1592</v>
      </c>
      <c r="B1632" s="1" t="s">
        <v>1788</v>
      </c>
      <c r="C1632" s="1" t="s">
        <v>1697</v>
      </c>
      <c r="D1632" s="1" t="s">
        <v>1793</v>
      </c>
      <c r="E1632" s="1" t="s">
        <v>25</v>
      </c>
      <c r="F1632">
        <v>372.62157284056701</v>
      </c>
      <c r="G1632">
        <v>372.62157284056701</v>
      </c>
      <c r="H1632">
        <v>8.1</v>
      </c>
      <c r="I1632" s="1" t="s">
        <v>20</v>
      </c>
      <c r="J1632" s="1" t="s">
        <v>25</v>
      </c>
      <c r="K1632" s="11" t="s">
        <v>25</v>
      </c>
      <c r="L1632" s="32" t="s">
        <v>25</v>
      </c>
      <c r="M1632" s="3" t="str">
        <f t="shared" si="34"/>
        <v>Na</v>
      </c>
      <c r="N1632" s="3" t="str">
        <f t="shared" si="35"/>
        <v>Na</v>
      </c>
      <c r="O1632" s="1">
        <v>270.742230176757</v>
      </c>
      <c r="P1632" s="3" t="str">
        <f t="shared" si="36"/>
        <v>ppm</v>
      </c>
      <c r="Q1632" s="37">
        <v>3.1827367556184187E-4</v>
      </c>
      <c r="R1632" s="3" t="str">
        <f t="shared" si="37"/>
        <v>mol/mol</v>
      </c>
      <c r="S1632" s="13" t="s">
        <v>25</v>
      </c>
    </row>
    <row r="1633" spans="1:19">
      <c r="A1633" s="18" t="s">
        <v>1592</v>
      </c>
      <c r="B1633" s="1" t="s">
        <v>1789</v>
      </c>
      <c r="C1633" s="1" t="s">
        <v>1697</v>
      </c>
      <c r="D1633" s="1" t="s">
        <v>1793</v>
      </c>
      <c r="E1633" s="1" t="s">
        <v>25</v>
      </c>
      <c r="F1633">
        <v>372.64520842286203</v>
      </c>
      <c r="G1633">
        <v>372.64520842286203</v>
      </c>
      <c r="H1633">
        <v>7</v>
      </c>
      <c r="I1633" s="1" t="s">
        <v>20</v>
      </c>
      <c r="J1633" s="1" t="s">
        <v>25</v>
      </c>
      <c r="K1633" s="11" t="s">
        <v>25</v>
      </c>
      <c r="L1633" s="32">
        <v>-1.1466105760710401</v>
      </c>
      <c r="M1633" s="3" t="str">
        <f t="shared" si="34"/>
        <v>44/40</v>
      </c>
      <c r="N1633" s="3" t="str">
        <f t="shared" si="35"/>
        <v>SW</v>
      </c>
      <c r="O1633" s="1">
        <v>272.21179844763799</v>
      </c>
      <c r="P1633" s="3" t="str">
        <f t="shared" si="36"/>
        <v>ppm</v>
      </c>
      <c r="Q1633" s="37">
        <v>3.5754402056032298E-4</v>
      </c>
      <c r="R1633" s="3" t="str">
        <f t="shared" si="37"/>
        <v>mol/mol</v>
      </c>
      <c r="S1633" s="13">
        <f t="shared" si="33"/>
        <v>-1.1466105760710401</v>
      </c>
    </row>
    <row r="1634" spans="1:19">
      <c r="A1634" s="18" t="s">
        <v>1592</v>
      </c>
      <c r="B1634" s="1" t="s">
        <v>1790</v>
      </c>
      <c r="C1634" s="1" t="s">
        <v>1697</v>
      </c>
      <c r="D1634" s="1" t="s">
        <v>1793</v>
      </c>
      <c r="E1634" s="1" t="s">
        <v>25</v>
      </c>
      <c r="F1634">
        <v>372.66239793725799</v>
      </c>
      <c r="G1634">
        <v>372.66239793725799</v>
      </c>
      <c r="H1634">
        <v>6.2</v>
      </c>
      <c r="I1634" s="1" t="s">
        <v>20</v>
      </c>
      <c r="J1634" s="1" t="s">
        <v>25</v>
      </c>
      <c r="K1634" s="11" t="s">
        <v>25</v>
      </c>
      <c r="L1634" s="32" t="s">
        <v>25</v>
      </c>
      <c r="M1634" s="3" t="str">
        <f t="shared" si="34"/>
        <v>Na</v>
      </c>
      <c r="N1634" s="3" t="str">
        <f t="shared" si="35"/>
        <v>Na</v>
      </c>
      <c r="O1634" s="1">
        <v>207.85882443887999</v>
      </c>
      <c r="P1634" s="3" t="str">
        <f t="shared" si="36"/>
        <v>ppm</v>
      </c>
      <c r="Q1634" s="37">
        <v>2.6296811263116176E-4</v>
      </c>
      <c r="R1634" s="3" t="str">
        <f t="shared" si="37"/>
        <v>mol/mol</v>
      </c>
      <c r="S1634" s="13" t="s">
        <v>25</v>
      </c>
    </row>
    <row r="1635" spans="1:19">
      <c r="A1635" s="18" t="s">
        <v>1592</v>
      </c>
      <c r="B1635" s="1" t="s">
        <v>1791</v>
      </c>
      <c r="C1635" s="1" t="s">
        <v>1697</v>
      </c>
      <c r="D1635" s="1" t="s">
        <v>1793</v>
      </c>
      <c r="E1635" s="1" t="s">
        <v>25</v>
      </c>
      <c r="F1635">
        <v>372.7</v>
      </c>
      <c r="G1635">
        <v>372.7</v>
      </c>
      <c r="H1635">
        <v>4.45</v>
      </c>
      <c r="I1635" s="1" t="s">
        <v>20</v>
      </c>
      <c r="J1635" s="1" t="s">
        <v>25</v>
      </c>
      <c r="K1635" s="11" t="s">
        <v>25</v>
      </c>
      <c r="L1635" s="32">
        <v>-1.00031056853167</v>
      </c>
      <c r="M1635" s="3" t="str">
        <f t="shared" si="34"/>
        <v>44/40</v>
      </c>
      <c r="N1635" s="3" t="str">
        <f t="shared" si="35"/>
        <v>SW</v>
      </c>
      <c r="O1635" s="1">
        <v>187.95542636984001</v>
      </c>
      <c r="P1635" s="3" t="str">
        <f t="shared" si="36"/>
        <v>ppm</v>
      </c>
      <c r="Q1635" s="37">
        <v>2.3075504867242814E-4</v>
      </c>
      <c r="R1635" s="3" t="str">
        <f t="shared" si="37"/>
        <v>mol/mol</v>
      </c>
      <c r="S1635" s="13">
        <f t="shared" si="33"/>
        <v>-1.00031056853167</v>
      </c>
    </row>
    <row r="1636" spans="1:19">
      <c r="A1636" s="18" t="s">
        <v>1592</v>
      </c>
      <c r="B1636" s="1" t="s">
        <v>1792</v>
      </c>
      <c r="C1636" s="1" t="s">
        <v>1697</v>
      </c>
      <c r="D1636" s="1" t="s">
        <v>1793</v>
      </c>
      <c r="E1636" s="1" t="s">
        <v>25</v>
      </c>
      <c r="F1636">
        <v>372.750494198539</v>
      </c>
      <c r="G1636">
        <v>372.750494198539</v>
      </c>
      <c r="H1636">
        <v>2.35</v>
      </c>
      <c r="I1636" s="1" t="s">
        <v>20</v>
      </c>
      <c r="J1636" s="1" t="s">
        <v>25</v>
      </c>
      <c r="K1636" s="11" t="s">
        <v>25</v>
      </c>
      <c r="L1636" s="32" t="s">
        <v>25</v>
      </c>
      <c r="M1636" s="3" t="str">
        <f t="shared" si="34"/>
        <v>Na</v>
      </c>
      <c r="N1636" s="3" t="str">
        <f t="shared" si="35"/>
        <v>Na</v>
      </c>
      <c r="O1636" s="1">
        <v>305.52557429581299</v>
      </c>
      <c r="P1636" s="3" t="str">
        <f t="shared" si="36"/>
        <v>ppm</v>
      </c>
      <c r="Q1636" s="37">
        <v>3.5459904233455213E-4</v>
      </c>
      <c r="R1636" s="3" t="str">
        <f t="shared" si="37"/>
        <v>mol/mol</v>
      </c>
      <c r="S1636" s="13" t="s">
        <v>25</v>
      </c>
    </row>
    <row r="1637" spans="1:19" s="4" customFormat="1">
      <c r="B1637" s="5"/>
      <c r="C1637" s="5"/>
      <c r="D1637" s="5"/>
      <c r="E1637" s="5"/>
      <c r="I1637" s="5"/>
      <c r="J1637" s="5"/>
      <c r="M1637" s="5"/>
      <c r="O1637" s="5"/>
      <c r="P1637" s="6"/>
      <c r="Q1637" s="38"/>
      <c r="S1637" s="24"/>
    </row>
    <row r="1638" spans="1:19">
      <c r="A1638" s="18" t="s">
        <v>1794</v>
      </c>
      <c r="B1638" s="1" t="s">
        <v>1795</v>
      </c>
      <c r="C1638" s="1" t="s">
        <v>2043</v>
      </c>
      <c r="D1638" s="1" t="s">
        <v>2044</v>
      </c>
      <c r="E1638" s="1" t="s">
        <v>25</v>
      </c>
      <c r="F1638">
        <v>251.90199999999999</v>
      </c>
      <c r="G1638">
        <v>298.89999999999998</v>
      </c>
      <c r="H1638" t="s">
        <v>25</v>
      </c>
      <c r="I1638" s="1" t="s">
        <v>1528</v>
      </c>
      <c r="J1638" s="1" t="s">
        <v>25</v>
      </c>
      <c r="K1638" s="11" t="s">
        <v>25</v>
      </c>
      <c r="L1638">
        <v>0.84</v>
      </c>
      <c r="M1638" s="3" t="str">
        <f t="shared" si="34"/>
        <v>44/40</v>
      </c>
      <c r="N1638" s="3" t="str">
        <f>IF(ISNUMBER(SEARCH("Na", M1638)), "Na", "SRM915a")</f>
        <v>SRM915a</v>
      </c>
      <c r="O1638" s="1" t="s">
        <v>25</v>
      </c>
      <c r="P1638" s="3" t="s">
        <v>25</v>
      </c>
      <c r="Q1638" s="37" t="s">
        <v>25</v>
      </c>
      <c r="R1638" s="3" t="s">
        <v>25</v>
      </c>
      <c r="S1638" s="13">
        <f t="shared" ref="S1638:S1701" si="38">IF(NOT(N1638="SW"),L1638-1.88,L1638)</f>
        <v>-1.04</v>
      </c>
    </row>
    <row r="1639" spans="1:19">
      <c r="A1639" s="18" t="s">
        <v>1794</v>
      </c>
      <c r="B1639" s="1" t="s">
        <v>1796</v>
      </c>
      <c r="C1639" s="1" t="s">
        <v>2043</v>
      </c>
      <c r="D1639" s="1" t="s">
        <v>2044</v>
      </c>
      <c r="E1639" s="1" t="s">
        <v>25</v>
      </c>
      <c r="F1639">
        <v>251.90199999999999</v>
      </c>
      <c r="G1639">
        <v>298.89999999999998</v>
      </c>
      <c r="H1639" t="s">
        <v>25</v>
      </c>
      <c r="I1639" s="1" t="s">
        <v>1528</v>
      </c>
      <c r="J1639" s="1" t="s">
        <v>25</v>
      </c>
      <c r="K1639" s="11" t="s">
        <v>25</v>
      </c>
      <c r="L1639">
        <v>0.8</v>
      </c>
      <c r="M1639" s="3" t="str">
        <f t="shared" si="34"/>
        <v>44/40</v>
      </c>
      <c r="N1639" s="3" t="str">
        <f t="shared" ref="N1639:N1702" si="39">IF(ISNUMBER(SEARCH("Na", M1639)), "Na", "SRM915a")</f>
        <v>SRM915a</v>
      </c>
      <c r="O1639" s="1" t="s">
        <v>25</v>
      </c>
      <c r="P1639" s="3" t="s">
        <v>25</v>
      </c>
      <c r="Q1639" s="37" t="s">
        <v>25</v>
      </c>
      <c r="R1639" s="3" t="s">
        <v>25</v>
      </c>
      <c r="S1639" s="13">
        <f t="shared" si="38"/>
        <v>-1.0799999999999998</v>
      </c>
    </row>
    <row r="1640" spans="1:19">
      <c r="A1640" s="18" t="s">
        <v>1794</v>
      </c>
      <c r="B1640" s="1" t="s">
        <v>1797</v>
      </c>
      <c r="C1640" s="1" t="s">
        <v>2043</v>
      </c>
      <c r="D1640" s="1" t="s">
        <v>2044</v>
      </c>
      <c r="E1640" s="1" t="s">
        <v>25</v>
      </c>
      <c r="F1640">
        <v>251.90199999999999</v>
      </c>
      <c r="G1640">
        <v>298.89999999999998</v>
      </c>
      <c r="H1640" t="s">
        <v>25</v>
      </c>
      <c r="I1640" s="1" t="s">
        <v>1528</v>
      </c>
      <c r="J1640" s="1" t="s">
        <v>25</v>
      </c>
      <c r="K1640" s="11" t="s">
        <v>25</v>
      </c>
      <c r="L1640">
        <v>0.85</v>
      </c>
      <c r="M1640" s="3" t="str">
        <f t="shared" si="34"/>
        <v>44/40</v>
      </c>
      <c r="N1640" s="3" t="str">
        <f t="shared" si="39"/>
        <v>SRM915a</v>
      </c>
      <c r="O1640" s="1" t="s">
        <v>25</v>
      </c>
      <c r="P1640" s="3" t="s">
        <v>25</v>
      </c>
      <c r="Q1640" s="37" t="s">
        <v>25</v>
      </c>
      <c r="R1640" s="3" t="s">
        <v>25</v>
      </c>
      <c r="S1640" s="13">
        <f t="shared" si="38"/>
        <v>-1.0299999999999998</v>
      </c>
    </row>
    <row r="1641" spans="1:19">
      <c r="A1641" s="18" t="s">
        <v>1794</v>
      </c>
      <c r="B1641" s="1" t="s">
        <v>1798</v>
      </c>
      <c r="C1641" s="1" t="s">
        <v>2043</v>
      </c>
      <c r="D1641" s="1" t="s">
        <v>2044</v>
      </c>
      <c r="E1641" s="1" t="s">
        <v>25</v>
      </c>
      <c r="F1641">
        <v>251.90199999999999</v>
      </c>
      <c r="G1641">
        <v>298.89999999999998</v>
      </c>
      <c r="H1641" t="s">
        <v>25</v>
      </c>
      <c r="I1641" s="1" t="s">
        <v>1528</v>
      </c>
      <c r="J1641" s="1" t="s">
        <v>25</v>
      </c>
      <c r="K1641" s="11" t="s">
        <v>25</v>
      </c>
      <c r="L1641">
        <v>0.82</v>
      </c>
      <c r="M1641" s="3" t="str">
        <f t="shared" si="34"/>
        <v>44/40</v>
      </c>
      <c r="N1641" s="3" t="str">
        <f t="shared" si="39"/>
        <v>SRM915a</v>
      </c>
      <c r="O1641" s="1" t="s">
        <v>25</v>
      </c>
      <c r="P1641" s="3" t="s">
        <v>25</v>
      </c>
      <c r="Q1641" s="37" t="s">
        <v>25</v>
      </c>
      <c r="R1641" s="3" t="s">
        <v>25</v>
      </c>
      <c r="S1641" s="13">
        <f t="shared" si="38"/>
        <v>-1.06</v>
      </c>
    </row>
    <row r="1642" spans="1:19">
      <c r="A1642" s="18" t="s">
        <v>1794</v>
      </c>
      <c r="B1642" s="1" t="s">
        <v>1799</v>
      </c>
      <c r="C1642" s="1" t="s">
        <v>2043</v>
      </c>
      <c r="D1642" s="1" t="s">
        <v>2044</v>
      </c>
      <c r="E1642" s="1" t="s">
        <v>25</v>
      </c>
      <c r="F1642">
        <v>251.90199999999999</v>
      </c>
      <c r="G1642">
        <v>298.89999999999998</v>
      </c>
      <c r="H1642" t="s">
        <v>25</v>
      </c>
      <c r="I1642" s="1" t="s">
        <v>1528</v>
      </c>
      <c r="J1642" s="1" t="s">
        <v>25</v>
      </c>
      <c r="K1642" s="11" t="s">
        <v>25</v>
      </c>
      <c r="L1642">
        <v>0.89</v>
      </c>
      <c r="M1642" s="3" t="str">
        <f t="shared" si="34"/>
        <v>44/40</v>
      </c>
      <c r="N1642" s="3" t="str">
        <f t="shared" si="39"/>
        <v>SRM915a</v>
      </c>
      <c r="O1642" s="1" t="s">
        <v>25</v>
      </c>
      <c r="P1642" s="3" t="s">
        <v>25</v>
      </c>
      <c r="Q1642" s="37" t="s">
        <v>25</v>
      </c>
      <c r="R1642" s="3" t="s">
        <v>25</v>
      </c>
      <c r="S1642" s="13">
        <f t="shared" si="38"/>
        <v>-0.98999999999999988</v>
      </c>
    </row>
    <row r="1643" spans="1:19">
      <c r="A1643" s="18" t="s">
        <v>1794</v>
      </c>
      <c r="B1643" s="1" t="s">
        <v>1800</v>
      </c>
      <c r="C1643" s="1" t="s">
        <v>2043</v>
      </c>
      <c r="D1643" s="1" t="s">
        <v>2044</v>
      </c>
      <c r="E1643" s="1" t="s">
        <v>25</v>
      </c>
      <c r="F1643">
        <v>251.90199999999999</v>
      </c>
      <c r="G1643">
        <v>298.89999999999998</v>
      </c>
      <c r="H1643" t="s">
        <v>25</v>
      </c>
      <c r="I1643" s="1" t="s">
        <v>1528</v>
      </c>
      <c r="J1643" s="1" t="s">
        <v>25</v>
      </c>
      <c r="K1643" s="11" t="s">
        <v>25</v>
      </c>
      <c r="L1643">
        <v>0.9</v>
      </c>
      <c r="M1643" s="3" t="str">
        <f t="shared" si="34"/>
        <v>44/40</v>
      </c>
      <c r="N1643" s="3" t="str">
        <f t="shared" si="39"/>
        <v>SRM915a</v>
      </c>
      <c r="O1643" s="1" t="s">
        <v>25</v>
      </c>
      <c r="P1643" s="3" t="s">
        <v>25</v>
      </c>
      <c r="Q1643" s="37" t="s">
        <v>25</v>
      </c>
      <c r="R1643" s="3" t="s">
        <v>25</v>
      </c>
      <c r="S1643" s="13">
        <f t="shared" si="38"/>
        <v>-0.97999999999999987</v>
      </c>
    </row>
    <row r="1644" spans="1:19">
      <c r="A1644" s="18" t="s">
        <v>1794</v>
      </c>
      <c r="B1644" s="1" t="s">
        <v>1801</v>
      </c>
      <c r="C1644" s="1" t="s">
        <v>2043</v>
      </c>
      <c r="D1644" s="1" t="s">
        <v>2044</v>
      </c>
      <c r="E1644" s="1" t="s">
        <v>25</v>
      </c>
      <c r="F1644">
        <v>251.90199999999999</v>
      </c>
      <c r="G1644">
        <v>298.89999999999998</v>
      </c>
      <c r="H1644" t="s">
        <v>25</v>
      </c>
      <c r="I1644" s="1" t="s">
        <v>1528</v>
      </c>
      <c r="J1644" s="1" t="s">
        <v>25</v>
      </c>
      <c r="K1644" s="11" t="s">
        <v>25</v>
      </c>
      <c r="L1644">
        <v>1.02</v>
      </c>
      <c r="M1644" s="3" t="str">
        <f t="shared" si="34"/>
        <v>44/40</v>
      </c>
      <c r="N1644" s="3" t="str">
        <f t="shared" si="39"/>
        <v>SRM915a</v>
      </c>
      <c r="O1644" s="1" t="s">
        <v>25</v>
      </c>
      <c r="P1644" s="3" t="s">
        <v>25</v>
      </c>
      <c r="Q1644" s="37" t="s">
        <v>25</v>
      </c>
      <c r="R1644" s="3" t="s">
        <v>25</v>
      </c>
      <c r="S1644" s="13">
        <f t="shared" si="38"/>
        <v>-0.85999999999999988</v>
      </c>
    </row>
    <row r="1645" spans="1:19">
      <c r="A1645" s="18" t="s">
        <v>1794</v>
      </c>
      <c r="B1645" s="1" t="s">
        <v>1802</v>
      </c>
      <c r="C1645" s="1" t="s">
        <v>2043</v>
      </c>
      <c r="D1645" s="1" t="s">
        <v>2044</v>
      </c>
      <c r="E1645" s="1" t="s">
        <v>25</v>
      </c>
      <c r="F1645">
        <v>251.90199999999999</v>
      </c>
      <c r="G1645">
        <v>298.89999999999998</v>
      </c>
      <c r="H1645" t="s">
        <v>25</v>
      </c>
      <c r="I1645" s="1" t="s">
        <v>1528</v>
      </c>
      <c r="J1645" s="1" t="s">
        <v>25</v>
      </c>
      <c r="K1645" s="11" t="s">
        <v>25</v>
      </c>
      <c r="L1645">
        <v>0.61</v>
      </c>
      <c r="M1645" s="3" t="str">
        <f t="shared" si="34"/>
        <v>44/40</v>
      </c>
      <c r="N1645" s="3" t="str">
        <f t="shared" si="39"/>
        <v>SRM915a</v>
      </c>
      <c r="O1645" s="1" t="s">
        <v>25</v>
      </c>
      <c r="P1645" s="3" t="s">
        <v>25</v>
      </c>
      <c r="Q1645" s="37" t="s">
        <v>25</v>
      </c>
      <c r="R1645" s="3" t="s">
        <v>25</v>
      </c>
      <c r="S1645" s="13">
        <f t="shared" si="38"/>
        <v>-1.27</v>
      </c>
    </row>
    <row r="1646" spans="1:19">
      <c r="A1646" s="18" t="s">
        <v>1794</v>
      </c>
      <c r="B1646" s="1" t="s">
        <v>1803</v>
      </c>
      <c r="C1646" s="1" t="s">
        <v>2043</v>
      </c>
      <c r="D1646" s="1" t="s">
        <v>2044</v>
      </c>
      <c r="E1646" s="1" t="s">
        <v>25</v>
      </c>
      <c r="F1646">
        <v>251.90199999999999</v>
      </c>
      <c r="G1646">
        <v>298.89999999999998</v>
      </c>
      <c r="H1646" t="s">
        <v>25</v>
      </c>
      <c r="I1646" s="1" t="s">
        <v>1528</v>
      </c>
      <c r="J1646" s="1" t="s">
        <v>25</v>
      </c>
      <c r="K1646" s="11" t="s">
        <v>25</v>
      </c>
      <c r="L1646">
        <v>0.75</v>
      </c>
      <c r="M1646" s="3" t="str">
        <f t="shared" si="34"/>
        <v>44/40</v>
      </c>
      <c r="N1646" s="3" t="str">
        <f t="shared" si="39"/>
        <v>SRM915a</v>
      </c>
      <c r="O1646" s="1" t="s">
        <v>25</v>
      </c>
      <c r="P1646" s="3" t="s">
        <v>25</v>
      </c>
      <c r="Q1646" s="37" t="s">
        <v>25</v>
      </c>
      <c r="R1646" s="3" t="s">
        <v>25</v>
      </c>
      <c r="S1646" s="13">
        <f t="shared" si="38"/>
        <v>-1.1299999999999999</v>
      </c>
    </row>
    <row r="1647" spans="1:19">
      <c r="A1647" s="18" t="s">
        <v>1794</v>
      </c>
      <c r="B1647" s="1" t="s">
        <v>1804</v>
      </c>
      <c r="C1647" s="1" t="s">
        <v>2043</v>
      </c>
      <c r="D1647" s="1" t="s">
        <v>2044</v>
      </c>
      <c r="E1647" s="1" t="s">
        <v>25</v>
      </c>
      <c r="F1647">
        <v>251.90199999999999</v>
      </c>
      <c r="G1647">
        <v>298.89999999999998</v>
      </c>
      <c r="H1647" t="s">
        <v>25</v>
      </c>
      <c r="I1647" s="1" t="s">
        <v>1528</v>
      </c>
      <c r="J1647" s="1" t="s">
        <v>25</v>
      </c>
      <c r="K1647" s="11" t="s">
        <v>25</v>
      </c>
      <c r="L1647">
        <v>0.73</v>
      </c>
      <c r="M1647" s="3" t="str">
        <f t="shared" si="34"/>
        <v>44/40</v>
      </c>
      <c r="N1647" s="3" t="str">
        <f t="shared" si="39"/>
        <v>SRM915a</v>
      </c>
      <c r="O1647" s="1" t="s">
        <v>25</v>
      </c>
      <c r="P1647" s="3" t="s">
        <v>25</v>
      </c>
      <c r="Q1647" s="37" t="s">
        <v>25</v>
      </c>
      <c r="R1647" s="3" t="s">
        <v>25</v>
      </c>
      <c r="S1647" s="13">
        <f t="shared" si="38"/>
        <v>-1.1499999999999999</v>
      </c>
    </row>
    <row r="1648" spans="1:19">
      <c r="A1648" s="18" t="s">
        <v>1794</v>
      </c>
      <c r="B1648" s="1" t="s">
        <v>1805</v>
      </c>
      <c r="C1648" s="1" t="s">
        <v>2043</v>
      </c>
      <c r="D1648" s="1" t="s">
        <v>2044</v>
      </c>
      <c r="E1648" s="1" t="s">
        <v>25</v>
      </c>
      <c r="F1648">
        <v>251.90199999999999</v>
      </c>
      <c r="G1648">
        <v>298.89999999999998</v>
      </c>
      <c r="H1648" t="s">
        <v>25</v>
      </c>
      <c r="I1648" s="1" t="s">
        <v>1528</v>
      </c>
      <c r="J1648" s="1" t="s">
        <v>25</v>
      </c>
      <c r="K1648" s="11" t="s">
        <v>25</v>
      </c>
      <c r="L1648">
        <v>0.74</v>
      </c>
      <c r="M1648" s="3" t="str">
        <f t="shared" si="34"/>
        <v>44/40</v>
      </c>
      <c r="N1648" s="3" t="str">
        <f t="shared" si="39"/>
        <v>SRM915a</v>
      </c>
      <c r="O1648" s="1" t="s">
        <v>25</v>
      </c>
      <c r="P1648" s="3" t="s">
        <v>25</v>
      </c>
      <c r="Q1648" s="37" t="s">
        <v>25</v>
      </c>
      <c r="R1648" s="3" t="s">
        <v>25</v>
      </c>
      <c r="S1648" s="13">
        <f t="shared" si="38"/>
        <v>-1.1399999999999999</v>
      </c>
    </row>
    <row r="1649" spans="1:19">
      <c r="A1649" s="18" t="s">
        <v>1794</v>
      </c>
      <c r="B1649" s="1" t="s">
        <v>1806</v>
      </c>
      <c r="C1649" s="1" t="s">
        <v>2043</v>
      </c>
      <c r="D1649" s="1" t="s">
        <v>2044</v>
      </c>
      <c r="E1649" s="1" t="s">
        <v>25</v>
      </c>
      <c r="F1649">
        <v>251.90199999999999</v>
      </c>
      <c r="G1649">
        <v>298.89999999999998</v>
      </c>
      <c r="H1649" t="s">
        <v>25</v>
      </c>
      <c r="I1649" s="1" t="s">
        <v>1528</v>
      </c>
      <c r="J1649" s="1" t="s">
        <v>25</v>
      </c>
      <c r="K1649" s="11" t="s">
        <v>25</v>
      </c>
      <c r="L1649">
        <v>1.06</v>
      </c>
      <c r="M1649" s="3" t="str">
        <f t="shared" si="34"/>
        <v>44/40</v>
      </c>
      <c r="N1649" s="3" t="str">
        <f t="shared" si="39"/>
        <v>SRM915a</v>
      </c>
      <c r="O1649" s="1" t="s">
        <v>25</v>
      </c>
      <c r="P1649" s="3" t="s">
        <v>25</v>
      </c>
      <c r="Q1649" s="37" t="s">
        <v>25</v>
      </c>
      <c r="R1649" s="3" t="s">
        <v>25</v>
      </c>
      <c r="S1649" s="13">
        <f t="shared" si="38"/>
        <v>-0.81999999999999984</v>
      </c>
    </row>
    <row r="1650" spans="1:19">
      <c r="A1650" s="18" t="s">
        <v>1794</v>
      </c>
      <c r="B1650" s="1" t="s">
        <v>1807</v>
      </c>
      <c r="C1650" s="1" t="s">
        <v>2043</v>
      </c>
      <c r="D1650" s="1" t="s">
        <v>2044</v>
      </c>
      <c r="E1650" s="1" t="s">
        <v>25</v>
      </c>
      <c r="F1650">
        <v>251.90199999999999</v>
      </c>
      <c r="G1650">
        <v>298.89999999999998</v>
      </c>
      <c r="H1650" t="s">
        <v>25</v>
      </c>
      <c r="I1650" s="1" t="s">
        <v>1528</v>
      </c>
      <c r="J1650" s="1" t="s">
        <v>25</v>
      </c>
      <c r="K1650" s="11" t="s">
        <v>25</v>
      </c>
      <c r="L1650">
        <v>0.78</v>
      </c>
      <c r="M1650" s="3" t="str">
        <f t="shared" si="34"/>
        <v>44/40</v>
      </c>
      <c r="N1650" s="3" t="str">
        <f t="shared" si="39"/>
        <v>SRM915a</v>
      </c>
      <c r="O1650" s="1" t="s">
        <v>25</v>
      </c>
      <c r="P1650" s="3" t="s">
        <v>25</v>
      </c>
      <c r="Q1650" s="37" t="s">
        <v>25</v>
      </c>
      <c r="R1650" s="3" t="s">
        <v>25</v>
      </c>
      <c r="S1650" s="13">
        <f t="shared" si="38"/>
        <v>-1.0999999999999999</v>
      </c>
    </row>
    <row r="1651" spans="1:19">
      <c r="A1651" s="18" t="s">
        <v>1794</v>
      </c>
      <c r="B1651" s="1" t="s">
        <v>1808</v>
      </c>
      <c r="C1651" s="1" t="s">
        <v>2043</v>
      </c>
      <c r="D1651" s="1" t="s">
        <v>2044</v>
      </c>
      <c r="E1651" s="1" t="s">
        <v>25</v>
      </c>
      <c r="F1651">
        <v>251.90199999999999</v>
      </c>
      <c r="G1651">
        <v>298.89999999999998</v>
      </c>
      <c r="H1651" t="s">
        <v>25</v>
      </c>
      <c r="I1651" s="1" t="s">
        <v>1528</v>
      </c>
      <c r="J1651" s="1" t="s">
        <v>25</v>
      </c>
      <c r="K1651" s="11" t="s">
        <v>25</v>
      </c>
      <c r="L1651">
        <v>0.73</v>
      </c>
      <c r="M1651" s="3" t="str">
        <f t="shared" si="34"/>
        <v>44/40</v>
      </c>
      <c r="N1651" s="3" t="str">
        <f t="shared" si="39"/>
        <v>SRM915a</v>
      </c>
      <c r="O1651" s="1" t="s">
        <v>25</v>
      </c>
      <c r="P1651" s="3" t="s">
        <v>25</v>
      </c>
      <c r="Q1651" s="37" t="s">
        <v>25</v>
      </c>
      <c r="R1651" s="3" t="s">
        <v>25</v>
      </c>
      <c r="S1651" s="13">
        <f t="shared" si="38"/>
        <v>-1.1499999999999999</v>
      </c>
    </row>
    <row r="1652" spans="1:19">
      <c r="A1652" s="18" t="s">
        <v>1794</v>
      </c>
      <c r="B1652" s="1" t="s">
        <v>1809</v>
      </c>
      <c r="C1652" s="1" t="s">
        <v>2043</v>
      </c>
      <c r="D1652" s="1" t="s">
        <v>2044</v>
      </c>
      <c r="E1652" s="1" t="s">
        <v>25</v>
      </c>
      <c r="F1652">
        <v>251.90199999999999</v>
      </c>
      <c r="G1652">
        <v>298.89999999999998</v>
      </c>
      <c r="H1652" t="s">
        <v>25</v>
      </c>
      <c r="I1652" s="1" t="s">
        <v>1528</v>
      </c>
      <c r="J1652" s="1" t="s">
        <v>25</v>
      </c>
      <c r="K1652" s="11" t="s">
        <v>25</v>
      </c>
      <c r="L1652">
        <v>0.64</v>
      </c>
      <c r="M1652" s="3" t="str">
        <f t="shared" si="34"/>
        <v>44/40</v>
      </c>
      <c r="N1652" s="3" t="str">
        <f t="shared" si="39"/>
        <v>SRM915a</v>
      </c>
      <c r="O1652" s="1" t="s">
        <v>25</v>
      </c>
      <c r="P1652" s="3" t="s">
        <v>25</v>
      </c>
      <c r="Q1652" s="37" t="s">
        <v>25</v>
      </c>
      <c r="R1652" s="3" t="s">
        <v>25</v>
      </c>
      <c r="S1652" s="13">
        <f t="shared" si="38"/>
        <v>-1.2399999999999998</v>
      </c>
    </row>
    <row r="1653" spans="1:19">
      <c r="A1653" s="18" t="s">
        <v>1794</v>
      </c>
      <c r="B1653" s="1" t="s">
        <v>1810</v>
      </c>
      <c r="C1653" s="1" t="s">
        <v>2043</v>
      </c>
      <c r="D1653" s="1" t="s">
        <v>2044</v>
      </c>
      <c r="E1653" s="1" t="s">
        <v>25</v>
      </c>
      <c r="F1653">
        <v>251.90199999999999</v>
      </c>
      <c r="G1653">
        <v>298.89999999999998</v>
      </c>
      <c r="H1653" t="s">
        <v>25</v>
      </c>
      <c r="I1653" s="1" t="s">
        <v>1528</v>
      </c>
      <c r="J1653" s="1" t="s">
        <v>25</v>
      </c>
      <c r="K1653" s="11" t="s">
        <v>25</v>
      </c>
      <c r="L1653">
        <v>0.88</v>
      </c>
      <c r="M1653" s="3" t="str">
        <f t="shared" si="34"/>
        <v>44/40</v>
      </c>
      <c r="N1653" s="3" t="str">
        <f t="shared" si="39"/>
        <v>SRM915a</v>
      </c>
      <c r="O1653" s="1" t="s">
        <v>25</v>
      </c>
      <c r="P1653" s="3" t="s">
        <v>25</v>
      </c>
      <c r="Q1653" s="37" t="s">
        <v>25</v>
      </c>
      <c r="R1653" s="3" t="s">
        <v>25</v>
      </c>
      <c r="S1653" s="13">
        <f t="shared" si="38"/>
        <v>-0.99999999999999989</v>
      </c>
    </row>
    <row r="1654" spans="1:19">
      <c r="A1654" s="18" t="s">
        <v>1794</v>
      </c>
      <c r="B1654" s="1" t="s">
        <v>1811</v>
      </c>
      <c r="C1654" s="1" t="s">
        <v>2043</v>
      </c>
      <c r="D1654" s="1" t="s">
        <v>2044</v>
      </c>
      <c r="E1654" s="1" t="s">
        <v>25</v>
      </c>
      <c r="F1654">
        <v>251.90199999999999</v>
      </c>
      <c r="G1654">
        <v>298.89999999999998</v>
      </c>
      <c r="H1654" t="s">
        <v>25</v>
      </c>
      <c r="I1654" s="1" t="s">
        <v>1528</v>
      </c>
      <c r="J1654" s="1" t="s">
        <v>25</v>
      </c>
      <c r="K1654" s="11" t="s">
        <v>25</v>
      </c>
      <c r="L1654">
        <v>0.87</v>
      </c>
      <c r="M1654" s="3" t="str">
        <f t="shared" si="34"/>
        <v>44/40</v>
      </c>
      <c r="N1654" s="3" t="str">
        <f t="shared" si="39"/>
        <v>SRM915a</v>
      </c>
      <c r="O1654" s="1" t="s">
        <v>25</v>
      </c>
      <c r="P1654" s="3" t="s">
        <v>25</v>
      </c>
      <c r="Q1654" s="37" t="s">
        <v>25</v>
      </c>
      <c r="R1654" s="3" t="s">
        <v>25</v>
      </c>
      <c r="S1654" s="13">
        <f t="shared" si="38"/>
        <v>-1.0099999999999998</v>
      </c>
    </row>
    <row r="1655" spans="1:19">
      <c r="A1655" s="18" t="s">
        <v>1794</v>
      </c>
      <c r="B1655" s="1" t="s">
        <v>1812</v>
      </c>
      <c r="C1655" s="1" t="s">
        <v>2043</v>
      </c>
      <c r="D1655" s="1" t="s">
        <v>2044</v>
      </c>
      <c r="E1655" s="1" t="s">
        <v>25</v>
      </c>
      <c r="F1655">
        <v>251.90199999999999</v>
      </c>
      <c r="G1655">
        <v>298.89999999999998</v>
      </c>
      <c r="H1655" t="s">
        <v>25</v>
      </c>
      <c r="I1655" s="1" t="s">
        <v>1528</v>
      </c>
      <c r="J1655" s="1" t="s">
        <v>25</v>
      </c>
      <c r="K1655" s="11" t="s">
        <v>25</v>
      </c>
      <c r="L1655">
        <v>0.79</v>
      </c>
      <c r="M1655" s="3" t="str">
        <f t="shared" si="34"/>
        <v>44/40</v>
      </c>
      <c r="N1655" s="3" t="str">
        <f t="shared" si="39"/>
        <v>SRM915a</v>
      </c>
      <c r="O1655" s="1" t="s">
        <v>25</v>
      </c>
      <c r="P1655" s="3" t="s">
        <v>25</v>
      </c>
      <c r="Q1655" s="37" t="s">
        <v>25</v>
      </c>
      <c r="R1655" s="3" t="s">
        <v>25</v>
      </c>
      <c r="S1655" s="13">
        <f t="shared" si="38"/>
        <v>-1.0899999999999999</v>
      </c>
    </row>
    <row r="1656" spans="1:19">
      <c r="A1656" s="18" t="s">
        <v>1794</v>
      </c>
      <c r="B1656" s="1" t="s">
        <v>1813</v>
      </c>
      <c r="C1656" s="1" t="s">
        <v>2043</v>
      </c>
      <c r="D1656" s="1" t="s">
        <v>2044</v>
      </c>
      <c r="E1656" s="1" t="s">
        <v>25</v>
      </c>
      <c r="F1656">
        <v>251.90199999999999</v>
      </c>
      <c r="G1656">
        <v>298.89999999999998</v>
      </c>
      <c r="H1656" t="s">
        <v>25</v>
      </c>
      <c r="I1656" s="1" t="s">
        <v>1528</v>
      </c>
      <c r="J1656" s="1" t="s">
        <v>25</v>
      </c>
      <c r="K1656" s="11" t="s">
        <v>25</v>
      </c>
      <c r="L1656">
        <v>0.8</v>
      </c>
      <c r="M1656" s="3" t="str">
        <f t="shared" si="34"/>
        <v>44/40</v>
      </c>
      <c r="N1656" s="3" t="str">
        <f t="shared" si="39"/>
        <v>SRM915a</v>
      </c>
      <c r="O1656" s="1" t="s">
        <v>25</v>
      </c>
      <c r="P1656" s="3" t="s">
        <v>25</v>
      </c>
      <c r="Q1656" s="37" t="s">
        <v>25</v>
      </c>
      <c r="R1656" s="3" t="s">
        <v>25</v>
      </c>
      <c r="S1656" s="13">
        <f t="shared" si="38"/>
        <v>-1.0799999999999998</v>
      </c>
    </row>
    <row r="1657" spans="1:19">
      <c r="A1657" s="18" t="s">
        <v>1794</v>
      </c>
      <c r="B1657" s="1" t="s">
        <v>1814</v>
      </c>
      <c r="C1657" s="1" t="s">
        <v>2043</v>
      </c>
      <c r="D1657" s="1" t="s">
        <v>2044</v>
      </c>
      <c r="E1657" s="1" t="s">
        <v>25</v>
      </c>
      <c r="F1657">
        <v>251.90199999999999</v>
      </c>
      <c r="G1657">
        <v>298.89999999999998</v>
      </c>
      <c r="H1657" t="s">
        <v>25</v>
      </c>
      <c r="I1657" s="1" t="s">
        <v>1528</v>
      </c>
      <c r="J1657" s="1" t="s">
        <v>25</v>
      </c>
      <c r="K1657" s="11" t="s">
        <v>25</v>
      </c>
      <c r="L1657">
        <v>1.01</v>
      </c>
      <c r="M1657" s="3" t="str">
        <f t="shared" si="34"/>
        <v>44/40</v>
      </c>
      <c r="N1657" s="3" t="str">
        <f t="shared" si="39"/>
        <v>SRM915a</v>
      </c>
      <c r="O1657" s="1" t="s">
        <v>25</v>
      </c>
      <c r="P1657" s="3" t="s">
        <v>25</v>
      </c>
      <c r="Q1657" s="37" t="s">
        <v>25</v>
      </c>
      <c r="R1657" s="3" t="s">
        <v>25</v>
      </c>
      <c r="S1657" s="13">
        <f t="shared" si="38"/>
        <v>-0.86999999999999988</v>
      </c>
    </row>
    <row r="1658" spans="1:19">
      <c r="A1658" s="18" t="s">
        <v>1794</v>
      </c>
      <c r="B1658" s="1" t="s">
        <v>1815</v>
      </c>
      <c r="C1658" s="1" t="s">
        <v>2043</v>
      </c>
      <c r="D1658" s="1" t="s">
        <v>2044</v>
      </c>
      <c r="E1658" s="1" t="s">
        <v>25</v>
      </c>
      <c r="F1658">
        <v>251.90199999999999</v>
      </c>
      <c r="G1658">
        <v>298.89999999999998</v>
      </c>
      <c r="H1658" t="s">
        <v>25</v>
      </c>
      <c r="I1658" s="1" t="s">
        <v>1528</v>
      </c>
      <c r="J1658" s="1" t="s">
        <v>25</v>
      </c>
      <c r="K1658" s="11" t="s">
        <v>25</v>
      </c>
      <c r="L1658">
        <v>0.88</v>
      </c>
      <c r="M1658" s="3" t="str">
        <f t="shared" si="34"/>
        <v>44/40</v>
      </c>
      <c r="N1658" s="3" t="str">
        <f t="shared" si="39"/>
        <v>SRM915a</v>
      </c>
      <c r="O1658" s="1" t="s">
        <v>25</v>
      </c>
      <c r="P1658" s="3" t="s">
        <v>25</v>
      </c>
      <c r="Q1658" s="37" t="s">
        <v>25</v>
      </c>
      <c r="R1658" s="3" t="s">
        <v>25</v>
      </c>
      <c r="S1658" s="13">
        <f t="shared" si="38"/>
        <v>-0.99999999999999989</v>
      </c>
    </row>
    <row r="1659" spans="1:19">
      <c r="A1659" s="18" t="s">
        <v>1794</v>
      </c>
      <c r="B1659" s="1" t="s">
        <v>1816</v>
      </c>
      <c r="C1659" s="1" t="s">
        <v>2043</v>
      </c>
      <c r="D1659" s="1" t="s">
        <v>2044</v>
      </c>
      <c r="E1659" s="1" t="s">
        <v>25</v>
      </c>
      <c r="F1659">
        <v>251.90199999999999</v>
      </c>
      <c r="G1659">
        <v>298.89999999999998</v>
      </c>
      <c r="H1659" t="s">
        <v>25</v>
      </c>
      <c r="I1659" s="1" t="s">
        <v>1528</v>
      </c>
      <c r="J1659" s="1" t="s">
        <v>25</v>
      </c>
      <c r="K1659" s="11" t="s">
        <v>25</v>
      </c>
      <c r="L1659">
        <v>0.82</v>
      </c>
      <c r="M1659" s="3" t="str">
        <f t="shared" si="34"/>
        <v>44/40</v>
      </c>
      <c r="N1659" s="3" t="str">
        <f t="shared" si="39"/>
        <v>SRM915a</v>
      </c>
      <c r="O1659" s="1" t="s">
        <v>25</v>
      </c>
      <c r="P1659" s="3" t="s">
        <v>25</v>
      </c>
      <c r="Q1659" s="37" t="s">
        <v>25</v>
      </c>
      <c r="R1659" s="3" t="s">
        <v>25</v>
      </c>
      <c r="S1659" s="13">
        <f t="shared" si="38"/>
        <v>-1.06</v>
      </c>
    </row>
    <row r="1660" spans="1:19">
      <c r="A1660" s="18" t="s">
        <v>1794</v>
      </c>
      <c r="B1660" s="1" t="s">
        <v>1817</v>
      </c>
      <c r="C1660" s="1" t="s">
        <v>2043</v>
      </c>
      <c r="D1660" s="1" t="s">
        <v>2044</v>
      </c>
      <c r="E1660" s="1" t="s">
        <v>25</v>
      </c>
      <c r="F1660">
        <v>251.90199999999999</v>
      </c>
      <c r="G1660">
        <v>298.89999999999998</v>
      </c>
      <c r="H1660" t="s">
        <v>25</v>
      </c>
      <c r="I1660" s="1" t="s">
        <v>1528</v>
      </c>
      <c r="J1660" s="1" t="s">
        <v>25</v>
      </c>
      <c r="K1660" s="11" t="s">
        <v>25</v>
      </c>
      <c r="L1660">
        <v>0.5</v>
      </c>
      <c r="M1660" s="3" t="str">
        <f t="shared" si="34"/>
        <v>44/40</v>
      </c>
      <c r="N1660" s="3" t="str">
        <f t="shared" si="39"/>
        <v>SRM915a</v>
      </c>
      <c r="O1660" s="1" t="s">
        <v>25</v>
      </c>
      <c r="P1660" s="3" t="s">
        <v>25</v>
      </c>
      <c r="Q1660" s="37" t="s">
        <v>25</v>
      </c>
      <c r="R1660" s="3" t="s">
        <v>25</v>
      </c>
      <c r="S1660" s="13">
        <f t="shared" si="38"/>
        <v>-1.38</v>
      </c>
    </row>
    <row r="1661" spans="1:19">
      <c r="A1661" s="18" t="s">
        <v>1794</v>
      </c>
      <c r="B1661" s="1" t="s">
        <v>1818</v>
      </c>
      <c r="C1661" s="1" t="s">
        <v>2043</v>
      </c>
      <c r="D1661" s="1" t="s">
        <v>2044</v>
      </c>
      <c r="E1661" s="1" t="s">
        <v>25</v>
      </c>
      <c r="F1661">
        <v>251.90199999999999</v>
      </c>
      <c r="G1661">
        <v>298.89999999999998</v>
      </c>
      <c r="H1661" t="s">
        <v>25</v>
      </c>
      <c r="I1661" s="1" t="s">
        <v>1528</v>
      </c>
      <c r="J1661" s="1" t="s">
        <v>25</v>
      </c>
      <c r="K1661" s="11" t="s">
        <v>25</v>
      </c>
      <c r="L1661">
        <v>1.06</v>
      </c>
      <c r="M1661" s="3" t="str">
        <f t="shared" si="34"/>
        <v>44/40</v>
      </c>
      <c r="N1661" s="3" t="str">
        <f t="shared" si="39"/>
        <v>SRM915a</v>
      </c>
      <c r="O1661" s="1" t="s">
        <v>25</v>
      </c>
      <c r="P1661" s="3" t="s">
        <v>25</v>
      </c>
      <c r="Q1661" s="37" t="s">
        <v>25</v>
      </c>
      <c r="R1661" s="3" t="s">
        <v>25</v>
      </c>
      <c r="S1661" s="13">
        <f t="shared" si="38"/>
        <v>-0.81999999999999984</v>
      </c>
    </row>
    <row r="1662" spans="1:19">
      <c r="A1662" s="18" t="s">
        <v>1794</v>
      </c>
      <c r="B1662" s="1" t="s">
        <v>1819</v>
      </c>
      <c r="C1662" s="1" t="s">
        <v>2043</v>
      </c>
      <c r="D1662" s="1" t="s">
        <v>2044</v>
      </c>
      <c r="E1662" s="1" t="s">
        <v>25</v>
      </c>
      <c r="F1662">
        <v>251.90199999999999</v>
      </c>
      <c r="G1662">
        <v>298.89999999999998</v>
      </c>
      <c r="H1662" t="s">
        <v>25</v>
      </c>
      <c r="I1662" s="1" t="s">
        <v>1528</v>
      </c>
      <c r="J1662" s="1" t="s">
        <v>25</v>
      </c>
      <c r="K1662" s="11" t="s">
        <v>25</v>
      </c>
      <c r="L1662">
        <v>0.8</v>
      </c>
      <c r="M1662" s="3" t="str">
        <f t="shared" si="34"/>
        <v>44/40</v>
      </c>
      <c r="N1662" s="3" t="str">
        <f t="shared" si="39"/>
        <v>SRM915a</v>
      </c>
      <c r="O1662" s="1" t="s">
        <v>25</v>
      </c>
      <c r="P1662" s="3" t="s">
        <v>25</v>
      </c>
      <c r="Q1662" s="37" t="s">
        <v>25</v>
      </c>
      <c r="R1662" s="3" t="s">
        <v>25</v>
      </c>
      <c r="S1662" s="13">
        <f t="shared" si="38"/>
        <v>-1.0799999999999998</v>
      </c>
    </row>
    <row r="1663" spans="1:19">
      <c r="A1663" s="18" t="s">
        <v>1794</v>
      </c>
      <c r="B1663" s="1" t="s">
        <v>1820</v>
      </c>
      <c r="C1663" s="1" t="s">
        <v>2043</v>
      </c>
      <c r="D1663" s="1" t="s">
        <v>2044</v>
      </c>
      <c r="E1663" s="1" t="s">
        <v>25</v>
      </c>
      <c r="F1663">
        <v>251.90199999999999</v>
      </c>
      <c r="G1663">
        <v>298.89999999999998</v>
      </c>
      <c r="H1663" t="s">
        <v>25</v>
      </c>
      <c r="I1663" s="1" t="s">
        <v>1528</v>
      </c>
      <c r="J1663" s="1" t="s">
        <v>25</v>
      </c>
      <c r="K1663" s="11" t="s">
        <v>25</v>
      </c>
      <c r="L1663">
        <v>0.82</v>
      </c>
      <c r="M1663" s="3" t="str">
        <f t="shared" si="34"/>
        <v>44/40</v>
      </c>
      <c r="N1663" s="3" t="str">
        <f t="shared" si="39"/>
        <v>SRM915a</v>
      </c>
      <c r="O1663" s="1" t="s">
        <v>25</v>
      </c>
      <c r="P1663" s="3" t="s">
        <v>25</v>
      </c>
      <c r="Q1663" s="37" t="s">
        <v>25</v>
      </c>
      <c r="R1663" s="3" t="s">
        <v>25</v>
      </c>
      <c r="S1663" s="13">
        <f t="shared" si="38"/>
        <v>-1.06</v>
      </c>
    </row>
    <row r="1664" spans="1:19">
      <c r="A1664" s="18" t="s">
        <v>1794</v>
      </c>
      <c r="B1664" s="1" t="s">
        <v>1821</v>
      </c>
      <c r="C1664" s="1" t="s">
        <v>2043</v>
      </c>
      <c r="D1664" s="1" t="s">
        <v>2044</v>
      </c>
      <c r="E1664" s="1" t="s">
        <v>25</v>
      </c>
      <c r="F1664">
        <v>251.90199999999999</v>
      </c>
      <c r="G1664">
        <v>298.89999999999998</v>
      </c>
      <c r="H1664" t="s">
        <v>25</v>
      </c>
      <c r="I1664" s="1" t="s">
        <v>1528</v>
      </c>
      <c r="J1664" s="1" t="s">
        <v>25</v>
      </c>
      <c r="K1664" s="11" t="s">
        <v>25</v>
      </c>
      <c r="L1664">
        <v>0.84</v>
      </c>
      <c r="M1664" s="3" t="str">
        <f t="shared" si="34"/>
        <v>44/40</v>
      </c>
      <c r="N1664" s="3" t="str">
        <f t="shared" si="39"/>
        <v>SRM915a</v>
      </c>
      <c r="O1664" s="1" t="s">
        <v>25</v>
      </c>
      <c r="P1664" s="3" t="s">
        <v>25</v>
      </c>
      <c r="Q1664" s="37" t="s">
        <v>25</v>
      </c>
      <c r="R1664" s="3" t="s">
        <v>25</v>
      </c>
      <c r="S1664" s="13">
        <f t="shared" si="38"/>
        <v>-1.04</v>
      </c>
    </row>
    <row r="1665" spans="1:19">
      <c r="A1665" s="18" t="s">
        <v>1794</v>
      </c>
      <c r="B1665" s="1" t="s">
        <v>1822</v>
      </c>
      <c r="C1665" s="1" t="s">
        <v>2043</v>
      </c>
      <c r="D1665" s="1" t="s">
        <v>2044</v>
      </c>
      <c r="E1665" s="1" t="s">
        <v>25</v>
      </c>
      <c r="F1665">
        <v>251.90199999999999</v>
      </c>
      <c r="G1665">
        <v>298.89999999999998</v>
      </c>
      <c r="H1665" t="s">
        <v>25</v>
      </c>
      <c r="I1665" s="1" t="s">
        <v>1528</v>
      </c>
      <c r="J1665" s="1" t="s">
        <v>25</v>
      </c>
      <c r="K1665" s="11" t="s">
        <v>25</v>
      </c>
      <c r="L1665">
        <v>0.77</v>
      </c>
      <c r="M1665" s="3" t="str">
        <f t="shared" si="34"/>
        <v>44/40</v>
      </c>
      <c r="N1665" s="3" t="str">
        <f t="shared" si="39"/>
        <v>SRM915a</v>
      </c>
      <c r="O1665" s="1" t="s">
        <v>25</v>
      </c>
      <c r="P1665" s="3" t="s">
        <v>25</v>
      </c>
      <c r="Q1665" s="37" t="s">
        <v>25</v>
      </c>
      <c r="R1665" s="3" t="s">
        <v>25</v>
      </c>
      <c r="S1665" s="13">
        <f t="shared" si="38"/>
        <v>-1.1099999999999999</v>
      </c>
    </row>
    <row r="1666" spans="1:19">
      <c r="A1666" s="18" t="s">
        <v>1794</v>
      </c>
      <c r="B1666" s="1" t="s">
        <v>1823</v>
      </c>
      <c r="C1666" s="1" t="s">
        <v>2043</v>
      </c>
      <c r="D1666" s="1" t="s">
        <v>2044</v>
      </c>
      <c r="E1666" s="1" t="s">
        <v>25</v>
      </c>
      <c r="F1666">
        <v>251.90199999999999</v>
      </c>
      <c r="G1666">
        <v>298.89999999999998</v>
      </c>
      <c r="H1666" t="s">
        <v>25</v>
      </c>
      <c r="I1666" s="1" t="s">
        <v>1528</v>
      </c>
      <c r="J1666" s="1" t="s">
        <v>25</v>
      </c>
      <c r="K1666" s="11" t="s">
        <v>25</v>
      </c>
      <c r="L1666">
        <v>0.97</v>
      </c>
      <c r="M1666" s="3" t="str">
        <f t="shared" si="34"/>
        <v>44/40</v>
      </c>
      <c r="N1666" s="3" t="str">
        <f t="shared" si="39"/>
        <v>SRM915a</v>
      </c>
      <c r="O1666" s="1" t="s">
        <v>25</v>
      </c>
      <c r="P1666" s="3" t="s">
        <v>25</v>
      </c>
      <c r="Q1666" s="37" t="s">
        <v>25</v>
      </c>
      <c r="R1666" s="3" t="s">
        <v>25</v>
      </c>
      <c r="S1666" s="13">
        <f t="shared" si="38"/>
        <v>-0.90999999999999992</v>
      </c>
    </row>
    <row r="1667" spans="1:19">
      <c r="A1667" s="18" t="s">
        <v>1794</v>
      </c>
      <c r="B1667" s="1" t="s">
        <v>1824</v>
      </c>
      <c r="C1667" s="1" t="s">
        <v>2043</v>
      </c>
      <c r="D1667" s="1" t="s">
        <v>2044</v>
      </c>
      <c r="E1667" s="1" t="s">
        <v>25</v>
      </c>
      <c r="F1667">
        <v>251.90199999999999</v>
      </c>
      <c r="G1667">
        <v>298.89999999999998</v>
      </c>
      <c r="H1667" t="s">
        <v>25</v>
      </c>
      <c r="I1667" s="1" t="s">
        <v>1528</v>
      </c>
      <c r="J1667" s="1" t="s">
        <v>25</v>
      </c>
      <c r="K1667" s="11" t="s">
        <v>25</v>
      </c>
      <c r="L1667">
        <v>0.79</v>
      </c>
      <c r="M1667" s="3" t="str">
        <f t="shared" si="34"/>
        <v>44/40</v>
      </c>
      <c r="N1667" s="3" t="str">
        <f t="shared" si="39"/>
        <v>SRM915a</v>
      </c>
      <c r="O1667" s="1" t="s">
        <v>25</v>
      </c>
      <c r="P1667" s="3" t="s">
        <v>25</v>
      </c>
      <c r="Q1667" s="37" t="s">
        <v>25</v>
      </c>
      <c r="R1667" s="3" t="s">
        <v>25</v>
      </c>
      <c r="S1667" s="13">
        <f t="shared" si="38"/>
        <v>-1.0899999999999999</v>
      </c>
    </row>
    <row r="1668" spans="1:19">
      <c r="A1668" s="18" t="s">
        <v>1794</v>
      </c>
      <c r="B1668" s="1" t="s">
        <v>1825</v>
      </c>
      <c r="C1668" s="1" t="s">
        <v>2043</v>
      </c>
      <c r="D1668" s="1" t="s">
        <v>2044</v>
      </c>
      <c r="E1668" s="1" t="s">
        <v>25</v>
      </c>
      <c r="F1668">
        <v>251.90199999999999</v>
      </c>
      <c r="G1668">
        <v>298.89999999999998</v>
      </c>
      <c r="H1668" t="s">
        <v>25</v>
      </c>
      <c r="I1668" s="1" t="s">
        <v>1528</v>
      </c>
      <c r="J1668" s="1" t="s">
        <v>25</v>
      </c>
      <c r="K1668" s="11" t="s">
        <v>25</v>
      </c>
      <c r="L1668">
        <v>0.66</v>
      </c>
      <c r="M1668" s="3" t="str">
        <f t="shared" si="34"/>
        <v>44/40</v>
      </c>
      <c r="N1668" s="3" t="str">
        <f t="shared" si="39"/>
        <v>SRM915a</v>
      </c>
      <c r="O1668" s="1" t="s">
        <v>25</v>
      </c>
      <c r="P1668" s="3" t="s">
        <v>25</v>
      </c>
      <c r="Q1668" s="37" t="s">
        <v>25</v>
      </c>
      <c r="R1668" s="3" t="s">
        <v>25</v>
      </c>
      <c r="S1668" s="13">
        <f t="shared" si="38"/>
        <v>-1.2199999999999998</v>
      </c>
    </row>
    <row r="1669" spans="1:19">
      <c r="A1669" s="18" t="s">
        <v>1794</v>
      </c>
      <c r="B1669" s="1" t="s">
        <v>1826</v>
      </c>
      <c r="C1669" s="1" t="s">
        <v>2043</v>
      </c>
      <c r="D1669" s="1" t="s">
        <v>2044</v>
      </c>
      <c r="E1669" s="1" t="s">
        <v>25</v>
      </c>
      <c r="F1669">
        <v>251.90199999999999</v>
      </c>
      <c r="G1669">
        <v>298.89999999999998</v>
      </c>
      <c r="H1669" t="s">
        <v>25</v>
      </c>
      <c r="I1669" s="1" t="s">
        <v>1528</v>
      </c>
      <c r="J1669" s="1" t="s">
        <v>25</v>
      </c>
      <c r="K1669" s="11" t="s">
        <v>25</v>
      </c>
      <c r="L1669">
        <v>0.68</v>
      </c>
      <c r="M1669" s="3" t="str">
        <f t="shared" si="34"/>
        <v>44/40</v>
      </c>
      <c r="N1669" s="3" t="str">
        <f t="shared" si="39"/>
        <v>SRM915a</v>
      </c>
      <c r="O1669" s="1" t="s">
        <v>25</v>
      </c>
      <c r="P1669" s="3" t="s">
        <v>25</v>
      </c>
      <c r="Q1669" s="37" t="s">
        <v>25</v>
      </c>
      <c r="R1669" s="3" t="s">
        <v>25</v>
      </c>
      <c r="S1669" s="13">
        <f t="shared" si="38"/>
        <v>-1.1999999999999997</v>
      </c>
    </row>
    <row r="1670" spans="1:19">
      <c r="A1670" s="18" t="s">
        <v>1794</v>
      </c>
      <c r="B1670" s="1" t="s">
        <v>1827</v>
      </c>
      <c r="C1670" s="1" t="s">
        <v>2043</v>
      </c>
      <c r="D1670" s="1" t="s">
        <v>2044</v>
      </c>
      <c r="E1670" s="1" t="s">
        <v>25</v>
      </c>
      <c r="F1670">
        <v>251.90199999999999</v>
      </c>
      <c r="G1670">
        <v>298.89999999999998</v>
      </c>
      <c r="H1670" t="s">
        <v>25</v>
      </c>
      <c r="I1670" s="1" t="s">
        <v>1528</v>
      </c>
      <c r="J1670" s="1" t="s">
        <v>25</v>
      </c>
      <c r="K1670" s="11" t="s">
        <v>25</v>
      </c>
      <c r="L1670">
        <v>1.06</v>
      </c>
      <c r="M1670" s="3" t="str">
        <f t="shared" si="34"/>
        <v>44/40</v>
      </c>
      <c r="N1670" s="3" t="str">
        <f t="shared" si="39"/>
        <v>SRM915a</v>
      </c>
      <c r="O1670" s="1" t="s">
        <v>25</v>
      </c>
      <c r="P1670" s="3" t="s">
        <v>25</v>
      </c>
      <c r="Q1670" s="37" t="s">
        <v>25</v>
      </c>
      <c r="R1670" s="3" t="s">
        <v>25</v>
      </c>
      <c r="S1670" s="13">
        <f t="shared" si="38"/>
        <v>-0.81999999999999984</v>
      </c>
    </row>
    <row r="1671" spans="1:19">
      <c r="A1671" s="18" t="s">
        <v>1794</v>
      </c>
      <c r="B1671" s="1" t="s">
        <v>1828</v>
      </c>
      <c r="C1671" s="1" t="s">
        <v>2043</v>
      </c>
      <c r="D1671" s="1" t="s">
        <v>2044</v>
      </c>
      <c r="E1671" s="1" t="s">
        <v>25</v>
      </c>
      <c r="F1671">
        <v>251.90199999999999</v>
      </c>
      <c r="G1671">
        <v>298.89999999999998</v>
      </c>
      <c r="H1671" t="s">
        <v>25</v>
      </c>
      <c r="I1671" s="1" t="s">
        <v>1528</v>
      </c>
      <c r="J1671" s="1" t="s">
        <v>25</v>
      </c>
      <c r="K1671" s="11" t="s">
        <v>25</v>
      </c>
      <c r="L1671">
        <v>1</v>
      </c>
      <c r="M1671" s="3" t="str">
        <f t="shared" si="34"/>
        <v>44/40</v>
      </c>
      <c r="N1671" s="3" t="str">
        <f t="shared" si="39"/>
        <v>SRM915a</v>
      </c>
      <c r="O1671" s="1" t="s">
        <v>25</v>
      </c>
      <c r="P1671" s="3" t="s">
        <v>25</v>
      </c>
      <c r="Q1671" s="37" t="s">
        <v>25</v>
      </c>
      <c r="R1671" s="3" t="s">
        <v>25</v>
      </c>
      <c r="S1671" s="13">
        <f t="shared" si="38"/>
        <v>-0.87999999999999989</v>
      </c>
    </row>
    <row r="1672" spans="1:19">
      <c r="A1672" s="18" t="s">
        <v>1794</v>
      </c>
      <c r="B1672" s="1" t="s">
        <v>1829</v>
      </c>
      <c r="C1672" s="1" t="s">
        <v>2043</v>
      </c>
      <c r="D1672" s="1" t="s">
        <v>2044</v>
      </c>
      <c r="E1672" s="1" t="s">
        <v>25</v>
      </c>
      <c r="F1672">
        <v>251.90199999999999</v>
      </c>
      <c r="G1672">
        <v>298.89999999999998</v>
      </c>
      <c r="H1672" t="s">
        <v>25</v>
      </c>
      <c r="I1672" s="1" t="s">
        <v>1528</v>
      </c>
      <c r="J1672" s="1" t="s">
        <v>25</v>
      </c>
      <c r="K1672" s="11" t="s">
        <v>25</v>
      </c>
      <c r="L1672">
        <v>0.86</v>
      </c>
      <c r="M1672" s="3" t="str">
        <f t="shared" ref="M1672:M1735" si="40">IF(ISNUMBER(SEARCH("Na", L1672)), "Na", "44/40")</f>
        <v>44/40</v>
      </c>
      <c r="N1672" s="3" t="str">
        <f t="shared" si="39"/>
        <v>SRM915a</v>
      </c>
      <c r="O1672" s="1" t="s">
        <v>25</v>
      </c>
      <c r="P1672" s="3" t="s">
        <v>25</v>
      </c>
      <c r="Q1672" s="37" t="s">
        <v>25</v>
      </c>
      <c r="R1672" s="3" t="s">
        <v>25</v>
      </c>
      <c r="S1672" s="13">
        <f t="shared" si="38"/>
        <v>-1.02</v>
      </c>
    </row>
    <row r="1673" spans="1:19">
      <c r="A1673" s="18" t="s">
        <v>1794</v>
      </c>
      <c r="B1673" s="1" t="s">
        <v>1830</v>
      </c>
      <c r="C1673" s="1" t="s">
        <v>2043</v>
      </c>
      <c r="D1673" s="1" t="s">
        <v>2044</v>
      </c>
      <c r="E1673" s="1" t="s">
        <v>25</v>
      </c>
      <c r="F1673">
        <v>251.90199999999999</v>
      </c>
      <c r="G1673">
        <v>298.89999999999998</v>
      </c>
      <c r="H1673" t="s">
        <v>25</v>
      </c>
      <c r="I1673" s="1" t="s">
        <v>1528</v>
      </c>
      <c r="J1673" s="1" t="s">
        <v>25</v>
      </c>
      <c r="K1673" s="11" t="s">
        <v>25</v>
      </c>
      <c r="L1673">
        <v>0.92</v>
      </c>
      <c r="M1673" s="3" t="str">
        <f t="shared" si="40"/>
        <v>44/40</v>
      </c>
      <c r="N1673" s="3" t="str">
        <f t="shared" si="39"/>
        <v>SRM915a</v>
      </c>
      <c r="O1673" s="1" t="s">
        <v>25</v>
      </c>
      <c r="P1673" s="3" t="s">
        <v>25</v>
      </c>
      <c r="Q1673" s="37" t="s">
        <v>25</v>
      </c>
      <c r="R1673" s="3" t="s">
        <v>25</v>
      </c>
      <c r="S1673" s="13">
        <f t="shared" si="38"/>
        <v>-0.95999999999999985</v>
      </c>
    </row>
    <row r="1674" spans="1:19">
      <c r="A1674" s="18" t="s">
        <v>1794</v>
      </c>
      <c r="B1674" s="1" t="s">
        <v>1831</v>
      </c>
      <c r="C1674" s="1" t="s">
        <v>2043</v>
      </c>
      <c r="D1674" s="1" t="s">
        <v>2044</v>
      </c>
      <c r="E1674" s="1" t="s">
        <v>25</v>
      </c>
      <c r="F1674">
        <v>251.90199999999999</v>
      </c>
      <c r="G1674">
        <v>298.89999999999998</v>
      </c>
      <c r="H1674" t="s">
        <v>25</v>
      </c>
      <c r="I1674" s="1" t="s">
        <v>1528</v>
      </c>
      <c r="J1674" s="1" t="s">
        <v>25</v>
      </c>
      <c r="K1674" s="11" t="s">
        <v>25</v>
      </c>
      <c r="L1674">
        <v>0.36</v>
      </c>
      <c r="M1674" s="3" t="str">
        <f t="shared" si="40"/>
        <v>44/40</v>
      </c>
      <c r="N1674" s="3" t="str">
        <f t="shared" si="39"/>
        <v>SRM915a</v>
      </c>
      <c r="O1674" s="1" t="s">
        <v>25</v>
      </c>
      <c r="P1674" s="3" t="s">
        <v>25</v>
      </c>
      <c r="Q1674" s="37" t="s">
        <v>25</v>
      </c>
      <c r="R1674" s="3" t="s">
        <v>25</v>
      </c>
      <c r="S1674" s="13">
        <f t="shared" si="38"/>
        <v>-1.52</v>
      </c>
    </row>
    <row r="1675" spans="1:19">
      <c r="A1675" s="18" t="s">
        <v>1794</v>
      </c>
      <c r="B1675" s="1" t="s">
        <v>1832</v>
      </c>
      <c r="C1675" s="1" t="s">
        <v>2043</v>
      </c>
      <c r="D1675" s="1" t="s">
        <v>2044</v>
      </c>
      <c r="E1675" s="1" t="s">
        <v>25</v>
      </c>
      <c r="F1675">
        <v>251.90199999999999</v>
      </c>
      <c r="G1675">
        <v>298.89999999999998</v>
      </c>
      <c r="H1675" t="s">
        <v>25</v>
      </c>
      <c r="I1675" s="1" t="s">
        <v>1528</v>
      </c>
      <c r="J1675" s="1" t="s">
        <v>25</v>
      </c>
      <c r="K1675" s="11" t="s">
        <v>25</v>
      </c>
      <c r="L1675">
        <v>0.76</v>
      </c>
      <c r="M1675" s="3" t="str">
        <f t="shared" si="40"/>
        <v>44/40</v>
      </c>
      <c r="N1675" s="3" t="str">
        <f t="shared" si="39"/>
        <v>SRM915a</v>
      </c>
      <c r="O1675" s="1" t="s">
        <v>25</v>
      </c>
      <c r="P1675" s="3" t="s">
        <v>25</v>
      </c>
      <c r="Q1675" s="37" t="s">
        <v>25</v>
      </c>
      <c r="R1675" s="3" t="s">
        <v>25</v>
      </c>
      <c r="S1675" s="13">
        <f t="shared" si="38"/>
        <v>-1.1199999999999999</v>
      </c>
    </row>
    <row r="1676" spans="1:19">
      <c r="A1676" s="18" t="s">
        <v>1794</v>
      </c>
      <c r="B1676" s="1" t="s">
        <v>1833</v>
      </c>
      <c r="C1676" s="1" t="s">
        <v>2043</v>
      </c>
      <c r="D1676" s="1" t="s">
        <v>2044</v>
      </c>
      <c r="E1676" s="1" t="s">
        <v>25</v>
      </c>
      <c r="F1676">
        <v>251.90199999999999</v>
      </c>
      <c r="G1676">
        <v>298.89999999999998</v>
      </c>
      <c r="H1676" t="s">
        <v>25</v>
      </c>
      <c r="I1676" s="1" t="s">
        <v>1528</v>
      </c>
      <c r="J1676" s="1" t="s">
        <v>25</v>
      </c>
      <c r="K1676" s="11" t="s">
        <v>25</v>
      </c>
      <c r="L1676">
        <v>0.94</v>
      </c>
      <c r="M1676" s="3" t="str">
        <f t="shared" si="40"/>
        <v>44/40</v>
      </c>
      <c r="N1676" s="3" t="str">
        <f t="shared" si="39"/>
        <v>SRM915a</v>
      </c>
      <c r="O1676" s="1" t="s">
        <v>25</v>
      </c>
      <c r="P1676" s="3" t="s">
        <v>25</v>
      </c>
      <c r="Q1676" s="37" t="s">
        <v>25</v>
      </c>
      <c r="R1676" s="3" t="s">
        <v>25</v>
      </c>
      <c r="S1676" s="13">
        <f t="shared" si="38"/>
        <v>-0.94</v>
      </c>
    </row>
    <row r="1677" spans="1:19">
      <c r="A1677" s="18" t="s">
        <v>1794</v>
      </c>
      <c r="B1677" s="1" t="s">
        <v>1834</v>
      </c>
      <c r="C1677" s="1" t="s">
        <v>2043</v>
      </c>
      <c r="D1677" s="1" t="s">
        <v>2044</v>
      </c>
      <c r="E1677" s="1" t="s">
        <v>25</v>
      </c>
      <c r="F1677">
        <v>251.90199999999999</v>
      </c>
      <c r="G1677">
        <v>298.89999999999998</v>
      </c>
      <c r="H1677" t="s">
        <v>25</v>
      </c>
      <c r="I1677" s="1" t="s">
        <v>1528</v>
      </c>
      <c r="J1677" s="1" t="s">
        <v>25</v>
      </c>
      <c r="K1677" s="11" t="s">
        <v>25</v>
      </c>
      <c r="L1677">
        <v>0.47</v>
      </c>
      <c r="M1677" s="3" t="str">
        <f t="shared" si="40"/>
        <v>44/40</v>
      </c>
      <c r="N1677" s="3" t="str">
        <f t="shared" si="39"/>
        <v>SRM915a</v>
      </c>
      <c r="O1677" s="1" t="s">
        <v>25</v>
      </c>
      <c r="P1677" s="3" t="s">
        <v>25</v>
      </c>
      <c r="Q1677" s="37" t="s">
        <v>25</v>
      </c>
      <c r="R1677" s="3" t="s">
        <v>25</v>
      </c>
      <c r="S1677" s="13">
        <f t="shared" si="38"/>
        <v>-1.41</v>
      </c>
    </row>
    <row r="1678" spans="1:19">
      <c r="A1678" s="18" t="s">
        <v>1794</v>
      </c>
      <c r="B1678" s="1" t="s">
        <v>1835</v>
      </c>
      <c r="C1678" s="1" t="s">
        <v>2043</v>
      </c>
      <c r="D1678" s="1" t="s">
        <v>2044</v>
      </c>
      <c r="E1678" s="1" t="s">
        <v>25</v>
      </c>
      <c r="F1678">
        <v>251.90199999999999</v>
      </c>
      <c r="G1678">
        <v>298.89999999999998</v>
      </c>
      <c r="H1678" t="s">
        <v>25</v>
      </c>
      <c r="I1678" s="1" t="s">
        <v>1528</v>
      </c>
      <c r="J1678" s="1" t="s">
        <v>25</v>
      </c>
      <c r="K1678" s="11" t="s">
        <v>25</v>
      </c>
      <c r="L1678">
        <v>0.85</v>
      </c>
      <c r="M1678" s="3" t="str">
        <f t="shared" si="40"/>
        <v>44/40</v>
      </c>
      <c r="N1678" s="3" t="str">
        <f t="shared" si="39"/>
        <v>SRM915a</v>
      </c>
      <c r="O1678" s="1" t="s">
        <v>25</v>
      </c>
      <c r="P1678" s="3" t="s">
        <v>25</v>
      </c>
      <c r="Q1678" s="37" t="s">
        <v>25</v>
      </c>
      <c r="R1678" s="3" t="s">
        <v>25</v>
      </c>
      <c r="S1678" s="13">
        <f t="shared" si="38"/>
        <v>-1.0299999999999998</v>
      </c>
    </row>
    <row r="1679" spans="1:19">
      <c r="A1679" s="18" t="s">
        <v>1794</v>
      </c>
      <c r="B1679" s="1" t="s">
        <v>1836</v>
      </c>
      <c r="C1679" s="1" t="s">
        <v>2043</v>
      </c>
      <c r="D1679" s="1" t="s">
        <v>2044</v>
      </c>
      <c r="E1679" s="1" t="s">
        <v>25</v>
      </c>
      <c r="F1679">
        <v>251.90199999999999</v>
      </c>
      <c r="G1679">
        <v>298.89999999999998</v>
      </c>
      <c r="H1679" t="s">
        <v>25</v>
      </c>
      <c r="I1679" s="1" t="s">
        <v>1528</v>
      </c>
      <c r="J1679" s="1" t="s">
        <v>25</v>
      </c>
      <c r="K1679" s="11" t="s">
        <v>25</v>
      </c>
      <c r="L1679">
        <v>0.92</v>
      </c>
      <c r="M1679" s="3" t="str">
        <f t="shared" si="40"/>
        <v>44/40</v>
      </c>
      <c r="N1679" s="3" t="str">
        <f t="shared" si="39"/>
        <v>SRM915a</v>
      </c>
      <c r="O1679" s="1" t="s">
        <v>25</v>
      </c>
      <c r="P1679" s="3" t="s">
        <v>25</v>
      </c>
      <c r="Q1679" s="37" t="s">
        <v>25</v>
      </c>
      <c r="R1679" s="3" t="s">
        <v>25</v>
      </c>
      <c r="S1679" s="13">
        <f t="shared" si="38"/>
        <v>-0.95999999999999985</v>
      </c>
    </row>
    <row r="1680" spans="1:19">
      <c r="A1680" s="18" t="s">
        <v>1794</v>
      </c>
      <c r="B1680" s="1" t="s">
        <v>1837</v>
      </c>
      <c r="C1680" s="1" t="s">
        <v>2043</v>
      </c>
      <c r="D1680" s="1" t="s">
        <v>2044</v>
      </c>
      <c r="E1680" s="1" t="s">
        <v>25</v>
      </c>
      <c r="F1680">
        <v>251.90199999999999</v>
      </c>
      <c r="G1680">
        <v>298.89999999999998</v>
      </c>
      <c r="H1680" t="s">
        <v>25</v>
      </c>
      <c r="I1680" s="1" t="s">
        <v>1528</v>
      </c>
      <c r="J1680" s="1" t="s">
        <v>25</v>
      </c>
      <c r="K1680" s="11" t="s">
        <v>25</v>
      </c>
      <c r="L1680">
        <v>1</v>
      </c>
      <c r="M1680" s="3" t="str">
        <f t="shared" si="40"/>
        <v>44/40</v>
      </c>
      <c r="N1680" s="3" t="str">
        <f t="shared" si="39"/>
        <v>SRM915a</v>
      </c>
      <c r="O1680" s="1" t="s">
        <v>25</v>
      </c>
      <c r="P1680" s="3" t="s">
        <v>25</v>
      </c>
      <c r="Q1680" s="37" t="s">
        <v>25</v>
      </c>
      <c r="R1680" s="3" t="s">
        <v>25</v>
      </c>
      <c r="S1680" s="13">
        <f t="shared" si="38"/>
        <v>-0.87999999999999989</v>
      </c>
    </row>
    <row r="1681" spans="1:19">
      <c r="A1681" s="18" t="s">
        <v>1794</v>
      </c>
      <c r="B1681" s="1" t="s">
        <v>1838</v>
      </c>
      <c r="C1681" s="1" t="s">
        <v>2043</v>
      </c>
      <c r="D1681" s="1" t="s">
        <v>2044</v>
      </c>
      <c r="E1681" s="1" t="s">
        <v>25</v>
      </c>
      <c r="F1681">
        <v>251.90199999999999</v>
      </c>
      <c r="G1681">
        <v>298.89999999999998</v>
      </c>
      <c r="H1681" t="s">
        <v>25</v>
      </c>
      <c r="I1681" s="1" t="s">
        <v>1528</v>
      </c>
      <c r="J1681" s="1" t="s">
        <v>25</v>
      </c>
      <c r="K1681" s="11" t="s">
        <v>25</v>
      </c>
      <c r="L1681">
        <v>0.97</v>
      </c>
      <c r="M1681" s="3" t="str">
        <f t="shared" si="40"/>
        <v>44/40</v>
      </c>
      <c r="N1681" s="3" t="str">
        <f t="shared" si="39"/>
        <v>SRM915a</v>
      </c>
      <c r="O1681" s="1" t="s">
        <v>25</v>
      </c>
      <c r="P1681" s="3" t="s">
        <v>25</v>
      </c>
      <c r="Q1681" s="37" t="s">
        <v>25</v>
      </c>
      <c r="R1681" s="3" t="s">
        <v>25</v>
      </c>
      <c r="S1681" s="13">
        <f t="shared" si="38"/>
        <v>-0.90999999999999992</v>
      </c>
    </row>
    <row r="1682" spans="1:19">
      <c r="A1682" s="18" t="s">
        <v>1794</v>
      </c>
      <c r="B1682" s="1" t="s">
        <v>1839</v>
      </c>
      <c r="C1682" s="1" t="s">
        <v>2043</v>
      </c>
      <c r="D1682" s="1" t="s">
        <v>2044</v>
      </c>
      <c r="E1682" s="1" t="s">
        <v>25</v>
      </c>
      <c r="F1682">
        <v>251.90199999999999</v>
      </c>
      <c r="G1682">
        <v>298.89999999999998</v>
      </c>
      <c r="H1682" t="s">
        <v>25</v>
      </c>
      <c r="I1682" s="1" t="s">
        <v>1528</v>
      </c>
      <c r="J1682" s="1" t="s">
        <v>25</v>
      </c>
      <c r="K1682" s="11" t="s">
        <v>25</v>
      </c>
      <c r="L1682">
        <v>0.73</v>
      </c>
      <c r="M1682" s="3" t="str">
        <f t="shared" si="40"/>
        <v>44/40</v>
      </c>
      <c r="N1682" s="3" t="str">
        <f t="shared" si="39"/>
        <v>SRM915a</v>
      </c>
      <c r="O1682" s="1" t="s">
        <v>25</v>
      </c>
      <c r="P1682" s="3" t="s">
        <v>25</v>
      </c>
      <c r="Q1682" s="37" t="s">
        <v>25</v>
      </c>
      <c r="R1682" s="3" t="s">
        <v>25</v>
      </c>
      <c r="S1682" s="13">
        <f t="shared" si="38"/>
        <v>-1.1499999999999999</v>
      </c>
    </row>
    <row r="1683" spans="1:19">
      <c r="A1683" s="18" t="s">
        <v>1794</v>
      </c>
      <c r="B1683" s="1" t="s">
        <v>1840</v>
      </c>
      <c r="C1683" s="1" t="s">
        <v>2043</v>
      </c>
      <c r="D1683" s="1" t="s">
        <v>2044</v>
      </c>
      <c r="E1683" s="1" t="s">
        <v>25</v>
      </c>
      <c r="F1683">
        <v>251.90199999999999</v>
      </c>
      <c r="G1683">
        <v>298.89999999999998</v>
      </c>
      <c r="H1683" t="s">
        <v>25</v>
      </c>
      <c r="I1683" s="1" t="s">
        <v>1528</v>
      </c>
      <c r="J1683" s="1" t="s">
        <v>25</v>
      </c>
      <c r="K1683" s="11" t="s">
        <v>25</v>
      </c>
      <c r="L1683">
        <v>0.95</v>
      </c>
      <c r="M1683" s="3" t="str">
        <f t="shared" si="40"/>
        <v>44/40</v>
      </c>
      <c r="N1683" s="3" t="str">
        <f t="shared" si="39"/>
        <v>SRM915a</v>
      </c>
      <c r="O1683" s="1" t="s">
        <v>25</v>
      </c>
      <c r="P1683" s="3" t="s">
        <v>25</v>
      </c>
      <c r="Q1683" s="37" t="s">
        <v>25</v>
      </c>
      <c r="R1683" s="3" t="s">
        <v>25</v>
      </c>
      <c r="S1683" s="13">
        <f t="shared" si="38"/>
        <v>-0.92999999999999994</v>
      </c>
    </row>
    <row r="1684" spans="1:19">
      <c r="A1684" s="18" t="s">
        <v>1794</v>
      </c>
      <c r="B1684" s="1" t="s">
        <v>1841</v>
      </c>
      <c r="C1684" s="1" t="s">
        <v>2043</v>
      </c>
      <c r="D1684" s="1" t="s">
        <v>2044</v>
      </c>
      <c r="E1684" s="1" t="s">
        <v>25</v>
      </c>
      <c r="F1684">
        <v>251.90199999999999</v>
      </c>
      <c r="G1684">
        <v>298.89999999999998</v>
      </c>
      <c r="H1684" t="s">
        <v>25</v>
      </c>
      <c r="I1684" s="1" t="s">
        <v>1528</v>
      </c>
      <c r="J1684" s="1" t="s">
        <v>25</v>
      </c>
      <c r="K1684" s="11" t="s">
        <v>25</v>
      </c>
      <c r="L1684">
        <v>0.9</v>
      </c>
      <c r="M1684" s="3" t="str">
        <f t="shared" si="40"/>
        <v>44/40</v>
      </c>
      <c r="N1684" s="3" t="str">
        <f t="shared" si="39"/>
        <v>SRM915a</v>
      </c>
      <c r="O1684" s="1" t="s">
        <v>25</v>
      </c>
      <c r="P1684" s="3" t="s">
        <v>25</v>
      </c>
      <c r="Q1684" s="37" t="s">
        <v>25</v>
      </c>
      <c r="R1684" s="3" t="s">
        <v>25</v>
      </c>
      <c r="S1684" s="13">
        <f t="shared" si="38"/>
        <v>-0.97999999999999987</v>
      </c>
    </row>
    <row r="1685" spans="1:19">
      <c r="A1685" s="18" t="s">
        <v>1794</v>
      </c>
      <c r="B1685" s="1" t="s">
        <v>1842</v>
      </c>
      <c r="C1685" s="1" t="s">
        <v>2043</v>
      </c>
      <c r="D1685" s="1" t="s">
        <v>2044</v>
      </c>
      <c r="E1685" s="1" t="s">
        <v>25</v>
      </c>
      <c r="F1685">
        <v>251.90199999999999</v>
      </c>
      <c r="G1685">
        <v>298.89999999999998</v>
      </c>
      <c r="H1685" t="s">
        <v>25</v>
      </c>
      <c r="I1685" s="1" t="s">
        <v>1528</v>
      </c>
      <c r="J1685" s="1" t="s">
        <v>25</v>
      </c>
      <c r="K1685" s="11" t="s">
        <v>25</v>
      </c>
      <c r="L1685">
        <v>0.97</v>
      </c>
      <c r="M1685" s="3" t="str">
        <f t="shared" si="40"/>
        <v>44/40</v>
      </c>
      <c r="N1685" s="3" t="str">
        <f t="shared" si="39"/>
        <v>SRM915a</v>
      </c>
      <c r="O1685" s="1" t="s">
        <v>25</v>
      </c>
      <c r="P1685" s="3" t="s">
        <v>25</v>
      </c>
      <c r="Q1685" s="37" t="s">
        <v>25</v>
      </c>
      <c r="R1685" s="3" t="s">
        <v>25</v>
      </c>
      <c r="S1685" s="13">
        <f t="shared" si="38"/>
        <v>-0.90999999999999992</v>
      </c>
    </row>
    <row r="1686" spans="1:19">
      <c r="A1686" s="18" t="s">
        <v>1794</v>
      </c>
      <c r="B1686" s="1" t="s">
        <v>1843</v>
      </c>
      <c r="C1686" s="1" t="s">
        <v>2043</v>
      </c>
      <c r="D1686" s="1" t="s">
        <v>2044</v>
      </c>
      <c r="E1686" s="1" t="s">
        <v>25</v>
      </c>
      <c r="F1686">
        <v>251.90199999999999</v>
      </c>
      <c r="G1686">
        <v>298.89999999999998</v>
      </c>
      <c r="H1686" t="s">
        <v>25</v>
      </c>
      <c r="I1686" s="1" t="s">
        <v>1528</v>
      </c>
      <c r="J1686" s="1" t="s">
        <v>25</v>
      </c>
      <c r="K1686" s="11" t="s">
        <v>25</v>
      </c>
      <c r="L1686">
        <v>0.93</v>
      </c>
      <c r="M1686" s="3" t="str">
        <f t="shared" si="40"/>
        <v>44/40</v>
      </c>
      <c r="N1686" s="3" t="str">
        <f t="shared" si="39"/>
        <v>SRM915a</v>
      </c>
      <c r="O1686" s="1" t="s">
        <v>25</v>
      </c>
      <c r="P1686" s="3" t="s">
        <v>25</v>
      </c>
      <c r="Q1686" s="37" t="s">
        <v>25</v>
      </c>
      <c r="R1686" s="3" t="s">
        <v>25</v>
      </c>
      <c r="S1686" s="13">
        <f t="shared" si="38"/>
        <v>-0.94999999999999984</v>
      </c>
    </row>
    <row r="1687" spans="1:19">
      <c r="A1687" s="18" t="s">
        <v>1794</v>
      </c>
      <c r="B1687" s="1" t="s">
        <v>1844</v>
      </c>
      <c r="C1687" s="1" t="s">
        <v>2043</v>
      </c>
      <c r="D1687" s="1" t="s">
        <v>2044</v>
      </c>
      <c r="E1687" s="1" t="s">
        <v>25</v>
      </c>
      <c r="F1687">
        <v>251.90199999999999</v>
      </c>
      <c r="G1687">
        <v>298.89999999999998</v>
      </c>
      <c r="H1687" t="s">
        <v>25</v>
      </c>
      <c r="I1687" s="1" t="s">
        <v>1528</v>
      </c>
      <c r="J1687" s="1" t="s">
        <v>25</v>
      </c>
      <c r="K1687" s="11" t="s">
        <v>25</v>
      </c>
      <c r="L1687">
        <v>0.94</v>
      </c>
      <c r="M1687" s="3" t="str">
        <f t="shared" si="40"/>
        <v>44/40</v>
      </c>
      <c r="N1687" s="3" t="str">
        <f t="shared" si="39"/>
        <v>SRM915a</v>
      </c>
      <c r="O1687" s="1" t="s">
        <v>25</v>
      </c>
      <c r="P1687" s="3" t="s">
        <v>25</v>
      </c>
      <c r="Q1687" s="37" t="s">
        <v>25</v>
      </c>
      <c r="R1687" s="3" t="s">
        <v>25</v>
      </c>
      <c r="S1687" s="13">
        <f t="shared" si="38"/>
        <v>-0.94</v>
      </c>
    </row>
    <row r="1688" spans="1:19">
      <c r="A1688" s="18" t="s">
        <v>1794</v>
      </c>
      <c r="B1688" s="1" t="s">
        <v>1845</v>
      </c>
      <c r="C1688" s="1" t="s">
        <v>2043</v>
      </c>
      <c r="D1688" s="1" t="s">
        <v>2044</v>
      </c>
      <c r="E1688" s="1" t="s">
        <v>25</v>
      </c>
      <c r="F1688">
        <v>251.90199999999999</v>
      </c>
      <c r="G1688">
        <v>298.89999999999998</v>
      </c>
      <c r="H1688" t="s">
        <v>25</v>
      </c>
      <c r="I1688" s="1" t="s">
        <v>1528</v>
      </c>
      <c r="J1688" s="1" t="s">
        <v>25</v>
      </c>
      <c r="K1688" s="11" t="s">
        <v>25</v>
      </c>
      <c r="L1688">
        <v>0.84</v>
      </c>
      <c r="M1688" s="3" t="str">
        <f t="shared" si="40"/>
        <v>44/40</v>
      </c>
      <c r="N1688" s="3" t="str">
        <f t="shared" si="39"/>
        <v>SRM915a</v>
      </c>
      <c r="O1688" s="1" t="s">
        <v>25</v>
      </c>
      <c r="P1688" s="3" t="s">
        <v>25</v>
      </c>
      <c r="Q1688" s="37" t="s">
        <v>25</v>
      </c>
      <c r="R1688" s="3" t="s">
        <v>25</v>
      </c>
      <c r="S1688" s="13">
        <f t="shared" si="38"/>
        <v>-1.04</v>
      </c>
    </row>
    <row r="1689" spans="1:19">
      <c r="A1689" s="18" t="s">
        <v>1794</v>
      </c>
      <c r="B1689" s="1" t="s">
        <v>1846</v>
      </c>
      <c r="C1689" s="1" t="s">
        <v>2043</v>
      </c>
      <c r="D1689" s="1" t="s">
        <v>2044</v>
      </c>
      <c r="E1689" s="1" t="s">
        <v>25</v>
      </c>
      <c r="F1689">
        <v>251.90199999999999</v>
      </c>
      <c r="G1689">
        <v>298.89999999999998</v>
      </c>
      <c r="H1689" t="s">
        <v>25</v>
      </c>
      <c r="I1689" s="1" t="s">
        <v>1528</v>
      </c>
      <c r="J1689" s="1" t="s">
        <v>25</v>
      </c>
      <c r="K1689" s="11" t="s">
        <v>25</v>
      </c>
      <c r="L1689">
        <v>0.52</v>
      </c>
      <c r="M1689" s="3" t="str">
        <f t="shared" si="40"/>
        <v>44/40</v>
      </c>
      <c r="N1689" s="3" t="str">
        <f t="shared" si="39"/>
        <v>SRM915a</v>
      </c>
      <c r="O1689" s="1" t="s">
        <v>25</v>
      </c>
      <c r="P1689" s="3" t="s">
        <v>25</v>
      </c>
      <c r="Q1689" s="37" t="s">
        <v>25</v>
      </c>
      <c r="R1689" s="3" t="s">
        <v>25</v>
      </c>
      <c r="S1689" s="13">
        <f t="shared" si="38"/>
        <v>-1.3599999999999999</v>
      </c>
    </row>
    <row r="1690" spans="1:19">
      <c r="A1690" s="18" t="s">
        <v>1794</v>
      </c>
      <c r="B1690" s="1" t="s">
        <v>1847</v>
      </c>
      <c r="C1690" s="1" t="s">
        <v>2043</v>
      </c>
      <c r="D1690" s="1" t="s">
        <v>2044</v>
      </c>
      <c r="E1690" s="1" t="s">
        <v>25</v>
      </c>
      <c r="F1690">
        <v>251.90199999999999</v>
      </c>
      <c r="G1690">
        <v>298.89999999999998</v>
      </c>
      <c r="H1690" t="s">
        <v>25</v>
      </c>
      <c r="I1690" s="1" t="s">
        <v>1528</v>
      </c>
      <c r="J1690" s="1" t="s">
        <v>25</v>
      </c>
      <c r="K1690" s="11" t="s">
        <v>25</v>
      </c>
      <c r="L1690">
        <v>1.21</v>
      </c>
      <c r="M1690" s="3" t="str">
        <f t="shared" si="40"/>
        <v>44/40</v>
      </c>
      <c r="N1690" s="3" t="str">
        <f t="shared" si="39"/>
        <v>SRM915a</v>
      </c>
      <c r="O1690" s="1" t="s">
        <v>25</v>
      </c>
      <c r="P1690" s="3" t="s">
        <v>25</v>
      </c>
      <c r="Q1690" s="37" t="s">
        <v>25</v>
      </c>
      <c r="R1690" s="3" t="s">
        <v>25</v>
      </c>
      <c r="S1690" s="13">
        <f t="shared" si="38"/>
        <v>-0.66999999999999993</v>
      </c>
    </row>
    <row r="1691" spans="1:19">
      <c r="A1691" s="18" t="s">
        <v>1794</v>
      </c>
      <c r="B1691" s="1" t="s">
        <v>1848</v>
      </c>
      <c r="C1691" s="1" t="s">
        <v>2043</v>
      </c>
      <c r="D1691" s="1" t="s">
        <v>2044</v>
      </c>
      <c r="E1691" s="1" t="s">
        <v>25</v>
      </c>
      <c r="F1691">
        <v>251.90199999999999</v>
      </c>
      <c r="G1691">
        <v>298.89999999999998</v>
      </c>
      <c r="H1691" t="s">
        <v>25</v>
      </c>
      <c r="I1691" s="1" t="s">
        <v>1528</v>
      </c>
      <c r="J1691" s="1" t="s">
        <v>25</v>
      </c>
      <c r="K1691" s="11" t="s">
        <v>25</v>
      </c>
      <c r="L1691">
        <v>0.9</v>
      </c>
      <c r="M1691" s="3" t="str">
        <f t="shared" si="40"/>
        <v>44/40</v>
      </c>
      <c r="N1691" s="3" t="str">
        <f t="shared" si="39"/>
        <v>SRM915a</v>
      </c>
      <c r="O1691" s="1" t="s">
        <v>25</v>
      </c>
      <c r="P1691" s="3" t="s">
        <v>25</v>
      </c>
      <c r="Q1691" s="37" t="s">
        <v>25</v>
      </c>
      <c r="R1691" s="3" t="s">
        <v>25</v>
      </c>
      <c r="S1691" s="13">
        <f t="shared" si="38"/>
        <v>-0.97999999999999987</v>
      </c>
    </row>
    <row r="1692" spans="1:19">
      <c r="A1692" s="18" t="s">
        <v>1794</v>
      </c>
      <c r="B1692" s="1" t="s">
        <v>1849</v>
      </c>
      <c r="C1692" s="1" t="s">
        <v>2043</v>
      </c>
      <c r="D1692" s="1" t="s">
        <v>2044</v>
      </c>
      <c r="E1692" s="1" t="s">
        <v>25</v>
      </c>
      <c r="F1692">
        <v>251.90199999999999</v>
      </c>
      <c r="G1692">
        <v>298.89999999999998</v>
      </c>
      <c r="H1692" t="s">
        <v>25</v>
      </c>
      <c r="I1692" s="1" t="s">
        <v>1528</v>
      </c>
      <c r="J1692" s="1" t="s">
        <v>25</v>
      </c>
      <c r="K1692" s="11" t="s">
        <v>25</v>
      </c>
      <c r="L1692">
        <v>1.05</v>
      </c>
      <c r="M1692" s="3" t="str">
        <f t="shared" si="40"/>
        <v>44/40</v>
      </c>
      <c r="N1692" s="3" t="str">
        <f t="shared" si="39"/>
        <v>SRM915a</v>
      </c>
      <c r="O1692" s="1" t="s">
        <v>25</v>
      </c>
      <c r="P1692" s="3" t="s">
        <v>25</v>
      </c>
      <c r="Q1692" s="37" t="s">
        <v>25</v>
      </c>
      <c r="R1692" s="3" t="s">
        <v>25</v>
      </c>
      <c r="S1692" s="13">
        <f t="shared" si="38"/>
        <v>-0.82999999999999985</v>
      </c>
    </row>
    <row r="1693" spans="1:19">
      <c r="A1693" s="18" t="s">
        <v>1794</v>
      </c>
      <c r="B1693" s="1" t="s">
        <v>1850</v>
      </c>
      <c r="C1693" s="1" t="s">
        <v>2043</v>
      </c>
      <c r="D1693" s="1" t="s">
        <v>2044</v>
      </c>
      <c r="E1693" s="1" t="s">
        <v>25</v>
      </c>
      <c r="F1693">
        <v>251.90199999999999</v>
      </c>
      <c r="G1693">
        <v>298.89999999999998</v>
      </c>
      <c r="H1693" t="s">
        <v>25</v>
      </c>
      <c r="I1693" s="1" t="s">
        <v>1528</v>
      </c>
      <c r="J1693" s="1" t="s">
        <v>25</v>
      </c>
      <c r="K1693" s="11" t="s">
        <v>25</v>
      </c>
      <c r="L1693">
        <v>1.05</v>
      </c>
      <c r="M1693" s="3" t="str">
        <f t="shared" si="40"/>
        <v>44/40</v>
      </c>
      <c r="N1693" s="3" t="str">
        <f t="shared" si="39"/>
        <v>SRM915a</v>
      </c>
      <c r="O1693" s="1" t="s">
        <v>25</v>
      </c>
      <c r="P1693" s="3" t="s">
        <v>25</v>
      </c>
      <c r="Q1693" s="37" t="s">
        <v>25</v>
      </c>
      <c r="R1693" s="3" t="s">
        <v>25</v>
      </c>
      <c r="S1693" s="13">
        <f t="shared" si="38"/>
        <v>-0.82999999999999985</v>
      </c>
    </row>
    <row r="1694" spans="1:19">
      <c r="A1694" s="18" t="s">
        <v>1794</v>
      </c>
      <c r="B1694" s="1" t="s">
        <v>1851</v>
      </c>
      <c r="C1694" s="1" t="s">
        <v>2043</v>
      </c>
      <c r="D1694" s="1" t="s">
        <v>2044</v>
      </c>
      <c r="E1694" s="1" t="s">
        <v>25</v>
      </c>
      <c r="F1694">
        <v>251.90199999999999</v>
      </c>
      <c r="G1694">
        <v>298.89999999999998</v>
      </c>
      <c r="H1694" t="s">
        <v>25</v>
      </c>
      <c r="I1694" s="1" t="s">
        <v>1528</v>
      </c>
      <c r="J1694" s="1" t="s">
        <v>25</v>
      </c>
      <c r="K1694" s="11" t="s">
        <v>25</v>
      </c>
      <c r="L1694">
        <v>0.86</v>
      </c>
      <c r="M1694" s="3" t="str">
        <f t="shared" si="40"/>
        <v>44/40</v>
      </c>
      <c r="N1694" s="3" t="str">
        <f t="shared" si="39"/>
        <v>SRM915a</v>
      </c>
      <c r="O1694" s="1" t="s">
        <v>25</v>
      </c>
      <c r="P1694" s="3" t="s">
        <v>25</v>
      </c>
      <c r="Q1694" s="37" t="s">
        <v>25</v>
      </c>
      <c r="R1694" s="3" t="s">
        <v>25</v>
      </c>
      <c r="S1694" s="13">
        <f t="shared" si="38"/>
        <v>-1.02</v>
      </c>
    </row>
    <row r="1695" spans="1:19">
      <c r="A1695" s="18" t="s">
        <v>1794</v>
      </c>
      <c r="B1695" s="1" t="s">
        <v>1852</v>
      </c>
      <c r="C1695" s="1" t="s">
        <v>2043</v>
      </c>
      <c r="D1695" s="1" t="s">
        <v>2044</v>
      </c>
      <c r="E1695" s="1" t="s">
        <v>25</v>
      </c>
      <c r="F1695">
        <v>251.90199999999999</v>
      </c>
      <c r="G1695">
        <v>298.89999999999998</v>
      </c>
      <c r="H1695" t="s">
        <v>25</v>
      </c>
      <c r="I1695" s="1" t="s">
        <v>1528</v>
      </c>
      <c r="J1695" s="1" t="s">
        <v>25</v>
      </c>
      <c r="K1695" s="11" t="s">
        <v>25</v>
      </c>
      <c r="L1695">
        <v>0.97</v>
      </c>
      <c r="M1695" s="3" t="str">
        <f t="shared" si="40"/>
        <v>44/40</v>
      </c>
      <c r="N1695" s="3" t="str">
        <f t="shared" si="39"/>
        <v>SRM915a</v>
      </c>
      <c r="O1695" s="1" t="s">
        <v>25</v>
      </c>
      <c r="P1695" s="3" t="s">
        <v>25</v>
      </c>
      <c r="Q1695" s="37" t="s">
        <v>25</v>
      </c>
      <c r="R1695" s="3" t="s">
        <v>25</v>
      </c>
      <c r="S1695" s="13">
        <f t="shared" si="38"/>
        <v>-0.90999999999999992</v>
      </c>
    </row>
    <row r="1696" spans="1:19">
      <c r="A1696" s="18" t="s">
        <v>1794</v>
      </c>
      <c r="B1696" s="1" t="s">
        <v>1853</v>
      </c>
      <c r="C1696" s="1" t="s">
        <v>2043</v>
      </c>
      <c r="D1696" s="1" t="s">
        <v>2044</v>
      </c>
      <c r="E1696" s="1" t="s">
        <v>25</v>
      </c>
      <c r="F1696">
        <v>251.90199999999999</v>
      </c>
      <c r="G1696">
        <v>298.89999999999998</v>
      </c>
      <c r="H1696" t="s">
        <v>25</v>
      </c>
      <c r="I1696" s="1" t="s">
        <v>1528</v>
      </c>
      <c r="J1696" s="1" t="s">
        <v>25</v>
      </c>
      <c r="K1696" s="11" t="s">
        <v>25</v>
      </c>
      <c r="L1696">
        <v>0.13</v>
      </c>
      <c r="M1696" s="3" t="str">
        <f t="shared" si="40"/>
        <v>44/40</v>
      </c>
      <c r="N1696" s="3" t="str">
        <f t="shared" si="39"/>
        <v>SRM915a</v>
      </c>
      <c r="O1696" s="1" t="s">
        <v>25</v>
      </c>
      <c r="P1696" s="3" t="s">
        <v>25</v>
      </c>
      <c r="Q1696" s="37" t="s">
        <v>25</v>
      </c>
      <c r="R1696" s="3" t="s">
        <v>25</v>
      </c>
      <c r="S1696" s="13">
        <f t="shared" si="38"/>
        <v>-1.75</v>
      </c>
    </row>
    <row r="1697" spans="1:19">
      <c r="A1697" s="18" t="s">
        <v>1794</v>
      </c>
      <c r="B1697" s="1" t="s">
        <v>1854</v>
      </c>
      <c r="C1697" s="1" t="s">
        <v>2043</v>
      </c>
      <c r="D1697" s="1" t="s">
        <v>2044</v>
      </c>
      <c r="E1697" s="1" t="s">
        <v>25</v>
      </c>
      <c r="F1697">
        <v>251.90199999999999</v>
      </c>
      <c r="G1697">
        <v>298.89999999999998</v>
      </c>
      <c r="H1697" t="s">
        <v>25</v>
      </c>
      <c r="I1697" s="1" t="s">
        <v>1528</v>
      </c>
      <c r="J1697" s="1" t="s">
        <v>25</v>
      </c>
      <c r="K1697" s="11" t="s">
        <v>25</v>
      </c>
      <c r="L1697">
        <v>0.56999999999999995</v>
      </c>
      <c r="M1697" s="3" t="str">
        <f t="shared" si="40"/>
        <v>44/40</v>
      </c>
      <c r="N1697" s="3" t="str">
        <f t="shared" si="39"/>
        <v>SRM915a</v>
      </c>
      <c r="O1697" s="1" t="s">
        <v>25</v>
      </c>
      <c r="P1697" s="3" t="s">
        <v>25</v>
      </c>
      <c r="Q1697" s="37" t="s">
        <v>25</v>
      </c>
      <c r="R1697" s="3" t="s">
        <v>25</v>
      </c>
      <c r="S1697" s="13">
        <f t="shared" si="38"/>
        <v>-1.31</v>
      </c>
    </row>
    <row r="1698" spans="1:19">
      <c r="A1698" s="18" t="s">
        <v>1794</v>
      </c>
      <c r="B1698" s="1" t="s">
        <v>1855</v>
      </c>
      <c r="C1698" s="1" t="s">
        <v>2043</v>
      </c>
      <c r="D1698" s="1" t="s">
        <v>2044</v>
      </c>
      <c r="E1698" s="1" t="s">
        <v>25</v>
      </c>
      <c r="F1698">
        <v>251.90199999999999</v>
      </c>
      <c r="G1698">
        <v>298.89999999999998</v>
      </c>
      <c r="H1698" t="s">
        <v>25</v>
      </c>
      <c r="I1698" s="1" t="s">
        <v>1528</v>
      </c>
      <c r="J1698" s="1" t="s">
        <v>25</v>
      </c>
      <c r="K1698" s="11" t="s">
        <v>25</v>
      </c>
      <c r="L1698">
        <v>0.61</v>
      </c>
      <c r="M1698" s="3" t="str">
        <f t="shared" si="40"/>
        <v>44/40</v>
      </c>
      <c r="N1698" s="3" t="str">
        <f t="shared" si="39"/>
        <v>SRM915a</v>
      </c>
      <c r="O1698" s="1" t="s">
        <v>25</v>
      </c>
      <c r="P1698" s="3" t="s">
        <v>25</v>
      </c>
      <c r="Q1698" s="37" t="s">
        <v>25</v>
      </c>
      <c r="R1698" s="3" t="s">
        <v>25</v>
      </c>
      <c r="S1698" s="13">
        <f t="shared" si="38"/>
        <v>-1.27</v>
      </c>
    </row>
    <row r="1699" spans="1:19">
      <c r="A1699" s="18" t="s">
        <v>1794</v>
      </c>
      <c r="B1699" s="1" t="s">
        <v>1856</v>
      </c>
      <c r="C1699" s="1" t="s">
        <v>2043</v>
      </c>
      <c r="D1699" s="1" t="s">
        <v>2044</v>
      </c>
      <c r="E1699" s="1" t="s">
        <v>25</v>
      </c>
      <c r="F1699">
        <v>251.90199999999999</v>
      </c>
      <c r="G1699">
        <v>298.89999999999998</v>
      </c>
      <c r="H1699" t="s">
        <v>25</v>
      </c>
      <c r="I1699" s="1" t="s">
        <v>1528</v>
      </c>
      <c r="J1699" s="1" t="s">
        <v>25</v>
      </c>
      <c r="K1699" s="11" t="s">
        <v>25</v>
      </c>
      <c r="L1699">
        <v>0.87</v>
      </c>
      <c r="M1699" s="3" t="str">
        <f t="shared" si="40"/>
        <v>44/40</v>
      </c>
      <c r="N1699" s="3" t="str">
        <f t="shared" si="39"/>
        <v>SRM915a</v>
      </c>
      <c r="O1699" s="1" t="s">
        <v>25</v>
      </c>
      <c r="P1699" s="3" t="s">
        <v>25</v>
      </c>
      <c r="Q1699" s="37" t="s">
        <v>25</v>
      </c>
      <c r="R1699" s="3" t="s">
        <v>25</v>
      </c>
      <c r="S1699" s="13">
        <f t="shared" si="38"/>
        <v>-1.0099999999999998</v>
      </c>
    </row>
    <row r="1700" spans="1:19">
      <c r="A1700" s="18" t="s">
        <v>1794</v>
      </c>
      <c r="B1700" s="1" t="s">
        <v>1857</v>
      </c>
      <c r="C1700" s="1" t="s">
        <v>2043</v>
      </c>
      <c r="D1700" s="1" t="s">
        <v>2044</v>
      </c>
      <c r="E1700" s="1" t="s">
        <v>25</v>
      </c>
      <c r="F1700">
        <v>251.90199999999999</v>
      </c>
      <c r="G1700">
        <v>298.89999999999998</v>
      </c>
      <c r="H1700" t="s">
        <v>25</v>
      </c>
      <c r="I1700" s="1" t="s">
        <v>1528</v>
      </c>
      <c r="J1700" s="1" t="s">
        <v>25</v>
      </c>
      <c r="K1700" s="11" t="s">
        <v>25</v>
      </c>
      <c r="L1700">
        <v>0.74</v>
      </c>
      <c r="M1700" s="3" t="str">
        <f t="shared" si="40"/>
        <v>44/40</v>
      </c>
      <c r="N1700" s="3" t="str">
        <f t="shared" si="39"/>
        <v>SRM915a</v>
      </c>
      <c r="O1700" s="1" t="s">
        <v>25</v>
      </c>
      <c r="P1700" s="3" t="s">
        <v>25</v>
      </c>
      <c r="Q1700" s="37" t="s">
        <v>25</v>
      </c>
      <c r="R1700" s="3" t="s">
        <v>25</v>
      </c>
      <c r="S1700" s="13">
        <f t="shared" si="38"/>
        <v>-1.1399999999999999</v>
      </c>
    </row>
    <row r="1701" spans="1:19">
      <c r="A1701" s="18" t="s">
        <v>1794</v>
      </c>
      <c r="B1701" s="1" t="s">
        <v>1858</v>
      </c>
      <c r="C1701" s="1" t="s">
        <v>2043</v>
      </c>
      <c r="D1701" s="1" t="s">
        <v>2044</v>
      </c>
      <c r="E1701" s="1" t="s">
        <v>25</v>
      </c>
      <c r="F1701">
        <v>251.90199999999999</v>
      </c>
      <c r="G1701">
        <v>298.89999999999998</v>
      </c>
      <c r="H1701" t="s">
        <v>25</v>
      </c>
      <c r="I1701" s="1" t="s">
        <v>1528</v>
      </c>
      <c r="J1701" s="1" t="s">
        <v>25</v>
      </c>
      <c r="K1701" s="11" t="s">
        <v>25</v>
      </c>
      <c r="L1701">
        <v>0.59</v>
      </c>
      <c r="M1701" s="3" t="str">
        <f t="shared" si="40"/>
        <v>44/40</v>
      </c>
      <c r="N1701" s="3" t="str">
        <f t="shared" si="39"/>
        <v>SRM915a</v>
      </c>
      <c r="O1701" s="1" t="s">
        <v>25</v>
      </c>
      <c r="P1701" s="3" t="s">
        <v>25</v>
      </c>
      <c r="Q1701" s="37" t="s">
        <v>25</v>
      </c>
      <c r="R1701" s="3" t="s">
        <v>25</v>
      </c>
      <c r="S1701" s="13">
        <f t="shared" si="38"/>
        <v>-1.29</v>
      </c>
    </row>
    <row r="1702" spans="1:19">
      <c r="A1702" s="18" t="s">
        <v>1794</v>
      </c>
      <c r="B1702" s="1" t="s">
        <v>1859</v>
      </c>
      <c r="C1702" s="1" t="s">
        <v>2043</v>
      </c>
      <c r="D1702" s="1" t="s">
        <v>2044</v>
      </c>
      <c r="E1702" s="1" t="s">
        <v>25</v>
      </c>
      <c r="F1702">
        <v>251.90199999999999</v>
      </c>
      <c r="G1702">
        <v>298.89999999999998</v>
      </c>
      <c r="H1702" t="s">
        <v>25</v>
      </c>
      <c r="I1702" s="1" t="s">
        <v>1528</v>
      </c>
      <c r="J1702" s="1" t="s">
        <v>25</v>
      </c>
      <c r="K1702" s="11" t="s">
        <v>25</v>
      </c>
      <c r="L1702">
        <v>0.96</v>
      </c>
      <c r="M1702" s="3" t="str">
        <f t="shared" si="40"/>
        <v>44/40</v>
      </c>
      <c r="N1702" s="3" t="str">
        <f t="shared" si="39"/>
        <v>SRM915a</v>
      </c>
      <c r="O1702" s="1" t="s">
        <v>25</v>
      </c>
      <c r="P1702" s="3" t="s">
        <v>25</v>
      </c>
      <c r="Q1702" s="37" t="s">
        <v>25</v>
      </c>
      <c r="R1702" s="3" t="s">
        <v>25</v>
      </c>
      <c r="S1702" s="13">
        <f t="shared" ref="S1702:S1765" si="41">IF(NOT(N1702="SW"),L1702-1.88,L1702)</f>
        <v>-0.91999999999999993</v>
      </c>
    </row>
    <row r="1703" spans="1:19">
      <c r="A1703" s="18" t="s">
        <v>1794</v>
      </c>
      <c r="B1703" s="1" t="s">
        <v>1860</v>
      </c>
      <c r="C1703" s="1" t="s">
        <v>2043</v>
      </c>
      <c r="D1703" s="1" t="s">
        <v>2044</v>
      </c>
      <c r="E1703" s="1" t="s">
        <v>25</v>
      </c>
      <c r="F1703">
        <v>251.90199999999999</v>
      </c>
      <c r="G1703">
        <v>298.89999999999998</v>
      </c>
      <c r="H1703" t="s">
        <v>25</v>
      </c>
      <c r="I1703" s="1" t="s">
        <v>1528</v>
      </c>
      <c r="J1703" s="1" t="s">
        <v>25</v>
      </c>
      <c r="K1703" s="11" t="s">
        <v>25</v>
      </c>
      <c r="L1703">
        <v>0.82</v>
      </c>
      <c r="M1703" s="3" t="str">
        <f t="shared" si="40"/>
        <v>44/40</v>
      </c>
      <c r="N1703" s="3" t="str">
        <f t="shared" ref="N1703:N1766" si="42">IF(ISNUMBER(SEARCH("Na", M1703)), "Na", "SRM915a")</f>
        <v>SRM915a</v>
      </c>
      <c r="O1703" s="1" t="s">
        <v>25</v>
      </c>
      <c r="P1703" s="3" t="s">
        <v>25</v>
      </c>
      <c r="Q1703" s="37" t="s">
        <v>25</v>
      </c>
      <c r="R1703" s="3" t="s">
        <v>25</v>
      </c>
      <c r="S1703" s="13">
        <f t="shared" si="41"/>
        <v>-1.06</v>
      </c>
    </row>
    <row r="1704" spans="1:19">
      <c r="A1704" s="18" t="s">
        <v>1794</v>
      </c>
      <c r="B1704" s="1" t="s">
        <v>1861</v>
      </c>
      <c r="C1704" s="1" t="s">
        <v>2043</v>
      </c>
      <c r="D1704" s="1" t="s">
        <v>2044</v>
      </c>
      <c r="E1704" s="1" t="s">
        <v>25</v>
      </c>
      <c r="F1704">
        <v>251.90199999999999</v>
      </c>
      <c r="G1704">
        <v>298.89999999999998</v>
      </c>
      <c r="H1704" t="s">
        <v>25</v>
      </c>
      <c r="I1704" s="1" t="s">
        <v>1528</v>
      </c>
      <c r="J1704" s="1" t="s">
        <v>25</v>
      </c>
      <c r="K1704" s="11" t="s">
        <v>25</v>
      </c>
      <c r="L1704">
        <v>0.97</v>
      </c>
      <c r="M1704" s="3" t="str">
        <f t="shared" si="40"/>
        <v>44/40</v>
      </c>
      <c r="N1704" s="3" t="str">
        <f t="shared" si="42"/>
        <v>SRM915a</v>
      </c>
      <c r="O1704" s="1" t="s">
        <v>25</v>
      </c>
      <c r="P1704" s="3" t="s">
        <v>25</v>
      </c>
      <c r="Q1704" s="37" t="s">
        <v>25</v>
      </c>
      <c r="R1704" s="3" t="s">
        <v>25</v>
      </c>
      <c r="S1704" s="13">
        <f t="shared" si="41"/>
        <v>-0.90999999999999992</v>
      </c>
    </row>
    <row r="1705" spans="1:19">
      <c r="A1705" s="18" t="s">
        <v>1794</v>
      </c>
      <c r="B1705" s="1" t="s">
        <v>1862</v>
      </c>
      <c r="C1705" s="1" t="s">
        <v>2043</v>
      </c>
      <c r="D1705" s="1" t="s">
        <v>2044</v>
      </c>
      <c r="E1705" s="1" t="s">
        <v>25</v>
      </c>
      <c r="F1705">
        <v>251.90199999999999</v>
      </c>
      <c r="G1705">
        <v>298.89999999999998</v>
      </c>
      <c r="H1705" t="s">
        <v>25</v>
      </c>
      <c r="I1705" s="1" t="s">
        <v>1528</v>
      </c>
      <c r="J1705" s="1" t="s">
        <v>25</v>
      </c>
      <c r="K1705" s="11" t="s">
        <v>25</v>
      </c>
      <c r="L1705">
        <v>0.95</v>
      </c>
      <c r="M1705" s="3" t="str">
        <f t="shared" si="40"/>
        <v>44/40</v>
      </c>
      <c r="N1705" s="3" t="str">
        <f t="shared" si="42"/>
        <v>SRM915a</v>
      </c>
      <c r="O1705" s="1" t="s">
        <v>25</v>
      </c>
      <c r="P1705" s="3" t="s">
        <v>25</v>
      </c>
      <c r="Q1705" s="37" t="s">
        <v>25</v>
      </c>
      <c r="R1705" s="3" t="s">
        <v>25</v>
      </c>
      <c r="S1705" s="13">
        <f t="shared" si="41"/>
        <v>-0.92999999999999994</v>
      </c>
    </row>
    <row r="1706" spans="1:19">
      <c r="A1706" s="18" t="s">
        <v>1794</v>
      </c>
      <c r="B1706" s="1" t="s">
        <v>1863</v>
      </c>
      <c r="C1706" s="1" t="s">
        <v>2043</v>
      </c>
      <c r="D1706" s="1" t="s">
        <v>2044</v>
      </c>
      <c r="E1706" s="1" t="s">
        <v>25</v>
      </c>
      <c r="F1706">
        <v>251.90199999999999</v>
      </c>
      <c r="G1706">
        <v>298.89999999999998</v>
      </c>
      <c r="H1706" t="s">
        <v>25</v>
      </c>
      <c r="I1706" s="1" t="s">
        <v>1528</v>
      </c>
      <c r="J1706" s="1" t="s">
        <v>25</v>
      </c>
      <c r="K1706" s="11" t="s">
        <v>25</v>
      </c>
      <c r="L1706">
        <v>0.88</v>
      </c>
      <c r="M1706" s="3" t="str">
        <f t="shared" si="40"/>
        <v>44/40</v>
      </c>
      <c r="N1706" s="3" t="str">
        <f t="shared" si="42"/>
        <v>SRM915a</v>
      </c>
      <c r="O1706" s="1" t="s">
        <v>25</v>
      </c>
      <c r="P1706" s="3" t="s">
        <v>25</v>
      </c>
      <c r="Q1706" s="37" t="s">
        <v>25</v>
      </c>
      <c r="R1706" s="3" t="s">
        <v>25</v>
      </c>
      <c r="S1706" s="13">
        <f t="shared" si="41"/>
        <v>-0.99999999999999989</v>
      </c>
    </row>
    <row r="1707" spans="1:19">
      <c r="A1707" s="18" t="s">
        <v>1794</v>
      </c>
      <c r="B1707" s="1" t="s">
        <v>1864</v>
      </c>
      <c r="C1707" s="1" t="s">
        <v>2043</v>
      </c>
      <c r="D1707" s="1" t="s">
        <v>2044</v>
      </c>
      <c r="E1707" s="1" t="s">
        <v>25</v>
      </c>
      <c r="F1707">
        <v>251.90199999999999</v>
      </c>
      <c r="G1707">
        <v>298.89999999999998</v>
      </c>
      <c r="H1707" t="s">
        <v>25</v>
      </c>
      <c r="I1707" s="1" t="s">
        <v>1528</v>
      </c>
      <c r="J1707" s="1" t="s">
        <v>25</v>
      </c>
      <c r="K1707" s="11" t="s">
        <v>25</v>
      </c>
      <c r="L1707">
        <v>0.19</v>
      </c>
      <c r="M1707" s="3" t="str">
        <f t="shared" si="40"/>
        <v>44/40</v>
      </c>
      <c r="N1707" s="3" t="str">
        <f t="shared" si="42"/>
        <v>SRM915a</v>
      </c>
      <c r="O1707" s="1" t="s">
        <v>25</v>
      </c>
      <c r="P1707" s="3" t="s">
        <v>25</v>
      </c>
      <c r="Q1707" s="37" t="s">
        <v>25</v>
      </c>
      <c r="R1707" s="3" t="s">
        <v>25</v>
      </c>
      <c r="S1707" s="13">
        <f t="shared" si="41"/>
        <v>-1.69</v>
      </c>
    </row>
    <row r="1708" spans="1:19">
      <c r="A1708" s="18" t="s">
        <v>1794</v>
      </c>
      <c r="B1708" s="1" t="s">
        <v>1865</v>
      </c>
      <c r="C1708" s="1" t="s">
        <v>2043</v>
      </c>
      <c r="D1708" s="1" t="s">
        <v>2044</v>
      </c>
      <c r="E1708" s="1" t="s">
        <v>25</v>
      </c>
      <c r="F1708">
        <v>251.90199999999999</v>
      </c>
      <c r="G1708">
        <v>298.89999999999998</v>
      </c>
      <c r="H1708" t="s">
        <v>25</v>
      </c>
      <c r="I1708" s="1" t="s">
        <v>1528</v>
      </c>
      <c r="J1708" s="1" t="s">
        <v>25</v>
      </c>
      <c r="K1708" s="11" t="s">
        <v>25</v>
      </c>
      <c r="L1708">
        <v>1.03</v>
      </c>
      <c r="M1708" s="3" t="str">
        <f t="shared" si="40"/>
        <v>44/40</v>
      </c>
      <c r="N1708" s="3" t="str">
        <f t="shared" si="42"/>
        <v>SRM915a</v>
      </c>
      <c r="O1708" s="1" t="s">
        <v>25</v>
      </c>
      <c r="P1708" s="3" t="s">
        <v>25</v>
      </c>
      <c r="Q1708" s="37" t="s">
        <v>25</v>
      </c>
      <c r="R1708" s="3" t="s">
        <v>25</v>
      </c>
      <c r="S1708" s="13">
        <f t="shared" si="41"/>
        <v>-0.84999999999999987</v>
      </c>
    </row>
    <row r="1709" spans="1:19">
      <c r="A1709" s="18" t="s">
        <v>1794</v>
      </c>
      <c r="B1709" s="1" t="s">
        <v>1866</v>
      </c>
      <c r="C1709" s="1" t="s">
        <v>2043</v>
      </c>
      <c r="D1709" s="1" t="s">
        <v>2044</v>
      </c>
      <c r="E1709" s="1" t="s">
        <v>25</v>
      </c>
      <c r="F1709">
        <v>251.90199999999999</v>
      </c>
      <c r="G1709">
        <v>298.89999999999998</v>
      </c>
      <c r="H1709" t="s">
        <v>25</v>
      </c>
      <c r="I1709" s="1" t="s">
        <v>1528</v>
      </c>
      <c r="J1709" s="1" t="s">
        <v>25</v>
      </c>
      <c r="K1709" s="11" t="s">
        <v>25</v>
      </c>
      <c r="L1709">
        <v>1.01</v>
      </c>
      <c r="M1709" s="3" t="str">
        <f t="shared" si="40"/>
        <v>44/40</v>
      </c>
      <c r="N1709" s="3" t="str">
        <f t="shared" si="42"/>
        <v>SRM915a</v>
      </c>
      <c r="O1709" s="1" t="s">
        <v>25</v>
      </c>
      <c r="P1709" s="3" t="s">
        <v>25</v>
      </c>
      <c r="Q1709" s="37" t="s">
        <v>25</v>
      </c>
      <c r="R1709" s="3" t="s">
        <v>25</v>
      </c>
      <c r="S1709" s="13">
        <f t="shared" si="41"/>
        <v>-0.86999999999999988</v>
      </c>
    </row>
    <row r="1710" spans="1:19">
      <c r="A1710" s="18" t="s">
        <v>1794</v>
      </c>
      <c r="B1710" s="1" t="s">
        <v>1867</v>
      </c>
      <c r="C1710" s="1" t="s">
        <v>2043</v>
      </c>
      <c r="D1710" s="1" t="s">
        <v>2044</v>
      </c>
      <c r="E1710" s="1" t="s">
        <v>25</v>
      </c>
      <c r="F1710">
        <v>251.90199999999999</v>
      </c>
      <c r="G1710">
        <v>298.89999999999998</v>
      </c>
      <c r="H1710" t="s">
        <v>25</v>
      </c>
      <c r="I1710" s="1" t="s">
        <v>1528</v>
      </c>
      <c r="J1710" s="1" t="s">
        <v>25</v>
      </c>
      <c r="K1710" s="11" t="s">
        <v>25</v>
      </c>
      <c r="L1710">
        <v>1.1499999999999999</v>
      </c>
      <c r="M1710" s="3" t="str">
        <f t="shared" si="40"/>
        <v>44/40</v>
      </c>
      <c r="N1710" s="3" t="str">
        <f t="shared" si="42"/>
        <v>SRM915a</v>
      </c>
      <c r="O1710" s="1" t="s">
        <v>25</v>
      </c>
      <c r="P1710" s="3" t="s">
        <v>25</v>
      </c>
      <c r="Q1710" s="37" t="s">
        <v>25</v>
      </c>
      <c r="R1710" s="3" t="s">
        <v>25</v>
      </c>
      <c r="S1710" s="13">
        <f t="shared" si="41"/>
        <v>-0.73</v>
      </c>
    </row>
    <row r="1711" spans="1:19">
      <c r="A1711" s="18" t="s">
        <v>1794</v>
      </c>
      <c r="B1711" s="1" t="s">
        <v>1868</v>
      </c>
      <c r="C1711" s="1" t="s">
        <v>2043</v>
      </c>
      <c r="D1711" s="1" t="s">
        <v>2044</v>
      </c>
      <c r="E1711" s="1" t="s">
        <v>25</v>
      </c>
      <c r="F1711">
        <v>251.90199999999999</v>
      </c>
      <c r="G1711">
        <v>298.89999999999998</v>
      </c>
      <c r="H1711" t="s">
        <v>25</v>
      </c>
      <c r="I1711" s="1" t="s">
        <v>1528</v>
      </c>
      <c r="J1711" s="1" t="s">
        <v>25</v>
      </c>
      <c r="K1711" s="11" t="s">
        <v>25</v>
      </c>
      <c r="L1711">
        <v>1.06</v>
      </c>
      <c r="M1711" s="3" t="str">
        <f t="shared" si="40"/>
        <v>44/40</v>
      </c>
      <c r="N1711" s="3" t="str">
        <f t="shared" si="42"/>
        <v>SRM915a</v>
      </c>
      <c r="O1711" s="1" t="s">
        <v>25</v>
      </c>
      <c r="P1711" s="3" t="s">
        <v>25</v>
      </c>
      <c r="Q1711" s="37" t="s">
        <v>25</v>
      </c>
      <c r="R1711" s="3" t="s">
        <v>25</v>
      </c>
      <c r="S1711" s="13">
        <f t="shared" si="41"/>
        <v>-0.81999999999999984</v>
      </c>
    </row>
    <row r="1712" spans="1:19">
      <c r="A1712" s="18" t="s">
        <v>1794</v>
      </c>
      <c r="B1712" s="1" t="s">
        <v>1869</v>
      </c>
      <c r="C1712" s="1" t="s">
        <v>2043</v>
      </c>
      <c r="D1712" s="1" t="s">
        <v>2044</v>
      </c>
      <c r="E1712" s="1" t="s">
        <v>25</v>
      </c>
      <c r="F1712">
        <v>251.90199999999999</v>
      </c>
      <c r="G1712">
        <v>298.89999999999998</v>
      </c>
      <c r="H1712" t="s">
        <v>25</v>
      </c>
      <c r="I1712" s="1" t="s">
        <v>1528</v>
      </c>
      <c r="J1712" s="1" t="s">
        <v>25</v>
      </c>
      <c r="K1712" s="11" t="s">
        <v>25</v>
      </c>
      <c r="L1712">
        <v>1</v>
      </c>
      <c r="M1712" s="3" t="str">
        <f t="shared" si="40"/>
        <v>44/40</v>
      </c>
      <c r="N1712" s="3" t="str">
        <f t="shared" si="42"/>
        <v>SRM915a</v>
      </c>
      <c r="O1712" s="1" t="s">
        <v>25</v>
      </c>
      <c r="P1712" s="3" t="s">
        <v>25</v>
      </c>
      <c r="Q1712" s="37" t="s">
        <v>25</v>
      </c>
      <c r="R1712" s="3" t="s">
        <v>25</v>
      </c>
      <c r="S1712" s="13">
        <f t="shared" si="41"/>
        <v>-0.87999999999999989</v>
      </c>
    </row>
    <row r="1713" spans="1:19">
      <c r="A1713" s="18" t="s">
        <v>1794</v>
      </c>
      <c r="B1713" s="1" t="s">
        <v>1870</v>
      </c>
      <c r="C1713" s="1" t="s">
        <v>2043</v>
      </c>
      <c r="D1713" s="1" t="s">
        <v>2044</v>
      </c>
      <c r="E1713" s="1" t="s">
        <v>25</v>
      </c>
      <c r="F1713">
        <v>251.90199999999999</v>
      </c>
      <c r="G1713">
        <v>298.89999999999998</v>
      </c>
      <c r="H1713" t="s">
        <v>25</v>
      </c>
      <c r="I1713" s="1" t="s">
        <v>1528</v>
      </c>
      <c r="J1713" s="1" t="s">
        <v>25</v>
      </c>
      <c r="K1713" s="11" t="s">
        <v>25</v>
      </c>
      <c r="L1713" t="s">
        <v>25</v>
      </c>
      <c r="M1713" s="3" t="str">
        <f t="shared" si="40"/>
        <v>Na</v>
      </c>
      <c r="N1713" s="3" t="str">
        <f t="shared" si="42"/>
        <v>Na</v>
      </c>
      <c r="O1713" s="1" t="s">
        <v>25</v>
      </c>
      <c r="P1713" s="3" t="s">
        <v>25</v>
      </c>
      <c r="Q1713" s="37" t="s">
        <v>25</v>
      </c>
      <c r="R1713" s="3" t="s">
        <v>25</v>
      </c>
      <c r="S1713" s="13" t="s">
        <v>25</v>
      </c>
    </row>
    <row r="1714" spans="1:19">
      <c r="A1714" s="18" t="s">
        <v>1794</v>
      </c>
      <c r="B1714" s="1" t="s">
        <v>1871</v>
      </c>
      <c r="C1714" s="1" t="s">
        <v>2043</v>
      </c>
      <c r="D1714" s="1" t="s">
        <v>2044</v>
      </c>
      <c r="E1714" s="1" t="s">
        <v>25</v>
      </c>
      <c r="F1714">
        <v>251.90199999999999</v>
      </c>
      <c r="G1714">
        <v>298.89999999999998</v>
      </c>
      <c r="H1714" t="s">
        <v>25</v>
      </c>
      <c r="I1714" s="1" t="s">
        <v>1528</v>
      </c>
      <c r="J1714" s="1" t="s">
        <v>25</v>
      </c>
      <c r="K1714" s="11" t="s">
        <v>25</v>
      </c>
      <c r="L1714">
        <v>1.22</v>
      </c>
      <c r="M1714" s="3" t="str">
        <f t="shared" si="40"/>
        <v>44/40</v>
      </c>
      <c r="N1714" s="3" t="str">
        <f t="shared" si="42"/>
        <v>SRM915a</v>
      </c>
      <c r="O1714" s="1" t="s">
        <v>25</v>
      </c>
      <c r="P1714" s="3" t="s">
        <v>25</v>
      </c>
      <c r="Q1714" s="37" t="s">
        <v>25</v>
      </c>
      <c r="R1714" s="3" t="s">
        <v>25</v>
      </c>
      <c r="S1714" s="13">
        <f t="shared" si="41"/>
        <v>-0.65999999999999992</v>
      </c>
    </row>
    <row r="1715" spans="1:19">
      <c r="A1715" s="18" t="s">
        <v>1794</v>
      </c>
      <c r="B1715" s="1" t="s">
        <v>1872</v>
      </c>
      <c r="C1715" s="1" t="s">
        <v>2043</v>
      </c>
      <c r="D1715" s="1" t="s">
        <v>2044</v>
      </c>
      <c r="E1715" s="1" t="s">
        <v>25</v>
      </c>
      <c r="F1715">
        <v>251.90199999999999</v>
      </c>
      <c r="G1715">
        <v>298.89999999999998</v>
      </c>
      <c r="H1715" t="s">
        <v>25</v>
      </c>
      <c r="I1715" s="1" t="s">
        <v>1528</v>
      </c>
      <c r="J1715" s="1" t="s">
        <v>25</v>
      </c>
      <c r="K1715" s="11" t="s">
        <v>25</v>
      </c>
      <c r="L1715">
        <v>0.84</v>
      </c>
      <c r="M1715" s="3" t="str">
        <f t="shared" si="40"/>
        <v>44/40</v>
      </c>
      <c r="N1715" s="3" t="str">
        <f t="shared" si="42"/>
        <v>SRM915a</v>
      </c>
      <c r="O1715" s="1" t="s">
        <v>25</v>
      </c>
      <c r="P1715" s="3" t="s">
        <v>25</v>
      </c>
      <c r="Q1715" s="37" t="s">
        <v>25</v>
      </c>
      <c r="R1715" s="3" t="s">
        <v>25</v>
      </c>
      <c r="S1715" s="13">
        <f t="shared" si="41"/>
        <v>-1.04</v>
      </c>
    </row>
    <row r="1716" spans="1:19">
      <c r="A1716" s="18" t="s">
        <v>1794</v>
      </c>
      <c r="B1716" s="1" t="s">
        <v>1873</v>
      </c>
      <c r="C1716" s="1" t="s">
        <v>2043</v>
      </c>
      <c r="D1716" s="1" t="s">
        <v>2044</v>
      </c>
      <c r="E1716" s="1" t="s">
        <v>25</v>
      </c>
      <c r="F1716">
        <v>251.90199999999999</v>
      </c>
      <c r="G1716">
        <v>298.89999999999998</v>
      </c>
      <c r="H1716" t="s">
        <v>25</v>
      </c>
      <c r="I1716" s="1" t="s">
        <v>1528</v>
      </c>
      <c r="J1716" s="1" t="s">
        <v>25</v>
      </c>
      <c r="K1716" s="11" t="s">
        <v>25</v>
      </c>
      <c r="L1716">
        <v>1.05</v>
      </c>
      <c r="M1716" s="3" t="str">
        <f t="shared" si="40"/>
        <v>44/40</v>
      </c>
      <c r="N1716" s="3" t="str">
        <f t="shared" si="42"/>
        <v>SRM915a</v>
      </c>
      <c r="O1716" s="1" t="s">
        <v>25</v>
      </c>
      <c r="P1716" s="3" t="s">
        <v>25</v>
      </c>
      <c r="Q1716" s="37" t="s">
        <v>25</v>
      </c>
      <c r="R1716" s="3" t="s">
        <v>25</v>
      </c>
      <c r="S1716" s="13">
        <f t="shared" si="41"/>
        <v>-0.82999999999999985</v>
      </c>
    </row>
    <row r="1717" spans="1:19">
      <c r="A1717" s="18" t="s">
        <v>1794</v>
      </c>
      <c r="B1717" s="1" t="s">
        <v>1874</v>
      </c>
      <c r="C1717" s="1" t="s">
        <v>2043</v>
      </c>
      <c r="D1717" s="1" t="s">
        <v>2044</v>
      </c>
      <c r="E1717" s="1" t="s">
        <v>25</v>
      </c>
      <c r="F1717">
        <v>251.90199999999999</v>
      </c>
      <c r="G1717">
        <v>298.89999999999998</v>
      </c>
      <c r="H1717" t="s">
        <v>25</v>
      </c>
      <c r="I1717" s="1" t="s">
        <v>1528</v>
      </c>
      <c r="J1717" s="1" t="s">
        <v>25</v>
      </c>
      <c r="K1717" s="11" t="s">
        <v>25</v>
      </c>
      <c r="L1717">
        <v>1.1100000000000001</v>
      </c>
      <c r="M1717" s="3" t="str">
        <f t="shared" si="40"/>
        <v>44/40</v>
      </c>
      <c r="N1717" s="3" t="str">
        <f t="shared" si="42"/>
        <v>SRM915a</v>
      </c>
      <c r="O1717" s="1" t="s">
        <v>25</v>
      </c>
      <c r="P1717" s="3" t="s">
        <v>25</v>
      </c>
      <c r="Q1717" s="37" t="s">
        <v>25</v>
      </c>
      <c r="R1717" s="3" t="s">
        <v>25</v>
      </c>
      <c r="S1717" s="13">
        <f t="shared" si="41"/>
        <v>-0.7699999999999998</v>
      </c>
    </row>
    <row r="1718" spans="1:19">
      <c r="A1718" s="18" t="s">
        <v>1794</v>
      </c>
      <c r="B1718" s="1" t="s">
        <v>1875</v>
      </c>
      <c r="C1718" s="1" t="s">
        <v>2043</v>
      </c>
      <c r="D1718" s="1" t="s">
        <v>2044</v>
      </c>
      <c r="E1718" s="1" t="s">
        <v>25</v>
      </c>
      <c r="F1718">
        <v>251.90199999999999</v>
      </c>
      <c r="G1718">
        <v>298.89999999999998</v>
      </c>
      <c r="H1718" t="s">
        <v>25</v>
      </c>
      <c r="I1718" s="1" t="s">
        <v>1528</v>
      </c>
      <c r="J1718" s="1" t="s">
        <v>25</v>
      </c>
      <c r="K1718" s="11" t="s">
        <v>25</v>
      </c>
      <c r="L1718">
        <v>1.18</v>
      </c>
      <c r="M1718" s="3" t="str">
        <f t="shared" si="40"/>
        <v>44/40</v>
      </c>
      <c r="N1718" s="3" t="str">
        <f t="shared" si="42"/>
        <v>SRM915a</v>
      </c>
      <c r="O1718" s="1" t="s">
        <v>25</v>
      </c>
      <c r="P1718" s="3" t="s">
        <v>25</v>
      </c>
      <c r="Q1718" s="37" t="s">
        <v>25</v>
      </c>
      <c r="R1718" s="3" t="s">
        <v>25</v>
      </c>
      <c r="S1718" s="13">
        <f t="shared" si="41"/>
        <v>-0.7</v>
      </c>
    </row>
    <row r="1719" spans="1:19">
      <c r="A1719" s="18" t="s">
        <v>1794</v>
      </c>
      <c r="B1719" s="1" t="s">
        <v>1876</v>
      </c>
      <c r="C1719" s="1" t="s">
        <v>2043</v>
      </c>
      <c r="D1719" s="1" t="s">
        <v>2044</v>
      </c>
      <c r="E1719" s="1" t="s">
        <v>25</v>
      </c>
      <c r="F1719">
        <v>251.90199999999999</v>
      </c>
      <c r="G1719">
        <v>298.89999999999998</v>
      </c>
      <c r="H1719" t="s">
        <v>25</v>
      </c>
      <c r="I1719" s="1" t="s">
        <v>1528</v>
      </c>
      <c r="J1719" s="1" t="s">
        <v>25</v>
      </c>
      <c r="K1719" s="11" t="s">
        <v>25</v>
      </c>
      <c r="L1719">
        <v>0.79</v>
      </c>
      <c r="M1719" s="3" t="str">
        <f t="shared" si="40"/>
        <v>44/40</v>
      </c>
      <c r="N1719" s="3" t="str">
        <f t="shared" si="42"/>
        <v>SRM915a</v>
      </c>
      <c r="O1719" s="1" t="s">
        <v>25</v>
      </c>
      <c r="P1719" s="3" t="s">
        <v>25</v>
      </c>
      <c r="Q1719" s="37" t="s">
        <v>25</v>
      </c>
      <c r="R1719" s="3" t="s">
        <v>25</v>
      </c>
      <c r="S1719" s="13">
        <f t="shared" si="41"/>
        <v>-1.0899999999999999</v>
      </c>
    </row>
    <row r="1720" spans="1:19">
      <c r="A1720" s="18" t="s">
        <v>1794</v>
      </c>
      <c r="B1720" s="1" t="s">
        <v>1877</v>
      </c>
      <c r="C1720" s="1" t="s">
        <v>2043</v>
      </c>
      <c r="D1720" s="1" t="s">
        <v>2044</v>
      </c>
      <c r="E1720" s="1" t="s">
        <v>25</v>
      </c>
      <c r="F1720">
        <v>251.90199999999999</v>
      </c>
      <c r="G1720">
        <v>298.89999999999998</v>
      </c>
      <c r="H1720" t="s">
        <v>25</v>
      </c>
      <c r="I1720" s="1" t="s">
        <v>1528</v>
      </c>
      <c r="J1720" s="1" t="s">
        <v>25</v>
      </c>
      <c r="K1720" s="11" t="s">
        <v>25</v>
      </c>
      <c r="L1720">
        <v>0.83</v>
      </c>
      <c r="M1720" s="3" t="str">
        <f t="shared" si="40"/>
        <v>44/40</v>
      </c>
      <c r="N1720" s="3" t="str">
        <f t="shared" si="42"/>
        <v>SRM915a</v>
      </c>
      <c r="O1720" s="1" t="s">
        <v>25</v>
      </c>
      <c r="P1720" s="3" t="s">
        <v>25</v>
      </c>
      <c r="Q1720" s="37" t="s">
        <v>25</v>
      </c>
      <c r="R1720" s="3" t="s">
        <v>25</v>
      </c>
      <c r="S1720" s="13">
        <f t="shared" si="41"/>
        <v>-1.0499999999999998</v>
      </c>
    </row>
    <row r="1721" spans="1:19">
      <c r="A1721" s="18" t="s">
        <v>1794</v>
      </c>
      <c r="B1721" s="1" t="s">
        <v>1878</v>
      </c>
      <c r="C1721" s="1" t="s">
        <v>2043</v>
      </c>
      <c r="D1721" s="1" t="s">
        <v>2044</v>
      </c>
      <c r="E1721" s="1" t="s">
        <v>25</v>
      </c>
      <c r="F1721">
        <v>251.90199999999999</v>
      </c>
      <c r="G1721">
        <v>298.89999999999998</v>
      </c>
      <c r="H1721" t="s">
        <v>25</v>
      </c>
      <c r="I1721" s="1" t="s">
        <v>1528</v>
      </c>
      <c r="J1721" s="1" t="s">
        <v>25</v>
      </c>
      <c r="K1721" s="11" t="s">
        <v>25</v>
      </c>
      <c r="L1721">
        <v>1.0900000000000001</v>
      </c>
      <c r="M1721" s="3" t="str">
        <f t="shared" si="40"/>
        <v>44/40</v>
      </c>
      <c r="N1721" s="3" t="str">
        <f t="shared" si="42"/>
        <v>SRM915a</v>
      </c>
      <c r="O1721" s="1" t="s">
        <v>25</v>
      </c>
      <c r="P1721" s="3" t="s">
        <v>25</v>
      </c>
      <c r="Q1721" s="37" t="s">
        <v>25</v>
      </c>
      <c r="R1721" s="3" t="s">
        <v>25</v>
      </c>
      <c r="S1721" s="13">
        <f t="shared" si="41"/>
        <v>-0.78999999999999981</v>
      </c>
    </row>
    <row r="1722" spans="1:19">
      <c r="A1722" s="18" t="s">
        <v>1794</v>
      </c>
      <c r="B1722" s="1" t="s">
        <v>1879</v>
      </c>
      <c r="C1722" s="1" t="s">
        <v>2043</v>
      </c>
      <c r="D1722" s="1" t="s">
        <v>2044</v>
      </c>
      <c r="E1722" s="1" t="s">
        <v>25</v>
      </c>
      <c r="F1722">
        <v>251.90199999999999</v>
      </c>
      <c r="G1722">
        <v>298.89999999999998</v>
      </c>
      <c r="H1722" t="s">
        <v>25</v>
      </c>
      <c r="I1722" s="1" t="s">
        <v>1528</v>
      </c>
      <c r="J1722" s="1" t="s">
        <v>25</v>
      </c>
      <c r="K1722" s="11" t="s">
        <v>25</v>
      </c>
      <c r="L1722">
        <v>1.08</v>
      </c>
      <c r="M1722" s="3" t="str">
        <f t="shared" si="40"/>
        <v>44/40</v>
      </c>
      <c r="N1722" s="3" t="str">
        <f t="shared" si="42"/>
        <v>SRM915a</v>
      </c>
      <c r="O1722" s="1" t="s">
        <v>25</v>
      </c>
      <c r="P1722" s="3" t="s">
        <v>25</v>
      </c>
      <c r="Q1722" s="37" t="s">
        <v>25</v>
      </c>
      <c r="R1722" s="3" t="s">
        <v>25</v>
      </c>
      <c r="S1722" s="13">
        <f t="shared" si="41"/>
        <v>-0.79999999999999982</v>
      </c>
    </row>
    <row r="1723" spans="1:19">
      <c r="A1723" s="18" t="s">
        <v>1794</v>
      </c>
      <c r="B1723" s="1" t="s">
        <v>1880</v>
      </c>
      <c r="C1723" s="1" t="s">
        <v>2043</v>
      </c>
      <c r="D1723" s="1" t="s">
        <v>2044</v>
      </c>
      <c r="E1723" s="1" t="s">
        <v>25</v>
      </c>
      <c r="F1723">
        <v>251.90199999999999</v>
      </c>
      <c r="G1723">
        <v>298.89999999999998</v>
      </c>
      <c r="H1723" t="s">
        <v>25</v>
      </c>
      <c r="I1723" s="1" t="s">
        <v>1528</v>
      </c>
      <c r="J1723" s="1" t="s">
        <v>25</v>
      </c>
      <c r="K1723" s="11" t="s">
        <v>25</v>
      </c>
      <c r="L1723">
        <v>1.1399999999999999</v>
      </c>
      <c r="M1723" s="3" t="str">
        <f t="shared" si="40"/>
        <v>44/40</v>
      </c>
      <c r="N1723" s="3" t="str">
        <f t="shared" si="42"/>
        <v>SRM915a</v>
      </c>
      <c r="O1723" s="1" t="s">
        <v>25</v>
      </c>
      <c r="P1723" s="3" t="s">
        <v>25</v>
      </c>
      <c r="Q1723" s="37" t="s">
        <v>25</v>
      </c>
      <c r="R1723" s="3" t="s">
        <v>25</v>
      </c>
      <c r="S1723" s="13">
        <f t="shared" si="41"/>
        <v>-0.74</v>
      </c>
    </row>
    <row r="1724" spans="1:19">
      <c r="A1724" s="18" t="s">
        <v>1794</v>
      </c>
      <c r="B1724" s="1" t="s">
        <v>1881</v>
      </c>
      <c r="C1724" s="1" t="s">
        <v>2043</v>
      </c>
      <c r="D1724" s="1" t="s">
        <v>2044</v>
      </c>
      <c r="E1724" s="1" t="s">
        <v>25</v>
      </c>
      <c r="F1724">
        <v>251.90199999999999</v>
      </c>
      <c r="G1724">
        <v>298.89999999999998</v>
      </c>
      <c r="H1724" t="s">
        <v>25</v>
      </c>
      <c r="I1724" s="1" t="s">
        <v>1528</v>
      </c>
      <c r="J1724" s="1" t="s">
        <v>25</v>
      </c>
      <c r="K1724" s="11" t="s">
        <v>25</v>
      </c>
      <c r="L1724">
        <v>0.92</v>
      </c>
      <c r="M1724" s="3" t="str">
        <f t="shared" si="40"/>
        <v>44/40</v>
      </c>
      <c r="N1724" s="3" t="str">
        <f t="shared" si="42"/>
        <v>SRM915a</v>
      </c>
      <c r="O1724" s="1" t="s">
        <v>25</v>
      </c>
      <c r="P1724" s="3" t="s">
        <v>25</v>
      </c>
      <c r="Q1724" s="37" t="s">
        <v>25</v>
      </c>
      <c r="R1724" s="3" t="s">
        <v>25</v>
      </c>
      <c r="S1724" s="13">
        <f t="shared" si="41"/>
        <v>-0.95999999999999985</v>
      </c>
    </row>
    <row r="1725" spans="1:19">
      <c r="A1725" s="18" t="s">
        <v>1794</v>
      </c>
      <c r="B1725" s="1" t="s">
        <v>1882</v>
      </c>
      <c r="C1725" s="1" t="s">
        <v>2043</v>
      </c>
      <c r="D1725" s="1" t="s">
        <v>2044</v>
      </c>
      <c r="E1725" s="1" t="s">
        <v>25</v>
      </c>
      <c r="F1725">
        <v>251.90199999999999</v>
      </c>
      <c r="G1725">
        <v>298.89999999999998</v>
      </c>
      <c r="H1725" t="s">
        <v>25</v>
      </c>
      <c r="I1725" s="1" t="s">
        <v>1528</v>
      </c>
      <c r="J1725" s="1" t="s">
        <v>25</v>
      </c>
      <c r="K1725" s="11" t="s">
        <v>25</v>
      </c>
      <c r="L1725">
        <v>0.74</v>
      </c>
      <c r="M1725" s="3" t="str">
        <f t="shared" si="40"/>
        <v>44/40</v>
      </c>
      <c r="N1725" s="3" t="str">
        <f t="shared" si="42"/>
        <v>SRM915a</v>
      </c>
      <c r="O1725" s="1" t="s">
        <v>25</v>
      </c>
      <c r="P1725" s="3" t="s">
        <v>25</v>
      </c>
      <c r="Q1725" s="37" t="s">
        <v>25</v>
      </c>
      <c r="R1725" s="3" t="s">
        <v>25</v>
      </c>
      <c r="S1725" s="13">
        <f t="shared" si="41"/>
        <v>-1.1399999999999999</v>
      </c>
    </row>
    <row r="1726" spans="1:19">
      <c r="A1726" s="18" t="s">
        <v>1794</v>
      </c>
      <c r="B1726" s="1" t="s">
        <v>1883</v>
      </c>
      <c r="C1726" s="1" t="s">
        <v>2043</v>
      </c>
      <c r="D1726" s="1" t="s">
        <v>2044</v>
      </c>
      <c r="E1726" s="1" t="s">
        <v>25</v>
      </c>
      <c r="F1726">
        <v>251.90199999999999</v>
      </c>
      <c r="G1726">
        <v>298.89999999999998</v>
      </c>
      <c r="H1726" t="s">
        <v>25</v>
      </c>
      <c r="I1726" s="1" t="s">
        <v>1528</v>
      </c>
      <c r="J1726" s="1" t="s">
        <v>25</v>
      </c>
      <c r="K1726" s="11" t="s">
        <v>25</v>
      </c>
      <c r="L1726">
        <v>1.26</v>
      </c>
      <c r="M1726" s="3" t="str">
        <f t="shared" si="40"/>
        <v>44/40</v>
      </c>
      <c r="N1726" s="3" t="str">
        <f t="shared" si="42"/>
        <v>SRM915a</v>
      </c>
      <c r="O1726" s="1" t="s">
        <v>25</v>
      </c>
      <c r="P1726" s="3" t="s">
        <v>25</v>
      </c>
      <c r="Q1726" s="37" t="s">
        <v>25</v>
      </c>
      <c r="R1726" s="3" t="s">
        <v>25</v>
      </c>
      <c r="S1726" s="13">
        <f t="shared" si="41"/>
        <v>-0.61999999999999988</v>
      </c>
    </row>
    <row r="1727" spans="1:19">
      <c r="A1727" s="18" t="s">
        <v>1794</v>
      </c>
      <c r="B1727" s="1" t="s">
        <v>1884</v>
      </c>
      <c r="C1727" s="1" t="s">
        <v>2043</v>
      </c>
      <c r="D1727" s="1" t="s">
        <v>2044</v>
      </c>
      <c r="E1727" s="1" t="s">
        <v>25</v>
      </c>
      <c r="F1727">
        <v>251.90199999999999</v>
      </c>
      <c r="G1727">
        <v>298.89999999999998</v>
      </c>
      <c r="H1727" t="s">
        <v>25</v>
      </c>
      <c r="I1727" s="1" t="s">
        <v>1528</v>
      </c>
      <c r="J1727" s="1" t="s">
        <v>25</v>
      </c>
      <c r="K1727" s="11" t="s">
        <v>25</v>
      </c>
      <c r="L1727">
        <v>0.75</v>
      </c>
      <c r="M1727" s="3" t="str">
        <f t="shared" si="40"/>
        <v>44/40</v>
      </c>
      <c r="N1727" s="3" t="str">
        <f t="shared" si="42"/>
        <v>SRM915a</v>
      </c>
      <c r="O1727" s="1" t="s">
        <v>25</v>
      </c>
      <c r="P1727" s="3" t="s">
        <v>25</v>
      </c>
      <c r="Q1727" s="37" t="s">
        <v>25</v>
      </c>
      <c r="R1727" s="3" t="s">
        <v>25</v>
      </c>
      <c r="S1727" s="13">
        <f t="shared" si="41"/>
        <v>-1.1299999999999999</v>
      </c>
    </row>
    <row r="1728" spans="1:19">
      <c r="A1728" s="18" t="s">
        <v>1794</v>
      </c>
      <c r="B1728" s="1" t="s">
        <v>1885</v>
      </c>
      <c r="C1728" s="1" t="s">
        <v>2043</v>
      </c>
      <c r="D1728" s="1" t="s">
        <v>2044</v>
      </c>
      <c r="E1728" s="1" t="s">
        <v>25</v>
      </c>
      <c r="F1728">
        <v>251.90199999999999</v>
      </c>
      <c r="G1728">
        <v>298.89999999999998</v>
      </c>
      <c r="H1728" t="s">
        <v>25</v>
      </c>
      <c r="I1728" s="1" t="s">
        <v>1528</v>
      </c>
      <c r="J1728" s="1" t="s">
        <v>25</v>
      </c>
      <c r="K1728" s="11" t="s">
        <v>25</v>
      </c>
      <c r="L1728">
        <v>1.17</v>
      </c>
      <c r="M1728" s="3" t="str">
        <f t="shared" si="40"/>
        <v>44/40</v>
      </c>
      <c r="N1728" s="3" t="str">
        <f t="shared" si="42"/>
        <v>SRM915a</v>
      </c>
      <c r="O1728" s="1" t="s">
        <v>25</v>
      </c>
      <c r="P1728" s="3" t="s">
        <v>25</v>
      </c>
      <c r="Q1728" s="37" t="s">
        <v>25</v>
      </c>
      <c r="R1728" s="3" t="s">
        <v>25</v>
      </c>
      <c r="S1728" s="13">
        <f t="shared" si="41"/>
        <v>-0.71</v>
      </c>
    </row>
    <row r="1729" spans="1:19">
      <c r="A1729" s="18" t="s">
        <v>1794</v>
      </c>
      <c r="B1729" s="1" t="s">
        <v>1886</v>
      </c>
      <c r="C1729" s="1" t="s">
        <v>2043</v>
      </c>
      <c r="D1729" s="1" t="s">
        <v>2044</v>
      </c>
      <c r="E1729" s="1" t="s">
        <v>25</v>
      </c>
      <c r="F1729">
        <v>251.90199999999999</v>
      </c>
      <c r="G1729">
        <v>298.89999999999998</v>
      </c>
      <c r="H1729" t="s">
        <v>25</v>
      </c>
      <c r="I1729" s="1" t="s">
        <v>1528</v>
      </c>
      <c r="J1729" s="1" t="s">
        <v>25</v>
      </c>
      <c r="K1729" s="11" t="s">
        <v>25</v>
      </c>
      <c r="L1729">
        <v>1.1000000000000001</v>
      </c>
      <c r="M1729" s="3" t="str">
        <f t="shared" si="40"/>
        <v>44/40</v>
      </c>
      <c r="N1729" s="3" t="str">
        <f t="shared" si="42"/>
        <v>SRM915a</v>
      </c>
      <c r="O1729" s="1" t="s">
        <v>25</v>
      </c>
      <c r="P1729" s="3" t="s">
        <v>25</v>
      </c>
      <c r="Q1729" s="37" t="s">
        <v>25</v>
      </c>
      <c r="R1729" s="3" t="s">
        <v>25</v>
      </c>
      <c r="S1729" s="13">
        <f t="shared" si="41"/>
        <v>-0.7799999999999998</v>
      </c>
    </row>
    <row r="1730" spans="1:19">
      <c r="A1730" s="18" t="s">
        <v>1794</v>
      </c>
      <c r="B1730" s="1" t="s">
        <v>1887</v>
      </c>
      <c r="C1730" s="1" t="s">
        <v>2043</v>
      </c>
      <c r="D1730" s="1" t="s">
        <v>2044</v>
      </c>
      <c r="E1730" s="1" t="s">
        <v>25</v>
      </c>
      <c r="F1730">
        <v>251.90199999999999</v>
      </c>
      <c r="G1730">
        <v>298.89999999999998</v>
      </c>
      <c r="H1730" t="s">
        <v>25</v>
      </c>
      <c r="I1730" s="1" t="s">
        <v>1528</v>
      </c>
      <c r="J1730" s="1" t="s">
        <v>25</v>
      </c>
      <c r="K1730" s="11" t="s">
        <v>25</v>
      </c>
      <c r="L1730">
        <v>1.08</v>
      </c>
      <c r="M1730" s="3" t="str">
        <f t="shared" si="40"/>
        <v>44/40</v>
      </c>
      <c r="N1730" s="3" t="str">
        <f t="shared" si="42"/>
        <v>SRM915a</v>
      </c>
      <c r="O1730" s="1" t="s">
        <v>25</v>
      </c>
      <c r="P1730" s="3" t="s">
        <v>25</v>
      </c>
      <c r="Q1730" s="37" t="s">
        <v>25</v>
      </c>
      <c r="R1730" s="3" t="s">
        <v>25</v>
      </c>
      <c r="S1730" s="13">
        <f t="shared" si="41"/>
        <v>-0.79999999999999982</v>
      </c>
    </row>
    <row r="1731" spans="1:19">
      <c r="A1731" s="18" t="s">
        <v>1794</v>
      </c>
      <c r="B1731" s="1" t="s">
        <v>1888</v>
      </c>
      <c r="C1731" s="1" t="s">
        <v>2043</v>
      </c>
      <c r="D1731" s="1" t="s">
        <v>2044</v>
      </c>
      <c r="E1731" s="1" t="s">
        <v>25</v>
      </c>
      <c r="F1731">
        <v>251.90199999999999</v>
      </c>
      <c r="G1731">
        <v>298.89999999999998</v>
      </c>
      <c r="H1731" t="s">
        <v>25</v>
      </c>
      <c r="I1731" s="1" t="s">
        <v>1528</v>
      </c>
      <c r="J1731" s="1" t="s">
        <v>25</v>
      </c>
      <c r="K1731" s="11" t="s">
        <v>25</v>
      </c>
      <c r="L1731">
        <v>0.68</v>
      </c>
      <c r="M1731" s="3" t="str">
        <f t="shared" si="40"/>
        <v>44/40</v>
      </c>
      <c r="N1731" s="3" t="str">
        <f t="shared" si="42"/>
        <v>SRM915a</v>
      </c>
      <c r="O1731" s="1" t="s">
        <v>25</v>
      </c>
      <c r="P1731" s="3" t="s">
        <v>25</v>
      </c>
      <c r="Q1731" s="37" t="s">
        <v>25</v>
      </c>
      <c r="R1731" s="3" t="s">
        <v>25</v>
      </c>
      <c r="S1731" s="13">
        <f t="shared" si="41"/>
        <v>-1.1999999999999997</v>
      </c>
    </row>
    <row r="1732" spans="1:19">
      <c r="A1732" s="18" t="s">
        <v>1794</v>
      </c>
      <c r="B1732" s="1" t="s">
        <v>1889</v>
      </c>
      <c r="C1732" s="1" t="s">
        <v>2043</v>
      </c>
      <c r="D1732" s="1" t="s">
        <v>2044</v>
      </c>
      <c r="E1732" s="1" t="s">
        <v>25</v>
      </c>
      <c r="F1732">
        <v>251.90199999999999</v>
      </c>
      <c r="G1732">
        <v>298.89999999999998</v>
      </c>
      <c r="H1732" t="s">
        <v>25</v>
      </c>
      <c r="I1732" s="1" t="s">
        <v>1528</v>
      </c>
      <c r="J1732" s="1" t="s">
        <v>25</v>
      </c>
      <c r="K1732" s="11" t="s">
        <v>25</v>
      </c>
      <c r="L1732">
        <v>1.17</v>
      </c>
      <c r="M1732" s="3" t="str">
        <f t="shared" si="40"/>
        <v>44/40</v>
      </c>
      <c r="N1732" s="3" t="str">
        <f t="shared" si="42"/>
        <v>SRM915a</v>
      </c>
      <c r="O1732" s="1" t="s">
        <v>25</v>
      </c>
      <c r="P1732" s="3" t="s">
        <v>25</v>
      </c>
      <c r="Q1732" s="37" t="s">
        <v>25</v>
      </c>
      <c r="R1732" s="3" t="s">
        <v>25</v>
      </c>
      <c r="S1732" s="13">
        <f t="shared" si="41"/>
        <v>-0.71</v>
      </c>
    </row>
    <row r="1733" spans="1:19">
      <c r="A1733" s="18" t="s">
        <v>1794</v>
      </c>
      <c r="B1733" s="1" t="s">
        <v>1890</v>
      </c>
      <c r="C1733" s="1" t="s">
        <v>2043</v>
      </c>
      <c r="D1733" s="1" t="s">
        <v>2044</v>
      </c>
      <c r="E1733" s="1" t="s">
        <v>25</v>
      </c>
      <c r="F1733">
        <v>251.90199999999999</v>
      </c>
      <c r="G1733">
        <v>298.89999999999998</v>
      </c>
      <c r="H1733" t="s">
        <v>25</v>
      </c>
      <c r="I1733" s="1" t="s">
        <v>1528</v>
      </c>
      <c r="J1733" s="1" t="s">
        <v>25</v>
      </c>
      <c r="K1733" s="11" t="s">
        <v>25</v>
      </c>
      <c r="L1733">
        <v>0.56999999999999995</v>
      </c>
      <c r="M1733" s="3" t="str">
        <f t="shared" si="40"/>
        <v>44/40</v>
      </c>
      <c r="N1733" s="3" t="str">
        <f t="shared" si="42"/>
        <v>SRM915a</v>
      </c>
      <c r="O1733" s="1" t="s">
        <v>25</v>
      </c>
      <c r="P1733" s="3" t="s">
        <v>25</v>
      </c>
      <c r="Q1733" s="37" t="s">
        <v>25</v>
      </c>
      <c r="R1733" s="3" t="s">
        <v>25</v>
      </c>
      <c r="S1733" s="13">
        <f t="shared" si="41"/>
        <v>-1.31</v>
      </c>
    </row>
    <row r="1734" spans="1:19">
      <c r="A1734" s="18" t="s">
        <v>1794</v>
      </c>
      <c r="B1734" s="1" t="s">
        <v>1891</v>
      </c>
      <c r="C1734" s="1" t="s">
        <v>2043</v>
      </c>
      <c r="D1734" s="1" t="s">
        <v>2044</v>
      </c>
      <c r="E1734" s="1" t="s">
        <v>25</v>
      </c>
      <c r="F1734">
        <v>251.90199999999999</v>
      </c>
      <c r="G1734">
        <v>298.89999999999998</v>
      </c>
      <c r="H1734" t="s">
        <v>25</v>
      </c>
      <c r="I1734" s="1" t="s">
        <v>1528</v>
      </c>
      <c r="J1734" s="1" t="s">
        <v>25</v>
      </c>
      <c r="K1734" s="11" t="s">
        <v>25</v>
      </c>
      <c r="L1734">
        <v>0.59</v>
      </c>
      <c r="M1734" s="3" t="str">
        <f t="shared" si="40"/>
        <v>44/40</v>
      </c>
      <c r="N1734" s="3" t="str">
        <f t="shared" si="42"/>
        <v>SRM915a</v>
      </c>
      <c r="O1734" s="1" t="s">
        <v>25</v>
      </c>
      <c r="P1734" s="3" t="s">
        <v>25</v>
      </c>
      <c r="Q1734" s="37" t="s">
        <v>25</v>
      </c>
      <c r="R1734" s="3" t="s">
        <v>25</v>
      </c>
      <c r="S1734" s="13">
        <f t="shared" si="41"/>
        <v>-1.29</v>
      </c>
    </row>
    <row r="1735" spans="1:19">
      <c r="A1735" s="18" t="s">
        <v>1794</v>
      </c>
      <c r="B1735" s="1" t="s">
        <v>1892</v>
      </c>
      <c r="C1735" s="1" t="s">
        <v>2043</v>
      </c>
      <c r="D1735" s="1" t="s">
        <v>2044</v>
      </c>
      <c r="E1735" s="1" t="s">
        <v>25</v>
      </c>
      <c r="F1735">
        <v>251.90199999999999</v>
      </c>
      <c r="G1735">
        <v>298.89999999999998</v>
      </c>
      <c r="H1735" t="s">
        <v>25</v>
      </c>
      <c r="I1735" s="1" t="s">
        <v>1528</v>
      </c>
      <c r="J1735" s="1" t="s">
        <v>25</v>
      </c>
      <c r="K1735" s="11" t="s">
        <v>25</v>
      </c>
      <c r="L1735">
        <v>1.35</v>
      </c>
      <c r="M1735" s="3" t="str">
        <f t="shared" si="40"/>
        <v>44/40</v>
      </c>
      <c r="N1735" s="3" t="str">
        <f t="shared" si="42"/>
        <v>SRM915a</v>
      </c>
      <c r="O1735" s="1" t="s">
        <v>25</v>
      </c>
      <c r="P1735" s="3" t="s">
        <v>25</v>
      </c>
      <c r="Q1735" s="37" t="s">
        <v>25</v>
      </c>
      <c r="R1735" s="3" t="s">
        <v>25</v>
      </c>
      <c r="S1735" s="13">
        <f t="shared" si="41"/>
        <v>-0.5299999999999998</v>
      </c>
    </row>
    <row r="1736" spans="1:19">
      <c r="A1736" s="18" t="s">
        <v>1794</v>
      </c>
      <c r="B1736" s="1" t="s">
        <v>1893</v>
      </c>
      <c r="C1736" s="1" t="s">
        <v>2043</v>
      </c>
      <c r="D1736" s="1" t="s">
        <v>2044</v>
      </c>
      <c r="E1736" s="1" t="s">
        <v>25</v>
      </c>
      <c r="F1736">
        <v>251.90199999999999</v>
      </c>
      <c r="G1736">
        <v>298.89999999999998</v>
      </c>
      <c r="H1736" t="s">
        <v>25</v>
      </c>
      <c r="I1736" s="1" t="s">
        <v>1528</v>
      </c>
      <c r="J1736" s="1" t="s">
        <v>25</v>
      </c>
      <c r="K1736" s="11" t="s">
        <v>25</v>
      </c>
      <c r="L1736">
        <v>0.74</v>
      </c>
      <c r="M1736" s="3" t="str">
        <f t="shared" ref="M1736:M1799" si="43">IF(ISNUMBER(SEARCH("Na", L1736)), "Na", "44/40")</f>
        <v>44/40</v>
      </c>
      <c r="N1736" s="3" t="str">
        <f t="shared" si="42"/>
        <v>SRM915a</v>
      </c>
      <c r="O1736" s="1" t="s">
        <v>25</v>
      </c>
      <c r="P1736" s="3" t="s">
        <v>25</v>
      </c>
      <c r="Q1736" s="37" t="s">
        <v>25</v>
      </c>
      <c r="R1736" s="3" t="s">
        <v>25</v>
      </c>
      <c r="S1736" s="13">
        <f t="shared" si="41"/>
        <v>-1.1399999999999999</v>
      </c>
    </row>
    <row r="1737" spans="1:19">
      <c r="A1737" s="18" t="s">
        <v>1794</v>
      </c>
      <c r="B1737" s="1" t="s">
        <v>1894</v>
      </c>
      <c r="C1737" s="1" t="s">
        <v>2043</v>
      </c>
      <c r="D1737" s="1" t="s">
        <v>2044</v>
      </c>
      <c r="E1737" s="1" t="s">
        <v>25</v>
      </c>
      <c r="F1737">
        <v>251.90199999999999</v>
      </c>
      <c r="G1737">
        <v>298.89999999999998</v>
      </c>
      <c r="H1737" t="s">
        <v>25</v>
      </c>
      <c r="I1737" s="1" t="s">
        <v>1528</v>
      </c>
      <c r="J1737" s="1" t="s">
        <v>25</v>
      </c>
      <c r="K1737" s="11" t="s">
        <v>25</v>
      </c>
      <c r="L1737">
        <v>1.05</v>
      </c>
      <c r="M1737" s="3" t="str">
        <f t="shared" si="43"/>
        <v>44/40</v>
      </c>
      <c r="N1737" s="3" t="str">
        <f t="shared" si="42"/>
        <v>SRM915a</v>
      </c>
      <c r="O1737" s="1" t="s">
        <v>25</v>
      </c>
      <c r="P1737" s="3" t="s">
        <v>25</v>
      </c>
      <c r="Q1737" s="37" t="s">
        <v>25</v>
      </c>
      <c r="R1737" s="3" t="s">
        <v>25</v>
      </c>
      <c r="S1737" s="13">
        <f t="shared" si="41"/>
        <v>-0.82999999999999985</v>
      </c>
    </row>
    <row r="1738" spans="1:19">
      <c r="A1738" s="18" t="s">
        <v>1794</v>
      </c>
      <c r="B1738" s="1" t="s">
        <v>1895</v>
      </c>
      <c r="C1738" s="1" t="s">
        <v>2043</v>
      </c>
      <c r="D1738" s="1" t="s">
        <v>2044</v>
      </c>
      <c r="E1738" s="1" t="s">
        <v>25</v>
      </c>
      <c r="F1738">
        <v>251.90199999999999</v>
      </c>
      <c r="G1738">
        <v>298.89999999999998</v>
      </c>
      <c r="H1738" t="s">
        <v>25</v>
      </c>
      <c r="I1738" s="1" t="s">
        <v>1528</v>
      </c>
      <c r="J1738" s="1" t="s">
        <v>25</v>
      </c>
      <c r="K1738" s="11" t="s">
        <v>25</v>
      </c>
      <c r="L1738">
        <v>1.1000000000000001</v>
      </c>
      <c r="M1738" s="3" t="str">
        <f t="shared" si="43"/>
        <v>44/40</v>
      </c>
      <c r="N1738" s="3" t="str">
        <f t="shared" si="42"/>
        <v>SRM915a</v>
      </c>
      <c r="O1738" s="1" t="s">
        <v>25</v>
      </c>
      <c r="P1738" s="3" t="s">
        <v>25</v>
      </c>
      <c r="Q1738" s="37" t="s">
        <v>25</v>
      </c>
      <c r="R1738" s="3" t="s">
        <v>25</v>
      </c>
      <c r="S1738" s="13">
        <f t="shared" si="41"/>
        <v>-0.7799999999999998</v>
      </c>
    </row>
    <row r="1739" spans="1:19">
      <c r="A1739" s="18" t="s">
        <v>1794</v>
      </c>
      <c r="B1739" s="1" t="s">
        <v>1896</v>
      </c>
      <c r="C1739" s="1" t="s">
        <v>2043</v>
      </c>
      <c r="D1739" s="1" t="s">
        <v>2044</v>
      </c>
      <c r="E1739" s="1" t="s">
        <v>25</v>
      </c>
      <c r="F1739">
        <v>251.90199999999999</v>
      </c>
      <c r="G1739">
        <v>298.89999999999998</v>
      </c>
      <c r="H1739" t="s">
        <v>25</v>
      </c>
      <c r="I1739" s="1" t="s">
        <v>1528</v>
      </c>
      <c r="J1739" s="1" t="s">
        <v>25</v>
      </c>
      <c r="K1739" s="11" t="s">
        <v>25</v>
      </c>
      <c r="L1739">
        <v>1.01</v>
      </c>
      <c r="M1739" s="3" t="str">
        <f t="shared" si="43"/>
        <v>44/40</v>
      </c>
      <c r="N1739" s="3" t="str">
        <f t="shared" si="42"/>
        <v>SRM915a</v>
      </c>
      <c r="O1739" s="1" t="s">
        <v>25</v>
      </c>
      <c r="P1739" s="3" t="s">
        <v>25</v>
      </c>
      <c r="Q1739" s="37" t="s">
        <v>25</v>
      </c>
      <c r="R1739" s="3" t="s">
        <v>25</v>
      </c>
      <c r="S1739" s="13">
        <f t="shared" si="41"/>
        <v>-0.86999999999999988</v>
      </c>
    </row>
    <row r="1740" spans="1:19">
      <c r="A1740" s="18" t="s">
        <v>1794</v>
      </c>
      <c r="B1740" s="1" t="s">
        <v>1897</v>
      </c>
      <c r="C1740" s="1" t="s">
        <v>2043</v>
      </c>
      <c r="D1740" s="1" t="s">
        <v>2044</v>
      </c>
      <c r="E1740" s="1" t="s">
        <v>25</v>
      </c>
      <c r="F1740">
        <v>251.90199999999999</v>
      </c>
      <c r="G1740">
        <v>298.89999999999998</v>
      </c>
      <c r="H1740" t="s">
        <v>25</v>
      </c>
      <c r="I1740" s="1" t="s">
        <v>1528</v>
      </c>
      <c r="J1740" s="1" t="s">
        <v>25</v>
      </c>
      <c r="K1740" s="11" t="s">
        <v>25</v>
      </c>
      <c r="L1740">
        <v>1.22</v>
      </c>
      <c r="M1740" s="3" t="str">
        <f t="shared" si="43"/>
        <v>44/40</v>
      </c>
      <c r="N1740" s="3" t="str">
        <f t="shared" si="42"/>
        <v>SRM915a</v>
      </c>
      <c r="O1740" s="1" t="s">
        <v>25</v>
      </c>
      <c r="P1740" s="3" t="s">
        <v>25</v>
      </c>
      <c r="Q1740" s="37" t="s">
        <v>25</v>
      </c>
      <c r="R1740" s="3" t="s">
        <v>25</v>
      </c>
      <c r="S1740" s="13">
        <f t="shared" si="41"/>
        <v>-0.65999999999999992</v>
      </c>
    </row>
    <row r="1741" spans="1:19">
      <c r="A1741" s="18" t="s">
        <v>1794</v>
      </c>
      <c r="B1741" s="1" t="s">
        <v>1898</v>
      </c>
      <c r="C1741" s="1" t="s">
        <v>2043</v>
      </c>
      <c r="D1741" s="1" t="s">
        <v>2044</v>
      </c>
      <c r="E1741" s="1" t="s">
        <v>25</v>
      </c>
      <c r="F1741">
        <v>251.90199999999999</v>
      </c>
      <c r="G1741">
        <v>298.89999999999998</v>
      </c>
      <c r="H1741" t="s">
        <v>25</v>
      </c>
      <c r="I1741" s="1" t="s">
        <v>1528</v>
      </c>
      <c r="J1741" s="1" t="s">
        <v>25</v>
      </c>
      <c r="K1741" s="11" t="s">
        <v>25</v>
      </c>
      <c r="L1741">
        <v>0.98</v>
      </c>
      <c r="M1741" s="3" t="str">
        <f t="shared" si="43"/>
        <v>44/40</v>
      </c>
      <c r="N1741" s="3" t="str">
        <f t="shared" si="42"/>
        <v>SRM915a</v>
      </c>
      <c r="O1741" s="1" t="s">
        <v>25</v>
      </c>
      <c r="P1741" s="3" t="s">
        <v>25</v>
      </c>
      <c r="Q1741" s="37" t="s">
        <v>25</v>
      </c>
      <c r="R1741" s="3" t="s">
        <v>25</v>
      </c>
      <c r="S1741" s="13">
        <f t="shared" si="41"/>
        <v>-0.89999999999999991</v>
      </c>
    </row>
    <row r="1742" spans="1:19">
      <c r="A1742" s="18" t="s">
        <v>1794</v>
      </c>
      <c r="B1742" s="1" t="s">
        <v>1899</v>
      </c>
      <c r="C1742" s="1" t="s">
        <v>2043</v>
      </c>
      <c r="D1742" s="1" t="s">
        <v>2044</v>
      </c>
      <c r="E1742" s="1" t="s">
        <v>25</v>
      </c>
      <c r="F1742">
        <v>251.90199999999999</v>
      </c>
      <c r="G1742">
        <v>298.89999999999998</v>
      </c>
      <c r="H1742" t="s">
        <v>25</v>
      </c>
      <c r="I1742" s="1" t="s">
        <v>1528</v>
      </c>
      <c r="J1742" s="1" t="s">
        <v>25</v>
      </c>
      <c r="K1742" s="11" t="s">
        <v>25</v>
      </c>
      <c r="L1742">
        <v>1.18</v>
      </c>
      <c r="M1742" s="3" t="str">
        <f t="shared" si="43"/>
        <v>44/40</v>
      </c>
      <c r="N1742" s="3" t="str">
        <f t="shared" si="42"/>
        <v>SRM915a</v>
      </c>
      <c r="O1742" s="1" t="s">
        <v>25</v>
      </c>
      <c r="P1742" s="3" t="s">
        <v>25</v>
      </c>
      <c r="Q1742" s="37" t="s">
        <v>25</v>
      </c>
      <c r="R1742" s="3" t="s">
        <v>25</v>
      </c>
      <c r="S1742" s="13">
        <f t="shared" si="41"/>
        <v>-0.7</v>
      </c>
    </row>
    <row r="1743" spans="1:19">
      <c r="A1743" s="18" t="s">
        <v>1794</v>
      </c>
      <c r="B1743" s="1" t="s">
        <v>1900</v>
      </c>
      <c r="C1743" s="1" t="s">
        <v>2043</v>
      </c>
      <c r="D1743" s="1" t="s">
        <v>2044</v>
      </c>
      <c r="E1743" s="1" t="s">
        <v>25</v>
      </c>
      <c r="F1743">
        <v>251.90199999999999</v>
      </c>
      <c r="G1743">
        <v>298.89999999999998</v>
      </c>
      <c r="H1743" t="s">
        <v>25</v>
      </c>
      <c r="I1743" s="1" t="s">
        <v>1528</v>
      </c>
      <c r="J1743" s="1" t="s">
        <v>25</v>
      </c>
      <c r="K1743" s="11" t="s">
        <v>25</v>
      </c>
      <c r="L1743">
        <v>0.87</v>
      </c>
      <c r="M1743" s="3" t="str">
        <f t="shared" si="43"/>
        <v>44/40</v>
      </c>
      <c r="N1743" s="3" t="str">
        <f t="shared" si="42"/>
        <v>SRM915a</v>
      </c>
      <c r="O1743" s="1" t="s">
        <v>25</v>
      </c>
      <c r="P1743" s="3" t="s">
        <v>25</v>
      </c>
      <c r="Q1743" s="37" t="s">
        <v>25</v>
      </c>
      <c r="R1743" s="3" t="s">
        <v>25</v>
      </c>
      <c r="S1743" s="13">
        <f t="shared" si="41"/>
        <v>-1.0099999999999998</v>
      </c>
    </row>
    <row r="1744" spans="1:19">
      <c r="A1744" s="18" t="s">
        <v>1794</v>
      </c>
      <c r="B1744" s="1" t="s">
        <v>1901</v>
      </c>
      <c r="C1744" s="1" t="s">
        <v>2043</v>
      </c>
      <c r="D1744" s="1" t="s">
        <v>2044</v>
      </c>
      <c r="E1744" s="1" t="s">
        <v>25</v>
      </c>
      <c r="F1744">
        <v>251.90199999999999</v>
      </c>
      <c r="G1744">
        <v>298.89999999999998</v>
      </c>
      <c r="H1744" t="s">
        <v>25</v>
      </c>
      <c r="I1744" s="1" t="s">
        <v>1528</v>
      </c>
      <c r="J1744" s="1" t="s">
        <v>25</v>
      </c>
      <c r="K1744" s="11" t="s">
        <v>25</v>
      </c>
      <c r="L1744">
        <v>0.76</v>
      </c>
      <c r="M1744" s="3" t="str">
        <f t="shared" si="43"/>
        <v>44/40</v>
      </c>
      <c r="N1744" s="3" t="str">
        <f t="shared" si="42"/>
        <v>SRM915a</v>
      </c>
      <c r="O1744" s="1" t="s">
        <v>25</v>
      </c>
      <c r="P1744" s="3" t="s">
        <v>25</v>
      </c>
      <c r="Q1744" s="37" t="s">
        <v>25</v>
      </c>
      <c r="R1744" s="3" t="s">
        <v>25</v>
      </c>
      <c r="S1744" s="13">
        <f t="shared" si="41"/>
        <v>-1.1199999999999999</v>
      </c>
    </row>
    <row r="1745" spans="1:19">
      <c r="A1745" s="18" t="s">
        <v>1794</v>
      </c>
      <c r="B1745" s="1" t="s">
        <v>1902</v>
      </c>
      <c r="C1745" s="1" t="s">
        <v>2043</v>
      </c>
      <c r="D1745" s="1" t="s">
        <v>2044</v>
      </c>
      <c r="E1745" s="1" t="s">
        <v>25</v>
      </c>
      <c r="F1745">
        <v>251.90199999999999</v>
      </c>
      <c r="G1745">
        <v>298.89999999999998</v>
      </c>
      <c r="H1745" t="s">
        <v>25</v>
      </c>
      <c r="I1745" s="1" t="s">
        <v>1528</v>
      </c>
      <c r="J1745" s="1" t="s">
        <v>25</v>
      </c>
      <c r="K1745" s="11" t="s">
        <v>25</v>
      </c>
      <c r="L1745">
        <v>1.4</v>
      </c>
      <c r="M1745" s="3" t="str">
        <f t="shared" si="43"/>
        <v>44/40</v>
      </c>
      <c r="N1745" s="3" t="str">
        <f t="shared" si="42"/>
        <v>SRM915a</v>
      </c>
      <c r="O1745" s="1" t="s">
        <v>25</v>
      </c>
      <c r="P1745" s="3" t="s">
        <v>25</v>
      </c>
      <c r="Q1745" s="37" t="s">
        <v>25</v>
      </c>
      <c r="R1745" s="3" t="s">
        <v>25</v>
      </c>
      <c r="S1745" s="13">
        <f t="shared" si="41"/>
        <v>-0.48</v>
      </c>
    </row>
    <row r="1746" spans="1:19">
      <c r="A1746" s="18" t="s">
        <v>1794</v>
      </c>
      <c r="B1746" s="1" t="s">
        <v>1903</v>
      </c>
      <c r="C1746" s="1" t="s">
        <v>2043</v>
      </c>
      <c r="D1746" s="1" t="s">
        <v>2044</v>
      </c>
      <c r="E1746" s="1" t="s">
        <v>25</v>
      </c>
      <c r="F1746">
        <v>251.90199999999999</v>
      </c>
      <c r="G1746">
        <v>298.89999999999998</v>
      </c>
      <c r="H1746" t="s">
        <v>25</v>
      </c>
      <c r="I1746" s="1" t="s">
        <v>1528</v>
      </c>
      <c r="J1746" s="1" t="s">
        <v>25</v>
      </c>
      <c r="K1746" s="11" t="s">
        <v>25</v>
      </c>
      <c r="L1746">
        <v>1.31</v>
      </c>
      <c r="M1746" s="3" t="str">
        <f t="shared" si="43"/>
        <v>44/40</v>
      </c>
      <c r="N1746" s="3" t="str">
        <f t="shared" si="42"/>
        <v>SRM915a</v>
      </c>
      <c r="O1746" s="1" t="s">
        <v>25</v>
      </c>
      <c r="P1746" s="3" t="s">
        <v>25</v>
      </c>
      <c r="Q1746" s="37" t="s">
        <v>25</v>
      </c>
      <c r="R1746" s="3" t="s">
        <v>25</v>
      </c>
      <c r="S1746" s="13">
        <f t="shared" si="41"/>
        <v>-0.56999999999999984</v>
      </c>
    </row>
    <row r="1747" spans="1:19">
      <c r="A1747" s="18" t="s">
        <v>1794</v>
      </c>
      <c r="B1747" s="1" t="s">
        <v>1904</v>
      </c>
      <c r="C1747" s="1" t="s">
        <v>2043</v>
      </c>
      <c r="D1747" s="1" t="s">
        <v>2044</v>
      </c>
      <c r="E1747" s="1" t="s">
        <v>25</v>
      </c>
      <c r="F1747">
        <v>251.90199999999999</v>
      </c>
      <c r="G1747">
        <v>298.89999999999998</v>
      </c>
      <c r="H1747" t="s">
        <v>25</v>
      </c>
      <c r="I1747" s="1" t="s">
        <v>1528</v>
      </c>
      <c r="J1747" s="1" t="s">
        <v>25</v>
      </c>
      <c r="K1747" s="11" t="s">
        <v>25</v>
      </c>
      <c r="L1747">
        <v>1.1499999999999999</v>
      </c>
      <c r="M1747" s="3" t="str">
        <f t="shared" si="43"/>
        <v>44/40</v>
      </c>
      <c r="N1747" s="3" t="str">
        <f t="shared" si="42"/>
        <v>SRM915a</v>
      </c>
      <c r="O1747" s="1" t="s">
        <v>25</v>
      </c>
      <c r="P1747" s="3" t="s">
        <v>25</v>
      </c>
      <c r="Q1747" s="37" t="s">
        <v>25</v>
      </c>
      <c r="R1747" s="3" t="s">
        <v>25</v>
      </c>
      <c r="S1747" s="13">
        <f t="shared" si="41"/>
        <v>-0.73</v>
      </c>
    </row>
    <row r="1748" spans="1:19">
      <c r="A1748" s="18" t="s">
        <v>1794</v>
      </c>
      <c r="B1748" s="1" t="s">
        <v>1905</v>
      </c>
      <c r="C1748" s="1" t="s">
        <v>2043</v>
      </c>
      <c r="D1748" s="1" t="s">
        <v>2044</v>
      </c>
      <c r="E1748" s="1" t="s">
        <v>25</v>
      </c>
      <c r="F1748">
        <v>251.90199999999999</v>
      </c>
      <c r="G1748">
        <v>298.89999999999998</v>
      </c>
      <c r="H1748" t="s">
        <v>25</v>
      </c>
      <c r="I1748" s="1" t="s">
        <v>1528</v>
      </c>
      <c r="J1748" s="1" t="s">
        <v>25</v>
      </c>
      <c r="K1748" s="11" t="s">
        <v>25</v>
      </c>
      <c r="L1748">
        <v>0.89</v>
      </c>
      <c r="M1748" s="3" t="str">
        <f t="shared" si="43"/>
        <v>44/40</v>
      </c>
      <c r="N1748" s="3" t="str">
        <f t="shared" si="42"/>
        <v>SRM915a</v>
      </c>
      <c r="O1748" s="1" t="s">
        <v>25</v>
      </c>
      <c r="P1748" s="3" t="s">
        <v>25</v>
      </c>
      <c r="Q1748" s="37" t="s">
        <v>25</v>
      </c>
      <c r="R1748" s="3" t="s">
        <v>25</v>
      </c>
      <c r="S1748" s="13">
        <f t="shared" si="41"/>
        <v>-0.98999999999999988</v>
      </c>
    </row>
    <row r="1749" spans="1:19">
      <c r="A1749" s="18" t="s">
        <v>1794</v>
      </c>
      <c r="B1749" s="1" t="s">
        <v>1906</v>
      </c>
      <c r="C1749" s="1" t="s">
        <v>2043</v>
      </c>
      <c r="D1749" s="1" t="s">
        <v>2044</v>
      </c>
      <c r="E1749" s="1" t="s">
        <v>25</v>
      </c>
      <c r="F1749">
        <v>251.90199999999999</v>
      </c>
      <c r="G1749">
        <v>298.89999999999998</v>
      </c>
      <c r="H1749" t="s">
        <v>25</v>
      </c>
      <c r="I1749" s="1" t="s">
        <v>1528</v>
      </c>
      <c r="J1749" s="1" t="s">
        <v>25</v>
      </c>
      <c r="K1749" s="11" t="s">
        <v>25</v>
      </c>
      <c r="L1749">
        <v>0.85</v>
      </c>
      <c r="M1749" s="3" t="str">
        <f t="shared" si="43"/>
        <v>44/40</v>
      </c>
      <c r="N1749" s="3" t="str">
        <f t="shared" si="42"/>
        <v>SRM915a</v>
      </c>
      <c r="O1749" s="1" t="s">
        <v>25</v>
      </c>
      <c r="P1749" s="3" t="s">
        <v>25</v>
      </c>
      <c r="Q1749" s="37" t="s">
        <v>25</v>
      </c>
      <c r="R1749" s="3" t="s">
        <v>25</v>
      </c>
      <c r="S1749" s="13">
        <f t="shared" si="41"/>
        <v>-1.0299999999999998</v>
      </c>
    </row>
    <row r="1750" spans="1:19">
      <c r="A1750" s="18" t="s">
        <v>1794</v>
      </c>
      <c r="B1750" s="1" t="s">
        <v>1907</v>
      </c>
      <c r="C1750" s="1" t="s">
        <v>2043</v>
      </c>
      <c r="D1750" s="1" t="s">
        <v>2044</v>
      </c>
      <c r="E1750" s="1" t="s">
        <v>25</v>
      </c>
      <c r="F1750">
        <v>251.90199999999999</v>
      </c>
      <c r="G1750">
        <v>298.89999999999998</v>
      </c>
      <c r="H1750" t="s">
        <v>25</v>
      </c>
      <c r="I1750" s="1" t="s">
        <v>1528</v>
      </c>
      <c r="J1750" s="1" t="s">
        <v>25</v>
      </c>
      <c r="K1750" s="11" t="s">
        <v>25</v>
      </c>
      <c r="L1750">
        <v>1.07</v>
      </c>
      <c r="M1750" s="3" t="str">
        <f t="shared" si="43"/>
        <v>44/40</v>
      </c>
      <c r="N1750" s="3" t="str">
        <f t="shared" si="42"/>
        <v>SRM915a</v>
      </c>
      <c r="O1750" s="1" t="s">
        <v>25</v>
      </c>
      <c r="P1750" s="3" t="s">
        <v>25</v>
      </c>
      <c r="Q1750" s="37" t="s">
        <v>25</v>
      </c>
      <c r="R1750" s="3" t="s">
        <v>25</v>
      </c>
      <c r="S1750" s="13">
        <f t="shared" si="41"/>
        <v>-0.80999999999999983</v>
      </c>
    </row>
    <row r="1751" spans="1:19">
      <c r="A1751" s="18" t="s">
        <v>1794</v>
      </c>
      <c r="B1751" s="1" t="s">
        <v>1908</v>
      </c>
      <c r="C1751" s="1" t="s">
        <v>2043</v>
      </c>
      <c r="D1751" s="1" t="s">
        <v>2044</v>
      </c>
      <c r="E1751" s="1" t="s">
        <v>25</v>
      </c>
      <c r="F1751">
        <v>251.90199999999999</v>
      </c>
      <c r="G1751">
        <v>298.89999999999998</v>
      </c>
      <c r="H1751" t="s">
        <v>25</v>
      </c>
      <c r="I1751" s="1" t="s">
        <v>1528</v>
      </c>
      <c r="J1751" s="1" t="s">
        <v>25</v>
      </c>
      <c r="K1751" s="11" t="s">
        <v>25</v>
      </c>
      <c r="L1751">
        <v>1.21</v>
      </c>
      <c r="M1751" s="3" t="str">
        <f t="shared" si="43"/>
        <v>44/40</v>
      </c>
      <c r="N1751" s="3" t="str">
        <f t="shared" si="42"/>
        <v>SRM915a</v>
      </c>
      <c r="O1751" s="1" t="s">
        <v>25</v>
      </c>
      <c r="P1751" s="3" t="s">
        <v>25</v>
      </c>
      <c r="Q1751" s="37" t="s">
        <v>25</v>
      </c>
      <c r="R1751" s="3" t="s">
        <v>25</v>
      </c>
      <c r="S1751" s="13">
        <f t="shared" si="41"/>
        <v>-0.66999999999999993</v>
      </c>
    </row>
    <row r="1752" spans="1:19">
      <c r="A1752" s="18" t="s">
        <v>1794</v>
      </c>
      <c r="B1752" s="1" t="s">
        <v>1909</v>
      </c>
      <c r="C1752" s="1" t="s">
        <v>2043</v>
      </c>
      <c r="D1752" s="1" t="s">
        <v>2044</v>
      </c>
      <c r="E1752" s="1" t="s">
        <v>25</v>
      </c>
      <c r="F1752">
        <v>251.90199999999999</v>
      </c>
      <c r="G1752">
        <v>298.89999999999998</v>
      </c>
      <c r="H1752" t="s">
        <v>25</v>
      </c>
      <c r="I1752" s="1" t="s">
        <v>1528</v>
      </c>
      <c r="J1752" s="1" t="s">
        <v>25</v>
      </c>
      <c r="K1752" s="11" t="s">
        <v>25</v>
      </c>
      <c r="L1752">
        <v>0.99</v>
      </c>
      <c r="M1752" s="3" t="str">
        <f t="shared" si="43"/>
        <v>44/40</v>
      </c>
      <c r="N1752" s="3" t="str">
        <f t="shared" si="42"/>
        <v>SRM915a</v>
      </c>
      <c r="O1752" s="1" t="s">
        <v>25</v>
      </c>
      <c r="P1752" s="3" t="s">
        <v>25</v>
      </c>
      <c r="Q1752" s="37" t="s">
        <v>25</v>
      </c>
      <c r="R1752" s="3" t="s">
        <v>25</v>
      </c>
      <c r="S1752" s="13">
        <f t="shared" si="41"/>
        <v>-0.8899999999999999</v>
      </c>
    </row>
    <row r="1753" spans="1:19">
      <c r="A1753" s="18" t="s">
        <v>1794</v>
      </c>
      <c r="B1753" s="1" t="s">
        <v>1910</v>
      </c>
      <c r="C1753" s="1" t="s">
        <v>2043</v>
      </c>
      <c r="D1753" s="1" t="s">
        <v>2044</v>
      </c>
      <c r="E1753" s="1" t="s">
        <v>25</v>
      </c>
      <c r="F1753">
        <v>251.90199999999999</v>
      </c>
      <c r="G1753">
        <v>298.89999999999998</v>
      </c>
      <c r="H1753" t="s">
        <v>25</v>
      </c>
      <c r="I1753" s="1" t="s">
        <v>1528</v>
      </c>
      <c r="J1753" s="1" t="s">
        <v>25</v>
      </c>
      <c r="K1753" s="11" t="s">
        <v>25</v>
      </c>
      <c r="L1753">
        <v>0.93</v>
      </c>
      <c r="M1753" s="3" t="str">
        <f t="shared" si="43"/>
        <v>44/40</v>
      </c>
      <c r="N1753" s="3" t="str">
        <f t="shared" si="42"/>
        <v>SRM915a</v>
      </c>
      <c r="O1753" s="1" t="s">
        <v>25</v>
      </c>
      <c r="P1753" s="3" t="s">
        <v>25</v>
      </c>
      <c r="Q1753" s="37" t="s">
        <v>25</v>
      </c>
      <c r="R1753" s="3" t="s">
        <v>25</v>
      </c>
      <c r="S1753" s="13">
        <f t="shared" si="41"/>
        <v>-0.94999999999999984</v>
      </c>
    </row>
    <row r="1754" spans="1:19">
      <c r="A1754" s="18" t="s">
        <v>1794</v>
      </c>
      <c r="B1754" s="1" t="s">
        <v>1911</v>
      </c>
      <c r="C1754" s="1" t="s">
        <v>2043</v>
      </c>
      <c r="D1754" s="1" t="s">
        <v>2044</v>
      </c>
      <c r="E1754" s="1" t="s">
        <v>25</v>
      </c>
      <c r="F1754">
        <v>251.90199999999999</v>
      </c>
      <c r="G1754">
        <v>298.89999999999998</v>
      </c>
      <c r="H1754" t="s">
        <v>25</v>
      </c>
      <c r="I1754" s="1" t="s">
        <v>1528</v>
      </c>
      <c r="J1754" s="1" t="s">
        <v>25</v>
      </c>
      <c r="K1754" s="11" t="s">
        <v>25</v>
      </c>
      <c r="L1754">
        <v>1.02</v>
      </c>
      <c r="M1754" s="3" t="str">
        <f t="shared" si="43"/>
        <v>44/40</v>
      </c>
      <c r="N1754" s="3" t="str">
        <f t="shared" si="42"/>
        <v>SRM915a</v>
      </c>
      <c r="O1754" s="1" t="s">
        <v>25</v>
      </c>
      <c r="P1754" s="3" t="s">
        <v>25</v>
      </c>
      <c r="Q1754" s="37" t="s">
        <v>25</v>
      </c>
      <c r="R1754" s="3" t="s">
        <v>25</v>
      </c>
      <c r="S1754" s="13">
        <f t="shared" si="41"/>
        <v>-0.85999999999999988</v>
      </c>
    </row>
    <row r="1755" spans="1:19">
      <c r="A1755" s="18" t="s">
        <v>1794</v>
      </c>
      <c r="B1755" s="1" t="s">
        <v>1912</v>
      </c>
      <c r="C1755" s="1" t="s">
        <v>2043</v>
      </c>
      <c r="D1755" s="1" t="s">
        <v>2044</v>
      </c>
      <c r="E1755" s="1" t="s">
        <v>25</v>
      </c>
      <c r="F1755">
        <v>251.90199999999999</v>
      </c>
      <c r="G1755">
        <v>298.89999999999998</v>
      </c>
      <c r="H1755" t="s">
        <v>25</v>
      </c>
      <c r="I1755" s="1" t="s">
        <v>1528</v>
      </c>
      <c r="J1755" s="1" t="s">
        <v>25</v>
      </c>
      <c r="K1755" s="11" t="s">
        <v>25</v>
      </c>
      <c r="L1755">
        <v>0.82</v>
      </c>
      <c r="M1755" s="3" t="str">
        <f t="shared" si="43"/>
        <v>44/40</v>
      </c>
      <c r="N1755" s="3" t="str">
        <f t="shared" si="42"/>
        <v>SRM915a</v>
      </c>
      <c r="O1755" s="1" t="s">
        <v>25</v>
      </c>
      <c r="P1755" s="3" t="s">
        <v>25</v>
      </c>
      <c r="Q1755" s="37" t="s">
        <v>25</v>
      </c>
      <c r="R1755" s="3" t="s">
        <v>25</v>
      </c>
      <c r="S1755" s="13">
        <f t="shared" si="41"/>
        <v>-1.06</v>
      </c>
    </row>
    <row r="1756" spans="1:19">
      <c r="A1756" s="18" t="s">
        <v>1794</v>
      </c>
      <c r="B1756" s="1" t="s">
        <v>1913</v>
      </c>
      <c r="C1756" s="1" t="s">
        <v>2043</v>
      </c>
      <c r="D1756" s="1" t="s">
        <v>2044</v>
      </c>
      <c r="E1756" s="1" t="s">
        <v>25</v>
      </c>
      <c r="F1756">
        <v>251.90199999999999</v>
      </c>
      <c r="G1756">
        <v>298.89999999999998</v>
      </c>
      <c r="H1756" t="s">
        <v>25</v>
      </c>
      <c r="I1756" s="1" t="s">
        <v>1528</v>
      </c>
      <c r="J1756" s="1" t="s">
        <v>25</v>
      </c>
      <c r="K1756" s="11" t="s">
        <v>25</v>
      </c>
      <c r="L1756">
        <v>1.1100000000000001</v>
      </c>
      <c r="M1756" s="3" t="str">
        <f t="shared" si="43"/>
        <v>44/40</v>
      </c>
      <c r="N1756" s="3" t="str">
        <f t="shared" si="42"/>
        <v>SRM915a</v>
      </c>
      <c r="O1756" s="1" t="s">
        <v>25</v>
      </c>
      <c r="P1756" s="3" t="s">
        <v>25</v>
      </c>
      <c r="Q1756" s="37" t="s">
        <v>25</v>
      </c>
      <c r="R1756" s="3" t="s">
        <v>25</v>
      </c>
      <c r="S1756" s="13">
        <f t="shared" si="41"/>
        <v>-0.7699999999999998</v>
      </c>
    </row>
    <row r="1757" spans="1:19">
      <c r="A1757" s="18" t="s">
        <v>1794</v>
      </c>
      <c r="B1757" s="1" t="s">
        <v>1914</v>
      </c>
      <c r="C1757" s="1" t="s">
        <v>2043</v>
      </c>
      <c r="D1757" s="1" t="s">
        <v>2044</v>
      </c>
      <c r="E1757" s="1" t="s">
        <v>25</v>
      </c>
      <c r="F1757">
        <v>251.90199999999999</v>
      </c>
      <c r="G1757">
        <v>298.89999999999998</v>
      </c>
      <c r="H1757" t="s">
        <v>25</v>
      </c>
      <c r="I1757" s="1" t="s">
        <v>1528</v>
      </c>
      <c r="J1757" s="1" t="s">
        <v>25</v>
      </c>
      <c r="K1757" s="11" t="s">
        <v>25</v>
      </c>
      <c r="L1757">
        <v>0.9</v>
      </c>
      <c r="M1757" s="3" t="str">
        <f t="shared" si="43"/>
        <v>44/40</v>
      </c>
      <c r="N1757" s="3" t="str">
        <f t="shared" si="42"/>
        <v>SRM915a</v>
      </c>
      <c r="O1757" s="1" t="s">
        <v>25</v>
      </c>
      <c r="P1757" s="3" t="s">
        <v>25</v>
      </c>
      <c r="Q1757" s="37" t="s">
        <v>25</v>
      </c>
      <c r="R1757" s="3" t="s">
        <v>25</v>
      </c>
      <c r="S1757" s="13">
        <f t="shared" si="41"/>
        <v>-0.97999999999999987</v>
      </c>
    </row>
    <row r="1758" spans="1:19">
      <c r="A1758" s="18" t="s">
        <v>1794</v>
      </c>
      <c r="B1758" s="1" t="s">
        <v>1915</v>
      </c>
      <c r="C1758" s="1" t="s">
        <v>2043</v>
      </c>
      <c r="D1758" s="1" t="s">
        <v>2044</v>
      </c>
      <c r="E1758" s="1" t="s">
        <v>25</v>
      </c>
      <c r="F1758">
        <v>251.90199999999999</v>
      </c>
      <c r="G1758">
        <v>298.89999999999998</v>
      </c>
      <c r="H1758" t="s">
        <v>25</v>
      </c>
      <c r="I1758" s="1" t="s">
        <v>1528</v>
      </c>
      <c r="J1758" s="1" t="s">
        <v>25</v>
      </c>
      <c r="K1758" s="11" t="s">
        <v>25</v>
      </c>
      <c r="L1758">
        <v>0.92</v>
      </c>
      <c r="M1758" s="3" t="str">
        <f t="shared" si="43"/>
        <v>44/40</v>
      </c>
      <c r="N1758" s="3" t="str">
        <f t="shared" si="42"/>
        <v>SRM915a</v>
      </c>
      <c r="O1758" s="1" t="s">
        <v>25</v>
      </c>
      <c r="P1758" s="3" t="s">
        <v>25</v>
      </c>
      <c r="Q1758" s="37" t="s">
        <v>25</v>
      </c>
      <c r="R1758" s="3" t="s">
        <v>25</v>
      </c>
      <c r="S1758" s="13">
        <f t="shared" si="41"/>
        <v>-0.95999999999999985</v>
      </c>
    </row>
    <row r="1759" spans="1:19">
      <c r="A1759" s="18" t="s">
        <v>1794</v>
      </c>
      <c r="B1759" s="1" t="s">
        <v>1916</v>
      </c>
      <c r="C1759" s="1" t="s">
        <v>2043</v>
      </c>
      <c r="D1759" s="1" t="s">
        <v>2044</v>
      </c>
      <c r="E1759" s="1" t="s">
        <v>25</v>
      </c>
      <c r="F1759">
        <v>251.90199999999999</v>
      </c>
      <c r="G1759">
        <v>298.89999999999998</v>
      </c>
      <c r="H1759" t="s">
        <v>25</v>
      </c>
      <c r="I1759" s="1" t="s">
        <v>1528</v>
      </c>
      <c r="J1759" s="1" t="s">
        <v>25</v>
      </c>
      <c r="K1759" s="11" t="s">
        <v>25</v>
      </c>
      <c r="L1759">
        <v>0.95</v>
      </c>
      <c r="M1759" s="3" t="str">
        <f t="shared" si="43"/>
        <v>44/40</v>
      </c>
      <c r="N1759" s="3" t="str">
        <f t="shared" si="42"/>
        <v>SRM915a</v>
      </c>
      <c r="O1759" s="1" t="s">
        <v>25</v>
      </c>
      <c r="P1759" s="3" t="s">
        <v>25</v>
      </c>
      <c r="Q1759" s="37" t="s">
        <v>25</v>
      </c>
      <c r="R1759" s="3" t="s">
        <v>25</v>
      </c>
      <c r="S1759" s="13">
        <f t="shared" si="41"/>
        <v>-0.92999999999999994</v>
      </c>
    </row>
    <row r="1760" spans="1:19">
      <c r="A1760" s="18" t="s">
        <v>1794</v>
      </c>
      <c r="B1760" s="1" t="s">
        <v>1917</v>
      </c>
      <c r="C1760" s="1" t="s">
        <v>2043</v>
      </c>
      <c r="D1760" s="1" t="s">
        <v>2044</v>
      </c>
      <c r="E1760" s="1" t="s">
        <v>25</v>
      </c>
      <c r="F1760">
        <v>251.90199999999999</v>
      </c>
      <c r="G1760">
        <v>298.89999999999998</v>
      </c>
      <c r="H1760" t="s">
        <v>25</v>
      </c>
      <c r="I1760" s="1" t="s">
        <v>1528</v>
      </c>
      <c r="J1760" s="1" t="s">
        <v>25</v>
      </c>
      <c r="K1760" s="11" t="s">
        <v>25</v>
      </c>
      <c r="L1760">
        <v>0.79</v>
      </c>
      <c r="M1760" s="3" t="str">
        <f t="shared" si="43"/>
        <v>44/40</v>
      </c>
      <c r="N1760" s="3" t="str">
        <f t="shared" si="42"/>
        <v>SRM915a</v>
      </c>
      <c r="O1760" s="1" t="s">
        <v>25</v>
      </c>
      <c r="P1760" s="3" t="s">
        <v>25</v>
      </c>
      <c r="Q1760" s="37" t="s">
        <v>25</v>
      </c>
      <c r="R1760" s="3" t="s">
        <v>25</v>
      </c>
      <c r="S1760" s="13">
        <f t="shared" si="41"/>
        <v>-1.0899999999999999</v>
      </c>
    </row>
    <row r="1761" spans="1:19">
      <c r="A1761" s="18" t="s">
        <v>1794</v>
      </c>
      <c r="B1761" s="1" t="s">
        <v>1918</v>
      </c>
      <c r="C1761" s="1" t="s">
        <v>2043</v>
      </c>
      <c r="D1761" s="1" t="s">
        <v>2044</v>
      </c>
      <c r="E1761" s="1" t="s">
        <v>25</v>
      </c>
      <c r="F1761">
        <v>251.90199999999999</v>
      </c>
      <c r="G1761">
        <v>298.89999999999998</v>
      </c>
      <c r="H1761" t="s">
        <v>25</v>
      </c>
      <c r="I1761" s="1" t="s">
        <v>1528</v>
      </c>
      <c r="J1761" s="1" t="s">
        <v>25</v>
      </c>
      <c r="K1761" s="11" t="s">
        <v>25</v>
      </c>
      <c r="L1761">
        <v>1.28</v>
      </c>
      <c r="M1761" s="3" t="str">
        <f t="shared" si="43"/>
        <v>44/40</v>
      </c>
      <c r="N1761" s="3" t="str">
        <f t="shared" si="42"/>
        <v>SRM915a</v>
      </c>
      <c r="O1761" s="1" t="s">
        <v>25</v>
      </c>
      <c r="P1761" s="3" t="s">
        <v>25</v>
      </c>
      <c r="Q1761" s="37" t="s">
        <v>25</v>
      </c>
      <c r="R1761" s="3" t="s">
        <v>25</v>
      </c>
      <c r="S1761" s="13">
        <f t="shared" si="41"/>
        <v>-0.59999999999999987</v>
      </c>
    </row>
    <row r="1762" spans="1:19">
      <c r="A1762" s="18" t="s">
        <v>1794</v>
      </c>
      <c r="B1762" s="1" t="s">
        <v>1919</v>
      </c>
      <c r="C1762" s="1" t="s">
        <v>2043</v>
      </c>
      <c r="D1762" s="1" t="s">
        <v>2044</v>
      </c>
      <c r="E1762" s="1" t="s">
        <v>25</v>
      </c>
      <c r="F1762">
        <v>251.90199999999999</v>
      </c>
      <c r="G1762">
        <v>298.89999999999998</v>
      </c>
      <c r="H1762" t="s">
        <v>25</v>
      </c>
      <c r="I1762" s="1" t="s">
        <v>1528</v>
      </c>
      <c r="J1762" s="1" t="s">
        <v>25</v>
      </c>
      <c r="K1762" s="11" t="s">
        <v>25</v>
      </c>
      <c r="L1762">
        <v>0.91</v>
      </c>
      <c r="M1762" s="3" t="str">
        <f t="shared" si="43"/>
        <v>44/40</v>
      </c>
      <c r="N1762" s="3" t="str">
        <f t="shared" si="42"/>
        <v>SRM915a</v>
      </c>
      <c r="O1762" s="1" t="s">
        <v>25</v>
      </c>
      <c r="P1762" s="3" t="s">
        <v>25</v>
      </c>
      <c r="Q1762" s="37" t="s">
        <v>25</v>
      </c>
      <c r="R1762" s="3" t="s">
        <v>25</v>
      </c>
      <c r="S1762" s="13">
        <f t="shared" si="41"/>
        <v>-0.96999999999999986</v>
      </c>
    </row>
    <row r="1763" spans="1:19">
      <c r="A1763" s="18" t="s">
        <v>1794</v>
      </c>
      <c r="B1763" s="1" t="s">
        <v>1920</v>
      </c>
      <c r="C1763" s="1" t="s">
        <v>2043</v>
      </c>
      <c r="D1763" s="1" t="s">
        <v>2044</v>
      </c>
      <c r="E1763" s="1" t="s">
        <v>25</v>
      </c>
      <c r="F1763">
        <v>251.90199999999999</v>
      </c>
      <c r="G1763">
        <v>298.89999999999998</v>
      </c>
      <c r="H1763" t="s">
        <v>25</v>
      </c>
      <c r="I1763" s="1" t="s">
        <v>1528</v>
      </c>
      <c r="J1763" s="1" t="s">
        <v>25</v>
      </c>
      <c r="K1763" s="11" t="s">
        <v>25</v>
      </c>
      <c r="L1763">
        <v>1.34</v>
      </c>
      <c r="M1763" s="3" t="str">
        <f t="shared" si="43"/>
        <v>44/40</v>
      </c>
      <c r="N1763" s="3" t="str">
        <f t="shared" si="42"/>
        <v>SRM915a</v>
      </c>
      <c r="O1763" s="1" t="s">
        <v>25</v>
      </c>
      <c r="P1763" s="3" t="s">
        <v>25</v>
      </c>
      <c r="Q1763" s="37" t="s">
        <v>25</v>
      </c>
      <c r="R1763" s="3" t="s">
        <v>25</v>
      </c>
      <c r="S1763" s="13">
        <f t="shared" si="41"/>
        <v>-0.53999999999999981</v>
      </c>
    </row>
    <row r="1764" spans="1:19">
      <c r="A1764" s="18" t="s">
        <v>1794</v>
      </c>
      <c r="B1764" s="1" t="s">
        <v>1921</v>
      </c>
      <c r="C1764" s="1" t="s">
        <v>2043</v>
      </c>
      <c r="D1764" s="1" t="s">
        <v>2044</v>
      </c>
      <c r="E1764" s="1" t="s">
        <v>25</v>
      </c>
      <c r="F1764">
        <v>251.90199999999999</v>
      </c>
      <c r="G1764">
        <v>298.89999999999998</v>
      </c>
      <c r="H1764" t="s">
        <v>25</v>
      </c>
      <c r="I1764" s="1" t="s">
        <v>1528</v>
      </c>
      <c r="J1764" s="1" t="s">
        <v>25</v>
      </c>
      <c r="K1764" s="11" t="s">
        <v>25</v>
      </c>
      <c r="L1764">
        <v>0.95</v>
      </c>
      <c r="M1764" s="3" t="str">
        <f t="shared" si="43"/>
        <v>44/40</v>
      </c>
      <c r="N1764" s="3" t="str">
        <f t="shared" si="42"/>
        <v>SRM915a</v>
      </c>
      <c r="O1764" s="1" t="s">
        <v>25</v>
      </c>
      <c r="P1764" s="3" t="s">
        <v>25</v>
      </c>
      <c r="Q1764" s="37" t="s">
        <v>25</v>
      </c>
      <c r="R1764" s="3" t="s">
        <v>25</v>
      </c>
      <c r="S1764" s="13">
        <f t="shared" si="41"/>
        <v>-0.92999999999999994</v>
      </c>
    </row>
    <row r="1765" spans="1:19">
      <c r="A1765" s="18" t="s">
        <v>1794</v>
      </c>
      <c r="B1765" s="1" t="s">
        <v>1922</v>
      </c>
      <c r="C1765" s="1" t="s">
        <v>2043</v>
      </c>
      <c r="D1765" s="1" t="s">
        <v>2044</v>
      </c>
      <c r="E1765" s="1" t="s">
        <v>25</v>
      </c>
      <c r="F1765">
        <v>251.90199999999999</v>
      </c>
      <c r="G1765">
        <v>298.89999999999998</v>
      </c>
      <c r="H1765" t="s">
        <v>25</v>
      </c>
      <c r="I1765" s="1" t="s">
        <v>1528</v>
      </c>
      <c r="J1765" s="1" t="s">
        <v>25</v>
      </c>
      <c r="K1765" s="11" t="s">
        <v>25</v>
      </c>
      <c r="L1765">
        <v>1.19</v>
      </c>
      <c r="M1765" s="3" t="str">
        <f t="shared" si="43"/>
        <v>44/40</v>
      </c>
      <c r="N1765" s="3" t="str">
        <f t="shared" si="42"/>
        <v>SRM915a</v>
      </c>
      <c r="O1765" s="1" t="s">
        <v>25</v>
      </c>
      <c r="P1765" s="3" t="s">
        <v>25</v>
      </c>
      <c r="Q1765" s="37" t="s">
        <v>25</v>
      </c>
      <c r="R1765" s="3" t="s">
        <v>25</v>
      </c>
      <c r="S1765" s="13">
        <f t="shared" si="41"/>
        <v>-0.69</v>
      </c>
    </row>
    <row r="1766" spans="1:19">
      <c r="A1766" s="18" t="s">
        <v>1794</v>
      </c>
      <c r="B1766" s="1" t="s">
        <v>1923</v>
      </c>
      <c r="C1766" s="1" t="s">
        <v>2043</v>
      </c>
      <c r="D1766" s="1" t="s">
        <v>2044</v>
      </c>
      <c r="E1766" s="1" t="s">
        <v>25</v>
      </c>
      <c r="F1766">
        <v>251.90199999999999</v>
      </c>
      <c r="G1766">
        <v>298.89999999999998</v>
      </c>
      <c r="H1766" t="s">
        <v>25</v>
      </c>
      <c r="I1766" s="1" t="s">
        <v>1528</v>
      </c>
      <c r="J1766" s="1" t="s">
        <v>25</v>
      </c>
      <c r="K1766" s="11" t="s">
        <v>25</v>
      </c>
      <c r="L1766">
        <v>0.77</v>
      </c>
      <c r="M1766" s="3" t="str">
        <f t="shared" si="43"/>
        <v>44/40</v>
      </c>
      <c r="N1766" s="3" t="str">
        <f t="shared" si="42"/>
        <v>SRM915a</v>
      </c>
      <c r="O1766" s="1" t="s">
        <v>25</v>
      </c>
      <c r="P1766" s="3" t="s">
        <v>25</v>
      </c>
      <c r="Q1766" s="37" t="s">
        <v>25</v>
      </c>
      <c r="R1766" s="3" t="s">
        <v>25</v>
      </c>
      <c r="S1766" s="13">
        <f t="shared" ref="S1766:S1829" si="44">IF(NOT(N1766="SW"),L1766-1.88,L1766)</f>
        <v>-1.1099999999999999</v>
      </c>
    </row>
    <row r="1767" spans="1:19">
      <c r="A1767" s="18" t="s">
        <v>1794</v>
      </c>
      <c r="B1767" s="1" t="s">
        <v>1924</v>
      </c>
      <c r="C1767" s="1" t="s">
        <v>2043</v>
      </c>
      <c r="D1767" s="1" t="s">
        <v>2044</v>
      </c>
      <c r="E1767" s="1" t="s">
        <v>25</v>
      </c>
      <c r="F1767">
        <v>251.90199999999999</v>
      </c>
      <c r="G1767">
        <v>298.89999999999998</v>
      </c>
      <c r="H1767" t="s">
        <v>25</v>
      </c>
      <c r="I1767" s="1" t="s">
        <v>1528</v>
      </c>
      <c r="J1767" s="1" t="s">
        <v>25</v>
      </c>
      <c r="K1767" s="11" t="s">
        <v>25</v>
      </c>
      <c r="L1767">
        <v>0.82</v>
      </c>
      <c r="M1767" s="3" t="str">
        <f t="shared" si="43"/>
        <v>44/40</v>
      </c>
      <c r="N1767" s="3" t="str">
        <f t="shared" ref="N1767:N1830" si="45">IF(ISNUMBER(SEARCH("Na", M1767)), "Na", "SRM915a")</f>
        <v>SRM915a</v>
      </c>
      <c r="O1767" s="1" t="s">
        <v>25</v>
      </c>
      <c r="P1767" s="3" t="s">
        <v>25</v>
      </c>
      <c r="Q1767" s="37" t="s">
        <v>25</v>
      </c>
      <c r="R1767" s="3" t="s">
        <v>25</v>
      </c>
      <c r="S1767" s="13">
        <f t="shared" si="44"/>
        <v>-1.06</v>
      </c>
    </row>
    <row r="1768" spans="1:19">
      <c r="A1768" s="18" t="s">
        <v>1794</v>
      </c>
      <c r="B1768" s="1" t="s">
        <v>1925</v>
      </c>
      <c r="C1768" s="1" t="s">
        <v>2043</v>
      </c>
      <c r="D1768" s="1" t="s">
        <v>2044</v>
      </c>
      <c r="E1768" s="1" t="s">
        <v>25</v>
      </c>
      <c r="F1768">
        <v>251.90199999999999</v>
      </c>
      <c r="G1768">
        <v>298.89999999999998</v>
      </c>
      <c r="H1768" t="s">
        <v>25</v>
      </c>
      <c r="I1768" s="1" t="s">
        <v>1528</v>
      </c>
      <c r="J1768" s="1" t="s">
        <v>25</v>
      </c>
      <c r="K1768" s="11" t="s">
        <v>25</v>
      </c>
      <c r="L1768">
        <v>0.71</v>
      </c>
      <c r="M1768" s="3" t="str">
        <f t="shared" si="43"/>
        <v>44/40</v>
      </c>
      <c r="N1768" s="3" t="str">
        <f t="shared" si="45"/>
        <v>SRM915a</v>
      </c>
      <c r="O1768" s="1" t="s">
        <v>25</v>
      </c>
      <c r="P1768" s="3" t="s">
        <v>25</v>
      </c>
      <c r="Q1768" s="37" t="s">
        <v>25</v>
      </c>
      <c r="R1768" s="3" t="s">
        <v>25</v>
      </c>
      <c r="S1768" s="13">
        <f t="shared" si="44"/>
        <v>-1.17</v>
      </c>
    </row>
    <row r="1769" spans="1:19">
      <c r="A1769" s="18" t="s">
        <v>1794</v>
      </c>
      <c r="B1769" s="1" t="s">
        <v>1926</v>
      </c>
      <c r="C1769" s="1" t="s">
        <v>2043</v>
      </c>
      <c r="D1769" s="1" t="s">
        <v>2044</v>
      </c>
      <c r="E1769" s="1" t="s">
        <v>25</v>
      </c>
      <c r="F1769">
        <v>251.90199999999999</v>
      </c>
      <c r="G1769">
        <v>298.89999999999998</v>
      </c>
      <c r="H1769" t="s">
        <v>25</v>
      </c>
      <c r="I1769" s="1" t="s">
        <v>1528</v>
      </c>
      <c r="J1769" s="1" t="s">
        <v>25</v>
      </c>
      <c r="K1769" s="11" t="s">
        <v>25</v>
      </c>
      <c r="L1769">
        <v>1.23</v>
      </c>
      <c r="M1769" s="3" t="str">
        <f t="shared" si="43"/>
        <v>44/40</v>
      </c>
      <c r="N1769" s="3" t="str">
        <f t="shared" si="45"/>
        <v>SRM915a</v>
      </c>
      <c r="O1769" s="1" t="s">
        <v>25</v>
      </c>
      <c r="P1769" s="3" t="s">
        <v>25</v>
      </c>
      <c r="Q1769" s="37" t="s">
        <v>25</v>
      </c>
      <c r="R1769" s="3" t="s">
        <v>25</v>
      </c>
      <c r="S1769" s="13">
        <f t="shared" si="44"/>
        <v>-0.64999999999999991</v>
      </c>
    </row>
    <row r="1770" spans="1:19">
      <c r="A1770" s="18" t="s">
        <v>1794</v>
      </c>
      <c r="B1770" s="1" t="s">
        <v>1927</v>
      </c>
      <c r="C1770" s="1" t="s">
        <v>2043</v>
      </c>
      <c r="D1770" s="1" t="s">
        <v>2044</v>
      </c>
      <c r="E1770" s="1" t="s">
        <v>25</v>
      </c>
      <c r="F1770">
        <v>251.90199999999999</v>
      </c>
      <c r="G1770">
        <v>298.89999999999998</v>
      </c>
      <c r="H1770" t="s">
        <v>25</v>
      </c>
      <c r="I1770" s="1" t="s">
        <v>1528</v>
      </c>
      <c r="J1770" s="1" t="s">
        <v>25</v>
      </c>
      <c r="K1770" s="11" t="s">
        <v>25</v>
      </c>
      <c r="L1770">
        <v>1.1100000000000001</v>
      </c>
      <c r="M1770" s="3" t="str">
        <f t="shared" si="43"/>
        <v>44/40</v>
      </c>
      <c r="N1770" s="3" t="str">
        <f t="shared" si="45"/>
        <v>SRM915a</v>
      </c>
      <c r="O1770" s="1" t="s">
        <v>25</v>
      </c>
      <c r="P1770" s="3" t="s">
        <v>25</v>
      </c>
      <c r="Q1770" s="37" t="s">
        <v>25</v>
      </c>
      <c r="R1770" s="3" t="s">
        <v>25</v>
      </c>
      <c r="S1770" s="13">
        <f t="shared" si="44"/>
        <v>-0.7699999999999998</v>
      </c>
    </row>
    <row r="1771" spans="1:19">
      <c r="A1771" s="18" t="s">
        <v>1794</v>
      </c>
      <c r="B1771" s="1" t="s">
        <v>1928</v>
      </c>
      <c r="C1771" s="1" t="s">
        <v>2043</v>
      </c>
      <c r="D1771" s="1" t="s">
        <v>2044</v>
      </c>
      <c r="E1771" s="1" t="s">
        <v>25</v>
      </c>
      <c r="F1771">
        <v>251.90199999999999</v>
      </c>
      <c r="G1771">
        <v>298.89999999999998</v>
      </c>
      <c r="H1771" t="s">
        <v>25</v>
      </c>
      <c r="I1771" s="1" t="s">
        <v>1528</v>
      </c>
      <c r="J1771" s="1" t="s">
        <v>25</v>
      </c>
      <c r="K1771" s="11" t="s">
        <v>25</v>
      </c>
      <c r="L1771">
        <v>1.1200000000000001</v>
      </c>
      <c r="M1771" s="3" t="str">
        <f t="shared" si="43"/>
        <v>44/40</v>
      </c>
      <c r="N1771" s="3" t="str">
        <f t="shared" si="45"/>
        <v>SRM915a</v>
      </c>
      <c r="O1771" s="1" t="s">
        <v>25</v>
      </c>
      <c r="P1771" s="3" t="s">
        <v>25</v>
      </c>
      <c r="Q1771" s="37" t="s">
        <v>25</v>
      </c>
      <c r="R1771" s="3" t="s">
        <v>25</v>
      </c>
      <c r="S1771" s="13">
        <f t="shared" si="44"/>
        <v>-0.75999999999999979</v>
      </c>
    </row>
    <row r="1772" spans="1:19">
      <c r="A1772" s="18" t="s">
        <v>1794</v>
      </c>
      <c r="B1772" s="1" t="s">
        <v>1929</v>
      </c>
      <c r="C1772" s="1" t="s">
        <v>2043</v>
      </c>
      <c r="D1772" s="1" t="s">
        <v>2044</v>
      </c>
      <c r="E1772" s="1" t="s">
        <v>25</v>
      </c>
      <c r="F1772">
        <v>251.90199999999999</v>
      </c>
      <c r="G1772">
        <v>298.89999999999998</v>
      </c>
      <c r="H1772" t="s">
        <v>25</v>
      </c>
      <c r="I1772" s="1" t="s">
        <v>1528</v>
      </c>
      <c r="J1772" s="1" t="s">
        <v>25</v>
      </c>
      <c r="K1772" s="11" t="s">
        <v>25</v>
      </c>
      <c r="L1772">
        <v>1.05</v>
      </c>
      <c r="M1772" s="3" t="str">
        <f t="shared" si="43"/>
        <v>44/40</v>
      </c>
      <c r="N1772" s="3" t="str">
        <f t="shared" si="45"/>
        <v>SRM915a</v>
      </c>
      <c r="O1772" s="1" t="s">
        <v>25</v>
      </c>
      <c r="P1772" s="3" t="s">
        <v>25</v>
      </c>
      <c r="Q1772" s="37" t="s">
        <v>25</v>
      </c>
      <c r="R1772" s="3" t="s">
        <v>25</v>
      </c>
      <c r="S1772" s="13">
        <f t="shared" si="44"/>
        <v>-0.82999999999999985</v>
      </c>
    </row>
    <row r="1773" spans="1:19">
      <c r="A1773" s="18" t="s">
        <v>1794</v>
      </c>
      <c r="B1773" s="1" t="s">
        <v>1930</v>
      </c>
      <c r="C1773" s="1" t="s">
        <v>2043</v>
      </c>
      <c r="D1773" s="1" t="s">
        <v>2044</v>
      </c>
      <c r="E1773" s="1" t="s">
        <v>25</v>
      </c>
      <c r="F1773">
        <v>251.90199999999999</v>
      </c>
      <c r="G1773">
        <v>298.89999999999998</v>
      </c>
      <c r="H1773" t="s">
        <v>25</v>
      </c>
      <c r="I1773" s="1" t="s">
        <v>1528</v>
      </c>
      <c r="J1773" s="1" t="s">
        <v>25</v>
      </c>
      <c r="K1773" s="11" t="s">
        <v>25</v>
      </c>
      <c r="L1773">
        <v>1.21</v>
      </c>
      <c r="M1773" s="3" t="str">
        <f t="shared" si="43"/>
        <v>44/40</v>
      </c>
      <c r="N1773" s="3" t="str">
        <f t="shared" si="45"/>
        <v>SRM915a</v>
      </c>
      <c r="O1773" s="1" t="s">
        <v>25</v>
      </c>
      <c r="P1773" s="3" t="s">
        <v>25</v>
      </c>
      <c r="Q1773" s="37" t="s">
        <v>25</v>
      </c>
      <c r="R1773" s="3" t="s">
        <v>25</v>
      </c>
      <c r="S1773" s="13">
        <f t="shared" si="44"/>
        <v>-0.66999999999999993</v>
      </c>
    </row>
    <row r="1774" spans="1:19">
      <c r="A1774" s="18" t="s">
        <v>1794</v>
      </c>
      <c r="B1774" s="1" t="s">
        <v>1931</v>
      </c>
      <c r="C1774" s="1" t="s">
        <v>2043</v>
      </c>
      <c r="D1774" s="1" t="s">
        <v>2044</v>
      </c>
      <c r="E1774" s="1" t="s">
        <v>25</v>
      </c>
      <c r="F1774">
        <v>251.90199999999999</v>
      </c>
      <c r="G1774">
        <v>298.89999999999998</v>
      </c>
      <c r="H1774" t="s">
        <v>25</v>
      </c>
      <c r="I1774" s="1" t="s">
        <v>1528</v>
      </c>
      <c r="J1774" s="1" t="s">
        <v>25</v>
      </c>
      <c r="K1774" s="11" t="s">
        <v>25</v>
      </c>
      <c r="L1774">
        <v>1.28</v>
      </c>
      <c r="M1774" s="3" t="str">
        <f t="shared" si="43"/>
        <v>44/40</v>
      </c>
      <c r="N1774" s="3" t="str">
        <f t="shared" si="45"/>
        <v>SRM915a</v>
      </c>
      <c r="O1774" s="1" t="s">
        <v>25</v>
      </c>
      <c r="P1774" s="3" t="s">
        <v>25</v>
      </c>
      <c r="Q1774" s="37" t="s">
        <v>25</v>
      </c>
      <c r="R1774" s="3" t="s">
        <v>25</v>
      </c>
      <c r="S1774" s="13">
        <f t="shared" si="44"/>
        <v>-0.59999999999999987</v>
      </c>
    </row>
    <row r="1775" spans="1:19">
      <c r="A1775" s="18" t="s">
        <v>1794</v>
      </c>
      <c r="B1775" s="1" t="s">
        <v>1932</v>
      </c>
      <c r="C1775" s="1" t="s">
        <v>2043</v>
      </c>
      <c r="D1775" s="1" t="s">
        <v>2044</v>
      </c>
      <c r="E1775" s="1" t="s">
        <v>25</v>
      </c>
      <c r="F1775">
        <v>251.90199999999999</v>
      </c>
      <c r="G1775">
        <v>298.89999999999998</v>
      </c>
      <c r="H1775" t="s">
        <v>25</v>
      </c>
      <c r="I1775" s="1" t="s">
        <v>1528</v>
      </c>
      <c r="J1775" s="1" t="s">
        <v>25</v>
      </c>
      <c r="K1775" s="11" t="s">
        <v>25</v>
      </c>
      <c r="L1775">
        <v>1.01</v>
      </c>
      <c r="M1775" s="3" t="str">
        <f t="shared" si="43"/>
        <v>44/40</v>
      </c>
      <c r="N1775" s="3" t="str">
        <f t="shared" si="45"/>
        <v>SRM915a</v>
      </c>
      <c r="O1775" s="1" t="s">
        <v>25</v>
      </c>
      <c r="P1775" s="3" t="s">
        <v>25</v>
      </c>
      <c r="Q1775" s="37" t="s">
        <v>25</v>
      </c>
      <c r="R1775" s="3" t="s">
        <v>25</v>
      </c>
      <c r="S1775" s="13">
        <f t="shared" si="44"/>
        <v>-0.86999999999999988</v>
      </c>
    </row>
    <row r="1776" spans="1:19">
      <c r="A1776" s="18" t="s">
        <v>1794</v>
      </c>
      <c r="B1776" s="1" t="s">
        <v>1933</v>
      </c>
      <c r="C1776" s="1" t="s">
        <v>2043</v>
      </c>
      <c r="D1776" s="1" t="s">
        <v>2044</v>
      </c>
      <c r="E1776" s="1" t="s">
        <v>25</v>
      </c>
      <c r="F1776">
        <v>251.90199999999999</v>
      </c>
      <c r="G1776">
        <v>298.89999999999998</v>
      </c>
      <c r="H1776" t="s">
        <v>25</v>
      </c>
      <c r="I1776" s="1" t="s">
        <v>1528</v>
      </c>
      <c r="J1776" s="1" t="s">
        <v>25</v>
      </c>
      <c r="K1776" s="11" t="s">
        <v>25</v>
      </c>
      <c r="L1776">
        <v>0.62</v>
      </c>
      <c r="M1776" s="3" t="str">
        <f t="shared" si="43"/>
        <v>44/40</v>
      </c>
      <c r="N1776" s="3" t="str">
        <f t="shared" si="45"/>
        <v>SRM915a</v>
      </c>
      <c r="O1776" s="1" t="s">
        <v>25</v>
      </c>
      <c r="P1776" s="3" t="s">
        <v>25</v>
      </c>
      <c r="Q1776" s="37" t="s">
        <v>25</v>
      </c>
      <c r="R1776" s="3" t="s">
        <v>25</v>
      </c>
      <c r="S1776" s="13">
        <f t="shared" si="44"/>
        <v>-1.2599999999999998</v>
      </c>
    </row>
    <row r="1777" spans="1:19">
      <c r="A1777" s="18" t="s">
        <v>1794</v>
      </c>
      <c r="B1777" s="1" t="s">
        <v>1934</v>
      </c>
      <c r="C1777" s="1" t="s">
        <v>2043</v>
      </c>
      <c r="D1777" s="1" t="s">
        <v>2044</v>
      </c>
      <c r="E1777" s="1" t="s">
        <v>25</v>
      </c>
      <c r="F1777">
        <v>251.90199999999999</v>
      </c>
      <c r="G1777">
        <v>298.89999999999998</v>
      </c>
      <c r="H1777" t="s">
        <v>25</v>
      </c>
      <c r="I1777" s="1" t="s">
        <v>1528</v>
      </c>
      <c r="J1777" s="1" t="s">
        <v>25</v>
      </c>
      <c r="K1777" s="11" t="s">
        <v>25</v>
      </c>
      <c r="L1777">
        <v>0.87</v>
      </c>
      <c r="M1777" s="3" t="str">
        <f t="shared" si="43"/>
        <v>44/40</v>
      </c>
      <c r="N1777" s="3" t="str">
        <f t="shared" si="45"/>
        <v>SRM915a</v>
      </c>
      <c r="O1777" s="1" t="s">
        <v>25</v>
      </c>
      <c r="P1777" s="3" t="s">
        <v>25</v>
      </c>
      <c r="Q1777" s="37" t="s">
        <v>25</v>
      </c>
      <c r="R1777" s="3" t="s">
        <v>25</v>
      </c>
      <c r="S1777" s="13">
        <f t="shared" si="44"/>
        <v>-1.0099999999999998</v>
      </c>
    </row>
    <row r="1778" spans="1:19">
      <c r="A1778" s="18" t="s">
        <v>1794</v>
      </c>
      <c r="B1778" s="1" t="s">
        <v>1935</v>
      </c>
      <c r="C1778" s="1" t="s">
        <v>2043</v>
      </c>
      <c r="D1778" s="1" t="s">
        <v>2044</v>
      </c>
      <c r="E1778" s="1" t="s">
        <v>25</v>
      </c>
      <c r="F1778">
        <v>251.90199999999999</v>
      </c>
      <c r="G1778">
        <v>298.89999999999998</v>
      </c>
      <c r="H1778" t="s">
        <v>25</v>
      </c>
      <c r="I1778" s="1" t="s">
        <v>1528</v>
      </c>
      <c r="J1778" s="1" t="s">
        <v>25</v>
      </c>
      <c r="K1778" s="11" t="s">
        <v>25</v>
      </c>
      <c r="L1778">
        <v>0.36</v>
      </c>
      <c r="M1778" s="3" t="str">
        <f t="shared" si="43"/>
        <v>44/40</v>
      </c>
      <c r="N1778" s="3" t="str">
        <f t="shared" si="45"/>
        <v>SRM915a</v>
      </c>
      <c r="O1778" s="1" t="s">
        <v>25</v>
      </c>
      <c r="P1778" s="3" t="s">
        <v>25</v>
      </c>
      <c r="Q1778" s="37" t="s">
        <v>25</v>
      </c>
      <c r="R1778" s="3" t="s">
        <v>25</v>
      </c>
      <c r="S1778" s="13">
        <f t="shared" si="44"/>
        <v>-1.52</v>
      </c>
    </row>
    <row r="1779" spans="1:19">
      <c r="A1779" s="18" t="s">
        <v>1794</v>
      </c>
      <c r="B1779" s="1" t="s">
        <v>1936</v>
      </c>
      <c r="C1779" s="1" t="s">
        <v>2043</v>
      </c>
      <c r="D1779" s="1" t="s">
        <v>2044</v>
      </c>
      <c r="E1779" s="1" t="s">
        <v>25</v>
      </c>
      <c r="F1779">
        <v>251.90199999999999</v>
      </c>
      <c r="G1779">
        <v>298.89999999999998</v>
      </c>
      <c r="H1779" t="s">
        <v>25</v>
      </c>
      <c r="I1779" s="1" t="s">
        <v>1528</v>
      </c>
      <c r="J1779" s="1" t="s">
        <v>25</v>
      </c>
      <c r="K1779" s="11" t="s">
        <v>25</v>
      </c>
      <c r="L1779">
        <v>0.83</v>
      </c>
      <c r="M1779" s="3" t="str">
        <f t="shared" si="43"/>
        <v>44/40</v>
      </c>
      <c r="N1779" s="3" t="str">
        <f t="shared" si="45"/>
        <v>SRM915a</v>
      </c>
      <c r="O1779" s="1" t="s">
        <v>25</v>
      </c>
      <c r="P1779" s="3" t="s">
        <v>25</v>
      </c>
      <c r="Q1779" s="37" t="s">
        <v>25</v>
      </c>
      <c r="R1779" s="3" t="s">
        <v>25</v>
      </c>
      <c r="S1779" s="13">
        <f t="shared" si="44"/>
        <v>-1.0499999999999998</v>
      </c>
    </row>
    <row r="1780" spans="1:19">
      <c r="A1780" s="18" t="s">
        <v>1794</v>
      </c>
      <c r="B1780" s="1" t="s">
        <v>1937</v>
      </c>
      <c r="C1780" s="1" t="s">
        <v>2043</v>
      </c>
      <c r="D1780" s="1" t="s">
        <v>2044</v>
      </c>
      <c r="E1780" s="1" t="s">
        <v>25</v>
      </c>
      <c r="F1780">
        <v>251.90199999999999</v>
      </c>
      <c r="G1780">
        <v>298.89999999999998</v>
      </c>
      <c r="H1780" t="s">
        <v>25</v>
      </c>
      <c r="I1780" s="1" t="s">
        <v>1528</v>
      </c>
      <c r="J1780" s="1" t="s">
        <v>25</v>
      </c>
      <c r="K1780" s="11" t="s">
        <v>25</v>
      </c>
      <c r="L1780">
        <v>1.1100000000000001</v>
      </c>
      <c r="M1780" s="3" t="str">
        <f t="shared" si="43"/>
        <v>44/40</v>
      </c>
      <c r="N1780" s="3" t="str">
        <f t="shared" si="45"/>
        <v>SRM915a</v>
      </c>
      <c r="O1780" s="1" t="s">
        <v>25</v>
      </c>
      <c r="P1780" s="3" t="s">
        <v>25</v>
      </c>
      <c r="Q1780" s="37" t="s">
        <v>25</v>
      </c>
      <c r="R1780" s="3" t="s">
        <v>25</v>
      </c>
      <c r="S1780" s="13">
        <f t="shared" si="44"/>
        <v>-0.7699999999999998</v>
      </c>
    </row>
    <row r="1781" spans="1:19">
      <c r="A1781" s="18" t="s">
        <v>1794</v>
      </c>
      <c r="B1781" s="1" t="s">
        <v>1938</v>
      </c>
      <c r="C1781" s="1" t="s">
        <v>2043</v>
      </c>
      <c r="D1781" s="1" t="s">
        <v>2044</v>
      </c>
      <c r="E1781" s="1" t="s">
        <v>25</v>
      </c>
      <c r="F1781">
        <v>251.90199999999999</v>
      </c>
      <c r="G1781">
        <v>298.89999999999998</v>
      </c>
      <c r="H1781" t="s">
        <v>25</v>
      </c>
      <c r="I1781" s="1" t="s">
        <v>1528</v>
      </c>
      <c r="J1781" s="1" t="s">
        <v>25</v>
      </c>
      <c r="K1781" s="11" t="s">
        <v>25</v>
      </c>
      <c r="L1781">
        <v>0.77</v>
      </c>
      <c r="M1781" s="3" t="str">
        <f t="shared" si="43"/>
        <v>44/40</v>
      </c>
      <c r="N1781" s="3" t="str">
        <f t="shared" si="45"/>
        <v>SRM915a</v>
      </c>
      <c r="O1781" s="1" t="s">
        <v>25</v>
      </c>
      <c r="P1781" s="3" t="s">
        <v>25</v>
      </c>
      <c r="Q1781" s="37" t="s">
        <v>25</v>
      </c>
      <c r="R1781" s="3" t="s">
        <v>25</v>
      </c>
      <c r="S1781" s="13">
        <f t="shared" si="44"/>
        <v>-1.1099999999999999</v>
      </c>
    </row>
    <row r="1782" spans="1:19">
      <c r="A1782" s="18" t="s">
        <v>1794</v>
      </c>
      <c r="B1782" s="1" t="s">
        <v>1939</v>
      </c>
      <c r="C1782" s="1" t="s">
        <v>2043</v>
      </c>
      <c r="D1782" s="1" t="s">
        <v>2044</v>
      </c>
      <c r="E1782" s="1" t="s">
        <v>25</v>
      </c>
      <c r="F1782">
        <v>251.90199999999999</v>
      </c>
      <c r="G1782">
        <v>298.89999999999998</v>
      </c>
      <c r="H1782" t="s">
        <v>25</v>
      </c>
      <c r="I1782" s="1" t="s">
        <v>1528</v>
      </c>
      <c r="J1782" s="1" t="s">
        <v>25</v>
      </c>
      <c r="K1782" s="11" t="s">
        <v>25</v>
      </c>
      <c r="L1782">
        <v>1.17</v>
      </c>
      <c r="M1782" s="3" t="str">
        <f t="shared" si="43"/>
        <v>44/40</v>
      </c>
      <c r="N1782" s="3" t="str">
        <f t="shared" si="45"/>
        <v>SRM915a</v>
      </c>
      <c r="O1782" s="1" t="s">
        <v>25</v>
      </c>
      <c r="P1782" s="3" t="s">
        <v>25</v>
      </c>
      <c r="Q1782" s="37" t="s">
        <v>25</v>
      </c>
      <c r="R1782" s="3" t="s">
        <v>25</v>
      </c>
      <c r="S1782" s="13">
        <f t="shared" si="44"/>
        <v>-0.71</v>
      </c>
    </row>
    <row r="1783" spans="1:19">
      <c r="A1783" s="18" t="s">
        <v>1794</v>
      </c>
      <c r="B1783" s="1" t="s">
        <v>1940</v>
      </c>
      <c r="C1783" s="1" t="s">
        <v>2043</v>
      </c>
      <c r="D1783" s="1" t="s">
        <v>2044</v>
      </c>
      <c r="E1783" s="1" t="s">
        <v>25</v>
      </c>
      <c r="F1783">
        <v>251.90199999999999</v>
      </c>
      <c r="G1783">
        <v>298.89999999999998</v>
      </c>
      <c r="H1783" t="s">
        <v>25</v>
      </c>
      <c r="I1783" s="1" t="s">
        <v>1528</v>
      </c>
      <c r="J1783" s="1" t="s">
        <v>25</v>
      </c>
      <c r="K1783" s="11" t="s">
        <v>25</v>
      </c>
      <c r="L1783">
        <v>0.63</v>
      </c>
      <c r="M1783" s="3" t="str">
        <f t="shared" si="43"/>
        <v>44/40</v>
      </c>
      <c r="N1783" s="3" t="str">
        <f t="shared" si="45"/>
        <v>SRM915a</v>
      </c>
      <c r="O1783" s="1" t="s">
        <v>25</v>
      </c>
      <c r="P1783" s="3" t="s">
        <v>25</v>
      </c>
      <c r="Q1783" s="37" t="s">
        <v>25</v>
      </c>
      <c r="R1783" s="3" t="s">
        <v>25</v>
      </c>
      <c r="S1783" s="13">
        <f t="shared" si="44"/>
        <v>-1.25</v>
      </c>
    </row>
    <row r="1784" spans="1:19">
      <c r="A1784" s="18" t="s">
        <v>1794</v>
      </c>
      <c r="B1784" s="1" t="s">
        <v>1941</v>
      </c>
      <c r="C1784" s="1" t="s">
        <v>2043</v>
      </c>
      <c r="D1784" s="1" t="s">
        <v>2044</v>
      </c>
      <c r="E1784" s="1" t="s">
        <v>25</v>
      </c>
      <c r="F1784">
        <v>251.90199999999999</v>
      </c>
      <c r="G1784">
        <v>298.89999999999998</v>
      </c>
      <c r="H1784" t="s">
        <v>25</v>
      </c>
      <c r="I1784" s="1" t="s">
        <v>1528</v>
      </c>
      <c r="J1784" s="1" t="s">
        <v>25</v>
      </c>
      <c r="K1784" s="11" t="s">
        <v>25</v>
      </c>
      <c r="L1784">
        <v>1.35</v>
      </c>
      <c r="M1784" s="3" t="str">
        <f t="shared" si="43"/>
        <v>44/40</v>
      </c>
      <c r="N1784" s="3" t="str">
        <f t="shared" si="45"/>
        <v>SRM915a</v>
      </c>
      <c r="O1784" s="1" t="s">
        <v>25</v>
      </c>
      <c r="P1784" s="3" t="s">
        <v>25</v>
      </c>
      <c r="Q1784" s="37" t="s">
        <v>25</v>
      </c>
      <c r="R1784" s="3" t="s">
        <v>25</v>
      </c>
      <c r="S1784" s="13">
        <f t="shared" si="44"/>
        <v>-0.5299999999999998</v>
      </c>
    </row>
    <row r="1785" spans="1:19">
      <c r="A1785" s="18" t="s">
        <v>1794</v>
      </c>
      <c r="B1785" s="1" t="s">
        <v>1942</v>
      </c>
      <c r="C1785" s="1" t="s">
        <v>2043</v>
      </c>
      <c r="D1785" s="1" t="s">
        <v>2044</v>
      </c>
      <c r="E1785" s="1" t="s">
        <v>25</v>
      </c>
      <c r="F1785">
        <v>251.90199999999999</v>
      </c>
      <c r="G1785">
        <v>298.89999999999998</v>
      </c>
      <c r="H1785" t="s">
        <v>25</v>
      </c>
      <c r="I1785" s="1" t="s">
        <v>1528</v>
      </c>
      <c r="J1785" s="1" t="s">
        <v>25</v>
      </c>
      <c r="K1785" s="11" t="s">
        <v>25</v>
      </c>
      <c r="L1785">
        <v>1.1499999999999999</v>
      </c>
      <c r="M1785" s="3" t="str">
        <f t="shared" si="43"/>
        <v>44/40</v>
      </c>
      <c r="N1785" s="3" t="str">
        <f t="shared" si="45"/>
        <v>SRM915a</v>
      </c>
      <c r="O1785" s="1" t="s">
        <v>25</v>
      </c>
      <c r="P1785" s="3" t="s">
        <v>25</v>
      </c>
      <c r="Q1785" s="37" t="s">
        <v>25</v>
      </c>
      <c r="R1785" s="3" t="s">
        <v>25</v>
      </c>
      <c r="S1785" s="13">
        <f t="shared" si="44"/>
        <v>-0.73</v>
      </c>
    </row>
    <row r="1786" spans="1:19">
      <c r="A1786" s="18" t="s">
        <v>1794</v>
      </c>
      <c r="B1786" s="1" t="s">
        <v>1943</v>
      </c>
      <c r="C1786" s="1" t="s">
        <v>2043</v>
      </c>
      <c r="D1786" s="1" t="s">
        <v>2044</v>
      </c>
      <c r="E1786" s="1" t="s">
        <v>25</v>
      </c>
      <c r="F1786">
        <v>251.90199999999999</v>
      </c>
      <c r="G1786">
        <v>298.89999999999998</v>
      </c>
      <c r="H1786" t="s">
        <v>25</v>
      </c>
      <c r="I1786" s="1" t="s">
        <v>1528</v>
      </c>
      <c r="J1786" s="1" t="s">
        <v>25</v>
      </c>
      <c r="K1786" s="11" t="s">
        <v>25</v>
      </c>
      <c r="L1786">
        <v>0.74</v>
      </c>
      <c r="M1786" s="3" t="str">
        <f t="shared" si="43"/>
        <v>44/40</v>
      </c>
      <c r="N1786" s="3" t="str">
        <f t="shared" si="45"/>
        <v>SRM915a</v>
      </c>
      <c r="O1786" s="1" t="s">
        <v>25</v>
      </c>
      <c r="P1786" s="3" t="s">
        <v>25</v>
      </c>
      <c r="Q1786" s="37" t="s">
        <v>25</v>
      </c>
      <c r="R1786" s="3" t="s">
        <v>25</v>
      </c>
      <c r="S1786" s="13">
        <f t="shared" si="44"/>
        <v>-1.1399999999999999</v>
      </c>
    </row>
    <row r="1787" spans="1:19">
      <c r="A1787" s="18" t="s">
        <v>1794</v>
      </c>
      <c r="B1787" s="1" t="s">
        <v>1944</v>
      </c>
      <c r="C1787" s="1" t="s">
        <v>2043</v>
      </c>
      <c r="D1787" s="1" t="s">
        <v>2044</v>
      </c>
      <c r="E1787" s="1" t="s">
        <v>25</v>
      </c>
      <c r="F1787">
        <v>251.90199999999999</v>
      </c>
      <c r="G1787">
        <v>298.89999999999998</v>
      </c>
      <c r="H1787" t="s">
        <v>25</v>
      </c>
      <c r="I1787" s="1" t="s">
        <v>1528</v>
      </c>
      <c r="J1787" s="1" t="s">
        <v>25</v>
      </c>
      <c r="K1787" s="11" t="s">
        <v>25</v>
      </c>
      <c r="L1787">
        <v>0.88</v>
      </c>
      <c r="M1787" s="3" t="str">
        <f t="shared" si="43"/>
        <v>44/40</v>
      </c>
      <c r="N1787" s="3" t="str">
        <f t="shared" si="45"/>
        <v>SRM915a</v>
      </c>
      <c r="O1787" s="1" t="s">
        <v>25</v>
      </c>
      <c r="P1787" s="3" t="s">
        <v>25</v>
      </c>
      <c r="Q1787" s="37" t="s">
        <v>25</v>
      </c>
      <c r="R1787" s="3" t="s">
        <v>25</v>
      </c>
      <c r="S1787" s="13">
        <f t="shared" si="44"/>
        <v>-0.99999999999999989</v>
      </c>
    </row>
    <row r="1788" spans="1:19">
      <c r="A1788" s="18" t="s">
        <v>1794</v>
      </c>
      <c r="B1788" s="1" t="s">
        <v>1945</v>
      </c>
      <c r="C1788" s="1" t="s">
        <v>2043</v>
      </c>
      <c r="D1788" s="1" t="s">
        <v>2044</v>
      </c>
      <c r="E1788" s="1" t="s">
        <v>25</v>
      </c>
      <c r="F1788">
        <v>251.90199999999999</v>
      </c>
      <c r="G1788">
        <v>298.89999999999998</v>
      </c>
      <c r="H1788" t="s">
        <v>25</v>
      </c>
      <c r="I1788" s="1" t="s">
        <v>1528</v>
      </c>
      <c r="J1788" s="1" t="s">
        <v>25</v>
      </c>
      <c r="K1788" s="11" t="s">
        <v>25</v>
      </c>
      <c r="L1788">
        <v>1.1499999999999999</v>
      </c>
      <c r="M1788" s="3" t="str">
        <f t="shared" si="43"/>
        <v>44/40</v>
      </c>
      <c r="N1788" s="3" t="str">
        <f t="shared" si="45"/>
        <v>SRM915a</v>
      </c>
      <c r="O1788" s="1" t="s">
        <v>25</v>
      </c>
      <c r="P1788" s="3" t="s">
        <v>25</v>
      </c>
      <c r="Q1788" s="37" t="s">
        <v>25</v>
      </c>
      <c r="R1788" s="3" t="s">
        <v>25</v>
      </c>
      <c r="S1788" s="13">
        <f t="shared" si="44"/>
        <v>-0.73</v>
      </c>
    </row>
    <row r="1789" spans="1:19">
      <c r="A1789" s="18" t="s">
        <v>1794</v>
      </c>
      <c r="B1789" s="1" t="s">
        <v>1946</v>
      </c>
      <c r="C1789" s="1" t="s">
        <v>2043</v>
      </c>
      <c r="D1789" s="1" t="s">
        <v>2044</v>
      </c>
      <c r="E1789" s="1" t="s">
        <v>25</v>
      </c>
      <c r="F1789">
        <v>251.90199999999999</v>
      </c>
      <c r="G1789">
        <v>298.89999999999998</v>
      </c>
      <c r="H1789" t="s">
        <v>25</v>
      </c>
      <c r="I1789" s="1" t="s">
        <v>1528</v>
      </c>
      <c r="J1789" s="1" t="s">
        <v>25</v>
      </c>
      <c r="K1789" s="11" t="s">
        <v>25</v>
      </c>
      <c r="L1789">
        <v>1.07</v>
      </c>
      <c r="M1789" s="3" t="str">
        <f t="shared" si="43"/>
        <v>44/40</v>
      </c>
      <c r="N1789" s="3" t="str">
        <f t="shared" si="45"/>
        <v>SRM915a</v>
      </c>
      <c r="O1789" s="1" t="s">
        <v>25</v>
      </c>
      <c r="P1789" s="3" t="s">
        <v>25</v>
      </c>
      <c r="Q1789" s="37" t="s">
        <v>25</v>
      </c>
      <c r="R1789" s="3" t="s">
        <v>25</v>
      </c>
      <c r="S1789" s="13">
        <f t="shared" si="44"/>
        <v>-0.80999999999999983</v>
      </c>
    </row>
    <row r="1790" spans="1:19">
      <c r="A1790" s="18" t="s">
        <v>1794</v>
      </c>
      <c r="B1790" s="1" t="s">
        <v>1947</v>
      </c>
      <c r="C1790" s="1" t="s">
        <v>2043</v>
      </c>
      <c r="D1790" s="1" t="s">
        <v>2044</v>
      </c>
      <c r="E1790" s="1" t="s">
        <v>25</v>
      </c>
      <c r="F1790">
        <v>251.90199999999999</v>
      </c>
      <c r="G1790">
        <v>298.89999999999998</v>
      </c>
      <c r="H1790" t="s">
        <v>25</v>
      </c>
      <c r="I1790" s="1" t="s">
        <v>1528</v>
      </c>
      <c r="J1790" s="1" t="s">
        <v>25</v>
      </c>
      <c r="K1790" s="11" t="s">
        <v>25</v>
      </c>
      <c r="L1790">
        <v>1.07</v>
      </c>
      <c r="M1790" s="3" t="str">
        <f t="shared" si="43"/>
        <v>44/40</v>
      </c>
      <c r="N1790" s="3" t="str">
        <f t="shared" si="45"/>
        <v>SRM915a</v>
      </c>
      <c r="O1790" s="1" t="s">
        <v>25</v>
      </c>
      <c r="P1790" s="3" t="s">
        <v>25</v>
      </c>
      <c r="Q1790" s="37" t="s">
        <v>25</v>
      </c>
      <c r="R1790" s="3" t="s">
        <v>25</v>
      </c>
      <c r="S1790" s="13">
        <f t="shared" si="44"/>
        <v>-0.80999999999999983</v>
      </c>
    </row>
    <row r="1791" spans="1:19">
      <c r="A1791" s="18" t="s">
        <v>1794</v>
      </c>
      <c r="B1791" s="1" t="s">
        <v>1948</v>
      </c>
      <c r="C1791" s="1" t="s">
        <v>2043</v>
      </c>
      <c r="D1791" s="1" t="s">
        <v>2044</v>
      </c>
      <c r="E1791" s="1" t="s">
        <v>25</v>
      </c>
      <c r="F1791">
        <v>251.90199999999999</v>
      </c>
      <c r="G1791">
        <v>298.89999999999998</v>
      </c>
      <c r="H1791" t="s">
        <v>25</v>
      </c>
      <c r="I1791" s="1" t="s">
        <v>1528</v>
      </c>
      <c r="J1791" s="1" t="s">
        <v>25</v>
      </c>
      <c r="K1791" s="11" t="s">
        <v>25</v>
      </c>
      <c r="L1791">
        <v>1.21</v>
      </c>
      <c r="M1791" s="3" t="str">
        <f t="shared" si="43"/>
        <v>44/40</v>
      </c>
      <c r="N1791" s="3" t="str">
        <f t="shared" si="45"/>
        <v>SRM915a</v>
      </c>
      <c r="O1791" s="1" t="s">
        <v>25</v>
      </c>
      <c r="P1791" s="3" t="s">
        <v>25</v>
      </c>
      <c r="Q1791" s="37" t="s">
        <v>25</v>
      </c>
      <c r="R1791" s="3" t="s">
        <v>25</v>
      </c>
      <c r="S1791" s="13">
        <f t="shared" si="44"/>
        <v>-0.66999999999999993</v>
      </c>
    </row>
    <row r="1792" spans="1:19">
      <c r="A1792" s="18" t="s">
        <v>1794</v>
      </c>
      <c r="B1792" s="1" t="s">
        <v>1949</v>
      </c>
      <c r="C1792" s="1" t="s">
        <v>2043</v>
      </c>
      <c r="D1792" s="1" t="s">
        <v>2044</v>
      </c>
      <c r="E1792" s="1" t="s">
        <v>25</v>
      </c>
      <c r="F1792">
        <v>251.90199999999999</v>
      </c>
      <c r="G1792">
        <v>298.89999999999998</v>
      </c>
      <c r="H1792" t="s">
        <v>25</v>
      </c>
      <c r="I1792" s="1" t="s">
        <v>1528</v>
      </c>
      <c r="J1792" s="1" t="s">
        <v>25</v>
      </c>
      <c r="K1792" s="11" t="s">
        <v>25</v>
      </c>
      <c r="L1792">
        <v>1.01</v>
      </c>
      <c r="M1792" s="3" t="str">
        <f t="shared" si="43"/>
        <v>44/40</v>
      </c>
      <c r="N1792" s="3" t="str">
        <f t="shared" si="45"/>
        <v>SRM915a</v>
      </c>
      <c r="O1792" s="1" t="s">
        <v>25</v>
      </c>
      <c r="P1792" s="3" t="s">
        <v>25</v>
      </c>
      <c r="Q1792" s="37" t="s">
        <v>25</v>
      </c>
      <c r="R1792" s="3" t="s">
        <v>25</v>
      </c>
      <c r="S1792" s="13">
        <f t="shared" si="44"/>
        <v>-0.86999999999999988</v>
      </c>
    </row>
    <row r="1793" spans="1:19">
      <c r="A1793" s="18" t="s">
        <v>1794</v>
      </c>
      <c r="B1793" s="1" t="s">
        <v>1950</v>
      </c>
      <c r="C1793" s="1" t="s">
        <v>2043</v>
      </c>
      <c r="D1793" s="1" t="s">
        <v>2044</v>
      </c>
      <c r="E1793" s="1" t="s">
        <v>25</v>
      </c>
      <c r="F1793">
        <v>251.90199999999999</v>
      </c>
      <c r="G1793">
        <v>298.89999999999998</v>
      </c>
      <c r="H1793" t="s">
        <v>25</v>
      </c>
      <c r="I1793" s="1" t="s">
        <v>1528</v>
      </c>
      <c r="J1793" s="1" t="s">
        <v>25</v>
      </c>
      <c r="K1793" s="11" t="s">
        <v>25</v>
      </c>
      <c r="L1793">
        <v>0.91</v>
      </c>
      <c r="M1793" s="3" t="str">
        <f t="shared" si="43"/>
        <v>44/40</v>
      </c>
      <c r="N1793" s="3" t="str">
        <f t="shared" si="45"/>
        <v>SRM915a</v>
      </c>
      <c r="O1793" s="1" t="s">
        <v>25</v>
      </c>
      <c r="P1793" s="3" t="s">
        <v>25</v>
      </c>
      <c r="Q1793" s="37" t="s">
        <v>25</v>
      </c>
      <c r="R1793" s="3" t="s">
        <v>25</v>
      </c>
      <c r="S1793" s="13">
        <f t="shared" si="44"/>
        <v>-0.96999999999999986</v>
      </c>
    </row>
    <row r="1794" spans="1:19">
      <c r="A1794" s="18" t="s">
        <v>1794</v>
      </c>
      <c r="B1794" s="1" t="s">
        <v>1951</v>
      </c>
      <c r="C1794" s="1" t="s">
        <v>2043</v>
      </c>
      <c r="D1794" s="1" t="s">
        <v>2044</v>
      </c>
      <c r="E1794" s="1" t="s">
        <v>25</v>
      </c>
      <c r="F1794">
        <v>251.90199999999999</v>
      </c>
      <c r="G1794">
        <v>298.89999999999998</v>
      </c>
      <c r="H1794" t="s">
        <v>25</v>
      </c>
      <c r="I1794" s="1" t="s">
        <v>1528</v>
      </c>
      <c r="J1794" s="1" t="s">
        <v>25</v>
      </c>
      <c r="K1794" s="11" t="s">
        <v>25</v>
      </c>
      <c r="L1794">
        <v>0.82</v>
      </c>
      <c r="M1794" s="3" t="str">
        <f t="shared" si="43"/>
        <v>44/40</v>
      </c>
      <c r="N1794" s="3" t="str">
        <f t="shared" si="45"/>
        <v>SRM915a</v>
      </c>
      <c r="O1794" s="1" t="s">
        <v>25</v>
      </c>
      <c r="P1794" s="3" t="s">
        <v>25</v>
      </c>
      <c r="Q1794" s="37" t="s">
        <v>25</v>
      </c>
      <c r="R1794" s="3" t="s">
        <v>25</v>
      </c>
      <c r="S1794" s="13">
        <f t="shared" si="44"/>
        <v>-1.06</v>
      </c>
    </row>
    <row r="1795" spans="1:19">
      <c r="A1795" s="18" t="s">
        <v>1794</v>
      </c>
      <c r="B1795" s="1" t="s">
        <v>1952</v>
      </c>
      <c r="C1795" s="1" t="s">
        <v>2043</v>
      </c>
      <c r="D1795" s="1" t="s">
        <v>2044</v>
      </c>
      <c r="E1795" s="1" t="s">
        <v>25</v>
      </c>
      <c r="F1795">
        <v>251.90199999999999</v>
      </c>
      <c r="G1795">
        <v>298.89999999999998</v>
      </c>
      <c r="H1795" t="s">
        <v>25</v>
      </c>
      <c r="I1795" s="1" t="s">
        <v>1528</v>
      </c>
      <c r="J1795" s="1" t="s">
        <v>25</v>
      </c>
      <c r="K1795" s="11" t="s">
        <v>25</v>
      </c>
      <c r="L1795">
        <v>0.95</v>
      </c>
      <c r="M1795" s="3" t="str">
        <f t="shared" si="43"/>
        <v>44/40</v>
      </c>
      <c r="N1795" s="3" t="str">
        <f t="shared" si="45"/>
        <v>SRM915a</v>
      </c>
      <c r="O1795" s="1" t="s">
        <v>25</v>
      </c>
      <c r="P1795" s="3" t="s">
        <v>25</v>
      </c>
      <c r="Q1795" s="37" t="s">
        <v>25</v>
      </c>
      <c r="R1795" s="3" t="s">
        <v>25</v>
      </c>
      <c r="S1795" s="13">
        <f t="shared" si="44"/>
        <v>-0.92999999999999994</v>
      </c>
    </row>
    <row r="1796" spans="1:19">
      <c r="A1796" s="18" t="s">
        <v>1794</v>
      </c>
      <c r="B1796" s="1" t="s">
        <v>1953</v>
      </c>
      <c r="C1796" s="1" t="s">
        <v>2043</v>
      </c>
      <c r="D1796" s="1" t="s">
        <v>2044</v>
      </c>
      <c r="E1796" s="1" t="s">
        <v>25</v>
      </c>
      <c r="F1796">
        <v>251.90199999999999</v>
      </c>
      <c r="G1796">
        <v>298.89999999999998</v>
      </c>
      <c r="H1796" t="s">
        <v>25</v>
      </c>
      <c r="I1796" s="1" t="s">
        <v>1528</v>
      </c>
      <c r="J1796" s="1" t="s">
        <v>25</v>
      </c>
      <c r="K1796" s="11" t="s">
        <v>25</v>
      </c>
      <c r="L1796">
        <v>0.99</v>
      </c>
      <c r="M1796" s="3" t="str">
        <f t="shared" si="43"/>
        <v>44/40</v>
      </c>
      <c r="N1796" s="3" t="str">
        <f t="shared" si="45"/>
        <v>SRM915a</v>
      </c>
      <c r="O1796" s="1" t="s">
        <v>25</v>
      </c>
      <c r="P1796" s="3" t="s">
        <v>25</v>
      </c>
      <c r="Q1796" s="37" t="s">
        <v>25</v>
      </c>
      <c r="R1796" s="3" t="s">
        <v>25</v>
      </c>
      <c r="S1796" s="13">
        <f t="shared" si="44"/>
        <v>-0.8899999999999999</v>
      </c>
    </row>
    <row r="1797" spans="1:19">
      <c r="A1797" s="18" t="s">
        <v>1794</v>
      </c>
      <c r="B1797" s="1" t="s">
        <v>1954</v>
      </c>
      <c r="C1797" s="1" t="s">
        <v>2043</v>
      </c>
      <c r="D1797" s="1" t="s">
        <v>2044</v>
      </c>
      <c r="E1797" s="1" t="s">
        <v>25</v>
      </c>
      <c r="F1797">
        <v>251.90199999999999</v>
      </c>
      <c r="G1797">
        <v>298.89999999999998</v>
      </c>
      <c r="H1797" t="s">
        <v>25</v>
      </c>
      <c r="I1797" s="1" t="s">
        <v>1528</v>
      </c>
      <c r="J1797" s="1" t="s">
        <v>25</v>
      </c>
      <c r="K1797" s="11" t="s">
        <v>25</v>
      </c>
      <c r="L1797">
        <v>1.04</v>
      </c>
      <c r="M1797" s="3" t="str">
        <f t="shared" si="43"/>
        <v>44/40</v>
      </c>
      <c r="N1797" s="3" t="str">
        <f t="shared" si="45"/>
        <v>SRM915a</v>
      </c>
      <c r="O1797" s="1" t="s">
        <v>25</v>
      </c>
      <c r="P1797" s="3" t="s">
        <v>25</v>
      </c>
      <c r="Q1797" s="37" t="s">
        <v>25</v>
      </c>
      <c r="R1797" s="3" t="s">
        <v>25</v>
      </c>
      <c r="S1797" s="13">
        <f t="shared" si="44"/>
        <v>-0.83999999999999986</v>
      </c>
    </row>
    <row r="1798" spans="1:19">
      <c r="A1798" s="18" t="s">
        <v>1794</v>
      </c>
      <c r="B1798" s="1" t="s">
        <v>1955</v>
      </c>
      <c r="C1798" s="1" t="s">
        <v>2043</v>
      </c>
      <c r="D1798" s="1" t="s">
        <v>2044</v>
      </c>
      <c r="E1798" s="1" t="s">
        <v>25</v>
      </c>
      <c r="F1798">
        <v>251.90199999999999</v>
      </c>
      <c r="G1798">
        <v>298.89999999999998</v>
      </c>
      <c r="H1798" t="s">
        <v>25</v>
      </c>
      <c r="I1798" s="1" t="s">
        <v>1528</v>
      </c>
      <c r="J1798" s="1" t="s">
        <v>25</v>
      </c>
      <c r="K1798" s="11" t="s">
        <v>25</v>
      </c>
      <c r="L1798">
        <v>0.95</v>
      </c>
      <c r="M1798" s="3" t="str">
        <f t="shared" si="43"/>
        <v>44/40</v>
      </c>
      <c r="N1798" s="3" t="str">
        <f t="shared" si="45"/>
        <v>SRM915a</v>
      </c>
      <c r="O1798" s="1" t="s">
        <v>25</v>
      </c>
      <c r="P1798" s="3" t="s">
        <v>25</v>
      </c>
      <c r="Q1798" s="37" t="s">
        <v>25</v>
      </c>
      <c r="R1798" s="3" t="s">
        <v>25</v>
      </c>
      <c r="S1798" s="13">
        <f t="shared" si="44"/>
        <v>-0.92999999999999994</v>
      </c>
    </row>
    <row r="1799" spans="1:19">
      <c r="A1799" s="18" t="s">
        <v>1794</v>
      </c>
      <c r="B1799" s="1" t="s">
        <v>1956</v>
      </c>
      <c r="C1799" s="1" t="s">
        <v>2043</v>
      </c>
      <c r="D1799" s="1" t="s">
        <v>2044</v>
      </c>
      <c r="E1799" s="1" t="s">
        <v>25</v>
      </c>
      <c r="F1799">
        <v>251.90199999999999</v>
      </c>
      <c r="G1799">
        <v>298.89999999999998</v>
      </c>
      <c r="H1799" t="s">
        <v>25</v>
      </c>
      <c r="I1799" s="1" t="s">
        <v>1528</v>
      </c>
      <c r="J1799" s="1" t="s">
        <v>25</v>
      </c>
      <c r="K1799" s="11" t="s">
        <v>25</v>
      </c>
      <c r="L1799">
        <v>1.3</v>
      </c>
      <c r="M1799" s="3" t="str">
        <f t="shared" si="43"/>
        <v>44/40</v>
      </c>
      <c r="N1799" s="3" t="str">
        <f t="shared" si="45"/>
        <v>SRM915a</v>
      </c>
      <c r="O1799" s="1" t="s">
        <v>25</v>
      </c>
      <c r="P1799" s="3" t="s">
        <v>25</v>
      </c>
      <c r="Q1799" s="37" t="s">
        <v>25</v>
      </c>
      <c r="R1799" s="3" t="s">
        <v>25</v>
      </c>
      <c r="S1799" s="13">
        <f t="shared" si="44"/>
        <v>-0.57999999999999985</v>
      </c>
    </row>
    <row r="1800" spans="1:19">
      <c r="A1800" s="18" t="s">
        <v>1794</v>
      </c>
      <c r="B1800" s="1" t="s">
        <v>1957</v>
      </c>
      <c r="C1800" s="1" t="s">
        <v>2043</v>
      </c>
      <c r="D1800" s="1" t="s">
        <v>2044</v>
      </c>
      <c r="E1800" s="1" t="s">
        <v>25</v>
      </c>
      <c r="F1800">
        <v>251.90199999999999</v>
      </c>
      <c r="G1800">
        <v>298.89999999999998</v>
      </c>
      <c r="H1800" t="s">
        <v>25</v>
      </c>
      <c r="I1800" s="1" t="s">
        <v>1528</v>
      </c>
      <c r="J1800" s="1" t="s">
        <v>25</v>
      </c>
      <c r="K1800" s="11" t="s">
        <v>25</v>
      </c>
      <c r="L1800">
        <v>1.01</v>
      </c>
      <c r="M1800" s="3" t="str">
        <f t="shared" ref="M1800:M1863" si="46">IF(ISNUMBER(SEARCH("Na", L1800)), "Na", "44/40")</f>
        <v>44/40</v>
      </c>
      <c r="N1800" s="3" t="str">
        <f t="shared" si="45"/>
        <v>SRM915a</v>
      </c>
      <c r="O1800" s="1" t="s">
        <v>25</v>
      </c>
      <c r="P1800" s="3" t="s">
        <v>25</v>
      </c>
      <c r="Q1800" s="37" t="s">
        <v>25</v>
      </c>
      <c r="R1800" s="3" t="s">
        <v>25</v>
      </c>
      <c r="S1800" s="13">
        <f t="shared" si="44"/>
        <v>-0.86999999999999988</v>
      </c>
    </row>
    <row r="1801" spans="1:19">
      <c r="A1801" s="18" t="s">
        <v>1794</v>
      </c>
      <c r="B1801" s="1" t="s">
        <v>1958</v>
      </c>
      <c r="C1801" s="1" t="s">
        <v>2043</v>
      </c>
      <c r="D1801" s="1" t="s">
        <v>2044</v>
      </c>
      <c r="E1801" s="1" t="s">
        <v>25</v>
      </c>
      <c r="F1801">
        <v>251.90199999999999</v>
      </c>
      <c r="G1801">
        <v>298.89999999999998</v>
      </c>
      <c r="H1801" t="s">
        <v>25</v>
      </c>
      <c r="I1801" s="1" t="s">
        <v>1528</v>
      </c>
      <c r="J1801" s="1" t="s">
        <v>25</v>
      </c>
      <c r="K1801" s="11" t="s">
        <v>25</v>
      </c>
      <c r="L1801">
        <v>0.63</v>
      </c>
      <c r="M1801" s="3" t="str">
        <f t="shared" si="46"/>
        <v>44/40</v>
      </c>
      <c r="N1801" s="3" t="str">
        <f t="shared" si="45"/>
        <v>SRM915a</v>
      </c>
      <c r="O1801" s="1" t="s">
        <v>25</v>
      </c>
      <c r="P1801" s="3" t="s">
        <v>25</v>
      </c>
      <c r="Q1801" s="37" t="s">
        <v>25</v>
      </c>
      <c r="R1801" s="3" t="s">
        <v>25</v>
      </c>
      <c r="S1801" s="13">
        <f t="shared" si="44"/>
        <v>-1.25</v>
      </c>
    </row>
    <row r="1802" spans="1:19">
      <c r="A1802" s="18" t="s">
        <v>1794</v>
      </c>
      <c r="B1802" s="1" t="s">
        <v>1959</v>
      </c>
      <c r="C1802" s="1" t="s">
        <v>2043</v>
      </c>
      <c r="D1802" s="1" t="s">
        <v>2044</v>
      </c>
      <c r="E1802" s="1" t="s">
        <v>25</v>
      </c>
      <c r="F1802">
        <v>251.90199999999999</v>
      </c>
      <c r="G1802">
        <v>298.89999999999998</v>
      </c>
      <c r="H1802" t="s">
        <v>25</v>
      </c>
      <c r="I1802" s="1" t="s">
        <v>1528</v>
      </c>
      <c r="J1802" s="1" t="s">
        <v>25</v>
      </c>
      <c r="K1802" s="11" t="s">
        <v>25</v>
      </c>
      <c r="L1802">
        <v>0.82</v>
      </c>
      <c r="M1802" s="3" t="str">
        <f t="shared" si="46"/>
        <v>44/40</v>
      </c>
      <c r="N1802" s="3" t="str">
        <f t="shared" si="45"/>
        <v>SRM915a</v>
      </c>
      <c r="O1802" s="1" t="s">
        <v>25</v>
      </c>
      <c r="P1802" s="3" t="s">
        <v>25</v>
      </c>
      <c r="Q1802" s="37" t="s">
        <v>25</v>
      </c>
      <c r="R1802" s="3" t="s">
        <v>25</v>
      </c>
      <c r="S1802" s="13">
        <f t="shared" si="44"/>
        <v>-1.06</v>
      </c>
    </row>
    <row r="1803" spans="1:19">
      <c r="A1803" s="18" t="s">
        <v>1794</v>
      </c>
      <c r="B1803" s="1" t="s">
        <v>1960</v>
      </c>
      <c r="C1803" s="1" t="s">
        <v>2043</v>
      </c>
      <c r="D1803" s="1" t="s">
        <v>2044</v>
      </c>
      <c r="E1803" s="1" t="s">
        <v>25</v>
      </c>
      <c r="F1803">
        <v>251.90199999999999</v>
      </c>
      <c r="G1803">
        <v>298.89999999999998</v>
      </c>
      <c r="H1803" t="s">
        <v>25</v>
      </c>
      <c r="I1803" s="1" t="s">
        <v>1528</v>
      </c>
      <c r="J1803" s="1" t="s">
        <v>25</v>
      </c>
      <c r="K1803" s="11" t="s">
        <v>25</v>
      </c>
      <c r="L1803">
        <v>0.75</v>
      </c>
      <c r="M1803" s="3" t="str">
        <f t="shared" si="46"/>
        <v>44/40</v>
      </c>
      <c r="N1803" s="3" t="str">
        <f t="shared" si="45"/>
        <v>SRM915a</v>
      </c>
      <c r="O1803" s="1" t="s">
        <v>25</v>
      </c>
      <c r="P1803" s="3" t="s">
        <v>25</v>
      </c>
      <c r="Q1803" s="37" t="s">
        <v>25</v>
      </c>
      <c r="R1803" s="3" t="s">
        <v>25</v>
      </c>
      <c r="S1803" s="13">
        <f t="shared" si="44"/>
        <v>-1.1299999999999999</v>
      </c>
    </row>
    <row r="1804" spans="1:19">
      <c r="A1804" s="18" t="s">
        <v>1794</v>
      </c>
      <c r="B1804" s="1" t="s">
        <v>1961</v>
      </c>
      <c r="C1804" s="1" t="s">
        <v>2043</v>
      </c>
      <c r="D1804" s="1" t="s">
        <v>2044</v>
      </c>
      <c r="E1804" s="1" t="s">
        <v>25</v>
      </c>
      <c r="F1804">
        <v>251.90199999999999</v>
      </c>
      <c r="G1804">
        <v>298.89999999999998</v>
      </c>
      <c r="H1804" t="s">
        <v>25</v>
      </c>
      <c r="I1804" s="1" t="s">
        <v>1528</v>
      </c>
      <c r="J1804" s="1" t="s">
        <v>25</v>
      </c>
      <c r="K1804" s="11" t="s">
        <v>25</v>
      </c>
      <c r="L1804">
        <v>0.98</v>
      </c>
      <c r="M1804" s="3" t="str">
        <f t="shared" si="46"/>
        <v>44/40</v>
      </c>
      <c r="N1804" s="3" t="str">
        <f t="shared" si="45"/>
        <v>SRM915a</v>
      </c>
      <c r="O1804" s="1" t="s">
        <v>25</v>
      </c>
      <c r="P1804" s="3" t="s">
        <v>25</v>
      </c>
      <c r="Q1804" s="37" t="s">
        <v>25</v>
      </c>
      <c r="R1804" s="3" t="s">
        <v>25</v>
      </c>
      <c r="S1804" s="13">
        <f t="shared" si="44"/>
        <v>-0.89999999999999991</v>
      </c>
    </row>
    <row r="1805" spans="1:19">
      <c r="A1805" s="18" t="s">
        <v>1794</v>
      </c>
      <c r="B1805" s="1" t="s">
        <v>1962</v>
      </c>
      <c r="C1805" s="1" t="s">
        <v>2043</v>
      </c>
      <c r="D1805" s="1" t="s">
        <v>2044</v>
      </c>
      <c r="E1805" s="1" t="s">
        <v>25</v>
      </c>
      <c r="F1805">
        <v>251.90199999999999</v>
      </c>
      <c r="G1805">
        <v>298.89999999999998</v>
      </c>
      <c r="H1805" t="s">
        <v>25</v>
      </c>
      <c r="I1805" s="1" t="s">
        <v>1528</v>
      </c>
      <c r="J1805" s="1" t="s">
        <v>25</v>
      </c>
      <c r="K1805" s="11" t="s">
        <v>25</v>
      </c>
      <c r="L1805">
        <v>0.66</v>
      </c>
      <c r="M1805" s="3" t="str">
        <f t="shared" si="46"/>
        <v>44/40</v>
      </c>
      <c r="N1805" s="3" t="str">
        <f t="shared" si="45"/>
        <v>SRM915a</v>
      </c>
      <c r="O1805" s="1" t="s">
        <v>25</v>
      </c>
      <c r="P1805" s="3" t="s">
        <v>25</v>
      </c>
      <c r="Q1805" s="37" t="s">
        <v>25</v>
      </c>
      <c r="R1805" s="3" t="s">
        <v>25</v>
      </c>
      <c r="S1805" s="13">
        <f t="shared" si="44"/>
        <v>-1.2199999999999998</v>
      </c>
    </row>
    <row r="1806" spans="1:19">
      <c r="A1806" s="18" t="s">
        <v>1794</v>
      </c>
      <c r="B1806" s="1" t="s">
        <v>1963</v>
      </c>
      <c r="C1806" s="1" t="s">
        <v>2043</v>
      </c>
      <c r="D1806" s="1" t="s">
        <v>2044</v>
      </c>
      <c r="E1806" s="1" t="s">
        <v>25</v>
      </c>
      <c r="F1806">
        <v>251.90199999999999</v>
      </c>
      <c r="G1806">
        <v>298.89999999999998</v>
      </c>
      <c r="H1806" t="s">
        <v>25</v>
      </c>
      <c r="I1806" s="1" t="s">
        <v>1528</v>
      </c>
      <c r="J1806" s="1" t="s">
        <v>25</v>
      </c>
      <c r="K1806" s="11" t="s">
        <v>25</v>
      </c>
      <c r="L1806">
        <v>1.07</v>
      </c>
      <c r="M1806" s="3" t="str">
        <f t="shared" si="46"/>
        <v>44/40</v>
      </c>
      <c r="N1806" s="3" t="str">
        <f t="shared" si="45"/>
        <v>SRM915a</v>
      </c>
      <c r="O1806" s="1" t="s">
        <v>25</v>
      </c>
      <c r="P1806" s="3" t="s">
        <v>25</v>
      </c>
      <c r="Q1806" s="37" t="s">
        <v>25</v>
      </c>
      <c r="R1806" s="3" t="s">
        <v>25</v>
      </c>
      <c r="S1806" s="13">
        <f t="shared" si="44"/>
        <v>-0.80999999999999983</v>
      </c>
    </row>
    <row r="1807" spans="1:19">
      <c r="A1807" s="18" t="s">
        <v>1794</v>
      </c>
      <c r="B1807" s="1" t="s">
        <v>1964</v>
      </c>
      <c r="C1807" s="1" t="s">
        <v>2043</v>
      </c>
      <c r="D1807" s="1" t="s">
        <v>2044</v>
      </c>
      <c r="E1807" s="1" t="s">
        <v>25</v>
      </c>
      <c r="F1807">
        <v>251.90199999999999</v>
      </c>
      <c r="G1807">
        <v>298.89999999999998</v>
      </c>
      <c r="H1807" t="s">
        <v>25</v>
      </c>
      <c r="I1807" s="1" t="s">
        <v>1528</v>
      </c>
      <c r="J1807" s="1" t="s">
        <v>25</v>
      </c>
      <c r="K1807" s="11" t="s">
        <v>25</v>
      </c>
      <c r="L1807">
        <v>1.06</v>
      </c>
      <c r="M1807" s="3" t="str">
        <f t="shared" si="46"/>
        <v>44/40</v>
      </c>
      <c r="N1807" s="3" t="str">
        <f t="shared" si="45"/>
        <v>SRM915a</v>
      </c>
      <c r="O1807" s="1" t="s">
        <v>25</v>
      </c>
      <c r="P1807" s="3" t="s">
        <v>25</v>
      </c>
      <c r="Q1807" s="37" t="s">
        <v>25</v>
      </c>
      <c r="R1807" s="3" t="s">
        <v>25</v>
      </c>
      <c r="S1807" s="13">
        <f t="shared" si="44"/>
        <v>-0.81999999999999984</v>
      </c>
    </row>
    <row r="1808" spans="1:19">
      <c r="A1808" s="18" t="s">
        <v>1794</v>
      </c>
      <c r="B1808" s="1" t="s">
        <v>1965</v>
      </c>
      <c r="C1808" s="1" t="s">
        <v>2043</v>
      </c>
      <c r="D1808" s="1" t="s">
        <v>2044</v>
      </c>
      <c r="E1808" s="1" t="s">
        <v>25</v>
      </c>
      <c r="F1808">
        <v>251.90199999999999</v>
      </c>
      <c r="G1808">
        <v>298.89999999999998</v>
      </c>
      <c r="H1808" t="s">
        <v>25</v>
      </c>
      <c r="I1808" s="1" t="s">
        <v>1528</v>
      </c>
      <c r="J1808" s="1" t="s">
        <v>25</v>
      </c>
      <c r="K1808" s="11" t="s">
        <v>25</v>
      </c>
      <c r="L1808">
        <v>0.53</v>
      </c>
      <c r="M1808" s="3" t="str">
        <f t="shared" si="46"/>
        <v>44/40</v>
      </c>
      <c r="N1808" s="3" t="str">
        <f t="shared" si="45"/>
        <v>SRM915a</v>
      </c>
      <c r="O1808" s="1" t="s">
        <v>25</v>
      </c>
      <c r="P1808" s="3" t="s">
        <v>25</v>
      </c>
      <c r="Q1808" s="37" t="s">
        <v>25</v>
      </c>
      <c r="R1808" s="3" t="s">
        <v>25</v>
      </c>
      <c r="S1808" s="13">
        <f t="shared" si="44"/>
        <v>-1.3499999999999999</v>
      </c>
    </row>
    <row r="1809" spans="1:19">
      <c r="A1809" s="18" t="s">
        <v>1794</v>
      </c>
      <c r="B1809" s="1" t="s">
        <v>1966</v>
      </c>
      <c r="C1809" s="1" t="s">
        <v>2043</v>
      </c>
      <c r="D1809" s="1" t="s">
        <v>2044</v>
      </c>
      <c r="E1809" s="1" t="s">
        <v>25</v>
      </c>
      <c r="F1809">
        <v>251.90199999999999</v>
      </c>
      <c r="G1809">
        <v>298.89999999999998</v>
      </c>
      <c r="H1809" t="s">
        <v>25</v>
      </c>
      <c r="I1809" s="1" t="s">
        <v>1528</v>
      </c>
      <c r="J1809" s="1" t="s">
        <v>25</v>
      </c>
      <c r="K1809" s="11" t="s">
        <v>25</v>
      </c>
      <c r="L1809">
        <v>0.78</v>
      </c>
      <c r="M1809" s="3" t="str">
        <f t="shared" si="46"/>
        <v>44/40</v>
      </c>
      <c r="N1809" s="3" t="str">
        <f t="shared" si="45"/>
        <v>SRM915a</v>
      </c>
      <c r="O1809" s="1" t="s">
        <v>25</v>
      </c>
      <c r="P1809" s="3" t="s">
        <v>25</v>
      </c>
      <c r="Q1809" s="37" t="s">
        <v>25</v>
      </c>
      <c r="R1809" s="3" t="s">
        <v>25</v>
      </c>
      <c r="S1809" s="13">
        <f t="shared" si="44"/>
        <v>-1.0999999999999999</v>
      </c>
    </row>
    <row r="1810" spans="1:19">
      <c r="A1810" s="18" t="s">
        <v>1794</v>
      </c>
      <c r="B1810" s="1" t="s">
        <v>1967</v>
      </c>
      <c r="C1810" s="1" t="s">
        <v>2043</v>
      </c>
      <c r="D1810" s="1" t="s">
        <v>2044</v>
      </c>
      <c r="E1810" s="1" t="s">
        <v>25</v>
      </c>
      <c r="F1810">
        <v>251.90199999999999</v>
      </c>
      <c r="G1810">
        <v>298.89999999999998</v>
      </c>
      <c r="H1810" t="s">
        <v>25</v>
      </c>
      <c r="I1810" s="1" t="s">
        <v>1528</v>
      </c>
      <c r="J1810" s="1" t="s">
        <v>25</v>
      </c>
      <c r="K1810" s="11" t="s">
        <v>25</v>
      </c>
      <c r="L1810">
        <v>0.81</v>
      </c>
      <c r="M1810" s="3" t="str">
        <f t="shared" si="46"/>
        <v>44/40</v>
      </c>
      <c r="N1810" s="3" t="str">
        <f t="shared" si="45"/>
        <v>SRM915a</v>
      </c>
      <c r="O1810" s="1" t="s">
        <v>25</v>
      </c>
      <c r="P1810" s="3" t="s">
        <v>25</v>
      </c>
      <c r="Q1810" s="37" t="s">
        <v>25</v>
      </c>
      <c r="R1810" s="3" t="s">
        <v>25</v>
      </c>
      <c r="S1810" s="13">
        <f t="shared" si="44"/>
        <v>-1.0699999999999998</v>
      </c>
    </row>
    <row r="1811" spans="1:19">
      <c r="A1811" s="18" t="s">
        <v>1794</v>
      </c>
      <c r="B1811" s="1" t="s">
        <v>1968</v>
      </c>
      <c r="C1811" s="1" t="s">
        <v>2043</v>
      </c>
      <c r="D1811" s="1" t="s">
        <v>2044</v>
      </c>
      <c r="E1811" s="1" t="s">
        <v>25</v>
      </c>
      <c r="F1811">
        <v>251.90199999999999</v>
      </c>
      <c r="G1811">
        <v>298.89999999999998</v>
      </c>
      <c r="H1811" t="s">
        <v>25</v>
      </c>
      <c r="I1811" s="1" t="s">
        <v>1528</v>
      </c>
      <c r="J1811" s="1" t="s">
        <v>25</v>
      </c>
      <c r="K1811" s="11" t="s">
        <v>25</v>
      </c>
      <c r="L1811">
        <v>0.99</v>
      </c>
      <c r="M1811" s="3" t="str">
        <f t="shared" si="46"/>
        <v>44/40</v>
      </c>
      <c r="N1811" s="3" t="str">
        <f t="shared" si="45"/>
        <v>SRM915a</v>
      </c>
      <c r="O1811" s="1" t="s">
        <v>25</v>
      </c>
      <c r="P1811" s="3" t="s">
        <v>25</v>
      </c>
      <c r="Q1811" s="37" t="s">
        <v>25</v>
      </c>
      <c r="R1811" s="3" t="s">
        <v>25</v>
      </c>
      <c r="S1811" s="13">
        <f t="shared" si="44"/>
        <v>-0.8899999999999999</v>
      </c>
    </row>
    <row r="1812" spans="1:19">
      <c r="A1812" s="18" t="s">
        <v>1794</v>
      </c>
      <c r="B1812" s="1" t="s">
        <v>1969</v>
      </c>
      <c r="C1812" s="1" t="s">
        <v>2043</v>
      </c>
      <c r="D1812" s="1" t="s">
        <v>2044</v>
      </c>
      <c r="E1812" s="1" t="s">
        <v>25</v>
      </c>
      <c r="F1812">
        <v>251.90199999999999</v>
      </c>
      <c r="G1812">
        <v>298.89999999999998</v>
      </c>
      <c r="H1812" t="s">
        <v>25</v>
      </c>
      <c r="I1812" s="1" t="s">
        <v>1528</v>
      </c>
      <c r="J1812" s="1" t="s">
        <v>25</v>
      </c>
      <c r="K1812" s="11" t="s">
        <v>25</v>
      </c>
      <c r="L1812">
        <v>0.97</v>
      </c>
      <c r="M1812" s="3" t="str">
        <f t="shared" si="46"/>
        <v>44/40</v>
      </c>
      <c r="N1812" s="3" t="str">
        <f t="shared" si="45"/>
        <v>SRM915a</v>
      </c>
      <c r="O1812" s="1" t="s">
        <v>25</v>
      </c>
      <c r="P1812" s="3" t="s">
        <v>25</v>
      </c>
      <c r="Q1812" s="37" t="s">
        <v>25</v>
      </c>
      <c r="R1812" s="3" t="s">
        <v>25</v>
      </c>
      <c r="S1812" s="13">
        <f t="shared" si="44"/>
        <v>-0.90999999999999992</v>
      </c>
    </row>
    <row r="1813" spans="1:19">
      <c r="A1813" s="18" t="s">
        <v>1794</v>
      </c>
      <c r="B1813" s="1" t="s">
        <v>1970</v>
      </c>
      <c r="C1813" s="1" t="s">
        <v>2043</v>
      </c>
      <c r="D1813" s="1" t="s">
        <v>2044</v>
      </c>
      <c r="E1813" s="1" t="s">
        <v>25</v>
      </c>
      <c r="F1813">
        <v>251.90199999999999</v>
      </c>
      <c r="G1813">
        <v>298.89999999999998</v>
      </c>
      <c r="H1813" t="s">
        <v>25</v>
      </c>
      <c r="I1813" s="1" t="s">
        <v>1528</v>
      </c>
      <c r="J1813" s="1" t="s">
        <v>25</v>
      </c>
      <c r="K1813" s="11" t="s">
        <v>25</v>
      </c>
      <c r="L1813">
        <v>0.88</v>
      </c>
      <c r="M1813" s="3" t="str">
        <f t="shared" si="46"/>
        <v>44/40</v>
      </c>
      <c r="N1813" s="3" t="str">
        <f t="shared" si="45"/>
        <v>SRM915a</v>
      </c>
      <c r="O1813" s="1" t="s">
        <v>25</v>
      </c>
      <c r="P1813" s="3" t="s">
        <v>25</v>
      </c>
      <c r="Q1813" s="37" t="s">
        <v>25</v>
      </c>
      <c r="R1813" s="3" t="s">
        <v>25</v>
      </c>
      <c r="S1813" s="13">
        <f t="shared" si="44"/>
        <v>-0.99999999999999989</v>
      </c>
    </row>
    <row r="1814" spans="1:19">
      <c r="A1814" s="18" t="s">
        <v>1794</v>
      </c>
      <c r="B1814" s="1" t="s">
        <v>1971</v>
      </c>
      <c r="C1814" s="1" t="s">
        <v>2043</v>
      </c>
      <c r="D1814" s="1" t="s">
        <v>2044</v>
      </c>
      <c r="E1814" s="1" t="s">
        <v>25</v>
      </c>
      <c r="F1814">
        <v>251.90199999999999</v>
      </c>
      <c r="G1814">
        <v>298.89999999999998</v>
      </c>
      <c r="H1814" t="s">
        <v>25</v>
      </c>
      <c r="I1814" s="1" t="s">
        <v>1528</v>
      </c>
      <c r="J1814" s="1" t="s">
        <v>25</v>
      </c>
      <c r="K1814" s="11" t="s">
        <v>25</v>
      </c>
      <c r="L1814">
        <v>0.9</v>
      </c>
      <c r="M1814" s="3" t="str">
        <f t="shared" si="46"/>
        <v>44/40</v>
      </c>
      <c r="N1814" s="3" t="str">
        <f t="shared" si="45"/>
        <v>SRM915a</v>
      </c>
      <c r="O1814" s="1" t="s">
        <v>25</v>
      </c>
      <c r="P1814" s="3" t="s">
        <v>25</v>
      </c>
      <c r="Q1814" s="37" t="s">
        <v>25</v>
      </c>
      <c r="R1814" s="3" t="s">
        <v>25</v>
      </c>
      <c r="S1814" s="13">
        <f t="shared" si="44"/>
        <v>-0.97999999999999987</v>
      </c>
    </row>
    <row r="1815" spans="1:19">
      <c r="A1815" s="18" t="s">
        <v>1794</v>
      </c>
      <c r="B1815" s="1" t="s">
        <v>1972</v>
      </c>
      <c r="C1815" s="1" t="s">
        <v>2043</v>
      </c>
      <c r="D1815" s="1" t="s">
        <v>2044</v>
      </c>
      <c r="E1815" s="1" t="s">
        <v>25</v>
      </c>
      <c r="F1815">
        <v>251.90199999999999</v>
      </c>
      <c r="G1815">
        <v>298.89999999999998</v>
      </c>
      <c r="H1815" t="s">
        <v>25</v>
      </c>
      <c r="I1815" s="1" t="s">
        <v>1528</v>
      </c>
      <c r="J1815" s="1" t="s">
        <v>25</v>
      </c>
      <c r="K1815" s="11" t="s">
        <v>25</v>
      </c>
      <c r="L1815">
        <v>0.94</v>
      </c>
      <c r="M1815" s="3" t="str">
        <f t="shared" si="46"/>
        <v>44/40</v>
      </c>
      <c r="N1815" s="3" t="str">
        <f t="shared" si="45"/>
        <v>SRM915a</v>
      </c>
      <c r="O1815" s="1" t="s">
        <v>25</v>
      </c>
      <c r="P1815" s="3" t="s">
        <v>25</v>
      </c>
      <c r="Q1815" s="37" t="s">
        <v>25</v>
      </c>
      <c r="R1815" s="3" t="s">
        <v>25</v>
      </c>
      <c r="S1815" s="13">
        <f t="shared" si="44"/>
        <v>-0.94</v>
      </c>
    </row>
    <row r="1816" spans="1:19">
      <c r="A1816" s="18" t="s">
        <v>1794</v>
      </c>
      <c r="B1816" s="1" t="s">
        <v>1973</v>
      </c>
      <c r="C1816" s="1" t="s">
        <v>2043</v>
      </c>
      <c r="D1816" s="1" t="s">
        <v>2044</v>
      </c>
      <c r="E1816" s="1" t="s">
        <v>25</v>
      </c>
      <c r="F1816">
        <v>251.90199999999999</v>
      </c>
      <c r="G1816">
        <v>298.89999999999998</v>
      </c>
      <c r="H1816" t="s">
        <v>25</v>
      </c>
      <c r="I1816" s="1" t="s">
        <v>1528</v>
      </c>
      <c r="J1816" s="1" t="s">
        <v>25</v>
      </c>
      <c r="K1816" s="11" t="s">
        <v>25</v>
      </c>
      <c r="L1816">
        <v>0.85</v>
      </c>
      <c r="M1816" s="3" t="str">
        <f t="shared" si="46"/>
        <v>44/40</v>
      </c>
      <c r="N1816" s="3" t="str">
        <f t="shared" si="45"/>
        <v>SRM915a</v>
      </c>
      <c r="O1816" s="1" t="s">
        <v>25</v>
      </c>
      <c r="P1816" s="3" t="s">
        <v>25</v>
      </c>
      <c r="Q1816" s="37" t="s">
        <v>25</v>
      </c>
      <c r="R1816" s="3" t="s">
        <v>25</v>
      </c>
      <c r="S1816" s="13">
        <f t="shared" si="44"/>
        <v>-1.0299999999999998</v>
      </c>
    </row>
    <row r="1817" spans="1:19">
      <c r="A1817" s="18" t="s">
        <v>1794</v>
      </c>
      <c r="B1817" s="1" t="s">
        <v>1974</v>
      </c>
      <c r="C1817" s="1" t="s">
        <v>2043</v>
      </c>
      <c r="D1817" s="1" t="s">
        <v>2044</v>
      </c>
      <c r="E1817" s="1" t="s">
        <v>25</v>
      </c>
      <c r="F1817">
        <v>251.90199999999999</v>
      </c>
      <c r="G1817">
        <v>298.89999999999998</v>
      </c>
      <c r="H1817" t="s">
        <v>25</v>
      </c>
      <c r="I1817" s="1" t="s">
        <v>1528</v>
      </c>
      <c r="J1817" s="1" t="s">
        <v>25</v>
      </c>
      <c r="K1817" s="11" t="s">
        <v>25</v>
      </c>
      <c r="L1817">
        <v>1.1100000000000001</v>
      </c>
      <c r="M1817" s="3" t="str">
        <f t="shared" si="46"/>
        <v>44/40</v>
      </c>
      <c r="N1817" s="3" t="str">
        <f t="shared" si="45"/>
        <v>SRM915a</v>
      </c>
      <c r="O1817" s="1" t="s">
        <v>25</v>
      </c>
      <c r="P1817" s="3" t="s">
        <v>25</v>
      </c>
      <c r="Q1817" s="37" t="s">
        <v>25</v>
      </c>
      <c r="R1817" s="3" t="s">
        <v>25</v>
      </c>
      <c r="S1817" s="13">
        <f t="shared" si="44"/>
        <v>-0.7699999999999998</v>
      </c>
    </row>
    <row r="1818" spans="1:19">
      <c r="A1818" s="18" t="s">
        <v>1794</v>
      </c>
      <c r="B1818" s="1" t="s">
        <v>1975</v>
      </c>
      <c r="C1818" s="1" t="s">
        <v>2043</v>
      </c>
      <c r="D1818" s="1" t="s">
        <v>2044</v>
      </c>
      <c r="E1818" s="1" t="s">
        <v>25</v>
      </c>
      <c r="F1818">
        <v>251.90199999999999</v>
      </c>
      <c r="G1818">
        <v>298.89999999999998</v>
      </c>
      <c r="H1818" t="s">
        <v>25</v>
      </c>
      <c r="I1818" s="1" t="s">
        <v>1528</v>
      </c>
      <c r="J1818" s="1" t="s">
        <v>25</v>
      </c>
      <c r="K1818" s="11" t="s">
        <v>25</v>
      </c>
      <c r="L1818">
        <v>1.01</v>
      </c>
      <c r="M1818" s="3" t="str">
        <f t="shared" si="46"/>
        <v>44/40</v>
      </c>
      <c r="N1818" s="3" t="str">
        <f t="shared" si="45"/>
        <v>SRM915a</v>
      </c>
      <c r="O1818" s="1" t="s">
        <v>25</v>
      </c>
      <c r="P1818" s="3" t="s">
        <v>25</v>
      </c>
      <c r="Q1818" s="37" t="s">
        <v>25</v>
      </c>
      <c r="R1818" s="3" t="s">
        <v>25</v>
      </c>
      <c r="S1818" s="13">
        <f t="shared" si="44"/>
        <v>-0.86999999999999988</v>
      </c>
    </row>
    <row r="1819" spans="1:19">
      <c r="A1819" s="18" t="s">
        <v>1794</v>
      </c>
      <c r="B1819" s="1" t="s">
        <v>1976</v>
      </c>
      <c r="C1819" s="1" t="s">
        <v>2043</v>
      </c>
      <c r="D1819" s="1" t="s">
        <v>2044</v>
      </c>
      <c r="E1819" s="1" t="s">
        <v>25</v>
      </c>
      <c r="F1819">
        <v>251.90199999999999</v>
      </c>
      <c r="G1819">
        <v>298.89999999999998</v>
      </c>
      <c r="H1819" t="s">
        <v>25</v>
      </c>
      <c r="I1819" s="1" t="s">
        <v>1528</v>
      </c>
      <c r="J1819" s="1" t="s">
        <v>25</v>
      </c>
      <c r="K1819" s="11" t="s">
        <v>25</v>
      </c>
      <c r="L1819">
        <v>1.07</v>
      </c>
      <c r="M1819" s="3" t="str">
        <f t="shared" si="46"/>
        <v>44/40</v>
      </c>
      <c r="N1819" s="3" t="str">
        <f t="shared" si="45"/>
        <v>SRM915a</v>
      </c>
      <c r="O1819" s="1" t="s">
        <v>25</v>
      </c>
      <c r="P1819" s="3" t="s">
        <v>25</v>
      </c>
      <c r="Q1819" s="37" t="s">
        <v>25</v>
      </c>
      <c r="R1819" s="3" t="s">
        <v>25</v>
      </c>
      <c r="S1819" s="13">
        <f t="shared" si="44"/>
        <v>-0.80999999999999983</v>
      </c>
    </row>
    <row r="1820" spans="1:19">
      <c r="A1820" s="18" t="s">
        <v>1794</v>
      </c>
      <c r="B1820" s="1" t="s">
        <v>1977</v>
      </c>
      <c r="C1820" s="1" t="s">
        <v>2043</v>
      </c>
      <c r="D1820" s="1" t="s">
        <v>2044</v>
      </c>
      <c r="E1820" s="1" t="s">
        <v>25</v>
      </c>
      <c r="F1820">
        <v>251.90199999999999</v>
      </c>
      <c r="G1820">
        <v>298.89999999999998</v>
      </c>
      <c r="H1820" t="s">
        <v>25</v>
      </c>
      <c r="I1820" s="1" t="s">
        <v>1528</v>
      </c>
      <c r="J1820" s="1" t="s">
        <v>25</v>
      </c>
      <c r="K1820" s="11" t="s">
        <v>25</v>
      </c>
      <c r="L1820">
        <v>0.92</v>
      </c>
      <c r="M1820" s="3" t="str">
        <f t="shared" si="46"/>
        <v>44/40</v>
      </c>
      <c r="N1820" s="3" t="str">
        <f t="shared" si="45"/>
        <v>SRM915a</v>
      </c>
      <c r="O1820" s="1" t="s">
        <v>25</v>
      </c>
      <c r="P1820" s="3" t="s">
        <v>25</v>
      </c>
      <c r="Q1820" s="37" t="s">
        <v>25</v>
      </c>
      <c r="R1820" s="3" t="s">
        <v>25</v>
      </c>
      <c r="S1820" s="13">
        <f t="shared" si="44"/>
        <v>-0.95999999999999985</v>
      </c>
    </row>
    <row r="1821" spans="1:19">
      <c r="A1821" s="18" t="s">
        <v>1794</v>
      </c>
      <c r="B1821" s="1" t="s">
        <v>1978</v>
      </c>
      <c r="C1821" s="1" t="s">
        <v>2043</v>
      </c>
      <c r="D1821" s="1" t="s">
        <v>2044</v>
      </c>
      <c r="E1821" s="1" t="s">
        <v>25</v>
      </c>
      <c r="F1821">
        <v>251.90199999999999</v>
      </c>
      <c r="G1821">
        <v>298.89999999999998</v>
      </c>
      <c r="H1821" t="s">
        <v>25</v>
      </c>
      <c r="I1821" s="1" t="s">
        <v>1528</v>
      </c>
      <c r="J1821" s="1" t="s">
        <v>25</v>
      </c>
      <c r="K1821" s="11" t="s">
        <v>25</v>
      </c>
      <c r="L1821">
        <v>0.83</v>
      </c>
      <c r="M1821" s="3" t="str">
        <f t="shared" si="46"/>
        <v>44/40</v>
      </c>
      <c r="N1821" s="3" t="str">
        <f t="shared" si="45"/>
        <v>SRM915a</v>
      </c>
      <c r="O1821" s="1" t="s">
        <v>25</v>
      </c>
      <c r="P1821" s="3" t="s">
        <v>25</v>
      </c>
      <c r="Q1821" s="37" t="s">
        <v>25</v>
      </c>
      <c r="R1821" s="3" t="s">
        <v>25</v>
      </c>
      <c r="S1821" s="13">
        <f t="shared" si="44"/>
        <v>-1.0499999999999998</v>
      </c>
    </row>
    <row r="1822" spans="1:19">
      <c r="A1822" s="18" t="s">
        <v>1794</v>
      </c>
      <c r="B1822" s="1" t="s">
        <v>1979</v>
      </c>
      <c r="C1822" s="1" t="s">
        <v>2043</v>
      </c>
      <c r="D1822" s="1" t="s">
        <v>2044</v>
      </c>
      <c r="E1822" s="1" t="s">
        <v>25</v>
      </c>
      <c r="F1822">
        <v>251.90199999999999</v>
      </c>
      <c r="G1822">
        <v>298.89999999999998</v>
      </c>
      <c r="H1822" t="s">
        <v>25</v>
      </c>
      <c r="I1822" s="1" t="s">
        <v>1528</v>
      </c>
      <c r="J1822" s="1" t="s">
        <v>25</v>
      </c>
      <c r="K1822" s="11" t="s">
        <v>25</v>
      </c>
      <c r="L1822">
        <v>1</v>
      </c>
      <c r="M1822" s="3" t="str">
        <f t="shared" si="46"/>
        <v>44/40</v>
      </c>
      <c r="N1822" s="3" t="str">
        <f t="shared" si="45"/>
        <v>SRM915a</v>
      </c>
      <c r="O1822" s="1" t="s">
        <v>25</v>
      </c>
      <c r="P1822" s="3" t="s">
        <v>25</v>
      </c>
      <c r="Q1822" s="37" t="s">
        <v>25</v>
      </c>
      <c r="R1822" s="3" t="s">
        <v>25</v>
      </c>
      <c r="S1822" s="13">
        <f t="shared" si="44"/>
        <v>-0.87999999999999989</v>
      </c>
    </row>
    <row r="1823" spans="1:19">
      <c r="A1823" s="18" t="s">
        <v>1794</v>
      </c>
      <c r="B1823" s="1" t="s">
        <v>1980</v>
      </c>
      <c r="C1823" s="1" t="s">
        <v>2043</v>
      </c>
      <c r="D1823" s="1" t="s">
        <v>2044</v>
      </c>
      <c r="E1823" s="1" t="s">
        <v>25</v>
      </c>
      <c r="F1823">
        <v>251.90199999999999</v>
      </c>
      <c r="G1823">
        <v>298.89999999999998</v>
      </c>
      <c r="H1823" t="s">
        <v>25</v>
      </c>
      <c r="I1823" s="1" t="s">
        <v>1528</v>
      </c>
      <c r="J1823" s="1" t="s">
        <v>25</v>
      </c>
      <c r="K1823" s="11" t="s">
        <v>25</v>
      </c>
      <c r="L1823">
        <v>0.73</v>
      </c>
      <c r="M1823" s="3" t="str">
        <f t="shared" si="46"/>
        <v>44/40</v>
      </c>
      <c r="N1823" s="3" t="str">
        <f t="shared" si="45"/>
        <v>SRM915a</v>
      </c>
      <c r="O1823" s="1" t="s">
        <v>25</v>
      </c>
      <c r="P1823" s="3" t="s">
        <v>25</v>
      </c>
      <c r="Q1823" s="37" t="s">
        <v>25</v>
      </c>
      <c r="R1823" s="3" t="s">
        <v>25</v>
      </c>
      <c r="S1823" s="13">
        <f t="shared" si="44"/>
        <v>-1.1499999999999999</v>
      </c>
    </row>
    <row r="1824" spans="1:19">
      <c r="A1824" s="18" t="s">
        <v>1794</v>
      </c>
      <c r="B1824" s="1" t="s">
        <v>1981</v>
      </c>
      <c r="C1824" s="1" t="s">
        <v>2043</v>
      </c>
      <c r="D1824" s="1" t="s">
        <v>2044</v>
      </c>
      <c r="E1824" s="1" t="s">
        <v>25</v>
      </c>
      <c r="F1824">
        <v>251.90199999999999</v>
      </c>
      <c r="G1824">
        <v>298.89999999999998</v>
      </c>
      <c r="H1824" t="s">
        <v>25</v>
      </c>
      <c r="I1824" s="1" t="s">
        <v>1528</v>
      </c>
      <c r="J1824" s="1" t="s">
        <v>25</v>
      </c>
      <c r="K1824" s="11" t="s">
        <v>25</v>
      </c>
      <c r="L1824">
        <v>0.86</v>
      </c>
      <c r="M1824" s="3" t="str">
        <f t="shared" si="46"/>
        <v>44/40</v>
      </c>
      <c r="N1824" s="3" t="str">
        <f t="shared" si="45"/>
        <v>SRM915a</v>
      </c>
      <c r="O1824" s="1" t="s">
        <v>25</v>
      </c>
      <c r="P1824" s="3" t="s">
        <v>25</v>
      </c>
      <c r="Q1824" s="37" t="s">
        <v>25</v>
      </c>
      <c r="R1824" s="3" t="s">
        <v>25</v>
      </c>
      <c r="S1824" s="13">
        <f t="shared" si="44"/>
        <v>-1.02</v>
      </c>
    </row>
    <row r="1825" spans="1:19">
      <c r="A1825" s="18" t="s">
        <v>1794</v>
      </c>
      <c r="B1825" s="1" t="s">
        <v>1982</v>
      </c>
      <c r="C1825" s="1" t="s">
        <v>2043</v>
      </c>
      <c r="D1825" s="1" t="s">
        <v>2044</v>
      </c>
      <c r="E1825" s="1" t="s">
        <v>25</v>
      </c>
      <c r="F1825">
        <v>251.90199999999999</v>
      </c>
      <c r="G1825">
        <v>298.89999999999998</v>
      </c>
      <c r="H1825" t="s">
        <v>25</v>
      </c>
      <c r="I1825" s="1" t="s">
        <v>1528</v>
      </c>
      <c r="J1825" s="1" t="s">
        <v>25</v>
      </c>
      <c r="K1825" s="11" t="s">
        <v>25</v>
      </c>
      <c r="L1825">
        <v>0.86</v>
      </c>
      <c r="M1825" s="3" t="str">
        <f t="shared" si="46"/>
        <v>44/40</v>
      </c>
      <c r="N1825" s="3" t="str">
        <f t="shared" si="45"/>
        <v>SRM915a</v>
      </c>
      <c r="O1825" s="1" t="s">
        <v>25</v>
      </c>
      <c r="P1825" s="3" t="s">
        <v>25</v>
      </c>
      <c r="Q1825" s="37" t="s">
        <v>25</v>
      </c>
      <c r="R1825" s="3" t="s">
        <v>25</v>
      </c>
      <c r="S1825" s="13">
        <f t="shared" si="44"/>
        <v>-1.02</v>
      </c>
    </row>
    <row r="1826" spans="1:19">
      <c r="A1826" s="18" t="s">
        <v>1794</v>
      </c>
      <c r="B1826" s="1" t="s">
        <v>1983</v>
      </c>
      <c r="C1826" s="1" t="s">
        <v>2043</v>
      </c>
      <c r="D1826" s="1" t="s">
        <v>2044</v>
      </c>
      <c r="E1826" s="1" t="s">
        <v>25</v>
      </c>
      <c r="F1826">
        <v>251.90199999999999</v>
      </c>
      <c r="G1826">
        <v>298.89999999999998</v>
      </c>
      <c r="H1826" t="s">
        <v>25</v>
      </c>
      <c r="I1826" s="1" t="s">
        <v>1528</v>
      </c>
      <c r="J1826" s="1" t="s">
        <v>25</v>
      </c>
      <c r="K1826" s="11" t="s">
        <v>25</v>
      </c>
      <c r="L1826">
        <v>0.83</v>
      </c>
      <c r="M1826" s="3" t="str">
        <f t="shared" si="46"/>
        <v>44/40</v>
      </c>
      <c r="N1826" s="3" t="str">
        <f t="shared" si="45"/>
        <v>SRM915a</v>
      </c>
      <c r="O1826" s="1" t="s">
        <v>25</v>
      </c>
      <c r="P1826" s="3" t="s">
        <v>25</v>
      </c>
      <c r="Q1826" s="37" t="s">
        <v>25</v>
      </c>
      <c r="R1826" s="3" t="s">
        <v>25</v>
      </c>
      <c r="S1826" s="13">
        <f t="shared" si="44"/>
        <v>-1.0499999999999998</v>
      </c>
    </row>
    <row r="1827" spans="1:19">
      <c r="A1827" s="18" t="s">
        <v>1794</v>
      </c>
      <c r="B1827" s="1" t="s">
        <v>1984</v>
      </c>
      <c r="C1827" s="1" t="s">
        <v>2043</v>
      </c>
      <c r="D1827" s="1" t="s">
        <v>2044</v>
      </c>
      <c r="E1827" s="1" t="s">
        <v>25</v>
      </c>
      <c r="F1827">
        <v>251.90199999999999</v>
      </c>
      <c r="G1827">
        <v>298.89999999999998</v>
      </c>
      <c r="H1827" t="s">
        <v>25</v>
      </c>
      <c r="I1827" s="1" t="s">
        <v>1528</v>
      </c>
      <c r="J1827" s="1" t="s">
        <v>25</v>
      </c>
      <c r="K1827" s="11" t="s">
        <v>25</v>
      </c>
      <c r="L1827">
        <v>1.07</v>
      </c>
      <c r="M1827" s="3" t="str">
        <f t="shared" si="46"/>
        <v>44/40</v>
      </c>
      <c r="N1827" s="3" t="str">
        <f t="shared" si="45"/>
        <v>SRM915a</v>
      </c>
      <c r="O1827" s="1" t="s">
        <v>25</v>
      </c>
      <c r="P1827" s="3" t="s">
        <v>25</v>
      </c>
      <c r="Q1827" s="37" t="s">
        <v>25</v>
      </c>
      <c r="R1827" s="3" t="s">
        <v>25</v>
      </c>
      <c r="S1827" s="13">
        <f t="shared" si="44"/>
        <v>-0.80999999999999983</v>
      </c>
    </row>
    <row r="1828" spans="1:19">
      <c r="A1828" s="18" t="s">
        <v>1794</v>
      </c>
      <c r="B1828" s="1" t="s">
        <v>1985</v>
      </c>
      <c r="C1828" s="1" t="s">
        <v>2043</v>
      </c>
      <c r="D1828" s="1" t="s">
        <v>2044</v>
      </c>
      <c r="E1828" s="1" t="s">
        <v>25</v>
      </c>
      <c r="F1828">
        <v>251.90199999999999</v>
      </c>
      <c r="G1828">
        <v>298.89999999999998</v>
      </c>
      <c r="H1828" t="s">
        <v>25</v>
      </c>
      <c r="I1828" s="1" t="s">
        <v>1528</v>
      </c>
      <c r="J1828" s="1" t="s">
        <v>25</v>
      </c>
      <c r="K1828" s="11" t="s">
        <v>25</v>
      </c>
      <c r="L1828">
        <v>1.1000000000000001</v>
      </c>
      <c r="M1828" s="3" t="str">
        <f t="shared" si="46"/>
        <v>44/40</v>
      </c>
      <c r="N1828" s="3" t="str">
        <f t="shared" si="45"/>
        <v>SRM915a</v>
      </c>
      <c r="O1828" s="1" t="s">
        <v>25</v>
      </c>
      <c r="P1828" s="3" t="s">
        <v>25</v>
      </c>
      <c r="Q1828" s="37" t="s">
        <v>25</v>
      </c>
      <c r="R1828" s="3" t="s">
        <v>25</v>
      </c>
      <c r="S1828" s="13">
        <f t="shared" si="44"/>
        <v>-0.7799999999999998</v>
      </c>
    </row>
    <row r="1829" spans="1:19">
      <c r="A1829" s="18" t="s">
        <v>1794</v>
      </c>
      <c r="B1829" s="1" t="s">
        <v>1986</v>
      </c>
      <c r="C1829" s="1" t="s">
        <v>2043</v>
      </c>
      <c r="D1829" s="1" t="s">
        <v>2044</v>
      </c>
      <c r="E1829" s="1" t="s">
        <v>25</v>
      </c>
      <c r="F1829">
        <v>251.90199999999999</v>
      </c>
      <c r="G1829">
        <v>298.89999999999998</v>
      </c>
      <c r="H1829" t="s">
        <v>25</v>
      </c>
      <c r="I1829" s="1" t="s">
        <v>1528</v>
      </c>
      <c r="J1829" s="1" t="s">
        <v>25</v>
      </c>
      <c r="K1829" s="11" t="s">
        <v>25</v>
      </c>
      <c r="L1829">
        <v>0.86</v>
      </c>
      <c r="M1829" s="3" t="str">
        <f t="shared" si="46"/>
        <v>44/40</v>
      </c>
      <c r="N1829" s="3" t="str">
        <f t="shared" si="45"/>
        <v>SRM915a</v>
      </c>
      <c r="O1829" s="1" t="s">
        <v>25</v>
      </c>
      <c r="P1829" s="3" t="s">
        <v>25</v>
      </c>
      <c r="Q1829" s="37" t="s">
        <v>25</v>
      </c>
      <c r="R1829" s="3" t="s">
        <v>25</v>
      </c>
      <c r="S1829" s="13">
        <f t="shared" si="44"/>
        <v>-1.02</v>
      </c>
    </row>
    <row r="1830" spans="1:19">
      <c r="A1830" s="18" t="s">
        <v>1794</v>
      </c>
      <c r="B1830" s="1" t="s">
        <v>1987</v>
      </c>
      <c r="C1830" s="1" t="s">
        <v>2043</v>
      </c>
      <c r="D1830" s="1" t="s">
        <v>2044</v>
      </c>
      <c r="E1830" s="1" t="s">
        <v>25</v>
      </c>
      <c r="F1830">
        <v>251.90199999999999</v>
      </c>
      <c r="G1830">
        <v>298.89999999999998</v>
      </c>
      <c r="H1830" t="s">
        <v>25</v>
      </c>
      <c r="I1830" s="1" t="s">
        <v>1528</v>
      </c>
      <c r="J1830" s="1" t="s">
        <v>25</v>
      </c>
      <c r="K1830" s="11" t="s">
        <v>25</v>
      </c>
      <c r="L1830">
        <v>1.19</v>
      </c>
      <c r="M1830" s="3" t="str">
        <f t="shared" si="46"/>
        <v>44/40</v>
      </c>
      <c r="N1830" s="3" t="str">
        <f t="shared" si="45"/>
        <v>SRM915a</v>
      </c>
      <c r="O1830" s="1" t="s">
        <v>25</v>
      </c>
      <c r="P1830" s="3" t="s">
        <v>25</v>
      </c>
      <c r="Q1830" s="37" t="s">
        <v>25</v>
      </c>
      <c r="R1830" s="3" t="s">
        <v>25</v>
      </c>
      <c r="S1830" s="13">
        <f t="shared" ref="S1830:S1893" si="47">IF(NOT(N1830="SW"),L1830-1.88,L1830)</f>
        <v>-0.69</v>
      </c>
    </row>
    <row r="1831" spans="1:19">
      <c r="A1831" s="18" t="s">
        <v>1794</v>
      </c>
      <c r="B1831" s="1" t="s">
        <v>1988</v>
      </c>
      <c r="C1831" s="1" t="s">
        <v>2043</v>
      </c>
      <c r="D1831" s="1" t="s">
        <v>2044</v>
      </c>
      <c r="E1831" s="1" t="s">
        <v>25</v>
      </c>
      <c r="F1831">
        <v>251.90199999999999</v>
      </c>
      <c r="G1831">
        <v>298.89999999999998</v>
      </c>
      <c r="H1831" t="s">
        <v>25</v>
      </c>
      <c r="I1831" s="1" t="s">
        <v>1528</v>
      </c>
      <c r="J1831" s="1" t="s">
        <v>25</v>
      </c>
      <c r="K1831" s="11" t="s">
        <v>25</v>
      </c>
      <c r="L1831">
        <v>0.95</v>
      </c>
      <c r="M1831" s="3" t="str">
        <f t="shared" si="46"/>
        <v>44/40</v>
      </c>
      <c r="N1831" s="3" t="str">
        <f t="shared" ref="N1831:N1894" si="48">IF(ISNUMBER(SEARCH("Na", M1831)), "Na", "SRM915a")</f>
        <v>SRM915a</v>
      </c>
      <c r="O1831" s="1" t="s">
        <v>25</v>
      </c>
      <c r="P1831" s="3" t="s">
        <v>25</v>
      </c>
      <c r="Q1831" s="37" t="s">
        <v>25</v>
      </c>
      <c r="R1831" s="3" t="s">
        <v>25</v>
      </c>
      <c r="S1831" s="13">
        <f t="shared" si="47"/>
        <v>-0.92999999999999994</v>
      </c>
    </row>
    <row r="1832" spans="1:19">
      <c r="A1832" s="18" t="s">
        <v>1794</v>
      </c>
      <c r="B1832" s="1" t="s">
        <v>1989</v>
      </c>
      <c r="C1832" s="1" t="s">
        <v>2043</v>
      </c>
      <c r="D1832" s="1" t="s">
        <v>2044</v>
      </c>
      <c r="E1832" s="1" t="s">
        <v>25</v>
      </c>
      <c r="F1832">
        <v>251.90199999999999</v>
      </c>
      <c r="G1832">
        <v>298.89999999999998</v>
      </c>
      <c r="H1832" t="s">
        <v>25</v>
      </c>
      <c r="I1832" s="1" t="s">
        <v>1528</v>
      </c>
      <c r="J1832" s="1" t="s">
        <v>25</v>
      </c>
      <c r="K1832" s="11" t="s">
        <v>25</v>
      </c>
      <c r="L1832">
        <v>0.73</v>
      </c>
      <c r="M1832" s="3" t="str">
        <f t="shared" si="46"/>
        <v>44/40</v>
      </c>
      <c r="N1832" s="3" t="str">
        <f t="shared" si="48"/>
        <v>SRM915a</v>
      </c>
      <c r="O1832" s="1" t="s">
        <v>25</v>
      </c>
      <c r="P1832" s="3" t="s">
        <v>25</v>
      </c>
      <c r="Q1832" s="37" t="s">
        <v>25</v>
      </c>
      <c r="R1832" s="3" t="s">
        <v>25</v>
      </c>
      <c r="S1832" s="13">
        <f t="shared" si="47"/>
        <v>-1.1499999999999999</v>
      </c>
    </row>
    <row r="1833" spans="1:19">
      <c r="A1833" s="18" t="s">
        <v>1794</v>
      </c>
      <c r="B1833" s="1" t="s">
        <v>1990</v>
      </c>
      <c r="C1833" s="1" t="s">
        <v>2043</v>
      </c>
      <c r="D1833" s="1" t="s">
        <v>2044</v>
      </c>
      <c r="E1833" s="1" t="s">
        <v>25</v>
      </c>
      <c r="F1833">
        <v>251.90199999999999</v>
      </c>
      <c r="G1833">
        <v>298.89999999999998</v>
      </c>
      <c r="H1833" t="s">
        <v>25</v>
      </c>
      <c r="I1833" s="1" t="s">
        <v>1528</v>
      </c>
      <c r="J1833" s="1" t="s">
        <v>25</v>
      </c>
      <c r="K1833" s="11" t="s">
        <v>25</v>
      </c>
      <c r="L1833">
        <v>1.03</v>
      </c>
      <c r="M1833" s="3" t="str">
        <f t="shared" si="46"/>
        <v>44/40</v>
      </c>
      <c r="N1833" s="3" t="str">
        <f t="shared" si="48"/>
        <v>SRM915a</v>
      </c>
      <c r="O1833" s="1" t="s">
        <v>25</v>
      </c>
      <c r="P1833" s="3" t="s">
        <v>25</v>
      </c>
      <c r="Q1833" s="37" t="s">
        <v>25</v>
      </c>
      <c r="R1833" s="3" t="s">
        <v>25</v>
      </c>
      <c r="S1833" s="13">
        <f t="shared" si="47"/>
        <v>-0.84999999999999987</v>
      </c>
    </row>
    <row r="1834" spans="1:19">
      <c r="A1834" s="18" t="s">
        <v>1794</v>
      </c>
      <c r="B1834" s="1" t="s">
        <v>1991</v>
      </c>
      <c r="C1834" s="1" t="s">
        <v>2043</v>
      </c>
      <c r="D1834" s="1" t="s">
        <v>2044</v>
      </c>
      <c r="E1834" s="1" t="s">
        <v>25</v>
      </c>
      <c r="F1834">
        <v>251.90199999999999</v>
      </c>
      <c r="G1834">
        <v>298.89999999999998</v>
      </c>
      <c r="H1834" t="s">
        <v>25</v>
      </c>
      <c r="I1834" s="1" t="s">
        <v>1528</v>
      </c>
      <c r="J1834" s="1" t="s">
        <v>25</v>
      </c>
      <c r="K1834" s="11" t="s">
        <v>25</v>
      </c>
      <c r="L1834">
        <v>1.17</v>
      </c>
      <c r="M1834" s="3" t="str">
        <f t="shared" si="46"/>
        <v>44/40</v>
      </c>
      <c r="N1834" s="3" t="str">
        <f t="shared" si="48"/>
        <v>SRM915a</v>
      </c>
      <c r="O1834" s="1" t="s">
        <v>25</v>
      </c>
      <c r="P1834" s="3" t="s">
        <v>25</v>
      </c>
      <c r="Q1834" s="37" t="s">
        <v>25</v>
      </c>
      <c r="R1834" s="3" t="s">
        <v>25</v>
      </c>
      <c r="S1834" s="13">
        <f t="shared" si="47"/>
        <v>-0.71</v>
      </c>
    </row>
    <row r="1835" spans="1:19">
      <c r="A1835" s="18" t="s">
        <v>1794</v>
      </c>
      <c r="B1835" s="1" t="s">
        <v>1992</v>
      </c>
      <c r="C1835" s="1" t="s">
        <v>2043</v>
      </c>
      <c r="D1835" s="1" t="s">
        <v>2044</v>
      </c>
      <c r="E1835" s="1" t="s">
        <v>25</v>
      </c>
      <c r="F1835">
        <v>251.90199999999999</v>
      </c>
      <c r="G1835">
        <v>298.89999999999998</v>
      </c>
      <c r="H1835" t="s">
        <v>25</v>
      </c>
      <c r="I1835" s="1" t="s">
        <v>1528</v>
      </c>
      <c r="J1835" s="1" t="s">
        <v>25</v>
      </c>
      <c r="K1835" s="11" t="s">
        <v>25</v>
      </c>
      <c r="L1835">
        <v>0.73</v>
      </c>
      <c r="M1835" s="3" t="str">
        <f t="shared" si="46"/>
        <v>44/40</v>
      </c>
      <c r="N1835" s="3" t="str">
        <f t="shared" si="48"/>
        <v>SRM915a</v>
      </c>
      <c r="O1835" s="1" t="s">
        <v>25</v>
      </c>
      <c r="P1835" s="3" t="s">
        <v>25</v>
      </c>
      <c r="Q1835" s="37" t="s">
        <v>25</v>
      </c>
      <c r="R1835" s="3" t="s">
        <v>25</v>
      </c>
      <c r="S1835" s="13">
        <f t="shared" si="47"/>
        <v>-1.1499999999999999</v>
      </c>
    </row>
    <row r="1836" spans="1:19">
      <c r="A1836" s="18" t="s">
        <v>1794</v>
      </c>
      <c r="B1836" s="1" t="s">
        <v>1993</v>
      </c>
      <c r="C1836" s="1" t="s">
        <v>2043</v>
      </c>
      <c r="D1836" s="1" t="s">
        <v>2044</v>
      </c>
      <c r="E1836" s="1" t="s">
        <v>25</v>
      </c>
      <c r="F1836">
        <v>251.90199999999999</v>
      </c>
      <c r="G1836">
        <v>298.89999999999998</v>
      </c>
      <c r="H1836" t="s">
        <v>25</v>
      </c>
      <c r="I1836" s="1" t="s">
        <v>1528</v>
      </c>
      <c r="J1836" s="1" t="s">
        <v>25</v>
      </c>
      <c r="K1836" s="11" t="s">
        <v>25</v>
      </c>
      <c r="L1836">
        <v>1.01</v>
      </c>
      <c r="M1836" s="3" t="str">
        <f t="shared" si="46"/>
        <v>44/40</v>
      </c>
      <c r="N1836" s="3" t="str">
        <f t="shared" si="48"/>
        <v>SRM915a</v>
      </c>
      <c r="O1836" s="1" t="s">
        <v>25</v>
      </c>
      <c r="P1836" s="3" t="s">
        <v>25</v>
      </c>
      <c r="Q1836" s="37" t="s">
        <v>25</v>
      </c>
      <c r="R1836" s="3" t="s">
        <v>25</v>
      </c>
      <c r="S1836" s="13">
        <f t="shared" si="47"/>
        <v>-0.86999999999999988</v>
      </c>
    </row>
    <row r="1837" spans="1:19">
      <c r="A1837" s="18" t="s">
        <v>1794</v>
      </c>
      <c r="B1837" s="1" t="s">
        <v>1994</v>
      </c>
      <c r="C1837" s="1" t="s">
        <v>2043</v>
      </c>
      <c r="D1837" s="1" t="s">
        <v>2044</v>
      </c>
      <c r="E1837" s="1" t="s">
        <v>25</v>
      </c>
      <c r="F1837">
        <v>251.90199999999999</v>
      </c>
      <c r="G1837">
        <v>298.89999999999998</v>
      </c>
      <c r="H1837" t="s">
        <v>25</v>
      </c>
      <c r="I1837" s="1" t="s">
        <v>1528</v>
      </c>
      <c r="J1837" s="1" t="s">
        <v>25</v>
      </c>
      <c r="K1837" s="11" t="s">
        <v>25</v>
      </c>
      <c r="L1837">
        <v>0.99</v>
      </c>
      <c r="M1837" s="3" t="str">
        <f t="shared" si="46"/>
        <v>44/40</v>
      </c>
      <c r="N1837" s="3" t="str">
        <f t="shared" si="48"/>
        <v>SRM915a</v>
      </c>
      <c r="O1837" s="1" t="s">
        <v>25</v>
      </c>
      <c r="P1837" s="3" t="s">
        <v>25</v>
      </c>
      <c r="Q1837" s="37" t="s">
        <v>25</v>
      </c>
      <c r="R1837" s="3" t="s">
        <v>25</v>
      </c>
      <c r="S1837" s="13">
        <f t="shared" si="47"/>
        <v>-0.8899999999999999</v>
      </c>
    </row>
    <row r="1838" spans="1:19">
      <c r="A1838" s="18" t="s">
        <v>1794</v>
      </c>
      <c r="B1838" s="1" t="s">
        <v>1995</v>
      </c>
      <c r="C1838" s="1" t="s">
        <v>2043</v>
      </c>
      <c r="D1838" s="1" t="s">
        <v>2044</v>
      </c>
      <c r="E1838" s="1" t="s">
        <v>25</v>
      </c>
      <c r="F1838">
        <v>251.90199999999999</v>
      </c>
      <c r="G1838">
        <v>298.89999999999998</v>
      </c>
      <c r="H1838" t="s">
        <v>25</v>
      </c>
      <c r="I1838" s="1" t="s">
        <v>1528</v>
      </c>
      <c r="J1838" s="1" t="s">
        <v>25</v>
      </c>
      <c r="K1838" s="11" t="s">
        <v>25</v>
      </c>
      <c r="L1838">
        <v>0.89</v>
      </c>
      <c r="M1838" s="3" t="str">
        <f t="shared" si="46"/>
        <v>44/40</v>
      </c>
      <c r="N1838" s="3" t="str">
        <f t="shared" si="48"/>
        <v>SRM915a</v>
      </c>
      <c r="O1838" s="1" t="s">
        <v>25</v>
      </c>
      <c r="P1838" s="3" t="s">
        <v>25</v>
      </c>
      <c r="Q1838" s="37" t="s">
        <v>25</v>
      </c>
      <c r="R1838" s="3" t="s">
        <v>25</v>
      </c>
      <c r="S1838" s="13">
        <f t="shared" si="47"/>
        <v>-0.98999999999999988</v>
      </c>
    </row>
    <row r="1839" spans="1:19">
      <c r="A1839" s="18" t="s">
        <v>1794</v>
      </c>
      <c r="B1839" s="1" t="s">
        <v>1996</v>
      </c>
      <c r="C1839" s="1" t="s">
        <v>2043</v>
      </c>
      <c r="D1839" s="1" t="s">
        <v>2044</v>
      </c>
      <c r="E1839" s="1" t="s">
        <v>25</v>
      </c>
      <c r="F1839">
        <v>251.90199999999999</v>
      </c>
      <c r="G1839">
        <v>298.89999999999998</v>
      </c>
      <c r="H1839" t="s">
        <v>25</v>
      </c>
      <c r="I1839" s="1" t="s">
        <v>1528</v>
      </c>
      <c r="J1839" s="1" t="s">
        <v>25</v>
      </c>
      <c r="K1839" s="11" t="s">
        <v>25</v>
      </c>
      <c r="L1839">
        <v>0.99</v>
      </c>
      <c r="M1839" s="3" t="str">
        <f t="shared" si="46"/>
        <v>44/40</v>
      </c>
      <c r="N1839" s="3" t="str">
        <f t="shared" si="48"/>
        <v>SRM915a</v>
      </c>
      <c r="O1839" s="1" t="s">
        <v>25</v>
      </c>
      <c r="P1839" s="3" t="s">
        <v>25</v>
      </c>
      <c r="Q1839" s="37" t="s">
        <v>25</v>
      </c>
      <c r="R1839" s="3" t="s">
        <v>25</v>
      </c>
      <c r="S1839" s="13">
        <f t="shared" si="47"/>
        <v>-0.8899999999999999</v>
      </c>
    </row>
    <row r="1840" spans="1:19">
      <c r="A1840" s="18" t="s">
        <v>1794</v>
      </c>
      <c r="B1840" s="1" t="s">
        <v>1997</v>
      </c>
      <c r="C1840" s="1" t="s">
        <v>2043</v>
      </c>
      <c r="D1840" s="1" t="s">
        <v>2044</v>
      </c>
      <c r="E1840" s="1" t="s">
        <v>25</v>
      </c>
      <c r="F1840">
        <v>251.90199999999999</v>
      </c>
      <c r="G1840">
        <v>298.89999999999998</v>
      </c>
      <c r="H1840" t="s">
        <v>25</v>
      </c>
      <c r="I1840" s="1" t="s">
        <v>1528</v>
      </c>
      <c r="J1840" s="1" t="s">
        <v>25</v>
      </c>
      <c r="K1840" s="11" t="s">
        <v>25</v>
      </c>
      <c r="L1840">
        <v>0.85</v>
      </c>
      <c r="M1840" s="3" t="str">
        <f t="shared" si="46"/>
        <v>44/40</v>
      </c>
      <c r="N1840" s="3" t="str">
        <f t="shared" si="48"/>
        <v>SRM915a</v>
      </c>
      <c r="O1840" s="1" t="s">
        <v>25</v>
      </c>
      <c r="P1840" s="3" t="s">
        <v>25</v>
      </c>
      <c r="Q1840" s="37" t="s">
        <v>25</v>
      </c>
      <c r="R1840" s="3" t="s">
        <v>25</v>
      </c>
      <c r="S1840" s="13">
        <f t="shared" si="47"/>
        <v>-1.0299999999999998</v>
      </c>
    </row>
    <row r="1841" spans="1:19">
      <c r="A1841" s="18" t="s">
        <v>1794</v>
      </c>
      <c r="B1841" s="1" t="s">
        <v>1998</v>
      </c>
      <c r="C1841" s="1" t="s">
        <v>2043</v>
      </c>
      <c r="D1841" s="1" t="s">
        <v>2044</v>
      </c>
      <c r="E1841" s="1" t="s">
        <v>25</v>
      </c>
      <c r="F1841">
        <v>251.90199999999999</v>
      </c>
      <c r="G1841">
        <v>298.89999999999998</v>
      </c>
      <c r="H1841" t="s">
        <v>25</v>
      </c>
      <c r="I1841" s="1" t="s">
        <v>1528</v>
      </c>
      <c r="J1841" s="1" t="s">
        <v>25</v>
      </c>
      <c r="K1841" s="11" t="s">
        <v>25</v>
      </c>
      <c r="L1841">
        <v>1.01</v>
      </c>
      <c r="M1841" s="3" t="str">
        <f t="shared" si="46"/>
        <v>44/40</v>
      </c>
      <c r="N1841" s="3" t="str">
        <f t="shared" si="48"/>
        <v>SRM915a</v>
      </c>
      <c r="O1841" s="1" t="s">
        <v>25</v>
      </c>
      <c r="P1841" s="3" t="s">
        <v>25</v>
      </c>
      <c r="Q1841" s="37" t="s">
        <v>25</v>
      </c>
      <c r="R1841" s="3" t="s">
        <v>25</v>
      </c>
      <c r="S1841" s="13">
        <f t="shared" si="47"/>
        <v>-0.86999999999999988</v>
      </c>
    </row>
    <row r="1842" spans="1:19">
      <c r="A1842" s="18" t="s">
        <v>1794</v>
      </c>
      <c r="B1842" s="1" t="s">
        <v>1999</v>
      </c>
      <c r="C1842" s="1" t="s">
        <v>2043</v>
      </c>
      <c r="D1842" s="1" t="s">
        <v>2044</v>
      </c>
      <c r="E1842" s="1" t="s">
        <v>25</v>
      </c>
      <c r="F1842">
        <v>251.90199999999999</v>
      </c>
      <c r="G1842">
        <v>298.89999999999998</v>
      </c>
      <c r="H1842" t="s">
        <v>25</v>
      </c>
      <c r="I1842" s="1" t="s">
        <v>1528</v>
      </c>
      <c r="J1842" s="1" t="s">
        <v>25</v>
      </c>
      <c r="K1842" s="11" t="s">
        <v>25</v>
      </c>
      <c r="L1842">
        <v>1.04</v>
      </c>
      <c r="M1842" s="3" t="str">
        <f t="shared" si="46"/>
        <v>44/40</v>
      </c>
      <c r="N1842" s="3" t="str">
        <f t="shared" si="48"/>
        <v>SRM915a</v>
      </c>
      <c r="O1842" s="1" t="s">
        <v>25</v>
      </c>
      <c r="P1842" s="3" t="s">
        <v>25</v>
      </c>
      <c r="Q1842" s="37" t="s">
        <v>25</v>
      </c>
      <c r="R1842" s="3" t="s">
        <v>25</v>
      </c>
      <c r="S1842" s="13">
        <f t="shared" si="47"/>
        <v>-0.83999999999999986</v>
      </c>
    </row>
    <row r="1843" spans="1:19">
      <c r="A1843" s="18" t="s">
        <v>1794</v>
      </c>
      <c r="B1843" s="1" t="s">
        <v>2000</v>
      </c>
      <c r="C1843" s="1" t="s">
        <v>2043</v>
      </c>
      <c r="D1843" s="1" t="s">
        <v>2044</v>
      </c>
      <c r="E1843" s="1" t="s">
        <v>25</v>
      </c>
      <c r="F1843">
        <v>251.90199999999999</v>
      </c>
      <c r="G1843">
        <v>298.89999999999998</v>
      </c>
      <c r="H1843" t="s">
        <v>25</v>
      </c>
      <c r="I1843" s="1" t="s">
        <v>1528</v>
      </c>
      <c r="J1843" s="1" t="s">
        <v>25</v>
      </c>
      <c r="K1843" s="11" t="s">
        <v>25</v>
      </c>
      <c r="L1843">
        <v>0.93</v>
      </c>
      <c r="M1843" s="3" t="str">
        <f t="shared" si="46"/>
        <v>44/40</v>
      </c>
      <c r="N1843" s="3" t="str">
        <f t="shared" si="48"/>
        <v>SRM915a</v>
      </c>
      <c r="O1843" s="1" t="s">
        <v>25</v>
      </c>
      <c r="P1843" s="3" t="s">
        <v>25</v>
      </c>
      <c r="Q1843" s="37" t="s">
        <v>25</v>
      </c>
      <c r="R1843" s="3" t="s">
        <v>25</v>
      </c>
      <c r="S1843" s="13">
        <f t="shared" si="47"/>
        <v>-0.94999999999999984</v>
      </c>
    </row>
    <row r="1844" spans="1:19">
      <c r="A1844" s="18" t="s">
        <v>1794</v>
      </c>
      <c r="B1844" s="1" t="s">
        <v>2001</v>
      </c>
      <c r="C1844" s="1" t="s">
        <v>2043</v>
      </c>
      <c r="D1844" s="1" t="s">
        <v>2044</v>
      </c>
      <c r="E1844" s="1" t="s">
        <v>25</v>
      </c>
      <c r="F1844">
        <v>251.90199999999999</v>
      </c>
      <c r="G1844">
        <v>298.89999999999998</v>
      </c>
      <c r="H1844" t="s">
        <v>25</v>
      </c>
      <c r="I1844" s="1" t="s">
        <v>1528</v>
      </c>
      <c r="J1844" s="1" t="s">
        <v>25</v>
      </c>
      <c r="K1844" s="11" t="s">
        <v>25</v>
      </c>
      <c r="L1844">
        <v>1</v>
      </c>
      <c r="M1844" s="3" t="str">
        <f t="shared" si="46"/>
        <v>44/40</v>
      </c>
      <c r="N1844" s="3" t="str">
        <f t="shared" si="48"/>
        <v>SRM915a</v>
      </c>
      <c r="O1844" s="1" t="s">
        <v>25</v>
      </c>
      <c r="P1844" s="3" t="s">
        <v>25</v>
      </c>
      <c r="Q1844" s="37" t="s">
        <v>25</v>
      </c>
      <c r="R1844" s="3" t="s">
        <v>25</v>
      </c>
      <c r="S1844" s="13">
        <f t="shared" si="47"/>
        <v>-0.87999999999999989</v>
      </c>
    </row>
    <row r="1845" spans="1:19">
      <c r="A1845" s="18" t="s">
        <v>1794</v>
      </c>
      <c r="B1845" s="1" t="s">
        <v>2002</v>
      </c>
      <c r="C1845" s="1" t="s">
        <v>2043</v>
      </c>
      <c r="D1845" s="1" t="s">
        <v>2044</v>
      </c>
      <c r="E1845" s="1" t="s">
        <v>25</v>
      </c>
      <c r="F1845">
        <v>251.90199999999999</v>
      </c>
      <c r="G1845">
        <v>298.89999999999998</v>
      </c>
      <c r="H1845" t="s">
        <v>25</v>
      </c>
      <c r="I1845" s="1" t="s">
        <v>1528</v>
      </c>
      <c r="J1845" s="1" t="s">
        <v>25</v>
      </c>
      <c r="K1845" s="11" t="s">
        <v>25</v>
      </c>
      <c r="L1845">
        <v>1.22</v>
      </c>
      <c r="M1845" s="3" t="str">
        <f t="shared" si="46"/>
        <v>44/40</v>
      </c>
      <c r="N1845" s="3" t="str">
        <f t="shared" si="48"/>
        <v>SRM915a</v>
      </c>
      <c r="O1845" s="1" t="s">
        <v>25</v>
      </c>
      <c r="P1845" s="3" t="s">
        <v>25</v>
      </c>
      <c r="Q1845" s="37" t="s">
        <v>25</v>
      </c>
      <c r="R1845" s="3" t="s">
        <v>25</v>
      </c>
      <c r="S1845" s="13">
        <f t="shared" si="47"/>
        <v>-0.65999999999999992</v>
      </c>
    </row>
    <row r="1846" spans="1:19">
      <c r="A1846" s="18" t="s">
        <v>1794</v>
      </c>
      <c r="B1846" s="1" t="s">
        <v>2003</v>
      </c>
      <c r="C1846" s="1" t="s">
        <v>2043</v>
      </c>
      <c r="D1846" s="1" t="s">
        <v>2044</v>
      </c>
      <c r="E1846" s="1" t="s">
        <v>25</v>
      </c>
      <c r="F1846">
        <v>251.90199999999999</v>
      </c>
      <c r="G1846">
        <v>298.89999999999998</v>
      </c>
      <c r="H1846" t="s">
        <v>25</v>
      </c>
      <c r="I1846" s="1" t="s">
        <v>1528</v>
      </c>
      <c r="J1846" s="1" t="s">
        <v>25</v>
      </c>
      <c r="K1846" s="11" t="s">
        <v>25</v>
      </c>
      <c r="L1846">
        <v>0.75</v>
      </c>
      <c r="M1846" s="3" t="str">
        <f t="shared" si="46"/>
        <v>44/40</v>
      </c>
      <c r="N1846" s="3" t="str">
        <f t="shared" si="48"/>
        <v>SRM915a</v>
      </c>
      <c r="O1846" s="1" t="s">
        <v>25</v>
      </c>
      <c r="P1846" s="3" t="s">
        <v>25</v>
      </c>
      <c r="Q1846" s="37" t="s">
        <v>25</v>
      </c>
      <c r="R1846" s="3" t="s">
        <v>25</v>
      </c>
      <c r="S1846" s="13">
        <f t="shared" si="47"/>
        <v>-1.1299999999999999</v>
      </c>
    </row>
    <row r="1847" spans="1:19">
      <c r="A1847" s="18" t="s">
        <v>1794</v>
      </c>
      <c r="B1847" s="1" t="s">
        <v>2004</v>
      </c>
      <c r="C1847" s="1" t="s">
        <v>2043</v>
      </c>
      <c r="D1847" s="1" t="s">
        <v>2044</v>
      </c>
      <c r="E1847" s="1" t="s">
        <v>25</v>
      </c>
      <c r="F1847">
        <v>251.90199999999999</v>
      </c>
      <c r="G1847">
        <v>298.89999999999998</v>
      </c>
      <c r="H1847" t="s">
        <v>25</v>
      </c>
      <c r="I1847" s="1" t="s">
        <v>1528</v>
      </c>
      <c r="J1847" s="1" t="s">
        <v>25</v>
      </c>
      <c r="K1847" s="11" t="s">
        <v>25</v>
      </c>
      <c r="L1847">
        <v>0.94</v>
      </c>
      <c r="M1847" s="3" t="str">
        <f t="shared" si="46"/>
        <v>44/40</v>
      </c>
      <c r="N1847" s="3" t="str">
        <f t="shared" si="48"/>
        <v>SRM915a</v>
      </c>
      <c r="O1847" s="1" t="s">
        <v>25</v>
      </c>
      <c r="P1847" s="3" t="s">
        <v>25</v>
      </c>
      <c r="Q1847" s="37" t="s">
        <v>25</v>
      </c>
      <c r="R1847" s="3" t="s">
        <v>25</v>
      </c>
      <c r="S1847" s="13">
        <f t="shared" si="47"/>
        <v>-0.94</v>
      </c>
    </row>
    <row r="1848" spans="1:19">
      <c r="A1848" s="18" t="s">
        <v>1794</v>
      </c>
      <c r="B1848" s="1" t="s">
        <v>2005</v>
      </c>
      <c r="C1848" s="1" t="s">
        <v>2043</v>
      </c>
      <c r="D1848" s="1" t="s">
        <v>2044</v>
      </c>
      <c r="E1848" s="1" t="s">
        <v>25</v>
      </c>
      <c r="F1848">
        <v>251.90199999999999</v>
      </c>
      <c r="G1848">
        <v>298.89999999999998</v>
      </c>
      <c r="H1848" t="s">
        <v>25</v>
      </c>
      <c r="I1848" s="1" t="s">
        <v>1528</v>
      </c>
      <c r="J1848" s="1" t="s">
        <v>25</v>
      </c>
      <c r="K1848" s="11" t="s">
        <v>25</v>
      </c>
      <c r="L1848">
        <v>0.76</v>
      </c>
      <c r="M1848" s="3" t="str">
        <f t="shared" si="46"/>
        <v>44/40</v>
      </c>
      <c r="N1848" s="3" t="str">
        <f t="shared" si="48"/>
        <v>SRM915a</v>
      </c>
      <c r="O1848" s="1" t="s">
        <v>25</v>
      </c>
      <c r="P1848" s="3" t="s">
        <v>25</v>
      </c>
      <c r="Q1848" s="37" t="s">
        <v>25</v>
      </c>
      <c r="R1848" s="3" t="s">
        <v>25</v>
      </c>
      <c r="S1848" s="13">
        <f t="shared" si="47"/>
        <v>-1.1199999999999999</v>
      </c>
    </row>
    <row r="1849" spans="1:19">
      <c r="A1849" s="18" t="s">
        <v>1794</v>
      </c>
      <c r="B1849" s="1" t="s">
        <v>2006</v>
      </c>
      <c r="C1849" s="1" t="s">
        <v>2043</v>
      </c>
      <c r="D1849" s="1" t="s">
        <v>2044</v>
      </c>
      <c r="E1849" s="1" t="s">
        <v>25</v>
      </c>
      <c r="F1849">
        <v>251.90199999999999</v>
      </c>
      <c r="G1849">
        <v>298.89999999999998</v>
      </c>
      <c r="H1849" t="s">
        <v>25</v>
      </c>
      <c r="I1849" s="1" t="s">
        <v>1528</v>
      </c>
      <c r="J1849" s="1" t="s">
        <v>25</v>
      </c>
      <c r="K1849" s="11" t="s">
        <v>25</v>
      </c>
      <c r="L1849">
        <v>1.1399999999999999</v>
      </c>
      <c r="M1849" s="3" t="str">
        <f t="shared" si="46"/>
        <v>44/40</v>
      </c>
      <c r="N1849" s="3" t="str">
        <f t="shared" si="48"/>
        <v>SRM915a</v>
      </c>
      <c r="O1849" s="1" t="s">
        <v>25</v>
      </c>
      <c r="P1849" s="3" t="s">
        <v>25</v>
      </c>
      <c r="Q1849" s="37" t="s">
        <v>25</v>
      </c>
      <c r="R1849" s="3" t="s">
        <v>25</v>
      </c>
      <c r="S1849" s="13">
        <f t="shared" si="47"/>
        <v>-0.74</v>
      </c>
    </row>
    <row r="1850" spans="1:19">
      <c r="A1850" s="18" t="s">
        <v>1794</v>
      </c>
      <c r="B1850" s="1" t="s">
        <v>2007</v>
      </c>
      <c r="C1850" s="1" t="s">
        <v>2043</v>
      </c>
      <c r="D1850" s="1" t="s">
        <v>2044</v>
      </c>
      <c r="E1850" s="1" t="s">
        <v>25</v>
      </c>
      <c r="F1850">
        <v>251.90199999999999</v>
      </c>
      <c r="G1850">
        <v>298.89999999999998</v>
      </c>
      <c r="H1850" t="s">
        <v>25</v>
      </c>
      <c r="I1850" s="1" t="s">
        <v>1528</v>
      </c>
      <c r="J1850" s="1" t="s">
        <v>25</v>
      </c>
      <c r="K1850" s="11" t="s">
        <v>25</v>
      </c>
      <c r="L1850">
        <v>0.9</v>
      </c>
      <c r="M1850" s="3" t="str">
        <f t="shared" si="46"/>
        <v>44/40</v>
      </c>
      <c r="N1850" s="3" t="str">
        <f t="shared" si="48"/>
        <v>SRM915a</v>
      </c>
      <c r="O1850" s="1" t="s">
        <v>25</v>
      </c>
      <c r="P1850" s="3" t="s">
        <v>25</v>
      </c>
      <c r="Q1850" s="37" t="s">
        <v>25</v>
      </c>
      <c r="R1850" s="3" t="s">
        <v>25</v>
      </c>
      <c r="S1850" s="13">
        <f t="shared" si="47"/>
        <v>-0.97999999999999987</v>
      </c>
    </row>
    <row r="1851" spans="1:19">
      <c r="A1851" s="18" t="s">
        <v>1794</v>
      </c>
      <c r="B1851" s="1" t="s">
        <v>2008</v>
      </c>
      <c r="C1851" s="1" t="s">
        <v>2043</v>
      </c>
      <c r="D1851" s="1" t="s">
        <v>2044</v>
      </c>
      <c r="E1851" s="1" t="s">
        <v>25</v>
      </c>
      <c r="F1851">
        <v>251.90199999999999</v>
      </c>
      <c r="G1851">
        <v>298.89999999999998</v>
      </c>
      <c r="H1851" t="s">
        <v>25</v>
      </c>
      <c r="I1851" s="1" t="s">
        <v>1528</v>
      </c>
      <c r="J1851" s="1" t="s">
        <v>25</v>
      </c>
      <c r="K1851" s="11" t="s">
        <v>25</v>
      </c>
      <c r="L1851">
        <v>0.85</v>
      </c>
      <c r="M1851" s="3" t="str">
        <f t="shared" si="46"/>
        <v>44/40</v>
      </c>
      <c r="N1851" s="3" t="str">
        <f t="shared" si="48"/>
        <v>SRM915a</v>
      </c>
      <c r="O1851" s="1" t="s">
        <v>25</v>
      </c>
      <c r="P1851" s="3" t="s">
        <v>25</v>
      </c>
      <c r="Q1851" s="37" t="s">
        <v>25</v>
      </c>
      <c r="R1851" s="3" t="s">
        <v>25</v>
      </c>
      <c r="S1851" s="13">
        <f t="shared" si="47"/>
        <v>-1.0299999999999998</v>
      </c>
    </row>
    <row r="1852" spans="1:19">
      <c r="A1852" s="18" t="s">
        <v>1794</v>
      </c>
      <c r="B1852" s="1" t="s">
        <v>2009</v>
      </c>
      <c r="C1852" s="1" t="s">
        <v>2043</v>
      </c>
      <c r="D1852" s="1" t="s">
        <v>2044</v>
      </c>
      <c r="E1852" s="1" t="s">
        <v>25</v>
      </c>
      <c r="F1852">
        <v>251.90199999999999</v>
      </c>
      <c r="G1852">
        <v>298.89999999999998</v>
      </c>
      <c r="H1852" t="s">
        <v>25</v>
      </c>
      <c r="I1852" s="1" t="s">
        <v>1528</v>
      </c>
      <c r="J1852" s="1" t="s">
        <v>25</v>
      </c>
      <c r="K1852" s="11" t="s">
        <v>25</v>
      </c>
      <c r="L1852">
        <v>1.3</v>
      </c>
      <c r="M1852" s="3" t="str">
        <f t="shared" si="46"/>
        <v>44/40</v>
      </c>
      <c r="N1852" s="3" t="str">
        <f t="shared" si="48"/>
        <v>SRM915a</v>
      </c>
      <c r="O1852" s="1" t="s">
        <v>25</v>
      </c>
      <c r="P1852" s="3" t="s">
        <v>25</v>
      </c>
      <c r="Q1852" s="37" t="s">
        <v>25</v>
      </c>
      <c r="R1852" s="3" t="s">
        <v>25</v>
      </c>
      <c r="S1852" s="13">
        <f t="shared" si="47"/>
        <v>-0.57999999999999985</v>
      </c>
    </row>
    <row r="1853" spans="1:19">
      <c r="A1853" s="18" t="s">
        <v>1794</v>
      </c>
      <c r="B1853" s="1" t="s">
        <v>2010</v>
      </c>
      <c r="C1853" s="1" t="s">
        <v>2043</v>
      </c>
      <c r="D1853" s="1" t="s">
        <v>2044</v>
      </c>
      <c r="E1853" s="1" t="s">
        <v>25</v>
      </c>
      <c r="F1853">
        <v>251.90199999999999</v>
      </c>
      <c r="G1853">
        <v>298.89999999999998</v>
      </c>
      <c r="H1853" t="s">
        <v>25</v>
      </c>
      <c r="I1853" s="1" t="s">
        <v>1528</v>
      </c>
      <c r="J1853" s="1" t="s">
        <v>25</v>
      </c>
      <c r="K1853" s="11" t="s">
        <v>25</v>
      </c>
      <c r="L1853" t="s">
        <v>25</v>
      </c>
      <c r="M1853" s="3" t="str">
        <f t="shared" si="46"/>
        <v>Na</v>
      </c>
      <c r="N1853" s="3" t="str">
        <f t="shared" si="48"/>
        <v>Na</v>
      </c>
      <c r="O1853" s="1" t="s">
        <v>25</v>
      </c>
      <c r="P1853" s="3" t="s">
        <v>25</v>
      </c>
      <c r="Q1853" s="37" t="s">
        <v>25</v>
      </c>
      <c r="R1853" s="3" t="s">
        <v>25</v>
      </c>
      <c r="S1853" s="13" t="s">
        <v>25</v>
      </c>
    </row>
    <row r="1854" spans="1:19">
      <c r="A1854" s="18" t="s">
        <v>1794</v>
      </c>
      <c r="B1854" s="1" t="s">
        <v>2011</v>
      </c>
      <c r="C1854" s="1" t="s">
        <v>2043</v>
      </c>
      <c r="D1854" s="1" t="s">
        <v>2044</v>
      </c>
      <c r="E1854" s="1" t="s">
        <v>25</v>
      </c>
      <c r="F1854">
        <v>251.90199999999999</v>
      </c>
      <c r="G1854">
        <v>298.89999999999998</v>
      </c>
      <c r="H1854" t="s">
        <v>25</v>
      </c>
      <c r="I1854" s="1" t="s">
        <v>1528</v>
      </c>
      <c r="J1854" s="1" t="s">
        <v>25</v>
      </c>
      <c r="K1854" s="11" t="s">
        <v>25</v>
      </c>
      <c r="L1854">
        <v>1.21</v>
      </c>
      <c r="M1854" s="3" t="str">
        <f t="shared" si="46"/>
        <v>44/40</v>
      </c>
      <c r="N1854" s="3" t="str">
        <f t="shared" si="48"/>
        <v>SRM915a</v>
      </c>
      <c r="O1854" s="1" t="s">
        <v>25</v>
      </c>
      <c r="P1854" s="3" t="s">
        <v>25</v>
      </c>
      <c r="Q1854" s="37" t="s">
        <v>25</v>
      </c>
      <c r="R1854" s="3" t="s">
        <v>25</v>
      </c>
      <c r="S1854" s="13">
        <f t="shared" si="47"/>
        <v>-0.66999999999999993</v>
      </c>
    </row>
    <row r="1855" spans="1:19">
      <c r="A1855" s="18" t="s">
        <v>1794</v>
      </c>
      <c r="B1855" s="1" t="s">
        <v>2012</v>
      </c>
      <c r="C1855" s="1" t="s">
        <v>2043</v>
      </c>
      <c r="D1855" s="1" t="s">
        <v>2044</v>
      </c>
      <c r="E1855" s="1" t="s">
        <v>25</v>
      </c>
      <c r="F1855">
        <v>251.90199999999999</v>
      </c>
      <c r="G1855">
        <v>298.89999999999998</v>
      </c>
      <c r="H1855" t="s">
        <v>25</v>
      </c>
      <c r="I1855" s="1" t="s">
        <v>1528</v>
      </c>
      <c r="J1855" s="1" t="s">
        <v>25</v>
      </c>
      <c r="K1855" s="11" t="s">
        <v>25</v>
      </c>
      <c r="L1855">
        <v>0.79</v>
      </c>
      <c r="M1855" s="3" t="str">
        <f t="shared" si="46"/>
        <v>44/40</v>
      </c>
      <c r="N1855" s="3" t="str">
        <f t="shared" si="48"/>
        <v>SRM915a</v>
      </c>
      <c r="O1855" s="1" t="s">
        <v>25</v>
      </c>
      <c r="P1855" s="3" t="s">
        <v>25</v>
      </c>
      <c r="Q1855" s="37" t="s">
        <v>25</v>
      </c>
      <c r="R1855" s="3" t="s">
        <v>25</v>
      </c>
      <c r="S1855" s="13">
        <f t="shared" si="47"/>
        <v>-1.0899999999999999</v>
      </c>
    </row>
    <row r="1856" spans="1:19">
      <c r="A1856" s="18" t="s">
        <v>1794</v>
      </c>
      <c r="B1856" s="1" t="s">
        <v>2013</v>
      </c>
      <c r="C1856" s="1" t="s">
        <v>2043</v>
      </c>
      <c r="D1856" s="1" t="s">
        <v>2044</v>
      </c>
      <c r="E1856" s="1" t="s">
        <v>25</v>
      </c>
      <c r="F1856">
        <v>251.90199999999999</v>
      </c>
      <c r="G1856">
        <v>298.89999999999998</v>
      </c>
      <c r="H1856" t="s">
        <v>25</v>
      </c>
      <c r="I1856" s="1" t="s">
        <v>1528</v>
      </c>
      <c r="J1856" s="1" t="s">
        <v>25</v>
      </c>
      <c r="K1856" s="11" t="s">
        <v>25</v>
      </c>
      <c r="L1856">
        <v>0.83</v>
      </c>
      <c r="M1856" s="3" t="str">
        <f t="shared" si="46"/>
        <v>44/40</v>
      </c>
      <c r="N1856" s="3" t="str">
        <f t="shared" si="48"/>
        <v>SRM915a</v>
      </c>
      <c r="O1856" s="1" t="s">
        <v>25</v>
      </c>
      <c r="P1856" s="3" t="s">
        <v>25</v>
      </c>
      <c r="Q1856" s="37" t="s">
        <v>25</v>
      </c>
      <c r="R1856" s="3" t="s">
        <v>25</v>
      </c>
      <c r="S1856" s="13">
        <f t="shared" si="47"/>
        <v>-1.0499999999999998</v>
      </c>
    </row>
    <row r="1857" spans="1:19">
      <c r="A1857" s="18" t="s">
        <v>1794</v>
      </c>
      <c r="B1857" s="1" t="s">
        <v>2014</v>
      </c>
      <c r="C1857" s="1" t="s">
        <v>2043</v>
      </c>
      <c r="D1857" s="1" t="s">
        <v>2044</v>
      </c>
      <c r="E1857" s="1" t="s">
        <v>25</v>
      </c>
      <c r="F1857">
        <v>251.90199999999999</v>
      </c>
      <c r="G1857">
        <v>298.89999999999998</v>
      </c>
      <c r="H1857" t="s">
        <v>25</v>
      </c>
      <c r="I1857" s="1" t="s">
        <v>1528</v>
      </c>
      <c r="J1857" s="1" t="s">
        <v>25</v>
      </c>
      <c r="K1857" s="11" t="s">
        <v>25</v>
      </c>
      <c r="L1857">
        <v>0.71</v>
      </c>
      <c r="M1857" s="3" t="str">
        <f t="shared" si="46"/>
        <v>44/40</v>
      </c>
      <c r="N1857" s="3" t="str">
        <f t="shared" si="48"/>
        <v>SRM915a</v>
      </c>
      <c r="O1857" s="1" t="s">
        <v>25</v>
      </c>
      <c r="P1857" s="3" t="s">
        <v>25</v>
      </c>
      <c r="Q1857" s="37" t="s">
        <v>25</v>
      </c>
      <c r="R1857" s="3" t="s">
        <v>25</v>
      </c>
      <c r="S1857" s="13">
        <f t="shared" si="47"/>
        <v>-1.17</v>
      </c>
    </row>
    <row r="1858" spans="1:19">
      <c r="A1858" s="18" t="s">
        <v>1794</v>
      </c>
      <c r="B1858" s="1" t="s">
        <v>2015</v>
      </c>
      <c r="C1858" s="1" t="s">
        <v>2043</v>
      </c>
      <c r="D1858" s="1" t="s">
        <v>2044</v>
      </c>
      <c r="E1858" s="1" t="s">
        <v>25</v>
      </c>
      <c r="F1858">
        <v>251.90199999999999</v>
      </c>
      <c r="G1858">
        <v>298.89999999999998</v>
      </c>
      <c r="H1858" t="s">
        <v>25</v>
      </c>
      <c r="I1858" s="1" t="s">
        <v>1528</v>
      </c>
      <c r="J1858" s="1" t="s">
        <v>25</v>
      </c>
      <c r="K1858" s="11" t="s">
        <v>25</v>
      </c>
      <c r="L1858">
        <v>1.05</v>
      </c>
      <c r="M1858" s="3" t="str">
        <f t="shared" si="46"/>
        <v>44/40</v>
      </c>
      <c r="N1858" s="3" t="str">
        <f t="shared" si="48"/>
        <v>SRM915a</v>
      </c>
      <c r="O1858" s="1" t="s">
        <v>25</v>
      </c>
      <c r="P1858" s="3" t="s">
        <v>25</v>
      </c>
      <c r="Q1858" s="37" t="s">
        <v>25</v>
      </c>
      <c r="R1858" s="3" t="s">
        <v>25</v>
      </c>
      <c r="S1858" s="13">
        <f t="shared" si="47"/>
        <v>-0.82999999999999985</v>
      </c>
    </row>
    <row r="1859" spans="1:19">
      <c r="A1859" s="18" t="s">
        <v>1794</v>
      </c>
      <c r="B1859" s="1" t="s">
        <v>2016</v>
      </c>
      <c r="C1859" s="1" t="s">
        <v>2043</v>
      </c>
      <c r="D1859" s="1" t="s">
        <v>2044</v>
      </c>
      <c r="E1859" s="1" t="s">
        <v>25</v>
      </c>
      <c r="F1859">
        <v>251.90199999999999</v>
      </c>
      <c r="G1859">
        <v>298.89999999999998</v>
      </c>
      <c r="H1859" t="s">
        <v>25</v>
      </c>
      <c r="I1859" s="1" t="s">
        <v>1528</v>
      </c>
      <c r="J1859" s="1" t="s">
        <v>25</v>
      </c>
      <c r="K1859" s="11" t="s">
        <v>25</v>
      </c>
      <c r="L1859">
        <v>1.1200000000000001</v>
      </c>
      <c r="M1859" s="3" t="str">
        <f t="shared" si="46"/>
        <v>44/40</v>
      </c>
      <c r="N1859" s="3" t="str">
        <f t="shared" si="48"/>
        <v>SRM915a</v>
      </c>
      <c r="O1859" s="1" t="s">
        <v>25</v>
      </c>
      <c r="P1859" s="3" t="s">
        <v>25</v>
      </c>
      <c r="Q1859" s="37" t="s">
        <v>25</v>
      </c>
      <c r="R1859" s="3" t="s">
        <v>25</v>
      </c>
      <c r="S1859" s="13">
        <f t="shared" si="47"/>
        <v>-0.75999999999999979</v>
      </c>
    </row>
    <row r="1860" spans="1:19">
      <c r="A1860" s="18" t="s">
        <v>1794</v>
      </c>
      <c r="B1860" s="1" t="s">
        <v>2017</v>
      </c>
      <c r="C1860" s="1" t="s">
        <v>2043</v>
      </c>
      <c r="D1860" s="1" t="s">
        <v>2044</v>
      </c>
      <c r="E1860" s="1" t="s">
        <v>25</v>
      </c>
      <c r="F1860">
        <v>251.90199999999999</v>
      </c>
      <c r="G1860">
        <v>298.89999999999998</v>
      </c>
      <c r="H1860" t="s">
        <v>25</v>
      </c>
      <c r="I1860" s="1" t="s">
        <v>1528</v>
      </c>
      <c r="J1860" s="1" t="s">
        <v>25</v>
      </c>
      <c r="K1860" s="11" t="s">
        <v>25</v>
      </c>
      <c r="L1860">
        <v>1.3</v>
      </c>
      <c r="M1860" s="3" t="str">
        <f t="shared" si="46"/>
        <v>44/40</v>
      </c>
      <c r="N1860" s="3" t="str">
        <f t="shared" si="48"/>
        <v>SRM915a</v>
      </c>
      <c r="O1860" s="1" t="s">
        <v>25</v>
      </c>
      <c r="P1860" s="3" t="s">
        <v>25</v>
      </c>
      <c r="Q1860" s="37" t="s">
        <v>25</v>
      </c>
      <c r="R1860" s="3" t="s">
        <v>25</v>
      </c>
      <c r="S1860" s="13">
        <f t="shared" si="47"/>
        <v>-0.57999999999999985</v>
      </c>
    </row>
    <row r="1861" spans="1:19">
      <c r="A1861" s="18" t="s">
        <v>1794</v>
      </c>
      <c r="B1861" s="1" t="s">
        <v>2018</v>
      </c>
      <c r="C1861" s="1" t="s">
        <v>2043</v>
      </c>
      <c r="D1861" s="1" t="s">
        <v>2044</v>
      </c>
      <c r="E1861" s="1" t="s">
        <v>25</v>
      </c>
      <c r="F1861">
        <v>251.90199999999999</v>
      </c>
      <c r="G1861">
        <v>298.89999999999998</v>
      </c>
      <c r="H1861" t="s">
        <v>25</v>
      </c>
      <c r="I1861" s="1" t="s">
        <v>1528</v>
      </c>
      <c r="J1861" s="1" t="s">
        <v>25</v>
      </c>
      <c r="K1861" s="11" t="s">
        <v>25</v>
      </c>
      <c r="L1861">
        <v>0.96</v>
      </c>
      <c r="M1861" s="3" t="str">
        <f t="shared" si="46"/>
        <v>44/40</v>
      </c>
      <c r="N1861" s="3" t="str">
        <f t="shared" si="48"/>
        <v>SRM915a</v>
      </c>
      <c r="O1861" s="1" t="s">
        <v>25</v>
      </c>
      <c r="P1861" s="3" t="s">
        <v>25</v>
      </c>
      <c r="Q1861" s="37" t="s">
        <v>25</v>
      </c>
      <c r="R1861" s="3" t="s">
        <v>25</v>
      </c>
      <c r="S1861" s="13">
        <f t="shared" si="47"/>
        <v>-0.91999999999999993</v>
      </c>
    </row>
    <row r="1862" spans="1:19">
      <c r="A1862" s="18" t="s">
        <v>1794</v>
      </c>
      <c r="B1862" s="1" t="s">
        <v>2019</v>
      </c>
      <c r="C1862" s="1" t="s">
        <v>2043</v>
      </c>
      <c r="D1862" s="1" t="s">
        <v>2044</v>
      </c>
      <c r="E1862" s="1" t="s">
        <v>25</v>
      </c>
      <c r="F1862">
        <v>251.90199999999999</v>
      </c>
      <c r="G1862">
        <v>298.89999999999998</v>
      </c>
      <c r="H1862" t="s">
        <v>25</v>
      </c>
      <c r="I1862" s="1" t="s">
        <v>1528</v>
      </c>
      <c r="J1862" s="1" t="s">
        <v>25</v>
      </c>
      <c r="K1862" s="11" t="s">
        <v>25</v>
      </c>
      <c r="L1862">
        <v>0.71</v>
      </c>
      <c r="M1862" s="3" t="str">
        <f t="shared" si="46"/>
        <v>44/40</v>
      </c>
      <c r="N1862" s="3" t="str">
        <f t="shared" si="48"/>
        <v>SRM915a</v>
      </c>
      <c r="O1862" s="1" t="s">
        <v>25</v>
      </c>
      <c r="P1862" s="3" t="s">
        <v>25</v>
      </c>
      <c r="Q1862" s="37" t="s">
        <v>25</v>
      </c>
      <c r="R1862" s="3" t="s">
        <v>25</v>
      </c>
      <c r="S1862" s="13">
        <f t="shared" si="47"/>
        <v>-1.17</v>
      </c>
    </row>
    <row r="1863" spans="1:19">
      <c r="A1863" s="18" t="s">
        <v>1794</v>
      </c>
      <c r="B1863" s="1" t="s">
        <v>2020</v>
      </c>
      <c r="C1863" s="1" t="s">
        <v>2043</v>
      </c>
      <c r="D1863" s="1" t="s">
        <v>2044</v>
      </c>
      <c r="E1863" s="1" t="s">
        <v>25</v>
      </c>
      <c r="F1863">
        <v>251.90199999999999</v>
      </c>
      <c r="G1863">
        <v>298.89999999999998</v>
      </c>
      <c r="H1863" t="s">
        <v>25</v>
      </c>
      <c r="I1863" s="1" t="s">
        <v>1528</v>
      </c>
      <c r="J1863" s="1" t="s">
        <v>25</v>
      </c>
      <c r="K1863" s="11" t="s">
        <v>25</v>
      </c>
      <c r="L1863" t="s">
        <v>25</v>
      </c>
      <c r="M1863" s="3" t="str">
        <f t="shared" si="46"/>
        <v>Na</v>
      </c>
      <c r="N1863" s="3" t="str">
        <f t="shared" si="48"/>
        <v>Na</v>
      </c>
      <c r="O1863" s="1" t="s">
        <v>25</v>
      </c>
      <c r="P1863" s="3" t="s">
        <v>25</v>
      </c>
      <c r="Q1863" s="37" t="s">
        <v>25</v>
      </c>
      <c r="R1863" s="3" t="s">
        <v>25</v>
      </c>
      <c r="S1863" s="13" t="s">
        <v>25</v>
      </c>
    </row>
    <row r="1864" spans="1:19">
      <c r="A1864" s="18" t="s">
        <v>1794</v>
      </c>
      <c r="B1864" s="1" t="s">
        <v>2021</v>
      </c>
      <c r="C1864" s="1" t="s">
        <v>2043</v>
      </c>
      <c r="D1864" s="1" t="s">
        <v>2044</v>
      </c>
      <c r="E1864" s="1" t="s">
        <v>25</v>
      </c>
      <c r="F1864">
        <v>251.90199999999999</v>
      </c>
      <c r="G1864">
        <v>298.89999999999998</v>
      </c>
      <c r="H1864" t="s">
        <v>25</v>
      </c>
      <c r="I1864" s="1" t="s">
        <v>1528</v>
      </c>
      <c r="J1864" s="1" t="s">
        <v>25</v>
      </c>
      <c r="K1864" s="11" t="s">
        <v>25</v>
      </c>
      <c r="L1864">
        <v>0.77</v>
      </c>
      <c r="M1864" s="3" t="str">
        <f t="shared" ref="M1864:M1885" si="49">IF(ISNUMBER(SEARCH("Na", L1864)), "Na", "44/40")</f>
        <v>44/40</v>
      </c>
      <c r="N1864" s="3" t="str">
        <f t="shared" si="48"/>
        <v>SRM915a</v>
      </c>
      <c r="O1864" s="1" t="s">
        <v>25</v>
      </c>
      <c r="P1864" s="3" t="s">
        <v>25</v>
      </c>
      <c r="Q1864" s="37" t="s">
        <v>25</v>
      </c>
      <c r="R1864" s="3" t="s">
        <v>25</v>
      </c>
      <c r="S1864" s="13">
        <f t="shared" si="47"/>
        <v>-1.1099999999999999</v>
      </c>
    </row>
    <row r="1865" spans="1:19">
      <c r="A1865" s="18" t="s">
        <v>1794</v>
      </c>
      <c r="B1865" s="1" t="s">
        <v>2022</v>
      </c>
      <c r="C1865" s="1" t="s">
        <v>2043</v>
      </c>
      <c r="D1865" s="1" t="s">
        <v>2044</v>
      </c>
      <c r="E1865" s="1" t="s">
        <v>25</v>
      </c>
      <c r="F1865">
        <v>251.90199999999999</v>
      </c>
      <c r="G1865">
        <v>298.89999999999998</v>
      </c>
      <c r="H1865" t="s">
        <v>25</v>
      </c>
      <c r="I1865" s="1" t="s">
        <v>1528</v>
      </c>
      <c r="J1865" s="1" t="s">
        <v>25</v>
      </c>
      <c r="K1865" s="11" t="s">
        <v>25</v>
      </c>
      <c r="L1865">
        <v>0.81</v>
      </c>
      <c r="M1865" s="3" t="str">
        <f t="shared" si="49"/>
        <v>44/40</v>
      </c>
      <c r="N1865" s="3" t="str">
        <f t="shared" si="48"/>
        <v>SRM915a</v>
      </c>
      <c r="O1865" s="1" t="s">
        <v>25</v>
      </c>
      <c r="P1865" s="3" t="s">
        <v>25</v>
      </c>
      <c r="Q1865" s="37" t="s">
        <v>25</v>
      </c>
      <c r="R1865" s="3" t="s">
        <v>25</v>
      </c>
      <c r="S1865" s="13">
        <f t="shared" si="47"/>
        <v>-1.0699999999999998</v>
      </c>
    </row>
    <row r="1866" spans="1:19">
      <c r="A1866" s="18" t="s">
        <v>1794</v>
      </c>
      <c r="B1866" s="1" t="s">
        <v>2023</v>
      </c>
      <c r="C1866" s="1" t="s">
        <v>2043</v>
      </c>
      <c r="D1866" s="1" t="s">
        <v>2044</v>
      </c>
      <c r="E1866" s="1" t="s">
        <v>25</v>
      </c>
      <c r="F1866">
        <v>251.90199999999999</v>
      </c>
      <c r="G1866">
        <v>298.89999999999998</v>
      </c>
      <c r="H1866" t="s">
        <v>25</v>
      </c>
      <c r="I1866" s="1" t="s">
        <v>1528</v>
      </c>
      <c r="J1866" s="1" t="s">
        <v>25</v>
      </c>
      <c r="K1866" s="11" t="s">
        <v>25</v>
      </c>
      <c r="L1866">
        <v>0.78</v>
      </c>
      <c r="M1866" s="3" t="str">
        <f t="shared" si="49"/>
        <v>44/40</v>
      </c>
      <c r="N1866" s="3" t="str">
        <f t="shared" si="48"/>
        <v>SRM915a</v>
      </c>
      <c r="O1866" s="1" t="s">
        <v>25</v>
      </c>
      <c r="P1866" s="3" t="s">
        <v>25</v>
      </c>
      <c r="Q1866" s="37" t="s">
        <v>25</v>
      </c>
      <c r="R1866" s="3" t="s">
        <v>25</v>
      </c>
      <c r="S1866" s="13">
        <f t="shared" si="47"/>
        <v>-1.0999999999999999</v>
      </c>
    </row>
    <row r="1867" spans="1:19">
      <c r="A1867" s="18" t="s">
        <v>1794</v>
      </c>
      <c r="B1867" s="1" t="s">
        <v>2024</v>
      </c>
      <c r="C1867" s="1" t="s">
        <v>2043</v>
      </c>
      <c r="D1867" s="1" t="s">
        <v>2044</v>
      </c>
      <c r="E1867" s="1" t="s">
        <v>25</v>
      </c>
      <c r="F1867">
        <v>251.90199999999999</v>
      </c>
      <c r="G1867">
        <v>298.89999999999998</v>
      </c>
      <c r="H1867" t="s">
        <v>25</v>
      </c>
      <c r="I1867" s="1" t="s">
        <v>1528</v>
      </c>
      <c r="J1867" s="1" t="s">
        <v>25</v>
      </c>
      <c r="K1867" s="11" t="s">
        <v>25</v>
      </c>
      <c r="L1867">
        <v>1.1499999999999999</v>
      </c>
      <c r="M1867" s="3" t="str">
        <f t="shared" si="49"/>
        <v>44/40</v>
      </c>
      <c r="N1867" s="3" t="str">
        <f t="shared" si="48"/>
        <v>SRM915a</v>
      </c>
      <c r="O1867" s="1" t="s">
        <v>25</v>
      </c>
      <c r="P1867" s="3" t="s">
        <v>25</v>
      </c>
      <c r="Q1867" s="37" t="s">
        <v>25</v>
      </c>
      <c r="R1867" s="3" t="s">
        <v>25</v>
      </c>
      <c r="S1867" s="13">
        <f t="shared" si="47"/>
        <v>-0.73</v>
      </c>
    </row>
    <row r="1868" spans="1:19">
      <c r="A1868" s="18" t="s">
        <v>1794</v>
      </c>
      <c r="B1868" s="1" t="s">
        <v>2025</v>
      </c>
      <c r="C1868" s="1" t="s">
        <v>2043</v>
      </c>
      <c r="D1868" s="1" t="s">
        <v>2044</v>
      </c>
      <c r="E1868" s="1" t="s">
        <v>25</v>
      </c>
      <c r="F1868">
        <v>251.90199999999999</v>
      </c>
      <c r="G1868">
        <v>298.89999999999998</v>
      </c>
      <c r="H1868" t="s">
        <v>25</v>
      </c>
      <c r="I1868" s="1" t="s">
        <v>1528</v>
      </c>
      <c r="J1868" s="1" t="s">
        <v>25</v>
      </c>
      <c r="K1868" s="11" t="s">
        <v>25</v>
      </c>
      <c r="L1868">
        <v>0.89</v>
      </c>
      <c r="M1868" s="3" t="str">
        <f t="shared" si="49"/>
        <v>44/40</v>
      </c>
      <c r="N1868" s="3" t="str">
        <f t="shared" si="48"/>
        <v>SRM915a</v>
      </c>
      <c r="O1868" s="1" t="s">
        <v>25</v>
      </c>
      <c r="P1868" s="3" t="s">
        <v>25</v>
      </c>
      <c r="Q1868" s="37" t="s">
        <v>25</v>
      </c>
      <c r="R1868" s="3" t="s">
        <v>25</v>
      </c>
      <c r="S1868" s="13">
        <f t="shared" si="47"/>
        <v>-0.98999999999999988</v>
      </c>
    </row>
    <row r="1869" spans="1:19">
      <c r="A1869" s="18" t="s">
        <v>1794</v>
      </c>
      <c r="B1869" s="1" t="s">
        <v>2026</v>
      </c>
      <c r="C1869" s="1" t="s">
        <v>2043</v>
      </c>
      <c r="D1869" s="1" t="s">
        <v>2044</v>
      </c>
      <c r="E1869" s="1" t="s">
        <v>25</v>
      </c>
      <c r="F1869">
        <v>251.90199999999999</v>
      </c>
      <c r="G1869">
        <v>298.89999999999998</v>
      </c>
      <c r="H1869" t="s">
        <v>25</v>
      </c>
      <c r="I1869" s="1" t="s">
        <v>1528</v>
      </c>
      <c r="J1869" s="1" t="s">
        <v>25</v>
      </c>
      <c r="K1869" s="11" t="s">
        <v>25</v>
      </c>
      <c r="L1869">
        <v>0.87</v>
      </c>
      <c r="M1869" s="3" t="str">
        <f t="shared" si="49"/>
        <v>44/40</v>
      </c>
      <c r="N1869" s="3" t="str">
        <f t="shared" si="48"/>
        <v>SRM915a</v>
      </c>
      <c r="O1869" s="1" t="s">
        <v>25</v>
      </c>
      <c r="P1869" s="3" t="s">
        <v>25</v>
      </c>
      <c r="Q1869" s="37" t="s">
        <v>25</v>
      </c>
      <c r="R1869" s="3" t="s">
        <v>25</v>
      </c>
      <c r="S1869" s="13">
        <f t="shared" si="47"/>
        <v>-1.0099999999999998</v>
      </c>
    </row>
    <row r="1870" spans="1:19">
      <c r="A1870" s="18" t="s">
        <v>1794</v>
      </c>
      <c r="B1870" s="1" t="s">
        <v>2027</v>
      </c>
      <c r="C1870" s="1" t="s">
        <v>2043</v>
      </c>
      <c r="D1870" s="1" t="s">
        <v>2044</v>
      </c>
      <c r="E1870" s="1" t="s">
        <v>25</v>
      </c>
      <c r="F1870">
        <v>251.90199999999999</v>
      </c>
      <c r="G1870">
        <v>298.89999999999998</v>
      </c>
      <c r="H1870" t="s">
        <v>25</v>
      </c>
      <c r="I1870" s="1" t="s">
        <v>1528</v>
      </c>
      <c r="J1870" s="1" t="s">
        <v>25</v>
      </c>
      <c r="K1870" s="11" t="s">
        <v>25</v>
      </c>
      <c r="L1870">
        <v>0.36</v>
      </c>
      <c r="M1870" s="3" t="str">
        <f t="shared" si="49"/>
        <v>44/40</v>
      </c>
      <c r="N1870" s="3" t="str">
        <f t="shared" si="48"/>
        <v>SRM915a</v>
      </c>
      <c r="O1870" s="1" t="s">
        <v>25</v>
      </c>
      <c r="P1870" s="3" t="s">
        <v>25</v>
      </c>
      <c r="Q1870" s="37" t="s">
        <v>25</v>
      </c>
      <c r="R1870" s="3" t="s">
        <v>25</v>
      </c>
      <c r="S1870" s="13">
        <f t="shared" si="47"/>
        <v>-1.52</v>
      </c>
    </row>
    <row r="1871" spans="1:19">
      <c r="A1871" s="18" t="s">
        <v>1794</v>
      </c>
      <c r="B1871" s="1" t="s">
        <v>2028</v>
      </c>
      <c r="C1871" s="1" t="s">
        <v>2043</v>
      </c>
      <c r="D1871" s="1" t="s">
        <v>2044</v>
      </c>
      <c r="E1871" s="1" t="s">
        <v>25</v>
      </c>
      <c r="F1871">
        <v>251.90199999999999</v>
      </c>
      <c r="G1871">
        <v>298.89999999999998</v>
      </c>
      <c r="H1871" t="s">
        <v>25</v>
      </c>
      <c r="I1871" s="1" t="s">
        <v>1528</v>
      </c>
      <c r="J1871" s="1" t="s">
        <v>25</v>
      </c>
      <c r="K1871" s="11" t="s">
        <v>25</v>
      </c>
      <c r="L1871">
        <v>0.63</v>
      </c>
      <c r="M1871" s="3" t="str">
        <f t="shared" si="49"/>
        <v>44/40</v>
      </c>
      <c r="N1871" s="3" t="str">
        <f t="shared" si="48"/>
        <v>SRM915a</v>
      </c>
      <c r="O1871" s="1" t="s">
        <v>25</v>
      </c>
      <c r="P1871" s="3" t="s">
        <v>25</v>
      </c>
      <c r="Q1871" s="37" t="s">
        <v>25</v>
      </c>
      <c r="R1871" s="3" t="s">
        <v>25</v>
      </c>
      <c r="S1871" s="13">
        <f t="shared" si="47"/>
        <v>-1.25</v>
      </c>
    </row>
    <row r="1872" spans="1:19">
      <c r="A1872" s="18" t="s">
        <v>1794</v>
      </c>
      <c r="B1872" s="1" t="s">
        <v>2029</v>
      </c>
      <c r="C1872" s="1" t="s">
        <v>2043</v>
      </c>
      <c r="D1872" s="1" t="s">
        <v>2044</v>
      </c>
      <c r="E1872" s="1" t="s">
        <v>25</v>
      </c>
      <c r="F1872">
        <v>251.90199999999999</v>
      </c>
      <c r="G1872">
        <v>298.89999999999998</v>
      </c>
      <c r="H1872" t="s">
        <v>25</v>
      </c>
      <c r="I1872" s="1" t="s">
        <v>1528</v>
      </c>
      <c r="J1872" s="1" t="s">
        <v>25</v>
      </c>
      <c r="K1872" s="11" t="s">
        <v>25</v>
      </c>
      <c r="L1872">
        <v>0.72</v>
      </c>
      <c r="M1872" s="3" t="str">
        <f t="shared" si="49"/>
        <v>44/40</v>
      </c>
      <c r="N1872" s="3" t="str">
        <f t="shared" si="48"/>
        <v>SRM915a</v>
      </c>
      <c r="O1872" s="1" t="s">
        <v>25</v>
      </c>
      <c r="P1872" s="3" t="s">
        <v>25</v>
      </c>
      <c r="Q1872" s="37" t="s">
        <v>25</v>
      </c>
      <c r="R1872" s="3" t="s">
        <v>25</v>
      </c>
      <c r="S1872" s="13">
        <f t="shared" si="47"/>
        <v>-1.1599999999999999</v>
      </c>
    </row>
    <row r="1873" spans="1:19">
      <c r="A1873" s="18" t="s">
        <v>1794</v>
      </c>
      <c r="B1873" s="1" t="s">
        <v>2030</v>
      </c>
      <c r="C1873" s="1" t="s">
        <v>2043</v>
      </c>
      <c r="D1873" s="1" t="s">
        <v>2044</v>
      </c>
      <c r="E1873" s="1" t="s">
        <v>25</v>
      </c>
      <c r="F1873">
        <v>251.90199999999999</v>
      </c>
      <c r="G1873">
        <v>298.89999999999998</v>
      </c>
      <c r="H1873" t="s">
        <v>25</v>
      </c>
      <c r="I1873" s="1" t="s">
        <v>1528</v>
      </c>
      <c r="J1873" s="1" t="s">
        <v>25</v>
      </c>
      <c r="K1873" s="11" t="s">
        <v>25</v>
      </c>
      <c r="L1873">
        <v>0.98</v>
      </c>
      <c r="M1873" s="3" t="str">
        <f t="shared" si="49"/>
        <v>44/40</v>
      </c>
      <c r="N1873" s="3" t="str">
        <f t="shared" si="48"/>
        <v>SRM915a</v>
      </c>
      <c r="O1873" s="1" t="s">
        <v>25</v>
      </c>
      <c r="P1873" s="3" t="s">
        <v>25</v>
      </c>
      <c r="Q1873" s="37" t="s">
        <v>25</v>
      </c>
      <c r="R1873" s="3" t="s">
        <v>25</v>
      </c>
      <c r="S1873" s="13">
        <f t="shared" si="47"/>
        <v>-0.89999999999999991</v>
      </c>
    </row>
    <row r="1874" spans="1:19">
      <c r="A1874" s="18" t="s">
        <v>1794</v>
      </c>
      <c r="B1874" s="1" t="s">
        <v>2031</v>
      </c>
      <c r="C1874" s="1" t="s">
        <v>2043</v>
      </c>
      <c r="D1874" s="1" t="s">
        <v>2044</v>
      </c>
      <c r="E1874" s="1" t="s">
        <v>25</v>
      </c>
      <c r="F1874">
        <v>251.90199999999999</v>
      </c>
      <c r="G1874">
        <v>298.89999999999998</v>
      </c>
      <c r="H1874" t="s">
        <v>25</v>
      </c>
      <c r="I1874" s="1" t="s">
        <v>1528</v>
      </c>
      <c r="J1874" s="1" t="s">
        <v>25</v>
      </c>
      <c r="K1874" s="11" t="s">
        <v>25</v>
      </c>
      <c r="L1874">
        <v>1.27</v>
      </c>
      <c r="M1874" s="3" t="str">
        <f t="shared" si="49"/>
        <v>44/40</v>
      </c>
      <c r="N1874" s="3" t="str">
        <f t="shared" si="48"/>
        <v>SRM915a</v>
      </c>
      <c r="O1874" s="1" t="s">
        <v>25</v>
      </c>
      <c r="P1874" s="3" t="s">
        <v>25</v>
      </c>
      <c r="Q1874" s="37" t="s">
        <v>25</v>
      </c>
      <c r="R1874" s="3" t="s">
        <v>25</v>
      </c>
      <c r="S1874" s="13">
        <f t="shared" si="47"/>
        <v>-0.60999999999999988</v>
      </c>
    </row>
    <row r="1875" spans="1:19">
      <c r="A1875" s="18" t="s">
        <v>1794</v>
      </c>
      <c r="B1875" s="1" t="s">
        <v>2032</v>
      </c>
      <c r="C1875" s="1" t="s">
        <v>2043</v>
      </c>
      <c r="D1875" s="1" t="s">
        <v>2044</v>
      </c>
      <c r="E1875" s="1" t="s">
        <v>25</v>
      </c>
      <c r="F1875">
        <v>251.90199999999999</v>
      </c>
      <c r="G1875">
        <v>298.89999999999998</v>
      </c>
      <c r="H1875" t="s">
        <v>25</v>
      </c>
      <c r="I1875" s="1" t="s">
        <v>1528</v>
      </c>
      <c r="J1875" s="1" t="s">
        <v>25</v>
      </c>
      <c r="K1875" s="11" t="s">
        <v>25</v>
      </c>
      <c r="L1875">
        <v>0.95</v>
      </c>
      <c r="M1875" s="3" t="str">
        <f t="shared" si="49"/>
        <v>44/40</v>
      </c>
      <c r="N1875" s="3" t="str">
        <f t="shared" si="48"/>
        <v>SRM915a</v>
      </c>
      <c r="O1875" s="1" t="s">
        <v>25</v>
      </c>
      <c r="P1875" s="3" t="s">
        <v>25</v>
      </c>
      <c r="Q1875" s="37" t="s">
        <v>25</v>
      </c>
      <c r="R1875" s="3" t="s">
        <v>25</v>
      </c>
      <c r="S1875" s="13">
        <f t="shared" si="47"/>
        <v>-0.92999999999999994</v>
      </c>
    </row>
    <row r="1876" spans="1:19">
      <c r="A1876" s="18" t="s">
        <v>1794</v>
      </c>
      <c r="B1876" s="1" t="s">
        <v>2033</v>
      </c>
      <c r="C1876" s="1" t="s">
        <v>2043</v>
      </c>
      <c r="D1876" s="1" t="s">
        <v>2044</v>
      </c>
      <c r="E1876" s="1" t="s">
        <v>25</v>
      </c>
      <c r="F1876">
        <v>251.90199999999999</v>
      </c>
      <c r="G1876">
        <v>298.89999999999998</v>
      </c>
      <c r="H1876" t="s">
        <v>25</v>
      </c>
      <c r="I1876" s="1" t="s">
        <v>1528</v>
      </c>
      <c r="J1876" s="1" t="s">
        <v>25</v>
      </c>
      <c r="K1876" s="11" t="s">
        <v>25</v>
      </c>
      <c r="L1876">
        <v>0.97</v>
      </c>
      <c r="M1876" s="3" t="str">
        <f t="shared" si="49"/>
        <v>44/40</v>
      </c>
      <c r="N1876" s="3" t="str">
        <f t="shared" si="48"/>
        <v>SRM915a</v>
      </c>
      <c r="O1876" s="1" t="s">
        <v>25</v>
      </c>
      <c r="P1876" s="3" t="s">
        <v>25</v>
      </c>
      <c r="Q1876" s="37" t="s">
        <v>25</v>
      </c>
      <c r="R1876" s="3" t="s">
        <v>25</v>
      </c>
      <c r="S1876" s="13">
        <f t="shared" si="47"/>
        <v>-0.90999999999999992</v>
      </c>
    </row>
    <row r="1877" spans="1:19">
      <c r="A1877" s="18" t="s">
        <v>1794</v>
      </c>
      <c r="B1877" s="1" t="s">
        <v>2034</v>
      </c>
      <c r="C1877" s="1" t="s">
        <v>2043</v>
      </c>
      <c r="D1877" s="1" t="s">
        <v>2044</v>
      </c>
      <c r="E1877" s="1" t="s">
        <v>25</v>
      </c>
      <c r="F1877">
        <v>251.90199999999999</v>
      </c>
      <c r="G1877">
        <v>298.89999999999998</v>
      </c>
      <c r="H1877" t="s">
        <v>25</v>
      </c>
      <c r="I1877" s="1" t="s">
        <v>1528</v>
      </c>
      <c r="J1877" s="1" t="s">
        <v>25</v>
      </c>
      <c r="K1877" s="11" t="s">
        <v>25</v>
      </c>
      <c r="L1877">
        <v>0.88</v>
      </c>
      <c r="M1877" s="3" t="str">
        <f t="shared" si="49"/>
        <v>44/40</v>
      </c>
      <c r="N1877" s="3" t="str">
        <f t="shared" si="48"/>
        <v>SRM915a</v>
      </c>
      <c r="O1877" s="1" t="s">
        <v>25</v>
      </c>
      <c r="P1877" s="3" t="s">
        <v>25</v>
      </c>
      <c r="Q1877" s="37" t="s">
        <v>25</v>
      </c>
      <c r="R1877" s="3" t="s">
        <v>25</v>
      </c>
      <c r="S1877" s="13">
        <f t="shared" si="47"/>
        <v>-0.99999999999999989</v>
      </c>
    </row>
    <row r="1878" spans="1:19">
      <c r="A1878" s="18" t="s">
        <v>1794</v>
      </c>
      <c r="B1878" s="1" t="s">
        <v>2035</v>
      </c>
      <c r="C1878" s="1" t="s">
        <v>2043</v>
      </c>
      <c r="D1878" s="1" t="s">
        <v>2044</v>
      </c>
      <c r="E1878" s="1" t="s">
        <v>25</v>
      </c>
      <c r="F1878">
        <v>251.90199999999999</v>
      </c>
      <c r="G1878">
        <v>298.89999999999998</v>
      </c>
      <c r="H1878" t="s">
        <v>25</v>
      </c>
      <c r="I1878" s="1" t="s">
        <v>1528</v>
      </c>
      <c r="J1878" s="1" t="s">
        <v>25</v>
      </c>
      <c r="K1878" s="11" t="s">
        <v>25</v>
      </c>
      <c r="L1878">
        <v>0.9</v>
      </c>
      <c r="M1878" s="3" t="str">
        <f t="shared" si="49"/>
        <v>44/40</v>
      </c>
      <c r="N1878" s="3" t="str">
        <f t="shared" si="48"/>
        <v>SRM915a</v>
      </c>
      <c r="O1878" s="1" t="s">
        <v>25</v>
      </c>
      <c r="P1878" s="3" t="s">
        <v>25</v>
      </c>
      <c r="Q1878" s="37" t="s">
        <v>25</v>
      </c>
      <c r="R1878" s="3" t="s">
        <v>25</v>
      </c>
      <c r="S1878" s="13">
        <f t="shared" si="47"/>
        <v>-0.97999999999999987</v>
      </c>
    </row>
    <row r="1879" spans="1:19">
      <c r="A1879" s="18" t="s">
        <v>1794</v>
      </c>
      <c r="B1879" s="1" t="s">
        <v>2036</v>
      </c>
      <c r="C1879" s="1" t="s">
        <v>2043</v>
      </c>
      <c r="D1879" s="1" t="s">
        <v>2044</v>
      </c>
      <c r="E1879" s="1" t="s">
        <v>25</v>
      </c>
      <c r="F1879">
        <v>251.90199999999999</v>
      </c>
      <c r="G1879">
        <v>298.89999999999998</v>
      </c>
      <c r="H1879" t="s">
        <v>25</v>
      </c>
      <c r="I1879" s="1" t="s">
        <v>1528</v>
      </c>
      <c r="J1879" s="1" t="s">
        <v>25</v>
      </c>
      <c r="K1879" s="11" t="s">
        <v>25</v>
      </c>
      <c r="L1879">
        <v>0.86</v>
      </c>
      <c r="M1879" s="3" t="str">
        <f t="shared" si="49"/>
        <v>44/40</v>
      </c>
      <c r="N1879" s="3" t="str">
        <f t="shared" si="48"/>
        <v>SRM915a</v>
      </c>
      <c r="O1879" s="1" t="s">
        <v>25</v>
      </c>
      <c r="P1879" s="3" t="s">
        <v>25</v>
      </c>
      <c r="Q1879" s="37" t="s">
        <v>25</v>
      </c>
      <c r="R1879" s="3" t="s">
        <v>25</v>
      </c>
      <c r="S1879" s="13">
        <f t="shared" si="47"/>
        <v>-1.02</v>
      </c>
    </row>
    <row r="1880" spans="1:19">
      <c r="A1880" s="18" t="s">
        <v>1794</v>
      </c>
      <c r="B1880" s="1" t="s">
        <v>2037</v>
      </c>
      <c r="C1880" s="1" t="s">
        <v>2043</v>
      </c>
      <c r="D1880" s="1" t="s">
        <v>2044</v>
      </c>
      <c r="E1880" s="1" t="s">
        <v>25</v>
      </c>
      <c r="F1880">
        <v>251.90199999999999</v>
      </c>
      <c r="G1880">
        <v>298.89999999999998</v>
      </c>
      <c r="H1880" t="s">
        <v>25</v>
      </c>
      <c r="I1880" s="1" t="s">
        <v>1528</v>
      </c>
      <c r="J1880" s="1" t="s">
        <v>25</v>
      </c>
      <c r="K1880" s="11" t="s">
        <v>25</v>
      </c>
      <c r="L1880">
        <v>0.75</v>
      </c>
      <c r="M1880" s="3" t="str">
        <f t="shared" si="49"/>
        <v>44/40</v>
      </c>
      <c r="N1880" s="3" t="str">
        <f t="shared" si="48"/>
        <v>SRM915a</v>
      </c>
      <c r="O1880" s="1" t="s">
        <v>25</v>
      </c>
      <c r="P1880" s="3" t="s">
        <v>25</v>
      </c>
      <c r="Q1880" s="37" t="s">
        <v>25</v>
      </c>
      <c r="R1880" s="3" t="s">
        <v>25</v>
      </c>
      <c r="S1880" s="13">
        <f t="shared" si="47"/>
        <v>-1.1299999999999999</v>
      </c>
    </row>
    <row r="1881" spans="1:19">
      <c r="A1881" s="18" t="s">
        <v>1794</v>
      </c>
      <c r="B1881" s="1" t="s">
        <v>2038</v>
      </c>
      <c r="C1881" s="1" t="s">
        <v>2043</v>
      </c>
      <c r="D1881" s="1" t="s">
        <v>2044</v>
      </c>
      <c r="E1881" s="1" t="s">
        <v>25</v>
      </c>
      <c r="F1881">
        <v>251.90199999999999</v>
      </c>
      <c r="G1881">
        <v>298.89999999999998</v>
      </c>
      <c r="H1881" t="s">
        <v>25</v>
      </c>
      <c r="I1881" s="1" t="s">
        <v>1528</v>
      </c>
      <c r="J1881" s="1" t="s">
        <v>25</v>
      </c>
      <c r="K1881" s="11" t="s">
        <v>25</v>
      </c>
      <c r="L1881">
        <v>1</v>
      </c>
      <c r="M1881" s="3" t="str">
        <f t="shared" si="49"/>
        <v>44/40</v>
      </c>
      <c r="N1881" s="3" t="str">
        <f t="shared" si="48"/>
        <v>SRM915a</v>
      </c>
      <c r="O1881" s="1" t="s">
        <v>25</v>
      </c>
      <c r="P1881" s="3" t="s">
        <v>25</v>
      </c>
      <c r="Q1881" s="37" t="s">
        <v>25</v>
      </c>
      <c r="R1881" s="3" t="s">
        <v>25</v>
      </c>
      <c r="S1881" s="13">
        <f t="shared" si="47"/>
        <v>-0.87999999999999989</v>
      </c>
    </row>
    <row r="1882" spans="1:19">
      <c r="A1882" s="18" t="s">
        <v>1794</v>
      </c>
      <c r="B1882" s="1" t="s">
        <v>2039</v>
      </c>
      <c r="C1882" s="1" t="s">
        <v>2043</v>
      </c>
      <c r="D1882" s="1" t="s">
        <v>2044</v>
      </c>
      <c r="E1882" s="1" t="s">
        <v>25</v>
      </c>
      <c r="F1882">
        <v>251.90199999999999</v>
      </c>
      <c r="G1882">
        <v>298.89999999999998</v>
      </c>
      <c r="H1882" t="s">
        <v>25</v>
      </c>
      <c r="I1882" s="1" t="s">
        <v>1528</v>
      </c>
      <c r="J1882" s="1" t="s">
        <v>25</v>
      </c>
      <c r="K1882" s="11" t="s">
        <v>25</v>
      </c>
      <c r="L1882">
        <v>0.83</v>
      </c>
      <c r="M1882" s="3" t="str">
        <f t="shared" si="49"/>
        <v>44/40</v>
      </c>
      <c r="N1882" s="3" t="str">
        <f t="shared" si="48"/>
        <v>SRM915a</v>
      </c>
      <c r="O1882" s="1" t="s">
        <v>25</v>
      </c>
      <c r="P1882" s="3" t="s">
        <v>25</v>
      </c>
      <c r="Q1882" s="37" t="s">
        <v>25</v>
      </c>
      <c r="R1882" s="3" t="s">
        <v>25</v>
      </c>
      <c r="S1882" s="13">
        <f t="shared" si="47"/>
        <v>-1.0499999999999998</v>
      </c>
    </row>
    <row r="1883" spans="1:19">
      <c r="A1883" s="18" t="s">
        <v>1794</v>
      </c>
      <c r="B1883" s="1" t="s">
        <v>2040</v>
      </c>
      <c r="C1883" s="1" t="s">
        <v>2043</v>
      </c>
      <c r="D1883" s="1" t="s">
        <v>2044</v>
      </c>
      <c r="E1883" s="1" t="s">
        <v>25</v>
      </c>
      <c r="F1883">
        <v>251.90199999999999</v>
      </c>
      <c r="G1883">
        <v>298.89999999999998</v>
      </c>
      <c r="H1883" t="s">
        <v>25</v>
      </c>
      <c r="I1883" s="1" t="s">
        <v>1528</v>
      </c>
      <c r="J1883" s="1" t="s">
        <v>25</v>
      </c>
      <c r="K1883" s="11" t="s">
        <v>25</v>
      </c>
      <c r="L1883">
        <v>0.68</v>
      </c>
      <c r="M1883" s="3" t="str">
        <f t="shared" si="49"/>
        <v>44/40</v>
      </c>
      <c r="N1883" s="3" t="str">
        <f t="shared" si="48"/>
        <v>SRM915a</v>
      </c>
      <c r="O1883" s="1" t="s">
        <v>25</v>
      </c>
      <c r="P1883" s="3" t="s">
        <v>25</v>
      </c>
      <c r="Q1883" s="37" t="s">
        <v>25</v>
      </c>
      <c r="R1883" s="3" t="s">
        <v>25</v>
      </c>
      <c r="S1883" s="13">
        <f t="shared" si="47"/>
        <v>-1.1999999999999997</v>
      </c>
    </row>
    <row r="1884" spans="1:19">
      <c r="A1884" s="18" t="s">
        <v>1794</v>
      </c>
      <c r="B1884" s="1" t="s">
        <v>2041</v>
      </c>
      <c r="C1884" s="1" t="s">
        <v>2043</v>
      </c>
      <c r="D1884" s="1" t="s">
        <v>2044</v>
      </c>
      <c r="E1884" s="1" t="s">
        <v>25</v>
      </c>
      <c r="F1884">
        <v>251.90199999999999</v>
      </c>
      <c r="G1884">
        <v>298.89999999999998</v>
      </c>
      <c r="H1884" t="s">
        <v>25</v>
      </c>
      <c r="I1884" s="1" t="s">
        <v>1528</v>
      </c>
      <c r="J1884" s="1" t="s">
        <v>25</v>
      </c>
      <c r="K1884" s="11" t="s">
        <v>25</v>
      </c>
      <c r="L1884">
        <v>0.79</v>
      </c>
      <c r="M1884" s="3" t="str">
        <f t="shared" si="49"/>
        <v>44/40</v>
      </c>
      <c r="N1884" s="3" t="str">
        <f t="shared" si="48"/>
        <v>SRM915a</v>
      </c>
      <c r="O1884" s="1" t="s">
        <v>25</v>
      </c>
      <c r="P1884" s="3" t="s">
        <v>25</v>
      </c>
      <c r="Q1884" s="37" t="s">
        <v>25</v>
      </c>
      <c r="R1884" s="3" t="s">
        <v>25</v>
      </c>
      <c r="S1884" s="13">
        <f t="shared" si="47"/>
        <v>-1.0899999999999999</v>
      </c>
    </row>
    <row r="1885" spans="1:19">
      <c r="A1885" s="18" t="s">
        <v>1794</v>
      </c>
      <c r="B1885" s="1" t="s">
        <v>2042</v>
      </c>
      <c r="C1885" s="1" t="s">
        <v>2043</v>
      </c>
      <c r="D1885" s="1" t="s">
        <v>2044</v>
      </c>
      <c r="E1885" s="1" t="s">
        <v>25</v>
      </c>
      <c r="F1885">
        <v>251.90199999999999</v>
      </c>
      <c r="G1885">
        <v>298.89999999999998</v>
      </c>
      <c r="H1885" t="s">
        <v>25</v>
      </c>
      <c r="I1885" s="1" t="s">
        <v>1528</v>
      </c>
      <c r="J1885" s="1" t="s">
        <v>25</v>
      </c>
      <c r="K1885" s="11" t="s">
        <v>25</v>
      </c>
      <c r="L1885">
        <v>1.06</v>
      </c>
      <c r="M1885" s="3" t="str">
        <f t="shared" si="49"/>
        <v>44/40</v>
      </c>
      <c r="N1885" s="3" t="str">
        <f t="shared" si="48"/>
        <v>SRM915a</v>
      </c>
      <c r="O1885" s="1" t="s">
        <v>25</v>
      </c>
      <c r="P1885" s="3" t="s">
        <v>25</v>
      </c>
      <c r="Q1885" s="37" t="s">
        <v>25</v>
      </c>
      <c r="R1885" s="3" t="s">
        <v>25</v>
      </c>
      <c r="S1885" s="13">
        <f t="shared" si="47"/>
        <v>-0.81999999999999984</v>
      </c>
    </row>
    <row r="1886" spans="1:19" s="4" customFormat="1">
      <c r="B1886" s="5"/>
      <c r="C1886" s="5"/>
      <c r="D1886" s="5"/>
      <c r="E1886" s="5"/>
      <c r="I1886" s="5"/>
      <c r="J1886" s="5"/>
      <c r="M1886" s="5"/>
      <c r="O1886" s="5"/>
      <c r="P1886" s="6"/>
      <c r="Q1886" s="38"/>
      <c r="S1886" s="24"/>
    </row>
    <row r="1887" spans="1:19">
      <c r="A1887" s="18" t="s">
        <v>2045</v>
      </c>
      <c r="B1887" s="1" t="s">
        <v>627</v>
      </c>
      <c r="C1887" s="1" t="s">
        <v>2046</v>
      </c>
      <c r="D1887" s="1" t="s">
        <v>2047</v>
      </c>
      <c r="E1887" s="1" t="s">
        <v>25</v>
      </c>
      <c r="F1887">
        <v>3.4</v>
      </c>
      <c r="G1887">
        <v>3.4</v>
      </c>
      <c r="H1887">
        <v>289.3</v>
      </c>
      <c r="I1887" s="1" t="s">
        <v>1528</v>
      </c>
      <c r="J1887" s="1" t="s">
        <v>25</v>
      </c>
      <c r="K1887" s="11" t="s">
        <v>1337</v>
      </c>
      <c r="L1887">
        <v>1.1599999999999999</v>
      </c>
      <c r="N1887" s="3" t="str">
        <f t="shared" si="48"/>
        <v>SRM915a</v>
      </c>
      <c r="O1887" s="1" t="s">
        <v>25</v>
      </c>
      <c r="P1887" s="3" t="s">
        <v>25</v>
      </c>
      <c r="Q1887" s="37">
        <v>0.64</v>
      </c>
      <c r="R1887" s="3" t="s">
        <v>231</v>
      </c>
      <c r="S1887" s="13">
        <f t="shared" si="47"/>
        <v>-0.72</v>
      </c>
    </row>
    <row r="1888" spans="1:19">
      <c r="A1888" s="18" t="s">
        <v>2045</v>
      </c>
      <c r="B1888" s="1" t="s">
        <v>631</v>
      </c>
      <c r="C1888" s="1" t="s">
        <v>2046</v>
      </c>
      <c r="D1888" s="1" t="s">
        <v>2047</v>
      </c>
      <c r="E1888" s="1" t="s">
        <v>25</v>
      </c>
      <c r="F1888">
        <v>6.3</v>
      </c>
      <c r="G1888">
        <v>6.3</v>
      </c>
      <c r="H1888">
        <v>392.1</v>
      </c>
      <c r="I1888" s="1" t="s">
        <v>1528</v>
      </c>
      <c r="J1888" s="1" t="s">
        <v>25</v>
      </c>
      <c r="K1888" s="11" t="s">
        <v>1337</v>
      </c>
      <c r="L1888">
        <v>1.3</v>
      </c>
      <c r="N1888" s="3" t="str">
        <f t="shared" si="48"/>
        <v>SRM915a</v>
      </c>
      <c r="O1888" s="1" t="s">
        <v>25</v>
      </c>
      <c r="P1888" s="3" t="s">
        <v>25</v>
      </c>
      <c r="Q1888" s="37">
        <v>0.42699999999999999</v>
      </c>
      <c r="R1888" s="3" t="s">
        <v>231</v>
      </c>
      <c r="S1888" s="13">
        <f t="shared" si="47"/>
        <v>-0.57999999999999985</v>
      </c>
    </row>
    <row r="1889" spans="1:19">
      <c r="A1889" s="18" t="s">
        <v>2045</v>
      </c>
      <c r="B1889" s="1" t="s">
        <v>632</v>
      </c>
      <c r="C1889" s="1" t="s">
        <v>2046</v>
      </c>
      <c r="D1889" s="1" t="s">
        <v>2047</v>
      </c>
      <c r="E1889" s="1" t="s">
        <v>25</v>
      </c>
      <c r="F1889">
        <v>6.3</v>
      </c>
      <c r="G1889">
        <v>6.3</v>
      </c>
      <c r="H1889">
        <v>404.7</v>
      </c>
      <c r="I1889" s="1" t="s">
        <v>1528</v>
      </c>
      <c r="J1889" s="1" t="s">
        <v>25</v>
      </c>
      <c r="K1889" s="11" t="s">
        <v>1337</v>
      </c>
      <c r="L1889">
        <v>1.23</v>
      </c>
      <c r="N1889" s="3" t="str">
        <f t="shared" si="48"/>
        <v>SRM915a</v>
      </c>
      <c r="O1889" s="1" t="s">
        <v>25</v>
      </c>
      <c r="P1889" s="3" t="s">
        <v>25</v>
      </c>
      <c r="Q1889" s="37">
        <v>0.44900000000000001</v>
      </c>
      <c r="R1889" s="3" t="s">
        <v>231</v>
      </c>
      <c r="S1889" s="13">
        <f t="shared" si="47"/>
        <v>-0.64999999999999991</v>
      </c>
    </row>
    <row r="1890" spans="1:19">
      <c r="A1890" s="18" t="s">
        <v>2045</v>
      </c>
      <c r="B1890" s="1" t="s">
        <v>633</v>
      </c>
      <c r="C1890" s="1" t="s">
        <v>2046</v>
      </c>
      <c r="D1890" s="1" t="s">
        <v>2047</v>
      </c>
      <c r="E1890" s="1" t="s">
        <v>25</v>
      </c>
      <c r="F1890">
        <v>6.5</v>
      </c>
      <c r="G1890">
        <v>6.5</v>
      </c>
      <c r="H1890">
        <v>436.6</v>
      </c>
      <c r="I1890" s="1" t="s">
        <v>1528</v>
      </c>
      <c r="J1890" s="1" t="s">
        <v>25</v>
      </c>
      <c r="K1890" s="11" t="s">
        <v>1337</v>
      </c>
      <c r="L1890">
        <v>1.22</v>
      </c>
      <c r="N1890" s="3" t="str">
        <f t="shared" si="48"/>
        <v>SRM915a</v>
      </c>
      <c r="O1890" s="1" t="s">
        <v>25</v>
      </c>
      <c r="P1890" s="3" t="s">
        <v>25</v>
      </c>
      <c r="Q1890" s="37">
        <v>0.433</v>
      </c>
      <c r="R1890" s="3" t="s">
        <v>231</v>
      </c>
      <c r="S1890" s="13">
        <f t="shared" si="47"/>
        <v>-0.65999999999999992</v>
      </c>
    </row>
    <row r="1891" spans="1:19">
      <c r="A1891" s="18" t="s">
        <v>2045</v>
      </c>
      <c r="B1891" s="1" t="s">
        <v>634</v>
      </c>
      <c r="C1891" s="1" t="s">
        <v>2046</v>
      </c>
      <c r="D1891" s="1" t="s">
        <v>2047</v>
      </c>
      <c r="E1891" s="1" t="s">
        <v>25</v>
      </c>
      <c r="F1891">
        <v>7.7</v>
      </c>
      <c r="G1891">
        <v>7.7</v>
      </c>
      <c r="H1891">
        <v>489.9</v>
      </c>
      <c r="I1891" s="1" t="s">
        <v>1528</v>
      </c>
      <c r="J1891" s="1" t="s">
        <v>25</v>
      </c>
      <c r="K1891" s="11" t="s">
        <v>1337</v>
      </c>
      <c r="L1891">
        <v>1.1599999999999999</v>
      </c>
      <c r="N1891" s="3" t="str">
        <f t="shared" si="48"/>
        <v>SRM915a</v>
      </c>
      <c r="O1891" s="1" t="s">
        <v>25</v>
      </c>
      <c r="P1891" s="3" t="s">
        <v>25</v>
      </c>
      <c r="Q1891" s="37">
        <v>0.435</v>
      </c>
      <c r="R1891" s="3" t="s">
        <v>231</v>
      </c>
      <c r="S1891" s="13">
        <f t="shared" si="47"/>
        <v>-0.72</v>
      </c>
    </row>
    <row r="1892" spans="1:19">
      <c r="A1892" s="18" t="s">
        <v>2045</v>
      </c>
      <c r="B1892" s="1" t="s">
        <v>637</v>
      </c>
      <c r="C1892" s="1" t="s">
        <v>2046</v>
      </c>
      <c r="D1892" s="1" t="s">
        <v>2047</v>
      </c>
      <c r="E1892" s="1" t="s">
        <v>25</v>
      </c>
      <c r="F1892">
        <v>8.1</v>
      </c>
      <c r="G1892">
        <v>8.1</v>
      </c>
      <c r="H1892">
        <v>504.8</v>
      </c>
      <c r="I1892" s="1" t="s">
        <v>1528</v>
      </c>
      <c r="J1892" s="1" t="s">
        <v>25</v>
      </c>
      <c r="K1892" s="11" t="s">
        <v>1337</v>
      </c>
      <c r="L1892">
        <v>1.3</v>
      </c>
      <c r="N1892" s="3" t="str">
        <f t="shared" si="48"/>
        <v>SRM915a</v>
      </c>
      <c r="O1892" s="1" t="s">
        <v>25</v>
      </c>
      <c r="P1892" s="3" t="s">
        <v>25</v>
      </c>
      <c r="Q1892" s="37">
        <v>0.55400000000000005</v>
      </c>
      <c r="R1892" s="3" t="s">
        <v>231</v>
      </c>
      <c r="S1892" s="13">
        <f t="shared" si="47"/>
        <v>-0.57999999999999985</v>
      </c>
    </row>
    <row r="1893" spans="1:19">
      <c r="A1893" s="18" t="s">
        <v>2045</v>
      </c>
      <c r="B1893" s="1" t="s">
        <v>638</v>
      </c>
      <c r="C1893" s="1" t="s">
        <v>2046</v>
      </c>
      <c r="D1893" s="1" t="s">
        <v>2047</v>
      </c>
      <c r="E1893" s="1" t="s">
        <v>25</v>
      </c>
      <c r="F1893">
        <v>9.1999999999999993</v>
      </c>
      <c r="G1893">
        <v>9.1999999999999993</v>
      </c>
      <c r="H1893">
        <v>528.79999999999995</v>
      </c>
      <c r="I1893" s="1" t="s">
        <v>1528</v>
      </c>
      <c r="J1893" s="1" t="s">
        <v>25</v>
      </c>
      <c r="K1893" s="11" t="s">
        <v>1337</v>
      </c>
      <c r="L1893">
        <v>1.1599999999999999</v>
      </c>
      <c r="N1893" s="3" t="str">
        <f t="shared" si="48"/>
        <v>SRM915a</v>
      </c>
      <c r="O1893" s="1" t="s">
        <v>25</v>
      </c>
      <c r="P1893" s="3" t="s">
        <v>25</v>
      </c>
      <c r="Q1893" s="37">
        <v>0.433</v>
      </c>
      <c r="R1893" s="3" t="s">
        <v>231</v>
      </c>
      <c r="S1893" s="13">
        <f t="shared" si="47"/>
        <v>-0.72</v>
      </c>
    </row>
    <row r="1894" spans="1:19">
      <c r="A1894" s="18" t="s">
        <v>2045</v>
      </c>
      <c r="B1894" s="1" t="s">
        <v>641</v>
      </c>
      <c r="C1894" s="1" t="s">
        <v>2046</v>
      </c>
      <c r="D1894" s="1" t="s">
        <v>2047</v>
      </c>
      <c r="E1894" s="1" t="s">
        <v>25</v>
      </c>
      <c r="F1894">
        <v>9.9</v>
      </c>
      <c r="G1894">
        <v>9.9</v>
      </c>
      <c r="H1894">
        <v>549.79999999999995</v>
      </c>
      <c r="I1894" s="1" t="s">
        <v>1528</v>
      </c>
      <c r="J1894" s="1" t="s">
        <v>25</v>
      </c>
      <c r="K1894" s="11" t="s">
        <v>1337</v>
      </c>
      <c r="L1894">
        <v>1.34</v>
      </c>
      <c r="N1894" s="3" t="str">
        <f t="shared" si="48"/>
        <v>SRM915a</v>
      </c>
      <c r="O1894" s="1" t="s">
        <v>25</v>
      </c>
      <c r="P1894" s="3" t="s">
        <v>25</v>
      </c>
      <c r="Q1894" s="37">
        <v>0.434</v>
      </c>
      <c r="R1894" s="3" t="s">
        <v>231</v>
      </c>
      <c r="S1894" s="13">
        <f t="shared" ref="S1894:S1957" si="50">IF(NOT(N1894="SW"),L1894-1.88,L1894)</f>
        <v>-0.53999999999999981</v>
      </c>
    </row>
    <row r="1895" spans="1:19">
      <c r="A1895" s="18" t="s">
        <v>2045</v>
      </c>
      <c r="B1895" s="1" t="s">
        <v>642</v>
      </c>
      <c r="C1895" s="1" t="s">
        <v>2046</v>
      </c>
      <c r="D1895" s="1" t="s">
        <v>2047</v>
      </c>
      <c r="E1895" s="1" t="s">
        <v>25</v>
      </c>
      <c r="F1895">
        <v>12.4</v>
      </c>
      <c r="G1895">
        <v>12.4</v>
      </c>
      <c r="H1895">
        <v>630.4</v>
      </c>
      <c r="I1895" s="1" t="s">
        <v>1528</v>
      </c>
      <c r="J1895" s="1" t="s">
        <v>25</v>
      </c>
      <c r="K1895" s="11" t="s">
        <v>1337</v>
      </c>
      <c r="L1895">
        <v>1.1399999999999999</v>
      </c>
      <c r="N1895" s="3" t="str">
        <f t="shared" ref="N1895:N1904" si="51">IF(ISNUMBER(SEARCH("Na", M1895)), "Na", "SRM915a")</f>
        <v>SRM915a</v>
      </c>
      <c r="O1895" s="1" t="s">
        <v>25</v>
      </c>
      <c r="P1895" s="3" t="s">
        <v>25</v>
      </c>
      <c r="Q1895" s="37">
        <v>0.49</v>
      </c>
      <c r="R1895" s="3" t="s">
        <v>231</v>
      </c>
      <c r="S1895" s="13">
        <f t="shared" si="50"/>
        <v>-0.74</v>
      </c>
    </row>
    <row r="1896" spans="1:19">
      <c r="A1896" s="18" t="s">
        <v>2045</v>
      </c>
      <c r="B1896" s="1" t="s">
        <v>643</v>
      </c>
      <c r="C1896" s="1" t="s">
        <v>2046</v>
      </c>
      <c r="D1896" s="1" t="s">
        <v>2047</v>
      </c>
      <c r="E1896" s="1" t="s">
        <v>25</v>
      </c>
      <c r="F1896">
        <v>13.7</v>
      </c>
      <c r="G1896">
        <v>13.7</v>
      </c>
      <c r="H1896">
        <v>767.7</v>
      </c>
      <c r="I1896" s="1" t="s">
        <v>1528</v>
      </c>
      <c r="J1896" s="1" t="s">
        <v>25</v>
      </c>
      <c r="K1896" s="11" t="s">
        <v>1337</v>
      </c>
      <c r="L1896">
        <v>1.24</v>
      </c>
      <c r="N1896" s="3" t="str">
        <f t="shared" si="51"/>
        <v>SRM915a</v>
      </c>
      <c r="O1896" s="1" t="s">
        <v>25</v>
      </c>
      <c r="P1896" s="3" t="s">
        <v>25</v>
      </c>
      <c r="Q1896" s="37">
        <v>0.443</v>
      </c>
      <c r="R1896" s="3" t="s">
        <v>231</v>
      </c>
      <c r="S1896" s="13">
        <f t="shared" si="50"/>
        <v>-0.6399999999999999</v>
      </c>
    </row>
    <row r="1897" spans="1:19">
      <c r="A1897" s="18" t="s">
        <v>2045</v>
      </c>
      <c r="B1897" s="1" t="s">
        <v>644</v>
      </c>
      <c r="C1897" s="1" t="s">
        <v>2046</v>
      </c>
      <c r="D1897" s="1" t="s">
        <v>2047</v>
      </c>
      <c r="E1897" s="1" t="s">
        <v>25</v>
      </c>
      <c r="F1897">
        <v>14.7</v>
      </c>
      <c r="G1897">
        <v>14.7</v>
      </c>
      <c r="H1897">
        <v>896.7</v>
      </c>
      <c r="I1897" s="1" t="s">
        <v>1528</v>
      </c>
      <c r="J1897" s="1" t="s">
        <v>25</v>
      </c>
      <c r="K1897" s="11" t="s">
        <v>1337</v>
      </c>
      <c r="L1897">
        <v>1.22</v>
      </c>
      <c r="N1897" s="3" t="str">
        <f t="shared" si="51"/>
        <v>SRM915a</v>
      </c>
      <c r="O1897" s="1" t="s">
        <v>25</v>
      </c>
      <c r="P1897" s="3" t="s">
        <v>25</v>
      </c>
      <c r="Q1897" s="37">
        <v>0.40300000000000002</v>
      </c>
      <c r="R1897" s="3" t="s">
        <v>231</v>
      </c>
      <c r="S1897" s="13">
        <f t="shared" si="50"/>
        <v>-0.65999999999999992</v>
      </c>
    </row>
    <row r="1898" spans="1:19">
      <c r="A1898" s="18" t="s">
        <v>2045</v>
      </c>
      <c r="B1898" s="1" t="s">
        <v>645</v>
      </c>
      <c r="C1898" s="1" t="s">
        <v>2046</v>
      </c>
      <c r="D1898" s="1" t="s">
        <v>2047</v>
      </c>
      <c r="E1898" s="1" t="s">
        <v>25</v>
      </c>
      <c r="F1898">
        <v>15.4</v>
      </c>
      <c r="G1898">
        <v>15.4</v>
      </c>
      <c r="H1898">
        <v>973.8</v>
      </c>
      <c r="I1898" s="1" t="s">
        <v>1528</v>
      </c>
      <c r="J1898" s="1" t="s">
        <v>25</v>
      </c>
      <c r="K1898" s="11" t="s">
        <v>1337</v>
      </c>
      <c r="L1898">
        <v>1.26</v>
      </c>
      <c r="N1898" s="3" t="str">
        <f t="shared" si="51"/>
        <v>SRM915a</v>
      </c>
      <c r="O1898" s="1" t="s">
        <v>25</v>
      </c>
      <c r="P1898" s="3" t="s">
        <v>25</v>
      </c>
      <c r="Q1898" s="37">
        <v>0.434</v>
      </c>
      <c r="R1898" s="3" t="s">
        <v>231</v>
      </c>
      <c r="S1898" s="13">
        <f t="shared" si="50"/>
        <v>-0.61999999999999988</v>
      </c>
    </row>
    <row r="1899" spans="1:19">
      <c r="A1899" s="18" t="s">
        <v>2045</v>
      </c>
      <c r="B1899" s="1" t="s">
        <v>648</v>
      </c>
      <c r="C1899" s="1" t="s">
        <v>2046</v>
      </c>
      <c r="D1899" s="1" t="s">
        <v>2047</v>
      </c>
      <c r="E1899" s="1" t="s">
        <v>25</v>
      </c>
      <c r="F1899">
        <v>15.7</v>
      </c>
      <c r="G1899">
        <v>15.7</v>
      </c>
      <c r="H1899">
        <v>1006.8</v>
      </c>
      <c r="I1899" s="1" t="s">
        <v>1528</v>
      </c>
      <c r="J1899" s="1" t="s">
        <v>25</v>
      </c>
      <c r="K1899" s="11" t="s">
        <v>1337</v>
      </c>
      <c r="L1899">
        <v>1.32</v>
      </c>
      <c r="N1899" s="3" t="str">
        <f t="shared" si="51"/>
        <v>SRM915a</v>
      </c>
      <c r="O1899" s="1" t="s">
        <v>25</v>
      </c>
      <c r="P1899" s="3" t="s">
        <v>25</v>
      </c>
      <c r="Q1899" s="37">
        <v>0.46400000000000002</v>
      </c>
      <c r="R1899" s="3" t="s">
        <v>231</v>
      </c>
      <c r="S1899" s="13">
        <f t="shared" si="50"/>
        <v>-0.55999999999999983</v>
      </c>
    </row>
    <row r="1900" spans="1:19">
      <c r="A1900" s="18" t="s">
        <v>2045</v>
      </c>
      <c r="B1900" s="1" t="s">
        <v>649</v>
      </c>
      <c r="C1900" s="1" t="s">
        <v>2046</v>
      </c>
      <c r="D1900" s="1" t="s">
        <v>2047</v>
      </c>
      <c r="E1900" s="1" t="s">
        <v>25</v>
      </c>
      <c r="F1900">
        <v>17</v>
      </c>
      <c r="G1900">
        <v>17</v>
      </c>
      <c r="H1900">
        <v>1064.5999999999999</v>
      </c>
      <c r="I1900" s="1" t="s">
        <v>1528</v>
      </c>
      <c r="J1900" s="1" t="s">
        <v>25</v>
      </c>
      <c r="K1900" s="11" t="s">
        <v>1337</v>
      </c>
      <c r="L1900">
        <v>1.35</v>
      </c>
      <c r="N1900" s="3" t="str">
        <f t="shared" si="51"/>
        <v>SRM915a</v>
      </c>
      <c r="O1900" s="1" t="s">
        <v>25</v>
      </c>
      <c r="P1900" s="3" t="s">
        <v>25</v>
      </c>
      <c r="Q1900" s="37">
        <v>0.45</v>
      </c>
      <c r="R1900" s="3" t="s">
        <v>231</v>
      </c>
      <c r="S1900" s="13">
        <f t="shared" si="50"/>
        <v>-0.5299999999999998</v>
      </c>
    </row>
    <row r="1901" spans="1:19">
      <c r="A1901" s="18" t="s">
        <v>2045</v>
      </c>
      <c r="B1901" s="1" t="s">
        <v>650</v>
      </c>
      <c r="C1901" s="1" t="s">
        <v>2046</v>
      </c>
      <c r="D1901" s="1" t="s">
        <v>2047</v>
      </c>
      <c r="E1901" s="1" t="s">
        <v>25</v>
      </c>
      <c r="F1901">
        <v>17.8</v>
      </c>
      <c r="G1901">
        <v>17.8</v>
      </c>
      <c r="H1901">
        <v>1094.8</v>
      </c>
      <c r="I1901" s="1" t="s">
        <v>1528</v>
      </c>
      <c r="J1901" s="1" t="s">
        <v>25</v>
      </c>
      <c r="K1901" s="11" t="s">
        <v>1337</v>
      </c>
      <c r="L1901">
        <v>1.25</v>
      </c>
      <c r="N1901" s="3" t="str">
        <f t="shared" si="51"/>
        <v>SRM915a</v>
      </c>
      <c r="O1901" s="1" t="s">
        <v>25</v>
      </c>
      <c r="P1901" s="3" t="s">
        <v>25</v>
      </c>
      <c r="Q1901" s="37">
        <v>0.45700000000000002</v>
      </c>
      <c r="R1901" s="3" t="s">
        <v>231</v>
      </c>
      <c r="S1901" s="13">
        <f t="shared" si="50"/>
        <v>-0.62999999999999989</v>
      </c>
    </row>
    <row r="1902" spans="1:19">
      <c r="A1902" s="18" t="s">
        <v>2045</v>
      </c>
      <c r="B1902" s="1" t="s">
        <v>652</v>
      </c>
      <c r="C1902" s="1" t="s">
        <v>2046</v>
      </c>
      <c r="D1902" s="1" t="s">
        <v>2047</v>
      </c>
      <c r="E1902" s="1" t="s">
        <v>25</v>
      </c>
      <c r="F1902">
        <v>18.600000000000001</v>
      </c>
      <c r="G1902">
        <v>18.600000000000001</v>
      </c>
      <c r="H1902">
        <v>1112</v>
      </c>
      <c r="I1902" s="1" t="s">
        <v>1528</v>
      </c>
      <c r="J1902" s="1" t="s">
        <v>25</v>
      </c>
      <c r="K1902" s="11" t="s">
        <v>1337</v>
      </c>
      <c r="L1902">
        <v>1.1100000000000001</v>
      </c>
      <c r="N1902" s="3" t="str">
        <f t="shared" si="51"/>
        <v>SRM915a</v>
      </c>
      <c r="O1902" s="1" t="s">
        <v>25</v>
      </c>
      <c r="P1902" s="3" t="s">
        <v>25</v>
      </c>
      <c r="Q1902" s="37">
        <v>0.45900000000000002</v>
      </c>
      <c r="R1902" s="3" t="s">
        <v>231</v>
      </c>
      <c r="S1902" s="13">
        <f t="shared" si="50"/>
        <v>-0.7699999999999998</v>
      </c>
    </row>
    <row r="1903" spans="1:19">
      <c r="A1903" s="18" t="s">
        <v>2045</v>
      </c>
      <c r="B1903" s="1" t="s">
        <v>653</v>
      </c>
      <c r="C1903" s="1" t="s">
        <v>2046</v>
      </c>
      <c r="D1903" s="1" t="s">
        <v>2047</v>
      </c>
      <c r="E1903" s="1" t="s">
        <v>25</v>
      </c>
      <c r="F1903">
        <v>19.3</v>
      </c>
      <c r="G1903">
        <v>19.3</v>
      </c>
      <c r="H1903">
        <v>1137</v>
      </c>
      <c r="I1903" s="1" t="s">
        <v>1528</v>
      </c>
      <c r="J1903" s="1" t="s">
        <v>25</v>
      </c>
      <c r="K1903" s="11" t="s">
        <v>1337</v>
      </c>
      <c r="L1903">
        <v>1.1100000000000001</v>
      </c>
      <c r="N1903" s="3" t="str">
        <f t="shared" si="51"/>
        <v>SRM915a</v>
      </c>
      <c r="O1903" s="1" t="s">
        <v>25</v>
      </c>
      <c r="P1903" s="3" t="s">
        <v>25</v>
      </c>
      <c r="Q1903" s="37">
        <v>0.47899999999999998</v>
      </c>
      <c r="R1903" s="3" t="s">
        <v>231</v>
      </c>
      <c r="S1903" s="13">
        <f t="shared" si="50"/>
        <v>-0.7699999999999998</v>
      </c>
    </row>
    <row r="1904" spans="1:19">
      <c r="A1904" s="18" t="s">
        <v>2045</v>
      </c>
      <c r="B1904" s="1" t="s">
        <v>655</v>
      </c>
      <c r="C1904" s="1" t="s">
        <v>2046</v>
      </c>
      <c r="D1904" s="1" t="s">
        <v>2047</v>
      </c>
      <c r="E1904" s="1" t="s">
        <v>25</v>
      </c>
      <c r="F1904">
        <v>20.8</v>
      </c>
      <c r="G1904">
        <v>20.8</v>
      </c>
      <c r="H1904">
        <v>1179.5</v>
      </c>
      <c r="I1904" s="1" t="s">
        <v>1528</v>
      </c>
      <c r="J1904" s="1" t="s">
        <v>25</v>
      </c>
      <c r="K1904" s="11" t="s">
        <v>1337</v>
      </c>
      <c r="L1904">
        <v>1.08</v>
      </c>
      <c r="N1904" s="3" t="str">
        <f t="shared" si="51"/>
        <v>SRM915a</v>
      </c>
      <c r="O1904" s="1" t="s">
        <v>25</v>
      </c>
      <c r="P1904" s="3" t="s">
        <v>25</v>
      </c>
      <c r="Q1904" s="37">
        <v>0.57799999999999996</v>
      </c>
      <c r="R1904" s="3" t="s">
        <v>231</v>
      </c>
      <c r="S1904" s="13">
        <f t="shared" si="50"/>
        <v>-0.79999999999999982</v>
      </c>
    </row>
    <row r="1905" spans="1:19" s="4" customFormat="1">
      <c r="B1905" s="5"/>
      <c r="C1905" s="5"/>
      <c r="D1905" s="5"/>
      <c r="E1905" s="5"/>
      <c r="I1905" s="5"/>
      <c r="J1905" s="5"/>
      <c r="K1905" s="33"/>
      <c r="M1905" s="5"/>
      <c r="O1905" s="5"/>
      <c r="P1905" s="6"/>
      <c r="Q1905" s="38"/>
      <c r="S1905" s="24"/>
    </row>
    <row r="1906" spans="1:19">
      <c r="A1906" s="18" t="s">
        <v>2048</v>
      </c>
      <c r="B1906" s="1" t="s">
        <v>627</v>
      </c>
      <c r="C1906" s="1" t="s">
        <v>2049</v>
      </c>
      <c r="D1906" s="1" t="s">
        <v>25</v>
      </c>
      <c r="E1906" s="1" t="s">
        <v>25</v>
      </c>
      <c r="F1906">
        <v>201.5</v>
      </c>
      <c r="G1906">
        <v>201.2</v>
      </c>
      <c r="H1906">
        <v>0</v>
      </c>
      <c r="I1906" s="1" t="s">
        <v>1528</v>
      </c>
      <c r="J1906" s="1" t="s">
        <v>1336</v>
      </c>
      <c r="K1906" s="11" t="s">
        <v>25</v>
      </c>
      <c r="L1906" t="s">
        <v>25</v>
      </c>
      <c r="M1906" s="1" t="s">
        <v>25</v>
      </c>
      <c r="N1906" t="s">
        <v>25</v>
      </c>
      <c r="O1906" s="1" t="s">
        <v>25</v>
      </c>
      <c r="P1906" s="3" t="s">
        <v>25</v>
      </c>
      <c r="Q1906" s="37" t="s">
        <v>25</v>
      </c>
      <c r="R1906" s="3" t="s">
        <v>25</v>
      </c>
      <c r="S1906" s="13" t="s">
        <v>25</v>
      </c>
    </row>
    <row r="1907" spans="1:19">
      <c r="A1907" s="18" t="s">
        <v>2048</v>
      </c>
      <c r="B1907" s="1" t="s">
        <v>631</v>
      </c>
      <c r="C1907" s="1" t="s">
        <v>2049</v>
      </c>
      <c r="D1907" s="1" t="s">
        <v>25</v>
      </c>
      <c r="E1907" s="1" t="s">
        <v>25</v>
      </c>
      <c r="F1907">
        <v>201.5</v>
      </c>
      <c r="G1907">
        <v>201.2</v>
      </c>
      <c r="H1907">
        <v>2</v>
      </c>
      <c r="I1907" s="1" t="s">
        <v>1528</v>
      </c>
      <c r="J1907" s="1" t="s">
        <v>1336</v>
      </c>
      <c r="K1907" s="11" t="s">
        <v>25</v>
      </c>
      <c r="L1907">
        <v>-0.82</v>
      </c>
      <c r="M1907" s="1" t="s">
        <v>23</v>
      </c>
      <c r="N1907" t="s">
        <v>230</v>
      </c>
      <c r="O1907" s="1" t="s">
        <v>25</v>
      </c>
      <c r="P1907" s="3" t="s">
        <v>25</v>
      </c>
      <c r="Q1907" s="37" t="s">
        <v>25</v>
      </c>
      <c r="R1907" s="3" t="s">
        <v>25</v>
      </c>
      <c r="S1907" s="13">
        <f t="shared" si="50"/>
        <v>-0.82</v>
      </c>
    </row>
    <row r="1908" spans="1:19">
      <c r="A1908" s="18" t="s">
        <v>2048</v>
      </c>
      <c r="B1908" s="1" t="s">
        <v>632</v>
      </c>
      <c r="C1908" s="1" t="s">
        <v>2049</v>
      </c>
      <c r="D1908" s="1" t="s">
        <v>25</v>
      </c>
      <c r="E1908" s="1" t="s">
        <v>25</v>
      </c>
      <c r="F1908">
        <v>201.5</v>
      </c>
      <c r="G1908">
        <v>201.2</v>
      </c>
      <c r="H1908">
        <v>9.1999999999999993</v>
      </c>
      <c r="I1908" s="1" t="s">
        <v>1528</v>
      </c>
      <c r="J1908" s="1" t="s">
        <v>1336</v>
      </c>
      <c r="K1908" s="11" t="s">
        <v>25</v>
      </c>
      <c r="L1908">
        <v>-0.82</v>
      </c>
      <c r="M1908" s="1" t="s">
        <v>23</v>
      </c>
      <c r="N1908" t="s">
        <v>230</v>
      </c>
      <c r="O1908" s="1" t="s">
        <v>25</v>
      </c>
      <c r="P1908" s="3" t="s">
        <v>25</v>
      </c>
      <c r="Q1908" s="37" t="s">
        <v>25</v>
      </c>
      <c r="R1908" s="3" t="s">
        <v>25</v>
      </c>
      <c r="S1908" s="13">
        <f t="shared" si="50"/>
        <v>-0.82</v>
      </c>
    </row>
    <row r="1909" spans="1:19">
      <c r="A1909" s="18" t="s">
        <v>2048</v>
      </c>
      <c r="B1909" s="1" t="s">
        <v>633</v>
      </c>
      <c r="C1909" s="1" t="s">
        <v>2049</v>
      </c>
      <c r="D1909" s="1" t="s">
        <v>25</v>
      </c>
      <c r="E1909" s="1" t="s">
        <v>25</v>
      </c>
      <c r="F1909">
        <v>201.5</v>
      </c>
      <c r="G1909">
        <v>201.2</v>
      </c>
      <c r="H1909">
        <v>14.9</v>
      </c>
      <c r="I1909" s="1" t="s">
        <v>1528</v>
      </c>
      <c r="J1909" s="1" t="s">
        <v>1336</v>
      </c>
      <c r="K1909" s="11" t="s">
        <v>25</v>
      </c>
      <c r="L1909">
        <v>-0.82</v>
      </c>
      <c r="M1909" s="1" t="s">
        <v>23</v>
      </c>
      <c r="N1909" t="s">
        <v>230</v>
      </c>
      <c r="O1909" s="1" t="s">
        <v>25</v>
      </c>
      <c r="P1909" s="3" t="s">
        <v>25</v>
      </c>
      <c r="Q1909" s="37" t="s">
        <v>25</v>
      </c>
      <c r="R1909" s="3" t="s">
        <v>25</v>
      </c>
      <c r="S1909" s="13">
        <f t="shared" si="50"/>
        <v>-0.82</v>
      </c>
    </row>
    <row r="1910" spans="1:19">
      <c r="A1910" s="18" t="s">
        <v>2048</v>
      </c>
      <c r="B1910" s="1" t="s">
        <v>634</v>
      </c>
      <c r="C1910" s="1" t="s">
        <v>2049</v>
      </c>
      <c r="D1910" s="1" t="s">
        <v>25</v>
      </c>
      <c r="E1910" s="1" t="s">
        <v>25</v>
      </c>
      <c r="F1910">
        <v>201.5</v>
      </c>
      <c r="G1910">
        <v>201.2</v>
      </c>
      <c r="H1910">
        <v>19.899999999999999</v>
      </c>
      <c r="I1910" s="1" t="s">
        <v>1528</v>
      </c>
      <c r="J1910" s="1" t="s">
        <v>1336</v>
      </c>
      <c r="K1910" s="11" t="s">
        <v>25</v>
      </c>
      <c r="L1910">
        <v>-0.82</v>
      </c>
      <c r="M1910" s="1" t="s">
        <v>23</v>
      </c>
      <c r="N1910" t="s">
        <v>230</v>
      </c>
      <c r="O1910" s="1" t="s">
        <v>25</v>
      </c>
      <c r="P1910" s="3" t="s">
        <v>25</v>
      </c>
      <c r="Q1910" s="37" t="s">
        <v>25</v>
      </c>
      <c r="R1910" s="3" t="s">
        <v>25</v>
      </c>
      <c r="S1910" s="13">
        <f t="shared" si="50"/>
        <v>-0.82</v>
      </c>
    </row>
    <row r="1911" spans="1:19">
      <c r="A1911" s="18" t="s">
        <v>2048</v>
      </c>
      <c r="B1911" s="1" t="s">
        <v>637</v>
      </c>
      <c r="C1911" s="1" t="s">
        <v>2049</v>
      </c>
      <c r="D1911" s="1" t="s">
        <v>25</v>
      </c>
      <c r="E1911" s="1" t="s">
        <v>25</v>
      </c>
      <c r="F1911">
        <v>201.5</v>
      </c>
      <c r="G1911">
        <v>201.2</v>
      </c>
      <c r="H1911">
        <v>28.3</v>
      </c>
      <c r="I1911" s="1" t="s">
        <v>1528</v>
      </c>
      <c r="J1911" s="1" t="s">
        <v>1336</v>
      </c>
      <c r="K1911" s="11" t="s">
        <v>25</v>
      </c>
      <c r="L1911">
        <v>-0.82</v>
      </c>
      <c r="M1911" s="1" t="s">
        <v>23</v>
      </c>
      <c r="N1911" t="s">
        <v>230</v>
      </c>
      <c r="O1911" s="1" t="s">
        <v>25</v>
      </c>
      <c r="P1911" s="3" t="s">
        <v>25</v>
      </c>
      <c r="Q1911" s="37" t="s">
        <v>25</v>
      </c>
      <c r="R1911" s="3" t="s">
        <v>25</v>
      </c>
      <c r="S1911" s="13">
        <f t="shared" si="50"/>
        <v>-0.82</v>
      </c>
    </row>
    <row r="1912" spans="1:19">
      <c r="A1912" s="18" t="s">
        <v>2048</v>
      </c>
      <c r="B1912" s="1" t="s">
        <v>638</v>
      </c>
      <c r="C1912" s="1" t="s">
        <v>2049</v>
      </c>
      <c r="D1912" s="1" t="s">
        <v>25</v>
      </c>
      <c r="E1912" s="1" t="s">
        <v>25</v>
      </c>
      <c r="F1912">
        <v>201.5</v>
      </c>
      <c r="G1912">
        <v>201.2</v>
      </c>
      <c r="H1912">
        <v>33.4</v>
      </c>
      <c r="I1912" s="1" t="s">
        <v>1528</v>
      </c>
      <c r="J1912" s="1" t="s">
        <v>1336</v>
      </c>
      <c r="K1912" s="11" t="s">
        <v>25</v>
      </c>
      <c r="L1912">
        <v>-0.82</v>
      </c>
      <c r="M1912" s="1" t="s">
        <v>23</v>
      </c>
      <c r="N1912" t="s">
        <v>230</v>
      </c>
      <c r="O1912" s="1" t="s">
        <v>25</v>
      </c>
      <c r="P1912" s="3" t="s">
        <v>25</v>
      </c>
      <c r="Q1912" s="37" t="s">
        <v>25</v>
      </c>
      <c r="R1912" s="3" t="s">
        <v>25</v>
      </c>
      <c r="S1912" s="13">
        <f t="shared" si="50"/>
        <v>-0.82</v>
      </c>
    </row>
    <row r="1913" spans="1:19">
      <c r="A1913" s="18" t="s">
        <v>2048</v>
      </c>
      <c r="B1913" s="1" t="s">
        <v>641</v>
      </c>
      <c r="C1913" s="1" t="s">
        <v>2049</v>
      </c>
      <c r="D1913" s="1" t="s">
        <v>25</v>
      </c>
      <c r="E1913" s="1" t="s">
        <v>25</v>
      </c>
      <c r="F1913">
        <v>201.5</v>
      </c>
      <c r="G1913">
        <v>201.2</v>
      </c>
      <c r="H1913">
        <v>47.3</v>
      </c>
      <c r="I1913" s="1" t="s">
        <v>1528</v>
      </c>
      <c r="J1913" s="1" t="s">
        <v>1336</v>
      </c>
      <c r="K1913" s="11" t="s">
        <v>25</v>
      </c>
      <c r="L1913">
        <v>-0.82</v>
      </c>
      <c r="M1913" s="1" t="s">
        <v>23</v>
      </c>
      <c r="N1913" t="s">
        <v>230</v>
      </c>
      <c r="O1913" s="1" t="s">
        <v>25</v>
      </c>
      <c r="P1913" s="3" t="s">
        <v>25</v>
      </c>
      <c r="Q1913" s="37" t="s">
        <v>25</v>
      </c>
      <c r="R1913" s="3" t="s">
        <v>25</v>
      </c>
      <c r="S1913" s="13">
        <f t="shared" si="50"/>
        <v>-0.82</v>
      </c>
    </row>
    <row r="1914" spans="1:19">
      <c r="A1914" s="18" t="s">
        <v>2048</v>
      </c>
      <c r="B1914" s="1" t="s">
        <v>642</v>
      </c>
      <c r="C1914" s="1" t="s">
        <v>2049</v>
      </c>
      <c r="D1914" s="1" t="s">
        <v>25</v>
      </c>
      <c r="E1914" s="1" t="s">
        <v>25</v>
      </c>
      <c r="F1914">
        <v>201.5</v>
      </c>
      <c r="G1914">
        <v>201.2</v>
      </c>
      <c r="H1914">
        <v>53</v>
      </c>
      <c r="I1914" s="1" t="s">
        <v>1528</v>
      </c>
      <c r="J1914" s="1" t="s">
        <v>1336</v>
      </c>
      <c r="K1914" s="11" t="s">
        <v>25</v>
      </c>
      <c r="L1914">
        <v>-0.91</v>
      </c>
      <c r="M1914" s="1" t="s">
        <v>23</v>
      </c>
      <c r="N1914" t="s">
        <v>230</v>
      </c>
      <c r="O1914" s="1" t="s">
        <v>25</v>
      </c>
      <c r="P1914" s="3" t="s">
        <v>25</v>
      </c>
      <c r="Q1914" s="37" t="s">
        <v>25</v>
      </c>
      <c r="R1914" s="3" t="s">
        <v>25</v>
      </c>
      <c r="S1914" s="13">
        <f t="shared" si="50"/>
        <v>-0.91</v>
      </c>
    </row>
    <row r="1915" spans="1:19">
      <c r="A1915" s="18" t="s">
        <v>2048</v>
      </c>
      <c r="B1915" s="1" t="s">
        <v>643</v>
      </c>
      <c r="C1915" s="1" t="s">
        <v>2049</v>
      </c>
      <c r="D1915" s="1" t="s">
        <v>25</v>
      </c>
      <c r="E1915" s="1" t="s">
        <v>25</v>
      </c>
      <c r="F1915">
        <v>201.5</v>
      </c>
      <c r="G1915">
        <v>201.2</v>
      </c>
      <c r="H1915">
        <v>58</v>
      </c>
      <c r="I1915" s="1" t="s">
        <v>1528</v>
      </c>
      <c r="J1915" s="1" t="s">
        <v>1336</v>
      </c>
      <c r="K1915" s="11" t="s">
        <v>25</v>
      </c>
      <c r="L1915">
        <v>-0.76</v>
      </c>
      <c r="M1915" s="1" t="s">
        <v>23</v>
      </c>
      <c r="N1915" t="s">
        <v>230</v>
      </c>
      <c r="O1915" s="1" t="s">
        <v>25</v>
      </c>
      <c r="P1915" s="3" t="s">
        <v>25</v>
      </c>
      <c r="Q1915" s="37" t="s">
        <v>25</v>
      </c>
      <c r="R1915" s="3" t="s">
        <v>25</v>
      </c>
      <c r="S1915" s="13">
        <f t="shared" si="50"/>
        <v>-0.76</v>
      </c>
    </row>
    <row r="1916" spans="1:19">
      <c r="A1916" s="18" t="s">
        <v>2048</v>
      </c>
      <c r="B1916" s="1" t="s">
        <v>644</v>
      </c>
      <c r="C1916" s="1" t="s">
        <v>2049</v>
      </c>
      <c r="D1916" s="1" t="s">
        <v>25</v>
      </c>
      <c r="E1916" s="1" t="s">
        <v>25</v>
      </c>
      <c r="F1916">
        <v>201.5</v>
      </c>
      <c r="G1916">
        <v>201.2</v>
      </c>
      <c r="H1916">
        <v>62.8</v>
      </c>
      <c r="I1916" s="1" t="s">
        <v>1528</v>
      </c>
      <c r="J1916" s="1" t="s">
        <v>1336</v>
      </c>
      <c r="K1916" s="11" t="s">
        <v>25</v>
      </c>
      <c r="L1916">
        <v>-0.75</v>
      </c>
      <c r="M1916" s="1" t="s">
        <v>23</v>
      </c>
      <c r="N1916" t="s">
        <v>230</v>
      </c>
      <c r="O1916" s="1" t="s">
        <v>25</v>
      </c>
      <c r="P1916" s="3" t="s">
        <v>25</v>
      </c>
      <c r="Q1916" s="37" t="s">
        <v>25</v>
      </c>
      <c r="R1916" s="3" t="s">
        <v>25</v>
      </c>
      <c r="S1916" s="13">
        <f t="shared" si="50"/>
        <v>-0.75</v>
      </c>
    </row>
    <row r="1917" spans="1:19">
      <c r="A1917" s="18" t="s">
        <v>2048</v>
      </c>
      <c r="B1917" s="1" t="s">
        <v>645</v>
      </c>
      <c r="C1917" s="1" t="s">
        <v>2049</v>
      </c>
      <c r="D1917" s="1" t="s">
        <v>25</v>
      </c>
      <c r="E1917" s="1" t="s">
        <v>25</v>
      </c>
      <c r="F1917">
        <v>201.5</v>
      </c>
      <c r="G1917">
        <v>201.2</v>
      </c>
      <c r="H1917">
        <v>69.8</v>
      </c>
      <c r="I1917" s="1" t="s">
        <v>1528</v>
      </c>
      <c r="J1917" s="1" t="s">
        <v>1336</v>
      </c>
      <c r="K1917" s="11" t="s">
        <v>25</v>
      </c>
      <c r="L1917">
        <v>-0.77</v>
      </c>
      <c r="M1917" s="1" t="s">
        <v>23</v>
      </c>
      <c r="N1917" t="s">
        <v>230</v>
      </c>
      <c r="O1917" s="1" t="s">
        <v>25</v>
      </c>
      <c r="P1917" s="3" t="s">
        <v>25</v>
      </c>
      <c r="Q1917" s="37" t="s">
        <v>25</v>
      </c>
      <c r="R1917" s="3" t="s">
        <v>25</v>
      </c>
      <c r="S1917" s="13">
        <f t="shared" si="50"/>
        <v>-0.77</v>
      </c>
    </row>
    <row r="1918" spans="1:19">
      <c r="A1918" s="18" t="s">
        <v>2048</v>
      </c>
      <c r="B1918" s="1" t="s">
        <v>648</v>
      </c>
      <c r="C1918" s="1" t="s">
        <v>2049</v>
      </c>
      <c r="D1918" s="1" t="s">
        <v>25</v>
      </c>
      <c r="E1918" s="1" t="s">
        <v>25</v>
      </c>
      <c r="F1918">
        <v>201.5</v>
      </c>
      <c r="G1918">
        <v>201.2</v>
      </c>
      <c r="H1918">
        <v>75.599999999999994</v>
      </c>
      <c r="I1918" s="1" t="s">
        <v>1528</v>
      </c>
      <c r="J1918" s="1" t="s">
        <v>1336</v>
      </c>
      <c r="K1918" s="11" t="s">
        <v>25</v>
      </c>
      <c r="L1918">
        <v>-0.68</v>
      </c>
      <c r="M1918" s="1" t="s">
        <v>23</v>
      </c>
      <c r="N1918" t="s">
        <v>230</v>
      </c>
      <c r="O1918" s="1" t="s">
        <v>25</v>
      </c>
      <c r="P1918" s="3" t="s">
        <v>25</v>
      </c>
      <c r="Q1918" s="37" t="s">
        <v>25</v>
      </c>
      <c r="R1918" s="3" t="s">
        <v>25</v>
      </c>
      <c r="S1918" s="13">
        <f t="shared" si="50"/>
        <v>-0.68</v>
      </c>
    </row>
    <row r="1919" spans="1:19">
      <c r="A1919" s="18" t="s">
        <v>2048</v>
      </c>
      <c r="B1919" s="1" t="s">
        <v>649</v>
      </c>
      <c r="C1919" s="1" t="s">
        <v>2049</v>
      </c>
      <c r="D1919" s="1" t="s">
        <v>25</v>
      </c>
      <c r="E1919" s="1" t="s">
        <v>25</v>
      </c>
      <c r="F1919">
        <v>201.5</v>
      </c>
      <c r="G1919">
        <v>201.2</v>
      </c>
      <c r="H1919">
        <v>79.900000000000006</v>
      </c>
      <c r="I1919" s="1" t="s">
        <v>1528</v>
      </c>
      <c r="J1919" s="1" t="s">
        <v>1336</v>
      </c>
      <c r="K1919" s="11" t="s">
        <v>25</v>
      </c>
      <c r="L1919">
        <v>-0.78</v>
      </c>
      <c r="M1919" s="1" t="s">
        <v>23</v>
      </c>
      <c r="N1919" t="s">
        <v>230</v>
      </c>
      <c r="O1919" s="1" t="s">
        <v>25</v>
      </c>
      <c r="P1919" s="3" t="s">
        <v>25</v>
      </c>
      <c r="Q1919" s="37" t="s">
        <v>25</v>
      </c>
      <c r="R1919" s="3" t="s">
        <v>25</v>
      </c>
      <c r="S1919" s="13">
        <f t="shared" si="50"/>
        <v>-0.78</v>
      </c>
    </row>
    <row r="1920" spans="1:19">
      <c r="A1920" s="18" t="s">
        <v>2048</v>
      </c>
      <c r="B1920" s="1" t="s">
        <v>650</v>
      </c>
      <c r="C1920" s="1" t="s">
        <v>2049</v>
      </c>
      <c r="D1920" s="1" t="s">
        <v>25</v>
      </c>
      <c r="E1920" s="1" t="s">
        <v>25</v>
      </c>
      <c r="F1920">
        <v>201.5</v>
      </c>
      <c r="G1920">
        <v>201.2</v>
      </c>
      <c r="H1920">
        <v>87.5</v>
      </c>
      <c r="I1920" s="1" t="s">
        <v>1528</v>
      </c>
      <c r="J1920" s="1" t="s">
        <v>1336</v>
      </c>
      <c r="K1920" s="11" t="s">
        <v>25</v>
      </c>
      <c r="L1920">
        <v>-0.56999999999999995</v>
      </c>
      <c r="M1920" s="1" t="s">
        <v>23</v>
      </c>
      <c r="N1920" t="s">
        <v>230</v>
      </c>
      <c r="O1920" s="1" t="s">
        <v>25</v>
      </c>
      <c r="P1920" s="3" t="s">
        <v>25</v>
      </c>
      <c r="Q1920" s="37" t="s">
        <v>25</v>
      </c>
      <c r="R1920" s="3" t="s">
        <v>25</v>
      </c>
      <c r="S1920" s="13">
        <f t="shared" si="50"/>
        <v>-0.56999999999999995</v>
      </c>
    </row>
    <row r="1921" spans="1:19">
      <c r="A1921" s="18" t="s">
        <v>2048</v>
      </c>
      <c r="B1921" s="1" t="s">
        <v>652</v>
      </c>
      <c r="C1921" s="1" t="s">
        <v>2049</v>
      </c>
      <c r="D1921" s="1" t="s">
        <v>25</v>
      </c>
      <c r="E1921" s="1" t="s">
        <v>25</v>
      </c>
      <c r="F1921">
        <v>201.5</v>
      </c>
      <c r="G1921">
        <v>201.2</v>
      </c>
      <c r="H1921">
        <v>91.5</v>
      </c>
      <c r="I1921" s="1" t="s">
        <v>1528</v>
      </c>
      <c r="J1921" s="1" t="s">
        <v>1336</v>
      </c>
      <c r="K1921" s="11" t="s">
        <v>25</v>
      </c>
      <c r="L1921">
        <v>-0.85</v>
      </c>
      <c r="M1921" s="1" t="s">
        <v>23</v>
      </c>
      <c r="N1921" t="s">
        <v>230</v>
      </c>
      <c r="O1921" s="1" t="s">
        <v>25</v>
      </c>
      <c r="P1921" s="3" t="s">
        <v>25</v>
      </c>
      <c r="Q1921" s="37" t="s">
        <v>25</v>
      </c>
      <c r="R1921" s="3" t="s">
        <v>25</v>
      </c>
      <c r="S1921" s="13">
        <f t="shared" si="50"/>
        <v>-0.85</v>
      </c>
    </row>
    <row r="1922" spans="1:19">
      <c r="A1922" s="18" t="s">
        <v>2048</v>
      </c>
      <c r="B1922" s="1" t="s">
        <v>653</v>
      </c>
      <c r="C1922" s="1" t="s">
        <v>2049</v>
      </c>
      <c r="D1922" s="1" t="s">
        <v>25</v>
      </c>
      <c r="E1922" s="1" t="s">
        <v>25</v>
      </c>
      <c r="F1922">
        <v>201.5</v>
      </c>
      <c r="G1922">
        <v>201.2</v>
      </c>
      <c r="H1922">
        <v>94.5</v>
      </c>
      <c r="I1922" s="1" t="s">
        <v>1528</v>
      </c>
      <c r="J1922" s="1" t="s">
        <v>1336</v>
      </c>
      <c r="K1922" s="11" t="s">
        <v>25</v>
      </c>
      <c r="L1922">
        <v>-0.87</v>
      </c>
      <c r="M1922" s="1" t="s">
        <v>23</v>
      </c>
      <c r="N1922" t="s">
        <v>230</v>
      </c>
      <c r="O1922" s="1" t="s">
        <v>25</v>
      </c>
      <c r="P1922" s="3" t="s">
        <v>25</v>
      </c>
      <c r="Q1922" s="37" t="s">
        <v>25</v>
      </c>
      <c r="R1922" s="3" t="s">
        <v>25</v>
      </c>
      <c r="S1922" s="13">
        <f t="shared" si="50"/>
        <v>-0.87</v>
      </c>
    </row>
    <row r="1923" spans="1:19">
      <c r="A1923" s="18" t="s">
        <v>2048</v>
      </c>
      <c r="B1923" s="1" t="s">
        <v>655</v>
      </c>
      <c r="C1923" s="1" t="s">
        <v>2049</v>
      </c>
      <c r="D1923" s="1" t="s">
        <v>25</v>
      </c>
      <c r="E1923" s="1" t="s">
        <v>25</v>
      </c>
      <c r="F1923">
        <v>201.5</v>
      </c>
      <c r="G1923">
        <v>201.2</v>
      </c>
      <c r="H1923">
        <v>102</v>
      </c>
      <c r="I1923" s="1" t="s">
        <v>1528</v>
      </c>
      <c r="J1923" s="1" t="s">
        <v>1336</v>
      </c>
      <c r="K1923" s="11" t="s">
        <v>25</v>
      </c>
      <c r="L1923">
        <v>-0.91</v>
      </c>
      <c r="M1923" s="1" t="s">
        <v>23</v>
      </c>
      <c r="N1923" t="s">
        <v>230</v>
      </c>
      <c r="O1923" s="1" t="s">
        <v>25</v>
      </c>
      <c r="P1923" s="3" t="s">
        <v>25</v>
      </c>
      <c r="Q1923" s="37" t="s">
        <v>25</v>
      </c>
      <c r="R1923" s="3" t="s">
        <v>25</v>
      </c>
      <c r="S1923" s="13">
        <f t="shared" si="50"/>
        <v>-0.91</v>
      </c>
    </row>
    <row r="1924" spans="1:19">
      <c r="A1924" s="18" t="s">
        <v>2048</v>
      </c>
      <c r="B1924" s="1" t="s">
        <v>657</v>
      </c>
      <c r="C1924" s="1" t="s">
        <v>2049</v>
      </c>
      <c r="D1924" s="1" t="s">
        <v>25</v>
      </c>
      <c r="E1924" s="1" t="s">
        <v>25</v>
      </c>
      <c r="F1924">
        <v>201.5</v>
      </c>
      <c r="G1924">
        <v>201.2</v>
      </c>
      <c r="H1924">
        <v>108.4</v>
      </c>
      <c r="I1924" s="1" t="s">
        <v>1528</v>
      </c>
      <c r="J1924" s="1" t="s">
        <v>1336</v>
      </c>
      <c r="K1924" s="11" t="s">
        <v>25</v>
      </c>
      <c r="L1924">
        <v>-0.87</v>
      </c>
      <c r="M1924" s="1" t="s">
        <v>23</v>
      </c>
      <c r="N1924" t="s">
        <v>230</v>
      </c>
      <c r="O1924" s="1" t="s">
        <v>25</v>
      </c>
      <c r="P1924" s="3" t="s">
        <v>25</v>
      </c>
      <c r="Q1924" s="37" t="s">
        <v>25</v>
      </c>
      <c r="R1924" s="3" t="s">
        <v>25</v>
      </c>
      <c r="S1924" s="13">
        <f t="shared" si="50"/>
        <v>-0.87</v>
      </c>
    </row>
    <row r="1925" spans="1:19">
      <c r="A1925" s="18" t="s">
        <v>2048</v>
      </c>
      <c r="B1925" s="1" t="s">
        <v>659</v>
      </c>
      <c r="C1925" s="1" t="s">
        <v>2049</v>
      </c>
      <c r="D1925" s="1" t="s">
        <v>25</v>
      </c>
      <c r="E1925" s="1" t="s">
        <v>25</v>
      </c>
      <c r="F1925">
        <v>201.5</v>
      </c>
      <c r="G1925">
        <v>201.2</v>
      </c>
      <c r="H1925">
        <v>111</v>
      </c>
      <c r="I1925" s="1" t="s">
        <v>1528</v>
      </c>
      <c r="J1925" s="1" t="s">
        <v>1336</v>
      </c>
      <c r="K1925" s="11" t="s">
        <v>25</v>
      </c>
      <c r="L1925">
        <v>-0.84</v>
      </c>
      <c r="M1925" s="1" t="s">
        <v>23</v>
      </c>
      <c r="N1925" t="s">
        <v>230</v>
      </c>
      <c r="O1925" s="1" t="s">
        <v>25</v>
      </c>
      <c r="P1925" s="3" t="s">
        <v>25</v>
      </c>
      <c r="Q1925" s="37" t="s">
        <v>25</v>
      </c>
      <c r="R1925" s="3" t="s">
        <v>25</v>
      </c>
      <c r="S1925" s="13">
        <f t="shared" si="50"/>
        <v>-0.84</v>
      </c>
    </row>
    <row r="1926" spans="1:19">
      <c r="A1926" s="18" t="s">
        <v>2048</v>
      </c>
      <c r="B1926" s="1" t="s">
        <v>661</v>
      </c>
      <c r="C1926" s="1" t="s">
        <v>2049</v>
      </c>
      <c r="D1926" s="1" t="s">
        <v>25</v>
      </c>
      <c r="E1926" s="1" t="s">
        <v>25</v>
      </c>
      <c r="F1926">
        <v>201.5</v>
      </c>
      <c r="G1926">
        <v>201.2</v>
      </c>
      <c r="H1926">
        <v>129.1</v>
      </c>
      <c r="I1926" s="1" t="s">
        <v>1528</v>
      </c>
      <c r="J1926" s="1" t="s">
        <v>1336</v>
      </c>
      <c r="K1926" s="11" t="s">
        <v>25</v>
      </c>
      <c r="L1926">
        <v>-0.71</v>
      </c>
      <c r="M1926" s="1" t="s">
        <v>23</v>
      </c>
      <c r="N1926" t="s">
        <v>230</v>
      </c>
      <c r="O1926" s="1" t="s">
        <v>25</v>
      </c>
      <c r="P1926" s="3" t="s">
        <v>25</v>
      </c>
      <c r="Q1926" s="37" t="s">
        <v>25</v>
      </c>
      <c r="R1926" s="3" t="s">
        <v>25</v>
      </c>
      <c r="S1926" s="13">
        <f t="shared" si="50"/>
        <v>-0.71</v>
      </c>
    </row>
    <row r="1927" spans="1:19">
      <c r="A1927" s="18" t="s">
        <v>2048</v>
      </c>
      <c r="B1927" s="1" t="s">
        <v>663</v>
      </c>
      <c r="C1927" s="1" t="s">
        <v>2049</v>
      </c>
      <c r="D1927" s="1" t="s">
        <v>25</v>
      </c>
      <c r="E1927" s="1" t="s">
        <v>25</v>
      </c>
      <c r="F1927">
        <v>201.5</v>
      </c>
      <c r="G1927">
        <v>201.2</v>
      </c>
      <c r="H1927">
        <v>133.69999999999999</v>
      </c>
      <c r="I1927" s="1" t="s">
        <v>1528</v>
      </c>
      <c r="J1927" s="1" t="s">
        <v>1336</v>
      </c>
      <c r="K1927" s="11" t="s">
        <v>25</v>
      </c>
      <c r="L1927">
        <v>-0.89</v>
      </c>
      <c r="M1927" s="1" t="s">
        <v>23</v>
      </c>
      <c r="N1927" t="s">
        <v>230</v>
      </c>
      <c r="O1927" s="1" t="s">
        <v>25</v>
      </c>
      <c r="P1927" s="3" t="s">
        <v>25</v>
      </c>
      <c r="Q1927" s="37" t="s">
        <v>25</v>
      </c>
      <c r="R1927" s="3" t="s">
        <v>25</v>
      </c>
      <c r="S1927" s="13">
        <f t="shared" si="50"/>
        <v>-0.89</v>
      </c>
    </row>
    <row r="1928" spans="1:19">
      <c r="A1928" s="18" t="s">
        <v>2048</v>
      </c>
      <c r="B1928" s="1" t="s">
        <v>666</v>
      </c>
      <c r="C1928" s="1" t="s">
        <v>2049</v>
      </c>
      <c r="D1928" s="1" t="s">
        <v>25</v>
      </c>
      <c r="E1928" s="1" t="s">
        <v>25</v>
      </c>
      <c r="F1928">
        <v>201.5</v>
      </c>
      <c r="G1928">
        <v>201.2</v>
      </c>
      <c r="H1928">
        <v>137.80000000000001</v>
      </c>
      <c r="I1928" s="1" t="s">
        <v>1528</v>
      </c>
      <c r="J1928" s="1" t="s">
        <v>1336</v>
      </c>
      <c r="K1928" s="11" t="s">
        <v>25</v>
      </c>
      <c r="L1928">
        <v>-0.94</v>
      </c>
      <c r="M1928" s="1" t="s">
        <v>23</v>
      </c>
      <c r="N1928" t="s">
        <v>230</v>
      </c>
      <c r="O1928" s="1" t="s">
        <v>25</v>
      </c>
      <c r="P1928" s="3" t="s">
        <v>25</v>
      </c>
      <c r="Q1928" s="37" t="s">
        <v>25</v>
      </c>
      <c r="R1928" s="3" t="s">
        <v>25</v>
      </c>
      <c r="S1928" s="13">
        <f t="shared" si="50"/>
        <v>-0.94</v>
      </c>
    </row>
    <row r="1929" spans="1:19">
      <c r="A1929" s="18" t="s">
        <v>2048</v>
      </c>
      <c r="B1929" s="1" t="s">
        <v>667</v>
      </c>
      <c r="C1929" s="1" t="s">
        <v>2049</v>
      </c>
      <c r="D1929" s="1" t="s">
        <v>25</v>
      </c>
      <c r="E1929" s="1" t="s">
        <v>25</v>
      </c>
      <c r="F1929">
        <v>201.5</v>
      </c>
      <c r="G1929">
        <v>201.2</v>
      </c>
      <c r="H1929">
        <v>141.80000000000001</v>
      </c>
      <c r="I1929" s="1" t="s">
        <v>1528</v>
      </c>
      <c r="J1929" s="1" t="s">
        <v>1336</v>
      </c>
      <c r="K1929" s="11" t="s">
        <v>25</v>
      </c>
      <c r="L1929">
        <v>-0.81</v>
      </c>
      <c r="M1929" s="1" t="s">
        <v>23</v>
      </c>
      <c r="N1929" t="s">
        <v>230</v>
      </c>
      <c r="O1929" s="1" t="s">
        <v>25</v>
      </c>
      <c r="P1929" s="3" t="s">
        <v>25</v>
      </c>
      <c r="Q1929" s="37" t="s">
        <v>25</v>
      </c>
      <c r="R1929" s="3" t="s">
        <v>25</v>
      </c>
      <c r="S1929" s="13">
        <f t="shared" si="50"/>
        <v>-0.81</v>
      </c>
    </row>
    <row r="1930" spans="1:19">
      <c r="A1930" s="18" t="s">
        <v>2048</v>
      </c>
      <c r="B1930" s="1" t="s">
        <v>668</v>
      </c>
      <c r="C1930" s="1" t="s">
        <v>2049</v>
      </c>
      <c r="D1930" s="1" t="s">
        <v>25</v>
      </c>
      <c r="E1930" s="1" t="s">
        <v>25</v>
      </c>
      <c r="F1930">
        <v>201.5</v>
      </c>
      <c r="G1930">
        <v>201.2</v>
      </c>
      <c r="H1930">
        <v>153.4</v>
      </c>
      <c r="I1930" s="1" t="s">
        <v>1528</v>
      </c>
      <c r="J1930" s="1" t="s">
        <v>1336</v>
      </c>
      <c r="K1930" s="11" t="s">
        <v>25</v>
      </c>
      <c r="L1930">
        <v>-0.74</v>
      </c>
      <c r="M1930" s="1" t="s">
        <v>23</v>
      </c>
      <c r="N1930" t="s">
        <v>230</v>
      </c>
      <c r="O1930" s="1" t="s">
        <v>25</v>
      </c>
      <c r="P1930" s="3" t="s">
        <v>25</v>
      </c>
      <c r="Q1930" s="37" t="s">
        <v>25</v>
      </c>
      <c r="R1930" s="3" t="s">
        <v>25</v>
      </c>
      <c r="S1930" s="13">
        <f t="shared" si="50"/>
        <v>-0.74</v>
      </c>
    </row>
    <row r="1931" spans="1:19">
      <c r="A1931" s="18" t="s">
        <v>2048</v>
      </c>
      <c r="B1931" s="1" t="s">
        <v>671</v>
      </c>
      <c r="C1931" s="1" t="s">
        <v>2049</v>
      </c>
      <c r="D1931" s="1" t="s">
        <v>25</v>
      </c>
      <c r="E1931" s="1" t="s">
        <v>25</v>
      </c>
      <c r="F1931">
        <v>201.5</v>
      </c>
      <c r="G1931">
        <v>201.2</v>
      </c>
      <c r="H1931">
        <v>159.4</v>
      </c>
      <c r="I1931" s="1" t="s">
        <v>1528</v>
      </c>
      <c r="J1931" s="1" t="s">
        <v>1336</v>
      </c>
      <c r="K1931" s="11" t="s">
        <v>25</v>
      </c>
      <c r="L1931">
        <v>-0.67</v>
      </c>
      <c r="M1931" s="1" t="s">
        <v>23</v>
      </c>
      <c r="N1931" t="s">
        <v>230</v>
      </c>
      <c r="O1931" s="1" t="s">
        <v>25</v>
      </c>
      <c r="P1931" s="3" t="s">
        <v>25</v>
      </c>
      <c r="Q1931" s="37" t="s">
        <v>25</v>
      </c>
      <c r="R1931" s="3" t="s">
        <v>25</v>
      </c>
      <c r="S1931" s="13">
        <f t="shared" si="50"/>
        <v>-0.67</v>
      </c>
    </row>
    <row r="1932" spans="1:19">
      <c r="A1932" s="18" t="s">
        <v>2048</v>
      </c>
      <c r="B1932" s="1" t="s">
        <v>672</v>
      </c>
      <c r="C1932" s="1" t="s">
        <v>2049</v>
      </c>
      <c r="D1932" s="1" t="s">
        <v>25</v>
      </c>
      <c r="E1932" s="1" t="s">
        <v>25</v>
      </c>
      <c r="F1932">
        <v>201.5</v>
      </c>
      <c r="G1932">
        <v>201.2</v>
      </c>
      <c r="H1932">
        <v>164.1</v>
      </c>
      <c r="I1932" s="1" t="s">
        <v>1528</v>
      </c>
      <c r="J1932" s="1" t="s">
        <v>1336</v>
      </c>
      <c r="K1932" s="11" t="s">
        <v>25</v>
      </c>
      <c r="L1932">
        <v>-0.77</v>
      </c>
      <c r="M1932" s="1" t="s">
        <v>23</v>
      </c>
      <c r="N1932" t="s">
        <v>230</v>
      </c>
      <c r="O1932" s="1" t="s">
        <v>25</v>
      </c>
      <c r="P1932" s="3" t="s">
        <v>25</v>
      </c>
      <c r="Q1932" s="37" t="s">
        <v>25</v>
      </c>
      <c r="R1932" s="3" t="s">
        <v>25</v>
      </c>
      <c r="S1932" s="13">
        <f t="shared" si="50"/>
        <v>-0.77</v>
      </c>
    </row>
    <row r="1933" spans="1:19">
      <c r="A1933" s="18" t="s">
        <v>2048</v>
      </c>
      <c r="B1933" s="1" t="s">
        <v>675</v>
      </c>
      <c r="C1933" s="1" t="s">
        <v>2049</v>
      </c>
      <c r="D1933" s="1" t="s">
        <v>25</v>
      </c>
      <c r="E1933" s="1" t="s">
        <v>25</v>
      </c>
      <c r="F1933">
        <v>201.5</v>
      </c>
      <c r="G1933">
        <v>201.2</v>
      </c>
      <c r="H1933">
        <v>168.1</v>
      </c>
      <c r="I1933" s="1" t="s">
        <v>1528</v>
      </c>
      <c r="J1933" s="1" t="s">
        <v>1336</v>
      </c>
      <c r="K1933" s="11" t="s">
        <v>25</v>
      </c>
      <c r="L1933">
        <v>-0.77</v>
      </c>
      <c r="M1933" s="1" t="s">
        <v>23</v>
      </c>
      <c r="N1933" t="s">
        <v>230</v>
      </c>
      <c r="O1933" s="1" t="s">
        <v>25</v>
      </c>
      <c r="P1933" s="3" t="s">
        <v>25</v>
      </c>
      <c r="Q1933" s="37" t="s">
        <v>25</v>
      </c>
      <c r="R1933" s="3" t="s">
        <v>25</v>
      </c>
      <c r="S1933" s="13">
        <f t="shared" si="50"/>
        <v>-0.77</v>
      </c>
    </row>
    <row r="1934" spans="1:19">
      <c r="A1934" s="18" t="s">
        <v>2048</v>
      </c>
      <c r="B1934" s="1" t="s">
        <v>677</v>
      </c>
      <c r="C1934" s="1" t="s">
        <v>2049</v>
      </c>
      <c r="D1934" s="1" t="s">
        <v>25</v>
      </c>
      <c r="E1934" s="1" t="s">
        <v>25</v>
      </c>
      <c r="F1934">
        <v>201.5</v>
      </c>
      <c r="G1934">
        <v>201.2</v>
      </c>
      <c r="H1934">
        <v>173.2</v>
      </c>
      <c r="I1934" s="1" t="s">
        <v>1528</v>
      </c>
      <c r="J1934" s="1" t="s">
        <v>1336</v>
      </c>
      <c r="K1934" s="11" t="s">
        <v>25</v>
      </c>
      <c r="L1934">
        <v>-0.79</v>
      </c>
      <c r="M1934" s="1" t="s">
        <v>23</v>
      </c>
      <c r="N1934" t="s">
        <v>230</v>
      </c>
      <c r="O1934" s="1" t="s">
        <v>25</v>
      </c>
      <c r="P1934" s="3" t="s">
        <v>25</v>
      </c>
      <c r="Q1934" s="37" t="s">
        <v>25</v>
      </c>
      <c r="R1934" s="3" t="s">
        <v>25</v>
      </c>
      <c r="S1934" s="13">
        <f t="shared" si="50"/>
        <v>-0.79</v>
      </c>
    </row>
    <row r="1935" spans="1:19">
      <c r="A1935" s="18" t="s">
        <v>2048</v>
      </c>
      <c r="B1935" s="1" t="s">
        <v>678</v>
      </c>
      <c r="C1935" s="1" t="s">
        <v>2049</v>
      </c>
      <c r="D1935" s="1" t="s">
        <v>25</v>
      </c>
      <c r="E1935" s="1" t="s">
        <v>25</v>
      </c>
      <c r="F1935">
        <v>201.5</v>
      </c>
      <c r="G1935">
        <v>201.2</v>
      </c>
      <c r="H1935">
        <v>183</v>
      </c>
      <c r="I1935" s="1" t="s">
        <v>1528</v>
      </c>
      <c r="J1935" s="1" t="s">
        <v>1336</v>
      </c>
      <c r="K1935" s="11" t="s">
        <v>25</v>
      </c>
      <c r="L1935">
        <v>-0.88</v>
      </c>
      <c r="M1935" s="1" t="s">
        <v>23</v>
      </c>
      <c r="N1935" t="s">
        <v>230</v>
      </c>
      <c r="O1935" s="1" t="s">
        <v>25</v>
      </c>
      <c r="P1935" s="3" t="s">
        <v>25</v>
      </c>
      <c r="Q1935" s="37" t="s">
        <v>25</v>
      </c>
      <c r="R1935" s="3" t="s">
        <v>25</v>
      </c>
      <c r="S1935" s="13">
        <f t="shared" si="50"/>
        <v>-0.88</v>
      </c>
    </row>
    <row r="1936" spans="1:19">
      <c r="A1936" s="18" t="s">
        <v>2048</v>
      </c>
      <c r="B1936" s="1" t="s">
        <v>679</v>
      </c>
      <c r="C1936" s="1" t="s">
        <v>2049</v>
      </c>
      <c r="D1936" s="1" t="s">
        <v>25</v>
      </c>
      <c r="E1936" s="1" t="s">
        <v>25</v>
      </c>
      <c r="F1936">
        <v>201.5</v>
      </c>
      <c r="G1936">
        <v>201.2</v>
      </c>
      <c r="H1936">
        <v>187</v>
      </c>
      <c r="I1936" s="1" t="s">
        <v>1528</v>
      </c>
      <c r="J1936" s="1" t="s">
        <v>1336</v>
      </c>
      <c r="K1936" s="11" t="s">
        <v>25</v>
      </c>
      <c r="L1936">
        <v>-0.78</v>
      </c>
      <c r="M1936" s="1" t="s">
        <v>23</v>
      </c>
      <c r="N1936" t="s">
        <v>230</v>
      </c>
      <c r="O1936" s="1" t="s">
        <v>25</v>
      </c>
      <c r="P1936" s="3" t="s">
        <v>25</v>
      </c>
      <c r="Q1936" s="37" t="s">
        <v>25</v>
      </c>
      <c r="R1936" s="3" t="s">
        <v>25</v>
      </c>
      <c r="S1936" s="13">
        <f t="shared" si="50"/>
        <v>-0.78</v>
      </c>
    </row>
    <row r="1937" spans="1:19">
      <c r="A1937" s="18" t="s">
        <v>2048</v>
      </c>
      <c r="B1937" s="1" t="s">
        <v>1016</v>
      </c>
      <c r="C1937" s="1" t="s">
        <v>2049</v>
      </c>
      <c r="D1937" s="1" t="s">
        <v>25</v>
      </c>
      <c r="E1937" s="1" t="s">
        <v>25</v>
      </c>
      <c r="F1937">
        <v>201.5</v>
      </c>
      <c r="G1937">
        <v>201.2</v>
      </c>
      <c r="H1937">
        <v>195</v>
      </c>
      <c r="I1937" s="1" t="s">
        <v>1528</v>
      </c>
      <c r="J1937" s="1" t="s">
        <v>1336</v>
      </c>
      <c r="K1937" s="11" t="s">
        <v>25</v>
      </c>
      <c r="L1937">
        <v>-0.76</v>
      </c>
      <c r="M1937" s="1" t="s">
        <v>23</v>
      </c>
      <c r="N1937" t="s">
        <v>230</v>
      </c>
      <c r="O1937" s="1" t="s">
        <v>25</v>
      </c>
      <c r="P1937" s="3" t="s">
        <v>25</v>
      </c>
      <c r="Q1937" s="37" t="s">
        <v>25</v>
      </c>
      <c r="R1937" s="3" t="s">
        <v>25</v>
      </c>
      <c r="S1937" s="13">
        <f t="shared" si="50"/>
        <v>-0.76</v>
      </c>
    </row>
    <row r="1938" spans="1:19">
      <c r="A1938" s="18" t="s">
        <v>2048</v>
      </c>
      <c r="B1938" s="1" t="s">
        <v>1338</v>
      </c>
      <c r="C1938" s="1" t="s">
        <v>2049</v>
      </c>
      <c r="D1938" s="1" t="s">
        <v>25</v>
      </c>
      <c r="E1938" s="1" t="s">
        <v>25</v>
      </c>
      <c r="F1938">
        <v>201.5</v>
      </c>
      <c r="G1938">
        <v>201.2</v>
      </c>
      <c r="H1938">
        <v>199</v>
      </c>
      <c r="I1938" s="1" t="s">
        <v>1528</v>
      </c>
      <c r="J1938" s="1" t="s">
        <v>1336</v>
      </c>
      <c r="K1938" s="11" t="s">
        <v>25</v>
      </c>
      <c r="L1938">
        <v>-0.5</v>
      </c>
      <c r="M1938" s="1" t="s">
        <v>23</v>
      </c>
      <c r="N1938" t="s">
        <v>230</v>
      </c>
      <c r="O1938" s="1" t="s">
        <v>25</v>
      </c>
      <c r="P1938" s="3" t="s">
        <v>25</v>
      </c>
      <c r="Q1938" s="37" t="s">
        <v>25</v>
      </c>
      <c r="R1938" s="3" t="s">
        <v>25</v>
      </c>
      <c r="S1938" s="13">
        <f t="shared" si="50"/>
        <v>-0.5</v>
      </c>
    </row>
    <row r="1939" spans="1:19">
      <c r="A1939" s="18" t="s">
        <v>2048</v>
      </c>
      <c r="B1939" s="1" t="s">
        <v>1339</v>
      </c>
      <c r="C1939" s="1" t="s">
        <v>2049</v>
      </c>
      <c r="D1939" s="1" t="s">
        <v>25</v>
      </c>
      <c r="E1939" s="1" t="s">
        <v>25</v>
      </c>
      <c r="F1939">
        <v>201.5</v>
      </c>
      <c r="G1939">
        <v>201.2</v>
      </c>
      <c r="H1939">
        <v>201.1</v>
      </c>
      <c r="I1939" s="1" t="s">
        <v>1528</v>
      </c>
      <c r="J1939" s="1" t="s">
        <v>1336</v>
      </c>
      <c r="K1939" s="11" t="s">
        <v>25</v>
      </c>
      <c r="L1939">
        <v>-0.82</v>
      </c>
      <c r="M1939" s="1" t="s">
        <v>23</v>
      </c>
      <c r="N1939" t="s">
        <v>230</v>
      </c>
      <c r="O1939" s="1" t="s">
        <v>25</v>
      </c>
      <c r="P1939" s="3" t="s">
        <v>25</v>
      </c>
      <c r="Q1939" s="37" t="s">
        <v>25</v>
      </c>
      <c r="R1939" s="3" t="s">
        <v>25</v>
      </c>
      <c r="S1939" s="13">
        <f t="shared" si="50"/>
        <v>-0.82</v>
      </c>
    </row>
    <row r="1940" spans="1:19">
      <c r="A1940" s="18" t="s">
        <v>2048</v>
      </c>
      <c r="B1940" s="1" t="s">
        <v>1340</v>
      </c>
      <c r="C1940" s="1" t="s">
        <v>2049</v>
      </c>
      <c r="D1940" s="1" t="s">
        <v>25</v>
      </c>
      <c r="E1940" s="1" t="s">
        <v>25</v>
      </c>
      <c r="F1940">
        <v>201.5</v>
      </c>
      <c r="G1940">
        <v>201.2</v>
      </c>
      <c r="H1940">
        <v>203</v>
      </c>
      <c r="I1940" s="1" t="s">
        <v>1528</v>
      </c>
      <c r="J1940" s="1" t="s">
        <v>1336</v>
      </c>
      <c r="K1940" s="11" t="s">
        <v>25</v>
      </c>
      <c r="L1940">
        <v>-1.05</v>
      </c>
      <c r="M1940" s="1" t="s">
        <v>23</v>
      </c>
      <c r="N1940" t="s">
        <v>230</v>
      </c>
      <c r="O1940" s="1" t="s">
        <v>25</v>
      </c>
      <c r="P1940" s="3" t="s">
        <v>25</v>
      </c>
      <c r="Q1940" s="37" t="s">
        <v>25</v>
      </c>
      <c r="R1940" s="3" t="s">
        <v>25</v>
      </c>
      <c r="S1940" s="13">
        <f t="shared" si="50"/>
        <v>-1.05</v>
      </c>
    </row>
    <row r="1941" spans="1:19">
      <c r="A1941" s="18" t="s">
        <v>2048</v>
      </c>
      <c r="B1941" s="1" t="s">
        <v>1341</v>
      </c>
      <c r="C1941" s="1" t="s">
        <v>2049</v>
      </c>
      <c r="D1941" s="1" t="s">
        <v>25</v>
      </c>
      <c r="E1941" s="1" t="s">
        <v>25</v>
      </c>
      <c r="F1941">
        <v>201.5</v>
      </c>
      <c r="G1941">
        <v>201.2</v>
      </c>
      <c r="H1941">
        <v>205</v>
      </c>
      <c r="I1941" s="1" t="s">
        <v>1528</v>
      </c>
      <c r="J1941" s="1" t="s">
        <v>1336</v>
      </c>
      <c r="K1941" s="11" t="s">
        <v>25</v>
      </c>
      <c r="L1941">
        <v>-0.64</v>
      </c>
      <c r="M1941" s="1" t="s">
        <v>23</v>
      </c>
      <c r="N1941" t="s">
        <v>230</v>
      </c>
      <c r="O1941" s="1" t="s">
        <v>25</v>
      </c>
      <c r="P1941" s="3" t="s">
        <v>25</v>
      </c>
      <c r="Q1941" s="37" t="s">
        <v>25</v>
      </c>
      <c r="R1941" s="3" t="s">
        <v>25</v>
      </c>
      <c r="S1941" s="13">
        <f t="shared" si="50"/>
        <v>-0.64</v>
      </c>
    </row>
    <row r="1942" spans="1:19">
      <c r="A1942" s="18" t="s">
        <v>2048</v>
      </c>
      <c r="B1942" s="1" t="s">
        <v>1342</v>
      </c>
      <c r="C1942" s="1" t="s">
        <v>2049</v>
      </c>
      <c r="D1942" s="1" t="s">
        <v>25</v>
      </c>
      <c r="E1942" s="1" t="s">
        <v>25</v>
      </c>
      <c r="F1942">
        <v>201.5</v>
      </c>
      <c r="G1942">
        <v>201.2</v>
      </c>
      <c r="H1942">
        <v>207.2</v>
      </c>
      <c r="I1942" s="1" t="s">
        <v>1528</v>
      </c>
      <c r="J1942" s="1" t="s">
        <v>1336</v>
      </c>
      <c r="K1942" s="11" t="s">
        <v>25</v>
      </c>
      <c r="L1942">
        <v>-0.93</v>
      </c>
      <c r="M1942" s="1" t="s">
        <v>23</v>
      </c>
      <c r="N1942" t="s">
        <v>230</v>
      </c>
      <c r="O1942" s="1" t="s">
        <v>25</v>
      </c>
      <c r="P1942" s="3" t="s">
        <v>25</v>
      </c>
      <c r="Q1942" s="37" t="s">
        <v>25</v>
      </c>
      <c r="R1942" s="3" t="s">
        <v>25</v>
      </c>
      <c r="S1942" s="13">
        <f t="shared" si="50"/>
        <v>-0.93</v>
      </c>
    </row>
    <row r="1943" spans="1:19">
      <c r="A1943" s="18" t="s">
        <v>2048</v>
      </c>
      <c r="B1943" s="1" t="s">
        <v>1017</v>
      </c>
      <c r="C1943" s="1" t="s">
        <v>2049</v>
      </c>
      <c r="D1943" s="1" t="s">
        <v>25</v>
      </c>
      <c r="E1943" s="1" t="s">
        <v>25</v>
      </c>
      <c r="F1943">
        <v>201.5</v>
      </c>
      <c r="G1943">
        <v>201.2</v>
      </c>
      <c r="H1943">
        <v>209.2</v>
      </c>
      <c r="I1943" s="1" t="s">
        <v>1528</v>
      </c>
      <c r="J1943" s="1" t="s">
        <v>1336</v>
      </c>
      <c r="K1943" s="11" t="s">
        <v>25</v>
      </c>
      <c r="L1943">
        <v>-1.18</v>
      </c>
      <c r="M1943" s="1" t="s">
        <v>23</v>
      </c>
      <c r="N1943" t="s">
        <v>230</v>
      </c>
      <c r="O1943" s="1" t="s">
        <v>25</v>
      </c>
      <c r="P1943" s="3" t="s">
        <v>25</v>
      </c>
      <c r="Q1943" s="37" t="s">
        <v>25</v>
      </c>
      <c r="R1943" s="3" t="s">
        <v>25</v>
      </c>
      <c r="S1943" s="13">
        <f t="shared" si="50"/>
        <v>-1.18</v>
      </c>
    </row>
    <row r="1944" spans="1:19">
      <c r="A1944" s="18" t="s">
        <v>2048</v>
      </c>
      <c r="B1944" s="1" t="s">
        <v>1343</v>
      </c>
      <c r="C1944" s="1" t="s">
        <v>2049</v>
      </c>
      <c r="D1944" s="1" t="s">
        <v>25</v>
      </c>
      <c r="E1944" s="1" t="s">
        <v>25</v>
      </c>
      <c r="F1944">
        <v>201.5</v>
      </c>
      <c r="G1944">
        <v>201.2</v>
      </c>
      <c r="H1944">
        <v>212.2</v>
      </c>
      <c r="I1944" s="1" t="s">
        <v>1528</v>
      </c>
      <c r="J1944" s="1" t="s">
        <v>1336</v>
      </c>
      <c r="K1944" s="11" t="s">
        <v>25</v>
      </c>
      <c r="L1944">
        <v>-0.41</v>
      </c>
      <c r="M1944" s="1" t="s">
        <v>23</v>
      </c>
      <c r="N1944" t="s">
        <v>230</v>
      </c>
      <c r="O1944" s="1" t="s">
        <v>25</v>
      </c>
      <c r="P1944" s="3" t="s">
        <v>25</v>
      </c>
      <c r="Q1944" s="37" t="s">
        <v>25</v>
      </c>
      <c r="R1944" s="3" t="s">
        <v>25</v>
      </c>
      <c r="S1944" s="13">
        <f t="shared" si="50"/>
        <v>-0.41</v>
      </c>
    </row>
    <row r="1945" spans="1:19">
      <c r="A1945" s="18" t="s">
        <v>2048</v>
      </c>
      <c r="B1945" s="1" t="s">
        <v>1344</v>
      </c>
      <c r="C1945" s="1" t="s">
        <v>2049</v>
      </c>
      <c r="D1945" s="1" t="s">
        <v>25</v>
      </c>
      <c r="E1945" s="1" t="s">
        <v>25</v>
      </c>
      <c r="F1945">
        <v>201.5</v>
      </c>
      <c r="G1945">
        <v>201.2</v>
      </c>
      <c r="H1945">
        <v>215</v>
      </c>
      <c r="I1945" s="1" t="s">
        <v>1528</v>
      </c>
      <c r="J1945" s="1" t="s">
        <v>1336</v>
      </c>
      <c r="K1945" s="11" t="s">
        <v>25</v>
      </c>
      <c r="L1945">
        <v>-0.87</v>
      </c>
      <c r="M1945" s="1" t="s">
        <v>23</v>
      </c>
      <c r="N1945" t="s">
        <v>230</v>
      </c>
      <c r="O1945" s="1" t="s">
        <v>25</v>
      </c>
      <c r="P1945" s="3" t="s">
        <v>25</v>
      </c>
      <c r="Q1945" s="37" t="s">
        <v>25</v>
      </c>
      <c r="R1945" s="3" t="s">
        <v>25</v>
      </c>
      <c r="S1945" s="13">
        <f t="shared" si="50"/>
        <v>-0.87</v>
      </c>
    </row>
    <row r="1946" spans="1:19">
      <c r="A1946" s="18" t="s">
        <v>2048</v>
      </c>
      <c r="B1946" s="1" t="s">
        <v>1345</v>
      </c>
      <c r="C1946" s="1" t="s">
        <v>2049</v>
      </c>
      <c r="D1946" s="1" t="s">
        <v>25</v>
      </c>
      <c r="E1946" s="1" t="s">
        <v>25</v>
      </c>
      <c r="F1946">
        <v>201.5</v>
      </c>
      <c r="G1946">
        <v>201.2</v>
      </c>
      <c r="H1946">
        <v>218.2</v>
      </c>
      <c r="I1946" s="1" t="s">
        <v>1528</v>
      </c>
      <c r="J1946" s="1" t="s">
        <v>1336</v>
      </c>
      <c r="K1946" s="11" t="s">
        <v>25</v>
      </c>
      <c r="L1946">
        <v>-0.42</v>
      </c>
      <c r="M1946" s="1" t="s">
        <v>23</v>
      </c>
      <c r="N1946" t="s">
        <v>230</v>
      </c>
      <c r="O1946" s="1" t="s">
        <v>25</v>
      </c>
      <c r="P1946" s="3" t="s">
        <v>25</v>
      </c>
      <c r="Q1946" s="37" t="s">
        <v>25</v>
      </c>
      <c r="R1946" s="3" t="s">
        <v>25</v>
      </c>
      <c r="S1946" s="13">
        <f t="shared" si="50"/>
        <v>-0.42</v>
      </c>
    </row>
    <row r="1947" spans="1:19">
      <c r="A1947" s="18" t="s">
        <v>2048</v>
      </c>
      <c r="B1947" s="1" t="s">
        <v>1346</v>
      </c>
      <c r="C1947" s="1" t="s">
        <v>2049</v>
      </c>
      <c r="D1947" s="1" t="s">
        <v>25</v>
      </c>
      <c r="E1947" s="1" t="s">
        <v>25</v>
      </c>
      <c r="F1947">
        <v>201.5</v>
      </c>
      <c r="G1947">
        <v>201.2</v>
      </c>
      <c r="H1947">
        <v>221.2</v>
      </c>
      <c r="I1947" s="1" t="s">
        <v>1528</v>
      </c>
      <c r="J1947" s="1" t="s">
        <v>1336</v>
      </c>
      <c r="K1947" s="11" t="s">
        <v>25</v>
      </c>
      <c r="L1947">
        <v>-0.59</v>
      </c>
      <c r="M1947" s="1" t="s">
        <v>23</v>
      </c>
      <c r="N1947" t="s">
        <v>230</v>
      </c>
      <c r="O1947" s="1" t="s">
        <v>25</v>
      </c>
      <c r="P1947" s="3" t="s">
        <v>25</v>
      </c>
      <c r="Q1947" s="37" t="s">
        <v>25</v>
      </c>
      <c r="R1947" s="3" t="s">
        <v>25</v>
      </c>
      <c r="S1947" s="13">
        <f t="shared" si="50"/>
        <v>-0.59</v>
      </c>
    </row>
    <row r="1948" spans="1:19">
      <c r="A1948" s="18" t="s">
        <v>2048</v>
      </c>
      <c r="B1948" s="1" t="s">
        <v>1018</v>
      </c>
      <c r="C1948" s="1" t="s">
        <v>2049</v>
      </c>
      <c r="D1948" s="1" t="s">
        <v>25</v>
      </c>
      <c r="E1948" s="1" t="s">
        <v>25</v>
      </c>
      <c r="F1948">
        <v>201.5</v>
      </c>
      <c r="G1948">
        <v>201.2</v>
      </c>
      <c r="H1948">
        <v>223.7</v>
      </c>
      <c r="I1948" s="1" t="s">
        <v>1528</v>
      </c>
      <c r="J1948" s="1" t="s">
        <v>1336</v>
      </c>
      <c r="K1948" s="11" t="s">
        <v>25</v>
      </c>
      <c r="L1948">
        <v>-0.99</v>
      </c>
      <c r="M1948" s="1" t="s">
        <v>23</v>
      </c>
      <c r="N1948" t="s">
        <v>230</v>
      </c>
      <c r="O1948" s="1" t="s">
        <v>25</v>
      </c>
      <c r="P1948" s="3" t="s">
        <v>25</v>
      </c>
      <c r="Q1948" s="37" t="s">
        <v>25</v>
      </c>
      <c r="R1948" s="3" t="s">
        <v>25</v>
      </c>
      <c r="S1948" s="13">
        <f t="shared" si="50"/>
        <v>-0.99</v>
      </c>
    </row>
    <row r="1949" spans="1:19">
      <c r="A1949" s="18" t="s">
        <v>2048</v>
      </c>
      <c r="B1949" s="1" t="s">
        <v>1347</v>
      </c>
      <c r="C1949" s="1" t="s">
        <v>2049</v>
      </c>
      <c r="D1949" s="1" t="s">
        <v>25</v>
      </c>
      <c r="E1949" s="1" t="s">
        <v>25</v>
      </c>
      <c r="F1949">
        <v>201.5</v>
      </c>
      <c r="G1949">
        <v>201.2</v>
      </c>
      <c r="H1949">
        <v>230.2</v>
      </c>
      <c r="I1949" s="1" t="s">
        <v>1528</v>
      </c>
      <c r="J1949" s="1" t="s">
        <v>1336</v>
      </c>
      <c r="K1949" s="11" t="s">
        <v>25</v>
      </c>
      <c r="L1949">
        <v>-0.83</v>
      </c>
      <c r="M1949" s="1" t="s">
        <v>23</v>
      </c>
      <c r="N1949" t="s">
        <v>230</v>
      </c>
      <c r="O1949" s="1" t="s">
        <v>25</v>
      </c>
      <c r="P1949" s="3" t="s">
        <v>25</v>
      </c>
      <c r="Q1949" s="37" t="s">
        <v>25</v>
      </c>
      <c r="R1949" s="3" t="s">
        <v>25</v>
      </c>
      <c r="S1949" s="13">
        <f t="shared" si="50"/>
        <v>-0.83</v>
      </c>
    </row>
    <row r="1950" spans="1:19">
      <c r="A1950" s="18" t="s">
        <v>2048</v>
      </c>
      <c r="B1950" s="1" t="s">
        <v>1348</v>
      </c>
      <c r="C1950" s="1" t="s">
        <v>2049</v>
      </c>
      <c r="D1950" s="1" t="s">
        <v>25</v>
      </c>
      <c r="E1950" s="1" t="s">
        <v>25</v>
      </c>
      <c r="F1950">
        <v>201.5</v>
      </c>
      <c r="G1950">
        <v>201.2</v>
      </c>
      <c r="H1950">
        <v>234.6</v>
      </c>
      <c r="I1950" s="1" t="s">
        <v>1528</v>
      </c>
      <c r="J1950" s="1" t="s">
        <v>1336</v>
      </c>
      <c r="K1950" s="11" t="s">
        <v>25</v>
      </c>
      <c r="L1950">
        <v>-0.6</v>
      </c>
      <c r="M1950" s="1" t="s">
        <v>23</v>
      </c>
      <c r="N1950" t="s">
        <v>230</v>
      </c>
      <c r="O1950" s="1" t="s">
        <v>25</v>
      </c>
      <c r="P1950" s="3" t="s">
        <v>25</v>
      </c>
      <c r="Q1950" s="37" t="s">
        <v>25</v>
      </c>
      <c r="R1950" s="3" t="s">
        <v>25</v>
      </c>
      <c r="S1950" s="13">
        <f t="shared" si="50"/>
        <v>-0.6</v>
      </c>
    </row>
    <row r="1951" spans="1:19">
      <c r="A1951" s="18" t="s">
        <v>2048</v>
      </c>
      <c r="B1951" s="1" t="s">
        <v>1349</v>
      </c>
      <c r="C1951" s="1" t="s">
        <v>2049</v>
      </c>
      <c r="D1951" s="1" t="s">
        <v>25</v>
      </c>
      <c r="E1951" s="1" t="s">
        <v>25</v>
      </c>
      <c r="F1951">
        <v>201.5</v>
      </c>
      <c r="G1951">
        <v>201.2</v>
      </c>
      <c r="H1951">
        <v>241.1</v>
      </c>
      <c r="I1951" s="1" t="s">
        <v>1528</v>
      </c>
      <c r="J1951" s="1" t="s">
        <v>1336</v>
      </c>
      <c r="K1951" s="11" t="s">
        <v>25</v>
      </c>
      <c r="L1951">
        <v>-0.52</v>
      </c>
      <c r="M1951" s="1" t="s">
        <v>23</v>
      </c>
      <c r="N1951" t="s">
        <v>230</v>
      </c>
      <c r="O1951" s="1" t="s">
        <v>25</v>
      </c>
      <c r="P1951" s="3" t="s">
        <v>25</v>
      </c>
      <c r="Q1951" s="37" t="s">
        <v>25</v>
      </c>
      <c r="R1951" s="3" t="s">
        <v>25</v>
      </c>
      <c r="S1951" s="13">
        <f t="shared" si="50"/>
        <v>-0.52</v>
      </c>
    </row>
    <row r="1952" spans="1:19">
      <c r="A1952" s="18" t="s">
        <v>2048</v>
      </c>
      <c r="B1952" s="1" t="s">
        <v>1019</v>
      </c>
      <c r="C1952" s="1" t="s">
        <v>2049</v>
      </c>
      <c r="D1952" s="1" t="s">
        <v>25</v>
      </c>
      <c r="E1952" s="1" t="s">
        <v>25</v>
      </c>
      <c r="F1952">
        <v>201.5</v>
      </c>
      <c r="G1952">
        <v>201.2</v>
      </c>
      <c r="H1952">
        <v>245</v>
      </c>
      <c r="I1952" s="1" t="s">
        <v>1528</v>
      </c>
      <c r="J1952" s="1" t="s">
        <v>1336</v>
      </c>
      <c r="K1952" s="11" t="s">
        <v>25</v>
      </c>
      <c r="L1952">
        <v>-0.72</v>
      </c>
      <c r="M1952" s="1" t="s">
        <v>23</v>
      </c>
      <c r="N1952" t="s">
        <v>230</v>
      </c>
      <c r="O1952" s="1" t="s">
        <v>25</v>
      </c>
      <c r="P1952" s="3" t="s">
        <v>25</v>
      </c>
      <c r="Q1952" s="37" t="s">
        <v>25</v>
      </c>
      <c r="R1952" s="3" t="s">
        <v>25</v>
      </c>
      <c r="S1952" s="13">
        <f t="shared" si="50"/>
        <v>-0.72</v>
      </c>
    </row>
    <row r="1953" spans="1:19">
      <c r="A1953" s="18" t="s">
        <v>2048</v>
      </c>
      <c r="B1953" s="1" t="s">
        <v>1020</v>
      </c>
      <c r="C1953" s="1" t="s">
        <v>2049</v>
      </c>
      <c r="D1953" s="1" t="s">
        <v>25</v>
      </c>
      <c r="E1953" s="1" t="s">
        <v>25</v>
      </c>
      <c r="F1953">
        <v>201.5</v>
      </c>
      <c r="G1953">
        <v>201.2</v>
      </c>
      <c r="H1953">
        <v>251.8</v>
      </c>
      <c r="I1953" s="1" t="s">
        <v>1528</v>
      </c>
      <c r="J1953" s="1" t="s">
        <v>1336</v>
      </c>
      <c r="K1953" s="11" t="s">
        <v>25</v>
      </c>
      <c r="L1953">
        <v>-0.64</v>
      </c>
      <c r="M1953" s="1" t="s">
        <v>23</v>
      </c>
      <c r="N1953" t="s">
        <v>230</v>
      </c>
      <c r="O1953" s="1" t="s">
        <v>25</v>
      </c>
      <c r="P1953" s="3" t="s">
        <v>25</v>
      </c>
      <c r="Q1953" s="37" t="s">
        <v>25</v>
      </c>
      <c r="R1953" s="3" t="s">
        <v>25</v>
      </c>
      <c r="S1953" s="13">
        <f t="shared" si="50"/>
        <v>-0.64</v>
      </c>
    </row>
    <row r="1954" spans="1:19">
      <c r="A1954" s="18" t="s">
        <v>2048</v>
      </c>
      <c r="B1954" s="1" t="s">
        <v>1350</v>
      </c>
      <c r="C1954" s="1" t="s">
        <v>2049</v>
      </c>
      <c r="D1954" s="1" t="s">
        <v>25</v>
      </c>
      <c r="E1954" s="1" t="s">
        <v>25</v>
      </c>
      <c r="F1954">
        <v>201.5</v>
      </c>
      <c r="G1954">
        <v>201.2</v>
      </c>
      <c r="H1954">
        <v>263.8</v>
      </c>
      <c r="I1954" s="1" t="s">
        <v>1528</v>
      </c>
      <c r="J1954" s="1" t="s">
        <v>1336</v>
      </c>
      <c r="K1954" s="11" t="s">
        <v>25</v>
      </c>
      <c r="L1954">
        <v>-0.66</v>
      </c>
      <c r="M1954" s="1" t="s">
        <v>23</v>
      </c>
      <c r="N1954" t="s">
        <v>230</v>
      </c>
      <c r="O1954" s="1" t="s">
        <v>25</v>
      </c>
      <c r="P1954" s="3" t="s">
        <v>25</v>
      </c>
      <c r="Q1954" s="37" t="s">
        <v>25</v>
      </c>
      <c r="R1954" s="3" t="s">
        <v>25</v>
      </c>
      <c r="S1954" s="13">
        <f t="shared" si="50"/>
        <v>-0.66</v>
      </c>
    </row>
    <row r="1955" spans="1:19">
      <c r="A1955" s="18" t="s">
        <v>2048</v>
      </c>
      <c r="B1955" s="1" t="s">
        <v>1351</v>
      </c>
      <c r="C1955" s="1" t="s">
        <v>2049</v>
      </c>
      <c r="D1955" s="1" t="s">
        <v>25</v>
      </c>
      <c r="E1955" s="1" t="s">
        <v>25</v>
      </c>
      <c r="F1955">
        <v>201.5</v>
      </c>
      <c r="G1955">
        <v>201.2</v>
      </c>
      <c r="H1955">
        <v>271.2</v>
      </c>
      <c r="I1955" s="1" t="s">
        <v>1528</v>
      </c>
      <c r="J1955" s="1" t="s">
        <v>1336</v>
      </c>
      <c r="K1955" s="11" t="s">
        <v>25</v>
      </c>
      <c r="L1955">
        <v>-0.57999999999999996</v>
      </c>
      <c r="M1955" s="1" t="s">
        <v>23</v>
      </c>
      <c r="N1955" t="s">
        <v>230</v>
      </c>
      <c r="O1955" s="1" t="s">
        <v>25</v>
      </c>
      <c r="P1955" s="3" t="s">
        <v>25</v>
      </c>
      <c r="Q1955" s="37" t="s">
        <v>25</v>
      </c>
      <c r="R1955" s="3" t="s">
        <v>25</v>
      </c>
      <c r="S1955" s="13">
        <f t="shared" si="50"/>
        <v>-0.57999999999999996</v>
      </c>
    </row>
    <row r="1956" spans="1:19">
      <c r="A1956" s="18" t="s">
        <v>2048</v>
      </c>
      <c r="B1956" s="1" t="s">
        <v>627</v>
      </c>
      <c r="C1956" s="1" t="s">
        <v>6386</v>
      </c>
      <c r="D1956" s="1" t="s">
        <v>6387</v>
      </c>
      <c r="E1956" s="1" t="s">
        <v>25</v>
      </c>
      <c r="F1956">
        <v>199.3</v>
      </c>
      <c r="G1956">
        <v>208.5</v>
      </c>
      <c r="H1956">
        <v>20</v>
      </c>
      <c r="I1956" s="1" t="s">
        <v>1528</v>
      </c>
      <c r="J1956" s="1" t="s">
        <v>1336</v>
      </c>
      <c r="K1956" s="11" t="s">
        <v>25</v>
      </c>
      <c r="L1956">
        <v>-1.06</v>
      </c>
      <c r="M1956" s="1" t="s">
        <v>23</v>
      </c>
      <c r="N1956" t="s">
        <v>230</v>
      </c>
      <c r="O1956" s="1" t="s">
        <v>25</v>
      </c>
      <c r="P1956" s="3" t="s">
        <v>25</v>
      </c>
      <c r="Q1956" s="37" t="s">
        <v>25</v>
      </c>
      <c r="R1956" s="3" t="s">
        <v>25</v>
      </c>
      <c r="S1956" s="13">
        <f t="shared" si="50"/>
        <v>-1.06</v>
      </c>
    </row>
    <row r="1957" spans="1:19">
      <c r="A1957" s="18" t="s">
        <v>2048</v>
      </c>
      <c r="B1957" s="1" t="s">
        <v>631</v>
      </c>
      <c r="C1957" s="1" t="s">
        <v>6386</v>
      </c>
      <c r="D1957" s="1" t="s">
        <v>6387</v>
      </c>
      <c r="E1957" s="1" t="s">
        <v>25</v>
      </c>
      <c r="F1957">
        <v>199.3</v>
      </c>
      <c r="G1957">
        <v>208.5</v>
      </c>
      <c r="H1957">
        <v>48</v>
      </c>
      <c r="I1957" s="1" t="s">
        <v>1528</v>
      </c>
      <c r="J1957" s="1" t="s">
        <v>1336</v>
      </c>
      <c r="K1957" s="11" t="s">
        <v>25</v>
      </c>
      <c r="L1957">
        <v>-1.35</v>
      </c>
      <c r="M1957" s="1" t="s">
        <v>23</v>
      </c>
      <c r="N1957" t="s">
        <v>230</v>
      </c>
      <c r="O1957" s="1" t="s">
        <v>25</v>
      </c>
      <c r="P1957" s="3" t="s">
        <v>25</v>
      </c>
      <c r="Q1957" s="37" t="s">
        <v>25</v>
      </c>
      <c r="R1957" s="3" t="s">
        <v>25</v>
      </c>
      <c r="S1957" s="13">
        <f t="shared" si="50"/>
        <v>-1.35</v>
      </c>
    </row>
    <row r="1958" spans="1:19">
      <c r="A1958" s="18" t="s">
        <v>2048</v>
      </c>
      <c r="B1958" s="1" t="s">
        <v>632</v>
      </c>
      <c r="C1958" s="1" t="s">
        <v>6386</v>
      </c>
      <c r="D1958" s="1" t="s">
        <v>6387</v>
      </c>
      <c r="E1958" s="1" t="s">
        <v>25</v>
      </c>
      <c r="F1958">
        <v>199.3</v>
      </c>
      <c r="G1958">
        <v>208.5</v>
      </c>
      <c r="H1958">
        <v>57</v>
      </c>
      <c r="I1958" s="1" t="s">
        <v>1528</v>
      </c>
      <c r="J1958" s="1" t="s">
        <v>1336</v>
      </c>
      <c r="K1958" s="11" t="s">
        <v>25</v>
      </c>
      <c r="L1958">
        <v>-1.44</v>
      </c>
      <c r="M1958" s="1" t="s">
        <v>23</v>
      </c>
      <c r="N1958" t="s">
        <v>230</v>
      </c>
      <c r="O1958" s="1" t="s">
        <v>25</v>
      </c>
      <c r="P1958" s="3" t="s">
        <v>25</v>
      </c>
      <c r="Q1958" s="37" t="s">
        <v>25</v>
      </c>
      <c r="R1958" s="3" t="s">
        <v>25</v>
      </c>
      <c r="S1958" s="13">
        <f t="shared" ref="S1958:S2021" si="52">IF(NOT(N1958="SW"),L1958-1.88,L1958)</f>
        <v>-1.44</v>
      </c>
    </row>
    <row r="1959" spans="1:19">
      <c r="A1959" s="18" t="s">
        <v>2048</v>
      </c>
      <c r="B1959" s="1" t="s">
        <v>633</v>
      </c>
      <c r="C1959" s="1" t="s">
        <v>6386</v>
      </c>
      <c r="D1959" s="1" t="s">
        <v>6387</v>
      </c>
      <c r="E1959" s="1" t="s">
        <v>25</v>
      </c>
      <c r="F1959">
        <v>199.3</v>
      </c>
      <c r="G1959">
        <v>208.5</v>
      </c>
      <c r="H1959">
        <v>67.7</v>
      </c>
      <c r="I1959" s="1" t="s">
        <v>1528</v>
      </c>
      <c r="J1959" s="1" t="s">
        <v>1336</v>
      </c>
      <c r="K1959" s="11" t="s">
        <v>25</v>
      </c>
      <c r="L1959">
        <v>-1.65</v>
      </c>
      <c r="M1959" s="1" t="s">
        <v>23</v>
      </c>
      <c r="N1959" t="s">
        <v>230</v>
      </c>
      <c r="O1959" s="1" t="s">
        <v>25</v>
      </c>
      <c r="P1959" s="3" t="s">
        <v>25</v>
      </c>
      <c r="Q1959" s="37" t="s">
        <v>25</v>
      </c>
      <c r="R1959" s="3" t="s">
        <v>25</v>
      </c>
      <c r="S1959" s="13">
        <f t="shared" si="52"/>
        <v>-1.65</v>
      </c>
    </row>
    <row r="1960" spans="1:19">
      <c r="A1960" s="18" t="s">
        <v>2048</v>
      </c>
      <c r="B1960" s="1" t="s">
        <v>634</v>
      </c>
      <c r="C1960" s="1" t="s">
        <v>6386</v>
      </c>
      <c r="D1960" s="1" t="s">
        <v>6387</v>
      </c>
      <c r="E1960" s="1" t="s">
        <v>25</v>
      </c>
      <c r="F1960">
        <v>199.3</v>
      </c>
      <c r="G1960">
        <v>208.5</v>
      </c>
      <c r="H1960">
        <v>112</v>
      </c>
      <c r="I1960" s="1" t="s">
        <v>1528</v>
      </c>
      <c r="J1960" s="1" t="s">
        <v>1336</v>
      </c>
      <c r="K1960" s="11" t="s">
        <v>25</v>
      </c>
      <c r="L1960">
        <v>-1.59</v>
      </c>
      <c r="M1960" s="1" t="s">
        <v>23</v>
      </c>
      <c r="N1960" t="s">
        <v>230</v>
      </c>
      <c r="O1960" s="1" t="s">
        <v>25</v>
      </c>
      <c r="P1960" s="3" t="s">
        <v>25</v>
      </c>
      <c r="Q1960" s="37" t="s">
        <v>25</v>
      </c>
      <c r="R1960" s="3" t="s">
        <v>25</v>
      </c>
      <c r="S1960" s="13">
        <f t="shared" si="52"/>
        <v>-1.59</v>
      </c>
    </row>
    <row r="1961" spans="1:19">
      <c r="A1961" s="18" t="s">
        <v>2048</v>
      </c>
      <c r="B1961" s="1" t="s">
        <v>637</v>
      </c>
      <c r="C1961" s="1" t="s">
        <v>6386</v>
      </c>
      <c r="D1961" s="1" t="s">
        <v>6387</v>
      </c>
      <c r="E1961" s="1" t="s">
        <v>25</v>
      </c>
      <c r="F1961">
        <v>199.3</v>
      </c>
      <c r="G1961">
        <v>208.5</v>
      </c>
      <c r="H1961">
        <v>122</v>
      </c>
      <c r="I1961" s="1" t="s">
        <v>1528</v>
      </c>
      <c r="J1961" s="1" t="s">
        <v>1336</v>
      </c>
      <c r="K1961" s="11" t="s">
        <v>25</v>
      </c>
      <c r="L1961">
        <v>-1.56</v>
      </c>
      <c r="M1961" s="1" t="s">
        <v>23</v>
      </c>
      <c r="N1961" t="s">
        <v>230</v>
      </c>
      <c r="O1961" s="1" t="s">
        <v>25</v>
      </c>
      <c r="P1961" s="3" t="s">
        <v>25</v>
      </c>
      <c r="Q1961" s="37" t="s">
        <v>25</v>
      </c>
      <c r="R1961" s="3" t="s">
        <v>25</v>
      </c>
      <c r="S1961" s="13">
        <f t="shared" si="52"/>
        <v>-1.56</v>
      </c>
    </row>
    <row r="1962" spans="1:19">
      <c r="A1962" s="18" t="s">
        <v>2048</v>
      </c>
      <c r="B1962" s="1" t="s">
        <v>638</v>
      </c>
      <c r="C1962" s="1" t="s">
        <v>6386</v>
      </c>
      <c r="D1962" s="1" t="s">
        <v>6387</v>
      </c>
      <c r="E1962" s="1" t="s">
        <v>25</v>
      </c>
      <c r="F1962">
        <v>199.3</v>
      </c>
      <c r="G1962">
        <v>208.5</v>
      </c>
      <c r="H1962">
        <v>135</v>
      </c>
      <c r="I1962" s="1" t="s">
        <v>1528</v>
      </c>
      <c r="J1962" s="1" t="s">
        <v>1336</v>
      </c>
      <c r="K1962" s="11" t="s">
        <v>25</v>
      </c>
      <c r="L1962">
        <v>-1.72</v>
      </c>
      <c r="M1962" s="1" t="s">
        <v>23</v>
      </c>
      <c r="N1962" t="s">
        <v>230</v>
      </c>
      <c r="O1962" s="1" t="s">
        <v>25</v>
      </c>
      <c r="P1962" s="3" t="s">
        <v>25</v>
      </c>
      <c r="Q1962" s="37" t="s">
        <v>25</v>
      </c>
      <c r="R1962" s="3" t="s">
        <v>25</v>
      </c>
      <c r="S1962" s="13">
        <f t="shared" si="52"/>
        <v>-1.72</v>
      </c>
    </row>
    <row r="1963" spans="1:19">
      <c r="A1963" s="18" t="s">
        <v>2048</v>
      </c>
      <c r="B1963" s="1" t="s">
        <v>641</v>
      </c>
      <c r="C1963" s="1" t="s">
        <v>6386</v>
      </c>
      <c r="D1963" s="1" t="s">
        <v>6387</v>
      </c>
      <c r="E1963" s="1" t="s">
        <v>25</v>
      </c>
      <c r="F1963">
        <v>199.3</v>
      </c>
      <c r="G1963">
        <v>208.5</v>
      </c>
      <c r="H1963">
        <v>144</v>
      </c>
      <c r="I1963" s="1" t="s">
        <v>1528</v>
      </c>
      <c r="J1963" s="1" t="s">
        <v>1336</v>
      </c>
      <c r="K1963" s="11" t="s">
        <v>25</v>
      </c>
      <c r="L1963">
        <v>-1.7</v>
      </c>
      <c r="M1963" s="1" t="s">
        <v>23</v>
      </c>
      <c r="N1963" t="s">
        <v>230</v>
      </c>
      <c r="O1963" s="1" t="s">
        <v>25</v>
      </c>
      <c r="P1963" s="3" t="s">
        <v>25</v>
      </c>
      <c r="Q1963" s="37" t="s">
        <v>25</v>
      </c>
      <c r="R1963" s="3" t="s">
        <v>25</v>
      </c>
      <c r="S1963" s="13">
        <f t="shared" si="52"/>
        <v>-1.7</v>
      </c>
    </row>
    <row r="1964" spans="1:19">
      <c r="A1964" s="18" t="s">
        <v>2048</v>
      </c>
      <c r="B1964" s="1" t="s">
        <v>642</v>
      </c>
      <c r="C1964" s="1" t="s">
        <v>6386</v>
      </c>
      <c r="D1964" s="1" t="s">
        <v>6387</v>
      </c>
      <c r="E1964" s="1" t="s">
        <v>25</v>
      </c>
      <c r="F1964">
        <v>199.3</v>
      </c>
      <c r="G1964">
        <v>208.5</v>
      </c>
      <c r="H1964">
        <v>163</v>
      </c>
      <c r="I1964" s="1" t="s">
        <v>1528</v>
      </c>
      <c r="J1964" s="1" t="s">
        <v>1336</v>
      </c>
      <c r="K1964" s="11" t="s">
        <v>25</v>
      </c>
      <c r="L1964">
        <v>-1.0900000000000001</v>
      </c>
      <c r="M1964" s="1" t="s">
        <v>23</v>
      </c>
      <c r="N1964" t="s">
        <v>230</v>
      </c>
      <c r="O1964" s="1" t="s">
        <v>25</v>
      </c>
      <c r="P1964" s="3" t="s">
        <v>25</v>
      </c>
      <c r="Q1964" s="37" t="s">
        <v>25</v>
      </c>
      <c r="R1964" s="3" t="s">
        <v>25</v>
      </c>
      <c r="S1964" s="13">
        <f t="shared" si="52"/>
        <v>-1.0900000000000001</v>
      </c>
    </row>
    <row r="1965" spans="1:19">
      <c r="A1965" s="18" t="s">
        <v>2048</v>
      </c>
      <c r="B1965" s="1" t="s">
        <v>643</v>
      </c>
      <c r="C1965" s="1" t="s">
        <v>6386</v>
      </c>
      <c r="D1965" s="1" t="s">
        <v>6387</v>
      </c>
      <c r="E1965" s="1" t="s">
        <v>25</v>
      </c>
      <c r="F1965">
        <v>199.3</v>
      </c>
      <c r="G1965">
        <v>208.5</v>
      </c>
      <c r="H1965">
        <v>172</v>
      </c>
      <c r="I1965" s="1" t="s">
        <v>1528</v>
      </c>
      <c r="J1965" s="1" t="s">
        <v>1336</v>
      </c>
      <c r="K1965" s="11" t="s">
        <v>25</v>
      </c>
      <c r="L1965">
        <v>-1.2</v>
      </c>
      <c r="M1965" s="1" t="s">
        <v>23</v>
      </c>
      <c r="N1965" t="s">
        <v>230</v>
      </c>
      <c r="O1965" s="1" t="s">
        <v>25</v>
      </c>
      <c r="P1965" s="3" t="s">
        <v>25</v>
      </c>
      <c r="Q1965" s="37" t="s">
        <v>25</v>
      </c>
      <c r="R1965" s="3" t="s">
        <v>25</v>
      </c>
      <c r="S1965" s="13">
        <f t="shared" si="52"/>
        <v>-1.2</v>
      </c>
    </row>
    <row r="1966" spans="1:19">
      <c r="A1966" s="18" t="s">
        <v>2048</v>
      </c>
      <c r="B1966" s="1" t="s">
        <v>644</v>
      </c>
      <c r="C1966" s="1" t="s">
        <v>6386</v>
      </c>
      <c r="D1966" s="1" t="s">
        <v>6387</v>
      </c>
      <c r="E1966" s="1" t="s">
        <v>25</v>
      </c>
      <c r="F1966">
        <v>199.3</v>
      </c>
      <c r="G1966">
        <v>208.5</v>
      </c>
      <c r="H1966">
        <v>184</v>
      </c>
      <c r="I1966" s="1" t="s">
        <v>1528</v>
      </c>
      <c r="J1966" s="1" t="s">
        <v>1336</v>
      </c>
      <c r="K1966" s="11" t="s">
        <v>25</v>
      </c>
      <c r="L1966">
        <v>-1.61</v>
      </c>
      <c r="M1966" s="1" t="s">
        <v>23</v>
      </c>
      <c r="N1966" t="s">
        <v>230</v>
      </c>
      <c r="O1966" s="1" t="s">
        <v>25</v>
      </c>
      <c r="P1966" s="3" t="s">
        <v>25</v>
      </c>
      <c r="Q1966" s="37" t="s">
        <v>25</v>
      </c>
      <c r="R1966" s="3" t="s">
        <v>25</v>
      </c>
      <c r="S1966" s="13">
        <f t="shared" si="52"/>
        <v>-1.61</v>
      </c>
    </row>
    <row r="1967" spans="1:19">
      <c r="A1967" s="18" t="s">
        <v>2048</v>
      </c>
      <c r="B1967" s="1" t="s">
        <v>645</v>
      </c>
      <c r="C1967" s="1" t="s">
        <v>6386</v>
      </c>
      <c r="D1967" s="1" t="s">
        <v>6387</v>
      </c>
      <c r="E1967" s="1" t="s">
        <v>25</v>
      </c>
      <c r="F1967">
        <v>199.3</v>
      </c>
      <c r="G1967">
        <v>208.5</v>
      </c>
      <c r="H1967">
        <v>200</v>
      </c>
      <c r="I1967" s="1" t="s">
        <v>1528</v>
      </c>
      <c r="J1967" s="1" t="s">
        <v>1336</v>
      </c>
      <c r="K1967" s="11" t="s">
        <v>25</v>
      </c>
      <c r="L1967">
        <v>-1.62</v>
      </c>
      <c r="M1967" s="1" t="s">
        <v>23</v>
      </c>
      <c r="N1967" t="s">
        <v>230</v>
      </c>
      <c r="O1967" s="1" t="s">
        <v>25</v>
      </c>
      <c r="P1967" s="3" t="s">
        <v>25</v>
      </c>
      <c r="Q1967" s="37" t="s">
        <v>25</v>
      </c>
      <c r="R1967" s="3" t="s">
        <v>25</v>
      </c>
      <c r="S1967" s="13">
        <f t="shared" si="52"/>
        <v>-1.62</v>
      </c>
    </row>
    <row r="1968" spans="1:19">
      <c r="A1968" s="18" t="s">
        <v>2048</v>
      </c>
      <c r="B1968" s="1" t="s">
        <v>648</v>
      </c>
      <c r="C1968" s="1" t="s">
        <v>6386</v>
      </c>
      <c r="D1968" s="1" t="s">
        <v>6387</v>
      </c>
      <c r="E1968" s="1" t="s">
        <v>25</v>
      </c>
      <c r="F1968">
        <v>199.3</v>
      </c>
      <c r="G1968">
        <v>208.5</v>
      </c>
      <c r="H1968">
        <v>212</v>
      </c>
      <c r="I1968" s="1" t="s">
        <v>1528</v>
      </c>
      <c r="J1968" s="1" t="s">
        <v>1336</v>
      </c>
      <c r="K1968" s="11" t="s">
        <v>25</v>
      </c>
      <c r="L1968">
        <v>-1.28</v>
      </c>
      <c r="M1968" s="1" t="s">
        <v>23</v>
      </c>
      <c r="N1968" t="s">
        <v>230</v>
      </c>
      <c r="O1968" s="1" t="s">
        <v>25</v>
      </c>
      <c r="P1968" s="3" t="s">
        <v>25</v>
      </c>
      <c r="Q1968" s="37" t="s">
        <v>25</v>
      </c>
      <c r="R1968" s="3" t="s">
        <v>25</v>
      </c>
      <c r="S1968" s="13">
        <f t="shared" si="52"/>
        <v>-1.28</v>
      </c>
    </row>
    <row r="1969" spans="1:19">
      <c r="A1969" s="18" t="s">
        <v>2048</v>
      </c>
      <c r="B1969" s="1" t="s">
        <v>649</v>
      </c>
      <c r="C1969" s="1" t="s">
        <v>6386</v>
      </c>
      <c r="D1969" s="1" t="s">
        <v>6387</v>
      </c>
      <c r="E1969" s="1" t="s">
        <v>25</v>
      </c>
      <c r="F1969">
        <v>199.3</v>
      </c>
      <c r="G1969">
        <v>208.5</v>
      </c>
      <c r="H1969">
        <v>227</v>
      </c>
      <c r="I1969" s="1" t="s">
        <v>1528</v>
      </c>
      <c r="J1969" s="1" t="s">
        <v>1336</v>
      </c>
      <c r="K1969" s="11" t="s">
        <v>25</v>
      </c>
      <c r="L1969">
        <v>-1.46</v>
      </c>
      <c r="M1969" s="1" t="s">
        <v>23</v>
      </c>
      <c r="N1969" t="s">
        <v>230</v>
      </c>
      <c r="O1969" s="1" t="s">
        <v>25</v>
      </c>
      <c r="P1969" s="3" t="s">
        <v>25</v>
      </c>
      <c r="Q1969" s="37" t="s">
        <v>25</v>
      </c>
      <c r="R1969" s="3" t="s">
        <v>25</v>
      </c>
      <c r="S1969" s="13">
        <f t="shared" si="52"/>
        <v>-1.46</v>
      </c>
    </row>
    <row r="1970" spans="1:19">
      <c r="A1970" s="18" t="s">
        <v>2048</v>
      </c>
      <c r="B1970" s="1" t="s">
        <v>650</v>
      </c>
      <c r="C1970" s="1" t="s">
        <v>6386</v>
      </c>
      <c r="D1970" s="1" t="s">
        <v>6387</v>
      </c>
      <c r="E1970" s="1" t="s">
        <v>25</v>
      </c>
      <c r="F1970">
        <v>199.3</v>
      </c>
      <c r="G1970">
        <v>208.5</v>
      </c>
      <c r="H1970">
        <v>245</v>
      </c>
      <c r="I1970" s="1" t="s">
        <v>1528</v>
      </c>
      <c r="J1970" s="1" t="s">
        <v>1336</v>
      </c>
      <c r="K1970" s="11" t="s">
        <v>25</v>
      </c>
      <c r="L1970">
        <v>-1.61</v>
      </c>
      <c r="M1970" s="1" t="s">
        <v>23</v>
      </c>
      <c r="N1970" t="s">
        <v>230</v>
      </c>
      <c r="O1970" s="1" t="s">
        <v>25</v>
      </c>
      <c r="P1970" s="3" t="s">
        <v>25</v>
      </c>
      <c r="Q1970" s="37" t="s">
        <v>25</v>
      </c>
      <c r="R1970" s="3" t="s">
        <v>25</v>
      </c>
      <c r="S1970" s="13">
        <f t="shared" si="52"/>
        <v>-1.61</v>
      </c>
    </row>
    <row r="1971" spans="1:19">
      <c r="A1971" s="18" t="s">
        <v>2048</v>
      </c>
      <c r="B1971" s="1" t="s">
        <v>652</v>
      </c>
      <c r="C1971" s="1" t="s">
        <v>6386</v>
      </c>
      <c r="D1971" s="1" t="s">
        <v>6387</v>
      </c>
      <c r="E1971" s="1" t="s">
        <v>25</v>
      </c>
      <c r="F1971">
        <v>199.3</v>
      </c>
      <c r="G1971">
        <v>208.5</v>
      </c>
      <c r="H1971">
        <v>255</v>
      </c>
      <c r="I1971" s="1" t="s">
        <v>1528</v>
      </c>
      <c r="J1971" s="1" t="s">
        <v>1336</v>
      </c>
      <c r="K1971" s="11" t="s">
        <v>25</v>
      </c>
      <c r="L1971">
        <v>-1.1200000000000001</v>
      </c>
      <c r="M1971" s="1" t="s">
        <v>23</v>
      </c>
      <c r="N1971" t="s">
        <v>230</v>
      </c>
      <c r="O1971" s="1" t="s">
        <v>25</v>
      </c>
      <c r="P1971" s="3" t="s">
        <v>25</v>
      </c>
      <c r="Q1971" s="37" t="s">
        <v>25</v>
      </c>
      <c r="R1971" s="3" t="s">
        <v>25</v>
      </c>
      <c r="S1971" s="13">
        <f t="shared" si="52"/>
        <v>-1.1200000000000001</v>
      </c>
    </row>
    <row r="1972" spans="1:19">
      <c r="A1972" s="18" t="s">
        <v>2048</v>
      </c>
      <c r="B1972" s="1" t="s">
        <v>653</v>
      </c>
      <c r="C1972" s="1" t="s">
        <v>6386</v>
      </c>
      <c r="D1972" s="1" t="s">
        <v>6387</v>
      </c>
      <c r="E1972" s="1" t="s">
        <v>25</v>
      </c>
      <c r="F1972">
        <v>199.3</v>
      </c>
      <c r="G1972">
        <v>208.5</v>
      </c>
      <c r="H1972">
        <v>271</v>
      </c>
      <c r="I1972" s="1" t="s">
        <v>1528</v>
      </c>
      <c r="J1972" s="1" t="s">
        <v>1336</v>
      </c>
      <c r="K1972" s="11" t="s">
        <v>25</v>
      </c>
      <c r="L1972">
        <v>-0.98</v>
      </c>
      <c r="M1972" s="1" t="s">
        <v>23</v>
      </c>
      <c r="N1972" t="s">
        <v>230</v>
      </c>
      <c r="O1972" s="1" t="s">
        <v>25</v>
      </c>
      <c r="P1972" s="3" t="s">
        <v>25</v>
      </c>
      <c r="Q1972" s="37" t="s">
        <v>25</v>
      </c>
      <c r="R1972" s="3" t="s">
        <v>25</v>
      </c>
      <c r="S1972" s="13">
        <f t="shared" si="52"/>
        <v>-0.98</v>
      </c>
    </row>
    <row r="1973" spans="1:19">
      <c r="A1973" s="18" t="s">
        <v>2048</v>
      </c>
      <c r="B1973" s="1" t="s">
        <v>655</v>
      </c>
      <c r="C1973" s="1" t="s">
        <v>6386</v>
      </c>
      <c r="D1973" s="1" t="s">
        <v>6387</v>
      </c>
      <c r="E1973" s="1" t="s">
        <v>25</v>
      </c>
      <c r="F1973">
        <v>199.3</v>
      </c>
      <c r="G1973">
        <v>208.5</v>
      </c>
      <c r="H1973">
        <v>282</v>
      </c>
      <c r="I1973" s="1" t="s">
        <v>1528</v>
      </c>
      <c r="J1973" s="1" t="s">
        <v>1336</v>
      </c>
      <c r="K1973" s="11" t="s">
        <v>25</v>
      </c>
      <c r="L1973">
        <v>-1</v>
      </c>
      <c r="M1973" s="1" t="s">
        <v>23</v>
      </c>
      <c r="N1973" t="s">
        <v>230</v>
      </c>
      <c r="O1973" s="1" t="s">
        <v>25</v>
      </c>
      <c r="P1973" s="3" t="s">
        <v>25</v>
      </c>
      <c r="Q1973" s="37" t="s">
        <v>25</v>
      </c>
      <c r="R1973" s="3" t="s">
        <v>25</v>
      </c>
      <c r="S1973" s="13">
        <f t="shared" si="52"/>
        <v>-1</v>
      </c>
    </row>
    <row r="1974" spans="1:19">
      <c r="A1974" s="18" t="s">
        <v>2048</v>
      </c>
      <c r="B1974" s="1" t="s">
        <v>657</v>
      </c>
      <c r="C1974" s="1" t="s">
        <v>6386</v>
      </c>
      <c r="D1974" s="1" t="s">
        <v>6387</v>
      </c>
      <c r="E1974" s="1" t="s">
        <v>25</v>
      </c>
      <c r="F1974">
        <v>199.3</v>
      </c>
      <c r="G1974">
        <v>208.5</v>
      </c>
      <c r="H1974">
        <v>294</v>
      </c>
      <c r="I1974" s="1" t="s">
        <v>1528</v>
      </c>
      <c r="J1974" s="1" t="s">
        <v>1336</v>
      </c>
      <c r="K1974" s="11" t="s">
        <v>25</v>
      </c>
      <c r="L1974">
        <v>-1.01</v>
      </c>
      <c r="M1974" s="1" t="s">
        <v>23</v>
      </c>
      <c r="N1974" t="s">
        <v>230</v>
      </c>
      <c r="O1974" s="1" t="s">
        <v>25</v>
      </c>
      <c r="P1974" s="3" t="s">
        <v>25</v>
      </c>
      <c r="Q1974" s="37" t="s">
        <v>25</v>
      </c>
      <c r="R1974" s="3" t="s">
        <v>25</v>
      </c>
      <c r="S1974" s="13">
        <f t="shared" si="52"/>
        <v>-1.01</v>
      </c>
    </row>
    <row r="1975" spans="1:19">
      <c r="A1975" s="18" t="s">
        <v>2048</v>
      </c>
      <c r="B1975" s="1" t="s">
        <v>659</v>
      </c>
      <c r="C1975" s="1" t="s">
        <v>6386</v>
      </c>
      <c r="D1975" s="1" t="s">
        <v>6387</v>
      </c>
      <c r="E1975" s="1" t="s">
        <v>25</v>
      </c>
      <c r="F1975">
        <v>199.3</v>
      </c>
      <c r="G1975">
        <v>208.5</v>
      </c>
      <c r="H1975">
        <v>312</v>
      </c>
      <c r="I1975" s="1" t="s">
        <v>1528</v>
      </c>
      <c r="J1975" s="1" t="s">
        <v>1336</v>
      </c>
      <c r="K1975" s="11" t="s">
        <v>25</v>
      </c>
      <c r="L1975">
        <v>-1.06</v>
      </c>
      <c r="M1975" s="1" t="s">
        <v>23</v>
      </c>
      <c r="N1975" t="s">
        <v>230</v>
      </c>
      <c r="O1975" s="1" t="s">
        <v>25</v>
      </c>
      <c r="P1975" s="3" t="s">
        <v>25</v>
      </c>
      <c r="Q1975" s="37" t="s">
        <v>25</v>
      </c>
      <c r="R1975" s="3" t="s">
        <v>25</v>
      </c>
      <c r="S1975" s="13">
        <f t="shared" si="52"/>
        <v>-1.06</v>
      </c>
    </row>
    <row r="1976" spans="1:19">
      <c r="A1976" s="18" t="s">
        <v>2048</v>
      </c>
      <c r="B1976" s="1" t="s">
        <v>661</v>
      </c>
      <c r="C1976" s="1" t="s">
        <v>6386</v>
      </c>
      <c r="D1976" s="1" t="s">
        <v>6387</v>
      </c>
      <c r="E1976" s="1" t="s">
        <v>25</v>
      </c>
      <c r="F1976">
        <v>199.3</v>
      </c>
      <c r="G1976">
        <v>208.5</v>
      </c>
      <c r="H1976">
        <v>348</v>
      </c>
      <c r="I1976" s="1" t="s">
        <v>1528</v>
      </c>
      <c r="J1976" s="1" t="s">
        <v>1336</v>
      </c>
      <c r="K1976" s="11" t="s">
        <v>25</v>
      </c>
      <c r="L1976">
        <v>-1.21</v>
      </c>
      <c r="M1976" s="1" t="s">
        <v>23</v>
      </c>
      <c r="N1976" t="s">
        <v>230</v>
      </c>
      <c r="O1976" s="1" t="s">
        <v>25</v>
      </c>
      <c r="P1976" s="3" t="s">
        <v>25</v>
      </c>
      <c r="Q1976" s="37" t="s">
        <v>25</v>
      </c>
      <c r="R1976" s="3" t="s">
        <v>25</v>
      </c>
      <c r="S1976" s="13">
        <f t="shared" si="52"/>
        <v>-1.21</v>
      </c>
    </row>
    <row r="1977" spans="1:19">
      <c r="A1977" s="18" t="s">
        <v>2048</v>
      </c>
      <c r="B1977" s="1" t="s">
        <v>663</v>
      </c>
      <c r="C1977" s="1" t="s">
        <v>6386</v>
      </c>
      <c r="D1977" s="1" t="s">
        <v>6387</v>
      </c>
      <c r="E1977" s="1" t="s">
        <v>25</v>
      </c>
      <c r="F1977">
        <v>199.3</v>
      </c>
      <c r="G1977">
        <v>208.5</v>
      </c>
      <c r="H1977">
        <v>393</v>
      </c>
      <c r="I1977" s="1" t="s">
        <v>1528</v>
      </c>
      <c r="J1977" s="1" t="s">
        <v>1336</v>
      </c>
      <c r="K1977" s="11" t="s">
        <v>25</v>
      </c>
      <c r="L1977">
        <v>-1.03</v>
      </c>
      <c r="M1977" s="1" t="s">
        <v>23</v>
      </c>
      <c r="N1977" t="s">
        <v>230</v>
      </c>
      <c r="O1977" s="1" t="s">
        <v>25</v>
      </c>
      <c r="P1977" s="3" t="s">
        <v>25</v>
      </c>
      <c r="Q1977" s="37" t="s">
        <v>25</v>
      </c>
      <c r="R1977" s="3" t="s">
        <v>25</v>
      </c>
      <c r="S1977" s="13">
        <f t="shared" si="52"/>
        <v>-1.03</v>
      </c>
    </row>
    <row r="1978" spans="1:19">
      <c r="A1978" s="18" t="s">
        <v>2048</v>
      </c>
      <c r="B1978" s="1" t="s">
        <v>666</v>
      </c>
      <c r="C1978" s="1" t="s">
        <v>6386</v>
      </c>
      <c r="D1978" s="1" t="s">
        <v>6387</v>
      </c>
      <c r="E1978" s="1" t="s">
        <v>25</v>
      </c>
      <c r="F1978">
        <v>199.3</v>
      </c>
      <c r="G1978">
        <v>208.5</v>
      </c>
      <c r="H1978">
        <v>420</v>
      </c>
      <c r="I1978" s="1" t="s">
        <v>1528</v>
      </c>
      <c r="J1978" s="1" t="s">
        <v>1336</v>
      </c>
      <c r="K1978" s="11" t="s">
        <v>25</v>
      </c>
      <c r="L1978">
        <v>-1.05</v>
      </c>
      <c r="M1978" s="1" t="s">
        <v>23</v>
      </c>
      <c r="N1978" t="s">
        <v>230</v>
      </c>
      <c r="O1978" s="1" t="s">
        <v>25</v>
      </c>
      <c r="P1978" s="3" t="s">
        <v>25</v>
      </c>
      <c r="Q1978" s="37" t="s">
        <v>25</v>
      </c>
      <c r="R1978" s="3" t="s">
        <v>25</v>
      </c>
      <c r="S1978" s="13">
        <f t="shared" si="52"/>
        <v>-1.05</v>
      </c>
    </row>
    <row r="1979" spans="1:19" s="4" customFormat="1">
      <c r="B1979" s="5"/>
      <c r="C1979" s="5"/>
      <c r="D1979" s="5"/>
      <c r="E1979" s="5"/>
      <c r="I1979" s="5"/>
      <c r="J1979" s="5"/>
      <c r="M1979" s="5"/>
      <c r="O1979" s="5"/>
      <c r="P1979" s="6"/>
      <c r="Q1979" s="38"/>
      <c r="S1979" s="24"/>
    </row>
    <row r="1980" spans="1:19">
      <c r="A1980" s="18" t="s">
        <v>2080</v>
      </c>
      <c r="B1980" t="s">
        <v>2050</v>
      </c>
      <c r="C1980" s="1" t="s">
        <v>2082</v>
      </c>
      <c r="D1980" s="1" t="s">
        <v>2081</v>
      </c>
      <c r="E1980" s="1" t="s">
        <v>25</v>
      </c>
      <c r="F1980">
        <v>550</v>
      </c>
      <c r="G1980">
        <v>564</v>
      </c>
      <c r="H1980">
        <v>4</v>
      </c>
      <c r="I1980" s="1" t="s">
        <v>1490</v>
      </c>
      <c r="J1980" s="1" t="s">
        <v>1336</v>
      </c>
      <c r="K1980" s="11" t="s">
        <v>25</v>
      </c>
      <c r="L1980">
        <v>-1.25</v>
      </c>
      <c r="M1980" s="1" t="s">
        <v>23</v>
      </c>
      <c r="N1980" s="1" t="s">
        <v>230</v>
      </c>
      <c r="O1980" s="1">
        <v>590</v>
      </c>
      <c r="P1980" s="3" t="s">
        <v>28</v>
      </c>
      <c r="Q1980" s="37" t="s">
        <v>25</v>
      </c>
      <c r="R1980" s="3" t="s">
        <v>25</v>
      </c>
      <c r="S1980" s="13">
        <f t="shared" si="52"/>
        <v>-1.25</v>
      </c>
    </row>
    <row r="1981" spans="1:19">
      <c r="A1981" s="18" t="s">
        <v>2080</v>
      </c>
      <c r="B1981" t="s">
        <v>2051</v>
      </c>
      <c r="C1981" s="1" t="s">
        <v>2082</v>
      </c>
      <c r="D1981" s="1" t="s">
        <v>2081</v>
      </c>
      <c r="E1981" s="1" t="s">
        <v>25</v>
      </c>
      <c r="F1981">
        <v>550</v>
      </c>
      <c r="G1981">
        <v>564</v>
      </c>
      <c r="H1981">
        <v>18</v>
      </c>
      <c r="I1981" s="1" t="s">
        <v>1490</v>
      </c>
      <c r="J1981" s="1" t="s">
        <v>1336</v>
      </c>
      <c r="K1981" s="11" t="s">
        <v>25</v>
      </c>
      <c r="L1981">
        <v>-1.3</v>
      </c>
      <c r="M1981" s="1" t="s">
        <v>23</v>
      </c>
      <c r="N1981" s="1" t="s">
        <v>230</v>
      </c>
      <c r="O1981" s="1">
        <v>1617</v>
      </c>
      <c r="P1981" s="3" t="s">
        <v>28</v>
      </c>
      <c r="Q1981" s="37" t="s">
        <v>25</v>
      </c>
      <c r="R1981" s="3" t="s">
        <v>25</v>
      </c>
      <c r="S1981" s="13">
        <f t="shared" si="52"/>
        <v>-1.3</v>
      </c>
    </row>
    <row r="1982" spans="1:19">
      <c r="A1982" s="18" t="s">
        <v>2080</v>
      </c>
      <c r="B1982" t="s">
        <v>2052</v>
      </c>
      <c r="C1982" s="1" t="s">
        <v>2082</v>
      </c>
      <c r="D1982" s="1" t="s">
        <v>2081</v>
      </c>
      <c r="E1982" s="1" t="s">
        <v>25</v>
      </c>
      <c r="F1982">
        <v>550</v>
      </c>
      <c r="G1982">
        <v>564</v>
      </c>
      <c r="H1982">
        <v>28</v>
      </c>
      <c r="I1982" s="1" t="s">
        <v>1490</v>
      </c>
      <c r="J1982" s="1" t="s">
        <v>1336</v>
      </c>
      <c r="K1982" s="11" t="s">
        <v>25</v>
      </c>
      <c r="L1982">
        <v>-1.27</v>
      </c>
      <c r="M1982" s="1" t="s">
        <v>23</v>
      </c>
      <c r="N1982" s="1" t="s">
        <v>230</v>
      </c>
      <c r="O1982" s="1">
        <v>1794</v>
      </c>
      <c r="P1982" s="3" t="s">
        <v>28</v>
      </c>
      <c r="Q1982" s="37" t="s">
        <v>25</v>
      </c>
      <c r="R1982" s="3" t="s">
        <v>25</v>
      </c>
      <c r="S1982" s="13">
        <f t="shared" si="52"/>
        <v>-1.27</v>
      </c>
    </row>
    <row r="1983" spans="1:19">
      <c r="A1983" s="18" t="s">
        <v>2080</v>
      </c>
      <c r="B1983" t="s">
        <v>2053</v>
      </c>
      <c r="C1983" s="1" t="s">
        <v>2082</v>
      </c>
      <c r="D1983" s="1" t="s">
        <v>2081</v>
      </c>
      <c r="E1983" s="1" t="s">
        <v>25</v>
      </c>
      <c r="F1983">
        <v>550</v>
      </c>
      <c r="G1983">
        <v>564</v>
      </c>
      <c r="H1983">
        <v>35</v>
      </c>
      <c r="I1983" s="1" t="s">
        <v>1490</v>
      </c>
      <c r="J1983" s="1" t="s">
        <v>1336</v>
      </c>
      <c r="K1983" s="11" t="s">
        <v>25</v>
      </c>
      <c r="L1983">
        <v>-1.33</v>
      </c>
      <c r="M1983" s="1" t="s">
        <v>23</v>
      </c>
      <c r="N1983" s="1" t="s">
        <v>230</v>
      </c>
      <c r="O1983" s="1">
        <v>674</v>
      </c>
      <c r="P1983" s="3" t="s">
        <v>28</v>
      </c>
      <c r="Q1983" s="37" t="s">
        <v>25</v>
      </c>
      <c r="R1983" s="3" t="s">
        <v>25</v>
      </c>
      <c r="S1983" s="13">
        <f t="shared" si="52"/>
        <v>-1.33</v>
      </c>
    </row>
    <row r="1984" spans="1:19">
      <c r="A1984" s="18" t="s">
        <v>2080</v>
      </c>
      <c r="B1984" t="s">
        <v>2054</v>
      </c>
      <c r="C1984" s="1" t="s">
        <v>2082</v>
      </c>
      <c r="D1984" s="1" t="s">
        <v>2081</v>
      </c>
      <c r="E1984" s="1" t="s">
        <v>25</v>
      </c>
      <c r="F1984">
        <v>550</v>
      </c>
      <c r="G1984">
        <v>564</v>
      </c>
      <c r="H1984">
        <v>44</v>
      </c>
      <c r="I1984" s="1" t="s">
        <v>1490</v>
      </c>
      <c r="J1984" s="1" t="s">
        <v>1336</v>
      </c>
      <c r="K1984" s="11" t="s">
        <v>25</v>
      </c>
      <c r="L1984">
        <v>-1.35</v>
      </c>
      <c r="M1984" s="1" t="s">
        <v>23</v>
      </c>
      <c r="N1984" s="1" t="s">
        <v>230</v>
      </c>
      <c r="O1984" s="1">
        <v>1396</v>
      </c>
      <c r="P1984" s="3" t="s">
        <v>28</v>
      </c>
      <c r="Q1984" s="37" t="s">
        <v>25</v>
      </c>
      <c r="R1984" s="3" t="s">
        <v>25</v>
      </c>
      <c r="S1984" s="13">
        <f t="shared" si="52"/>
        <v>-1.35</v>
      </c>
    </row>
    <row r="1985" spans="1:19">
      <c r="A1985" s="18" t="s">
        <v>2080</v>
      </c>
      <c r="B1985" t="s">
        <v>2055</v>
      </c>
      <c r="C1985" s="1" t="s">
        <v>2082</v>
      </c>
      <c r="D1985" s="1" t="s">
        <v>2081</v>
      </c>
      <c r="E1985" s="1" t="s">
        <v>25</v>
      </c>
      <c r="F1985">
        <v>550</v>
      </c>
      <c r="G1985">
        <v>564</v>
      </c>
      <c r="H1985">
        <v>75</v>
      </c>
      <c r="I1985" s="1" t="s">
        <v>1490</v>
      </c>
      <c r="J1985" s="1" t="s">
        <v>1336</v>
      </c>
      <c r="K1985" s="11" t="s">
        <v>25</v>
      </c>
      <c r="L1985">
        <v>-1.43</v>
      </c>
      <c r="M1985" s="1" t="s">
        <v>23</v>
      </c>
      <c r="N1985" s="1" t="s">
        <v>230</v>
      </c>
      <c r="O1985" s="1">
        <v>1014</v>
      </c>
      <c r="P1985" s="3" t="s">
        <v>28</v>
      </c>
      <c r="Q1985" s="37" t="s">
        <v>25</v>
      </c>
      <c r="R1985" s="3" t="s">
        <v>25</v>
      </c>
      <c r="S1985" s="13">
        <f t="shared" si="52"/>
        <v>-1.43</v>
      </c>
    </row>
    <row r="1986" spans="1:19">
      <c r="A1986" s="18" t="s">
        <v>2080</v>
      </c>
      <c r="B1986" t="s">
        <v>2056</v>
      </c>
      <c r="C1986" s="1" t="s">
        <v>2082</v>
      </c>
      <c r="D1986" s="1" t="s">
        <v>2081</v>
      </c>
      <c r="E1986" s="1" t="s">
        <v>25</v>
      </c>
      <c r="F1986">
        <v>550</v>
      </c>
      <c r="G1986">
        <v>564</v>
      </c>
      <c r="H1986">
        <v>85</v>
      </c>
      <c r="I1986" s="1" t="s">
        <v>1490</v>
      </c>
      <c r="J1986" s="1" t="s">
        <v>1336</v>
      </c>
      <c r="K1986" s="11" t="s">
        <v>25</v>
      </c>
      <c r="L1986">
        <v>-1.27</v>
      </c>
      <c r="M1986" s="1" t="s">
        <v>23</v>
      </c>
      <c r="N1986" s="1" t="s">
        <v>230</v>
      </c>
      <c r="O1986" s="1">
        <v>555</v>
      </c>
      <c r="P1986" s="3" t="s">
        <v>28</v>
      </c>
      <c r="Q1986" s="37" t="s">
        <v>25</v>
      </c>
      <c r="R1986" s="3" t="s">
        <v>25</v>
      </c>
      <c r="S1986" s="13">
        <f t="shared" si="52"/>
        <v>-1.27</v>
      </c>
    </row>
    <row r="1987" spans="1:19">
      <c r="A1987" s="18" t="s">
        <v>2080</v>
      </c>
      <c r="B1987" t="s">
        <v>2057</v>
      </c>
      <c r="C1987" s="1" t="s">
        <v>2082</v>
      </c>
      <c r="D1987" s="1" t="s">
        <v>2081</v>
      </c>
      <c r="E1987" s="1" t="s">
        <v>25</v>
      </c>
      <c r="F1987">
        <v>550</v>
      </c>
      <c r="G1987">
        <v>564</v>
      </c>
      <c r="H1987">
        <v>106</v>
      </c>
      <c r="I1987" s="1" t="s">
        <v>1490</v>
      </c>
      <c r="J1987" s="1" t="s">
        <v>1336</v>
      </c>
      <c r="K1987" s="11" t="s">
        <v>25</v>
      </c>
      <c r="L1987">
        <v>-1.0900000000000001</v>
      </c>
      <c r="M1987" s="1" t="s">
        <v>23</v>
      </c>
      <c r="N1987" s="1" t="s">
        <v>230</v>
      </c>
      <c r="O1987" s="1">
        <v>730</v>
      </c>
      <c r="P1987" s="3" t="s">
        <v>28</v>
      </c>
      <c r="Q1987" s="37" t="s">
        <v>25</v>
      </c>
      <c r="R1987" s="3" t="s">
        <v>25</v>
      </c>
      <c r="S1987" s="13">
        <f t="shared" si="52"/>
        <v>-1.0900000000000001</v>
      </c>
    </row>
    <row r="1988" spans="1:19">
      <c r="A1988" s="18" t="s">
        <v>2080</v>
      </c>
      <c r="B1988" t="s">
        <v>2058</v>
      </c>
      <c r="C1988" s="1" t="s">
        <v>2082</v>
      </c>
      <c r="D1988" s="1" t="s">
        <v>2081</v>
      </c>
      <c r="E1988" s="1" t="s">
        <v>25</v>
      </c>
      <c r="F1988">
        <v>550</v>
      </c>
      <c r="G1988">
        <v>564</v>
      </c>
      <c r="H1988">
        <v>122</v>
      </c>
      <c r="I1988" s="1" t="s">
        <v>1490</v>
      </c>
      <c r="J1988" s="1" t="s">
        <v>1336</v>
      </c>
      <c r="K1988" s="11" t="s">
        <v>25</v>
      </c>
      <c r="L1988">
        <v>-1.39</v>
      </c>
      <c r="M1988" s="1" t="s">
        <v>23</v>
      </c>
      <c r="N1988" s="1" t="s">
        <v>230</v>
      </c>
      <c r="O1988" s="1">
        <v>1714</v>
      </c>
      <c r="P1988" s="3" t="s">
        <v>28</v>
      </c>
      <c r="Q1988" s="37" t="s">
        <v>25</v>
      </c>
      <c r="R1988" s="3" t="s">
        <v>25</v>
      </c>
      <c r="S1988" s="13">
        <f t="shared" si="52"/>
        <v>-1.39</v>
      </c>
    </row>
    <row r="1989" spans="1:19">
      <c r="A1989" s="18" t="s">
        <v>2080</v>
      </c>
      <c r="B1989" t="s">
        <v>2059</v>
      </c>
      <c r="C1989" s="1" t="s">
        <v>2082</v>
      </c>
      <c r="D1989" s="1" t="s">
        <v>2081</v>
      </c>
      <c r="E1989" s="1" t="s">
        <v>25</v>
      </c>
      <c r="F1989">
        <v>550</v>
      </c>
      <c r="G1989">
        <v>564</v>
      </c>
      <c r="H1989">
        <v>131</v>
      </c>
      <c r="I1989" s="1" t="s">
        <v>1490</v>
      </c>
      <c r="J1989" s="1" t="s">
        <v>1336</v>
      </c>
      <c r="K1989" s="11" t="s">
        <v>25</v>
      </c>
      <c r="L1989">
        <v>-1.36</v>
      </c>
      <c r="M1989" s="1" t="s">
        <v>23</v>
      </c>
      <c r="N1989" s="1" t="s">
        <v>230</v>
      </c>
      <c r="O1989" s="1">
        <v>818</v>
      </c>
      <c r="P1989" s="3" t="s">
        <v>28</v>
      </c>
      <c r="Q1989" s="37" t="s">
        <v>25</v>
      </c>
      <c r="R1989" s="3" t="s">
        <v>25</v>
      </c>
      <c r="S1989" s="13">
        <f t="shared" si="52"/>
        <v>-1.36</v>
      </c>
    </row>
    <row r="1990" spans="1:19">
      <c r="A1990" s="18" t="s">
        <v>2080</v>
      </c>
      <c r="B1990" t="s">
        <v>2060</v>
      </c>
      <c r="C1990" s="1" t="s">
        <v>2082</v>
      </c>
      <c r="D1990" s="1" t="s">
        <v>2081</v>
      </c>
      <c r="E1990" s="1" t="s">
        <v>25</v>
      </c>
      <c r="F1990">
        <v>550</v>
      </c>
      <c r="G1990">
        <v>564</v>
      </c>
      <c r="H1990">
        <v>139</v>
      </c>
      <c r="I1990" s="1" t="s">
        <v>1490</v>
      </c>
      <c r="J1990" s="1" t="s">
        <v>1336</v>
      </c>
      <c r="K1990" s="11" t="s">
        <v>25</v>
      </c>
      <c r="L1990">
        <v>-1.46</v>
      </c>
      <c r="M1990" s="1" t="s">
        <v>23</v>
      </c>
      <c r="N1990" s="1" t="s">
        <v>230</v>
      </c>
      <c r="O1990" s="1">
        <v>2452</v>
      </c>
      <c r="P1990" s="3" t="s">
        <v>28</v>
      </c>
      <c r="Q1990" s="37" t="s">
        <v>25</v>
      </c>
      <c r="R1990" s="3" t="s">
        <v>25</v>
      </c>
      <c r="S1990" s="13">
        <f t="shared" si="52"/>
        <v>-1.46</v>
      </c>
    </row>
    <row r="1991" spans="1:19">
      <c r="A1991" s="18" t="s">
        <v>2080</v>
      </c>
      <c r="B1991" t="s">
        <v>2061</v>
      </c>
      <c r="C1991" s="1" t="s">
        <v>2082</v>
      </c>
      <c r="D1991" s="1" t="s">
        <v>2081</v>
      </c>
      <c r="E1991" s="1" t="s">
        <v>25</v>
      </c>
      <c r="F1991">
        <v>550</v>
      </c>
      <c r="G1991">
        <v>564</v>
      </c>
      <c r="H1991">
        <v>152</v>
      </c>
      <c r="I1991" s="1" t="s">
        <v>1490</v>
      </c>
      <c r="J1991" s="1" t="s">
        <v>1336</v>
      </c>
      <c r="K1991" s="11" t="s">
        <v>25</v>
      </c>
      <c r="L1991">
        <v>-1.29</v>
      </c>
      <c r="M1991" s="1" t="s">
        <v>23</v>
      </c>
      <c r="N1991" s="1" t="s">
        <v>230</v>
      </c>
      <c r="O1991" s="1">
        <v>979</v>
      </c>
      <c r="P1991" s="3" t="s">
        <v>28</v>
      </c>
      <c r="Q1991" s="37" t="s">
        <v>25</v>
      </c>
      <c r="R1991" s="3" t="s">
        <v>25</v>
      </c>
      <c r="S1991" s="13">
        <f t="shared" si="52"/>
        <v>-1.29</v>
      </c>
    </row>
    <row r="1992" spans="1:19">
      <c r="A1992" s="18" t="s">
        <v>2080</v>
      </c>
      <c r="B1992" t="s">
        <v>2062</v>
      </c>
      <c r="C1992" s="1" t="s">
        <v>2082</v>
      </c>
      <c r="D1992" s="1" t="s">
        <v>2081</v>
      </c>
      <c r="E1992" s="1" t="s">
        <v>25</v>
      </c>
      <c r="F1992">
        <v>550</v>
      </c>
      <c r="G1992">
        <v>564</v>
      </c>
      <c r="H1992">
        <v>173</v>
      </c>
      <c r="I1992" s="1" t="s">
        <v>1490</v>
      </c>
      <c r="J1992" s="1" t="s">
        <v>1336</v>
      </c>
      <c r="K1992" s="11" t="s">
        <v>25</v>
      </c>
      <c r="L1992">
        <v>-1.47</v>
      </c>
      <c r="M1992" s="1" t="s">
        <v>23</v>
      </c>
      <c r="N1992" s="1" t="s">
        <v>230</v>
      </c>
      <c r="O1992" s="1">
        <v>4489</v>
      </c>
      <c r="P1992" s="3" t="s">
        <v>28</v>
      </c>
      <c r="Q1992" s="37" t="s">
        <v>25</v>
      </c>
      <c r="R1992" s="3" t="s">
        <v>25</v>
      </c>
      <c r="S1992" s="13">
        <f t="shared" si="52"/>
        <v>-1.47</v>
      </c>
    </row>
    <row r="1993" spans="1:19">
      <c r="A1993" s="18" t="s">
        <v>2080</v>
      </c>
      <c r="B1993" t="s">
        <v>2063</v>
      </c>
      <c r="C1993" s="1" t="s">
        <v>2082</v>
      </c>
      <c r="D1993" s="1" t="s">
        <v>2081</v>
      </c>
      <c r="E1993" s="1" t="s">
        <v>25</v>
      </c>
      <c r="F1993">
        <v>550</v>
      </c>
      <c r="G1993">
        <v>564</v>
      </c>
      <c r="H1993">
        <v>207</v>
      </c>
      <c r="I1993" s="1" t="s">
        <v>1490</v>
      </c>
      <c r="J1993" s="1" t="s">
        <v>1336</v>
      </c>
      <c r="K1993" s="11" t="s">
        <v>25</v>
      </c>
      <c r="L1993">
        <v>-1.44</v>
      </c>
      <c r="M1993" s="1" t="s">
        <v>23</v>
      </c>
      <c r="N1993" s="1" t="s">
        <v>230</v>
      </c>
      <c r="O1993" s="1">
        <v>2892</v>
      </c>
      <c r="P1993" s="3" t="s">
        <v>28</v>
      </c>
      <c r="Q1993" s="37" t="s">
        <v>25</v>
      </c>
      <c r="R1993" s="3" t="s">
        <v>25</v>
      </c>
      <c r="S1993" s="13">
        <f t="shared" si="52"/>
        <v>-1.44</v>
      </c>
    </row>
    <row r="1994" spans="1:19">
      <c r="A1994" s="18" t="s">
        <v>2080</v>
      </c>
      <c r="B1994" t="s">
        <v>2064</v>
      </c>
      <c r="C1994" s="1" t="s">
        <v>2082</v>
      </c>
      <c r="D1994" s="1" t="s">
        <v>2081</v>
      </c>
      <c r="E1994" s="1" t="s">
        <v>25</v>
      </c>
      <c r="F1994">
        <v>550</v>
      </c>
      <c r="G1994">
        <v>564</v>
      </c>
      <c r="H1994">
        <v>222</v>
      </c>
      <c r="I1994" s="1" t="s">
        <v>1490</v>
      </c>
      <c r="J1994" s="1" t="s">
        <v>1336</v>
      </c>
      <c r="K1994" s="11" t="s">
        <v>25</v>
      </c>
      <c r="L1994">
        <v>-1.59</v>
      </c>
      <c r="M1994" s="1" t="s">
        <v>23</v>
      </c>
      <c r="N1994" s="1" t="s">
        <v>230</v>
      </c>
      <c r="O1994" s="1">
        <v>998</v>
      </c>
      <c r="P1994" s="3" t="s">
        <v>28</v>
      </c>
      <c r="Q1994" s="37" t="s">
        <v>25</v>
      </c>
      <c r="R1994" s="3" t="s">
        <v>25</v>
      </c>
      <c r="S1994" s="13">
        <f t="shared" si="52"/>
        <v>-1.59</v>
      </c>
    </row>
    <row r="1995" spans="1:19">
      <c r="A1995" s="18" t="s">
        <v>2080</v>
      </c>
      <c r="B1995" t="s">
        <v>2065</v>
      </c>
      <c r="C1995" s="1" t="s">
        <v>2082</v>
      </c>
      <c r="D1995" s="1" t="s">
        <v>2081</v>
      </c>
      <c r="E1995" s="1" t="s">
        <v>25</v>
      </c>
      <c r="F1995">
        <v>550</v>
      </c>
      <c r="G1995">
        <v>564</v>
      </c>
      <c r="H1995">
        <v>231</v>
      </c>
      <c r="I1995" s="1" t="s">
        <v>1490</v>
      </c>
      <c r="J1995" s="1" t="s">
        <v>1336</v>
      </c>
      <c r="K1995" s="11" t="s">
        <v>25</v>
      </c>
      <c r="L1995">
        <v>-1.51</v>
      </c>
      <c r="M1995" s="1" t="s">
        <v>23</v>
      </c>
      <c r="N1995" s="1" t="s">
        <v>230</v>
      </c>
      <c r="O1995" s="1">
        <v>1744</v>
      </c>
      <c r="P1995" s="3" t="s">
        <v>28</v>
      </c>
      <c r="Q1995" s="37" t="s">
        <v>25</v>
      </c>
      <c r="R1995" s="3" t="s">
        <v>25</v>
      </c>
      <c r="S1995" s="13">
        <f t="shared" si="52"/>
        <v>-1.51</v>
      </c>
    </row>
    <row r="1996" spans="1:19">
      <c r="A1996" s="18" t="s">
        <v>2080</v>
      </c>
      <c r="B1996" t="s">
        <v>2066</v>
      </c>
      <c r="C1996" s="1" t="s">
        <v>2082</v>
      </c>
      <c r="D1996" s="1" t="s">
        <v>2081</v>
      </c>
      <c r="E1996" s="1" t="s">
        <v>25</v>
      </c>
      <c r="F1996">
        <v>550</v>
      </c>
      <c r="G1996">
        <v>564</v>
      </c>
      <c r="H1996">
        <v>236</v>
      </c>
      <c r="I1996" s="1" t="s">
        <v>1490</v>
      </c>
      <c r="J1996" s="1" t="s">
        <v>1336</v>
      </c>
      <c r="K1996" s="11" t="s">
        <v>25</v>
      </c>
      <c r="L1996">
        <v>-1.48</v>
      </c>
      <c r="M1996" s="1" t="s">
        <v>23</v>
      </c>
      <c r="N1996" s="1" t="s">
        <v>230</v>
      </c>
      <c r="O1996" s="1">
        <v>1981</v>
      </c>
      <c r="P1996" s="3" t="s">
        <v>28</v>
      </c>
      <c r="Q1996" s="37" t="s">
        <v>25</v>
      </c>
      <c r="R1996" s="3" t="s">
        <v>25</v>
      </c>
      <c r="S1996" s="13">
        <f t="shared" si="52"/>
        <v>-1.48</v>
      </c>
    </row>
    <row r="1997" spans="1:19">
      <c r="A1997" s="18" t="s">
        <v>2080</v>
      </c>
      <c r="B1997" t="s">
        <v>2067</v>
      </c>
      <c r="C1997" s="1" t="s">
        <v>2082</v>
      </c>
      <c r="D1997" s="1" t="s">
        <v>2081</v>
      </c>
      <c r="E1997" s="1" t="s">
        <v>25</v>
      </c>
      <c r="F1997">
        <v>550</v>
      </c>
      <c r="G1997">
        <v>564</v>
      </c>
      <c r="H1997">
        <v>242</v>
      </c>
      <c r="I1997" s="1" t="s">
        <v>1490</v>
      </c>
      <c r="J1997" s="1" t="s">
        <v>1336</v>
      </c>
      <c r="K1997" s="11" t="s">
        <v>25</v>
      </c>
      <c r="L1997">
        <v>-1.5</v>
      </c>
      <c r="M1997" s="1" t="s">
        <v>23</v>
      </c>
      <c r="N1997" s="1" t="s">
        <v>230</v>
      </c>
      <c r="O1997" s="1">
        <v>1772</v>
      </c>
      <c r="P1997" s="3" t="s">
        <v>28</v>
      </c>
      <c r="Q1997" s="37" t="s">
        <v>25</v>
      </c>
      <c r="R1997" s="3" t="s">
        <v>25</v>
      </c>
      <c r="S1997" s="13">
        <f t="shared" si="52"/>
        <v>-1.5</v>
      </c>
    </row>
    <row r="1998" spans="1:19">
      <c r="A1998" s="18" t="s">
        <v>2080</v>
      </c>
      <c r="B1998" t="s">
        <v>2068</v>
      </c>
      <c r="C1998" s="1" t="s">
        <v>2082</v>
      </c>
      <c r="D1998" s="1" t="s">
        <v>2081</v>
      </c>
      <c r="E1998" s="1" t="s">
        <v>25</v>
      </c>
      <c r="F1998">
        <v>550</v>
      </c>
      <c r="G1998">
        <v>564</v>
      </c>
      <c r="H1998">
        <v>254</v>
      </c>
      <c r="I1998" s="1" t="s">
        <v>1490</v>
      </c>
      <c r="J1998" s="1" t="s">
        <v>1336</v>
      </c>
      <c r="K1998" s="11" t="s">
        <v>25</v>
      </c>
      <c r="L1998">
        <v>-1.55</v>
      </c>
      <c r="M1998" s="1" t="s">
        <v>23</v>
      </c>
      <c r="N1998" s="1" t="s">
        <v>230</v>
      </c>
      <c r="O1998" s="1">
        <v>2622</v>
      </c>
      <c r="P1998" s="3" t="s">
        <v>28</v>
      </c>
      <c r="Q1998" s="37" t="s">
        <v>25</v>
      </c>
      <c r="R1998" s="3" t="s">
        <v>25</v>
      </c>
      <c r="S1998" s="13">
        <f t="shared" si="52"/>
        <v>-1.55</v>
      </c>
    </row>
    <row r="1999" spans="1:19">
      <c r="A1999" s="18" t="s">
        <v>2080</v>
      </c>
      <c r="B1999" t="s">
        <v>2069</v>
      </c>
      <c r="C1999" s="1" t="s">
        <v>2082</v>
      </c>
      <c r="D1999" s="1" t="s">
        <v>2081</v>
      </c>
      <c r="E1999" s="1" t="s">
        <v>25</v>
      </c>
      <c r="F1999">
        <v>550</v>
      </c>
      <c r="G1999">
        <v>564</v>
      </c>
      <c r="H1999">
        <v>259</v>
      </c>
      <c r="I1999" s="1" t="s">
        <v>1490</v>
      </c>
      <c r="J1999" s="1" t="s">
        <v>1336</v>
      </c>
      <c r="K1999" s="11" t="s">
        <v>25</v>
      </c>
      <c r="L1999">
        <v>-1.6</v>
      </c>
      <c r="M1999" s="1" t="s">
        <v>23</v>
      </c>
      <c r="N1999" s="1" t="s">
        <v>230</v>
      </c>
      <c r="O1999" s="1">
        <v>1668</v>
      </c>
      <c r="P1999" s="3" t="s">
        <v>28</v>
      </c>
      <c r="Q1999" s="37" t="s">
        <v>25</v>
      </c>
      <c r="R1999" s="3" t="s">
        <v>25</v>
      </c>
      <c r="S1999" s="13">
        <f t="shared" si="52"/>
        <v>-1.6</v>
      </c>
    </row>
    <row r="2000" spans="1:19">
      <c r="A2000" s="18" t="s">
        <v>2080</v>
      </c>
      <c r="B2000" t="s">
        <v>2070</v>
      </c>
      <c r="C2000" s="1" t="s">
        <v>2082</v>
      </c>
      <c r="D2000" s="1" t="s">
        <v>2081</v>
      </c>
      <c r="E2000" s="1" t="s">
        <v>25</v>
      </c>
      <c r="F2000">
        <v>550</v>
      </c>
      <c r="G2000">
        <v>564</v>
      </c>
      <c r="H2000">
        <v>285</v>
      </c>
      <c r="I2000" s="1" t="s">
        <v>1490</v>
      </c>
      <c r="J2000" s="1" t="s">
        <v>1336</v>
      </c>
      <c r="K2000" s="11" t="s">
        <v>25</v>
      </c>
      <c r="L2000">
        <v>-1.56</v>
      </c>
      <c r="M2000" s="1" t="s">
        <v>23</v>
      </c>
      <c r="N2000" s="1" t="s">
        <v>230</v>
      </c>
      <c r="O2000" s="1" t="s">
        <v>25</v>
      </c>
      <c r="P2000" s="3" t="s">
        <v>25</v>
      </c>
      <c r="Q2000" s="37" t="s">
        <v>25</v>
      </c>
      <c r="R2000" s="3" t="s">
        <v>25</v>
      </c>
      <c r="S2000" s="13">
        <f t="shared" si="52"/>
        <v>-1.56</v>
      </c>
    </row>
    <row r="2001" spans="1:19">
      <c r="A2001" s="18" t="s">
        <v>2080</v>
      </c>
      <c r="B2001" t="s">
        <v>2071</v>
      </c>
      <c r="C2001" s="1" t="s">
        <v>2083</v>
      </c>
      <c r="D2001" s="1" t="s">
        <v>2081</v>
      </c>
      <c r="E2001" s="1" t="s">
        <v>25</v>
      </c>
      <c r="F2001">
        <v>550</v>
      </c>
      <c r="G2001">
        <v>564</v>
      </c>
      <c r="H2001">
        <v>5</v>
      </c>
      <c r="I2001" s="1" t="s">
        <v>1490</v>
      </c>
      <c r="J2001" s="1" t="s">
        <v>1336</v>
      </c>
      <c r="K2001" s="11" t="s">
        <v>25</v>
      </c>
      <c r="L2001">
        <v>-1.08</v>
      </c>
      <c r="M2001" s="1" t="s">
        <v>23</v>
      </c>
      <c r="N2001" s="1" t="s">
        <v>230</v>
      </c>
      <c r="O2001" s="1" t="s">
        <v>25</v>
      </c>
      <c r="P2001" s="3" t="s">
        <v>25</v>
      </c>
      <c r="Q2001" s="37" t="s">
        <v>25</v>
      </c>
      <c r="R2001" s="3" t="s">
        <v>25</v>
      </c>
      <c r="S2001" s="13">
        <f t="shared" si="52"/>
        <v>-1.08</v>
      </c>
    </row>
    <row r="2002" spans="1:19">
      <c r="A2002" s="18" t="s">
        <v>2080</v>
      </c>
      <c r="B2002" t="s">
        <v>2072</v>
      </c>
      <c r="C2002" s="1" t="s">
        <v>2083</v>
      </c>
      <c r="D2002" s="1" t="s">
        <v>2081</v>
      </c>
      <c r="E2002" s="1" t="s">
        <v>25</v>
      </c>
      <c r="F2002">
        <v>550</v>
      </c>
      <c r="G2002">
        <v>564</v>
      </c>
      <c r="H2002">
        <v>10</v>
      </c>
      <c r="I2002" s="1" t="s">
        <v>1490</v>
      </c>
      <c r="J2002" s="1" t="s">
        <v>1336</v>
      </c>
      <c r="K2002" s="11" t="s">
        <v>25</v>
      </c>
      <c r="L2002">
        <v>-1.07</v>
      </c>
      <c r="M2002" s="1" t="s">
        <v>23</v>
      </c>
      <c r="N2002" s="1" t="s">
        <v>230</v>
      </c>
      <c r="O2002" s="1" t="s">
        <v>25</v>
      </c>
      <c r="P2002" s="3" t="s">
        <v>25</v>
      </c>
      <c r="Q2002" s="37" t="s">
        <v>25</v>
      </c>
      <c r="R2002" s="3" t="s">
        <v>25</v>
      </c>
      <c r="S2002" s="13">
        <f t="shared" si="52"/>
        <v>-1.07</v>
      </c>
    </row>
    <row r="2003" spans="1:19">
      <c r="A2003" s="18" t="s">
        <v>2080</v>
      </c>
      <c r="B2003" t="s">
        <v>2073</v>
      </c>
      <c r="C2003" s="1" t="s">
        <v>2083</v>
      </c>
      <c r="D2003" s="1" t="s">
        <v>2081</v>
      </c>
      <c r="E2003" s="1" t="s">
        <v>25</v>
      </c>
      <c r="F2003">
        <v>550</v>
      </c>
      <c r="G2003">
        <v>564</v>
      </c>
      <c r="H2003">
        <v>15</v>
      </c>
      <c r="I2003" s="1" t="s">
        <v>1490</v>
      </c>
      <c r="J2003" s="1" t="s">
        <v>1336</v>
      </c>
      <c r="K2003" s="11" t="s">
        <v>25</v>
      </c>
      <c r="L2003">
        <v>-1.39</v>
      </c>
      <c r="M2003" s="1" t="s">
        <v>23</v>
      </c>
      <c r="N2003" s="1" t="s">
        <v>230</v>
      </c>
      <c r="O2003" s="1" t="s">
        <v>25</v>
      </c>
      <c r="P2003" s="3" t="s">
        <v>25</v>
      </c>
      <c r="Q2003" s="37" t="s">
        <v>25</v>
      </c>
      <c r="R2003" s="3" t="s">
        <v>25</v>
      </c>
      <c r="S2003" s="13">
        <f t="shared" si="52"/>
        <v>-1.39</v>
      </c>
    </row>
    <row r="2004" spans="1:19">
      <c r="A2004" s="18" t="s">
        <v>2080</v>
      </c>
      <c r="B2004" t="s">
        <v>2074</v>
      </c>
      <c r="C2004" s="1" t="s">
        <v>2084</v>
      </c>
      <c r="D2004" s="1" t="s">
        <v>2081</v>
      </c>
      <c r="E2004" s="1" t="s">
        <v>25</v>
      </c>
      <c r="F2004">
        <v>550</v>
      </c>
      <c r="G2004">
        <v>564</v>
      </c>
      <c r="H2004">
        <v>30</v>
      </c>
      <c r="I2004" s="1" t="s">
        <v>1490</v>
      </c>
      <c r="J2004" s="1" t="s">
        <v>1336</v>
      </c>
      <c r="K2004" s="11" t="s">
        <v>25</v>
      </c>
      <c r="L2004">
        <v>-1.45</v>
      </c>
      <c r="M2004" s="1" t="s">
        <v>23</v>
      </c>
      <c r="N2004" s="1" t="s">
        <v>230</v>
      </c>
      <c r="O2004">
        <v>5270</v>
      </c>
      <c r="P2004" s="3" t="s">
        <v>28</v>
      </c>
      <c r="Q2004" s="37" t="s">
        <v>25</v>
      </c>
      <c r="R2004" s="3" t="s">
        <v>25</v>
      </c>
      <c r="S2004" s="13">
        <f t="shared" si="52"/>
        <v>-1.45</v>
      </c>
    </row>
    <row r="2005" spans="1:19">
      <c r="A2005" s="18" t="s">
        <v>2080</v>
      </c>
      <c r="B2005" t="s">
        <v>2075</v>
      </c>
      <c r="C2005" s="1" t="s">
        <v>2084</v>
      </c>
      <c r="D2005" s="1" t="s">
        <v>2081</v>
      </c>
      <c r="E2005" s="1" t="s">
        <v>25</v>
      </c>
      <c r="F2005">
        <v>550</v>
      </c>
      <c r="G2005">
        <v>564</v>
      </c>
      <c r="H2005">
        <v>73</v>
      </c>
      <c r="I2005" s="1" t="s">
        <v>1490</v>
      </c>
      <c r="J2005" s="1" t="s">
        <v>1336</v>
      </c>
      <c r="K2005" s="11" t="s">
        <v>25</v>
      </c>
      <c r="L2005">
        <v>-1.58</v>
      </c>
      <c r="M2005" s="1" t="s">
        <v>23</v>
      </c>
      <c r="N2005" s="1" t="s">
        <v>230</v>
      </c>
      <c r="O2005" s="34">
        <v>4845</v>
      </c>
      <c r="P2005" s="3" t="s">
        <v>28</v>
      </c>
      <c r="Q2005" s="37" t="s">
        <v>25</v>
      </c>
      <c r="R2005" s="3" t="s">
        <v>25</v>
      </c>
      <c r="S2005" s="13">
        <f t="shared" si="52"/>
        <v>-1.58</v>
      </c>
    </row>
    <row r="2006" spans="1:19">
      <c r="A2006" s="18" t="s">
        <v>2080</v>
      </c>
      <c r="B2006" t="s">
        <v>2076</v>
      </c>
      <c r="C2006" s="1" t="s">
        <v>2084</v>
      </c>
      <c r="D2006" s="1" t="s">
        <v>2081</v>
      </c>
      <c r="E2006" s="1" t="s">
        <v>25</v>
      </c>
      <c r="F2006">
        <v>550</v>
      </c>
      <c r="G2006">
        <v>564</v>
      </c>
      <c r="H2006">
        <v>100</v>
      </c>
      <c r="I2006" s="1" t="s">
        <v>1490</v>
      </c>
      <c r="J2006" s="1" t="s">
        <v>1336</v>
      </c>
      <c r="K2006" s="11" t="s">
        <v>25</v>
      </c>
      <c r="L2006">
        <v>-1.43</v>
      </c>
      <c r="M2006" s="1" t="s">
        <v>23</v>
      </c>
      <c r="N2006" s="1" t="s">
        <v>230</v>
      </c>
      <c r="O2006" s="34">
        <v>3973</v>
      </c>
      <c r="P2006" s="3" t="s">
        <v>28</v>
      </c>
      <c r="Q2006" s="37" t="s">
        <v>25</v>
      </c>
      <c r="R2006" s="3" t="s">
        <v>25</v>
      </c>
      <c r="S2006" s="13">
        <f t="shared" si="52"/>
        <v>-1.43</v>
      </c>
    </row>
    <row r="2007" spans="1:19">
      <c r="A2007" s="18" t="s">
        <v>2080</v>
      </c>
      <c r="B2007" t="s">
        <v>2077</v>
      </c>
      <c r="C2007" s="1" t="s">
        <v>2084</v>
      </c>
      <c r="D2007" s="1" t="s">
        <v>2081</v>
      </c>
      <c r="E2007" s="1" t="s">
        <v>25</v>
      </c>
      <c r="F2007">
        <v>550</v>
      </c>
      <c r="G2007">
        <v>564</v>
      </c>
      <c r="H2007">
        <v>133</v>
      </c>
      <c r="I2007" s="1" t="s">
        <v>1490</v>
      </c>
      <c r="J2007" s="1" t="s">
        <v>1336</v>
      </c>
      <c r="K2007" s="11" t="s">
        <v>25</v>
      </c>
      <c r="L2007">
        <v>-1.5</v>
      </c>
      <c r="M2007" s="1" t="s">
        <v>23</v>
      </c>
      <c r="N2007" s="1" t="s">
        <v>230</v>
      </c>
      <c r="O2007" s="34">
        <v>2128</v>
      </c>
      <c r="P2007" s="3" t="s">
        <v>28</v>
      </c>
      <c r="Q2007" s="37" t="s">
        <v>25</v>
      </c>
      <c r="R2007" s="3" t="s">
        <v>25</v>
      </c>
      <c r="S2007" s="13">
        <f t="shared" si="52"/>
        <v>-1.5</v>
      </c>
    </row>
    <row r="2008" spans="1:19">
      <c r="A2008" s="18" t="s">
        <v>2080</v>
      </c>
      <c r="B2008" t="s">
        <v>2078</v>
      </c>
      <c r="C2008" s="1" t="s">
        <v>2084</v>
      </c>
      <c r="D2008" s="1" t="s">
        <v>2081</v>
      </c>
      <c r="E2008" s="1" t="s">
        <v>25</v>
      </c>
      <c r="F2008">
        <v>550</v>
      </c>
      <c r="G2008">
        <v>564</v>
      </c>
      <c r="H2008">
        <v>143</v>
      </c>
      <c r="I2008" s="1" t="s">
        <v>1490</v>
      </c>
      <c r="J2008" s="1" t="s">
        <v>1336</v>
      </c>
      <c r="K2008" s="11" t="s">
        <v>25</v>
      </c>
      <c r="L2008">
        <v>-1.55</v>
      </c>
      <c r="M2008" s="1" t="s">
        <v>23</v>
      </c>
      <c r="N2008" s="1" t="s">
        <v>230</v>
      </c>
      <c r="O2008" s="34">
        <v>1936</v>
      </c>
      <c r="P2008" s="3" t="s">
        <v>28</v>
      </c>
      <c r="Q2008" s="37" t="s">
        <v>25</v>
      </c>
      <c r="R2008" s="3" t="s">
        <v>25</v>
      </c>
      <c r="S2008" s="13">
        <f t="shared" si="52"/>
        <v>-1.55</v>
      </c>
    </row>
    <row r="2009" spans="1:19">
      <c r="A2009" s="18" t="s">
        <v>2080</v>
      </c>
      <c r="B2009" t="s">
        <v>2079</v>
      </c>
      <c r="C2009" s="1" t="s">
        <v>2084</v>
      </c>
      <c r="D2009" s="1" t="s">
        <v>2081</v>
      </c>
      <c r="E2009" s="1" t="s">
        <v>25</v>
      </c>
      <c r="F2009">
        <v>550</v>
      </c>
      <c r="G2009">
        <v>564</v>
      </c>
      <c r="H2009">
        <v>153</v>
      </c>
      <c r="I2009" s="1" t="s">
        <v>1490</v>
      </c>
      <c r="J2009" s="1" t="s">
        <v>1336</v>
      </c>
      <c r="K2009" s="11" t="s">
        <v>25</v>
      </c>
      <c r="L2009">
        <v>-1.45</v>
      </c>
      <c r="M2009" s="1" t="s">
        <v>23</v>
      </c>
      <c r="N2009" s="1" t="s">
        <v>230</v>
      </c>
      <c r="O2009" s="34">
        <v>2138</v>
      </c>
      <c r="P2009" s="3" t="s">
        <v>28</v>
      </c>
      <c r="Q2009" s="37" t="s">
        <v>25</v>
      </c>
      <c r="R2009" s="3" t="s">
        <v>25</v>
      </c>
      <c r="S2009" s="13">
        <f t="shared" si="52"/>
        <v>-1.45</v>
      </c>
    </row>
    <row r="2010" spans="1:19" s="4" customFormat="1">
      <c r="B2010" s="5"/>
      <c r="C2010" s="5"/>
      <c r="D2010" s="5"/>
      <c r="E2010" s="5"/>
      <c r="I2010" s="5"/>
      <c r="J2010" s="5"/>
      <c r="M2010" s="5"/>
      <c r="O2010" s="5"/>
      <c r="P2010" s="6"/>
      <c r="Q2010" s="38"/>
      <c r="S2010" s="24"/>
    </row>
    <row r="2011" spans="1:19">
      <c r="A2011" s="18" t="s">
        <v>2124</v>
      </c>
      <c r="B2011" t="s">
        <v>2086</v>
      </c>
      <c r="C2011" s="1" t="s">
        <v>2108</v>
      </c>
      <c r="D2011" t="s">
        <v>2085</v>
      </c>
      <c r="E2011" s="1" t="s">
        <v>25</v>
      </c>
      <c r="F2011">
        <v>580</v>
      </c>
      <c r="G2011">
        <v>635</v>
      </c>
      <c r="H2011">
        <v>241</v>
      </c>
      <c r="I2011" s="1" t="s">
        <v>1490</v>
      </c>
      <c r="J2011" s="1" t="s">
        <v>2109</v>
      </c>
      <c r="K2011" s="11" t="s">
        <v>25</v>
      </c>
      <c r="L2011">
        <v>1.1399999999999999</v>
      </c>
      <c r="M2011" s="1" t="s">
        <v>23</v>
      </c>
      <c r="N2011" s="1" t="s">
        <v>2110</v>
      </c>
      <c r="O2011" s="1" t="s">
        <v>25</v>
      </c>
      <c r="P2011" s="3" t="s">
        <v>25</v>
      </c>
      <c r="Q2011" s="37" t="s">
        <v>25</v>
      </c>
      <c r="R2011" s="3" t="s">
        <v>25</v>
      </c>
      <c r="S2011" s="13">
        <f t="shared" si="52"/>
        <v>-0.74</v>
      </c>
    </row>
    <row r="2012" spans="1:19">
      <c r="A2012" s="18" t="s">
        <v>2124</v>
      </c>
      <c r="B2012" t="s">
        <v>2087</v>
      </c>
      <c r="C2012" s="1" t="s">
        <v>2108</v>
      </c>
      <c r="D2012" t="s">
        <v>2085</v>
      </c>
      <c r="E2012" s="1" t="s">
        <v>25</v>
      </c>
      <c r="F2012">
        <v>580</v>
      </c>
      <c r="G2012">
        <v>635</v>
      </c>
      <c r="H2012">
        <v>181</v>
      </c>
      <c r="I2012" s="1" t="s">
        <v>1490</v>
      </c>
      <c r="J2012" s="1" t="s">
        <v>2109</v>
      </c>
      <c r="K2012" s="11" t="s">
        <v>25</v>
      </c>
      <c r="L2012">
        <v>0.9</v>
      </c>
      <c r="M2012" s="1" t="s">
        <v>23</v>
      </c>
      <c r="N2012" s="1" t="s">
        <v>2110</v>
      </c>
      <c r="O2012" s="1" t="s">
        <v>25</v>
      </c>
      <c r="P2012" s="3" t="s">
        <v>25</v>
      </c>
      <c r="Q2012" s="37" t="s">
        <v>25</v>
      </c>
      <c r="R2012" s="3" t="s">
        <v>25</v>
      </c>
      <c r="S2012" s="13">
        <f t="shared" si="52"/>
        <v>-0.97999999999999987</v>
      </c>
    </row>
    <row r="2013" spans="1:19">
      <c r="A2013" s="18" t="s">
        <v>2124</v>
      </c>
      <c r="B2013" t="s">
        <v>2088</v>
      </c>
      <c r="C2013" s="1" t="s">
        <v>2108</v>
      </c>
      <c r="D2013" t="s">
        <v>2085</v>
      </c>
      <c r="E2013" s="1" t="s">
        <v>25</v>
      </c>
      <c r="F2013">
        <v>580</v>
      </c>
      <c r="G2013">
        <v>635</v>
      </c>
      <c r="H2013">
        <v>126</v>
      </c>
      <c r="I2013" s="1" t="s">
        <v>1490</v>
      </c>
      <c r="J2013" s="1" t="s">
        <v>2109</v>
      </c>
      <c r="K2013" s="11" t="s">
        <v>25</v>
      </c>
      <c r="L2013">
        <v>0.62</v>
      </c>
      <c r="M2013" s="1" t="s">
        <v>23</v>
      </c>
      <c r="N2013" s="1" t="s">
        <v>2110</v>
      </c>
      <c r="O2013" s="1" t="s">
        <v>25</v>
      </c>
      <c r="P2013" s="3" t="s">
        <v>25</v>
      </c>
      <c r="Q2013" s="37" t="s">
        <v>25</v>
      </c>
      <c r="R2013" s="3" t="s">
        <v>25</v>
      </c>
      <c r="S2013" s="13">
        <f t="shared" si="52"/>
        <v>-1.2599999999999998</v>
      </c>
    </row>
    <row r="2014" spans="1:19">
      <c r="A2014" s="18" t="s">
        <v>2124</v>
      </c>
      <c r="B2014" t="s">
        <v>2089</v>
      </c>
      <c r="C2014" s="1" t="s">
        <v>2108</v>
      </c>
      <c r="D2014" t="s">
        <v>2085</v>
      </c>
      <c r="E2014" s="1" t="s">
        <v>25</v>
      </c>
      <c r="F2014">
        <v>580</v>
      </c>
      <c r="G2014">
        <v>635</v>
      </c>
      <c r="H2014">
        <v>106</v>
      </c>
      <c r="I2014" s="1" t="s">
        <v>1490</v>
      </c>
      <c r="J2014" s="1" t="s">
        <v>2109</v>
      </c>
      <c r="K2014" s="11" t="s">
        <v>25</v>
      </c>
      <c r="L2014">
        <v>0.35</v>
      </c>
      <c r="M2014" s="1" t="s">
        <v>23</v>
      </c>
      <c r="N2014" s="1" t="s">
        <v>2110</v>
      </c>
      <c r="O2014" s="1" t="s">
        <v>25</v>
      </c>
      <c r="P2014" s="3" t="s">
        <v>25</v>
      </c>
      <c r="Q2014" s="37" t="s">
        <v>25</v>
      </c>
      <c r="R2014" s="3" t="s">
        <v>25</v>
      </c>
      <c r="S2014" s="13">
        <f t="shared" si="52"/>
        <v>-1.5299999999999998</v>
      </c>
    </row>
    <row r="2015" spans="1:19">
      <c r="A2015" s="18" t="s">
        <v>2124</v>
      </c>
      <c r="B2015" t="s">
        <v>2090</v>
      </c>
      <c r="C2015" s="1" t="s">
        <v>2108</v>
      </c>
      <c r="D2015" t="s">
        <v>2085</v>
      </c>
      <c r="E2015" s="1" t="s">
        <v>25</v>
      </c>
      <c r="F2015">
        <v>580</v>
      </c>
      <c r="G2015">
        <v>635</v>
      </c>
      <c r="H2015">
        <v>36</v>
      </c>
      <c r="I2015" s="1" t="s">
        <v>1490</v>
      </c>
      <c r="J2015" s="1" t="s">
        <v>2109</v>
      </c>
      <c r="K2015" s="11" t="s">
        <v>25</v>
      </c>
      <c r="L2015">
        <v>0.6</v>
      </c>
      <c r="M2015" s="1" t="s">
        <v>23</v>
      </c>
      <c r="N2015" s="1" t="s">
        <v>2110</v>
      </c>
      <c r="O2015" s="1" t="s">
        <v>25</v>
      </c>
      <c r="P2015" s="3" t="s">
        <v>25</v>
      </c>
      <c r="Q2015" s="37" t="s">
        <v>25</v>
      </c>
      <c r="R2015" s="3" t="s">
        <v>25</v>
      </c>
      <c r="S2015" s="13">
        <f t="shared" si="52"/>
        <v>-1.2799999999999998</v>
      </c>
    </row>
    <row r="2016" spans="1:19">
      <c r="A2016" s="18" t="s">
        <v>2124</v>
      </c>
      <c r="B2016" t="s">
        <v>2091</v>
      </c>
      <c r="C2016" s="1" t="s">
        <v>2108</v>
      </c>
      <c r="D2016" t="s">
        <v>2085</v>
      </c>
      <c r="E2016" s="1" t="s">
        <v>25</v>
      </c>
      <c r="F2016">
        <v>580</v>
      </c>
      <c r="G2016">
        <v>635</v>
      </c>
      <c r="H2016">
        <v>10.5</v>
      </c>
      <c r="I2016" s="1" t="s">
        <v>1490</v>
      </c>
      <c r="J2016" s="1" t="s">
        <v>2109</v>
      </c>
      <c r="K2016" s="11" t="s">
        <v>25</v>
      </c>
      <c r="L2016">
        <v>0.84</v>
      </c>
      <c r="M2016" s="1" t="s">
        <v>23</v>
      </c>
      <c r="N2016" s="1" t="s">
        <v>2110</v>
      </c>
      <c r="O2016" s="1" t="s">
        <v>25</v>
      </c>
      <c r="P2016" s="3" t="s">
        <v>25</v>
      </c>
      <c r="Q2016" s="37" t="s">
        <v>25</v>
      </c>
      <c r="R2016" s="3" t="s">
        <v>25</v>
      </c>
      <c r="S2016" s="13">
        <f t="shared" si="52"/>
        <v>-1.04</v>
      </c>
    </row>
    <row r="2017" spans="1:19">
      <c r="A2017" s="18" t="s">
        <v>2124</v>
      </c>
      <c r="B2017" t="s">
        <v>2092</v>
      </c>
      <c r="C2017" s="1" t="s">
        <v>2108</v>
      </c>
      <c r="D2017" t="s">
        <v>2085</v>
      </c>
      <c r="E2017" s="1" t="s">
        <v>25</v>
      </c>
      <c r="F2017">
        <v>580</v>
      </c>
      <c r="G2017">
        <v>635</v>
      </c>
      <c r="H2017">
        <v>5.6</v>
      </c>
      <c r="I2017" s="1" t="s">
        <v>1490</v>
      </c>
      <c r="J2017" s="1" t="s">
        <v>2109</v>
      </c>
      <c r="K2017" s="11" t="s">
        <v>25</v>
      </c>
      <c r="L2017">
        <v>0.91</v>
      </c>
      <c r="M2017" s="1" t="s">
        <v>23</v>
      </c>
      <c r="N2017" s="1" t="s">
        <v>2110</v>
      </c>
      <c r="O2017" s="1" t="s">
        <v>25</v>
      </c>
      <c r="P2017" s="3" t="s">
        <v>25</v>
      </c>
      <c r="Q2017" s="37" t="s">
        <v>25</v>
      </c>
      <c r="R2017" s="3" t="s">
        <v>25</v>
      </c>
      <c r="S2017" s="13">
        <f t="shared" si="52"/>
        <v>-0.96999999999999986</v>
      </c>
    </row>
    <row r="2018" spans="1:19">
      <c r="A2018" s="18" t="s">
        <v>2124</v>
      </c>
      <c r="B2018" t="s">
        <v>2094</v>
      </c>
      <c r="C2018" s="1" t="s">
        <v>2108</v>
      </c>
      <c r="D2018" t="s">
        <v>2093</v>
      </c>
      <c r="E2018" s="1" t="s">
        <v>25</v>
      </c>
      <c r="F2018">
        <v>580</v>
      </c>
      <c r="G2018">
        <v>635</v>
      </c>
      <c r="H2018">
        <v>2.5</v>
      </c>
      <c r="I2018" s="1" t="s">
        <v>1490</v>
      </c>
      <c r="J2018" s="1" t="s">
        <v>2109</v>
      </c>
      <c r="K2018" s="11" t="s">
        <v>25</v>
      </c>
      <c r="L2018">
        <v>1.01</v>
      </c>
      <c r="M2018" s="1" t="s">
        <v>23</v>
      </c>
      <c r="N2018" s="1" t="s">
        <v>2110</v>
      </c>
      <c r="O2018" s="1" t="s">
        <v>25</v>
      </c>
      <c r="P2018" s="3" t="s">
        <v>25</v>
      </c>
      <c r="Q2018" s="37" t="s">
        <v>25</v>
      </c>
      <c r="R2018" s="3" t="s">
        <v>25</v>
      </c>
      <c r="S2018" s="13">
        <f t="shared" si="52"/>
        <v>-0.86999999999999988</v>
      </c>
    </row>
    <row r="2019" spans="1:19">
      <c r="A2019" s="18" t="s">
        <v>2124</v>
      </c>
      <c r="B2019" t="s">
        <v>2095</v>
      </c>
      <c r="C2019" s="1" t="s">
        <v>2108</v>
      </c>
      <c r="D2019" t="s">
        <v>2093</v>
      </c>
      <c r="E2019" s="1" t="s">
        <v>25</v>
      </c>
      <c r="F2019">
        <v>580</v>
      </c>
      <c r="G2019">
        <v>635</v>
      </c>
      <c r="H2019">
        <v>1.6</v>
      </c>
      <c r="I2019" s="1" t="s">
        <v>1490</v>
      </c>
      <c r="J2019" s="1" t="s">
        <v>2109</v>
      </c>
      <c r="K2019" s="11" t="s">
        <v>25</v>
      </c>
      <c r="L2019">
        <v>0.95</v>
      </c>
      <c r="M2019" s="1" t="s">
        <v>23</v>
      </c>
      <c r="N2019" s="1" t="s">
        <v>2110</v>
      </c>
      <c r="O2019" s="1" t="s">
        <v>25</v>
      </c>
      <c r="P2019" s="3" t="s">
        <v>25</v>
      </c>
      <c r="Q2019" s="37" t="s">
        <v>25</v>
      </c>
      <c r="R2019" s="3" t="s">
        <v>25</v>
      </c>
      <c r="S2019" s="13">
        <f t="shared" si="52"/>
        <v>-0.92999999999999994</v>
      </c>
    </row>
    <row r="2020" spans="1:19">
      <c r="A2020" s="18" t="s">
        <v>2124</v>
      </c>
      <c r="B2020" t="s">
        <v>2096</v>
      </c>
      <c r="C2020" s="1" t="s">
        <v>2108</v>
      </c>
      <c r="D2020" t="s">
        <v>2093</v>
      </c>
      <c r="E2020" s="1" t="s">
        <v>25</v>
      </c>
      <c r="F2020">
        <v>580</v>
      </c>
      <c r="G2020">
        <v>635</v>
      </c>
      <c r="H2020">
        <v>1.5</v>
      </c>
      <c r="I2020" s="1" t="s">
        <v>1490</v>
      </c>
      <c r="J2020" s="1" t="s">
        <v>2109</v>
      </c>
      <c r="K2020" s="11" t="s">
        <v>25</v>
      </c>
      <c r="L2020">
        <v>1.02</v>
      </c>
      <c r="M2020" s="1" t="s">
        <v>23</v>
      </c>
      <c r="N2020" s="1" t="s">
        <v>2110</v>
      </c>
      <c r="O2020" s="1" t="s">
        <v>25</v>
      </c>
      <c r="P2020" s="3" t="s">
        <v>25</v>
      </c>
      <c r="Q2020" s="37" t="s">
        <v>25</v>
      </c>
      <c r="R2020" s="3" t="s">
        <v>25</v>
      </c>
      <c r="S2020" s="13">
        <f t="shared" si="52"/>
        <v>-0.85999999999999988</v>
      </c>
    </row>
    <row r="2021" spans="1:19">
      <c r="A2021" s="18" t="s">
        <v>2124</v>
      </c>
      <c r="B2021" t="s">
        <v>2097</v>
      </c>
      <c r="C2021" s="1" t="s">
        <v>2108</v>
      </c>
      <c r="D2021" t="s">
        <v>2093</v>
      </c>
      <c r="E2021" s="1" t="s">
        <v>25</v>
      </c>
      <c r="F2021">
        <v>580</v>
      </c>
      <c r="G2021">
        <v>635</v>
      </c>
      <c r="H2021">
        <v>0.1</v>
      </c>
      <c r="I2021" s="1" t="s">
        <v>1490</v>
      </c>
      <c r="J2021" s="1" t="s">
        <v>2109</v>
      </c>
      <c r="K2021" s="11" t="s">
        <v>25</v>
      </c>
      <c r="L2021">
        <v>1.06</v>
      </c>
      <c r="M2021" s="1" t="s">
        <v>23</v>
      </c>
      <c r="N2021" s="1" t="s">
        <v>2110</v>
      </c>
      <c r="O2021" s="1" t="s">
        <v>25</v>
      </c>
      <c r="P2021" s="3" t="s">
        <v>25</v>
      </c>
      <c r="Q2021" s="37" t="s">
        <v>25</v>
      </c>
      <c r="R2021" s="3" t="s">
        <v>25</v>
      </c>
      <c r="S2021" s="13">
        <f t="shared" si="52"/>
        <v>-0.81999999999999984</v>
      </c>
    </row>
    <row r="2022" spans="1:19">
      <c r="A2022" s="18" t="s">
        <v>2124</v>
      </c>
      <c r="B2022" t="s">
        <v>2099</v>
      </c>
      <c r="C2022" s="1" t="s">
        <v>2108</v>
      </c>
      <c r="D2022" t="s">
        <v>2098</v>
      </c>
      <c r="E2022" s="1" t="s">
        <v>25</v>
      </c>
      <c r="F2022">
        <v>580</v>
      </c>
      <c r="G2022">
        <v>635</v>
      </c>
      <c r="H2022">
        <v>-2</v>
      </c>
      <c r="I2022" s="1" t="s">
        <v>1490</v>
      </c>
      <c r="J2022" s="1" t="s">
        <v>2109</v>
      </c>
      <c r="K2022" s="11" t="s">
        <v>25</v>
      </c>
      <c r="L2022">
        <v>1.1399999999999999</v>
      </c>
      <c r="M2022" s="1" t="s">
        <v>23</v>
      </c>
      <c r="N2022" s="1" t="s">
        <v>2110</v>
      </c>
      <c r="O2022" s="1" t="s">
        <v>25</v>
      </c>
      <c r="P2022" s="3" t="s">
        <v>25</v>
      </c>
      <c r="Q2022" s="37" t="s">
        <v>25</v>
      </c>
      <c r="R2022" s="3" t="s">
        <v>25</v>
      </c>
      <c r="S2022" s="13">
        <f t="shared" ref="S2022:S2073" si="53">IF(NOT(N2022="SW"),L2022-1.88,L2022)</f>
        <v>-0.74</v>
      </c>
    </row>
    <row r="2023" spans="1:19">
      <c r="A2023" s="18" t="s">
        <v>2124</v>
      </c>
      <c r="B2023" t="s">
        <v>2100</v>
      </c>
      <c r="C2023" s="1" t="s">
        <v>2108</v>
      </c>
      <c r="D2023" t="s">
        <v>2098</v>
      </c>
      <c r="E2023" s="1" t="s">
        <v>25</v>
      </c>
      <c r="F2023">
        <v>580</v>
      </c>
      <c r="G2023">
        <v>635</v>
      </c>
      <c r="H2023">
        <v>-4.8</v>
      </c>
      <c r="I2023" s="1" t="s">
        <v>1490</v>
      </c>
      <c r="J2023" s="1" t="s">
        <v>2109</v>
      </c>
      <c r="K2023" s="11" t="s">
        <v>25</v>
      </c>
      <c r="L2023">
        <v>1.41</v>
      </c>
      <c r="M2023" s="1" t="s">
        <v>23</v>
      </c>
      <c r="N2023" s="1" t="s">
        <v>2110</v>
      </c>
      <c r="O2023" s="1" t="s">
        <v>25</v>
      </c>
      <c r="P2023" s="3" t="s">
        <v>25</v>
      </c>
      <c r="Q2023" s="37" t="s">
        <v>25</v>
      </c>
      <c r="R2023" s="3" t="s">
        <v>25</v>
      </c>
      <c r="S2023" s="13">
        <f t="shared" si="53"/>
        <v>-0.47</v>
      </c>
    </row>
    <row r="2024" spans="1:19">
      <c r="A2024" s="18" t="s">
        <v>2124</v>
      </c>
      <c r="B2024" t="s">
        <v>2101</v>
      </c>
      <c r="C2024" s="1" t="s">
        <v>2108</v>
      </c>
      <c r="D2024" t="s">
        <v>2098</v>
      </c>
      <c r="E2024" s="1" t="s">
        <v>25</v>
      </c>
      <c r="F2024">
        <v>580</v>
      </c>
      <c r="G2024">
        <v>635</v>
      </c>
      <c r="H2024">
        <v>-5</v>
      </c>
      <c r="I2024" s="1" t="s">
        <v>1490</v>
      </c>
      <c r="J2024" s="1" t="s">
        <v>2109</v>
      </c>
      <c r="K2024" s="11" t="s">
        <v>25</v>
      </c>
      <c r="L2024">
        <v>1.38</v>
      </c>
      <c r="M2024" s="1" t="s">
        <v>23</v>
      </c>
      <c r="N2024" s="1" t="s">
        <v>2110</v>
      </c>
      <c r="O2024" s="1" t="s">
        <v>25</v>
      </c>
      <c r="P2024" s="3" t="s">
        <v>25</v>
      </c>
      <c r="Q2024" s="37" t="s">
        <v>25</v>
      </c>
      <c r="R2024" s="3" t="s">
        <v>25</v>
      </c>
      <c r="S2024" s="13">
        <f t="shared" si="53"/>
        <v>-0.5</v>
      </c>
    </row>
    <row r="2025" spans="1:19">
      <c r="A2025" s="18" t="s">
        <v>2124</v>
      </c>
      <c r="B2025" t="s">
        <v>2102</v>
      </c>
      <c r="C2025" s="1" t="s">
        <v>2108</v>
      </c>
      <c r="D2025" t="s">
        <v>2098</v>
      </c>
      <c r="E2025" s="1" t="s">
        <v>25</v>
      </c>
      <c r="F2025">
        <v>580</v>
      </c>
      <c r="G2025">
        <v>635</v>
      </c>
      <c r="H2025">
        <v>-28</v>
      </c>
      <c r="I2025" s="1" t="s">
        <v>1490</v>
      </c>
      <c r="J2025" s="1" t="s">
        <v>2109</v>
      </c>
      <c r="K2025" s="11" t="s">
        <v>25</v>
      </c>
      <c r="L2025">
        <v>1.28</v>
      </c>
      <c r="M2025" s="1" t="s">
        <v>23</v>
      </c>
      <c r="N2025" s="1" t="s">
        <v>2110</v>
      </c>
      <c r="O2025" s="1" t="s">
        <v>25</v>
      </c>
      <c r="P2025" s="3" t="s">
        <v>25</v>
      </c>
      <c r="Q2025" s="37" t="s">
        <v>25</v>
      </c>
      <c r="R2025" s="3" t="s">
        <v>25</v>
      </c>
      <c r="S2025" s="13">
        <f t="shared" si="53"/>
        <v>-0.59999999999999987</v>
      </c>
    </row>
    <row r="2026" spans="1:19">
      <c r="A2026" s="18" t="s">
        <v>2124</v>
      </c>
      <c r="B2026" t="s">
        <v>2103</v>
      </c>
      <c r="C2026" s="1" t="s">
        <v>2108</v>
      </c>
      <c r="D2026" t="s">
        <v>2098</v>
      </c>
      <c r="E2026" s="1" t="s">
        <v>25</v>
      </c>
      <c r="F2026">
        <v>580</v>
      </c>
      <c r="G2026">
        <v>635</v>
      </c>
      <c r="H2026">
        <v>-36</v>
      </c>
      <c r="I2026" s="1" t="s">
        <v>1490</v>
      </c>
      <c r="J2026" s="1" t="s">
        <v>2109</v>
      </c>
      <c r="K2026" s="11" t="s">
        <v>25</v>
      </c>
      <c r="L2026">
        <v>1.49</v>
      </c>
      <c r="M2026" s="1" t="s">
        <v>23</v>
      </c>
      <c r="N2026" s="1" t="s">
        <v>2110</v>
      </c>
      <c r="O2026" s="1" t="s">
        <v>25</v>
      </c>
      <c r="P2026" s="3" t="s">
        <v>25</v>
      </c>
      <c r="Q2026" s="37" t="s">
        <v>25</v>
      </c>
      <c r="R2026" s="3" t="s">
        <v>25</v>
      </c>
      <c r="S2026" s="13">
        <f t="shared" si="53"/>
        <v>-0.3899999999999999</v>
      </c>
    </row>
    <row r="2027" spans="1:19">
      <c r="A2027" s="18" t="s">
        <v>2124</v>
      </c>
      <c r="B2027" t="s">
        <v>2104</v>
      </c>
      <c r="C2027" s="1" t="s">
        <v>2108</v>
      </c>
      <c r="D2027" t="s">
        <v>2098</v>
      </c>
      <c r="E2027" s="1" t="s">
        <v>25</v>
      </c>
      <c r="F2027">
        <v>580</v>
      </c>
      <c r="G2027">
        <v>635</v>
      </c>
      <c r="H2027">
        <v>-44</v>
      </c>
      <c r="I2027" s="1" t="s">
        <v>1490</v>
      </c>
      <c r="J2027" s="1" t="s">
        <v>2109</v>
      </c>
      <c r="K2027" s="11" t="s">
        <v>25</v>
      </c>
      <c r="L2027">
        <v>0.94</v>
      </c>
      <c r="M2027" s="1" t="s">
        <v>23</v>
      </c>
      <c r="N2027" s="1" t="s">
        <v>2110</v>
      </c>
      <c r="O2027" s="1" t="s">
        <v>25</v>
      </c>
      <c r="P2027" s="3" t="s">
        <v>25</v>
      </c>
      <c r="Q2027" s="37" t="s">
        <v>25</v>
      </c>
      <c r="R2027" s="3" t="s">
        <v>25</v>
      </c>
      <c r="S2027" s="13">
        <f t="shared" si="53"/>
        <v>-0.94</v>
      </c>
    </row>
    <row r="2028" spans="1:19">
      <c r="A2028" s="18" t="s">
        <v>2124</v>
      </c>
      <c r="B2028" t="s">
        <v>2105</v>
      </c>
      <c r="C2028" s="1" t="s">
        <v>2108</v>
      </c>
      <c r="D2028" t="s">
        <v>2098</v>
      </c>
      <c r="E2028" s="1" t="s">
        <v>25</v>
      </c>
      <c r="F2028">
        <v>580</v>
      </c>
      <c r="G2028">
        <v>635</v>
      </c>
      <c r="H2028">
        <v>-54</v>
      </c>
      <c r="I2028" s="1" t="s">
        <v>1490</v>
      </c>
      <c r="J2028" s="1" t="s">
        <v>2109</v>
      </c>
      <c r="K2028" s="11" t="s">
        <v>25</v>
      </c>
      <c r="L2028">
        <v>0.73</v>
      </c>
      <c r="M2028" s="1" t="s">
        <v>23</v>
      </c>
      <c r="N2028" s="1" t="s">
        <v>2110</v>
      </c>
      <c r="O2028" s="1" t="s">
        <v>25</v>
      </c>
      <c r="P2028" s="3" t="s">
        <v>25</v>
      </c>
      <c r="Q2028" s="37" t="s">
        <v>25</v>
      </c>
      <c r="R2028" s="3" t="s">
        <v>25</v>
      </c>
      <c r="S2028" s="13">
        <f t="shared" si="53"/>
        <v>-1.1499999999999999</v>
      </c>
    </row>
    <row r="2029" spans="1:19">
      <c r="A2029" s="18" t="s">
        <v>2124</v>
      </c>
      <c r="B2029" t="s">
        <v>2106</v>
      </c>
      <c r="C2029" s="1" t="s">
        <v>2108</v>
      </c>
      <c r="D2029" t="s">
        <v>2098</v>
      </c>
      <c r="E2029" s="1" t="s">
        <v>25</v>
      </c>
      <c r="F2029">
        <v>580</v>
      </c>
      <c r="G2029">
        <v>635</v>
      </c>
      <c r="H2029">
        <v>-65</v>
      </c>
      <c r="I2029" s="1" t="s">
        <v>1490</v>
      </c>
      <c r="J2029" s="1" t="s">
        <v>2109</v>
      </c>
      <c r="K2029" s="11" t="s">
        <v>25</v>
      </c>
      <c r="L2029">
        <v>0.77</v>
      </c>
      <c r="M2029" s="1" t="s">
        <v>23</v>
      </c>
      <c r="N2029" s="1" t="s">
        <v>2110</v>
      </c>
      <c r="O2029" s="1" t="s">
        <v>25</v>
      </c>
      <c r="P2029" s="3" t="s">
        <v>25</v>
      </c>
      <c r="Q2029" s="37" t="s">
        <v>25</v>
      </c>
      <c r="R2029" s="3" t="s">
        <v>25</v>
      </c>
      <c r="S2029" s="13">
        <f t="shared" si="53"/>
        <v>-1.1099999999999999</v>
      </c>
    </row>
    <row r="2030" spans="1:19">
      <c r="A2030" s="18" t="s">
        <v>2124</v>
      </c>
      <c r="B2030" t="s">
        <v>2107</v>
      </c>
      <c r="C2030" s="1" t="s">
        <v>2108</v>
      </c>
      <c r="D2030" t="s">
        <v>2098</v>
      </c>
      <c r="E2030" s="1" t="s">
        <v>25</v>
      </c>
      <c r="F2030">
        <v>580</v>
      </c>
      <c r="G2030">
        <v>635</v>
      </c>
      <c r="H2030">
        <v>-81</v>
      </c>
      <c r="I2030" s="1" t="s">
        <v>1490</v>
      </c>
      <c r="J2030" s="1" t="s">
        <v>2109</v>
      </c>
      <c r="K2030" s="11" t="s">
        <v>25</v>
      </c>
      <c r="L2030">
        <v>1.2</v>
      </c>
      <c r="M2030" s="1" t="s">
        <v>23</v>
      </c>
      <c r="N2030" s="1" t="s">
        <v>2110</v>
      </c>
      <c r="O2030" s="1" t="s">
        <v>25</v>
      </c>
      <c r="P2030" s="3" t="s">
        <v>25</v>
      </c>
      <c r="Q2030" s="37" t="s">
        <v>25</v>
      </c>
      <c r="R2030" s="3" t="s">
        <v>25</v>
      </c>
      <c r="S2030" s="13">
        <f t="shared" si="53"/>
        <v>-0.67999999999999994</v>
      </c>
    </row>
    <row r="2031" spans="1:19" s="4" customFormat="1">
      <c r="B2031" s="5"/>
      <c r="C2031" s="5"/>
      <c r="D2031" s="5"/>
      <c r="E2031" s="5"/>
      <c r="I2031" s="5"/>
      <c r="J2031" s="5"/>
      <c r="M2031" s="5"/>
      <c r="O2031" s="5"/>
      <c r="P2031" s="6"/>
      <c r="Q2031" s="38"/>
      <c r="S2031" s="24"/>
    </row>
    <row r="2032" spans="1:19">
      <c r="A2032" s="18" t="s">
        <v>2125</v>
      </c>
      <c r="B2032" s="1" t="s">
        <v>2111</v>
      </c>
      <c r="C2032" s="1" t="s">
        <v>2113</v>
      </c>
      <c r="D2032" s="1" t="s">
        <v>2114</v>
      </c>
      <c r="E2032" s="1" t="s">
        <v>25</v>
      </c>
      <c r="F2032">
        <v>3780</v>
      </c>
      <c r="G2032">
        <v>3780</v>
      </c>
      <c r="I2032" s="1" t="s">
        <v>1490</v>
      </c>
      <c r="J2032" s="1" t="s">
        <v>2115</v>
      </c>
      <c r="K2032" t="s">
        <v>2116</v>
      </c>
      <c r="L2032">
        <v>0.1</v>
      </c>
      <c r="M2032" s="1" t="s">
        <v>23</v>
      </c>
      <c r="N2032" s="1" t="s">
        <v>2110</v>
      </c>
      <c r="O2032" s="1" t="s">
        <v>2117</v>
      </c>
      <c r="P2032" s="3" t="s">
        <v>28</v>
      </c>
      <c r="Q2032" s="37" t="s">
        <v>25</v>
      </c>
      <c r="R2032" s="3" t="s">
        <v>25</v>
      </c>
      <c r="S2032" s="13">
        <f t="shared" si="53"/>
        <v>-1.7799999999999998</v>
      </c>
    </row>
    <row r="2033" spans="1:19">
      <c r="A2033" s="18" t="s">
        <v>2125</v>
      </c>
      <c r="B2033" s="1" t="s">
        <v>2112</v>
      </c>
      <c r="C2033" s="1" t="s">
        <v>2113</v>
      </c>
      <c r="D2033" s="1" t="s">
        <v>2114</v>
      </c>
      <c r="E2033" s="1" t="s">
        <v>25</v>
      </c>
      <c r="F2033">
        <v>3780</v>
      </c>
      <c r="G2033">
        <v>3780</v>
      </c>
      <c r="I2033" s="1" t="s">
        <v>1490</v>
      </c>
      <c r="J2033" s="1" t="s">
        <v>2115</v>
      </c>
      <c r="K2033" t="s">
        <v>2116</v>
      </c>
      <c r="L2033">
        <v>0.27</v>
      </c>
      <c r="M2033" s="1" t="s">
        <v>23</v>
      </c>
      <c r="N2033" s="1" t="s">
        <v>2110</v>
      </c>
      <c r="O2033" s="1" t="s">
        <v>2118</v>
      </c>
      <c r="P2033" s="3" t="s">
        <v>28</v>
      </c>
      <c r="Q2033" s="37" t="s">
        <v>25</v>
      </c>
      <c r="R2033" s="3" t="s">
        <v>25</v>
      </c>
      <c r="S2033" s="13">
        <f t="shared" si="53"/>
        <v>-1.6099999999999999</v>
      </c>
    </row>
    <row r="2034" spans="1:19" s="4" customFormat="1">
      <c r="B2034" s="5"/>
      <c r="C2034" s="5"/>
      <c r="D2034" s="5"/>
      <c r="E2034" s="5"/>
      <c r="I2034" s="5"/>
      <c r="J2034" s="5"/>
      <c r="M2034" s="5"/>
      <c r="O2034" s="5"/>
      <c r="P2034" s="6"/>
      <c r="Q2034" s="38"/>
      <c r="S2034" s="24"/>
    </row>
    <row r="2035" spans="1:19">
      <c r="A2035" s="35" t="s">
        <v>2126</v>
      </c>
      <c r="B2035" s="1" t="s">
        <v>2127</v>
      </c>
      <c r="C2035" s="1" t="s">
        <v>2169</v>
      </c>
      <c r="D2035" s="1" t="s">
        <v>2128</v>
      </c>
      <c r="E2035" s="1" t="s">
        <v>25</v>
      </c>
      <c r="F2035">
        <v>542</v>
      </c>
      <c r="G2035">
        <v>542</v>
      </c>
      <c r="H2035">
        <v>265.52</v>
      </c>
      <c r="I2035" s="1" t="s">
        <v>1528</v>
      </c>
      <c r="J2035" t="s">
        <v>1336</v>
      </c>
      <c r="K2035" t="s">
        <v>25</v>
      </c>
      <c r="L2035">
        <v>0.74</v>
      </c>
      <c r="M2035" s="1" t="s">
        <v>2170</v>
      </c>
      <c r="N2035" s="1" t="s">
        <v>2110</v>
      </c>
      <c r="O2035" s="1">
        <v>389</v>
      </c>
      <c r="P2035" s="3" t="s">
        <v>28</v>
      </c>
      <c r="Q2035" s="37" t="s">
        <v>25</v>
      </c>
      <c r="R2035" s="3" t="s">
        <v>25</v>
      </c>
      <c r="S2035" s="13">
        <f t="shared" si="53"/>
        <v>-1.1399999999999999</v>
      </c>
    </row>
    <row r="2036" spans="1:19">
      <c r="A2036" s="35" t="s">
        <v>2126</v>
      </c>
      <c r="B2036" s="1" t="s">
        <v>2129</v>
      </c>
      <c r="C2036" s="1" t="s">
        <v>2169</v>
      </c>
      <c r="D2036" s="1" t="s">
        <v>2128</v>
      </c>
      <c r="E2036" s="1" t="s">
        <v>25</v>
      </c>
      <c r="F2036">
        <v>542</v>
      </c>
      <c r="G2036">
        <v>542</v>
      </c>
      <c r="H2036">
        <v>259.8</v>
      </c>
      <c r="I2036" s="1" t="s">
        <v>1528</v>
      </c>
      <c r="J2036" t="s">
        <v>1336</v>
      </c>
      <c r="K2036" t="s">
        <v>25</v>
      </c>
      <c r="L2036">
        <v>0.45</v>
      </c>
      <c r="M2036" s="1" t="s">
        <v>2170</v>
      </c>
      <c r="N2036" s="1" t="s">
        <v>2110</v>
      </c>
      <c r="O2036" s="1">
        <v>3729</v>
      </c>
      <c r="P2036" s="3" t="s">
        <v>28</v>
      </c>
      <c r="Q2036" s="37" t="s">
        <v>25</v>
      </c>
      <c r="R2036" s="3" t="s">
        <v>25</v>
      </c>
      <c r="S2036" s="13">
        <f t="shared" si="53"/>
        <v>-1.43</v>
      </c>
    </row>
    <row r="2037" spans="1:19">
      <c r="A2037" s="35" t="s">
        <v>2126</v>
      </c>
      <c r="B2037" s="1" t="s">
        <v>2130</v>
      </c>
      <c r="C2037" s="1" t="s">
        <v>2169</v>
      </c>
      <c r="D2037" s="1" t="s">
        <v>2128</v>
      </c>
      <c r="E2037" s="1" t="s">
        <v>25</v>
      </c>
      <c r="F2037">
        <v>542</v>
      </c>
      <c r="G2037">
        <v>542</v>
      </c>
      <c r="H2037">
        <v>255.27</v>
      </c>
      <c r="I2037" s="1" t="s">
        <v>1528</v>
      </c>
      <c r="J2037" t="s">
        <v>1336</v>
      </c>
      <c r="K2037" t="s">
        <v>25</v>
      </c>
      <c r="L2037">
        <v>0.32</v>
      </c>
      <c r="M2037" s="1" t="s">
        <v>2170</v>
      </c>
      <c r="N2037" s="1" t="s">
        <v>2110</v>
      </c>
      <c r="O2037" s="1">
        <v>11034</v>
      </c>
      <c r="P2037" s="3" t="s">
        <v>28</v>
      </c>
      <c r="Q2037" s="37" t="s">
        <v>25</v>
      </c>
      <c r="R2037" s="3" t="s">
        <v>25</v>
      </c>
      <c r="S2037" s="13">
        <f t="shared" si="53"/>
        <v>-1.5599999999999998</v>
      </c>
    </row>
    <row r="2038" spans="1:19">
      <c r="A2038" s="35" t="s">
        <v>2126</v>
      </c>
      <c r="B2038" s="1" t="s">
        <v>2131</v>
      </c>
      <c r="C2038" s="1" t="s">
        <v>2169</v>
      </c>
      <c r="D2038" s="1" t="s">
        <v>2128</v>
      </c>
      <c r="E2038" s="1" t="s">
        <v>25</v>
      </c>
      <c r="F2038">
        <v>542</v>
      </c>
      <c r="G2038">
        <v>542</v>
      </c>
      <c r="H2038">
        <v>250.78</v>
      </c>
      <c r="I2038" s="1" t="s">
        <v>1528</v>
      </c>
      <c r="J2038" t="s">
        <v>1336</v>
      </c>
      <c r="K2038" t="s">
        <v>25</v>
      </c>
      <c r="L2038">
        <v>0.53</v>
      </c>
      <c r="M2038" s="1" t="s">
        <v>2170</v>
      </c>
      <c r="N2038" s="1" t="s">
        <v>2110</v>
      </c>
      <c r="O2038" s="1">
        <v>3241</v>
      </c>
      <c r="P2038" s="3" t="s">
        <v>28</v>
      </c>
      <c r="Q2038" s="37" t="s">
        <v>25</v>
      </c>
      <c r="R2038" s="3" t="s">
        <v>25</v>
      </c>
      <c r="S2038" s="13">
        <f t="shared" si="53"/>
        <v>-1.3499999999999999</v>
      </c>
    </row>
    <row r="2039" spans="1:19">
      <c r="A2039" s="35" t="s">
        <v>2126</v>
      </c>
      <c r="B2039" s="1" t="s">
        <v>2132</v>
      </c>
      <c r="C2039" s="1" t="s">
        <v>2169</v>
      </c>
      <c r="D2039" s="1" t="s">
        <v>2128</v>
      </c>
      <c r="E2039" s="1" t="s">
        <v>25</v>
      </c>
      <c r="F2039">
        <v>542</v>
      </c>
      <c r="G2039">
        <v>542</v>
      </c>
      <c r="H2039">
        <v>217.4</v>
      </c>
      <c r="I2039" s="1" t="s">
        <v>1528</v>
      </c>
      <c r="J2039" t="s">
        <v>1491</v>
      </c>
      <c r="K2039" t="s">
        <v>25</v>
      </c>
      <c r="L2039">
        <v>1.04</v>
      </c>
      <c r="M2039" s="1" t="s">
        <v>2170</v>
      </c>
      <c r="N2039" s="1" t="s">
        <v>2110</v>
      </c>
      <c r="O2039" s="1">
        <v>63</v>
      </c>
      <c r="P2039" s="3" t="s">
        <v>28</v>
      </c>
      <c r="Q2039" s="37" t="s">
        <v>25</v>
      </c>
      <c r="R2039" s="3" t="s">
        <v>25</v>
      </c>
      <c r="S2039" s="13">
        <f t="shared" si="53"/>
        <v>-0.83999999999999986</v>
      </c>
    </row>
    <row r="2040" spans="1:19">
      <c r="A2040" s="35" t="s">
        <v>2126</v>
      </c>
      <c r="B2040" s="1" t="s">
        <v>2133</v>
      </c>
      <c r="C2040" s="1" t="s">
        <v>2169</v>
      </c>
      <c r="D2040" s="1" t="s">
        <v>2134</v>
      </c>
      <c r="E2040" s="1" t="s">
        <v>25</v>
      </c>
      <c r="F2040">
        <v>551</v>
      </c>
      <c r="G2040">
        <v>551</v>
      </c>
      <c r="H2040">
        <v>199.46</v>
      </c>
      <c r="I2040" s="1" t="s">
        <v>1528</v>
      </c>
      <c r="J2040" t="s">
        <v>1336</v>
      </c>
      <c r="K2040" t="s">
        <v>25</v>
      </c>
      <c r="L2040">
        <v>0.75</v>
      </c>
      <c r="M2040" s="1" t="s">
        <v>2170</v>
      </c>
      <c r="N2040" s="1" t="s">
        <v>2110</v>
      </c>
      <c r="O2040" s="1">
        <v>154</v>
      </c>
      <c r="P2040" s="3" t="s">
        <v>28</v>
      </c>
      <c r="Q2040" s="37" t="s">
        <v>25</v>
      </c>
      <c r="R2040" s="3" t="s">
        <v>25</v>
      </c>
      <c r="S2040" s="13">
        <f t="shared" si="53"/>
        <v>-1.1299999999999999</v>
      </c>
    </row>
    <row r="2041" spans="1:19">
      <c r="A2041" s="35" t="s">
        <v>2126</v>
      </c>
      <c r="B2041" s="1" t="s">
        <v>2135</v>
      </c>
      <c r="C2041" s="1" t="s">
        <v>2169</v>
      </c>
      <c r="D2041" s="1" t="s">
        <v>2134</v>
      </c>
      <c r="E2041" s="1" t="s">
        <v>25</v>
      </c>
      <c r="F2041">
        <v>551</v>
      </c>
      <c r="G2041">
        <v>551</v>
      </c>
      <c r="H2041">
        <v>187.08</v>
      </c>
      <c r="I2041" s="1" t="s">
        <v>1528</v>
      </c>
      <c r="J2041" t="s">
        <v>1336</v>
      </c>
      <c r="K2041" t="s">
        <v>25</v>
      </c>
      <c r="L2041">
        <v>0.94</v>
      </c>
      <c r="M2041" s="1" t="s">
        <v>2170</v>
      </c>
      <c r="N2041" s="1" t="s">
        <v>2110</v>
      </c>
      <c r="O2041" s="1">
        <v>177</v>
      </c>
      <c r="P2041" s="3" t="s">
        <v>28</v>
      </c>
      <c r="Q2041" s="37" t="s">
        <v>25</v>
      </c>
      <c r="R2041" s="3" t="s">
        <v>25</v>
      </c>
      <c r="S2041" s="13">
        <f t="shared" si="53"/>
        <v>-0.94</v>
      </c>
    </row>
    <row r="2042" spans="1:19">
      <c r="A2042" s="35" t="s">
        <v>2126</v>
      </c>
      <c r="B2042" s="1" t="s">
        <v>2136</v>
      </c>
      <c r="C2042" s="1" t="s">
        <v>2169</v>
      </c>
      <c r="D2042" s="1" t="s">
        <v>2134</v>
      </c>
      <c r="E2042" s="1" t="s">
        <v>25</v>
      </c>
      <c r="F2042">
        <v>551</v>
      </c>
      <c r="G2042">
        <v>551</v>
      </c>
      <c r="H2042">
        <v>180.77</v>
      </c>
      <c r="I2042" s="1" t="s">
        <v>1528</v>
      </c>
      <c r="J2042" t="s">
        <v>1336</v>
      </c>
      <c r="K2042" t="s">
        <v>25</v>
      </c>
      <c r="L2042">
        <v>0.78</v>
      </c>
      <c r="M2042" s="1" t="s">
        <v>2170</v>
      </c>
      <c r="N2042" s="1" t="s">
        <v>2110</v>
      </c>
      <c r="O2042" s="1">
        <v>172</v>
      </c>
      <c r="P2042" s="3" t="s">
        <v>28</v>
      </c>
      <c r="Q2042" s="37" t="s">
        <v>25</v>
      </c>
      <c r="R2042" s="3" t="s">
        <v>25</v>
      </c>
      <c r="S2042" s="13">
        <f t="shared" si="53"/>
        <v>-1.0999999999999999</v>
      </c>
    </row>
    <row r="2043" spans="1:19">
      <c r="A2043" s="35" t="s">
        <v>2126</v>
      </c>
      <c r="B2043" s="1" t="s">
        <v>2137</v>
      </c>
      <c r="C2043" s="1" t="s">
        <v>2169</v>
      </c>
      <c r="D2043" s="1" t="s">
        <v>2134</v>
      </c>
      <c r="E2043" s="1" t="s">
        <v>25</v>
      </c>
      <c r="F2043">
        <v>551</v>
      </c>
      <c r="G2043">
        <v>551</v>
      </c>
      <c r="H2043">
        <v>154.43</v>
      </c>
      <c r="I2043" s="1" t="s">
        <v>1528</v>
      </c>
      <c r="J2043" t="s">
        <v>1491</v>
      </c>
      <c r="K2043" t="s">
        <v>25</v>
      </c>
      <c r="L2043">
        <v>0.92</v>
      </c>
      <c r="M2043" s="1" t="s">
        <v>2170</v>
      </c>
      <c r="N2043" s="1" t="s">
        <v>2110</v>
      </c>
      <c r="O2043" s="1">
        <v>53</v>
      </c>
      <c r="P2043" s="3" t="s">
        <v>28</v>
      </c>
      <c r="Q2043" s="37" t="s">
        <v>25</v>
      </c>
      <c r="R2043" s="3" t="s">
        <v>25</v>
      </c>
      <c r="S2043" s="13">
        <f t="shared" si="53"/>
        <v>-0.95999999999999985</v>
      </c>
    </row>
    <row r="2044" spans="1:19">
      <c r="A2044" s="35" t="s">
        <v>2126</v>
      </c>
      <c r="B2044" s="1" t="s">
        <v>2138</v>
      </c>
      <c r="C2044" s="1" t="s">
        <v>2169</v>
      </c>
      <c r="D2044" s="1" t="s">
        <v>2134</v>
      </c>
      <c r="E2044" s="1" t="s">
        <v>25</v>
      </c>
      <c r="F2044">
        <v>551</v>
      </c>
      <c r="G2044">
        <v>551</v>
      </c>
      <c r="H2044">
        <v>152.37</v>
      </c>
      <c r="I2044" s="1" t="s">
        <v>1528</v>
      </c>
      <c r="J2044" t="s">
        <v>1491</v>
      </c>
      <c r="K2044" t="s">
        <v>25</v>
      </c>
      <c r="L2044">
        <v>0.85</v>
      </c>
      <c r="M2044" s="1" t="s">
        <v>2170</v>
      </c>
      <c r="N2044" s="1" t="s">
        <v>2110</v>
      </c>
      <c r="O2044" s="1">
        <v>105</v>
      </c>
      <c r="P2044" s="3" t="s">
        <v>28</v>
      </c>
      <c r="Q2044" s="37" t="s">
        <v>25</v>
      </c>
      <c r="R2044" s="3" t="s">
        <v>25</v>
      </c>
      <c r="S2044" s="13">
        <f t="shared" si="53"/>
        <v>-1.0299999999999998</v>
      </c>
    </row>
    <row r="2045" spans="1:19">
      <c r="A2045" s="35" t="s">
        <v>2126</v>
      </c>
      <c r="B2045" s="1" t="s">
        <v>2139</v>
      </c>
      <c r="C2045" s="1" t="s">
        <v>2169</v>
      </c>
      <c r="D2045" s="1" t="s">
        <v>2134</v>
      </c>
      <c r="E2045" s="1" t="s">
        <v>25</v>
      </c>
      <c r="F2045">
        <v>551</v>
      </c>
      <c r="G2045">
        <v>551</v>
      </c>
      <c r="H2045">
        <v>150.97999999999999</v>
      </c>
      <c r="I2045" s="1" t="s">
        <v>1528</v>
      </c>
      <c r="J2045" t="s">
        <v>1491</v>
      </c>
      <c r="K2045" t="s">
        <v>25</v>
      </c>
      <c r="L2045">
        <v>0.67</v>
      </c>
      <c r="M2045" s="1" t="s">
        <v>2170</v>
      </c>
      <c r="N2045" s="1" t="s">
        <v>2110</v>
      </c>
      <c r="O2045" s="1">
        <v>131</v>
      </c>
      <c r="P2045" s="3" t="s">
        <v>28</v>
      </c>
      <c r="Q2045" s="37" t="s">
        <v>25</v>
      </c>
      <c r="R2045" s="3" t="s">
        <v>25</v>
      </c>
      <c r="S2045" s="13">
        <f t="shared" si="53"/>
        <v>-1.21</v>
      </c>
    </row>
    <row r="2046" spans="1:19">
      <c r="A2046" s="35" t="s">
        <v>2126</v>
      </c>
      <c r="B2046" s="1" t="s">
        <v>2140</v>
      </c>
      <c r="C2046" s="1" t="s">
        <v>2169</v>
      </c>
      <c r="D2046" s="1" t="s">
        <v>2134</v>
      </c>
      <c r="E2046" s="1" t="s">
        <v>25</v>
      </c>
      <c r="F2046">
        <v>551</v>
      </c>
      <c r="G2046">
        <v>551</v>
      </c>
      <c r="H2046">
        <v>147.43</v>
      </c>
      <c r="I2046" s="1" t="s">
        <v>1528</v>
      </c>
      <c r="J2046" t="s">
        <v>1491</v>
      </c>
      <c r="K2046" t="s">
        <v>25</v>
      </c>
      <c r="L2046">
        <v>0.81</v>
      </c>
      <c r="M2046" s="1" t="s">
        <v>2170</v>
      </c>
      <c r="N2046" s="1" t="s">
        <v>2110</v>
      </c>
      <c r="O2046" s="1">
        <v>160</v>
      </c>
      <c r="P2046" s="3" t="s">
        <v>28</v>
      </c>
      <c r="Q2046" s="37" t="s">
        <v>25</v>
      </c>
      <c r="R2046" s="3" t="s">
        <v>25</v>
      </c>
      <c r="S2046" s="13">
        <f t="shared" si="53"/>
        <v>-1.0699999999999998</v>
      </c>
    </row>
    <row r="2047" spans="1:19">
      <c r="A2047" s="35" t="s">
        <v>2126</v>
      </c>
      <c r="B2047" s="1" t="s">
        <v>2141</v>
      </c>
      <c r="C2047" s="1" t="s">
        <v>2169</v>
      </c>
      <c r="D2047" s="1" t="s">
        <v>2134</v>
      </c>
      <c r="E2047" s="1" t="s">
        <v>25</v>
      </c>
      <c r="F2047">
        <v>551</v>
      </c>
      <c r="G2047">
        <v>551</v>
      </c>
      <c r="H2047">
        <v>143.53</v>
      </c>
      <c r="I2047" s="1" t="s">
        <v>1528</v>
      </c>
      <c r="J2047" t="s">
        <v>1491</v>
      </c>
      <c r="K2047" t="s">
        <v>25</v>
      </c>
      <c r="L2047">
        <v>0.86</v>
      </c>
      <c r="M2047" s="1" t="s">
        <v>2170</v>
      </c>
      <c r="N2047" s="1" t="s">
        <v>2110</v>
      </c>
      <c r="O2047" s="1">
        <v>110</v>
      </c>
      <c r="P2047" s="3" t="s">
        <v>28</v>
      </c>
      <c r="Q2047" s="37" t="s">
        <v>25</v>
      </c>
      <c r="R2047" s="3" t="s">
        <v>25</v>
      </c>
      <c r="S2047" s="13">
        <f t="shared" si="53"/>
        <v>-1.02</v>
      </c>
    </row>
    <row r="2048" spans="1:19">
      <c r="A2048" s="35" t="s">
        <v>2126</v>
      </c>
      <c r="B2048" s="1" t="s">
        <v>2142</v>
      </c>
      <c r="C2048" s="1" t="s">
        <v>2169</v>
      </c>
      <c r="D2048" s="1" t="s">
        <v>2134</v>
      </c>
      <c r="E2048" s="1" t="s">
        <v>25</v>
      </c>
      <c r="F2048">
        <v>551</v>
      </c>
      <c r="G2048">
        <v>551</v>
      </c>
      <c r="H2048">
        <v>141.13</v>
      </c>
      <c r="I2048" s="1" t="s">
        <v>1528</v>
      </c>
      <c r="J2048" t="s">
        <v>1491</v>
      </c>
      <c r="K2048" t="s">
        <v>25</v>
      </c>
      <c r="L2048">
        <v>0.75</v>
      </c>
      <c r="M2048" s="1" t="s">
        <v>2170</v>
      </c>
      <c r="N2048" s="1" t="s">
        <v>2110</v>
      </c>
      <c r="O2048" s="1">
        <v>104</v>
      </c>
      <c r="P2048" s="3" t="s">
        <v>28</v>
      </c>
      <c r="Q2048" s="37" t="s">
        <v>25</v>
      </c>
      <c r="R2048" s="3" t="s">
        <v>25</v>
      </c>
      <c r="S2048" s="13">
        <f t="shared" si="53"/>
        <v>-1.1299999999999999</v>
      </c>
    </row>
    <row r="2049" spans="1:19">
      <c r="A2049" s="35" t="s">
        <v>2126</v>
      </c>
      <c r="B2049" s="1" t="s">
        <v>2143</v>
      </c>
      <c r="C2049" s="1" t="s">
        <v>2169</v>
      </c>
      <c r="D2049" s="1" t="s">
        <v>2134</v>
      </c>
      <c r="E2049" s="1" t="s">
        <v>25</v>
      </c>
      <c r="F2049">
        <v>551</v>
      </c>
      <c r="G2049">
        <v>551</v>
      </c>
      <c r="H2049">
        <v>140.24</v>
      </c>
      <c r="I2049" s="1" t="s">
        <v>1528</v>
      </c>
      <c r="J2049" t="s">
        <v>1491</v>
      </c>
      <c r="K2049" t="s">
        <v>25</v>
      </c>
      <c r="L2049">
        <v>0.79</v>
      </c>
      <c r="M2049" s="1" t="s">
        <v>2170</v>
      </c>
      <c r="N2049" s="1" t="s">
        <v>2110</v>
      </c>
      <c r="O2049" s="1">
        <v>92</v>
      </c>
      <c r="P2049" s="3" t="s">
        <v>28</v>
      </c>
      <c r="Q2049" s="37" t="s">
        <v>25</v>
      </c>
      <c r="R2049" s="3" t="s">
        <v>25</v>
      </c>
      <c r="S2049" s="13">
        <f t="shared" si="53"/>
        <v>-1.0899999999999999</v>
      </c>
    </row>
    <row r="2050" spans="1:19">
      <c r="A2050" s="35" t="s">
        <v>2126</v>
      </c>
      <c r="B2050" s="1" t="s">
        <v>2144</v>
      </c>
      <c r="C2050" s="1" t="s">
        <v>2169</v>
      </c>
      <c r="D2050" s="1" t="s">
        <v>2134</v>
      </c>
      <c r="E2050" s="1" t="s">
        <v>25</v>
      </c>
      <c r="F2050">
        <v>551</v>
      </c>
      <c r="G2050">
        <v>551</v>
      </c>
      <c r="H2050">
        <v>133.24</v>
      </c>
      <c r="I2050" s="1" t="s">
        <v>1528</v>
      </c>
      <c r="J2050" t="s">
        <v>1491</v>
      </c>
      <c r="K2050" t="s">
        <v>25</v>
      </c>
      <c r="L2050">
        <v>0.83</v>
      </c>
      <c r="M2050" s="1" t="s">
        <v>2170</v>
      </c>
      <c r="N2050" s="1" t="s">
        <v>2110</v>
      </c>
      <c r="O2050" s="1">
        <v>126</v>
      </c>
      <c r="P2050" s="3" t="s">
        <v>28</v>
      </c>
      <c r="Q2050" s="37" t="s">
        <v>25</v>
      </c>
      <c r="R2050" s="3" t="s">
        <v>25</v>
      </c>
      <c r="S2050" s="13">
        <f t="shared" si="53"/>
        <v>-1.0499999999999998</v>
      </c>
    </row>
    <row r="2051" spans="1:19">
      <c r="A2051" s="35" t="s">
        <v>2126</v>
      </c>
      <c r="B2051" s="1" t="s">
        <v>2145</v>
      </c>
      <c r="C2051" s="1" t="s">
        <v>2169</v>
      </c>
      <c r="D2051" s="1" t="s">
        <v>2134</v>
      </c>
      <c r="E2051" s="1" t="s">
        <v>25</v>
      </c>
      <c r="F2051">
        <v>551</v>
      </c>
      <c r="G2051">
        <v>551</v>
      </c>
      <c r="H2051">
        <v>132.47999999999999</v>
      </c>
      <c r="I2051" s="1" t="s">
        <v>1528</v>
      </c>
      <c r="J2051" t="s">
        <v>1491</v>
      </c>
      <c r="K2051" t="s">
        <v>25</v>
      </c>
      <c r="L2051">
        <v>0.64</v>
      </c>
      <c r="M2051" s="1" t="s">
        <v>2170</v>
      </c>
      <c r="N2051" s="1" t="s">
        <v>2110</v>
      </c>
      <c r="O2051" s="1">
        <v>183</v>
      </c>
      <c r="P2051" s="3" t="s">
        <v>28</v>
      </c>
      <c r="Q2051" s="37" t="s">
        <v>25</v>
      </c>
      <c r="R2051" s="3" t="s">
        <v>25</v>
      </c>
      <c r="S2051" s="13">
        <f t="shared" si="53"/>
        <v>-1.2399999999999998</v>
      </c>
    </row>
    <row r="2052" spans="1:19">
      <c r="A2052" s="35" t="s">
        <v>2126</v>
      </c>
      <c r="B2052" s="1" t="s">
        <v>2146</v>
      </c>
      <c r="C2052" s="1" t="s">
        <v>2169</v>
      </c>
      <c r="D2052" s="1" t="s">
        <v>2134</v>
      </c>
      <c r="E2052" s="1" t="s">
        <v>25</v>
      </c>
      <c r="F2052">
        <v>551</v>
      </c>
      <c r="G2052">
        <v>551</v>
      </c>
      <c r="H2052">
        <v>126.19</v>
      </c>
      <c r="I2052" s="1" t="s">
        <v>1528</v>
      </c>
      <c r="J2052" t="s">
        <v>1491</v>
      </c>
      <c r="K2052" t="s">
        <v>25</v>
      </c>
      <c r="L2052">
        <v>0.68</v>
      </c>
      <c r="M2052" s="1" t="s">
        <v>2170</v>
      </c>
      <c r="N2052" s="1" t="s">
        <v>2110</v>
      </c>
      <c r="O2052" s="1">
        <v>293</v>
      </c>
      <c r="P2052" s="3" t="s">
        <v>28</v>
      </c>
      <c r="Q2052" s="37" t="s">
        <v>25</v>
      </c>
      <c r="R2052" s="3" t="s">
        <v>25</v>
      </c>
      <c r="S2052" s="13">
        <f t="shared" si="53"/>
        <v>-1.1999999999999997</v>
      </c>
    </row>
    <row r="2053" spans="1:19">
      <c r="A2053" s="35" t="s">
        <v>2126</v>
      </c>
      <c r="B2053" s="1" t="s">
        <v>2147</v>
      </c>
      <c r="C2053" s="1" t="s">
        <v>2169</v>
      </c>
      <c r="D2053" s="1" t="s">
        <v>2134</v>
      </c>
      <c r="E2053" s="1" t="s">
        <v>25</v>
      </c>
      <c r="F2053">
        <v>551</v>
      </c>
      <c r="G2053">
        <v>551</v>
      </c>
      <c r="H2053">
        <v>125.69</v>
      </c>
      <c r="I2053" s="1" t="s">
        <v>1528</v>
      </c>
      <c r="J2053" t="s">
        <v>1491</v>
      </c>
      <c r="K2053" t="s">
        <v>25</v>
      </c>
      <c r="L2053">
        <v>0.88</v>
      </c>
      <c r="M2053" s="1" t="s">
        <v>2170</v>
      </c>
      <c r="N2053" s="1" t="s">
        <v>2110</v>
      </c>
      <c r="O2053" s="1">
        <v>133</v>
      </c>
      <c r="P2053" s="3" t="s">
        <v>28</v>
      </c>
      <c r="Q2053" s="37" t="s">
        <v>25</v>
      </c>
      <c r="R2053" s="3" t="s">
        <v>25</v>
      </c>
      <c r="S2053" s="13">
        <f t="shared" si="53"/>
        <v>-0.99999999999999989</v>
      </c>
    </row>
    <row r="2054" spans="1:19">
      <c r="A2054" s="35" t="s">
        <v>2126</v>
      </c>
      <c r="B2054" s="1" t="s">
        <v>2148</v>
      </c>
      <c r="C2054" s="1" t="s">
        <v>2169</v>
      </c>
      <c r="D2054" s="1" t="s">
        <v>2134</v>
      </c>
      <c r="E2054" s="1" t="s">
        <v>25</v>
      </c>
      <c r="F2054">
        <v>551</v>
      </c>
      <c r="G2054">
        <v>551</v>
      </c>
      <c r="H2054">
        <v>121.16</v>
      </c>
      <c r="I2054" s="1" t="s">
        <v>1528</v>
      </c>
      <c r="J2054" t="s">
        <v>1491</v>
      </c>
      <c r="K2054" t="s">
        <v>25</v>
      </c>
      <c r="L2054">
        <v>0.77</v>
      </c>
      <c r="M2054" s="1" t="s">
        <v>2170</v>
      </c>
      <c r="N2054" s="1" t="s">
        <v>2110</v>
      </c>
      <c r="O2054" s="1">
        <v>233</v>
      </c>
      <c r="P2054" s="3" t="s">
        <v>28</v>
      </c>
      <c r="Q2054" s="37" t="s">
        <v>25</v>
      </c>
      <c r="R2054" s="3" t="s">
        <v>25</v>
      </c>
      <c r="S2054" s="13">
        <f t="shared" si="53"/>
        <v>-1.1099999999999999</v>
      </c>
    </row>
    <row r="2055" spans="1:19">
      <c r="A2055" s="35" t="s">
        <v>2126</v>
      </c>
      <c r="B2055" s="1" t="s">
        <v>2149</v>
      </c>
      <c r="C2055" s="1" t="s">
        <v>2169</v>
      </c>
      <c r="D2055" s="1" t="s">
        <v>2134</v>
      </c>
      <c r="E2055" s="1" t="s">
        <v>25</v>
      </c>
      <c r="F2055">
        <v>551</v>
      </c>
      <c r="G2055">
        <v>551</v>
      </c>
      <c r="H2055">
        <v>117.23</v>
      </c>
      <c r="I2055" s="1" t="s">
        <v>1528</v>
      </c>
      <c r="J2055" t="s">
        <v>1491</v>
      </c>
      <c r="K2055" t="s">
        <v>25</v>
      </c>
      <c r="L2055">
        <v>1.03</v>
      </c>
      <c r="M2055" s="1" t="s">
        <v>2170</v>
      </c>
      <c r="N2055" s="1" t="s">
        <v>2110</v>
      </c>
      <c r="O2055" s="1">
        <v>215</v>
      </c>
      <c r="P2055" s="3" t="s">
        <v>28</v>
      </c>
      <c r="Q2055" s="37" t="s">
        <v>25</v>
      </c>
      <c r="R2055" s="3" t="s">
        <v>25</v>
      </c>
      <c r="S2055" s="13">
        <f t="shared" si="53"/>
        <v>-0.84999999999999987</v>
      </c>
    </row>
    <row r="2056" spans="1:19">
      <c r="A2056" s="35" t="s">
        <v>2126</v>
      </c>
      <c r="B2056" s="1" t="s">
        <v>2150</v>
      </c>
      <c r="C2056" s="1" t="s">
        <v>2169</v>
      </c>
      <c r="D2056" s="1" t="s">
        <v>2134</v>
      </c>
      <c r="E2056" s="1" t="s">
        <v>25</v>
      </c>
      <c r="F2056">
        <v>551</v>
      </c>
      <c r="G2056">
        <v>551</v>
      </c>
      <c r="H2056">
        <v>113.15</v>
      </c>
      <c r="I2056" s="1" t="s">
        <v>1528</v>
      </c>
      <c r="J2056" t="s">
        <v>1491</v>
      </c>
      <c r="K2056" t="s">
        <v>25</v>
      </c>
      <c r="L2056">
        <v>1.05</v>
      </c>
      <c r="M2056" s="1" t="s">
        <v>2170</v>
      </c>
      <c r="N2056" s="1" t="s">
        <v>2110</v>
      </c>
      <c r="O2056" s="1">
        <v>271</v>
      </c>
      <c r="P2056" s="3" t="s">
        <v>28</v>
      </c>
      <c r="Q2056" s="37" t="s">
        <v>25</v>
      </c>
      <c r="R2056" s="3" t="s">
        <v>25</v>
      </c>
      <c r="S2056" s="13">
        <f t="shared" si="53"/>
        <v>-0.82999999999999985</v>
      </c>
    </row>
    <row r="2057" spans="1:19">
      <c r="A2057" s="35" t="s">
        <v>2126</v>
      </c>
      <c r="B2057" s="1" t="s">
        <v>2151</v>
      </c>
      <c r="C2057" s="1" t="s">
        <v>2169</v>
      </c>
      <c r="D2057" s="1" t="s">
        <v>2134</v>
      </c>
      <c r="E2057" s="1" t="s">
        <v>25</v>
      </c>
      <c r="F2057">
        <v>551</v>
      </c>
      <c r="G2057">
        <v>551</v>
      </c>
      <c r="H2057">
        <v>108.92</v>
      </c>
      <c r="I2057" s="1" t="s">
        <v>1528</v>
      </c>
      <c r="J2057" t="s">
        <v>1491</v>
      </c>
      <c r="K2057" t="s">
        <v>25</v>
      </c>
      <c r="L2057">
        <v>0.81</v>
      </c>
      <c r="M2057" s="1" t="s">
        <v>2170</v>
      </c>
      <c r="N2057" s="1" t="s">
        <v>2110</v>
      </c>
      <c r="O2057" s="1">
        <v>265</v>
      </c>
      <c r="P2057" s="3" t="s">
        <v>28</v>
      </c>
      <c r="Q2057" s="37" t="s">
        <v>25</v>
      </c>
      <c r="R2057" s="3" t="s">
        <v>25</v>
      </c>
      <c r="S2057" s="13">
        <f t="shared" si="53"/>
        <v>-1.0699999999999998</v>
      </c>
    </row>
    <row r="2058" spans="1:19">
      <c r="A2058" s="35" t="s">
        <v>2126</v>
      </c>
      <c r="B2058" s="1" t="s">
        <v>2152</v>
      </c>
      <c r="C2058" s="1" t="s">
        <v>2169</v>
      </c>
      <c r="D2058" s="1" t="s">
        <v>2134</v>
      </c>
      <c r="E2058" s="1" t="s">
        <v>25</v>
      </c>
      <c r="F2058">
        <v>551</v>
      </c>
      <c r="G2058">
        <v>551</v>
      </c>
      <c r="H2058">
        <v>98.88</v>
      </c>
      <c r="I2058" s="1" t="s">
        <v>1528</v>
      </c>
      <c r="J2058" t="s">
        <v>1491</v>
      </c>
      <c r="K2058" t="s">
        <v>25</v>
      </c>
      <c r="L2058">
        <v>1.06</v>
      </c>
      <c r="M2058" s="1" t="s">
        <v>2170</v>
      </c>
      <c r="N2058" s="1" t="s">
        <v>2110</v>
      </c>
      <c r="O2058" s="1">
        <v>383</v>
      </c>
      <c r="P2058" s="3" t="s">
        <v>28</v>
      </c>
      <c r="Q2058" s="37" t="s">
        <v>25</v>
      </c>
      <c r="R2058" s="3" t="s">
        <v>25</v>
      </c>
      <c r="S2058" s="13">
        <f t="shared" si="53"/>
        <v>-0.81999999999999984</v>
      </c>
    </row>
    <row r="2059" spans="1:19">
      <c r="A2059" s="35" t="s">
        <v>2126</v>
      </c>
      <c r="B2059" s="1" t="s">
        <v>2153</v>
      </c>
      <c r="C2059" s="1" t="s">
        <v>2169</v>
      </c>
      <c r="D2059" s="1" t="s">
        <v>2134</v>
      </c>
      <c r="E2059" s="1" t="s">
        <v>25</v>
      </c>
      <c r="F2059">
        <v>551</v>
      </c>
      <c r="G2059">
        <v>551</v>
      </c>
      <c r="H2059">
        <v>91.46</v>
      </c>
      <c r="I2059" s="1" t="s">
        <v>1528</v>
      </c>
      <c r="J2059" t="s">
        <v>1491</v>
      </c>
      <c r="K2059" t="s">
        <v>25</v>
      </c>
      <c r="L2059">
        <v>0.81</v>
      </c>
      <c r="M2059" s="1" t="s">
        <v>2170</v>
      </c>
      <c r="N2059" s="1" t="s">
        <v>2110</v>
      </c>
      <c r="O2059" s="1">
        <v>223</v>
      </c>
      <c r="P2059" s="3" t="s">
        <v>28</v>
      </c>
      <c r="Q2059" s="37" t="s">
        <v>25</v>
      </c>
      <c r="R2059" s="3" t="s">
        <v>25</v>
      </c>
      <c r="S2059" s="13">
        <f t="shared" si="53"/>
        <v>-1.0699999999999998</v>
      </c>
    </row>
    <row r="2060" spans="1:19">
      <c r="A2060" s="35" t="s">
        <v>2126</v>
      </c>
      <c r="B2060" s="1" t="s">
        <v>2154</v>
      </c>
      <c r="C2060" s="1" t="s">
        <v>2169</v>
      </c>
      <c r="D2060" s="1" t="s">
        <v>2134</v>
      </c>
      <c r="E2060" s="1" t="s">
        <v>25</v>
      </c>
      <c r="F2060">
        <v>551</v>
      </c>
      <c r="G2060">
        <v>551</v>
      </c>
      <c r="H2060">
        <v>71.63</v>
      </c>
      <c r="I2060" s="1" t="s">
        <v>1528</v>
      </c>
      <c r="J2060" t="s">
        <v>1491</v>
      </c>
      <c r="K2060" t="s">
        <v>25</v>
      </c>
      <c r="L2060">
        <v>0.95</v>
      </c>
      <c r="M2060" s="1" t="s">
        <v>2170</v>
      </c>
      <c r="N2060" s="1" t="s">
        <v>2110</v>
      </c>
      <c r="O2060" s="1">
        <v>524</v>
      </c>
      <c r="P2060" s="3" t="s">
        <v>28</v>
      </c>
      <c r="Q2060" s="37" t="s">
        <v>25</v>
      </c>
      <c r="R2060" s="3" t="s">
        <v>25</v>
      </c>
      <c r="S2060" s="13">
        <f t="shared" si="53"/>
        <v>-0.92999999999999994</v>
      </c>
    </row>
    <row r="2061" spans="1:19">
      <c r="A2061" s="35" t="s">
        <v>2126</v>
      </c>
      <c r="B2061" s="1" t="s">
        <v>2155</v>
      </c>
      <c r="C2061" s="1" t="s">
        <v>2169</v>
      </c>
      <c r="D2061" s="1" t="s">
        <v>2134</v>
      </c>
      <c r="E2061" s="1" t="s">
        <v>25</v>
      </c>
      <c r="F2061">
        <v>551</v>
      </c>
      <c r="G2061">
        <v>551</v>
      </c>
      <c r="H2061">
        <v>59.75</v>
      </c>
      <c r="I2061" s="1" t="s">
        <v>1528</v>
      </c>
      <c r="J2061" t="s">
        <v>1491</v>
      </c>
      <c r="K2061" t="s">
        <v>25</v>
      </c>
      <c r="L2061">
        <v>0.89</v>
      </c>
      <c r="M2061" s="1" t="s">
        <v>2170</v>
      </c>
      <c r="N2061" s="1" t="s">
        <v>2110</v>
      </c>
      <c r="O2061" s="1">
        <v>474</v>
      </c>
      <c r="P2061" s="3" t="s">
        <v>28</v>
      </c>
      <c r="Q2061" s="37" t="s">
        <v>25</v>
      </c>
      <c r="R2061" s="3" t="s">
        <v>25</v>
      </c>
      <c r="S2061" s="13">
        <f t="shared" si="53"/>
        <v>-0.98999999999999988</v>
      </c>
    </row>
    <row r="2062" spans="1:19">
      <c r="A2062" s="35" t="s">
        <v>2126</v>
      </c>
      <c r="B2062" s="1" t="s">
        <v>2156</v>
      </c>
      <c r="C2062" s="1" t="s">
        <v>2169</v>
      </c>
      <c r="D2062" s="1" t="s">
        <v>2134</v>
      </c>
      <c r="E2062" s="1" t="s">
        <v>25</v>
      </c>
      <c r="F2062">
        <v>551</v>
      </c>
      <c r="G2062">
        <v>551</v>
      </c>
      <c r="H2062">
        <v>56.05</v>
      </c>
      <c r="I2062" s="1" t="s">
        <v>1528</v>
      </c>
      <c r="J2062" t="s">
        <v>1491</v>
      </c>
      <c r="K2062" t="s">
        <v>25</v>
      </c>
      <c r="L2062">
        <v>0.99</v>
      </c>
      <c r="M2062" s="1" t="s">
        <v>2170</v>
      </c>
      <c r="N2062" s="1" t="s">
        <v>2110</v>
      </c>
      <c r="O2062" s="1">
        <v>659</v>
      </c>
      <c r="P2062" s="3" t="s">
        <v>28</v>
      </c>
      <c r="Q2062" s="37" t="s">
        <v>25</v>
      </c>
      <c r="R2062" s="3" t="s">
        <v>25</v>
      </c>
      <c r="S2062" s="13">
        <f t="shared" si="53"/>
        <v>-0.8899999999999999</v>
      </c>
    </row>
    <row r="2063" spans="1:19">
      <c r="A2063" s="35" t="s">
        <v>2126</v>
      </c>
      <c r="B2063" s="1" t="s">
        <v>2157</v>
      </c>
      <c r="C2063" s="1" t="s">
        <v>2169</v>
      </c>
      <c r="D2063" s="1" t="s">
        <v>2134</v>
      </c>
      <c r="E2063" s="1" t="s">
        <v>25</v>
      </c>
      <c r="F2063">
        <v>551</v>
      </c>
      <c r="G2063">
        <v>551</v>
      </c>
      <c r="H2063">
        <v>45.76</v>
      </c>
      <c r="I2063" s="1" t="s">
        <v>1528</v>
      </c>
      <c r="J2063" t="s">
        <v>1491</v>
      </c>
      <c r="K2063" t="s">
        <v>25</v>
      </c>
      <c r="L2063">
        <v>1.02</v>
      </c>
      <c r="M2063" s="1" t="s">
        <v>2170</v>
      </c>
      <c r="N2063" s="1" t="s">
        <v>2110</v>
      </c>
      <c r="O2063" s="1">
        <v>487</v>
      </c>
      <c r="P2063" s="3" t="s">
        <v>28</v>
      </c>
      <c r="Q2063" s="37" t="s">
        <v>25</v>
      </c>
      <c r="R2063" s="3" t="s">
        <v>25</v>
      </c>
      <c r="S2063" s="13">
        <f t="shared" si="53"/>
        <v>-0.85999999999999988</v>
      </c>
    </row>
    <row r="2064" spans="1:19">
      <c r="A2064" s="35" t="s">
        <v>2126</v>
      </c>
      <c r="B2064" s="1" t="s">
        <v>2158</v>
      </c>
      <c r="C2064" s="1" t="s">
        <v>2169</v>
      </c>
      <c r="D2064" s="1" t="s">
        <v>2134</v>
      </c>
      <c r="E2064" s="1" t="s">
        <v>25</v>
      </c>
      <c r="F2064">
        <v>551</v>
      </c>
      <c r="G2064">
        <v>551</v>
      </c>
      <c r="H2064">
        <v>42.07</v>
      </c>
      <c r="I2064" s="1" t="s">
        <v>1528</v>
      </c>
      <c r="J2064" t="s">
        <v>1491</v>
      </c>
      <c r="K2064" t="s">
        <v>25</v>
      </c>
      <c r="L2064">
        <v>0.96</v>
      </c>
      <c r="M2064" s="1" t="s">
        <v>2170</v>
      </c>
      <c r="N2064" s="1" t="s">
        <v>2110</v>
      </c>
      <c r="O2064" s="1">
        <v>249</v>
      </c>
      <c r="P2064" s="3" t="s">
        <v>28</v>
      </c>
      <c r="Q2064" s="37" t="s">
        <v>25</v>
      </c>
      <c r="R2064" s="3" t="s">
        <v>25</v>
      </c>
      <c r="S2064" s="13">
        <f t="shared" si="53"/>
        <v>-0.91999999999999993</v>
      </c>
    </row>
    <row r="2065" spans="1:19">
      <c r="A2065" s="35" t="s">
        <v>2126</v>
      </c>
      <c r="B2065" s="1" t="s">
        <v>2159</v>
      </c>
      <c r="C2065" s="1" t="s">
        <v>2169</v>
      </c>
      <c r="D2065" s="1" t="s">
        <v>2134</v>
      </c>
      <c r="E2065" s="1" t="s">
        <v>25</v>
      </c>
      <c r="F2065">
        <v>551</v>
      </c>
      <c r="G2065">
        <v>551</v>
      </c>
      <c r="H2065">
        <v>37.5</v>
      </c>
      <c r="I2065" s="1" t="s">
        <v>1528</v>
      </c>
      <c r="J2065" t="s">
        <v>1491</v>
      </c>
      <c r="K2065" t="s">
        <v>25</v>
      </c>
      <c r="L2065">
        <v>0.96</v>
      </c>
      <c r="M2065" s="1" t="s">
        <v>2170</v>
      </c>
      <c r="N2065" s="1" t="s">
        <v>2110</v>
      </c>
      <c r="O2065" s="1">
        <v>475</v>
      </c>
      <c r="P2065" s="3" t="s">
        <v>28</v>
      </c>
      <c r="Q2065" s="37" t="s">
        <v>25</v>
      </c>
      <c r="R2065" s="3" t="s">
        <v>25</v>
      </c>
      <c r="S2065" s="13">
        <f t="shared" si="53"/>
        <v>-0.91999999999999993</v>
      </c>
    </row>
    <row r="2066" spans="1:19">
      <c r="A2066" s="35" t="s">
        <v>2126</v>
      </c>
      <c r="B2066" s="1" t="s">
        <v>2160</v>
      </c>
      <c r="C2066" s="1" t="s">
        <v>2169</v>
      </c>
      <c r="D2066" s="1" t="s">
        <v>2134</v>
      </c>
      <c r="E2066" s="1" t="s">
        <v>25</v>
      </c>
      <c r="F2066">
        <v>551</v>
      </c>
      <c r="G2066">
        <v>551</v>
      </c>
      <c r="H2066">
        <v>13.23</v>
      </c>
      <c r="I2066" s="1" t="s">
        <v>1528</v>
      </c>
      <c r="J2066" t="s">
        <v>1491</v>
      </c>
      <c r="K2066" t="s">
        <v>25</v>
      </c>
      <c r="L2066">
        <v>1.05</v>
      </c>
      <c r="M2066" s="1" t="s">
        <v>2170</v>
      </c>
      <c r="N2066" s="1" t="s">
        <v>2110</v>
      </c>
      <c r="O2066" s="1">
        <v>645</v>
      </c>
      <c r="P2066" s="3" t="s">
        <v>28</v>
      </c>
      <c r="Q2066" s="37" t="s">
        <v>25</v>
      </c>
      <c r="R2066" s="3" t="s">
        <v>25</v>
      </c>
      <c r="S2066" s="13">
        <f t="shared" si="53"/>
        <v>-0.82999999999999985</v>
      </c>
    </row>
    <row r="2067" spans="1:19">
      <c r="A2067" s="35" t="s">
        <v>2126</v>
      </c>
      <c r="B2067" s="1" t="s">
        <v>2161</v>
      </c>
      <c r="C2067" s="1" t="s">
        <v>2169</v>
      </c>
      <c r="D2067" s="1" t="s">
        <v>2134</v>
      </c>
      <c r="E2067" s="1" t="s">
        <v>25</v>
      </c>
      <c r="F2067">
        <v>551</v>
      </c>
      <c r="G2067">
        <v>551</v>
      </c>
      <c r="H2067">
        <v>5.12</v>
      </c>
      <c r="I2067" s="1" t="s">
        <v>1528</v>
      </c>
      <c r="J2067" t="s">
        <v>1491</v>
      </c>
      <c r="K2067" t="s">
        <v>25</v>
      </c>
      <c r="L2067">
        <v>0.92</v>
      </c>
      <c r="M2067" s="1" t="s">
        <v>2170</v>
      </c>
      <c r="N2067" s="1" t="s">
        <v>2110</v>
      </c>
      <c r="O2067" s="1">
        <v>500</v>
      </c>
      <c r="P2067" s="3" t="s">
        <v>28</v>
      </c>
      <c r="Q2067" s="37" t="s">
        <v>25</v>
      </c>
      <c r="R2067" s="3" t="s">
        <v>25</v>
      </c>
      <c r="S2067" s="13">
        <f t="shared" si="53"/>
        <v>-0.95999999999999985</v>
      </c>
    </row>
    <row r="2068" spans="1:19">
      <c r="A2068" s="35" t="s">
        <v>2126</v>
      </c>
      <c r="B2068" s="1" t="s">
        <v>2162</v>
      </c>
      <c r="C2068" s="1" t="s">
        <v>2169</v>
      </c>
      <c r="D2068" s="1" t="s">
        <v>2134</v>
      </c>
      <c r="E2068" s="1" t="s">
        <v>25</v>
      </c>
      <c r="F2068">
        <v>551</v>
      </c>
      <c r="G2068">
        <v>551</v>
      </c>
      <c r="H2068">
        <v>14.49</v>
      </c>
      <c r="I2068" s="1" t="s">
        <v>1528</v>
      </c>
      <c r="J2068" t="s">
        <v>1336</v>
      </c>
      <c r="K2068" t="s">
        <v>25</v>
      </c>
      <c r="L2068">
        <v>1.1000000000000001</v>
      </c>
      <c r="M2068" s="1" t="s">
        <v>2170</v>
      </c>
      <c r="N2068" s="1" t="s">
        <v>2110</v>
      </c>
      <c r="O2068" s="1">
        <v>736</v>
      </c>
      <c r="P2068" s="3" t="s">
        <v>28</v>
      </c>
      <c r="Q2068" s="37" t="s">
        <v>25</v>
      </c>
      <c r="R2068" s="3" t="s">
        <v>25</v>
      </c>
      <c r="S2068" s="13">
        <f t="shared" si="53"/>
        <v>-0.7799999999999998</v>
      </c>
    </row>
    <row r="2069" spans="1:19">
      <c r="A2069" s="35" t="s">
        <v>2126</v>
      </c>
      <c r="B2069" s="1" t="s">
        <v>2163</v>
      </c>
      <c r="C2069" s="1" t="s">
        <v>2169</v>
      </c>
      <c r="D2069" s="1" t="s">
        <v>2134</v>
      </c>
      <c r="E2069" s="1" t="s">
        <v>25</v>
      </c>
      <c r="F2069">
        <v>551</v>
      </c>
      <c r="G2069">
        <v>551</v>
      </c>
      <c r="H2069">
        <v>14.44</v>
      </c>
      <c r="I2069" s="1" t="s">
        <v>1528</v>
      </c>
      <c r="J2069" t="s">
        <v>1336</v>
      </c>
      <c r="K2069" t="s">
        <v>25</v>
      </c>
      <c r="L2069">
        <v>1.1100000000000001</v>
      </c>
      <c r="M2069" s="1" t="s">
        <v>2170</v>
      </c>
      <c r="N2069" s="1" t="s">
        <v>2110</v>
      </c>
      <c r="O2069" s="1">
        <v>1114</v>
      </c>
      <c r="P2069" s="3" t="s">
        <v>28</v>
      </c>
      <c r="Q2069" s="37" t="s">
        <v>25</v>
      </c>
      <c r="R2069" s="3" t="s">
        <v>25</v>
      </c>
      <c r="S2069" s="13">
        <f t="shared" si="53"/>
        <v>-0.7699999999999998</v>
      </c>
    </row>
    <row r="2070" spans="1:19">
      <c r="A2070" s="35" t="s">
        <v>2126</v>
      </c>
      <c r="B2070" s="1" t="s">
        <v>2164</v>
      </c>
      <c r="C2070" s="1" t="s">
        <v>2169</v>
      </c>
      <c r="D2070" s="1" t="s">
        <v>2134</v>
      </c>
      <c r="E2070" s="1" t="s">
        <v>25</v>
      </c>
      <c r="F2070">
        <v>551</v>
      </c>
      <c r="G2070">
        <v>551</v>
      </c>
      <c r="H2070">
        <v>12.31</v>
      </c>
      <c r="I2070" s="1" t="s">
        <v>1528</v>
      </c>
      <c r="J2070" t="s">
        <v>1491</v>
      </c>
      <c r="K2070" t="s">
        <v>25</v>
      </c>
      <c r="L2070">
        <v>1.1299999999999999</v>
      </c>
      <c r="M2070" s="1" t="s">
        <v>2170</v>
      </c>
      <c r="N2070" s="1" t="s">
        <v>2110</v>
      </c>
      <c r="O2070" s="1">
        <v>93</v>
      </c>
      <c r="P2070" s="3" t="s">
        <v>28</v>
      </c>
      <c r="Q2070" s="37" t="s">
        <v>25</v>
      </c>
      <c r="R2070" s="3" t="s">
        <v>25</v>
      </c>
      <c r="S2070" s="13">
        <f t="shared" si="53"/>
        <v>-0.75</v>
      </c>
    </row>
    <row r="2071" spans="1:19">
      <c r="A2071" s="35" t="s">
        <v>2126</v>
      </c>
      <c r="B2071" s="1" t="s">
        <v>2165</v>
      </c>
      <c r="C2071" s="1" t="s">
        <v>2169</v>
      </c>
      <c r="D2071" s="1" t="s">
        <v>2134</v>
      </c>
      <c r="E2071" s="1" t="s">
        <v>25</v>
      </c>
      <c r="F2071">
        <v>551</v>
      </c>
      <c r="G2071">
        <v>551</v>
      </c>
      <c r="H2071">
        <v>11.54</v>
      </c>
      <c r="I2071" s="1" t="s">
        <v>1528</v>
      </c>
      <c r="J2071" t="s">
        <v>1491</v>
      </c>
      <c r="K2071" t="s">
        <v>25</v>
      </c>
      <c r="L2071">
        <v>1.3</v>
      </c>
      <c r="M2071" s="1" t="s">
        <v>2170</v>
      </c>
      <c r="N2071" s="1" t="s">
        <v>2110</v>
      </c>
      <c r="O2071" s="1">
        <v>104</v>
      </c>
      <c r="P2071" s="3" t="s">
        <v>28</v>
      </c>
      <c r="Q2071" s="37" t="s">
        <v>25</v>
      </c>
      <c r="R2071" s="3" t="s">
        <v>25</v>
      </c>
      <c r="S2071" s="13">
        <f t="shared" si="53"/>
        <v>-0.57999999999999985</v>
      </c>
    </row>
    <row r="2072" spans="1:19">
      <c r="A2072" s="35" t="s">
        <v>2126</v>
      </c>
      <c r="B2072" s="1" t="s">
        <v>2166</v>
      </c>
      <c r="C2072" s="1" t="s">
        <v>2169</v>
      </c>
      <c r="D2072" s="1" t="s">
        <v>2134</v>
      </c>
      <c r="E2072" s="1" t="s">
        <v>25</v>
      </c>
      <c r="F2072">
        <v>632</v>
      </c>
      <c r="G2072">
        <v>632</v>
      </c>
      <c r="H2072">
        <v>5.94</v>
      </c>
      <c r="I2072" s="1" t="s">
        <v>1528</v>
      </c>
      <c r="J2072" t="s">
        <v>1491</v>
      </c>
      <c r="K2072" t="s">
        <v>25</v>
      </c>
      <c r="L2072">
        <v>1.08</v>
      </c>
      <c r="M2072" s="1" t="s">
        <v>2170</v>
      </c>
      <c r="N2072" s="1" t="s">
        <v>2110</v>
      </c>
      <c r="O2072" s="1">
        <v>76</v>
      </c>
      <c r="P2072" s="3" t="s">
        <v>28</v>
      </c>
      <c r="Q2072" s="37" t="s">
        <v>25</v>
      </c>
      <c r="R2072" s="3" t="s">
        <v>25</v>
      </c>
      <c r="S2072" s="13">
        <f t="shared" si="53"/>
        <v>-0.79999999999999982</v>
      </c>
    </row>
    <row r="2073" spans="1:19">
      <c r="A2073" s="35" t="s">
        <v>2126</v>
      </c>
      <c r="B2073" s="1" t="s">
        <v>2167</v>
      </c>
      <c r="C2073" s="1" t="s">
        <v>2169</v>
      </c>
      <c r="D2073" s="1" t="s">
        <v>2134</v>
      </c>
      <c r="E2073" s="1" t="s">
        <v>25</v>
      </c>
      <c r="F2073">
        <v>632</v>
      </c>
      <c r="G2073">
        <v>632</v>
      </c>
      <c r="H2073">
        <v>0.01</v>
      </c>
      <c r="I2073" s="1" t="s">
        <v>1528</v>
      </c>
      <c r="J2073" t="s">
        <v>2168</v>
      </c>
      <c r="K2073" t="s">
        <v>25</v>
      </c>
      <c r="L2073">
        <v>0.15</v>
      </c>
      <c r="M2073" s="1" t="s">
        <v>2170</v>
      </c>
      <c r="N2073" s="1" t="s">
        <v>2110</v>
      </c>
      <c r="O2073" s="1">
        <v>194</v>
      </c>
      <c r="P2073" s="3" t="s">
        <v>28</v>
      </c>
      <c r="Q2073" s="37" t="s">
        <v>25</v>
      </c>
      <c r="R2073" s="3" t="s">
        <v>25</v>
      </c>
      <c r="S2073" s="13">
        <f t="shared" si="53"/>
        <v>-1.73</v>
      </c>
    </row>
    <row r="2074" spans="1:19">
      <c r="A2074" s="35" t="s">
        <v>2126</v>
      </c>
      <c r="B2074" t="s">
        <v>2172</v>
      </c>
      <c r="C2074" s="1" t="s">
        <v>2169</v>
      </c>
      <c r="D2074" t="s">
        <v>2171</v>
      </c>
      <c r="E2074" s="1" t="s">
        <v>25</v>
      </c>
      <c r="F2074">
        <v>510</v>
      </c>
      <c r="G2074">
        <v>510</v>
      </c>
      <c r="H2074">
        <v>1.98</v>
      </c>
      <c r="I2074" s="1" t="s">
        <v>1528</v>
      </c>
      <c r="J2074" t="s">
        <v>1336</v>
      </c>
      <c r="K2074" t="s">
        <v>25</v>
      </c>
      <c r="L2074">
        <v>0.34</v>
      </c>
      <c r="M2074" s="1" t="s">
        <v>2170</v>
      </c>
      <c r="N2074" s="1" t="s">
        <v>2110</v>
      </c>
      <c r="O2074">
        <v>2798</v>
      </c>
      <c r="P2074" s="3" t="s">
        <v>28</v>
      </c>
      <c r="Q2074" s="37" t="s">
        <v>25</v>
      </c>
      <c r="R2074" s="3" t="s">
        <v>25</v>
      </c>
      <c r="S2074" s="13">
        <f>(L2074/2.05)-1.88</f>
        <v>-1.7141463414634144</v>
      </c>
    </row>
    <row r="2075" spans="1:19">
      <c r="A2075" s="35" t="s">
        <v>2126</v>
      </c>
      <c r="B2075" t="s">
        <v>2173</v>
      </c>
      <c r="C2075" s="1" t="s">
        <v>2169</v>
      </c>
      <c r="D2075" t="s">
        <v>2171</v>
      </c>
      <c r="E2075" s="1" t="s">
        <v>25</v>
      </c>
      <c r="F2075">
        <v>510</v>
      </c>
      <c r="G2075">
        <v>510</v>
      </c>
      <c r="H2075">
        <v>22.4</v>
      </c>
      <c r="I2075" s="1" t="s">
        <v>1528</v>
      </c>
      <c r="J2075" t="s">
        <v>1336</v>
      </c>
      <c r="K2075" t="s">
        <v>25</v>
      </c>
      <c r="L2075">
        <v>0.54</v>
      </c>
      <c r="M2075" s="1" t="s">
        <v>2170</v>
      </c>
      <c r="N2075" s="1" t="s">
        <v>2110</v>
      </c>
      <c r="O2075">
        <v>2481</v>
      </c>
      <c r="P2075" s="3" t="s">
        <v>28</v>
      </c>
      <c r="Q2075" s="37" t="s">
        <v>25</v>
      </c>
      <c r="R2075" s="3" t="s">
        <v>25</v>
      </c>
      <c r="S2075" s="13">
        <f t="shared" ref="S2075:S2089" si="54">(L2075/2.05)-1.88</f>
        <v>-1.6165853658536584</v>
      </c>
    </row>
    <row r="2076" spans="1:19">
      <c r="A2076" s="35" t="s">
        <v>2126</v>
      </c>
      <c r="B2076" t="s">
        <v>2174</v>
      </c>
      <c r="C2076" s="1" t="s">
        <v>2169</v>
      </c>
      <c r="D2076" t="s">
        <v>2171</v>
      </c>
      <c r="E2076" s="1" t="s">
        <v>25</v>
      </c>
      <c r="F2076">
        <v>510</v>
      </c>
      <c r="G2076">
        <v>510</v>
      </c>
      <c r="H2076">
        <v>35</v>
      </c>
      <c r="I2076" s="1" t="s">
        <v>1528</v>
      </c>
      <c r="J2076" t="s">
        <v>1336</v>
      </c>
      <c r="K2076" t="s">
        <v>25</v>
      </c>
      <c r="L2076">
        <v>0.4</v>
      </c>
      <c r="M2076" s="1" t="s">
        <v>2170</v>
      </c>
      <c r="N2076" s="1" t="s">
        <v>2110</v>
      </c>
      <c r="O2076">
        <v>2921</v>
      </c>
      <c r="P2076" s="3" t="s">
        <v>28</v>
      </c>
      <c r="Q2076" s="37" t="s">
        <v>25</v>
      </c>
      <c r="R2076" s="3" t="s">
        <v>25</v>
      </c>
      <c r="S2076" s="13">
        <f t="shared" si="54"/>
        <v>-1.6848780487804877</v>
      </c>
    </row>
    <row r="2077" spans="1:19">
      <c r="A2077" s="35" t="s">
        <v>2126</v>
      </c>
      <c r="B2077" t="s">
        <v>2175</v>
      </c>
      <c r="C2077" s="1" t="s">
        <v>2169</v>
      </c>
      <c r="D2077" t="s">
        <v>2171</v>
      </c>
      <c r="E2077" s="1" t="s">
        <v>25</v>
      </c>
      <c r="F2077">
        <v>510</v>
      </c>
      <c r="G2077">
        <v>510</v>
      </c>
      <c r="H2077">
        <v>48.84</v>
      </c>
      <c r="I2077" s="1" t="s">
        <v>1528</v>
      </c>
      <c r="J2077" t="s">
        <v>1336</v>
      </c>
      <c r="K2077" t="s">
        <v>25</v>
      </c>
      <c r="L2077">
        <v>0.42</v>
      </c>
      <c r="M2077" s="1" t="s">
        <v>2170</v>
      </c>
      <c r="N2077" s="1" t="s">
        <v>2110</v>
      </c>
      <c r="O2077">
        <v>2065</v>
      </c>
      <c r="P2077" s="3" t="s">
        <v>28</v>
      </c>
      <c r="Q2077" s="37" t="s">
        <v>25</v>
      </c>
      <c r="R2077" s="3" t="s">
        <v>25</v>
      </c>
      <c r="S2077" s="13">
        <f t="shared" si="54"/>
        <v>-1.6751219512195121</v>
      </c>
    </row>
    <row r="2078" spans="1:19">
      <c r="A2078" s="35" t="s">
        <v>2126</v>
      </c>
      <c r="B2078" t="s">
        <v>2176</v>
      </c>
      <c r="C2078" s="1" t="s">
        <v>2169</v>
      </c>
      <c r="D2078" t="s">
        <v>2171</v>
      </c>
      <c r="E2078" s="1" t="s">
        <v>25</v>
      </c>
      <c r="F2078">
        <v>510</v>
      </c>
      <c r="G2078">
        <v>510</v>
      </c>
      <c r="H2078">
        <v>64.56</v>
      </c>
      <c r="I2078" s="1" t="s">
        <v>1528</v>
      </c>
      <c r="J2078" t="s">
        <v>1336</v>
      </c>
      <c r="K2078" t="s">
        <v>25</v>
      </c>
      <c r="L2078">
        <v>0.59</v>
      </c>
      <c r="M2078" s="1" t="s">
        <v>2170</v>
      </c>
      <c r="N2078" s="1" t="s">
        <v>2110</v>
      </c>
      <c r="O2078">
        <v>598</v>
      </c>
      <c r="P2078" s="3" t="s">
        <v>28</v>
      </c>
      <c r="Q2078" s="37" t="s">
        <v>25</v>
      </c>
      <c r="R2078" s="3" t="s">
        <v>25</v>
      </c>
      <c r="S2078" s="13">
        <f t="shared" si="54"/>
        <v>-1.5921951219512194</v>
      </c>
    </row>
    <row r="2079" spans="1:19">
      <c r="A2079" s="35" t="s">
        <v>2126</v>
      </c>
      <c r="B2079" t="s">
        <v>2177</v>
      </c>
      <c r="C2079" s="1" t="s">
        <v>2169</v>
      </c>
      <c r="D2079" t="s">
        <v>2171</v>
      </c>
      <c r="E2079" s="1" t="s">
        <v>25</v>
      </c>
      <c r="F2079">
        <v>510</v>
      </c>
      <c r="G2079">
        <v>510</v>
      </c>
      <c r="H2079">
        <v>70.03</v>
      </c>
      <c r="I2079" s="1" t="s">
        <v>1528</v>
      </c>
      <c r="J2079" t="s">
        <v>1336</v>
      </c>
      <c r="K2079" t="s">
        <v>25</v>
      </c>
      <c r="L2079">
        <v>0.65</v>
      </c>
      <c r="M2079" s="1" t="s">
        <v>2170</v>
      </c>
      <c r="N2079" s="1" t="s">
        <v>2110</v>
      </c>
      <c r="O2079">
        <v>228</v>
      </c>
      <c r="P2079" s="3" t="s">
        <v>28</v>
      </c>
      <c r="Q2079" s="37" t="s">
        <v>25</v>
      </c>
      <c r="R2079" s="3" t="s">
        <v>25</v>
      </c>
      <c r="S2079" s="13">
        <f t="shared" si="54"/>
        <v>-1.5629268292682925</v>
      </c>
    </row>
    <row r="2080" spans="1:19">
      <c r="A2080" s="35" t="s">
        <v>2126</v>
      </c>
      <c r="B2080" t="s">
        <v>2178</v>
      </c>
      <c r="C2080" s="1" t="s">
        <v>2169</v>
      </c>
      <c r="D2080" t="s">
        <v>2171</v>
      </c>
      <c r="E2080" s="1" t="s">
        <v>25</v>
      </c>
      <c r="F2080">
        <v>510</v>
      </c>
      <c r="G2080">
        <v>510</v>
      </c>
      <c r="H2080">
        <v>78.13</v>
      </c>
      <c r="I2080" s="1" t="s">
        <v>1528</v>
      </c>
      <c r="J2080" t="s">
        <v>1336</v>
      </c>
      <c r="K2080" t="s">
        <v>25</v>
      </c>
      <c r="L2080">
        <v>0.59</v>
      </c>
      <c r="M2080" s="1" t="s">
        <v>2170</v>
      </c>
      <c r="N2080" s="1" t="s">
        <v>2110</v>
      </c>
      <c r="O2080">
        <v>306</v>
      </c>
      <c r="P2080" s="3" t="s">
        <v>28</v>
      </c>
      <c r="Q2080" s="37" t="s">
        <v>25</v>
      </c>
      <c r="R2080" s="3" t="s">
        <v>25</v>
      </c>
      <c r="S2080" s="13">
        <f t="shared" si="54"/>
        <v>-1.5921951219512194</v>
      </c>
    </row>
    <row r="2081" spans="1:19">
      <c r="A2081" s="35" t="s">
        <v>2126</v>
      </c>
      <c r="B2081" t="s">
        <v>2180</v>
      </c>
      <c r="C2081" s="1" t="s">
        <v>2169</v>
      </c>
      <c r="D2081" t="s">
        <v>2179</v>
      </c>
      <c r="E2081" s="1" t="s">
        <v>25</v>
      </c>
      <c r="F2081">
        <v>510</v>
      </c>
      <c r="G2081">
        <v>510</v>
      </c>
      <c r="H2081">
        <v>79.14</v>
      </c>
      <c r="I2081" s="1" t="s">
        <v>1528</v>
      </c>
      <c r="J2081" t="s">
        <v>1336</v>
      </c>
      <c r="K2081" t="s">
        <v>25</v>
      </c>
      <c r="L2081">
        <v>0.08</v>
      </c>
      <c r="M2081" s="1" t="s">
        <v>2170</v>
      </c>
      <c r="N2081" s="1" t="s">
        <v>2110</v>
      </c>
      <c r="O2081">
        <v>296</v>
      </c>
      <c r="P2081" s="3" t="s">
        <v>28</v>
      </c>
      <c r="Q2081" s="37" t="s">
        <v>25</v>
      </c>
      <c r="R2081" s="3" t="s">
        <v>25</v>
      </c>
      <c r="S2081" s="13">
        <f t="shared" si="54"/>
        <v>-1.8409756097560974</v>
      </c>
    </row>
    <row r="2082" spans="1:19">
      <c r="A2082" s="35" t="s">
        <v>2126</v>
      </c>
      <c r="B2082" t="s">
        <v>2181</v>
      </c>
      <c r="C2082" s="1" t="s">
        <v>2169</v>
      </c>
      <c r="D2082" t="s">
        <v>2179</v>
      </c>
      <c r="E2082" s="1" t="s">
        <v>25</v>
      </c>
      <c r="F2082">
        <v>510</v>
      </c>
      <c r="G2082">
        <v>510</v>
      </c>
      <c r="H2082">
        <v>80.319999999999993</v>
      </c>
      <c r="I2082" s="1" t="s">
        <v>1528</v>
      </c>
      <c r="J2082" t="s">
        <v>1336</v>
      </c>
      <c r="K2082" t="s">
        <v>25</v>
      </c>
      <c r="L2082">
        <v>0.6</v>
      </c>
      <c r="M2082" s="1" t="s">
        <v>2170</v>
      </c>
      <c r="N2082" s="1" t="s">
        <v>2110</v>
      </c>
      <c r="O2082">
        <v>324</v>
      </c>
      <c r="P2082" s="3" t="s">
        <v>28</v>
      </c>
      <c r="Q2082" s="37" t="s">
        <v>25</v>
      </c>
      <c r="R2082" s="3" t="s">
        <v>25</v>
      </c>
      <c r="S2082" s="13">
        <f t="shared" si="54"/>
        <v>-1.5873170731707316</v>
      </c>
    </row>
    <row r="2083" spans="1:19">
      <c r="A2083" s="35" t="s">
        <v>2126</v>
      </c>
      <c r="B2083" t="s">
        <v>2182</v>
      </c>
      <c r="C2083" s="1" t="s">
        <v>2169</v>
      </c>
      <c r="D2083" t="s">
        <v>2179</v>
      </c>
      <c r="E2083" s="1" t="s">
        <v>25</v>
      </c>
      <c r="F2083">
        <v>510</v>
      </c>
      <c r="G2083">
        <v>510</v>
      </c>
      <c r="H2083">
        <v>87.05</v>
      </c>
      <c r="I2083" s="1" t="s">
        <v>1528</v>
      </c>
      <c r="J2083" t="s">
        <v>1336</v>
      </c>
      <c r="K2083" t="s">
        <v>25</v>
      </c>
      <c r="L2083">
        <v>0.46</v>
      </c>
      <c r="M2083" s="1" t="s">
        <v>2170</v>
      </c>
      <c r="N2083" s="1" t="s">
        <v>2110</v>
      </c>
      <c r="O2083">
        <v>499</v>
      </c>
      <c r="P2083" s="3" t="s">
        <v>28</v>
      </c>
      <c r="Q2083" s="37" t="s">
        <v>25</v>
      </c>
      <c r="R2083" s="3" t="s">
        <v>25</v>
      </c>
      <c r="S2083" s="13">
        <f t="shared" si="54"/>
        <v>-1.6556097560975609</v>
      </c>
    </row>
    <row r="2084" spans="1:19">
      <c r="A2084" s="35" t="s">
        <v>2126</v>
      </c>
      <c r="B2084" t="s">
        <v>2183</v>
      </c>
      <c r="C2084" s="1" t="s">
        <v>2169</v>
      </c>
      <c r="D2084" t="s">
        <v>2179</v>
      </c>
      <c r="E2084" s="1" t="s">
        <v>25</v>
      </c>
      <c r="F2084">
        <v>510</v>
      </c>
      <c r="G2084">
        <v>510</v>
      </c>
      <c r="H2084">
        <v>95.45</v>
      </c>
      <c r="I2084" s="1" t="s">
        <v>1528</v>
      </c>
      <c r="J2084" t="s">
        <v>1336</v>
      </c>
      <c r="K2084" t="s">
        <v>25</v>
      </c>
      <c r="L2084">
        <v>0.82</v>
      </c>
      <c r="M2084" s="1" t="s">
        <v>2170</v>
      </c>
      <c r="N2084" s="1" t="s">
        <v>2110</v>
      </c>
      <c r="O2084">
        <v>361</v>
      </c>
      <c r="P2084" s="3" t="s">
        <v>28</v>
      </c>
      <c r="Q2084" s="37" t="s">
        <v>25</v>
      </c>
      <c r="R2084" s="3" t="s">
        <v>25</v>
      </c>
      <c r="S2084" s="13">
        <f t="shared" si="54"/>
        <v>-1.48</v>
      </c>
    </row>
    <row r="2085" spans="1:19">
      <c r="A2085" s="35" t="s">
        <v>2126</v>
      </c>
      <c r="B2085" t="s">
        <v>2184</v>
      </c>
      <c r="C2085" s="1" t="s">
        <v>2169</v>
      </c>
      <c r="D2085" t="s">
        <v>2179</v>
      </c>
      <c r="E2085" s="1" t="s">
        <v>25</v>
      </c>
      <c r="F2085">
        <v>510</v>
      </c>
      <c r="G2085">
        <v>510</v>
      </c>
      <c r="H2085">
        <v>98.35</v>
      </c>
      <c r="I2085" s="1" t="s">
        <v>1528</v>
      </c>
      <c r="J2085" t="s">
        <v>1491</v>
      </c>
      <c r="K2085" t="s">
        <v>25</v>
      </c>
      <c r="L2085">
        <v>0.46</v>
      </c>
      <c r="M2085" s="1" t="s">
        <v>2170</v>
      </c>
      <c r="N2085" s="1" t="s">
        <v>2110</v>
      </c>
      <c r="O2085">
        <v>145</v>
      </c>
      <c r="P2085" s="3" t="s">
        <v>28</v>
      </c>
      <c r="Q2085" s="37" t="s">
        <v>25</v>
      </c>
      <c r="R2085" s="3" t="s">
        <v>25</v>
      </c>
      <c r="S2085" s="13">
        <f t="shared" si="54"/>
        <v>-1.6556097560975609</v>
      </c>
    </row>
    <row r="2086" spans="1:19">
      <c r="A2086" s="35" t="s">
        <v>2126</v>
      </c>
      <c r="B2086" t="s">
        <v>2185</v>
      </c>
      <c r="C2086" s="1" t="s">
        <v>2169</v>
      </c>
      <c r="D2086" t="s">
        <v>2179</v>
      </c>
      <c r="E2086" s="1" t="s">
        <v>25</v>
      </c>
      <c r="F2086">
        <v>542</v>
      </c>
      <c r="G2086">
        <v>542</v>
      </c>
      <c r="H2086">
        <v>105.95</v>
      </c>
      <c r="I2086" s="1" t="s">
        <v>1528</v>
      </c>
      <c r="J2086" t="s">
        <v>1491</v>
      </c>
      <c r="K2086" t="s">
        <v>25</v>
      </c>
      <c r="L2086">
        <v>0.76</v>
      </c>
      <c r="M2086" s="1" t="s">
        <v>2170</v>
      </c>
      <c r="N2086" s="1" t="s">
        <v>2110</v>
      </c>
      <c r="O2086">
        <v>67</v>
      </c>
      <c r="P2086" s="3" t="s">
        <v>28</v>
      </c>
      <c r="Q2086" s="37" t="s">
        <v>25</v>
      </c>
      <c r="R2086" s="3" t="s">
        <v>25</v>
      </c>
      <c r="S2086" s="13">
        <f t="shared" si="54"/>
        <v>-1.5092682926829266</v>
      </c>
    </row>
    <row r="2087" spans="1:19">
      <c r="A2087" s="35" t="s">
        <v>2126</v>
      </c>
      <c r="B2087" t="s">
        <v>2186</v>
      </c>
      <c r="C2087" s="1" t="s">
        <v>2169</v>
      </c>
      <c r="D2087" t="s">
        <v>2179</v>
      </c>
      <c r="E2087" s="1" t="s">
        <v>25</v>
      </c>
      <c r="F2087">
        <v>510</v>
      </c>
      <c r="G2087">
        <v>510</v>
      </c>
      <c r="H2087">
        <v>114.65</v>
      </c>
      <c r="I2087" s="1" t="s">
        <v>1528</v>
      </c>
      <c r="J2087" t="s">
        <v>1491</v>
      </c>
      <c r="K2087" t="s">
        <v>25</v>
      </c>
      <c r="L2087">
        <v>0.6</v>
      </c>
      <c r="M2087" s="1" t="s">
        <v>2170</v>
      </c>
      <c r="N2087" s="1" t="s">
        <v>2110</v>
      </c>
      <c r="O2087">
        <v>103</v>
      </c>
      <c r="P2087" s="3" t="s">
        <v>28</v>
      </c>
      <c r="Q2087" s="37" t="s">
        <v>25</v>
      </c>
      <c r="R2087" s="3" t="s">
        <v>25</v>
      </c>
      <c r="S2087" s="13">
        <f t="shared" si="54"/>
        <v>-1.5873170731707316</v>
      </c>
    </row>
    <row r="2088" spans="1:19">
      <c r="A2088" s="35" t="s">
        <v>2126</v>
      </c>
      <c r="B2088" t="s">
        <v>2187</v>
      </c>
      <c r="C2088" s="1" t="s">
        <v>2169</v>
      </c>
      <c r="D2088" t="s">
        <v>2179</v>
      </c>
      <c r="E2088" s="1" t="s">
        <v>25</v>
      </c>
      <c r="F2088">
        <v>542</v>
      </c>
      <c r="G2088">
        <v>542</v>
      </c>
      <c r="H2088">
        <v>116.68</v>
      </c>
      <c r="I2088" s="1" t="s">
        <v>1528</v>
      </c>
      <c r="J2088" t="s">
        <v>1491</v>
      </c>
      <c r="K2088" t="s">
        <v>25</v>
      </c>
      <c r="L2088">
        <v>1.01</v>
      </c>
      <c r="M2088" s="1" t="s">
        <v>2170</v>
      </c>
      <c r="N2088" s="1" t="s">
        <v>2110</v>
      </c>
      <c r="O2088">
        <v>104</v>
      </c>
      <c r="P2088" s="3" t="s">
        <v>28</v>
      </c>
      <c r="Q2088" s="37" t="s">
        <v>25</v>
      </c>
      <c r="R2088" s="3" t="s">
        <v>25</v>
      </c>
      <c r="S2088" s="13">
        <f t="shared" si="54"/>
        <v>-1.3873170731707316</v>
      </c>
    </row>
    <row r="2089" spans="1:19">
      <c r="A2089" s="35" t="s">
        <v>2126</v>
      </c>
      <c r="B2089" t="s">
        <v>2188</v>
      </c>
      <c r="C2089" s="1" t="s">
        <v>2169</v>
      </c>
      <c r="D2089" t="s">
        <v>2128</v>
      </c>
      <c r="E2089" s="1" t="s">
        <v>25</v>
      </c>
      <c r="F2089">
        <v>542</v>
      </c>
      <c r="G2089">
        <v>542</v>
      </c>
      <c r="H2089">
        <v>137.02000000000001</v>
      </c>
      <c r="I2089" s="1" t="s">
        <v>1528</v>
      </c>
      <c r="J2089" t="s">
        <v>1491</v>
      </c>
      <c r="K2089" t="s">
        <v>25</v>
      </c>
      <c r="L2089">
        <v>1.18</v>
      </c>
      <c r="M2089" s="1" t="s">
        <v>2170</v>
      </c>
      <c r="N2089" s="1" t="s">
        <v>2110</v>
      </c>
      <c r="O2089">
        <v>23</v>
      </c>
      <c r="P2089" s="3" t="s">
        <v>28</v>
      </c>
      <c r="Q2089" s="37" t="s">
        <v>25</v>
      </c>
      <c r="R2089" s="3" t="s">
        <v>25</v>
      </c>
      <c r="S2089" s="13">
        <f t="shared" si="54"/>
        <v>-1.3043902439024389</v>
      </c>
    </row>
    <row r="2090" spans="1:19" s="4" customFormat="1">
      <c r="B2090" s="5"/>
      <c r="C2090" s="5"/>
      <c r="D2090" s="5"/>
      <c r="E2090" s="5"/>
      <c r="I2090" s="5"/>
      <c r="M2090" s="5"/>
      <c r="O2090" s="5"/>
      <c r="P2090" s="6"/>
      <c r="Q2090" s="38"/>
      <c r="S2090" s="24"/>
    </row>
    <row r="2091" spans="1:19">
      <c r="A2091" s="18" t="s">
        <v>2189</v>
      </c>
      <c r="B2091" t="s">
        <v>2190</v>
      </c>
      <c r="C2091" s="1" t="s">
        <v>2217</v>
      </c>
      <c r="D2091" s="1" t="s">
        <v>2219</v>
      </c>
      <c r="E2091" s="1" t="s">
        <v>25</v>
      </c>
      <c r="F2091">
        <v>740</v>
      </c>
      <c r="G2091">
        <v>740</v>
      </c>
      <c r="H2091">
        <v>0</v>
      </c>
      <c r="I2091" s="1" t="s">
        <v>1528</v>
      </c>
      <c r="J2091" t="s">
        <v>20</v>
      </c>
      <c r="K2091" t="s">
        <v>25</v>
      </c>
      <c r="L2091">
        <v>0</v>
      </c>
      <c r="M2091" s="1" t="s">
        <v>23</v>
      </c>
      <c r="N2091" s="1" t="s">
        <v>2110</v>
      </c>
      <c r="O2091" s="1" t="s">
        <v>25</v>
      </c>
      <c r="P2091" s="3" t="s">
        <v>25</v>
      </c>
      <c r="Q2091" s="37" t="s">
        <v>25</v>
      </c>
      <c r="R2091" s="3" t="s">
        <v>25</v>
      </c>
      <c r="S2091" s="13">
        <f t="shared" ref="S2091:S2154" si="55">IF(NOT(N2091="SW"),L2091-1.88,L2091)</f>
        <v>-1.88</v>
      </c>
    </row>
    <row r="2092" spans="1:19">
      <c r="A2092" s="18" t="s">
        <v>2189</v>
      </c>
      <c r="B2092" t="s">
        <v>2191</v>
      </c>
      <c r="C2092" s="1" t="s">
        <v>2217</v>
      </c>
      <c r="D2092" s="1" t="s">
        <v>2219</v>
      </c>
      <c r="E2092" s="1" t="s">
        <v>25</v>
      </c>
      <c r="F2092">
        <v>740</v>
      </c>
      <c r="G2092">
        <v>740</v>
      </c>
      <c r="H2092">
        <v>3</v>
      </c>
      <c r="I2092" s="1" t="s">
        <v>1528</v>
      </c>
      <c r="J2092" t="s">
        <v>20</v>
      </c>
      <c r="K2092" t="s">
        <v>25</v>
      </c>
      <c r="L2092">
        <v>0.1</v>
      </c>
      <c r="M2092" s="1" t="s">
        <v>23</v>
      </c>
      <c r="N2092" s="1" t="s">
        <v>2110</v>
      </c>
      <c r="O2092" s="1" t="s">
        <v>25</v>
      </c>
      <c r="P2092" s="3" t="s">
        <v>25</v>
      </c>
      <c r="Q2092" s="37" t="s">
        <v>25</v>
      </c>
      <c r="R2092" s="3" t="s">
        <v>25</v>
      </c>
      <c r="S2092" s="13">
        <f t="shared" si="55"/>
        <v>-1.7799999999999998</v>
      </c>
    </row>
    <row r="2093" spans="1:19">
      <c r="A2093" s="18" t="s">
        <v>2189</v>
      </c>
      <c r="B2093" t="s">
        <v>2192</v>
      </c>
      <c r="C2093" s="1" t="s">
        <v>2217</v>
      </c>
      <c r="D2093" s="1" t="s">
        <v>2219</v>
      </c>
      <c r="E2093" s="1" t="s">
        <v>25</v>
      </c>
      <c r="F2093">
        <v>740</v>
      </c>
      <c r="G2093">
        <v>740</v>
      </c>
      <c r="H2093">
        <v>13</v>
      </c>
      <c r="I2093" s="1" t="s">
        <v>1528</v>
      </c>
      <c r="J2093" t="s">
        <v>20</v>
      </c>
      <c r="K2093" t="s">
        <v>25</v>
      </c>
      <c r="L2093">
        <v>1</v>
      </c>
      <c r="M2093" s="1" t="s">
        <v>23</v>
      </c>
      <c r="N2093" s="1" t="s">
        <v>2110</v>
      </c>
      <c r="O2093" s="1" t="s">
        <v>25</v>
      </c>
      <c r="P2093" s="3" t="s">
        <v>25</v>
      </c>
      <c r="Q2093" s="37" t="s">
        <v>25</v>
      </c>
      <c r="R2093" s="3" t="s">
        <v>25</v>
      </c>
      <c r="S2093" s="13">
        <f t="shared" si="55"/>
        <v>-0.87999999999999989</v>
      </c>
    </row>
    <row r="2094" spans="1:19">
      <c r="A2094" s="18" t="s">
        <v>2189</v>
      </c>
      <c r="B2094" t="s">
        <v>2193</v>
      </c>
      <c r="C2094" s="1" t="s">
        <v>2217</v>
      </c>
      <c r="D2094" s="1" t="s">
        <v>2219</v>
      </c>
      <c r="E2094" s="1" t="s">
        <v>25</v>
      </c>
      <c r="F2094">
        <v>740</v>
      </c>
      <c r="G2094">
        <v>740</v>
      </c>
      <c r="H2094">
        <v>25</v>
      </c>
      <c r="I2094" s="1" t="s">
        <v>1528</v>
      </c>
      <c r="J2094" t="s">
        <v>20</v>
      </c>
      <c r="K2094" t="s">
        <v>25</v>
      </c>
      <c r="L2094">
        <v>1</v>
      </c>
      <c r="M2094" s="1" t="s">
        <v>23</v>
      </c>
      <c r="N2094" s="1" t="s">
        <v>2110</v>
      </c>
      <c r="O2094" s="1" t="s">
        <v>25</v>
      </c>
      <c r="P2094" s="3" t="s">
        <v>25</v>
      </c>
      <c r="Q2094" s="37" t="s">
        <v>25</v>
      </c>
      <c r="R2094" s="3" t="s">
        <v>25</v>
      </c>
      <c r="S2094" s="13">
        <f t="shared" si="55"/>
        <v>-0.87999999999999989</v>
      </c>
    </row>
    <row r="2095" spans="1:19">
      <c r="A2095" s="18" t="s">
        <v>2189</v>
      </c>
      <c r="B2095" t="s">
        <v>2194</v>
      </c>
      <c r="C2095" s="1" t="s">
        <v>2217</v>
      </c>
      <c r="D2095" s="1" t="s">
        <v>2219</v>
      </c>
      <c r="E2095" s="1" t="s">
        <v>25</v>
      </c>
      <c r="F2095">
        <v>740</v>
      </c>
      <c r="G2095">
        <v>740</v>
      </c>
      <c r="H2095">
        <v>50</v>
      </c>
      <c r="I2095" s="1" t="s">
        <v>1528</v>
      </c>
      <c r="J2095" t="s">
        <v>20</v>
      </c>
      <c r="K2095" t="s">
        <v>25</v>
      </c>
      <c r="L2095">
        <v>1</v>
      </c>
      <c r="M2095" s="1" t="s">
        <v>23</v>
      </c>
      <c r="N2095" s="1" t="s">
        <v>2110</v>
      </c>
      <c r="O2095" s="1" t="s">
        <v>25</v>
      </c>
      <c r="P2095" s="3" t="s">
        <v>25</v>
      </c>
      <c r="Q2095" s="37" t="s">
        <v>25</v>
      </c>
      <c r="R2095" s="3" t="s">
        <v>25</v>
      </c>
      <c r="S2095" s="13">
        <f t="shared" si="55"/>
        <v>-0.87999999999999989</v>
      </c>
    </row>
    <row r="2096" spans="1:19">
      <c r="A2096" s="18" t="s">
        <v>2189</v>
      </c>
      <c r="B2096" t="s">
        <v>2195</v>
      </c>
      <c r="C2096" s="1" t="s">
        <v>2217</v>
      </c>
      <c r="D2096" s="1" t="s">
        <v>2219</v>
      </c>
      <c r="E2096" s="1" t="s">
        <v>25</v>
      </c>
      <c r="F2096">
        <v>740</v>
      </c>
      <c r="G2096">
        <v>740</v>
      </c>
      <c r="H2096">
        <v>70</v>
      </c>
      <c r="I2096" s="1" t="s">
        <v>1528</v>
      </c>
      <c r="J2096" t="s">
        <v>20</v>
      </c>
      <c r="K2096" t="s">
        <v>25</v>
      </c>
      <c r="L2096">
        <v>0.9</v>
      </c>
      <c r="M2096" s="1" t="s">
        <v>23</v>
      </c>
      <c r="N2096" s="1" t="s">
        <v>2110</v>
      </c>
      <c r="O2096" s="1" t="s">
        <v>25</v>
      </c>
      <c r="P2096" s="3" t="s">
        <v>25</v>
      </c>
      <c r="Q2096" s="37" t="s">
        <v>25</v>
      </c>
      <c r="R2096" s="3" t="s">
        <v>25</v>
      </c>
      <c r="S2096" s="13">
        <f t="shared" si="55"/>
        <v>-0.97999999999999987</v>
      </c>
    </row>
    <row r="2097" spans="1:19">
      <c r="A2097" s="18" t="s">
        <v>2189</v>
      </c>
      <c r="B2097" t="s">
        <v>2196</v>
      </c>
      <c r="C2097" s="1" t="s">
        <v>2217</v>
      </c>
      <c r="D2097" s="1" t="s">
        <v>2219</v>
      </c>
      <c r="E2097" s="1" t="s">
        <v>25</v>
      </c>
      <c r="F2097">
        <v>740</v>
      </c>
      <c r="G2097">
        <v>740</v>
      </c>
      <c r="H2097">
        <v>90</v>
      </c>
      <c r="I2097" s="1" t="s">
        <v>1528</v>
      </c>
      <c r="J2097" t="s">
        <v>20</v>
      </c>
      <c r="K2097" t="s">
        <v>25</v>
      </c>
      <c r="L2097">
        <v>1</v>
      </c>
      <c r="M2097" s="1" t="s">
        <v>23</v>
      </c>
      <c r="N2097" s="1" t="s">
        <v>2110</v>
      </c>
      <c r="O2097" s="1" t="s">
        <v>25</v>
      </c>
      <c r="P2097" s="3" t="s">
        <v>25</v>
      </c>
      <c r="Q2097" s="37" t="s">
        <v>25</v>
      </c>
      <c r="R2097" s="3" t="s">
        <v>25</v>
      </c>
      <c r="S2097" s="13">
        <f t="shared" si="55"/>
        <v>-0.87999999999999989</v>
      </c>
    </row>
    <row r="2098" spans="1:19">
      <c r="A2098" s="18" t="s">
        <v>2189</v>
      </c>
      <c r="B2098" t="s">
        <v>2197</v>
      </c>
      <c r="C2098" s="1" t="s">
        <v>2217</v>
      </c>
      <c r="D2098" s="1" t="s">
        <v>2219</v>
      </c>
      <c r="E2098" s="1" t="s">
        <v>25</v>
      </c>
      <c r="F2098">
        <v>740</v>
      </c>
      <c r="G2098">
        <v>740</v>
      </c>
      <c r="H2098">
        <v>150</v>
      </c>
      <c r="I2098" s="1" t="s">
        <v>1528</v>
      </c>
      <c r="J2098" t="s">
        <v>20</v>
      </c>
      <c r="K2098" t="s">
        <v>25</v>
      </c>
      <c r="L2098">
        <v>0.6</v>
      </c>
      <c r="M2098" s="1" t="s">
        <v>23</v>
      </c>
      <c r="N2098" s="1" t="s">
        <v>2110</v>
      </c>
      <c r="O2098" s="1" t="s">
        <v>25</v>
      </c>
      <c r="P2098" s="3" t="s">
        <v>25</v>
      </c>
      <c r="Q2098" s="37" t="s">
        <v>25</v>
      </c>
      <c r="R2098" s="3" t="s">
        <v>25</v>
      </c>
      <c r="S2098" s="13">
        <f t="shared" si="55"/>
        <v>-1.2799999999999998</v>
      </c>
    </row>
    <row r="2099" spans="1:19">
      <c r="A2099" s="18" t="s">
        <v>2189</v>
      </c>
      <c r="B2099" t="s">
        <v>2198</v>
      </c>
      <c r="C2099" s="1" t="s">
        <v>2217</v>
      </c>
      <c r="D2099" s="1" t="s">
        <v>2219</v>
      </c>
      <c r="E2099" s="1" t="s">
        <v>25</v>
      </c>
      <c r="F2099">
        <v>740</v>
      </c>
      <c r="G2099">
        <v>740</v>
      </c>
      <c r="H2099">
        <v>160</v>
      </c>
      <c r="I2099" s="1" t="s">
        <v>1528</v>
      </c>
      <c r="J2099" t="s">
        <v>20</v>
      </c>
      <c r="K2099" t="s">
        <v>25</v>
      </c>
      <c r="L2099">
        <v>0.4</v>
      </c>
      <c r="M2099" s="1" t="s">
        <v>23</v>
      </c>
      <c r="N2099" s="1" t="s">
        <v>2110</v>
      </c>
      <c r="O2099" s="1" t="s">
        <v>25</v>
      </c>
      <c r="P2099" s="3" t="s">
        <v>25</v>
      </c>
      <c r="Q2099" s="37" t="s">
        <v>25</v>
      </c>
      <c r="R2099" s="3" t="s">
        <v>25</v>
      </c>
      <c r="S2099" s="13">
        <f t="shared" si="55"/>
        <v>-1.48</v>
      </c>
    </row>
    <row r="2100" spans="1:19">
      <c r="A2100" s="18" t="s">
        <v>2189</v>
      </c>
      <c r="B2100" t="s">
        <v>2199</v>
      </c>
      <c r="C2100" s="1" t="s">
        <v>2221</v>
      </c>
      <c r="D2100" s="1" t="s">
        <v>2218</v>
      </c>
      <c r="E2100" s="1" t="s">
        <v>25</v>
      </c>
      <c r="F2100">
        <v>755</v>
      </c>
      <c r="G2100">
        <v>755</v>
      </c>
      <c r="H2100">
        <v>0</v>
      </c>
      <c r="I2100" s="1" t="s">
        <v>1528</v>
      </c>
      <c r="J2100" t="s">
        <v>1492</v>
      </c>
      <c r="K2100" t="s">
        <v>25</v>
      </c>
      <c r="L2100">
        <v>0.1</v>
      </c>
      <c r="M2100" s="1" t="s">
        <v>23</v>
      </c>
      <c r="N2100" s="1" t="s">
        <v>2110</v>
      </c>
      <c r="O2100" s="1" t="s">
        <v>25</v>
      </c>
      <c r="P2100" s="3" t="s">
        <v>25</v>
      </c>
      <c r="Q2100" s="37" t="s">
        <v>25</v>
      </c>
      <c r="R2100" s="3" t="s">
        <v>25</v>
      </c>
      <c r="S2100" s="13">
        <f t="shared" si="55"/>
        <v>-1.7799999999999998</v>
      </c>
    </row>
    <row r="2101" spans="1:19">
      <c r="A2101" s="18" t="s">
        <v>2189</v>
      </c>
      <c r="B2101" t="s">
        <v>2200</v>
      </c>
      <c r="C2101" s="1" t="s">
        <v>2221</v>
      </c>
      <c r="D2101" s="1" t="s">
        <v>2218</v>
      </c>
      <c r="E2101" s="1" t="s">
        <v>25</v>
      </c>
      <c r="F2101">
        <v>755</v>
      </c>
      <c r="G2101">
        <v>755</v>
      </c>
      <c r="H2101">
        <v>1</v>
      </c>
      <c r="I2101" s="1" t="s">
        <v>1528</v>
      </c>
      <c r="J2101" t="s">
        <v>1492</v>
      </c>
      <c r="K2101" t="s">
        <v>25</v>
      </c>
      <c r="L2101">
        <v>0.4</v>
      </c>
      <c r="M2101" s="1" t="s">
        <v>23</v>
      </c>
      <c r="N2101" s="1" t="s">
        <v>2110</v>
      </c>
      <c r="O2101" s="1" t="s">
        <v>25</v>
      </c>
      <c r="P2101" s="3" t="s">
        <v>25</v>
      </c>
      <c r="Q2101" s="37" t="s">
        <v>25</v>
      </c>
      <c r="R2101" s="3" t="s">
        <v>25</v>
      </c>
      <c r="S2101" s="13">
        <f t="shared" si="55"/>
        <v>-1.48</v>
      </c>
    </row>
    <row r="2102" spans="1:19">
      <c r="A2102" s="18" t="s">
        <v>2189</v>
      </c>
      <c r="B2102" t="s">
        <v>2201</v>
      </c>
      <c r="C2102" s="1" t="s">
        <v>2221</v>
      </c>
      <c r="D2102" s="1" t="s">
        <v>2218</v>
      </c>
      <c r="E2102" s="1" t="s">
        <v>25</v>
      </c>
      <c r="F2102">
        <v>755</v>
      </c>
      <c r="G2102">
        <v>755</v>
      </c>
      <c r="H2102">
        <v>1</v>
      </c>
      <c r="I2102" s="1" t="s">
        <v>1528</v>
      </c>
      <c r="J2102" t="s">
        <v>1492</v>
      </c>
      <c r="K2102" t="s">
        <v>25</v>
      </c>
      <c r="L2102">
        <v>0.9</v>
      </c>
      <c r="M2102" s="1" t="s">
        <v>23</v>
      </c>
      <c r="N2102" s="1" t="s">
        <v>2110</v>
      </c>
      <c r="O2102" s="1" t="s">
        <v>25</v>
      </c>
      <c r="P2102" s="3" t="s">
        <v>25</v>
      </c>
      <c r="Q2102" s="37" t="s">
        <v>25</v>
      </c>
      <c r="R2102" s="3" t="s">
        <v>25</v>
      </c>
      <c r="S2102" s="13">
        <f t="shared" si="55"/>
        <v>-0.97999999999999987</v>
      </c>
    </row>
    <row r="2103" spans="1:19">
      <c r="A2103" s="18" t="s">
        <v>2189</v>
      </c>
      <c r="B2103" t="s">
        <v>2202</v>
      </c>
      <c r="C2103" s="1" t="s">
        <v>2221</v>
      </c>
      <c r="D2103" s="1" t="s">
        <v>2218</v>
      </c>
      <c r="E2103" s="1" t="s">
        <v>25</v>
      </c>
      <c r="F2103">
        <v>755</v>
      </c>
      <c r="G2103">
        <v>755</v>
      </c>
      <c r="H2103">
        <v>4</v>
      </c>
      <c r="I2103" s="1" t="s">
        <v>1528</v>
      </c>
      <c r="J2103" t="s">
        <v>1492</v>
      </c>
      <c r="K2103" t="s">
        <v>25</v>
      </c>
      <c r="L2103">
        <v>1.1000000000000001</v>
      </c>
      <c r="M2103" s="1" t="s">
        <v>23</v>
      </c>
      <c r="N2103" s="1" t="s">
        <v>2110</v>
      </c>
      <c r="O2103" s="1" t="s">
        <v>25</v>
      </c>
      <c r="P2103" s="3" t="s">
        <v>25</v>
      </c>
      <c r="Q2103" s="37" t="s">
        <v>25</v>
      </c>
      <c r="R2103" s="3" t="s">
        <v>25</v>
      </c>
      <c r="S2103" s="13">
        <f t="shared" si="55"/>
        <v>-0.7799999999999998</v>
      </c>
    </row>
    <row r="2104" spans="1:19">
      <c r="A2104" s="18" t="s">
        <v>2189</v>
      </c>
      <c r="B2104" t="s">
        <v>2203</v>
      </c>
      <c r="C2104" s="1" t="s">
        <v>2221</v>
      </c>
      <c r="D2104" s="1" t="s">
        <v>2218</v>
      </c>
      <c r="E2104" s="1" t="s">
        <v>25</v>
      </c>
      <c r="F2104">
        <v>755</v>
      </c>
      <c r="G2104">
        <v>755</v>
      </c>
      <c r="H2104">
        <v>26</v>
      </c>
      <c r="I2104" s="1" t="s">
        <v>1528</v>
      </c>
      <c r="J2104" t="s">
        <v>1492</v>
      </c>
      <c r="K2104" t="s">
        <v>25</v>
      </c>
      <c r="L2104">
        <v>0.8</v>
      </c>
      <c r="M2104" s="1" t="s">
        <v>23</v>
      </c>
      <c r="N2104" s="1" t="s">
        <v>2110</v>
      </c>
      <c r="O2104" s="1" t="s">
        <v>25</v>
      </c>
      <c r="P2104" s="3" t="s">
        <v>25</v>
      </c>
      <c r="Q2104" s="37" t="s">
        <v>25</v>
      </c>
      <c r="R2104" s="3" t="s">
        <v>25</v>
      </c>
      <c r="S2104" s="13">
        <f t="shared" si="55"/>
        <v>-1.0799999999999998</v>
      </c>
    </row>
    <row r="2105" spans="1:19">
      <c r="A2105" s="18" t="s">
        <v>2189</v>
      </c>
      <c r="B2105" t="s">
        <v>2204</v>
      </c>
      <c r="C2105" s="1" t="s">
        <v>2221</v>
      </c>
      <c r="D2105" s="1" t="s">
        <v>2218</v>
      </c>
      <c r="E2105" s="1" t="s">
        <v>25</v>
      </c>
      <c r="F2105">
        <v>755</v>
      </c>
      <c r="G2105">
        <v>755</v>
      </c>
      <c r="H2105">
        <v>29</v>
      </c>
      <c r="I2105" s="1" t="s">
        <v>1528</v>
      </c>
      <c r="J2105" t="s">
        <v>1492</v>
      </c>
      <c r="K2105" t="s">
        <v>25</v>
      </c>
      <c r="L2105">
        <v>1.3</v>
      </c>
      <c r="M2105" s="1" t="s">
        <v>23</v>
      </c>
      <c r="N2105" s="1" t="s">
        <v>2110</v>
      </c>
      <c r="O2105" s="1" t="s">
        <v>25</v>
      </c>
      <c r="P2105" s="3" t="s">
        <v>25</v>
      </c>
      <c r="Q2105" s="37" t="s">
        <v>25</v>
      </c>
      <c r="R2105" s="3" t="s">
        <v>25</v>
      </c>
      <c r="S2105" s="13">
        <f t="shared" si="55"/>
        <v>-0.57999999999999985</v>
      </c>
    </row>
    <row r="2106" spans="1:19">
      <c r="A2106" s="18" t="s">
        <v>2189</v>
      </c>
      <c r="B2106" t="s">
        <v>2205</v>
      </c>
      <c r="C2106" s="1" t="s">
        <v>2222</v>
      </c>
      <c r="D2106" s="1" t="s">
        <v>2220</v>
      </c>
      <c r="E2106" s="1" t="s">
        <v>25</v>
      </c>
      <c r="F2106">
        <v>650</v>
      </c>
      <c r="G2106">
        <v>760</v>
      </c>
      <c r="H2106">
        <v>0</v>
      </c>
      <c r="I2106" s="1" t="s">
        <v>1528</v>
      </c>
      <c r="J2106" t="s">
        <v>2223</v>
      </c>
      <c r="K2106" t="s">
        <v>25</v>
      </c>
      <c r="L2106">
        <v>0.2</v>
      </c>
      <c r="M2106" s="1" t="s">
        <v>23</v>
      </c>
      <c r="N2106" s="1" t="s">
        <v>2110</v>
      </c>
      <c r="O2106" s="1" t="s">
        <v>25</v>
      </c>
      <c r="P2106" s="3" t="s">
        <v>25</v>
      </c>
      <c r="Q2106" s="37" t="s">
        <v>25</v>
      </c>
      <c r="R2106" s="3" t="s">
        <v>25</v>
      </c>
      <c r="S2106" s="13">
        <f t="shared" si="55"/>
        <v>-1.68</v>
      </c>
    </row>
    <row r="2107" spans="1:19">
      <c r="A2107" s="18" t="s">
        <v>2189</v>
      </c>
      <c r="B2107" t="s">
        <v>2206</v>
      </c>
      <c r="C2107" s="1" t="s">
        <v>2222</v>
      </c>
      <c r="D2107" s="1" t="s">
        <v>2220</v>
      </c>
      <c r="E2107" s="1" t="s">
        <v>25</v>
      </c>
      <c r="F2107">
        <v>650</v>
      </c>
      <c r="G2107">
        <v>760</v>
      </c>
      <c r="H2107">
        <v>1</v>
      </c>
      <c r="I2107" s="1" t="s">
        <v>1528</v>
      </c>
      <c r="J2107" t="s">
        <v>2223</v>
      </c>
      <c r="K2107" t="s">
        <v>25</v>
      </c>
      <c r="L2107">
        <v>0.7</v>
      </c>
      <c r="M2107" s="1" t="s">
        <v>23</v>
      </c>
      <c r="N2107" s="1" t="s">
        <v>2110</v>
      </c>
      <c r="O2107" s="1" t="s">
        <v>25</v>
      </c>
      <c r="P2107" s="3" t="s">
        <v>25</v>
      </c>
      <c r="Q2107" s="37" t="s">
        <v>25</v>
      </c>
      <c r="R2107" s="3" t="s">
        <v>25</v>
      </c>
      <c r="S2107" s="13">
        <f t="shared" si="55"/>
        <v>-1.18</v>
      </c>
    </row>
    <row r="2108" spans="1:19">
      <c r="A2108" s="18" t="s">
        <v>2189</v>
      </c>
      <c r="B2108" t="s">
        <v>2207</v>
      </c>
      <c r="C2108" s="1" t="s">
        <v>2222</v>
      </c>
      <c r="D2108" s="1" t="s">
        <v>2220</v>
      </c>
      <c r="E2108" s="1" t="s">
        <v>25</v>
      </c>
      <c r="F2108">
        <v>650</v>
      </c>
      <c r="G2108">
        <v>760</v>
      </c>
      <c r="H2108">
        <v>2</v>
      </c>
      <c r="I2108" s="1" t="s">
        <v>1528</v>
      </c>
      <c r="J2108" t="s">
        <v>2223</v>
      </c>
      <c r="K2108" t="s">
        <v>25</v>
      </c>
      <c r="L2108">
        <v>0.8</v>
      </c>
      <c r="M2108" s="1" t="s">
        <v>23</v>
      </c>
      <c r="N2108" s="1" t="s">
        <v>2110</v>
      </c>
      <c r="O2108" s="1" t="s">
        <v>25</v>
      </c>
      <c r="P2108" s="3" t="s">
        <v>25</v>
      </c>
      <c r="Q2108" s="37" t="s">
        <v>25</v>
      </c>
      <c r="R2108" s="3" t="s">
        <v>25</v>
      </c>
      <c r="S2108" s="13">
        <f t="shared" si="55"/>
        <v>-1.0799999999999998</v>
      </c>
    </row>
    <row r="2109" spans="1:19">
      <c r="A2109" s="18" t="s">
        <v>2189</v>
      </c>
      <c r="B2109" t="s">
        <v>2208</v>
      </c>
      <c r="C2109" s="1" t="s">
        <v>2222</v>
      </c>
      <c r="D2109" s="1" t="s">
        <v>2220</v>
      </c>
      <c r="E2109" s="1" t="s">
        <v>25</v>
      </c>
      <c r="F2109">
        <v>650</v>
      </c>
      <c r="G2109">
        <v>760</v>
      </c>
      <c r="H2109">
        <v>4</v>
      </c>
      <c r="I2109" s="1" t="s">
        <v>1528</v>
      </c>
      <c r="J2109" t="s">
        <v>2223</v>
      </c>
      <c r="K2109" t="s">
        <v>25</v>
      </c>
      <c r="L2109">
        <v>1</v>
      </c>
      <c r="M2109" s="1" t="s">
        <v>23</v>
      </c>
      <c r="N2109" s="1" t="s">
        <v>2110</v>
      </c>
      <c r="O2109" s="1" t="s">
        <v>25</v>
      </c>
      <c r="P2109" s="3" t="s">
        <v>25</v>
      </c>
      <c r="Q2109" s="37" t="s">
        <v>25</v>
      </c>
      <c r="R2109" s="3" t="s">
        <v>25</v>
      </c>
      <c r="S2109" s="13">
        <f t="shared" si="55"/>
        <v>-0.87999999999999989</v>
      </c>
    </row>
    <row r="2110" spans="1:19">
      <c r="A2110" s="18" t="s">
        <v>2189</v>
      </c>
      <c r="B2110" t="s">
        <v>2209</v>
      </c>
      <c r="C2110" s="1" t="s">
        <v>2222</v>
      </c>
      <c r="D2110" s="1" t="s">
        <v>2220</v>
      </c>
      <c r="E2110" s="1" t="s">
        <v>25</v>
      </c>
      <c r="F2110">
        <v>650</v>
      </c>
      <c r="G2110">
        <v>760</v>
      </c>
      <c r="H2110">
        <v>5</v>
      </c>
      <c r="I2110" s="1" t="s">
        <v>1528</v>
      </c>
      <c r="J2110" t="s">
        <v>2223</v>
      </c>
      <c r="K2110" t="s">
        <v>25</v>
      </c>
      <c r="L2110">
        <v>0.8</v>
      </c>
      <c r="M2110" s="1" t="s">
        <v>23</v>
      </c>
      <c r="N2110" s="1" t="s">
        <v>2110</v>
      </c>
      <c r="O2110" s="1" t="s">
        <v>25</v>
      </c>
      <c r="P2110" s="3" t="s">
        <v>25</v>
      </c>
      <c r="Q2110" s="37" t="s">
        <v>25</v>
      </c>
      <c r="R2110" s="3" t="s">
        <v>25</v>
      </c>
      <c r="S2110" s="13">
        <f t="shared" si="55"/>
        <v>-1.0799999999999998</v>
      </c>
    </row>
    <row r="2111" spans="1:19">
      <c r="A2111" s="18" t="s">
        <v>2189</v>
      </c>
      <c r="B2111" t="s">
        <v>2210</v>
      </c>
      <c r="C2111" s="1" t="s">
        <v>2222</v>
      </c>
      <c r="D2111" s="1" t="s">
        <v>2220</v>
      </c>
      <c r="E2111" s="1" t="s">
        <v>25</v>
      </c>
      <c r="F2111">
        <v>650</v>
      </c>
      <c r="G2111">
        <v>760</v>
      </c>
      <c r="H2111">
        <v>7</v>
      </c>
      <c r="I2111" s="1" t="s">
        <v>1528</v>
      </c>
      <c r="J2111" t="s">
        <v>2223</v>
      </c>
      <c r="K2111" t="s">
        <v>25</v>
      </c>
      <c r="L2111">
        <v>0.9</v>
      </c>
      <c r="M2111" s="1" t="s">
        <v>23</v>
      </c>
      <c r="N2111" s="1" t="s">
        <v>2110</v>
      </c>
      <c r="O2111" s="1" t="s">
        <v>25</v>
      </c>
      <c r="P2111" s="3" t="s">
        <v>25</v>
      </c>
      <c r="Q2111" s="37" t="s">
        <v>25</v>
      </c>
      <c r="R2111" s="3" t="s">
        <v>25</v>
      </c>
      <c r="S2111" s="13">
        <f t="shared" si="55"/>
        <v>-0.97999999999999987</v>
      </c>
    </row>
    <row r="2112" spans="1:19">
      <c r="A2112" s="18" t="s">
        <v>2189</v>
      </c>
      <c r="B2112" t="s">
        <v>2211</v>
      </c>
      <c r="C2112" s="1" t="s">
        <v>2222</v>
      </c>
      <c r="D2112" s="1" t="s">
        <v>2220</v>
      </c>
      <c r="E2112" s="1" t="s">
        <v>25</v>
      </c>
      <c r="F2112">
        <v>650</v>
      </c>
      <c r="G2112">
        <v>760</v>
      </c>
      <c r="H2112">
        <v>9</v>
      </c>
      <c r="I2112" s="1" t="s">
        <v>1528</v>
      </c>
      <c r="J2112" t="s">
        <v>2223</v>
      </c>
      <c r="K2112" t="s">
        <v>25</v>
      </c>
      <c r="L2112">
        <v>0.8</v>
      </c>
      <c r="M2112" s="1" t="s">
        <v>23</v>
      </c>
      <c r="N2112" s="1" t="s">
        <v>2110</v>
      </c>
      <c r="O2112" s="1" t="s">
        <v>25</v>
      </c>
      <c r="P2112" s="3" t="s">
        <v>25</v>
      </c>
      <c r="Q2112" s="37" t="s">
        <v>25</v>
      </c>
      <c r="R2112" s="3" t="s">
        <v>25</v>
      </c>
      <c r="S2112" s="13">
        <f t="shared" si="55"/>
        <v>-1.0799999999999998</v>
      </c>
    </row>
    <row r="2113" spans="1:19">
      <c r="A2113" s="18" t="s">
        <v>2189</v>
      </c>
      <c r="B2113" t="s">
        <v>2212</v>
      </c>
      <c r="C2113" s="1" t="s">
        <v>2222</v>
      </c>
      <c r="D2113" s="1" t="s">
        <v>2220</v>
      </c>
      <c r="E2113" s="1" t="s">
        <v>25</v>
      </c>
      <c r="F2113">
        <v>650</v>
      </c>
      <c r="G2113">
        <v>760</v>
      </c>
      <c r="H2113">
        <v>11</v>
      </c>
      <c r="I2113" s="1" t="s">
        <v>1528</v>
      </c>
      <c r="J2113" t="s">
        <v>2223</v>
      </c>
      <c r="K2113" t="s">
        <v>25</v>
      </c>
      <c r="L2113">
        <v>1.1000000000000001</v>
      </c>
      <c r="M2113" s="1" t="s">
        <v>23</v>
      </c>
      <c r="N2113" s="1" t="s">
        <v>2110</v>
      </c>
      <c r="O2113" s="1" t="s">
        <v>25</v>
      </c>
      <c r="P2113" s="3" t="s">
        <v>25</v>
      </c>
      <c r="Q2113" s="37" t="s">
        <v>25</v>
      </c>
      <c r="R2113" s="3" t="s">
        <v>25</v>
      </c>
      <c r="S2113" s="13">
        <f t="shared" si="55"/>
        <v>-0.7799999999999998</v>
      </c>
    </row>
    <row r="2114" spans="1:19">
      <c r="A2114" s="18" t="s">
        <v>2189</v>
      </c>
      <c r="B2114" t="s">
        <v>2213</v>
      </c>
      <c r="C2114" s="1" t="s">
        <v>2222</v>
      </c>
      <c r="D2114" s="1" t="s">
        <v>2220</v>
      </c>
      <c r="E2114" s="1" t="s">
        <v>25</v>
      </c>
      <c r="F2114">
        <v>650</v>
      </c>
      <c r="G2114">
        <v>760</v>
      </c>
      <c r="H2114">
        <v>12</v>
      </c>
      <c r="I2114" s="1" t="s">
        <v>1528</v>
      </c>
      <c r="J2114" t="s">
        <v>2223</v>
      </c>
      <c r="K2114" t="s">
        <v>25</v>
      </c>
      <c r="L2114">
        <v>1</v>
      </c>
      <c r="M2114" s="1" t="s">
        <v>23</v>
      </c>
      <c r="N2114" s="1" t="s">
        <v>2110</v>
      </c>
      <c r="O2114" s="1" t="s">
        <v>25</v>
      </c>
      <c r="P2114" s="3" t="s">
        <v>25</v>
      </c>
      <c r="Q2114" s="37" t="s">
        <v>25</v>
      </c>
      <c r="R2114" s="3" t="s">
        <v>25</v>
      </c>
      <c r="S2114" s="13">
        <f t="shared" si="55"/>
        <v>-0.87999999999999989</v>
      </c>
    </row>
    <row r="2115" spans="1:19">
      <c r="A2115" s="18" t="s">
        <v>2189</v>
      </c>
      <c r="B2115" t="s">
        <v>2214</v>
      </c>
      <c r="C2115" s="1" t="s">
        <v>2222</v>
      </c>
      <c r="D2115" s="1" t="s">
        <v>2220</v>
      </c>
      <c r="E2115" s="1" t="s">
        <v>25</v>
      </c>
      <c r="F2115">
        <v>650</v>
      </c>
      <c r="G2115">
        <v>760</v>
      </c>
      <c r="H2115">
        <v>17</v>
      </c>
      <c r="I2115" s="1" t="s">
        <v>1528</v>
      </c>
      <c r="J2115" t="s">
        <v>2223</v>
      </c>
      <c r="K2115" t="s">
        <v>25</v>
      </c>
      <c r="L2115">
        <v>0.8</v>
      </c>
      <c r="M2115" s="1" t="s">
        <v>23</v>
      </c>
      <c r="N2115" s="1" t="s">
        <v>2110</v>
      </c>
      <c r="O2115" s="1" t="s">
        <v>25</v>
      </c>
      <c r="P2115" s="3" t="s">
        <v>25</v>
      </c>
      <c r="Q2115" s="37" t="s">
        <v>25</v>
      </c>
      <c r="R2115" s="3" t="s">
        <v>25</v>
      </c>
      <c r="S2115" s="13">
        <f t="shared" si="55"/>
        <v>-1.0799999999999998</v>
      </c>
    </row>
    <row r="2116" spans="1:19">
      <c r="A2116" s="18" t="s">
        <v>2189</v>
      </c>
      <c r="B2116" t="s">
        <v>2215</v>
      </c>
      <c r="C2116" s="1" t="s">
        <v>2222</v>
      </c>
      <c r="D2116" s="1" t="s">
        <v>2220</v>
      </c>
      <c r="E2116" s="1" t="s">
        <v>25</v>
      </c>
      <c r="F2116">
        <v>650</v>
      </c>
      <c r="G2116">
        <v>760</v>
      </c>
      <c r="H2116">
        <v>30</v>
      </c>
      <c r="I2116" s="1" t="s">
        <v>1528</v>
      </c>
      <c r="J2116" t="s">
        <v>2223</v>
      </c>
      <c r="K2116" t="s">
        <v>25</v>
      </c>
      <c r="L2116">
        <v>0.7</v>
      </c>
      <c r="M2116" s="1" t="s">
        <v>23</v>
      </c>
      <c r="N2116" s="1" t="s">
        <v>2110</v>
      </c>
      <c r="O2116" s="1" t="s">
        <v>25</v>
      </c>
      <c r="P2116" s="3" t="s">
        <v>25</v>
      </c>
      <c r="Q2116" s="37" t="s">
        <v>25</v>
      </c>
      <c r="R2116" s="3" t="s">
        <v>25</v>
      </c>
      <c r="S2116" s="13">
        <f t="shared" si="55"/>
        <v>-1.18</v>
      </c>
    </row>
    <row r="2117" spans="1:19">
      <c r="A2117" s="18" t="s">
        <v>2189</v>
      </c>
      <c r="B2117" t="s">
        <v>2216</v>
      </c>
      <c r="C2117" s="1" t="s">
        <v>2222</v>
      </c>
      <c r="D2117" s="1" t="s">
        <v>2220</v>
      </c>
      <c r="E2117" s="1" t="s">
        <v>25</v>
      </c>
      <c r="F2117">
        <v>650</v>
      </c>
      <c r="G2117">
        <v>760</v>
      </c>
      <c r="H2117">
        <v>35</v>
      </c>
      <c r="I2117" s="1" t="s">
        <v>1528</v>
      </c>
      <c r="J2117" t="s">
        <v>2223</v>
      </c>
      <c r="K2117" t="s">
        <v>25</v>
      </c>
      <c r="L2117">
        <v>0.6</v>
      </c>
      <c r="M2117" s="1" t="s">
        <v>23</v>
      </c>
      <c r="N2117" s="1" t="s">
        <v>2110</v>
      </c>
      <c r="O2117" s="1" t="s">
        <v>25</v>
      </c>
      <c r="P2117" s="3" t="s">
        <v>25</v>
      </c>
      <c r="Q2117" s="37" t="s">
        <v>25</v>
      </c>
      <c r="R2117" s="3" t="s">
        <v>25</v>
      </c>
      <c r="S2117" s="13">
        <f t="shared" si="55"/>
        <v>-1.2799999999999998</v>
      </c>
    </row>
    <row r="2118" spans="1:19" s="4" customFormat="1">
      <c r="B2118" s="5"/>
      <c r="C2118" s="5"/>
      <c r="D2118" s="5"/>
      <c r="E2118" s="5"/>
      <c r="I2118" s="5"/>
      <c r="M2118" s="5"/>
      <c r="O2118" s="5"/>
      <c r="P2118" s="6"/>
      <c r="Q2118" s="38"/>
      <c r="S2118" s="24"/>
    </row>
    <row r="2119" spans="1:19">
      <c r="A2119" s="18" t="s">
        <v>2224</v>
      </c>
      <c r="B2119" s="1">
        <v>1</v>
      </c>
      <c r="C2119" s="1" t="s">
        <v>2046</v>
      </c>
      <c r="D2119" s="1" t="s">
        <v>25</v>
      </c>
      <c r="E2119" s="1" t="s">
        <v>25</v>
      </c>
      <c r="F2119">
        <v>0.12</v>
      </c>
      <c r="G2119">
        <v>0.12</v>
      </c>
      <c r="H2119" t="s">
        <v>25</v>
      </c>
      <c r="I2119" s="1" t="s">
        <v>1528</v>
      </c>
      <c r="J2119" t="s">
        <v>25</v>
      </c>
      <c r="K2119" t="s">
        <v>25</v>
      </c>
      <c r="L2119">
        <v>0.78</v>
      </c>
      <c r="M2119" s="1" t="s">
        <v>23</v>
      </c>
      <c r="N2119" s="1" t="s">
        <v>2110</v>
      </c>
      <c r="O2119" s="1" t="s">
        <v>25</v>
      </c>
      <c r="P2119" s="1" t="s">
        <v>25</v>
      </c>
      <c r="Q2119" s="37" t="s">
        <v>25</v>
      </c>
      <c r="R2119" s="1" t="s">
        <v>25</v>
      </c>
      <c r="S2119" s="13">
        <f t="shared" si="55"/>
        <v>-1.0999999999999999</v>
      </c>
    </row>
    <row r="2120" spans="1:19">
      <c r="A2120" s="18" t="s">
        <v>2224</v>
      </c>
      <c r="B2120" s="1">
        <v>2</v>
      </c>
      <c r="C2120" s="1" t="s">
        <v>2046</v>
      </c>
      <c r="D2120" s="1" t="s">
        <v>25</v>
      </c>
      <c r="E2120" s="1" t="s">
        <v>25</v>
      </c>
      <c r="F2120">
        <v>0.12</v>
      </c>
      <c r="G2120">
        <v>0.12</v>
      </c>
      <c r="H2120" t="s">
        <v>25</v>
      </c>
      <c r="I2120" s="1" t="s">
        <v>1528</v>
      </c>
      <c r="J2120" t="s">
        <v>25</v>
      </c>
      <c r="K2120" t="s">
        <v>25</v>
      </c>
      <c r="L2120">
        <v>1.21</v>
      </c>
      <c r="M2120" s="1" t="s">
        <v>23</v>
      </c>
      <c r="N2120" s="1" t="s">
        <v>2110</v>
      </c>
      <c r="O2120" s="1" t="s">
        <v>25</v>
      </c>
      <c r="P2120" s="1" t="s">
        <v>25</v>
      </c>
      <c r="Q2120" s="37" t="s">
        <v>25</v>
      </c>
      <c r="R2120" s="1" t="s">
        <v>25</v>
      </c>
      <c r="S2120" s="13">
        <f t="shared" si="55"/>
        <v>-0.66999999999999993</v>
      </c>
    </row>
    <row r="2121" spans="1:19">
      <c r="A2121" s="18" t="s">
        <v>2224</v>
      </c>
      <c r="B2121" s="1">
        <v>3</v>
      </c>
      <c r="C2121" s="1" t="s">
        <v>2046</v>
      </c>
      <c r="D2121" s="1" t="s">
        <v>25</v>
      </c>
      <c r="E2121" s="1" t="s">
        <v>25</v>
      </c>
      <c r="F2121">
        <v>0.12</v>
      </c>
      <c r="G2121">
        <v>0.12</v>
      </c>
      <c r="H2121" t="s">
        <v>25</v>
      </c>
      <c r="I2121" s="1" t="s">
        <v>1528</v>
      </c>
      <c r="J2121" t="s">
        <v>25</v>
      </c>
      <c r="K2121" t="s">
        <v>25</v>
      </c>
      <c r="L2121">
        <v>1.19</v>
      </c>
      <c r="M2121" s="1" t="s">
        <v>23</v>
      </c>
      <c r="N2121" s="1" t="s">
        <v>2110</v>
      </c>
      <c r="O2121" s="1" t="s">
        <v>25</v>
      </c>
      <c r="P2121" s="1" t="s">
        <v>25</v>
      </c>
      <c r="Q2121" s="37" t="s">
        <v>25</v>
      </c>
      <c r="R2121" s="1" t="s">
        <v>25</v>
      </c>
      <c r="S2121" s="13">
        <f t="shared" si="55"/>
        <v>-0.69</v>
      </c>
    </row>
    <row r="2122" spans="1:19">
      <c r="A2122" s="18" t="s">
        <v>2224</v>
      </c>
      <c r="B2122" s="1">
        <v>4</v>
      </c>
      <c r="C2122" s="1" t="s">
        <v>2046</v>
      </c>
      <c r="D2122" s="1" t="s">
        <v>25</v>
      </c>
      <c r="E2122" s="1" t="s">
        <v>25</v>
      </c>
      <c r="F2122">
        <v>0.12</v>
      </c>
      <c r="G2122">
        <v>0.12</v>
      </c>
      <c r="H2122" t="s">
        <v>25</v>
      </c>
      <c r="I2122" s="1" t="s">
        <v>1528</v>
      </c>
      <c r="J2122" t="s">
        <v>25</v>
      </c>
      <c r="K2122" t="s">
        <v>25</v>
      </c>
      <c r="L2122">
        <v>1.56</v>
      </c>
      <c r="M2122" s="1" t="s">
        <v>23</v>
      </c>
      <c r="N2122" s="1" t="s">
        <v>2110</v>
      </c>
      <c r="O2122" s="1" t="s">
        <v>25</v>
      </c>
      <c r="P2122" s="1" t="s">
        <v>25</v>
      </c>
      <c r="Q2122" s="37" t="s">
        <v>25</v>
      </c>
      <c r="R2122" s="1" t="s">
        <v>25</v>
      </c>
      <c r="S2122" s="13">
        <f t="shared" si="55"/>
        <v>-0.31999999999999984</v>
      </c>
    </row>
    <row r="2123" spans="1:19">
      <c r="A2123" s="18" t="s">
        <v>2224</v>
      </c>
      <c r="B2123" s="1">
        <v>5</v>
      </c>
      <c r="C2123" s="1" t="s">
        <v>2046</v>
      </c>
      <c r="D2123" s="1" t="s">
        <v>25</v>
      </c>
      <c r="E2123" s="1" t="s">
        <v>25</v>
      </c>
      <c r="F2123">
        <v>0.12</v>
      </c>
      <c r="G2123">
        <v>0.12</v>
      </c>
      <c r="H2123" t="s">
        <v>25</v>
      </c>
      <c r="I2123" s="1" t="s">
        <v>1528</v>
      </c>
      <c r="J2123" t="s">
        <v>25</v>
      </c>
      <c r="K2123" t="s">
        <v>25</v>
      </c>
      <c r="L2123">
        <v>1.4</v>
      </c>
      <c r="M2123" s="1" t="s">
        <v>23</v>
      </c>
      <c r="N2123" s="1" t="s">
        <v>2110</v>
      </c>
      <c r="O2123" s="1" t="s">
        <v>25</v>
      </c>
      <c r="P2123" s="1" t="s">
        <v>25</v>
      </c>
      <c r="Q2123" s="37" t="s">
        <v>25</v>
      </c>
      <c r="R2123" s="1" t="s">
        <v>25</v>
      </c>
      <c r="S2123" s="13">
        <f t="shared" si="55"/>
        <v>-0.48</v>
      </c>
    </row>
    <row r="2124" spans="1:19">
      <c r="A2124" s="18" t="s">
        <v>2224</v>
      </c>
      <c r="B2124" s="1">
        <v>6</v>
      </c>
      <c r="C2124" s="1" t="s">
        <v>2046</v>
      </c>
      <c r="D2124" s="1" t="s">
        <v>25</v>
      </c>
      <c r="E2124" s="1" t="s">
        <v>25</v>
      </c>
      <c r="F2124">
        <v>0.12</v>
      </c>
      <c r="G2124">
        <v>0.12</v>
      </c>
      <c r="H2124" t="s">
        <v>25</v>
      </c>
      <c r="I2124" s="1" t="s">
        <v>1528</v>
      </c>
      <c r="J2124" t="s">
        <v>25</v>
      </c>
      <c r="K2124" t="s">
        <v>25</v>
      </c>
      <c r="L2124">
        <v>1.37</v>
      </c>
      <c r="M2124" s="1" t="s">
        <v>23</v>
      </c>
      <c r="N2124" s="1" t="s">
        <v>2110</v>
      </c>
      <c r="O2124" s="1" t="s">
        <v>25</v>
      </c>
      <c r="P2124" s="1" t="s">
        <v>25</v>
      </c>
      <c r="Q2124" s="37" t="s">
        <v>25</v>
      </c>
      <c r="R2124" s="1" t="s">
        <v>25</v>
      </c>
      <c r="S2124" s="13">
        <f t="shared" si="55"/>
        <v>-0.50999999999999979</v>
      </c>
    </row>
    <row r="2125" spans="1:19">
      <c r="A2125" s="18" t="s">
        <v>2224</v>
      </c>
      <c r="B2125" s="1">
        <v>7</v>
      </c>
      <c r="C2125" s="1" t="s">
        <v>2046</v>
      </c>
      <c r="D2125" s="1" t="s">
        <v>25</v>
      </c>
      <c r="E2125" s="1" t="s">
        <v>25</v>
      </c>
      <c r="F2125">
        <v>0.12</v>
      </c>
      <c r="G2125">
        <v>0.12</v>
      </c>
      <c r="H2125" t="s">
        <v>25</v>
      </c>
      <c r="I2125" s="1" t="s">
        <v>1528</v>
      </c>
      <c r="J2125" t="s">
        <v>25</v>
      </c>
      <c r="K2125" t="s">
        <v>25</v>
      </c>
      <c r="L2125">
        <v>1.42</v>
      </c>
      <c r="M2125" s="1" t="s">
        <v>23</v>
      </c>
      <c r="N2125" s="1" t="s">
        <v>2110</v>
      </c>
      <c r="O2125" s="1" t="s">
        <v>25</v>
      </c>
      <c r="P2125" s="1" t="s">
        <v>25</v>
      </c>
      <c r="Q2125" s="37" t="s">
        <v>25</v>
      </c>
      <c r="R2125" s="1" t="s">
        <v>25</v>
      </c>
      <c r="S2125" s="13">
        <f t="shared" si="55"/>
        <v>-0.45999999999999996</v>
      </c>
    </row>
    <row r="2126" spans="1:19">
      <c r="A2126" s="18" t="s">
        <v>2224</v>
      </c>
      <c r="B2126" s="1">
        <v>8</v>
      </c>
      <c r="C2126" s="1" t="s">
        <v>2046</v>
      </c>
      <c r="D2126" s="1" t="s">
        <v>25</v>
      </c>
      <c r="E2126" s="1" t="s">
        <v>25</v>
      </c>
      <c r="F2126">
        <v>0.12</v>
      </c>
      <c r="G2126">
        <v>0.12</v>
      </c>
      <c r="H2126" t="s">
        <v>25</v>
      </c>
      <c r="I2126" s="1" t="s">
        <v>1528</v>
      </c>
      <c r="J2126" t="s">
        <v>25</v>
      </c>
      <c r="K2126" t="s">
        <v>25</v>
      </c>
      <c r="L2126">
        <v>0.96</v>
      </c>
      <c r="M2126" s="1" t="s">
        <v>23</v>
      </c>
      <c r="N2126" s="1" t="s">
        <v>2110</v>
      </c>
      <c r="O2126" s="1" t="s">
        <v>25</v>
      </c>
      <c r="P2126" s="1" t="s">
        <v>25</v>
      </c>
      <c r="Q2126" s="37" t="s">
        <v>25</v>
      </c>
      <c r="R2126" s="1" t="s">
        <v>25</v>
      </c>
      <c r="S2126" s="13">
        <f t="shared" si="55"/>
        <v>-0.91999999999999993</v>
      </c>
    </row>
    <row r="2127" spans="1:19">
      <c r="A2127" s="18" t="s">
        <v>2224</v>
      </c>
      <c r="B2127" s="1">
        <v>9</v>
      </c>
      <c r="C2127" s="1" t="s">
        <v>2046</v>
      </c>
      <c r="D2127" s="1" t="s">
        <v>25</v>
      </c>
      <c r="E2127" s="1" t="s">
        <v>25</v>
      </c>
      <c r="F2127">
        <v>0.12</v>
      </c>
      <c r="G2127">
        <v>0.12</v>
      </c>
      <c r="H2127" t="s">
        <v>25</v>
      </c>
      <c r="I2127" s="1" t="s">
        <v>1528</v>
      </c>
      <c r="J2127" t="s">
        <v>25</v>
      </c>
      <c r="K2127" t="s">
        <v>25</v>
      </c>
      <c r="L2127">
        <v>0.97</v>
      </c>
      <c r="M2127" s="1" t="s">
        <v>23</v>
      </c>
      <c r="N2127" s="1" t="s">
        <v>2110</v>
      </c>
      <c r="O2127" s="1" t="s">
        <v>25</v>
      </c>
      <c r="P2127" s="1" t="s">
        <v>25</v>
      </c>
      <c r="Q2127" s="37" t="s">
        <v>25</v>
      </c>
      <c r="R2127" s="1" t="s">
        <v>25</v>
      </c>
      <c r="S2127" s="13">
        <f t="shared" si="55"/>
        <v>-0.90999999999999992</v>
      </c>
    </row>
    <row r="2128" spans="1:19">
      <c r="A2128" s="18" t="s">
        <v>2224</v>
      </c>
      <c r="B2128" s="1">
        <v>10</v>
      </c>
      <c r="C2128" s="1" t="s">
        <v>2046</v>
      </c>
      <c r="D2128" s="1" t="s">
        <v>25</v>
      </c>
      <c r="E2128" s="1" t="s">
        <v>25</v>
      </c>
      <c r="F2128">
        <v>0.12</v>
      </c>
      <c r="G2128">
        <v>0.12</v>
      </c>
      <c r="H2128" t="s">
        <v>25</v>
      </c>
      <c r="I2128" s="1" t="s">
        <v>1528</v>
      </c>
      <c r="J2128" t="s">
        <v>25</v>
      </c>
      <c r="K2128" t="s">
        <v>25</v>
      </c>
      <c r="L2128">
        <v>0.7</v>
      </c>
      <c r="M2128" s="1" t="s">
        <v>23</v>
      </c>
      <c r="N2128" s="1" t="s">
        <v>2110</v>
      </c>
      <c r="O2128" s="1" t="s">
        <v>25</v>
      </c>
      <c r="P2128" s="1" t="s">
        <v>25</v>
      </c>
      <c r="Q2128" s="37" t="s">
        <v>25</v>
      </c>
      <c r="R2128" s="1" t="s">
        <v>25</v>
      </c>
      <c r="S2128" s="13">
        <f t="shared" si="55"/>
        <v>-1.18</v>
      </c>
    </row>
    <row r="2129" spans="1:19">
      <c r="A2129" s="18" t="s">
        <v>2224</v>
      </c>
      <c r="B2129" s="1">
        <v>11</v>
      </c>
      <c r="C2129" s="1" t="s">
        <v>2046</v>
      </c>
      <c r="D2129" s="1" t="s">
        <v>25</v>
      </c>
      <c r="E2129" s="1" t="s">
        <v>25</v>
      </c>
      <c r="F2129">
        <v>0.12</v>
      </c>
      <c r="G2129">
        <v>0.12</v>
      </c>
      <c r="H2129" t="s">
        <v>25</v>
      </c>
      <c r="I2129" s="1" t="s">
        <v>1528</v>
      </c>
      <c r="J2129" t="s">
        <v>25</v>
      </c>
      <c r="K2129" t="s">
        <v>25</v>
      </c>
      <c r="L2129">
        <v>0.99</v>
      </c>
      <c r="M2129" s="1" t="s">
        <v>23</v>
      </c>
      <c r="N2129" s="1" t="s">
        <v>2110</v>
      </c>
      <c r="O2129" s="1" t="s">
        <v>25</v>
      </c>
      <c r="P2129" s="1" t="s">
        <v>25</v>
      </c>
      <c r="Q2129" s="37" t="s">
        <v>25</v>
      </c>
      <c r="R2129" s="1" t="s">
        <v>25</v>
      </c>
      <c r="S2129" s="13">
        <f t="shared" si="55"/>
        <v>-0.8899999999999999</v>
      </c>
    </row>
    <row r="2130" spans="1:19">
      <c r="A2130" s="18" t="s">
        <v>2224</v>
      </c>
      <c r="B2130" s="1">
        <v>12</v>
      </c>
      <c r="C2130" s="1" t="s">
        <v>2046</v>
      </c>
      <c r="D2130" s="1" t="s">
        <v>25</v>
      </c>
      <c r="E2130" s="1" t="s">
        <v>25</v>
      </c>
      <c r="F2130">
        <v>0.12</v>
      </c>
      <c r="G2130">
        <v>0.12</v>
      </c>
      <c r="H2130" t="s">
        <v>25</v>
      </c>
      <c r="I2130" s="1" t="s">
        <v>1528</v>
      </c>
      <c r="J2130" t="s">
        <v>25</v>
      </c>
      <c r="K2130" t="s">
        <v>25</v>
      </c>
      <c r="L2130">
        <v>0.84</v>
      </c>
      <c r="M2130" s="1" t="s">
        <v>23</v>
      </c>
      <c r="N2130" s="1" t="s">
        <v>2110</v>
      </c>
      <c r="O2130" s="1" t="s">
        <v>25</v>
      </c>
      <c r="P2130" s="1" t="s">
        <v>25</v>
      </c>
      <c r="Q2130" s="37" t="s">
        <v>25</v>
      </c>
      <c r="R2130" s="1" t="s">
        <v>25</v>
      </c>
      <c r="S2130" s="13">
        <f t="shared" si="55"/>
        <v>-1.04</v>
      </c>
    </row>
    <row r="2131" spans="1:19">
      <c r="A2131" s="18" t="s">
        <v>2224</v>
      </c>
      <c r="B2131" s="1">
        <v>13</v>
      </c>
      <c r="C2131" s="1" t="s">
        <v>2046</v>
      </c>
      <c r="D2131" s="1" t="s">
        <v>25</v>
      </c>
      <c r="E2131" s="1" t="s">
        <v>25</v>
      </c>
      <c r="F2131">
        <v>0.12</v>
      </c>
      <c r="G2131">
        <v>0.12</v>
      </c>
      <c r="H2131" t="s">
        <v>25</v>
      </c>
      <c r="I2131" s="1" t="s">
        <v>1528</v>
      </c>
      <c r="J2131" t="s">
        <v>25</v>
      </c>
      <c r="K2131" t="s">
        <v>25</v>
      </c>
      <c r="L2131">
        <v>0.75</v>
      </c>
      <c r="M2131" s="1" t="s">
        <v>23</v>
      </c>
      <c r="N2131" s="1" t="s">
        <v>2110</v>
      </c>
      <c r="O2131" s="1" t="s">
        <v>25</v>
      </c>
      <c r="P2131" s="1" t="s">
        <v>25</v>
      </c>
      <c r="Q2131" s="37" t="s">
        <v>25</v>
      </c>
      <c r="R2131" s="1" t="s">
        <v>25</v>
      </c>
      <c r="S2131" s="13">
        <f t="shared" si="55"/>
        <v>-1.1299999999999999</v>
      </c>
    </row>
    <row r="2132" spans="1:19">
      <c r="A2132" s="18" t="s">
        <v>2224</v>
      </c>
      <c r="B2132" s="1">
        <v>14</v>
      </c>
      <c r="C2132" s="1" t="s">
        <v>2046</v>
      </c>
      <c r="D2132" s="1" t="s">
        <v>25</v>
      </c>
      <c r="E2132" s="1" t="s">
        <v>25</v>
      </c>
      <c r="F2132">
        <v>0.12</v>
      </c>
      <c r="G2132">
        <v>0.12</v>
      </c>
      <c r="H2132" t="s">
        <v>25</v>
      </c>
      <c r="I2132" s="1" t="s">
        <v>1528</v>
      </c>
      <c r="J2132" t="s">
        <v>25</v>
      </c>
      <c r="K2132" t="s">
        <v>25</v>
      </c>
      <c r="L2132">
        <v>0.78</v>
      </c>
      <c r="M2132" s="1" t="s">
        <v>23</v>
      </c>
      <c r="N2132" s="1" t="s">
        <v>2110</v>
      </c>
      <c r="O2132" s="1" t="s">
        <v>25</v>
      </c>
      <c r="P2132" s="1" t="s">
        <v>25</v>
      </c>
      <c r="Q2132" s="37" t="s">
        <v>25</v>
      </c>
      <c r="R2132" s="1" t="s">
        <v>25</v>
      </c>
      <c r="S2132" s="13">
        <f t="shared" si="55"/>
        <v>-1.0999999999999999</v>
      </c>
    </row>
    <row r="2133" spans="1:19">
      <c r="A2133" s="18" t="s">
        <v>2224</v>
      </c>
      <c r="B2133" s="1">
        <v>15</v>
      </c>
      <c r="C2133" s="1" t="s">
        <v>2046</v>
      </c>
      <c r="D2133" s="1" t="s">
        <v>25</v>
      </c>
      <c r="E2133" s="1" t="s">
        <v>25</v>
      </c>
      <c r="F2133">
        <v>0.12</v>
      </c>
      <c r="G2133">
        <v>0.12</v>
      </c>
      <c r="H2133" t="s">
        <v>25</v>
      </c>
      <c r="I2133" s="1" t="s">
        <v>1528</v>
      </c>
      <c r="J2133" t="s">
        <v>25</v>
      </c>
      <c r="K2133" t="s">
        <v>25</v>
      </c>
      <c r="L2133" t="s">
        <v>25</v>
      </c>
      <c r="M2133" s="1" t="s">
        <v>23</v>
      </c>
      <c r="N2133" s="1" t="s">
        <v>2110</v>
      </c>
      <c r="O2133" s="1" t="s">
        <v>25</v>
      </c>
      <c r="P2133" s="1" t="s">
        <v>25</v>
      </c>
      <c r="Q2133" s="37" t="s">
        <v>25</v>
      </c>
      <c r="R2133" s="1" t="s">
        <v>25</v>
      </c>
      <c r="S2133" s="13" t="s">
        <v>25</v>
      </c>
    </row>
    <row r="2134" spans="1:19">
      <c r="A2134" s="18" t="s">
        <v>2224</v>
      </c>
      <c r="B2134" s="1">
        <v>16</v>
      </c>
      <c r="C2134" s="1" t="s">
        <v>2046</v>
      </c>
      <c r="D2134" s="1" t="s">
        <v>25</v>
      </c>
      <c r="E2134" s="1" t="s">
        <v>25</v>
      </c>
      <c r="F2134">
        <v>0.12</v>
      </c>
      <c r="G2134">
        <v>0.12</v>
      </c>
      <c r="H2134" t="s">
        <v>25</v>
      </c>
      <c r="I2134" s="1" t="s">
        <v>1528</v>
      </c>
      <c r="J2134" t="s">
        <v>25</v>
      </c>
      <c r="K2134" t="s">
        <v>25</v>
      </c>
      <c r="L2134">
        <v>0.84</v>
      </c>
      <c r="M2134" s="1" t="s">
        <v>23</v>
      </c>
      <c r="N2134" s="1" t="s">
        <v>2110</v>
      </c>
      <c r="O2134" s="1" t="s">
        <v>25</v>
      </c>
      <c r="P2134" s="1" t="s">
        <v>25</v>
      </c>
      <c r="Q2134" s="37" t="s">
        <v>25</v>
      </c>
      <c r="R2134" s="1" t="s">
        <v>25</v>
      </c>
      <c r="S2134" s="13">
        <f t="shared" si="55"/>
        <v>-1.04</v>
      </c>
    </row>
    <row r="2135" spans="1:19">
      <c r="A2135" s="18" t="s">
        <v>2224</v>
      </c>
      <c r="B2135" s="1">
        <v>17</v>
      </c>
      <c r="C2135" s="1" t="s">
        <v>2046</v>
      </c>
      <c r="D2135" s="1" t="s">
        <v>25</v>
      </c>
      <c r="E2135" s="1" t="s">
        <v>25</v>
      </c>
      <c r="F2135">
        <v>0.12</v>
      </c>
      <c r="G2135">
        <v>0.12</v>
      </c>
      <c r="H2135" t="s">
        <v>25</v>
      </c>
      <c r="I2135" s="1" t="s">
        <v>1528</v>
      </c>
      <c r="J2135" t="s">
        <v>25</v>
      </c>
      <c r="K2135" t="s">
        <v>25</v>
      </c>
      <c r="L2135">
        <v>0.98</v>
      </c>
      <c r="M2135" s="1" t="s">
        <v>23</v>
      </c>
      <c r="N2135" s="1" t="s">
        <v>2110</v>
      </c>
      <c r="O2135" s="1" t="s">
        <v>25</v>
      </c>
      <c r="P2135" s="1" t="s">
        <v>25</v>
      </c>
      <c r="Q2135" s="37" t="s">
        <v>25</v>
      </c>
      <c r="R2135" s="1" t="s">
        <v>25</v>
      </c>
      <c r="S2135" s="13">
        <f t="shared" si="55"/>
        <v>-0.89999999999999991</v>
      </c>
    </row>
    <row r="2136" spans="1:19">
      <c r="A2136" s="18" t="s">
        <v>2224</v>
      </c>
      <c r="B2136" s="1">
        <v>18</v>
      </c>
      <c r="C2136" s="1" t="s">
        <v>2046</v>
      </c>
      <c r="D2136" s="1" t="s">
        <v>25</v>
      </c>
      <c r="E2136" s="1" t="s">
        <v>25</v>
      </c>
      <c r="F2136">
        <v>0.12</v>
      </c>
      <c r="G2136">
        <v>0.12</v>
      </c>
      <c r="H2136" t="s">
        <v>25</v>
      </c>
      <c r="I2136" s="1" t="s">
        <v>1528</v>
      </c>
      <c r="J2136" t="s">
        <v>25</v>
      </c>
      <c r="K2136" t="s">
        <v>25</v>
      </c>
      <c r="L2136">
        <v>0.75</v>
      </c>
      <c r="M2136" s="1" t="s">
        <v>23</v>
      </c>
      <c r="N2136" s="1" t="s">
        <v>2110</v>
      </c>
      <c r="O2136" s="1" t="s">
        <v>25</v>
      </c>
      <c r="P2136" s="1" t="s">
        <v>25</v>
      </c>
      <c r="Q2136" s="37" t="s">
        <v>25</v>
      </c>
      <c r="R2136" s="1" t="s">
        <v>25</v>
      </c>
      <c r="S2136" s="13">
        <f t="shared" si="55"/>
        <v>-1.1299999999999999</v>
      </c>
    </row>
    <row r="2137" spans="1:19">
      <c r="A2137" s="18" t="s">
        <v>2224</v>
      </c>
      <c r="B2137" s="1">
        <v>19</v>
      </c>
      <c r="C2137" s="1" t="s">
        <v>2046</v>
      </c>
      <c r="D2137" s="1" t="s">
        <v>25</v>
      </c>
      <c r="E2137" s="1" t="s">
        <v>25</v>
      </c>
      <c r="F2137">
        <v>0.12</v>
      </c>
      <c r="G2137">
        <v>0.12</v>
      </c>
      <c r="H2137" t="s">
        <v>25</v>
      </c>
      <c r="I2137" s="1" t="s">
        <v>1528</v>
      </c>
      <c r="J2137" t="s">
        <v>25</v>
      </c>
      <c r="K2137" t="s">
        <v>25</v>
      </c>
      <c r="L2137">
        <v>0.6</v>
      </c>
      <c r="M2137" s="1" t="s">
        <v>23</v>
      </c>
      <c r="N2137" s="1" t="s">
        <v>2110</v>
      </c>
      <c r="O2137" s="1" t="s">
        <v>25</v>
      </c>
      <c r="P2137" s="1" t="s">
        <v>25</v>
      </c>
      <c r="Q2137" s="37" t="s">
        <v>25</v>
      </c>
      <c r="R2137" s="1" t="s">
        <v>25</v>
      </c>
      <c r="S2137" s="13">
        <f t="shared" si="55"/>
        <v>-1.2799999999999998</v>
      </c>
    </row>
    <row r="2138" spans="1:19">
      <c r="A2138" s="18" t="s">
        <v>2224</v>
      </c>
      <c r="B2138" s="1">
        <v>20</v>
      </c>
      <c r="C2138" s="1" t="s">
        <v>2046</v>
      </c>
      <c r="D2138" s="1" t="s">
        <v>25</v>
      </c>
      <c r="E2138" s="1" t="s">
        <v>25</v>
      </c>
      <c r="F2138">
        <v>0.12</v>
      </c>
      <c r="G2138">
        <v>0.12</v>
      </c>
      <c r="H2138" t="s">
        <v>25</v>
      </c>
      <c r="I2138" s="1" t="s">
        <v>1528</v>
      </c>
      <c r="J2138" t="s">
        <v>25</v>
      </c>
      <c r="K2138" t="s">
        <v>25</v>
      </c>
      <c r="L2138">
        <v>1.05</v>
      </c>
      <c r="M2138" s="1" t="s">
        <v>23</v>
      </c>
      <c r="N2138" s="1" t="s">
        <v>2110</v>
      </c>
      <c r="O2138" s="1" t="s">
        <v>25</v>
      </c>
      <c r="P2138" s="1" t="s">
        <v>25</v>
      </c>
      <c r="Q2138" s="37" t="s">
        <v>25</v>
      </c>
      <c r="R2138" s="1" t="s">
        <v>25</v>
      </c>
      <c r="S2138" s="13">
        <f t="shared" si="55"/>
        <v>-0.82999999999999985</v>
      </c>
    </row>
    <row r="2139" spans="1:19">
      <c r="A2139" s="18" t="s">
        <v>2224</v>
      </c>
      <c r="B2139" s="1">
        <v>21</v>
      </c>
      <c r="C2139" s="1" t="s">
        <v>2046</v>
      </c>
      <c r="D2139" s="1" t="s">
        <v>25</v>
      </c>
      <c r="E2139" s="1" t="s">
        <v>25</v>
      </c>
      <c r="F2139">
        <v>0.12</v>
      </c>
      <c r="G2139">
        <v>0.12</v>
      </c>
      <c r="H2139" t="s">
        <v>25</v>
      </c>
      <c r="I2139" s="1" t="s">
        <v>1528</v>
      </c>
      <c r="J2139" t="s">
        <v>25</v>
      </c>
      <c r="K2139" t="s">
        <v>25</v>
      </c>
      <c r="L2139" t="s">
        <v>25</v>
      </c>
      <c r="M2139" s="1" t="s">
        <v>23</v>
      </c>
      <c r="N2139" s="1" t="s">
        <v>2110</v>
      </c>
      <c r="O2139" s="1" t="s">
        <v>25</v>
      </c>
      <c r="P2139" s="1" t="s">
        <v>25</v>
      </c>
      <c r="Q2139" s="37" t="s">
        <v>25</v>
      </c>
      <c r="R2139" s="1" t="s">
        <v>25</v>
      </c>
      <c r="S2139" s="13" t="s">
        <v>25</v>
      </c>
    </row>
    <row r="2140" spans="1:19">
      <c r="A2140" s="18" t="s">
        <v>2224</v>
      </c>
      <c r="B2140" s="1">
        <v>22</v>
      </c>
      <c r="C2140" s="1" t="s">
        <v>2046</v>
      </c>
      <c r="D2140" s="1" t="s">
        <v>25</v>
      </c>
      <c r="E2140" s="1" t="s">
        <v>25</v>
      </c>
      <c r="F2140">
        <v>0.12</v>
      </c>
      <c r="G2140">
        <v>0.12</v>
      </c>
      <c r="H2140" t="s">
        <v>25</v>
      </c>
      <c r="I2140" s="1" t="s">
        <v>1528</v>
      </c>
      <c r="J2140" t="s">
        <v>25</v>
      </c>
      <c r="K2140" t="s">
        <v>25</v>
      </c>
      <c r="L2140">
        <v>0.75</v>
      </c>
      <c r="M2140" s="1" t="s">
        <v>23</v>
      </c>
      <c r="N2140" s="1" t="s">
        <v>2110</v>
      </c>
      <c r="O2140" s="1" t="s">
        <v>25</v>
      </c>
      <c r="P2140" s="1" t="s">
        <v>25</v>
      </c>
      <c r="Q2140" s="37" t="s">
        <v>25</v>
      </c>
      <c r="R2140" s="1" t="s">
        <v>25</v>
      </c>
      <c r="S2140" s="13">
        <f t="shared" si="55"/>
        <v>-1.1299999999999999</v>
      </c>
    </row>
    <row r="2141" spans="1:19">
      <c r="A2141" s="18" t="s">
        <v>2224</v>
      </c>
      <c r="B2141" s="1">
        <v>23</v>
      </c>
      <c r="C2141" s="1" t="s">
        <v>2046</v>
      </c>
      <c r="D2141" s="1" t="s">
        <v>25</v>
      </c>
      <c r="E2141" s="1" t="s">
        <v>25</v>
      </c>
      <c r="F2141">
        <v>0.12</v>
      </c>
      <c r="G2141">
        <v>0.12</v>
      </c>
      <c r="H2141" t="s">
        <v>25</v>
      </c>
      <c r="I2141" s="1" t="s">
        <v>1528</v>
      </c>
      <c r="J2141" t="s">
        <v>25</v>
      </c>
      <c r="K2141" t="s">
        <v>25</v>
      </c>
      <c r="L2141" t="s">
        <v>25</v>
      </c>
      <c r="M2141" s="1" t="s">
        <v>23</v>
      </c>
      <c r="N2141" s="1" t="s">
        <v>2110</v>
      </c>
      <c r="O2141" s="1" t="s">
        <v>25</v>
      </c>
      <c r="P2141" s="1" t="s">
        <v>25</v>
      </c>
      <c r="Q2141" s="37" t="s">
        <v>25</v>
      </c>
      <c r="R2141" s="1" t="s">
        <v>25</v>
      </c>
      <c r="S2141" s="13" t="s">
        <v>25</v>
      </c>
    </row>
    <row r="2142" spans="1:19">
      <c r="A2142" s="18" t="s">
        <v>2224</v>
      </c>
      <c r="B2142" s="1">
        <v>24</v>
      </c>
      <c r="C2142" s="1" t="s">
        <v>2046</v>
      </c>
      <c r="D2142" s="1" t="s">
        <v>25</v>
      </c>
      <c r="E2142" s="1" t="s">
        <v>25</v>
      </c>
      <c r="F2142">
        <v>0.12</v>
      </c>
      <c r="G2142">
        <v>0.12</v>
      </c>
      <c r="H2142" t="s">
        <v>25</v>
      </c>
      <c r="I2142" s="1" t="s">
        <v>1528</v>
      </c>
      <c r="J2142" t="s">
        <v>25</v>
      </c>
      <c r="K2142" t="s">
        <v>25</v>
      </c>
      <c r="L2142" t="s">
        <v>25</v>
      </c>
      <c r="M2142" s="1" t="s">
        <v>23</v>
      </c>
      <c r="N2142" s="1" t="s">
        <v>2110</v>
      </c>
      <c r="O2142" s="1" t="s">
        <v>25</v>
      </c>
      <c r="P2142" s="1" t="s">
        <v>25</v>
      </c>
      <c r="Q2142" s="37" t="s">
        <v>25</v>
      </c>
      <c r="R2142" s="1" t="s">
        <v>25</v>
      </c>
      <c r="S2142" s="13" t="s">
        <v>25</v>
      </c>
    </row>
    <row r="2143" spans="1:19">
      <c r="A2143" s="18" t="s">
        <v>2224</v>
      </c>
      <c r="B2143" s="1">
        <v>25</v>
      </c>
      <c r="C2143" s="1" t="s">
        <v>2046</v>
      </c>
      <c r="D2143" s="1" t="s">
        <v>25</v>
      </c>
      <c r="E2143" s="1" t="s">
        <v>25</v>
      </c>
      <c r="F2143">
        <v>0.12</v>
      </c>
      <c r="G2143">
        <v>0.12</v>
      </c>
      <c r="H2143" t="s">
        <v>25</v>
      </c>
      <c r="I2143" s="1" t="s">
        <v>1528</v>
      </c>
      <c r="J2143" t="s">
        <v>25</v>
      </c>
      <c r="K2143" t="s">
        <v>25</v>
      </c>
      <c r="L2143">
        <v>0.95</v>
      </c>
      <c r="M2143" s="1" t="s">
        <v>23</v>
      </c>
      <c r="N2143" s="1" t="s">
        <v>2110</v>
      </c>
      <c r="O2143" s="1" t="s">
        <v>25</v>
      </c>
      <c r="P2143" s="1" t="s">
        <v>25</v>
      </c>
      <c r="Q2143" s="37" t="s">
        <v>25</v>
      </c>
      <c r="R2143" s="1" t="s">
        <v>25</v>
      </c>
      <c r="S2143" s="13">
        <f t="shared" si="55"/>
        <v>-0.92999999999999994</v>
      </c>
    </row>
    <row r="2144" spans="1:19">
      <c r="A2144" s="18" t="s">
        <v>2224</v>
      </c>
      <c r="B2144" s="1">
        <v>26</v>
      </c>
      <c r="C2144" s="1" t="s">
        <v>2046</v>
      </c>
      <c r="D2144" s="1" t="s">
        <v>25</v>
      </c>
      <c r="E2144" s="1" t="s">
        <v>25</v>
      </c>
      <c r="F2144">
        <v>0.12</v>
      </c>
      <c r="G2144">
        <v>0.12</v>
      </c>
      <c r="H2144" t="s">
        <v>25</v>
      </c>
      <c r="I2144" s="1" t="s">
        <v>1528</v>
      </c>
      <c r="J2144" t="s">
        <v>25</v>
      </c>
      <c r="K2144" t="s">
        <v>25</v>
      </c>
      <c r="L2144">
        <v>1.1200000000000001</v>
      </c>
      <c r="M2144" s="1" t="s">
        <v>23</v>
      </c>
      <c r="N2144" s="1" t="s">
        <v>2110</v>
      </c>
      <c r="O2144" s="1" t="s">
        <v>25</v>
      </c>
      <c r="P2144" s="1" t="s">
        <v>25</v>
      </c>
      <c r="Q2144" s="37" t="s">
        <v>25</v>
      </c>
      <c r="R2144" s="1" t="s">
        <v>25</v>
      </c>
      <c r="S2144" s="13">
        <f t="shared" si="55"/>
        <v>-0.75999999999999979</v>
      </c>
    </row>
    <row r="2145" spans="1:19">
      <c r="A2145" s="18" t="s">
        <v>2224</v>
      </c>
      <c r="B2145" s="1">
        <v>27</v>
      </c>
      <c r="C2145" s="1" t="s">
        <v>2046</v>
      </c>
      <c r="D2145" s="1" t="s">
        <v>25</v>
      </c>
      <c r="E2145" s="1" t="s">
        <v>25</v>
      </c>
      <c r="F2145">
        <v>0.12</v>
      </c>
      <c r="G2145">
        <v>0.12</v>
      </c>
      <c r="H2145" t="s">
        <v>25</v>
      </c>
      <c r="I2145" s="1" t="s">
        <v>1528</v>
      </c>
      <c r="J2145" t="s">
        <v>25</v>
      </c>
      <c r="K2145" t="s">
        <v>25</v>
      </c>
      <c r="L2145" t="s">
        <v>25</v>
      </c>
      <c r="M2145" s="1" t="s">
        <v>23</v>
      </c>
      <c r="N2145" s="1" t="s">
        <v>2110</v>
      </c>
      <c r="O2145" s="1" t="s">
        <v>25</v>
      </c>
      <c r="P2145" s="1" t="s">
        <v>25</v>
      </c>
      <c r="Q2145" s="37" t="s">
        <v>25</v>
      </c>
      <c r="R2145" s="1" t="s">
        <v>25</v>
      </c>
      <c r="S2145" s="13" t="s">
        <v>25</v>
      </c>
    </row>
    <row r="2146" spans="1:19">
      <c r="A2146" s="18" t="s">
        <v>2224</v>
      </c>
      <c r="B2146" s="1">
        <v>28</v>
      </c>
      <c r="C2146" s="1" t="s">
        <v>2046</v>
      </c>
      <c r="D2146" s="1" t="s">
        <v>25</v>
      </c>
      <c r="E2146" s="1" t="s">
        <v>25</v>
      </c>
      <c r="F2146">
        <v>0.12</v>
      </c>
      <c r="G2146">
        <v>0.12</v>
      </c>
      <c r="H2146" t="s">
        <v>25</v>
      </c>
      <c r="I2146" s="1" t="s">
        <v>1528</v>
      </c>
      <c r="J2146" t="s">
        <v>25</v>
      </c>
      <c r="K2146" t="s">
        <v>25</v>
      </c>
      <c r="L2146">
        <v>1.39</v>
      </c>
      <c r="M2146" s="1" t="s">
        <v>23</v>
      </c>
      <c r="N2146" s="1" t="s">
        <v>2110</v>
      </c>
      <c r="O2146" s="1" t="s">
        <v>25</v>
      </c>
      <c r="P2146" s="1" t="s">
        <v>25</v>
      </c>
      <c r="Q2146" s="37" t="s">
        <v>25</v>
      </c>
      <c r="R2146" s="1" t="s">
        <v>25</v>
      </c>
      <c r="S2146" s="13">
        <f t="shared" si="55"/>
        <v>-0.49</v>
      </c>
    </row>
    <row r="2147" spans="1:19">
      <c r="A2147" s="18" t="s">
        <v>2224</v>
      </c>
      <c r="B2147" s="1">
        <v>29</v>
      </c>
      <c r="C2147" s="1" t="s">
        <v>2046</v>
      </c>
      <c r="D2147" s="1" t="s">
        <v>25</v>
      </c>
      <c r="E2147" s="1" t="s">
        <v>25</v>
      </c>
      <c r="F2147">
        <v>0.12</v>
      </c>
      <c r="G2147">
        <v>0.12</v>
      </c>
      <c r="H2147" t="s">
        <v>25</v>
      </c>
      <c r="I2147" s="1" t="s">
        <v>1528</v>
      </c>
      <c r="J2147" t="s">
        <v>25</v>
      </c>
      <c r="K2147" t="s">
        <v>25</v>
      </c>
      <c r="L2147">
        <v>1.41</v>
      </c>
      <c r="M2147" s="1" t="s">
        <v>23</v>
      </c>
      <c r="N2147" s="1" t="s">
        <v>2110</v>
      </c>
      <c r="O2147" s="1" t="s">
        <v>25</v>
      </c>
      <c r="P2147" s="1" t="s">
        <v>25</v>
      </c>
      <c r="Q2147" s="37" t="s">
        <v>25</v>
      </c>
      <c r="R2147" s="1" t="s">
        <v>25</v>
      </c>
      <c r="S2147" s="13">
        <f t="shared" si="55"/>
        <v>-0.47</v>
      </c>
    </row>
    <row r="2148" spans="1:19">
      <c r="A2148" s="18" t="s">
        <v>2224</v>
      </c>
      <c r="B2148" s="1">
        <v>30</v>
      </c>
      <c r="C2148" s="1" t="s">
        <v>2046</v>
      </c>
      <c r="D2148" s="1" t="s">
        <v>25</v>
      </c>
      <c r="E2148" s="1" t="s">
        <v>25</v>
      </c>
      <c r="F2148">
        <v>0.12</v>
      </c>
      <c r="G2148">
        <v>0.12</v>
      </c>
      <c r="H2148" t="s">
        <v>25</v>
      </c>
      <c r="I2148" s="1" t="s">
        <v>1528</v>
      </c>
      <c r="J2148" t="s">
        <v>25</v>
      </c>
      <c r="K2148" t="s">
        <v>25</v>
      </c>
      <c r="L2148">
        <v>1.27</v>
      </c>
      <c r="M2148" s="1" t="s">
        <v>23</v>
      </c>
      <c r="N2148" s="1" t="s">
        <v>2110</v>
      </c>
      <c r="O2148" s="1" t="s">
        <v>25</v>
      </c>
      <c r="P2148" s="1" t="s">
        <v>25</v>
      </c>
      <c r="Q2148" s="37" t="s">
        <v>25</v>
      </c>
      <c r="R2148" s="1" t="s">
        <v>25</v>
      </c>
      <c r="S2148" s="13">
        <f t="shared" si="55"/>
        <v>-0.60999999999999988</v>
      </c>
    </row>
    <row r="2149" spans="1:19">
      <c r="A2149" s="18" t="s">
        <v>2224</v>
      </c>
      <c r="B2149" s="1">
        <v>31</v>
      </c>
      <c r="C2149" s="1" t="s">
        <v>2046</v>
      </c>
      <c r="D2149" s="1" t="s">
        <v>25</v>
      </c>
      <c r="E2149" s="1" t="s">
        <v>25</v>
      </c>
      <c r="F2149">
        <v>0.12</v>
      </c>
      <c r="G2149">
        <v>0.12</v>
      </c>
      <c r="H2149" t="s">
        <v>25</v>
      </c>
      <c r="I2149" s="1" t="s">
        <v>1528</v>
      </c>
      <c r="J2149" t="s">
        <v>25</v>
      </c>
      <c r="K2149" t="s">
        <v>25</v>
      </c>
      <c r="L2149">
        <v>0.83</v>
      </c>
      <c r="M2149" s="1" t="s">
        <v>23</v>
      </c>
      <c r="N2149" s="1" t="s">
        <v>2110</v>
      </c>
      <c r="O2149" s="1" t="s">
        <v>25</v>
      </c>
      <c r="P2149" s="1" t="s">
        <v>25</v>
      </c>
      <c r="Q2149" s="37" t="s">
        <v>25</v>
      </c>
      <c r="R2149" s="1" t="s">
        <v>25</v>
      </c>
      <c r="S2149" s="13">
        <f t="shared" si="55"/>
        <v>-1.0499999999999998</v>
      </c>
    </row>
    <row r="2150" spans="1:19" s="4" customFormat="1">
      <c r="B2150" s="5"/>
      <c r="C2150" s="5"/>
      <c r="D2150" s="5"/>
      <c r="E2150" s="5"/>
      <c r="I2150" s="5"/>
      <c r="M2150" s="5"/>
      <c r="O2150" s="5"/>
      <c r="P2150" s="6"/>
      <c r="Q2150" s="38"/>
      <c r="S2150" s="24"/>
    </row>
    <row r="2151" spans="1:19">
      <c r="A2151" s="18" t="s">
        <v>2225</v>
      </c>
      <c r="B2151" s="1" t="s">
        <v>2226</v>
      </c>
      <c r="C2151" s="1" t="s">
        <v>2267</v>
      </c>
      <c r="D2151" s="1" t="s">
        <v>2268</v>
      </c>
      <c r="E2151" s="1" t="s">
        <v>25</v>
      </c>
      <c r="F2151">
        <v>1900</v>
      </c>
      <c r="G2151">
        <v>1900</v>
      </c>
      <c r="H2151" t="s">
        <v>25</v>
      </c>
      <c r="I2151" s="1" t="s">
        <v>1528</v>
      </c>
      <c r="J2151" t="s">
        <v>25</v>
      </c>
      <c r="K2151" t="s">
        <v>25</v>
      </c>
      <c r="L2151">
        <v>-1.1279533008615836</v>
      </c>
      <c r="M2151" s="1" t="s">
        <v>23</v>
      </c>
      <c r="N2151" s="1" t="s">
        <v>230</v>
      </c>
      <c r="O2151" s="1" t="s">
        <v>25</v>
      </c>
      <c r="P2151" s="3" t="s">
        <v>25</v>
      </c>
      <c r="Q2151" s="37">
        <v>0.1324041</v>
      </c>
      <c r="R2151" s="1" t="s">
        <v>231</v>
      </c>
      <c r="S2151" s="13">
        <f t="shared" si="55"/>
        <v>-1.1279533008615836</v>
      </c>
    </row>
    <row r="2152" spans="1:19">
      <c r="A2152" s="18" t="s">
        <v>2225</v>
      </c>
      <c r="B2152" s="1" t="s">
        <v>2227</v>
      </c>
      <c r="C2152" s="1" t="s">
        <v>2267</v>
      </c>
      <c r="D2152" s="1" t="s">
        <v>2268</v>
      </c>
      <c r="E2152" s="1" t="s">
        <v>25</v>
      </c>
      <c r="F2152">
        <v>1900</v>
      </c>
      <c r="G2152">
        <v>1900</v>
      </c>
      <c r="H2152" t="s">
        <v>25</v>
      </c>
      <c r="I2152" s="1" t="s">
        <v>1528</v>
      </c>
      <c r="J2152" t="s">
        <v>25</v>
      </c>
      <c r="K2152" t="s">
        <v>25</v>
      </c>
      <c r="L2152">
        <v>-0.84868787581543448</v>
      </c>
      <c r="M2152" s="1" t="s">
        <v>23</v>
      </c>
      <c r="N2152" s="1" t="s">
        <v>230</v>
      </c>
      <c r="O2152" s="1" t="s">
        <v>25</v>
      </c>
      <c r="P2152" s="3" t="s">
        <v>25</v>
      </c>
      <c r="Q2152" s="37">
        <v>8.4928799999999999E-2</v>
      </c>
      <c r="R2152" s="1" t="s">
        <v>231</v>
      </c>
      <c r="S2152" s="13">
        <f t="shared" si="55"/>
        <v>-0.84868787581543448</v>
      </c>
    </row>
    <row r="2153" spans="1:19">
      <c r="A2153" s="18" t="s">
        <v>2225</v>
      </c>
      <c r="B2153" s="1" t="s">
        <v>2228</v>
      </c>
      <c r="C2153" s="1" t="s">
        <v>2267</v>
      </c>
      <c r="D2153" s="1" t="s">
        <v>2268</v>
      </c>
      <c r="E2153" s="1" t="s">
        <v>25</v>
      </c>
      <c r="F2153">
        <v>1900</v>
      </c>
      <c r="G2153">
        <v>1900</v>
      </c>
      <c r="H2153" t="s">
        <v>25</v>
      </c>
      <c r="I2153" s="1" t="s">
        <v>1528</v>
      </c>
      <c r="J2153" t="s">
        <v>25</v>
      </c>
      <c r="K2153" t="s">
        <v>25</v>
      </c>
      <c r="L2153">
        <v>-0.81383528232183089</v>
      </c>
      <c r="M2153" s="1" t="s">
        <v>23</v>
      </c>
      <c r="N2153" s="1" t="s">
        <v>230</v>
      </c>
      <c r="O2153" s="1" t="s">
        <v>25</v>
      </c>
      <c r="P2153" s="3" t="s">
        <v>25</v>
      </c>
      <c r="Q2153" s="37">
        <v>0.1027303</v>
      </c>
      <c r="R2153" s="1" t="s">
        <v>231</v>
      </c>
      <c r="S2153" s="13">
        <f t="shared" si="55"/>
        <v>-0.81383528232183089</v>
      </c>
    </row>
    <row r="2154" spans="1:19">
      <c r="A2154" s="18" t="s">
        <v>2225</v>
      </c>
      <c r="B2154" s="1" t="s">
        <v>2229</v>
      </c>
      <c r="C2154" s="1" t="s">
        <v>2267</v>
      </c>
      <c r="D2154" s="1" t="s">
        <v>2268</v>
      </c>
      <c r="E2154" s="1" t="s">
        <v>25</v>
      </c>
      <c r="F2154">
        <v>1900</v>
      </c>
      <c r="G2154">
        <v>1900</v>
      </c>
      <c r="H2154" t="s">
        <v>25</v>
      </c>
      <c r="I2154" s="1" t="s">
        <v>1528</v>
      </c>
      <c r="J2154" t="s">
        <v>25</v>
      </c>
      <c r="K2154" t="s">
        <v>25</v>
      </c>
      <c r="L2154">
        <v>-1.1274545223945467</v>
      </c>
      <c r="M2154" s="1" t="s">
        <v>23</v>
      </c>
      <c r="N2154" s="1" t="s">
        <v>230</v>
      </c>
      <c r="O2154" s="1" t="s">
        <v>25</v>
      </c>
      <c r="P2154" s="3" t="s">
        <v>25</v>
      </c>
      <c r="Q2154" s="37">
        <v>4.9811899999999999E-2</v>
      </c>
      <c r="R2154" s="1" t="s">
        <v>231</v>
      </c>
      <c r="S2154" s="13">
        <f t="shared" si="55"/>
        <v>-1.1274545223945467</v>
      </c>
    </row>
    <row r="2155" spans="1:19">
      <c r="A2155" s="18" t="s">
        <v>2225</v>
      </c>
      <c r="B2155" s="1" t="s">
        <v>2230</v>
      </c>
      <c r="C2155" s="1" t="s">
        <v>2267</v>
      </c>
      <c r="D2155" s="1" t="s">
        <v>2268</v>
      </c>
      <c r="E2155" s="1" t="s">
        <v>25</v>
      </c>
      <c r="F2155">
        <v>1900</v>
      </c>
      <c r="G2155">
        <v>1900</v>
      </c>
      <c r="H2155" t="s">
        <v>25</v>
      </c>
      <c r="I2155" s="1" t="s">
        <v>1528</v>
      </c>
      <c r="J2155" t="s">
        <v>25</v>
      </c>
      <c r="K2155" t="s">
        <v>25</v>
      </c>
      <c r="L2155">
        <v>-0.95845126914008605</v>
      </c>
      <c r="M2155" s="1" t="s">
        <v>23</v>
      </c>
      <c r="N2155" s="1" t="s">
        <v>230</v>
      </c>
      <c r="O2155" s="1" t="s">
        <v>25</v>
      </c>
      <c r="P2155" s="3" t="s">
        <v>25</v>
      </c>
      <c r="Q2155" s="37">
        <v>9.1650800000000004E-2</v>
      </c>
      <c r="R2155" s="1" t="s">
        <v>231</v>
      </c>
      <c r="S2155" s="13">
        <f t="shared" ref="S2155:S2218" si="56">IF(NOT(N2155="SW"),L2155-1.88,L2155)</f>
        <v>-0.95845126914008605</v>
      </c>
    </row>
    <row r="2156" spans="1:19">
      <c r="A2156" s="18" t="s">
        <v>2225</v>
      </c>
      <c r="B2156" s="1" t="s">
        <v>2231</v>
      </c>
      <c r="C2156" s="1" t="s">
        <v>2267</v>
      </c>
      <c r="D2156" s="1" t="s">
        <v>2268</v>
      </c>
      <c r="E2156" s="1" t="s">
        <v>25</v>
      </c>
      <c r="F2156">
        <v>1900</v>
      </c>
      <c r="G2156">
        <v>1900</v>
      </c>
      <c r="H2156" t="s">
        <v>25</v>
      </c>
      <c r="I2156" s="1" t="s">
        <v>1528</v>
      </c>
      <c r="J2156" t="s">
        <v>25</v>
      </c>
      <c r="K2156" t="s">
        <v>25</v>
      </c>
      <c r="L2156">
        <v>-0.70102789388406606</v>
      </c>
      <c r="M2156" s="1" t="s">
        <v>23</v>
      </c>
      <c r="N2156" s="1" t="s">
        <v>230</v>
      </c>
      <c r="O2156" s="1" t="s">
        <v>25</v>
      </c>
      <c r="P2156" s="3" t="s">
        <v>25</v>
      </c>
      <c r="Q2156" s="37">
        <v>7.3797500000000002E-2</v>
      </c>
      <c r="R2156" s="1" t="s">
        <v>231</v>
      </c>
      <c r="S2156" s="13">
        <f t="shared" si="56"/>
        <v>-0.70102789388406606</v>
      </c>
    </row>
    <row r="2157" spans="1:19">
      <c r="A2157" s="18" t="s">
        <v>2225</v>
      </c>
      <c r="B2157" s="1" t="s">
        <v>2232</v>
      </c>
      <c r="C2157" s="1" t="s">
        <v>2267</v>
      </c>
      <c r="D2157" s="1" t="s">
        <v>2268</v>
      </c>
      <c r="E2157" s="1" t="s">
        <v>25</v>
      </c>
      <c r="F2157">
        <v>1900</v>
      </c>
      <c r="G2157">
        <v>1900</v>
      </c>
      <c r="H2157" t="s">
        <v>25</v>
      </c>
      <c r="I2157" s="1" t="s">
        <v>1528</v>
      </c>
      <c r="J2157" t="s">
        <v>25</v>
      </c>
      <c r="K2157" t="s">
        <v>25</v>
      </c>
      <c r="L2157">
        <v>-0.69195285510869287</v>
      </c>
      <c r="M2157" s="1" t="s">
        <v>23</v>
      </c>
      <c r="N2157" s="1" t="s">
        <v>230</v>
      </c>
      <c r="O2157" s="1" t="s">
        <v>25</v>
      </c>
      <c r="P2157" s="3" t="s">
        <v>25</v>
      </c>
      <c r="Q2157" s="37">
        <v>6.7190600000000003E-2</v>
      </c>
      <c r="R2157" s="1" t="s">
        <v>231</v>
      </c>
      <c r="S2157" s="13">
        <f t="shared" si="56"/>
        <v>-0.69195285510869287</v>
      </c>
    </row>
    <row r="2158" spans="1:19">
      <c r="A2158" s="18" t="s">
        <v>2225</v>
      </c>
      <c r="B2158" s="1" t="s">
        <v>2233</v>
      </c>
      <c r="C2158" s="1" t="s">
        <v>2267</v>
      </c>
      <c r="D2158" s="1" t="s">
        <v>2268</v>
      </c>
      <c r="E2158" s="1" t="s">
        <v>25</v>
      </c>
      <c r="F2158">
        <v>1900</v>
      </c>
      <c r="G2158">
        <v>1900</v>
      </c>
      <c r="H2158" t="s">
        <v>25</v>
      </c>
      <c r="I2158" s="1" t="s">
        <v>1528</v>
      </c>
      <c r="J2158" t="s">
        <v>25</v>
      </c>
      <c r="K2158" t="s">
        <v>25</v>
      </c>
      <c r="L2158">
        <v>-0.6753113478101973</v>
      </c>
      <c r="M2158" s="1" t="s">
        <v>23</v>
      </c>
      <c r="N2158" s="1" t="s">
        <v>230</v>
      </c>
      <c r="O2158" s="1" t="s">
        <v>25</v>
      </c>
      <c r="P2158" s="3" t="s">
        <v>25</v>
      </c>
      <c r="Q2158" s="37">
        <v>7.3155399999999995E-2</v>
      </c>
      <c r="R2158" s="1" t="s">
        <v>231</v>
      </c>
      <c r="S2158" s="13">
        <f t="shared" si="56"/>
        <v>-0.6753113478101973</v>
      </c>
    </row>
    <row r="2159" spans="1:19">
      <c r="A2159" s="18" t="s">
        <v>2225</v>
      </c>
      <c r="B2159" s="1" t="s">
        <v>2234</v>
      </c>
      <c r="C2159" s="1" t="s">
        <v>2267</v>
      </c>
      <c r="D2159" s="1" t="s">
        <v>2268</v>
      </c>
      <c r="E2159" s="1" t="s">
        <v>25</v>
      </c>
      <c r="F2159">
        <v>1900</v>
      </c>
      <c r="G2159">
        <v>1900</v>
      </c>
      <c r="H2159" t="s">
        <v>25</v>
      </c>
      <c r="I2159" s="1" t="s">
        <v>1528</v>
      </c>
      <c r="J2159" t="s">
        <v>25</v>
      </c>
      <c r="K2159" t="s">
        <v>25</v>
      </c>
      <c r="L2159">
        <v>-0.9163560227544939</v>
      </c>
      <c r="M2159" s="1" t="s">
        <v>23</v>
      </c>
      <c r="N2159" s="1" t="s">
        <v>230</v>
      </c>
      <c r="O2159" s="1" t="s">
        <v>25</v>
      </c>
      <c r="P2159" s="3" t="s">
        <v>25</v>
      </c>
      <c r="Q2159" s="37">
        <v>6.0413000000000001E-2</v>
      </c>
      <c r="R2159" s="1" t="s">
        <v>231</v>
      </c>
      <c r="S2159" s="13">
        <f t="shared" si="56"/>
        <v>-0.9163560227544939</v>
      </c>
    </row>
    <row r="2160" spans="1:19">
      <c r="A2160" s="18" t="s">
        <v>2225</v>
      </c>
      <c r="B2160" s="1" t="s">
        <v>2235</v>
      </c>
      <c r="C2160" s="1" t="s">
        <v>2267</v>
      </c>
      <c r="D2160" s="1" t="s">
        <v>2268</v>
      </c>
      <c r="E2160" s="1" t="s">
        <v>25</v>
      </c>
      <c r="F2160">
        <v>1900</v>
      </c>
      <c r="G2160">
        <v>1900</v>
      </c>
      <c r="H2160" t="s">
        <v>25</v>
      </c>
      <c r="I2160" s="1" t="s">
        <v>1528</v>
      </c>
      <c r="J2160" t="s">
        <v>25</v>
      </c>
      <c r="K2160" t="s">
        <v>25</v>
      </c>
      <c r="L2160">
        <v>-0.75842312544482715</v>
      </c>
      <c r="M2160" s="1" t="s">
        <v>23</v>
      </c>
      <c r="N2160" s="1" t="s">
        <v>230</v>
      </c>
      <c r="O2160" s="1" t="s">
        <v>25</v>
      </c>
      <c r="P2160" s="3" t="s">
        <v>25</v>
      </c>
      <c r="Q2160" s="37">
        <v>8.1670500000000007E-2</v>
      </c>
      <c r="R2160" s="1" t="s">
        <v>231</v>
      </c>
      <c r="S2160" s="13">
        <f t="shared" si="56"/>
        <v>-0.75842312544482715</v>
      </c>
    </row>
    <row r="2161" spans="1:19">
      <c r="A2161" s="18" t="s">
        <v>2225</v>
      </c>
      <c r="B2161" s="1" t="s">
        <v>2236</v>
      </c>
      <c r="C2161" s="1" t="s">
        <v>2267</v>
      </c>
      <c r="D2161" s="1" t="s">
        <v>2268</v>
      </c>
      <c r="E2161" s="1" t="s">
        <v>25</v>
      </c>
      <c r="F2161">
        <v>1900</v>
      </c>
      <c r="G2161">
        <v>1900</v>
      </c>
      <c r="H2161" t="s">
        <v>25</v>
      </c>
      <c r="I2161" s="1" t="s">
        <v>1528</v>
      </c>
      <c r="J2161" t="s">
        <v>25</v>
      </c>
      <c r="K2161" t="s">
        <v>25</v>
      </c>
      <c r="L2161">
        <v>-0.77199194885954781</v>
      </c>
      <c r="M2161" s="1" t="s">
        <v>23</v>
      </c>
      <c r="N2161" s="1" t="s">
        <v>230</v>
      </c>
      <c r="O2161" s="1" t="s">
        <v>25</v>
      </c>
      <c r="P2161" s="3" t="s">
        <v>25</v>
      </c>
      <c r="Q2161" s="37">
        <v>7.2579800000000014E-2</v>
      </c>
      <c r="R2161" s="1" t="s">
        <v>231</v>
      </c>
      <c r="S2161" s="13">
        <f t="shared" si="56"/>
        <v>-0.77199194885954781</v>
      </c>
    </row>
    <row r="2162" spans="1:19">
      <c r="A2162" s="18" t="s">
        <v>2225</v>
      </c>
      <c r="B2162" s="1" t="s">
        <v>2237</v>
      </c>
      <c r="C2162" s="1" t="s">
        <v>2267</v>
      </c>
      <c r="D2162" s="1" t="s">
        <v>2268</v>
      </c>
      <c r="E2162" s="1" t="s">
        <v>25</v>
      </c>
      <c r="F2162">
        <v>1900</v>
      </c>
      <c r="G2162">
        <v>1900</v>
      </c>
      <c r="H2162" t="s">
        <v>25</v>
      </c>
      <c r="I2162" s="1" t="s">
        <v>1528</v>
      </c>
      <c r="J2162" t="s">
        <v>25</v>
      </c>
      <c r="K2162" t="s">
        <v>25</v>
      </c>
      <c r="L2162">
        <v>-0.97852962642705454</v>
      </c>
      <c r="M2162" s="1" t="s">
        <v>23</v>
      </c>
      <c r="N2162" s="1" t="s">
        <v>230</v>
      </c>
      <c r="O2162" s="1" t="s">
        <v>25</v>
      </c>
      <c r="P2162" s="3" t="s">
        <v>25</v>
      </c>
      <c r="Q2162" s="37">
        <v>4.6509399999999999E-2</v>
      </c>
      <c r="R2162" s="1" t="s">
        <v>231</v>
      </c>
      <c r="S2162" s="13">
        <f t="shared" si="56"/>
        <v>-0.97852962642705454</v>
      </c>
    </row>
    <row r="2163" spans="1:19">
      <c r="A2163" s="18" t="s">
        <v>2225</v>
      </c>
      <c r="B2163" s="1" t="s">
        <v>2238</v>
      </c>
      <c r="C2163" s="1" t="s">
        <v>2267</v>
      </c>
      <c r="D2163" s="1" t="s">
        <v>2268</v>
      </c>
      <c r="E2163" s="1" t="s">
        <v>25</v>
      </c>
      <c r="F2163">
        <v>1900</v>
      </c>
      <c r="G2163">
        <v>1900</v>
      </c>
      <c r="H2163" t="s">
        <v>25</v>
      </c>
      <c r="I2163" s="1" t="s">
        <v>1528</v>
      </c>
      <c r="J2163" t="s">
        <v>25</v>
      </c>
      <c r="K2163" t="s">
        <v>25</v>
      </c>
      <c r="L2163">
        <v>-0.81743590245657005</v>
      </c>
      <c r="M2163" s="1" t="s">
        <v>23</v>
      </c>
      <c r="N2163" s="1" t="s">
        <v>230</v>
      </c>
      <c r="O2163" s="1" t="s">
        <v>25</v>
      </c>
      <c r="P2163" s="3" t="s">
        <v>25</v>
      </c>
      <c r="Q2163" s="37">
        <v>7.2932500000000011E-2</v>
      </c>
      <c r="R2163" s="1" t="s">
        <v>231</v>
      </c>
      <c r="S2163" s="13">
        <f t="shared" si="56"/>
        <v>-0.81743590245657005</v>
      </c>
    </row>
    <row r="2164" spans="1:19">
      <c r="A2164" s="18" t="s">
        <v>2225</v>
      </c>
      <c r="B2164" s="1" t="s">
        <v>2239</v>
      </c>
      <c r="C2164" s="1" t="s">
        <v>2267</v>
      </c>
      <c r="D2164" s="1" t="s">
        <v>2268</v>
      </c>
      <c r="E2164" s="1" t="s">
        <v>25</v>
      </c>
      <c r="F2164">
        <v>1900</v>
      </c>
      <c r="G2164">
        <v>1900</v>
      </c>
      <c r="H2164" t="s">
        <v>25</v>
      </c>
      <c r="I2164" s="1" t="s">
        <v>1528</v>
      </c>
      <c r="J2164" t="s">
        <v>25</v>
      </c>
      <c r="K2164" t="s">
        <v>25</v>
      </c>
      <c r="L2164">
        <v>-1.0700108384186222</v>
      </c>
      <c r="M2164" s="1" t="s">
        <v>23</v>
      </c>
      <c r="N2164" s="1" t="s">
        <v>230</v>
      </c>
      <c r="O2164" s="1" t="s">
        <v>25</v>
      </c>
      <c r="P2164" s="3" t="s">
        <v>25</v>
      </c>
      <c r="Q2164" s="37">
        <v>3.7956499999999997E-2</v>
      </c>
      <c r="R2164" s="1" t="s">
        <v>231</v>
      </c>
      <c r="S2164" s="13">
        <f t="shared" si="56"/>
        <v>-1.0700108384186222</v>
      </c>
    </row>
    <row r="2165" spans="1:19">
      <c r="A2165" s="18" t="s">
        <v>2225</v>
      </c>
      <c r="B2165" s="1" t="s">
        <v>2240</v>
      </c>
      <c r="C2165" s="1" t="s">
        <v>2267</v>
      </c>
      <c r="D2165" s="1" t="s">
        <v>2268</v>
      </c>
      <c r="E2165" s="1" t="s">
        <v>25</v>
      </c>
      <c r="F2165">
        <v>1900</v>
      </c>
      <c r="G2165">
        <v>1900</v>
      </c>
      <c r="H2165" t="s">
        <v>25</v>
      </c>
      <c r="I2165" s="1" t="s">
        <v>1528</v>
      </c>
      <c r="J2165" t="s">
        <v>25</v>
      </c>
      <c r="K2165" t="s">
        <v>25</v>
      </c>
      <c r="L2165">
        <v>-1.160677406767215</v>
      </c>
      <c r="M2165" s="1" t="s">
        <v>23</v>
      </c>
      <c r="N2165" s="1" t="s">
        <v>230</v>
      </c>
      <c r="O2165" s="1" t="s">
        <v>25</v>
      </c>
      <c r="P2165" s="3" t="s">
        <v>25</v>
      </c>
      <c r="Q2165" s="37">
        <v>7.5870599999999996E-2</v>
      </c>
      <c r="R2165" s="1" t="s">
        <v>231</v>
      </c>
      <c r="S2165" s="13">
        <f t="shared" si="56"/>
        <v>-1.160677406767215</v>
      </c>
    </row>
    <row r="2166" spans="1:19">
      <c r="A2166" s="18" t="s">
        <v>2225</v>
      </c>
      <c r="B2166" s="1" t="s">
        <v>2241</v>
      </c>
      <c r="C2166" s="1" t="s">
        <v>2267</v>
      </c>
      <c r="D2166" s="1" t="s">
        <v>2268</v>
      </c>
      <c r="E2166" s="1" t="s">
        <v>25</v>
      </c>
      <c r="F2166">
        <v>1900</v>
      </c>
      <c r="G2166">
        <v>1900</v>
      </c>
      <c r="H2166" t="s">
        <v>25</v>
      </c>
      <c r="I2166" s="1" t="s">
        <v>1528</v>
      </c>
      <c r="J2166" t="s">
        <v>25</v>
      </c>
      <c r="K2166" t="s">
        <v>25</v>
      </c>
      <c r="L2166">
        <v>-1.5020335293242728</v>
      </c>
      <c r="M2166" s="1" t="s">
        <v>23</v>
      </c>
      <c r="N2166" s="1" t="s">
        <v>230</v>
      </c>
      <c r="O2166" s="1" t="s">
        <v>25</v>
      </c>
      <c r="P2166" s="3" t="s">
        <v>25</v>
      </c>
      <c r="Q2166" s="37">
        <v>5.0262500000000002E-2</v>
      </c>
      <c r="R2166" s="1" t="s">
        <v>231</v>
      </c>
      <c r="S2166" s="13">
        <f t="shared" si="56"/>
        <v>-1.5020335293242728</v>
      </c>
    </row>
    <row r="2167" spans="1:19">
      <c r="A2167" s="18" t="s">
        <v>2225</v>
      </c>
      <c r="B2167" s="1" t="s">
        <v>2242</v>
      </c>
      <c r="C2167" s="1" t="s">
        <v>2267</v>
      </c>
      <c r="D2167" s="1" t="s">
        <v>2268</v>
      </c>
      <c r="E2167" s="1" t="s">
        <v>25</v>
      </c>
      <c r="F2167">
        <v>1900</v>
      </c>
      <c r="G2167">
        <v>1900</v>
      </c>
      <c r="H2167" t="s">
        <v>25</v>
      </c>
      <c r="I2167" s="1" t="s">
        <v>1528</v>
      </c>
      <c r="J2167" t="s">
        <v>25</v>
      </c>
      <c r="K2167" t="s">
        <v>25</v>
      </c>
      <c r="L2167">
        <v>-0.96119062039165615</v>
      </c>
      <c r="M2167" s="1" t="s">
        <v>23</v>
      </c>
      <c r="N2167" s="1" t="s">
        <v>230</v>
      </c>
      <c r="O2167" s="1" t="s">
        <v>25</v>
      </c>
      <c r="P2167" s="3" t="s">
        <v>25</v>
      </c>
      <c r="Q2167" s="37">
        <v>6.1423100000000001E-2</v>
      </c>
      <c r="R2167" s="1" t="s">
        <v>231</v>
      </c>
      <c r="S2167" s="13">
        <f t="shared" si="56"/>
        <v>-0.96119062039165615</v>
      </c>
    </row>
    <row r="2168" spans="1:19">
      <c r="A2168" s="18" t="s">
        <v>2225</v>
      </c>
      <c r="B2168" s="1" t="s">
        <v>2243</v>
      </c>
      <c r="C2168" s="1" t="s">
        <v>2267</v>
      </c>
      <c r="D2168" s="1" t="s">
        <v>2268</v>
      </c>
      <c r="E2168" s="1" t="s">
        <v>25</v>
      </c>
      <c r="F2168">
        <v>1900</v>
      </c>
      <c r="G2168">
        <v>1900</v>
      </c>
      <c r="H2168" t="s">
        <v>25</v>
      </c>
      <c r="I2168" s="1" t="s">
        <v>1528</v>
      </c>
      <c r="J2168" t="s">
        <v>25</v>
      </c>
      <c r="K2168" t="s">
        <v>25</v>
      </c>
      <c r="L2168">
        <v>-0.88209998475889062</v>
      </c>
      <c r="M2168" s="1" t="s">
        <v>23</v>
      </c>
      <c r="N2168" s="1" t="s">
        <v>230</v>
      </c>
      <c r="O2168" s="1" t="s">
        <v>25</v>
      </c>
      <c r="P2168" s="3" t="s">
        <v>25</v>
      </c>
      <c r="Q2168" s="37">
        <v>0.14925049999999998</v>
      </c>
      <c r="R2168" s="1" t="s">
        <v>231</v>
      </c>
      <c r="S2168" s="13">
        <f t="shared" si="56"/>
        <v>-0.88209998475889062</v>
      </c>
    </row>
    <row r="2169" spans="1:19">
      <c r="A2169" s="18" t="s">
        <v>2225</v>
      </c>
      <c r="B2169" s="1" t="s">
        <v>2244</v>
      </c>
      <c r="C2169" s="1" t="s">
        <v>2267</v>
      </c>
      <c r="D2169" s="1" t="s">
        <v>2268</v>
      </c>
      <c r="E2169" s="1" t="s">
        <v>25</v>
      </c>
      <c r="F2169">
        <v>1900</v>
      </c>
      <c r="G2169">
        <v>1900</v>
      </c>
      <c r="H2169" t="s">
        <v>25</v>
      </c>
      <c r="I2169" s="1" t="s">
        <v>1528</v>
      </c>
      <c r="J2169" t="s">
        <v>25</v>
      </c>
      <c r="K2169" t="s">
        <v>25</v>
      </c>
      <c r="L2169">
        <v>-0.89259185746953207</v>
      </c>
      <c r="M2169" s="1" t="s">
        <v>23</v>
      </c>
      <c r="N2169" s="1" t="s">
        <v>230</v>
      </c>
      <c r="O2169" s="1" t="s">
        <v>25</v>
      </c>
      <c r="P2169" s="3" t="s">
        <v>25</v>
      </c>
      <c r="Q2169" s="37">
        <v>6.5308400000000003E-2</v>
      </c>
      <c r="R2169" s="1" t="s">
        <v>231</v>
      </c>
      <c r="S2169" s="13">
        <f t="shared" si="56"/>
        <v>-0.89259185746953207</v>
      </c>
    </row>
    <row r="2170" spans="1:19">
      <c r="A2170" s="18" t="s">
        <v>2225</v>
      </c>
      <c r="B2170" s="1" t="s">
        <v>2245</v>
      </c>
      <c r="C2170" s="1" t="s">
        <v>2267</v>
      </c>
      <c r="D2170" s="1" t="s">
        <v>2268</v>
      </c>
      <c r="E2170" s="1" t="s">
        <v>25</v>
      </c>
      <c r="F2170">
        <v>1900</v>
      </c>
      <c r="G2170">
        <v>1900</v>
      </c>
      <c r="H2170" t="s">
        <v>25</v>
      </c>
      <c r="I2170" s="1" t="s">
        <v>1528</v>
      </c>
      <c r="J2170" t="s">
        <v>25</v>
      </c>
      <c r="K2170" t="s">
        <v>25</v>
      </c>
      <c r="L2170">
        <v>-1.0052206131451449</v>
      </c>
      <c r="M2170" s="1" t="s">
        <v>23</v>
      </c>
      <c r="N2170" s="1" t="s">
        <v>230</v>
      </c>
      <c r="O2170" s="1" t="s">
        <v>25</v>
      </c>
      <c r="P2170" s="3" t="s">
        <v>25</v>
      </c>
      <c r="Q2170" s="37">
        <v>5.4562899999999998E-2</v>
      </c>
      <c r="R2170" s="1" t="s">
        <v>231</v>
      </c>
      <c r="S2170" s="13">
        <f t="shared" si="56"/>
        <v>-1.0052206131451449</v>
      </c>
    </row>
    <row r="2171" spans="1:19">
      <c r="A2171" s="18" t="s">
        <v>2225</v>
      </c>
      <c r="B2171" s="1" t="s">
        <v>2246</v>
      </c>
      <c r="C2171" s="1" t="s">
        <v>2267</v>
      </c>
      <c r="D2171" s="1" t="s">
        <v>2268</v>
      </c>
      <c r="E2171" s="1" t="s">
        <v>25</v>
      </c>
      <c r="F2171">
        <v>1900</v>
      </c>
      <c r="G2171">
        <v>1900</v>
      </c>
      <c r="H2171" t="s">
        <v>25</v>
      </c>
      <c r="I2171" s="1" t="s">
        <v>1528</v>
      </c>
      <c r="J2171" t="s">
        <v>25</v>
      </c>
      <c r="K2171" t="s">
        <v>25</v>
      </c>
      <c r="L2171">
        <v>-0.98945110079339227</v>
      </c>
      <c r="M2171" s="1" t="s">
        <v>23</v>
      </c>
      <c r="N2171" s="1" t="s">
        <v>230</v>
      </c>
      <c r="O2171" s="1" t="s">
        <v>25</v>
      </c>
      <c r="P2171" s="3" t="s">
        <v>25</v>
      </c>
      <c r="Q2171" s="37">
        <v>7.52641E-2</v>
      </c>
      <c r="R2171" s="1" t="s">
        <v>231</v>
      </c>
      <c r="S2171" s="13">
        <f t="shared" si="56"/>
        <v>-0.98945110079339227</v>
      </c>
    </row>
    <row r="2172" spans="1:19">
      <c r="A2172" s="18" t="s">
        <v>2225</v>
      </c>
      <c r="B2172" s="1" t="s">
        <v>2247</v>
      </c>
      <c r="C2172" s="1" t="s">
        <v>2267</v>
      </c>
      <c r="D2172" s="1" t="s">
        <v>2268</v>
      </c>
      <c r="E2172" s="1" t="s">
        <v>25</v>
      </c>
      <c r="F2172">
        <v>1900</v>
      </c>
      <c r="G2172">
        <v>1900</v>
      </c>
      <c r="H2172" t="s">
        <v>25</v>
      </c>
      <c r="I2172" s="1" t="s">
        <v>1528</v>
      </c>
      <c r="J2172" t="s">
        <v>25</v>
      </c>
      <c r="K2172" t="s">
        <v>25</v>
      </c>
      <c r="L2172">
        <v>-0.72676600685263404</v>
      </c>
      <c r="M2172" s="1" t="s">
        <v>23</v>
      </c>
      <c r="N2172" s="1" t="s">
        <v>230</v>
      </c>
      <c r="O2172" s="1" t="s">
        <v>25</v>
      </c>
      <c r="P2172" s="3" t="s">
        <v>25</v>
      </c>
      <c r="Q2172" s="37">
        <v>7.4765100000000001E-2</v>
      </c>
      <c r="R2172" s="1" t="s">
        <v>231</v>
      </c>
      <c r="S2172" s="13">
        <f t="shared" si="56"/>
        <v>-0.72676600685263404</v>
      </c>
    </row>
    <row r="2173" spans="1:19">
      <c r="A2173" s="18" t="s">
        <v>2225</v>
      </c>
      <c r="B2173" s="1" t="s">
        <v>2248</v>
      </c>
      <c r="C2173" s="1" t="s">
        <v>2267</v>
      </c>
      <c r="D2173" s="1" t="s">
        <v>2268</v>
      </c>
      <c r="E2173" s="1" t="s">
        <v>25</v>
      </c>
      <c r="F2173">
        <v>1900</v>
      </c>
      <c r="G2173">
        <v>1900</v>
      </c>
      <c r="H2173" t="s">
        <v>25</v>
      </c>
      <c r="I2173" s="1" t="s">
        <v>1528</v>
      </c>
      <c r="J2173" t="s">
        <v>25</v>
      </c>
      <c r="K2173" t="s">
        <v>25</v>
      </c>
      <c r="L2173">
        <v>-0.97379064461461562</v>
      </c>
      <c r="M2173" s="1" t="s">
        <v>23</v>
      </c>
      <c r="N2173" s="1" t="s">
        <v>230</v>
      </c>
      <c r="O2173" s="1" t="s">
        <v>25</v>
      </c>
      <c r="P2173" s="3" t="s">
        <v>25</v>
      </c>
      <c r="Q2173" s="37">
        <v>0.1376597</v>
      </c>
      <c r="R2173" s="1" t="s">
        <v>231</v>
      </c>
      <c r="S2173" s="13">
        <f t="shared" si="56"/>
        <v>-0.97379064461461562</v>
      </c>
    </row>
    <row r="2174" spans="1:19">
      <c r="A2174" s="18" t="s">
        <v>2225</v>
      </c>
      <c r="B2174" s="1" t="s">
        <v>2249</v>
      </c>
      <c r="C2174" s="1" t="s">
        <v>2267</v>
      </c>
      <c r="D2174" s="1" t="s">
        <v>2268</v>
      </c>
      <c r="E2174" s="1" t="s">
        <v>25</v>
      </c>
      <c r="F2174">
        <v>1900</v>
      </c>
      <c r="G2174">
        <v>1900</v>
      </c>
      <c r="H2174" t="s">
        <v>25</v>
      </c>
      <c r="I2174" s="1" t="s">
        <v>1528</v>
      </c>
      <c r="J2174" t="s">
        <v>25</v>
      </c>
      <c r="K2174" t="s">
        <v>25</v>
      </c>
      <c r="L2174">
        <v>-0.64831651836044302</v>
      </c>
      <c r="M2174" s="1" t="s">
        <v>23</v>
      </c>
      <c r="N2174" s="1" t="s">
        <v>230</v>
      </c>
      <c r="O2174" s="1" t="s">
        <v>25</v>
      </c>
      <c r="P2174" s="3" t="s">
        <v>25</v>
      </c>
      <c r="Q2174" s="37">
        <v>5.2174900000000003E-2</v>
      </c>
      <c r="R2174" s="1" t="s">
        <v>231</v>
      </c>
      <c r="S2174" s="13">
        <f t="shared" si="56"/>
        <v>-0.64831651836044302</v>
      </c>
    </row>
    <row r="2175" spans="1:19">
      <c r="A2175" s="18" t="s">
        <v>2225</v>
      </c>
      <c r="B2175" s="1" t="s">
        <v>2250</v>
      </c>
      <c r="C2175" s="1" t="s">
        <v>2267</v>
      </c>
      <c r="D2175" s="1" t="s">
        <v>2268</v>
      </c>
      <c r="E2175" s="1" t="s">
        <v>25</v>
      </c>
      <c r="F2175">
        <v>1900</v>
      </c>
      <c r="G2175">
        <v>1900</v>
      </c>
      <c r="H2175" t="s">
        <v>25</v>
      </c>
      <c r="I2175" s="1" t="s">
        <v>1528</v>
      </c>
      <c r="J2175" t="s">
        <v>25</v>
      </c>
      <c r="K2175" t="s">
        <v>25</v>
      </c>
      <c r="L2175">
        <v>-0.79630938519639005</v>
      </c>
      <c r="M2175" s="1" t="s">
        <v>23</v>
      </c>
      <c r="N2175" s="1" t="s">
        <v>230</v>
      </c>
      <c r="O2175" s="1" t="s">
        <v>25</v>
      </c>
      <c r="P2175" s="3" t="s">
        <v>25</v>
      </c>
      <c r="Q2175" s="37">
        <v>4.3679099999999998E-2</v>
      </c>
      <c r="R2175" s="1" t="s">
        <v>231</v>
      </c>
      <c r="S2175" s="13">
        <f t="shared" si="56"/>
        <v>-0.79630938519639005</v>
      </c>
    </row>
    <row r="2176" spans="1:19">
      <c r="A2176" s="18" t="s">
        <v>2225</v>
      </c>
      <c r="B2176" s="1" t="s">
        <v>2251</v>
      </c>
      <c r="C2176" s="1" t="s">
        <v>2267</v>
      </c>
      <c r="D2176" s="1" t="s">
        <v>2268</v>
      </c>
      <c r="E2176" s="1" t="s">
        <v>25</v>
      </c>
      <c r="F2176">
        <v>1900</v>
      </c>
      <c r="G2176">
        <v>1900</v>
      </c>
      <c r="H2176" t="s">
        <v>25</v>
      </c>
      <c r="I2176" s="1" t="s">
        <v>1528</v>
      </c>
      <c r="J2176" t="s">
        <v>25</v>
      </c>
      <c r="K2176" t="s">
        <v>25</v>
      </c>
      <c r="L2176">
        <v>-0.86575910167426795</v>
      </c>
      <c r="M2176" s="1" t="s">
        <v>23</v>
      </c>
      <c r="N2176" s="1" t="s">
        <v>230</v>
      </c>
      <c r="O2176" s="1" t="s">
        <v>25</v>
      </c>
      <c r="P2176" s="3" t="s">
        <v>25</v>
      </c>
      <c r="Q2176" s="37">
        <v>8.3555800000000013E-2</v>
      </c>
      <c r="R2176" s="1" t="s">
        <v>231</v>
      </c>
      <c r="S2176" s="13">
        <f t="shared" si="56"/>
        <v>-0.86575910167426795</v>
      </c>
    </row>
    <row r="2177" spans="1:19">
      <c r="A2177" s="18" t="s">
        <v>2225</v>
      </c>
      <c r="B2177" s="1" t="s">
        <v>2252</v>
      </c>
      <c r="C2177" s="1" t="s">
        <v>2267</v>
      </c>
      <c r="D2177" s="1" t="s">
        <v>2268</v>
      </c>
      <c r="E2177" s="1" t="s">
        <v>25</v>
      </c>
      <c r="F2177">
        <v>1900</v>
      </c>
      <c r="G2177">
        <v>1900</v>
      </c>
      <c r="H2177" t="s">
        <v>25</v>
      </c>
      <c r="I2177" s="1" t="s">
        <v>1528</v>
      </c>
      <c r="J2177" t="s">
        <v>25</v>
      </c>
      <c r="K2177" t="s">
        <v>25</v>
      </c>
      <c r="L2177">
        <v>-0.825953419449594</v>
      </c>
      <c r="M2177" s="1" t="s">
        <v>23</v>
      </c>
      <c r="N2177" s="1" t="s">
        <v>230</v>
      </c>
      <c r="O2177" s="1" t="s">
        <v>25</v>
      </c>
      <c r="P2177" s="3" t="s">
        <v>25</v>
      </c>
      <c r="Q2177" s="37">
        <v>9.1783400000000001E-2</v>
      </c>
      <c r="R2177" s="1" t="s">
        <v>231</v>
      </c>
      <c r="S2177" s="13">
        <f t="shared" si="56"/>
        <v>-0.825953419449594</v>
      </c>
    </row>
    <row r="2178" spans="1:19">
      <c r="A2178" s="18" t="s">
        <v>2225</v>
      </c>
      <c r="B2178" s="1" t="s">
        <v>2253</v>
      </c>
      <c r="C2178" s="1" t="s">
        <v>2267</v>
      </c>
      <c r="D2178" s="1" t="s">
        <v>2268</v>
      </c>
      <c r="E2178" s="1" t="s">
        <v>25</v>
      </c>
      <c r="F2178">
        <v>1900</v>
      </c>
      <c r="G2178">
        <v>1900</v>
      </c>
      <c r="H2178" t="s">
        <v>25</v>
      </c>
      <c r="I2178" s="1" t="s">
        <v>1528</v>
      </c>
      <c r="J2178" t="s">
        <v>25</v>
      </c>
      <c r="K2178" t="s">
        <v>25</v>
      </c>
      <c r="L2178">
        <v>-0.67472999923158328</v>
      </c>
      <c r="M2178" s="1" t="s">
        <v>23</v>
      </c>
      <c r="N2178" s="1" t="s">
        <v>230</v>
      </c>
      <c r="O2178" s="1" t="s">
        <v>25</v>
      </c>
      <c r="P2178" s="3" t="s">
        <v>25</v>
      </c>
      <c r="Q2178" s="37">
        <v>6.8615099999999998E-2</v>
      </c>
      <c r="R2178" s="1" t="s">
        <v>231</v>
      </c>
      <c r="S2178" s="13">
        <f t="shared" si="56"/>
        <v>-0.67472999923158328</v>
      </c>
    </row>
    <row r="2179" spans="1:19">
      <c r="A2179" s="18" t="s">
        <v>2225</v>
      </c>
      <c r="B2179" s="1" t="s">
        <v>2254</v>
      </c>
      <c r="C2179" s="1" t="s">
        <v>2267</v>
      </c>
      <c r="D2179" s="1" t="s">
        <v>2268</v>
      </c>
      <c r="E2179" s="1" t="s">
        <v>25</v>
      </c>
      <c r="F2179">
        <v>1900</v>
      </c>
      <c r="G2179">
        <v>1900</v>
      </c>
      <c r="H2179" t="s">
        <v>25</v>
      </c>
      <c r="I2179" s="1" t="s">
        <v>1528</v>
      </c>
      <c r="J2179" t="s">
        <v>25</v>
      </c>
      <c r="K2179" t="s">
        <v>25</v>
      </c>
      <c r="L2179">
        <v>-0.94158620507902102</v>
      </c>
      <c r="M2179" s="1" t="s">
        <v>23</v>
      </c>
      <c r="N2179" s="1" t="s">
        <v>230</v>
      </c>
      <c r="O2179" s="1" t="s">
        <v>25</v>
      </c>
      <c r="P2179" s="3" t="s">
        <v>25</v>
      </c>
      <c r="Q2179" s="37">
        <v>6.2230800000000003E-2</v>
      </c>
      <c r="R2179" s="1" t="s">
        <v>231</v>
      </c>
      <c r="S2179" s="13">
        <f t="shared" si="56"/>
        <v>-0.94158620507902102</v>
      </c>
    </row>
    <row r="2180" spans="1:19">
      <c r="A2180" s="18" t="s">
        <v>2225</v>
      </c>
      <c r="B2180" s="1" t="s">
        <v>2255</v>
      </c>
      <c r="C2180" s="1" t="s">
        <v>2267</v>
      </c>
      <c r="D2180" s="1" t="s">
        <v>2268</v>
      </c>
      <c r="E2180" s="1" t="s">
        <v>25</v>
      </c>
      <c r="F2180">
        <v>1900</v>
      </c>
      <c r="G2180">
        <v>1900</v>
      </c>
      <c r="H2180" t="s">
        <v>25</v>
      </c>
      <c r="I2180" s="1" t="s">
        <v>1528</v>
      </c>
      <c r="J2180" t="s">
        <v>25</v>
      </c>
      <c r="K2180" t="s">
        <v>25</v>
      </c>
      <c r="L2180">
        <v>-1.4833868089546391</v>
      </c>
      <c r="M2180" s="1" t="s">
        <v>23</v>
      </c>
      <c r="N2180" s="1" t="s">
        <v>230</v>
      </c>
      <c r="O2180" s="1" t="s">
        <v>25</v>
      </c>
      <c r="P2180" s="3" t="s">
        <v>25</v>
      </c>
      <c r="Q2180" s="37">
        <v>7.6577400000000004E-2</v>
      </c>
      <c r="R2180" s="1" t="s">
        <v>231</v>
      </c>
      <c r="S2180" s="13">
        <f t="shared" si="56"/>
        <v>-1.4833868089546391</v>
      </c>
    </row>
    <row r="2181" spans="1:19">
      <c r="A2181" s="18" t="s">
        <v>2225</v>
      </c>
      <c r="B2181" s="1" t="s">
        <v>2255</v>
      </c>
      <c r="C2181" s="1" t="s">
        <v>2267</v>
      </c>
      <c r="D2181" s="1" t="s">
        <v>2268</v>
      </c>
      <c r="E2181" s="1" t="s">
        <v>25</v>
      </c>
      <c r="F2181">
        <v>1900</v>
      </c>
      <c r="G2181">
        <v>1900</v>
      </c>
      <c r="H2181" t="s">
        <v>25</v>
      </c>
      <c r="I2181" s="1" t="s">
        <v>1528</v>
      </c>
      <c r="J2181" t="s">
        <v>25</v>
      </c>
      <c r="K2181" t="s">
        <v>25</v>
      </c>
      <c r="L2181" t="s">
        <v>25</v>
      </c>
      <c r="M2181" s="1" t="s">
        <v>25</v>
      </c>
      <c r="N2181" s="1" t="s">
        <v>25</v>
      </c>
      <c r="O2181" s="1" t="s">
        <v>25</v>
      </c>
      <c r="P2181" s="3" t="s">
        <v>25</v>
      </c>
      <c r="Q2181" s="37">
        <v>6.2559400000000001E-2</v>
      </c>
      <c r="R2181" s="1" t="s">
        <v>231</v>
      </c>
      <c r="S2181" s="13" t="s">
        <v>25</v>
      </c>
    </row>
    <row r="2182" spans="1:19">
      <c r="A2182" s="18" t="s">
        <v>2225</v>
      </c>
      <c r="B2182" s="1" t="s">
        <v>2256</v>
      </c>
      <c r="C2182" s="1" t="s">
        <v>2267</v>
      </c>
      <c r="D2182" s="1" t="s">
        <v>2268</v>
      </c>
      <c r="E2182" s="1" t="s">
        <v>25</v>
      </c>
      <c r="F2182">
        <v>1900</v>
      </c>
      <c r="G2182">
        <v>1900</v>
      </c>
      <c r="H2182" t="s">
        <v>25</v>
      </c>
      <c r="I2182" s="1" t="s">
        <v>1528</v>
      </c>
      <c r="J2182" t="s">
        <v>25</v>
      </c>
      <c r="K2182" t="s">
        <v>25</v>
      </c>
      <c r="L2182">
        <v>-1.4982109181290091</v>
      </c>
      <c r="M2182" s="1" t="s">
        <v>23</v>
      </c>
      <c r="N2182" s="1" t="s">
        <v>230</v>
      </c>
      <c r="O2182" s="1" t="s">
        <v>25</v>
      </c>
      <c r="P2182" s="3" t="s">
        <v>25</v>
      </c>
      <c r="Q2182" s="37">
        <v>8.9441300000000001E-2</v>
      </c>
      <c r="R2182" s="1" t="s">
        <v>231</v>
      </c>
      <c r="S2182" s="13">
        <f t="shared" si="56"/>
        <v>-1.4982109181290091</v>
      </c>
    </row>
    <row r="2183" spans="1:19">
      <c r="A2183" s="18" t="s">
        <v>2225</v>
      </c>
      <c r="B2183" s="1" t="s">
        <v>2256</v>
      </c>
      <c r="C2183" s="1" t="s">
        <v>2267</v>
      </c>
      <c r="D2183" s="1" t="s">
        <v>2268</v>
      </c>
      <c r="E2183" s="1" t="s">
        <v>25</v>
      </c>
      <c r="F2183">
        <v>1900</v>
      </c>
      <c r="G2183">
        <v>1900</v>
      </c>
      <c r="H2183" t="s">
        <v>25</v>
      </c>
      <c r="I2183" s="1" t="s">
        <v>1528</v>
      </c>
      <c r="J2183" t="s">
        <v>25</v>
      </c>
      <c r="K2183" t="s">
        <v>25</v>
      </c>
      <c r="L2183" t="s">
        <v>25</v>
      </c>
      <c r="M2183" s="1" t="s">
        <v>25</v>
      </c>
      <c r="N2183" s="1" t="s">
        <v>25</v>
      </c>
      <c r="O2183" s="1" t="s">
        <v>25</v>
      </c>
      <c r="P2183" s="3" t="s">
        <v>25</v>
      </c>
      <c r="Q2183" s="37">
        <v>7.8494100000000011E-2</v>
      </c>
      <c r="R2183" s="1" t="s">
        <v>231</v>
      </c>
      <c r="S2183" s="13" t="s">
        <v>25</v>
      </c>
    </row>
    <row r="2184" spans="1:19">
      <c r="A2184" s="18" t="s">
        <v>2225</v>
      </c>
      <c r="B2184" s="1" t="s">
        <v>2257</v>
      </c>
      <c r="C2184" s="1" t="s">
        <v>2267</v>
      </c>
      <c r="D2184" s="1" t="s">
        <v>2268</v>
      </c>
      <c r="E2184" s="1" t="s">
        <v>25</v>
      </c>
      <c r="F2184">
        <v>1900</v>
      </c>
      <c r="G2184">
        <v>1900</v>
      </c>
      <c r="H2184" t="s">
        <v>25</v>
      </c>
      <c r="I2184" s="1" t="s">
        <v>1528</v>
      </c>
      <c r="J2184" t="s">
        <v>25</v>
      </c>
      <c r="K2184" t="s">
        <v>25</v>
      </c>
      <c r="L2184">
        <v>-1.2541708647403551</v>
      </c>
      <c r="M2184" s="1" t="s">
        <v>23</v>
      </c>
      <c r="N2184" s="1" t="s">
        <v>230</v>
      </c>
      <c r="O2184" s="1" t="s">
        <v>25</v>
      </c>
      <c r="P2184" s="3" t="s">
        <v>25</v>
      </c>
      <c r="Q2184" s="37">
        <v>0.14475440000000001</v>
      </c>
      <c r="R2184" s="1" t="s">
        <v>231</v>
      </c>
      <c r="S2184" s="13">
        <f t="shared" si="56"/>
        <v>-1.2541708647403551</v>
      </c>
    </row>
    <row r="2185" spans="1:19">
      <c r="A2185" s="18" t="s">
        <v>2225</v>
      </c>
      <c r="B2185" s="1" t="s">
        <v>2257</v>
      </c>
      <c r="C2185" s="1" t="s">
        <v>2267</v>
      </c>
      <c r="D2185" s="1" t="s">
        <v>2268</v>
      </c>
      <c r="E2185" s="1" t="s">
        <v>25</v>
      </c>
      <c r="F2185">
        <v>1900</v>
      </c>
      <c r="G2185">
        <v>1900</v>
      </c>
      <c r="H2185" t="s">
        <v>25</v>
      </c>
      <c r="I2185" s="1" t="s">
        <v>1528</v>
      </c>
      <c r="J2185" t="s">
        <v>25</v>
      </c>
      <c r="K2185" t="s">
        <v>25</v>
      </c>
      <c r="L2185" t="s">
        <v>25</v>
      </c>
      <c r="M2185" s="1" t="s">
        <v>25</v>
      </c>
      <c r="N2185" s="1" t="s">
        <v>25</v>
      </c>
      <c r="O2185" s="1" t="s">
        <v>25</v>
      </c>
      <c r="P2185" s="3" t="s">
        <v>25</v>
      </c>
      <c r="Q2185" s="37">
        <v>0.13312200000000002</v>
      </c>
      <c r="R2185" s="1" t="s">
        <v>231</v>
      </c>
      <c r="S2185" s="13" t="s">
        <v>25</v>
      </c>
    </row>
    <row r="2186" spans="1:19">
      <c r="A2186" s="18" t="s">
        <v>2225</v>
      </c>
      <c r="B2186" s="1" t="s">
        <v>2258</v>
      </c>
      <c r="C2186" s="1" t="s">
        <v>2267</v>
      </c>
      <c r="D2186" s="1" t="s">
        <v>2268</v>
      </c>
      <c r="E2186" s="1" t="s">
        <v>25</v>
      </c>
      <c r="F2186">
        <v>1900</v>
      </c>
      <c r="G2186">
        <v>1900</v>
      </c>
      <c r="H2186" t="s">
        <v>25</v>
      </c>
      <c r="I2186" s="1" t="s">
        <v>1528</v>
      </c>
      <c r="J2186" t="s">
        <v>25</v>
      </c>
      <c r="K2186" t="s">
        <v>25</v>
      </c>
      <c r="L2186" t="s">
        <v>25</v>
      </c>
      <c r="M2186" s="1" t="s">
        <v>25</v>
      </c>
      <c r="N2186" s="1" t="s">
        <v>25</v>
      </c>
      <c r="O2186" s="1" t="s">
        <v>25</v>
      </c>
      <c r="P2186" s="3" t="s">
        <v>25</v>
      </c>
      <c r="R2186" s="1" t="s">
        <v>231</v>
      </c>
      <c r="S2186" s="13" t="s">
        <v>25</v>
      </c>
    </row>
    <row r="2187" spans="1:19">
      <c r="A2187" s="18" t="s">
        <v>2225</v>
      </c>
      <c r="B2187" s="1" t="s">
        <v>2259</v>
      </c>
      <c r="C2187" s="1" t="s">
        <v>2267</v>
      </c>
      <c r="D2187" s="1" t="s">
        <v>2268</v>
      </c>
      <c r="E2187" s="1" t="s">
        <v>25</v>
      </c>
      <c r="F2187">
        <v>1900</v>
      </c>
      <c r="G2187">
        <v>1900</v>
      </c>
      <c r="H2187" t="s">
        <v>25</v>
      </c>
      <c r="I2187" s="1" t="s">
        <v>1528</v>
      </c>
      <c r="J2187" t="s">
        <v>25</v>
      </c>
      <c r="K2187" t="s">
        <v>25</v>
      </c>
      <c r="L2187">
        <v>-0.99363893468831876</v>
      </c>
      <c r="M2187" s="1" t="s">
        <v>23</v>
      </c>
      <c r="N2187" s="1" t="s">
        <v>230</v>
      </c>
      <c r="O2187" s="1" t="s">
        <v>25</v>
      </c>
      <c r="P2187" s="3" t="s">
        <v>25</v>
      </c>
      <c r="Q2187" s="37">
        <v>0.14004269999999999</v>
      </c>
      <c r="R2187" s="1" t="s">
        <v>231</v>
      </c>
      <c r="S2187" s="13">
        <f t="shared" si="56"/>
        <v>-0.99363893468831876</v>
      </c>
    </row>
    <row r="2188" spans="1:19">
      <c r="A2188" s="18" t="s">
        <v>2225</v>
      </c>
      <c r="B2188" s="1" t="s">
        <v>2260</v>
      </c>
      <c r="C2188" s="1" t="s">
        <v>2267</v>
      </c>
      <c r="D2188" s="1" t="s">
        <v>2268</v>
      </c>
      <c r="E2188" s="1" t="s">
        <v>25</v>
      </c>
      <c r="F2188">
        <v>1900</v>
      </c>
      <c r="G2188">
        <v>1900</v>
      </c>
      <c r="H2188" t="s">
        <v>25</v>
      </c>
      <c r="I2188" s="1" t="s">
        <v>1528</v>
      </c>
      <c r="J2188" t="s">
        <v>25</v>
      </c>
      <c r="K2188" t="s">
        <v>25</v>
      </c>
      <c r="L2188" t="s">
        <v>25</v>
      </c>
      <c r="M2188" s="1" t="s">
        <v>25</v>
      </c>
      <c r="N2188" s="1" t="s">
        <v>25</v>
      </c>
      <c r="O2188" s="1" t="s">
        <v>25</v>
      </c>
      <c r="P2188" s="3" t="s">
        <v>25</v>
      </c>
      <c r="Q2188" s="37">
        <v>0.13913140000000002</v>
      </c>
      <c r="R2188" s="1" t="s">
        <v>231</v>
      </c>
      <c r="S2188" s="13" t="s">
        <v>25</v>
      </c>
    </row>
    <row r="2189" spans="1:19">
      <c r="A2189" s="18" t="s">
        <v>2225</v>
      </c>
      <c r="B2189" s="1" t="s">
        <v>2261</v>
      </c>
      <c r="C2189" s="1" t="s">
        <v>2267</v>
      </c>
      <c r="D2189" s="1" t="s">
        <v>2268</v>
      </c>
      <c r="E2189" s="1" t="s">
        <v>25</v>
      </c>
      <c r="F2189">
        <v>1900</v>
      </c>
      <c r="G2189">
        <v>1900</v>
      </c>
      <c r="H2189" t="s">
        <v>25</v>
      </c>
      <c r="I2189" s="1" t="s">
        <v>1528</v>
      </c>
      <c r="J2189" t="s">
        <v>25</v>
      </c>
      <c r="K2189" t="s">
        <v>25</v>
      </c>
      <c r="L2189">
        <v>-1.3051748666509431</v>
      </c>
      <c r="M2189" s="1" t="s">
        <v>23</v>
      </c>
      <c r="N2189" s="1" t="s">
        <v>230</v>
      </c>
      <c r="O2189" s="1" t="s">
        <v>25</v>
      </c>
      <c r="P2189" s="3" t="s">
        <v>25</v>
      </c>
      <c r="Q2189" s="37">
        <v>7.1840599999999991E-2</v>
      </c>
      <c r="R2189" s="1" t="s">
        <v>231</v>
      </c>
      <c r="S2189" s="13">
        <f t="shared" si="56"/>
        <v>-1.3051748666509431</v>
      </c>
    </row>
    <row r="2190" spans="1:19">
      <c r="A2190" s="18" t="s">
        <v>2225</v>
      </c>
      <c r="B2190" s="1" t="s">
        <v>2262</v>
      </c>
      <c r="C2190" s="1" t="s">
        <v>2267</v>
      </c>
      <c r="D2190" s="1" t="s">
        <v>2268</v>
      </c>
      <c r="E2190" s="1" t="s">
        <v>25</v>
      </c>
      <c r="F2190">
        <v>1900</v>
      </c>
      <c r="G2190">
        <v>1900</v>
      </c>
      <c r="H2190" t="s">
        <v>25</v>
      </c>
      <c r="I2190" s="1" t="s">
        <v>1528</v>
      </c>
      <c r="J2190" t="s">
        <v>25</v>
      </c>
      <c r="K2190" t="s">
        <v>25</v>
      </c>
      <c r="L2190">
        <v>-0.8104684691548123</v>
      </c>
      <c r="M2190" s="1" t="s">
        <v>23</v>
      </c>
      <c r="N2190" s="1" t="s">
        <v>230</v>
      </c>
      <c r="O2190" s="1" t="s">
        <v>25</v>
      </c>
      <c r="P2190" s="3" t="s">
        <v>25</v>
      </c>
      <c r="Q2190" s="37">
        <v>7.1119000000000002E-2</v>
      </c>
      <c r="R2190" s="1" t="s">
        <v>231</v>
      </c>
      <c r="S2190" s="13">
        <f t="shared" si="56"/>
        <v>-0.8104684691548123</v>
      </c>
    </row>
    <row r="2191" spans="1:19">
      <c r="A2191" s="18" t="s">
        <v>2225</v>
      </c>
      <c r="B2191" s="1" t="s">
        <v>2263</v>
      </c>
      <c r="C2191" s="1" t="s">
        <v>2267</v>
      </c>
      <c r="D2191" s="1" t="s">
        <v>2268</v>
      </c>
      <c r="E2191" s="1" t="s">
        <v>25</v>
      </c>
      <c r="F2191">
        <v>1900</v>
      </c>
      <c r="G2191">
        <v>1900</v>
      </c>
      <c r="H2191" t="s">
        <v>25</v>
      </c>
      <c r="I2191" s="1" t="s">
        <v>1528</v>
      </c>
      <c r="J2191" t="s">
        <v>25</v>
      </c>
      <c r="K2191" t="s">
        <v>25</v>
      </c>
      <c r="L2191">
        <v>-1.3320119933849126</v>
      </c>
      <c r="M2191" s="1" t="s">
        <v>23</v>
      </c>
      <c r="N2191" s="1" t="s">
        <v>230</v>
      </c>
      <c r="O2191" s="1" t="s">
        <v>25</v>
      </c>
      <c r="P2191" s="3" t="s">
        <v>25</v>
      </c>
      <c r="Q2191" s="37">
        <v>6.78864E-2</v>
      </c>
      <c r="R2191" s="1" t="s">
        <v>231</v>
      </c>
      <c r="S2191" s="13">
        <f t="shared" si="56"/>
        <v>-1.3320119933849126</v>
      </c>
    </row>
    <row r="2192" spans="1:19">
      <c r="A2192" s="18" t="s">
        <v>2225</v>
      </c>
      <c r="B2192" s="1" t="s">
        <v>2264</v>
      </c>
      <c r="C2192" s="1" t="s">
        <v>2267</v>
      </c>
      <c r="D2192" s="1" t="s">
        <v>2268</v>
      </c>
      <c r="E2192" s="1" t="s">
        <v>25</v>
      </c>
      <c r="F2192">
        <v>1900</v>
      </c>
      <c r="G2192">
        <v>1900</v>
      </c>
      <c r="H2192" t="s">
        <v>25</v>
      </c>
      <c r="I2192" s="1" t="s">
        <v>1528</v>
      </c>
      <c r="J2192" t="s">
        <v>25</v>
      </c>
      <c r="K2192" t="s">
        <v>25</v>
      </c>
      <c r="L2192">
        <v>-1.3278812731296938</v>
      </c>
      <c r="M2192" s="1" t="s">
        <v>23</v>
      </c>
      <c r="N2192" s="1" t="s">
        <v>230</v>
      </c>
      <c r="O2192" s="1" t="s">
        <v>25</v>
      </c>
      <c r="P2192" s="3" t="s">
        <v>25</v>
      </c>
      <c r="Q2192" s="37">
        <v>6.48117E-2</v>
      </c>
      <c r="R2192" s="1" t="s">
        <v>231</v>
      </c>
      <c r="S2192" s="13">
        <f t="shared" si="56"/>
        <v>-1.3278812731296938</v>
      </c>
    </row>
    <row r="2193" spans="1:19">
      <c r="A2193" s="18" t="s">
        <v>2225</v>
      </c>
      <c r="B2193" s="1" t="s">
        <v>2265</v>
      </c>
      <c r="C2193" s="1" t="s">
        <v>2267</v>
      </c>
      <c r="D2193" s="1" t="s">
        <v>2268</v>
      </c>
      <c r="E2193" s="1" t="s">
        <v>25</v>
      </c>
      <c r="F2193">
        <v>1900</v>
      </c>
      <c r="G2193">
        <v>1900</v>
      </c>
      <c r="H2193" t="s">
        <v>25</v>
      </c>
      <c r="I2193" s="1" t="s">
        <v>1528</v>
      </c>
      <c r="J2193" t="s">
        <v>25</v>
      </c>
      <c r="K2193" t="s">
        <v>25</v>
      </c>
      <c r="L2193">
        <v>-1.3560754689904999</v>
      </c>
      <c r="M2193" s="1" t="s">
        <v>23</v>
      </c>
      <c r="N2193" s="1" t="s">
        <v>230</v>
      </c>
      <c r="O2193" s="1" t="s">
        <v>25</v>
      </c>
      <c r="P2193" s="3" t="s">
        <v>25</v>
      </c>
      <c r="Q2193" s="37">
        <v>9.8079400000000011E-2</v>
      </c>
      <c r="R2193" s="1" t="s">
        <v>231</v>
      </c>
      <c r="S2193" s="13">
        <f t="shared" si="56"/>
        <v>-1.3560754689904999</v>
      </c>
    </row>
    <row r="2194" spans="1:19">
      <c r="A2194" s="18" t="s">
        <v>2225</v>
      </c>
      <c r="B2194" s="1" t="s">
        <v>2266</v>
      </c>
      <c r="C2194" s="1" t="s">
        <v>2267</v>
      </c>
      <c r="D2194" s="1" t="s">
        <v>2268</v>
      </c>
      <c r="E2194" s="1" t="s">
        <v>25</v>
      </c>
      <c r="F2194">
        <v>1900</v>
      </c>
      <c r="G2194">
        <v>1900</v>
      </c>
      <c r="H2194" t="s">
        <v>25</v>
      </c>
      <c r="I2194" s="1" t="s">
        <v>1528</v>
      </c>
      <c r="J2194" t="s">
        <v>25</v>
      </c>
      <c r="K2194" t="s">
        <v>25</v>
      </c>
      <c r="L2194">
        <v>-0.7282583757518879</v>
      </c>
      <c r="M2194" s="1" t="s">
        <v>23</v>
      </c>
      <c r="N2194" s="1" t="s">
        <v>230</v>
      </c>
      <c r="O2194" s="1" t="s">
        <v>25</v>
      </c>
      <c r="P2194" s="3" t="s">
        <v>25</v>
      </c>
      <c r="Q2194" s="37">
        <v>7.5076299999999999E-2</v>
      </c>
      <c r="R2194" s="1" t="s">
        <v>231</v>
      </c>
      <c r="S2194" s="13">
        <f t="shared" si="56"/>
        <v>-0.7282583757518879</v>
      </c>
    </row>
    <row r="2195" spans="1:19">
      <c r="A2195" s="18" t="s">
        <v>2225</v>
      </c>
      <c r="B2195" s="1" t="s">
        <v>2266</v>
      </c>
      <c r="C2195" s="1" t="s">
        <v>2267</v>
      </c>
      <c r="D2195" s="1" t="s">
        <v>2268</v>
      </c>
      <c r="E2195" s="1" t="s">
        <v>25</v>
      </c>
      <c r="F2195">
        <v>1900</v>
      </c>
      <c r="G2195">
        <v>1900</v>
      </c>
      <c r="H2195" t="s">
        <v>25</v>
      </c>
      <c r="I2195" s="1" t="s">
        <v>1528</v>
      </c>
      <c r="J2195" t="s">
        <v>25</v>
      </c>
      <c r="K2195" t="s">
        <v>25</v>
      </c>
      <c r="L2195" t="s">
        <v>25</v>
      </c>
      <c r="M2195" s="1" t="s">
        <v>25</v>
      </c>
      <c r="N2195" s="1" t="s">
        <v>25</v>
      </c>
      <c r="O2195" s="1" t="s">
        <v>25</v>
      </c>
      <c r="P2195" s="3" t="s">
        <v>25</v>
      </c>
      <c r="Q2195" s="37">
        <v>5.3078699999999999E-2</v>
      </c>
      <c r="R2195" s="1" t="s">
        <v>231</v>
      </c>
      <c r="S2195" s="13" t="s">
        <v>25</v>
      </c>
    </row>
    <row r="2196" spans="1:19">
      <c r="A2196" s="18" t="s">
        <v>2225</v>
      </c>
      <c r="B2196" s="1" t="s">
        <v>2269</v>
      </c>
      <c r="C2196" s="1" t="s">
        <v>2320</v>
      </c>
      <c r="D2196" s="1" t="s">
        <v>2321</v>
      </c>
      <c r="E2196" s="1" t="s">
        <v>25</v>
      </c>
      <c r="F2196">
        <v>2500</v>
      </c>
      <c r="G2196">
        <v>2500</v>
      </c>
      <c r="H2196" s="1" t="s">
        <v>25</v>
      </c>
      <c r="I2196" s="1" t="s">
        <v>1528</v>
      </c>
      <c r="J2196" t="s">
        <v>25</v>
      </c>
      <c r="K2196" t="s">
        <v>25</v>
      </c>
      <c r="L2196">
        <v>-1.0005546531916494</v>
      </c>
      <c r="M2196" s="1" t="s">
        <v>23</v>
      </c>
      <c r="N2196" s="1" t="s">
        <v>230</v>
      </c>
      <c r="O2196" s="1" t="s">
        <v>25</v>
      </c>
      <c r="P2196" s="3" t="s">
        <v>25</v>
      </c>
      <c r="Q2196" s="37">
        <v>3.59388E-2</v>
      </c>
      <c r="R2196" s="1" t="s">
        <v>231</v>
      </c>
      <c r="S2196" s="13">
        <f t="shared" si="56"/>
        <v>-1.0005546531916494</v>
      </c>
    </row>
    <row r="2197" spans="1:19">
      <c r="A2197" s="18" t="s">
        <v>2225</v>
      </c>
      <c r="B2197" s="1" t="s">
        <v>2270</v>
      </c>
      <c r="C2197" s="1" t="s">
        <v>2320</v>
      </c>
      <c r="D2197" s="1" t="s">
        <v>2321</v>
      </c>
      <c r="E2197" s="1" t="s">
        <v>25</v>
      </c>
      <c r="F2197">
        <v>2500</v>
      </c>
      <c r="G2197">
        <v>2500</v>
      </c>
      <c r="H2197" s="1" t="s">
        <v>25</v>
      </c>
      <c r="I2197" s="1" t="s">
        <v>1528</v>
      </c>
      <c r="J2197" t="s">
        <v>25</v>
      </c>
      <c r="K2197" t="s">
        <v>25</v>
      </c>
      <c r="L2197">
        <v>-1.176294015955323</v>
      </c>
      <c r="M2197" s="1" t="s">
        <v>23</v>
      </c>
      <c r="N2197" s="1" t="s">
        <v>230</v>
      </c>
      <c r="O2197" s="1" t="s">
        <v>25</v>
      </c>
      <c r="P2197" s="3" t="s">
        <v>25</v>
      </c>
      <c r="Q2197" s="37">
        <v>4.3354999999999998E-2</v>
      </c>
      <c r="R2197" s="1" t="s">
        <v>231</v>
      </c>
      <c r="S2197" s="13">
        <f t="shared" si="56"/>
        <v>-1.176294015955323</v>
      </c>
    </row>
    <row r="2198" spans="1:19">
      <c r="A2198" s="18" t="s">
        <v>2225</v>
      </c>
      <c r="B2198" s="1" t="s">
        <v>2271</v>
      </c>
      <c r="C2198" s="1" t="s">
        <v>2320</v>
      </c>
      <c r="D2198" s="1" t="s">
        <v>2321</v>
      </c>
      <c r="E2198" s="1" t="s">
        <v>25</v>
      </c>
      <c r="F2198">
        <v>2500</v>
      </c>
      <c r="G2198">
        <v>2500</v>
      </c>
      <c r="H2198" s="1" t="s">
        <v>25</v>
      </c>
      <c r="I2198" s="1" t="s">
        <v>1528</v>
      </c>
      <c r="J2198" t="s">
        <v>25</v>
      </c>
      <c r="K2198" t="s">
        <v>25</v>
      </c>
      <c r="L2198">
        <v>-1.1045312529396543</v>
      </c>
      <c r="M2198" s="1" t="s">
        <v>23</v>
      </c>
      <c r="N2198" s="1" t="s">
        <v>230</v>
      </c>
      <c r="O2198" s="1" t="s">
        <v>25</v>
      </c>
      <c r="P2198" s="3" t="s">
        <v>25</v>
      </c>
      <c r="Q2198" s="37">
        <v>4.5032500000000003E-2</v>
      </c>
      <c r="R2198" s="1" t="s">
        <v>231</v>
      </c>
      <c r="S2198" s="13">
        <f t="shared" si="56"/>
        <v>-1.1045312529396543</v>
      </c>
    </row>
    <row r="2199" spans="1:19">
      <c r="A2199" s="18" t="s">
        <v>2225</v>
      </c>
      <c r="B2199" s="1" t="s">
        <v>2272</v>
      </c>
      <c r="C2199" s="1" t="s">
        <v>2320</v>
      </c>
      <c r="D2199" s="1" t="s">
        <v>2321</v>
      </c>
      <c r="E2199" s="1" t="s">
        <v>25</v>
      </c>
      <c r="F2199">
        <v>2500</v>
      </c>
      <c r="G2199">
        <v>2500</v>
      </c>
      <c r="H2199" s="1" t="s">
        <v>25</v>
      </c>
      <c r="I2199" s="1" t="s">
        <v>1528</v>
      </c>
      <c r="J2199" t="s">
        <v>25</v>
      </c>
      <c r="K2199" t="s">
        <v>25</v>
      </c>
      <c r="L2199">
        <v>-1.1203084662017526</v>
      </c>
      <c r="M2199" s="1" t="s">
        <v>23</v>
      </c>
      <c r="N2199" s="1" t="s">
        <v>230</v>
      </c>
      <c r="O2199" s="1" t="s">
        <v>25</v>
      </c>
      <c r="P2199" s="3" t="s">
        <v>25</v>
      </c>
      <c r="Q2199" s="37">
        <v>0.16852010000000001</v>
      </c>
      <c r="R2199" s="1" t="s">
        <v>231</v>
      </c>
      <c r="S2199" s="13">
        <f t="shared" si="56"/>
        <v>-1.1203084662017526</v>
      </c>
    </row>
    <row r="2200" spans="1:19">
      <c r="A2200" s="18" t="s">
        <v>2225</v>
      </c>
      <c r="B2200" s="1" t="s">
        <v>2273</v>
      </c>
      <c r="C2200" s="1" t="s">
        <v>2320</v>
      </c>
      <c r="D2200" s="1" t="s">
        <v>2321</v>
      </c>
      <c r="E2200" s="1" t="s">
        <v>25</v>
      </c>
      <c r="F2200">
        <v>2500</v>
      </c>
      <c r="G2200">
        <v>2500</v>
      </c>
      <c r="H2200" s="1" t="s">
        <v>25</v>
      </c>
      <c r="I2200" s="1" t="s">
        <v>1528</v>
      </c>
      <c r="J2200" t="s">
        <v>25</v>
      </c>
      <c r="K2200" t="s">
        <v>25</v>
      </c>
      <c r="L2200">
        <v>-0.83214593861670472</v>
      </c>
      <c r="M2200" s="1" t="s">
        <v>23</v>
      </c>
      <c r="N2200" s="1" t="s">
        <v>230</v>
      </c>
      <c r="O2200" s="1" t="s">
        <v>25</v>
      </c>
      <c r="P2200" s="3" t="s">
        <v>25</v>
      </c>
      <c r="Q2200" s="37">
        <v>2.1828600000000004E-2</v>
      </c>
      <c r="R2200" s="1" t="s">
        <v>231</v>
      </c>
      <c r="S2200" s="13">
        <f t="shared" si="56"/>
        <v>-0.83214593861670472</v>
      </c>
    </row>
    <row r="2201" spans="1:19">
      <c r="A2201" s="18" t="s">
        <v>2225</v>
      </c>
      <c r="B2201" s="1" t="s">
        <v>2274</v>
      </c>
      <c r="C2201" s="1" t="s">
        <v>2320</v>
      </c>
      <c r="D2201" s="1" t="s">
        <v>2321</v>
      </c>
      <c r="E2201" s="1" t="s">
        <v>25</v>
      </c>
      <c r="F2201">
        <v>2500</v>
      </c>
      <c r="G2201">
        <v>2500</v>
      </c>
      <c r="H2201" s="1" t="s">
        <v>25</v>
      </c>
      <c r="I2201" s="1" t="s">
        <v>1528</v>
      </c>
      <c r="J2201" t="s">
        <v>25</v>
      </c>
      <c r="K2201" t="s">
        <v>25</v>
      </c>
      <c r="L2201">
        <v>-0.9569246846280447</v>
      </c>
      <c r="M2201" s="1" t="s">
        <v>23</v>
      </c>
      <c r="N2201" s="1" t="s">
        <v>230</v>
      </c>
      <c r="O2201" s="1" t="s">
        <v>25</v>
      </c>
      <c r="P2201" s="3" t="s">
        <v>25</v>
      </c>
      <c r="Q2201" s="37">
        <v>4.32571E-2</v>
      </c>
      <c r="R2201" s="1" t="s">
        <v>231</v>
      </c>
      <c r="S2201" s="13">
        <f t="shared" si="56"/>
        <v>-0.9569246846280447</v>
      </c>
    </row>
    <row r="2202" spans="1:19">
      <c r="A2202" s="18" t="s">
        <v>2225</v>
      </c>
      <c r="B2202" s="1" t="s">
        <v>2275</v>
      </c>
      <c r="C2202" s="1" t="s">
        <v>2320</v>
      </c>
      <c r="D2202" s="1" t="s">
        <v>2321</v>
      </c>
      <c r="E2202" s="1" t="s">
        <v>25</v>
      </c>
      <c r="F2202">
        <v>2500</v>
      </c>
      <c r="G2202">
        <v>2500</v>
      </c>
      <c r="H2202" s="1" t="s">
        <v>25</v>
      </c>
      <c r="I2202" s="1" t="s">
        <v>1528</v>
      </c>
      <c r="J2202" t="s">
        <v>25</v>
      </c>
      <c r="K2202" t="s">
        <v>25</v>
      </c>
      <c r="L2202">
        <v>-0.90778128604941799</v>
      </c>
      <c r="M2202" s="1" t="s">
        <v>23</v>
      </c>
      <c r="N2202" s="1" t="s">
        <v>230</v>
      </c>
      <c r="O2202" s="1" t="s">
        <v>25</v>
      </c>
      <c r="P2202" s="3" t="s">
        <v>25</v>
      </c>
      <c r="Q2202" s="37">
        <v>7.6978500000000005E-2</v>
      </c>
      <c r="R2202" s="1" t="s">
        <v>231</v>
      </c>
      <c r="S2202" s="13">
        <f t="shared" si="56"/>
        <v>-0.90778128604941799</v>
      </c>
    </row>
    <row r="2203" spans="1:19">
      <c r="A2203" s="18" t="s">
        <v>2225</v>
      </c>
      <c r="B2203" s="1" t="s">
        <v>2276</v>
      </c>
      <c r="C2203" s="1" t="s">
        <v>2320</v>
      </c>
      <c r="D2203" s="1" t="s">
        <v>2321</v>
      </c>
      <c r="E2203" s="1" t="s">
        <v>25</v>
      </c>
      <c r="F2203">
        <v>2500</v>
      </c>
      <c r="G2203">
        <v>2500</v>
      </c>
      <c r="H2203" s="1" t="s">
        <v>25</v>
      </c>
      <c r="I2203" s="1" t="s">
        <v>1528</v>
      </c>
      <c r="J2203" t="s">
        <v>25</v>
      </c>
      <c r="K2203" t="s">
        <v>25</v>
      </c>
      <c r="L2203">
        <v>-1.1783085015923158</v>
      </c>
      <c r="M2203" s="1" t="s">
        <v>23</v>
      </c>
      <c r="N2203" s="1" t="s">
        <v>230</v>
      </c>
      <c r="O2203" s="1" t="s">
        <v>25</v>
      </c>
      <c r="P2203" s="3" t="s">
        <v>25</v>
      </c>
      <c r="Q2203" s="37">
        <v>4.7618600000000004E-2</v>
      </c>
      <c r="R2203" s="1" t="s">
        <v>231</v>
      </c>
      <c r="S2203" s="13">
        <f t="shared" si="56"/>
        <v>-1.1783085015923158</v>
      </c>
    </row>
    <row r="2204" spans="1:19">
      <c r="A2204" s="18" t="s">
        <v>2225</v>
      </c>
      <c r="B2204" s="1" t="s">
        <v>2277</v>
      </c>
      <c r="C2204" s="1" t="s">
        <v>2320</v>
      </c>
      <c r="D2204" s="1" t="s">
        <v>2321</v>
      </c>
      <c r="E2204" s="1" t="s">
        <v>25</v>
      </c>
      <c r="F2204">
        <v>2500</v>
      </c>
      <c r="G2204">
        <v>2500</v>
      </c>
      <c r="H2204" s="1" t="s">
        <v>25</v>
      </c>
      <c r="I2204" s="1" t="s">
        <v>1528</v>
      </c>
      <c r="J2204" t="s">
        <v>25</v>
      </c>
      <c r="K2204" t="s">
        <v>25</v>
      </c>
      <c r="L2204">
        <v>-1.1925481528207136</v>
      </c>
      <c r="M2204" s="1" t="s">
        <v>23</v>
      </c>
      <c r="N2204" s="1" t="s">
        <v>230</v>
      </c>
      <c r="O2204" s="1" t="s">
        <v>25</v>
      </c>
      <c r="P2204" s="3" t="s">
        <v>25</v>
      </c>
      <c r="Q2204" s="37">
        <v>3.1381800000000001E-2</v>
      </c>
      <c r="R2204" s="1" t="s">
        <v>231</v>
      </c>
      <c r="S2204" s="13">
        <f t="shared" si="56"/>
        <v>-1.1925481528207136</v>
      </c>
    </row>
    <row r="2205" spans="1:19">
      <c r="A2205" s="18" t="s">
        <v>2225</v>
      </c>
      <c r="B2205" s="1" t="s">
        <v>2278</v>
      </c>
      <c r="C2205" s="1" t="s">
        <v>2320</v>
      </c>
      <c r="D2205" s="1" t="s">
        <v>2321</v>
      </c>
      <c r="E2205" s="1" t="s">
        <v>25</v>
      </c>
      <c r="F2205">
        <v>2500</v>
      </c>
      <c r="G2205">
        <v>2500</v>
      </c>
      <c r="H2205" s="1" t="s">
        <v>25</v>
      </c>
      <c r="I2205" s="1" t="s">
        <v>1528</v>
      </c>
      <c r="J2205" t="s">
        <v>25</v>
      </c>
      <c r="K2205" t="s">
        <v>25</v>
      </c>
      <c r="L2205">
        <v>-1.1739621989770979</v>
      </c>
      <c r="M2205" s="1" t="s">
        <v>23</v>
      </c>
      <c r="N2205" s="1" t="s">
        <v>230</v>
      </c>
      <c r="O2205" s="1" t="s">
        <v>25</v>
      </c>
      <c r="P2205" s="3" t="s">
        <v>25</v>
      </c>
      <c r="Q2205" s="37">
        <v>2.4918199999999998E-2</v>
      </c>
      <c r="R2205" s="1" t="s">
        <v>231</v>
      </c>
      <c r="S2205" s="13">
        <f t="shared" si="56"/>
        <v>-1.1739621989770979</v>
      </c>
    </row>
    <row r="2206" spans="1:19">
      <c r="A2206" s="18" t="s">
        <v>2225</v>
      </c>
      <c r="B2206" s="1" t="s">
        <v>2279</v>
      </c>
      <c r="C2206" s="1" t="s">
        <v>2320</v>
      </c>
      <c r="D2206" s="1" t="s">
        <v>2321</v>
      </c>
      <c r="E2206" s="1" t="s">
        <v>25</v>
      </c>
      <c r="F2206">
        <v>2500</v>
      </c>
      <c r="G2206">
        <v>2500</v>
      </c>
      <c r="H2206" s="1" t="s">
        <v>25</v>
      </c>
      <c r="I2206" s="1" t="s">
        <v>1528</v>
      </c>
      <c r="J2206" t="s">
        <v>25</v>
      </c>
      <c r="K2206" t="s">
        <v>25</v>
      </c>
      <c r="L2206">
        <v>-1.1231697252628128</v>
      </c>
      <c r="M2206" s="1" t="s">
        <v>23</v>
      </c>
      <c r="N2206" s="1" t="s">
        <v>230</v>
      </c>
      <c r="O2206" s="1" t="s">
        <v>25</v>
      </c>
      <c r="P2206" s="3" t="s">
        <v>25</v>
      </c>
      <c r="Q2206" s="37">
        <v>3.5699700000000001E-2</v>
      </c>
      <c r="R2206" s="1" t="s">
        <v>231</v>
      </c>
      <c r="S2206" s="13">
        <f t="shared" si="56"/>
        <v>-1.1231697252628128</v>
      </c>
    </row>
    <row r="2207" spans="1:19">
      <c r="A2207" s="18" t="s">
        <v>2225</v>
      </c>
      <c r="B2207" s="1" t="s">
        <v>2280</v>
      </c>
      <c r="C2207" s="1" t="s">
        <v>2320</v>
      </c>
      <c r="D2207" s="1" t="s">
        <v>2321</v>
      </c>
      <c r="E2207" s="1" t="s">
        <v>25</v>
      </c>
      <c r="F2207">
        <v>2500</v>
      </c>
      <c r="G2207">
        <v>2500</v>
      </c>
      <c r="H2207" s="1" t="s">
        <v>25</v>
      </c>
      <c r="I2207" s="1" t="s">
        <v>1528</v>
      </c>
      <c r="J2207" t="s">
        <v>25</v>
      </c>
      <c r="K2207" t="s">
        <v>25</v>
      </c>
      <c r="L2207">
        <v>-1.1101241172528959</v>
      </c>
      <c r="M2207" s="1" t="s">
        <v>23</v>
      </c>
      <c r="N2207" s="1" t="s">
        <v>230</v>
      </c>
      <c r="O2207" s="1" t="s">
        <v>25</v>
      </c>
      <c r="P2207" s="3" t="s">
        <v>25</v>
      </c>
      <c r="Q2207" s="37">
        <v>1.90578E-2</v>
      </c>
      <c r="R2207" s="1" t="s">
        <v>231</v>
      </c>
      <c r="S2207" s="13">
        <f t="shared" si="56"/>
        <v>-1.1101241172528959</v>
      </c>
    </row>
    <row r="2208" spans="1:19">
      <c r="A2208" s="18" t="s">
        <v>2225</v>
      </c>
      <c r="B2208" s="1" t="s">
        <v>2281</v>
      </c>
      <c r="C2208" s="1" t="s">
        <v>2320</v>
      </c>
      <c r="D2208" s="1" t="s">
        <v>2321</v>
      </c>
      <c r="E2208" s="1" t="s">
        <v>25</v>
      </c>
      <c r="F2208">
        <v>2500</v>
      </c>
      <c r="G2208">
        <v>2500</v>
      </c>
      <c r="H2208" s="1" t="s">
        <v>25</v>
      </c>
      <c r="I2208" s="1" t="s">
        <v>1528</v>
      </c>
      <c r="J2208" t="s">
        <v>25</v>
      </c>
      <c r="K2208" t="s">
        <v>25</v>
      </c>
      <c r="L2208">
        <v>-1.1632139734983247</v>
      </c>
      <c r="M2208" s="1" t="s">
        <v>23</v>
      </c>
      <c r="N2208" s="1" t="s">
        <v>230</v>
      </c>
      <c r="O2208" s="1" t="s">
        <v>25</v>
      </c>
      <c r="P2208" s="3" t="s">
        <v>25</v>
      </c>
      <c r="Q2208" s="37">
        <v>3.7123400000000001E-2</v>
      </c>
      <c r="R2208" s="1" t="s">
        <v>231</v>
      </c>
      <c r="S2208" s="13">
        <f t="shared" si="56"/>
        <v>-1.1632139734983247</v>
      </c>
    </row>
    <row r="2209" spans="1:19">
      <c r="A2209" s="18" t="s">
        <v>2225</v>
      </c>
      <c r="B2209" s="1" t="s">
        <v>2282</v>
      </c>
      <c r="C2209" s="1" t="s">
        <v>2320</v>
      </c>
      <c r="D2209" s="1" t="s">
        <v>2321</v>
      </c>
      <c r="E2209" s="1" t="s">
        <v>25</v>
      </c>
      <c r="F2209">
        <v>2500</v>
      </c>
      <c r="G2209">
        <v>2500</v>
      </c>
      <c r="H2209" s="1" t="s">
        <v>25</v>
      </c>
      <c r="I2209" s="1" t="s">
        <v>1528</v>
      </c>
      <c r="J2209" t="s">
        <v>25</v>
      </c>
      <c r="K2209" t="s">
        <v>25</v>
      </c>
      <c r="L2209">
        <v>-0.84058965938796759</v>
      </c>
      <c r="M2209" s="1" t="s">
        <v>23</v>
      </c>
      <c r="N2209" s="1" t="s">
        <v>230</v>
      </c>
      <c r="O2209" s="1" t="s">
        <v>25</v>
      </c>
      <c r="P2209" s="3" t="s">
        <v>25</v>
      </c>
      <c r="Q2209" s="37">
        <v>2.9415700000000003E-2</v>
      </c>
      <c r="R2209" s="1" t="s">
        <v>231</v>
      </c>
      <c r="S2209" s="13">
        <f t="shared" si="56"/>
        <v>-0.84058965938796759</v>
      </c>
    </row>
    <row r="2210" spans="1:19">
      <c r="A2210" s="18" t="s">
        <v>2225</v>
      </c>
      <c r="B2210" s="1" t="s">
        <v>2283</v>
      </c>
      <c r="C2210" s="1" t="s">
        <v>2320</v>
      </c>
      <c r="D2210" s="1" t="s">
        <v>2321</v>
      </c>
      <c r="E2210" s="1" t="s">
        <v>25</v>
      </c>
      <c r="F2210">
        <v>2500</v>
      </c>
      <c r="G2210">
        <v>2500</v>
      </c>
      <c r="H2210" s="1" t="s">
        <v>25</v>
      </c>
      <c r="I2210" s="1" t="s">
        <v>1528</v>
      </c>
      <c r="J2210" t="s">
        <v>25</v>
      </c>
      <c r="K2210" t="s">
        <v>25</v>
      </c>
      <c r="L2210">
        <v>-1.0076698667522919</v>
      </c>
      <c r="M2210" s="1" t="s">
        <v>23</v>
      </c>
      <c r="N2210" s="1" t="s">
        <v>230</v>
      </c>
      <c r="O2210" s="1" t="s">
        <v>25</v>
      </c>
      <c r="P2210" s="3" t="s">
        <v>25</v>
      </c>
      <c r="Q2210" s="37">
        <v>5.3942999999999998E-2</v>
      </c>
      <c r="R2210" s="1" t="s">
        <v>231</v>
      </c>
      <c r="S2210" s="13">
        <f t="shared" si="56"/>
        <v>-1.0076698667522919</v>
      </c>
    </row>
    <row r="2211" spans="1:19">
      <c r="A2211" s="18" t="s">
        <v>2225</v>
      </c>
      <c r="B2211" s="1" t="s">
        <v>2284</v>
      </c>
      <c r="C2211" s="1" t="s">
        <v>2320</v>
      </c>
      <c r="D2211" s="1" t="s">
        <v>2321</v>
      </c>
      <c r="E2211" s="1" t="s">
        <v>25</v>
      </c>
      <c r="F2211">
        <v>2500</v>
      </c>
      <c r="G2211">
        <v>2500</v>
      </c>
      <c r="H2211" s="1" t="s">
        <v>25</v>
      </c>
      <c r="I2211" s="1" t="s">
        <v>1528</v>
      </c>
      <c r="J2211" t="s">
        <v>25</v>
      </c>
      <c r="K2211" t="s">
        <v>25</v>
      </c>
      <c r="L2211">
        <v>-0.9022288830472811</v>
      </c>
      <c r="M2211" s="1" t="s">
        <v>23</v>
      </c>
      <c r="N2211" s="1" t="s">
        <v>230</v>
      </c>
      <c r="O2211" s="1" t="s">
        <v>25</v>
      </c>
      <c r="P2211" s="3" t="s">
        <v>25</v>
      </c>
      <c r="Q2211" s="37">
        <v>4.26389E-2</v>
      </c>
      <c r="R2211" s="1" t="s">
        <v>231</v>
      </c>
      <c r="S2211" s="13">
        <f t="shared" si="56"/>
        <v>-0.9022288830472811</v>
      </c>
    </row>
    <row r="2212" spans="1:19">
      <c r="A2212" s="18" t="s">
        <v>2225</v>
      </c>
      <c r="B2212" s="1" t="s">
        <v>2285</v>
      </c>
      <c r="C2212" s="1" t="s">
        <v>2320</v>
      </c>
      <c r="D2212" s="1" t="s">
        <v>2321</v>
      </c>
      <c r="E2212" s="1" t="s">
        <v>25</v>
      </c>
      <c r="F2212">
        <v>2500</v>
      </c>
      <c r="G2212">
        <v>2500</v>
      </c>
      <c r="H2212" s="1" t="s">
        <v>25</v>
      </c>
      <c r="I2212" s="1" t="s">
        <v>1528</v>
      </c>
      <c r="J2212" t="s">
        <v>25</v>
      </c>
      <c r="K2212" t="s">
        <v>25</v>
      </c>
      <c r="L2212">
        <v>-0.87783471290759629</v>
      </c>
      <c r="M2212" s="1" t="s">
        <v>23</v>
      </c>
      <c r="N2212" s="1" t="s">
        <v>230</v>
      </c>
      <c r="O2212" s="1" t="s">
        <v>25</v>
      </c>
      <c r="P2212" s="3" t="s">
        <v>25</v>
      </c>
      <c r="Q2212" s="37">
        <v>5.0650599999999997E-2</v>
      </c>
      <c r="R2212" s="1" t="s">
        <v>231</v>
      </c>
      <c r="S2212" s="13">
        <f t="shared" si="56"/>
        <v>-0.87783471290759629</v>
      </c>
    </row>
    <row r="2213" spans="1:19">
      <c r="A2213" s="18" t="s">
        <v>2225</v>
      </c>
      <c r="B2213" s="1" t="s">
        <v>2286</v>
      </c>
      <c r="C2213" s="1" t="s">
        <v>2320</v>
      </c>
      <c r="D2213" s="1" t="s">
        <v>2321</v>
      </c>
      <c r="E2213" s="1" t="s">
        <v>25</v>
      </c>
      <c r="F2213">
        <v>2500</v>
      </c>
      <c r="G2213">
        <v>2500</v>
      </c>
      <c r="H2213" s="1" t="s">
        <v>25</v>
      </c>
      <c r="I2213" s="1" t="s">
        <v>1528</v>
      </c>
      <c r="J2213" t="s">
        <v>25</v>
      </c>
      <c r="K2213" t="s">
        <v>25</v>
      </c>
      <c r="L2213">
        <v>-1.0801906333758762</v>
      </c>
      <c r="M2213" s="1" t="s">
        <v>23</v>
      </c>
      <c r="N2213" s="1" t="s">
        <v>230</v>
      </c>
      <c r="O2213" s="1" t="s">
        <v>25</v>
      </c>
      <c r="P2213" s="3" t="s">
        <v>25</v>
      </c>
      <c r="Q2213" s="37">
        <v>2.8718500000000001E-2</v>
      </c>
      <c r="R2213" s="1" t="s">
        <v>231</v>
      </c>
      <c r="S2213" s="13">
        <f t="shared" si="56"/>
        <v>-1.0801906333758762</v>
      </c>
    </row>
    <row r="2214" spans="1:19">
      <c r="A2214" s="18" t="s">
        <v>2225</v>
      </c>
      <c r="B2214" s="1" t="s">
        <v>2287</v>
      </c>
      <c r="C2214" s="1" t="s">
        <v>2320</v>
      </c>
      <c r="D2214" s="1" t="s">
        <v>2321</v>
      </c>
      <c r="E2214" s="1" t="s">
        <v>25</v>
      </c>
      <c r="F2214">
        <v>2500</v>
      </c>
      <c r="G2214">
        <v>2500</v>
      </c>
      <c r="H2214" s="1" t="s">
        <v>25</v>
      </c>
      <c r="I2214" s="1" t="s">
        <v>1528</v>
      </c>
      <c r="J2214" t="s">
        <v>25</v>
      </c>
      <c r="K2214" t="s">
        <v>25</v>
      </c>
      <c r="L2214">
        <v>-0.92266433259503056</v>
      </c>
      <c r="M2214" s="1" t="s">
        <v>23</v>
      </c>
      <c r="N2214" s="1" t="s">
        <v>230</v>
      </c>
      <c r="O2214" s="1" t="s">
        <v>25</v>
      </c>
      <c r="P2214" s="3" t="s">
        <v>25</v>
      </c>
      <c r="Q2214" s="37">
        <v>4.0037300000000005E-2</v>
      </c>
      <c r="R2214" s="1" t="s">
        <v>231</v>
      </c>
      <c r="S2214" s="13">
        <f t="shared" si="56"/>
        <v>-0.92266433259503056</v>
      </c>
    </row>
    <row r="2215" spans="1:19">
      <c r="A2215" s="18" t="s">
        <v>2225</v>
      </c>
      <c r="B2215" s="1" t="s">
        <v>2288</v>
      </c>
      <c r="C2215" s="1" t="s">
        <v>2320</v>
      </c>
      <c r="D2215" s="1" t="s">
        <v>2321</v>
      </c>
      <c r="E2215" s="1" t="s">
        <v>25</v>
      </c>
      <c r="F2215">
        <v>2500</v>
      </c>
      <c r="G2215">
        <v>2500</v>
      </c>
      <c r="H2215" s="1" t="s">
        <v>25</v>
      </c>
      <c r="I2215" s="1" t="s">
        <v>1528</v>
      </c>
      <c r="J2215" t="s">
        <v>25</v>
      </c>
      <c r="K2215" t="s">
        <v>25</v>
      </c>
      <c r="L2215">
        <v>-0.83067013452788963</v>
      </c>
      <c r="M2215" s="1" t="s">
        <v>23</v>
      </c>
      <c r="N2215" s="1" t="s">
        <v>230</v>
      </c>
      <c r="O2215" s="1" t="s">
        <v>25</v>
      </c>
      <c r="P2215" s="3" t="s">
        <v>25</v>
      </c>
      <c r="Q2215" s="37">
        <v>5.3340100000000001E-2</v>
      </c>
      <c r="R2215" s="1" t="s">
        <v>231</v>
      </c>
      <c r="S2215" s="13">
        <f t="shared" si="56"/>
        <v>-0.83067013452788963</v>
      </c>
    </row>
    <row r="2216" spans="1:19">
      <c r="A2216" s="18" t="s">
        <v>2225</v>
      </c>
      <c r="B2216" s="1" t="s">
        <v>2289</v>
      </c>
      <c r="C2216" s="1" t="s">
        <v>2320</v>
      </c>
      <c r="D2216" s="1" t="s">
        <v>2321</v>
      </c>
      <c r="E2216" s="1" t="s">
        <v>25</v>
      </c>
      <c r="F2216">
        <v>2500</v>
      </c>
      <c r="G2216">
        <v>2500</v>
      </c>
      <c r="H2216" s="1" t="s">
        <v>25</v>
      </c>
      <c r="I2216" s="1" t="s">
        <v>1528</v>
      </c>
      <c r="J2216" t="s">
        <v>25</v>
      </c>
      <c r="K2216" t="s">
        <v>25</v>
      </c>
      <c r="L2216">
        <v>-0.83975507109307701</v>
      </c>
      <c r="M2216" s="1" t="s">
        <v>23</v>
      </c>
      <c r="N2216" s="1" t="s">
        <v>230</v>
      </c>
      <c r="O2216" s="1" t="s">
        <v>25</v>
      </c>
      <c r="P2216" s="3" t="s">
        <v>25</v>
      </c>
      <c r="Q2216" s="37">
        <v>5.47874E-2</v>
      </c>
      <c r="R2216" s="1" t="s">
        <v>231</v>
      </c>
      <c r="S2216" s="13">
        <f t="shared" si="56"/>
        <v>-0.83975507109307701</v>
      </c>
    </row>
    <row r="2217" spans="1:19">
      <c r="A2217" s="18" t="s">
        <v>2225</v>
      </c>
      <c r="B2217" s="1" t="s">
        <v>2290</v>
      </c>
      <c r="C2217" s="1" t="s">
        <v>2320</v>
      </c>
      <c r="D2217" s="1" t="s">
        <v>2321</v>
      </c>
      <c r="E2217" s="1" t="s">
        <v>25</v>
      </c>
      <c r="F2217">
        <v>2500</v>
      </c>
      <c r="G2217">
        <v>2500</v>
      </c>
      <c r="H2217" s="1" t="s">
        <v>25</v>
      </c>
      <c r="I2217" s="1" t="s">
        <v>1528</v>
      </c>
      <c r="J2217" t="s">
        <v>25</v>
      </c>
      <c r="K2217" t="s">
        <v>25</v>
      </c>
      <c r="L2217">
        <v>-0.8033459669240941</v>
      </c>
      <c r="M2217" s="1" t="s">
        <v>23</v>
      </c>
      <c r="N2217" s="1" t="s">
        <v>230</v>
      </c>
      <c r="O2217" s="1" t="s">
        <v>25</v>
      </c>
      <c r="P2217" s="3" t="s">
        <v>25</v>
      </c>
      <c r="Q2217" s="37">
        <v>4.85873E-2</v>
      </c>
      <c r="R2217" s="1" t="s">
        <v>231</v>
      </c>
      <c r="S2217" s="13">
        <f t="shared" si="56"/>
        <v>-0.8033459669240941</v>
      </c>
    </row>
    <row r="2218" spans="1:19">
      <c r="A2218" s="18" t="s">
        <v>2225</v>
      </c>
      <c r="B2218" s="1" t="s">
        <v>2291</v>
      </c>
      <c r="C2218" s="1" t="s">
        <v>2320</v>
      </c>
      <c r="D2218" s="1" t="s">
        <v>2321</v>
      </c>
      <c r="E2218" s="1" t="s">
        <v>25</v>
      </c>
      <c r="F2218">
        <v>2500</v>
      </c>
      <c r="G2218">
        <v>2500</v>
      </c>
      <c r="H2218" s="1" t="s">
        <v>25</v>
      </c>
      <c r="I2218" s="1" t="s">
        <v>1528</v>
      </c>
      <c r="J2218" t="s">
        <v>25</v>
      </c>
      <c r="K2218" t="s">
        <v>25</v>
      </c>
      <c r="L2218">
        <v>-0.74116276912755352</v>
      </c>
      <c r="M2218" s="1" t="s">
        <v>23</v>
      </c>
      <c r="N2218" s="1" t="s">
        <v>230</v>
      </c>
      <c r="O2218" s="1" t="s">
        <v>25</v>
      </c>
      <c r="P2218" s="3" t="s">
        <v>25</v>
      </c>
      <c r="Q2218" s="37">
        <v>5.7146200000000001E-2</v>
      </c>
      <c r="R2218" s="1" t="s">
        <v>231</v>
      </c>
      <c r="S2218" s="13">
        <f t="shared" si="56"/>
        <v>-0.74116276912755352</v>
      </c>
    </row>
    <row r="2219" spans="1:19">
      <c r="A2219" s="18" t="s">
        <v>2225</v>
      </c>
      <c r="B2219" s="1" t="s">
        <v>2292</v>
      </c>
      <c r="C2219" s="1" t="s">
        <v>2320</v>
      </c>
      <c r="D2219" s="1" t="s">
        <v>2321</v>
      </c>
      <c r="E2219" s="1" t="s">
        <v>25</v>
      </c>
      <c r="F2219">
        <v>2500</v>
      </c>
      <c r="G2219">
        <v>2500</v>
      </c>
      <c r="H2219" s="1" t="s">
        <v>25</v>
      </c>
      <c r="I2219" s="1" t="s">
        <v>1528</v>
      </c>
      <c r="J2219" t="s">
        <v>25</v>
      </c>
      <c r="K2219" t="s">
        <v>25</v>
      </c>
      <c r="L2219">
        <v>-0.8929522514755075</v>
      </c>
      <c r="M2219" s="1" t="s">
        <v>23</v>
      </c>
      <c r="N2219" s="1" t="s">
        <v>230</v>
      </c>
      <c r="O2219" s="1" t="s">
        <v>25</v>
      </c>
      <c r="P2219" s="3" t="s">
        <v>25</v>
      </c>
      <c r="Q2219" s="37">
        <v>2.0609100000000002E-2</v>
      </c>
      <c r="R2219" s="1" t="s">
        <v>231</v>
      </c>
      <c r="S2219" s="13">
        <f t="shared" ref="S2219:S2274" si="57">IF(NOT(N2219="SW"),L2219-1.88,L2219)</f>
        <v>-0.8929522514755075</v>
      </c>
    </row>
    <row r="2220" spans="1:19">
      <c r="A2220" s="18" t="s">
        <v>2225</v>
      </c>
      <c r="B2220" s="1" t="s">
        <v>2293</v>
      </c>
      <c r="C2220" s="1" t="s">
        <v>2320</v>
      </c>
      <c r="D2220" s="1" t="s">
        <v>2321</v>
      </c>
      <c r="E2220" s="1" t="s">
        <v>25</v>
      </c>
      <c r="F2220">
        <v>2500</v>
      </c>
      <c r="G2220">
        <v>2500</v>
      </c>
      <c r="H2220" s="1" t="s">
        <v>25</v>
      </c>
      <c r="I2220" s="1" t="s">
        <v>1528</v>
      </c>
      <c r="J2220" t="s">
        <v>25</v>
      </c>
      <c r="K2220" t="s">
        <v>25</v>
      </c>
      <c r="L2220">
        <v>-1.0526431339027706</v>
      </c>
      <c r="M2220" s="1" t="s">
        <v>23</v>
      </c>
      <c r="N2220" s="1" t="s">
        <v>230</v>
      </c>
      <c r="O2220" s="1" t="s">
        <v>25</v>
      </c>
      <c r="P2220" s="3" t="s">
        <v>25</v>
      </c>
      <c r="Q2220" s="37">
        <v>2.6077400000000001E-2</v>
      </c>
      <c r="R2220" s="1" t="s">
        <v>231</v>
      </c>
      <c r="S2220" s="13">
        <f t="shared" si="57"/>
        <v>-1.0526431339027706</v>
      </c>
    </row>
    <row r="2221" spans="1:19">
      <c r="A2221" s="18" t="s">
        <v>2225</v>
      </c>
      <c r="B2221" s="1" t="s">
        <v>2294</v>
      </c>
      <c r="C2221" s="1" t="s">
        <v>2320</v>
      </c>
      <c r="D2221" s="1" t="s">
        <v>2321</v>
      </c>
      <c r="E2221" s="1" t="s">
        <v>25</v>
      </c>
      <c r="F2221">
        <v>2500</v>
      </c>
      <c r="G2221">
        <v>2500</v>
      </c>
      <c r="H2221" s="1" t="s">
        <v>25</v>
      </c>
      <c r="I2221" s="1" t="s">
        <v>1528</v>
      </c>
      <c r="J2221" t="s">
        <v>25</v>
      </c>
      <c r="K2221" t="s">
        <v>25</v>
      </c>
      <c r="L2221">
        <v>-0.71970309034780433</v>
      </c>
      <c r="M2221" s="1" t="s">
        <v>23</v>
      </c>
      <c r="N2221" s="1" t="s">
        <v>230</v>
      </c>
      <c r="O2221" s="1" t="s">
        <v>25</v>
      </c>
      <c r="P2221" s="3" t="s">
        <v>25</v>
      </c>
      <c r="Q2221" s="37">
        <v>4.4581800000000005E-2</v>
      </c>
      <c r="R2221" s="1" t="s">
        <v>231</v>
      </c>
      <c r="S2221" s="13">
        <f t="shared" si="57"/>
        <v>-0.71970309034780433</v>
      </c>
    </row>
    <row r="2222" spans="1:19">
      <c r="A2222" s="18" t="s">
        <v>2225</v>
      </c>
      <c r="B2222" s="1" t="s">
        <v>2295</v>
      </c>
      <c r="C2222" s="1" t="s">
        <v>2320</v>
      </c>
      <c r="D2222" s="1" t="s">
        <v>2321</v>
      </c>
      <c r="E2222" s="1" t="s">
        <v>25</v>
      </c>
      <c r="F2222">
        <v>2500</v>
      </c>
      <c r="G2222">
        <v>2500</v>
      </c>
      <c r="H2222" s="1" t="s">
        <v>25</v>
      </c>
      <c r="I2222" s="1" t="s">
        <v>1528</v>
      </c>
      <c r="J2222" t="s">
        <v>25</v>
      </c>
      <c r="K2222" t="s">
        <v>25</v>
      </c>
      <c r="L2222">
        <v>-1.0536756058311427</v>
      </c>
      <c r="M2222" s="1" t="s">
        <v>23</v>
      </c>
      <c r="N2222" s="1" t="s">
        <v>230</v>
      </c>
      <c r="O2222" s="1" t="s">
        <v>25</v>
      </c>
      <c r="P2222" s="3" t="s">
        <v>25</v>
      </c>
      <c r="Q2222" s="37">
        <v>2.13343E-2</v>
      </c>
      <c r="R2222" s="1" t="s">
        <v>231</v>
      </c>
      <c r="S2222" s="13">
        <f t="shared" si="57"/>
        <v>-1.0536756058311427</v>
      </c>
    </row>
    <row r="2223" spans="1:19">
      <c r="A2223" s="18" t="s">
        <v>2225</v>
      </c>
      <c r="B2223" s="1" t="s">
        <v>2296</v>
      </c>
      <c r="C2223" s="1" t="s">
        <v>2320</v>
      </c>
      <c r="D2223" s="1" t="s">
        <v>2321</v>
      </c>
      <c r="E2223" s="1" t="s">
        <v>25</v>
      </c>
      <c r="F2223">
        <v>2500</v>
      </c>
      <c r="G2223">
        <v>2500</v>
      </c>
      <c r="H2223" s="1" t="s">
        <v>25</v>
      </c>
      <c r="I2223" s="1" t="s">
        <v>1528</v>
      </c>
      <c r="J2223" t="s">
        <v>25</v>
      </c>
      <c r="K2223" t="s">
        <v>25</v>
      </c>
      <c r="L2223">
        <v>-0.64818994207180369</v>
      </c>
      <c r="M2223" s="1" t="s">
        <v>23</v>
      </c>
      <c r="N2223" s="1" t="s">
        <v>230</v>
      </c>
      <c r="O2223" s="1" t="s">
        <v>25</v>
      </c>
      <c r="P2223" s="3" t="s">
        <v>25</v>
      </c>
      <c r="Q2223" s="37">
        <v>9.4347E-2</v>
      </c>
      <c r="R2223" s="1" t="s">
        <v>231</v>
      </c>
      <c r="S2223" s="13">
        <f t="shared" si="57"/>
        <v>-0.64818994207180369</v>
      </c>
    </row>
    <row r="2224" spans="1:19">
      <c r="A2224" s="18" t="s">
        <v>2225</v>
      </c>
      <c r="B2224" s="1" t="s">
        <v>2297</v>
      </c>
      <c r="C2224" s="1" t="s">
        <v>2320</v>
      </c>
      <c r="D2224" s="1" t="s">
        <v>2321</v>
      </c>
      <c r="E2224" s="1" t="s">
        <v>25</v>
      </c>
      <c r="F2224">
        <v>2500</v>
      </c>
      <c r="G2224">
        <v>2500</v>
      </c>
      <c r="H2224" s="1" t="s">
        <v>25</v>
      </c>
      <c r="I2224" s="1" t="s">
        <v>1528</v>
      </c>
      <c r="J2224" t="s">
        <v>25</v>
      </c>
      <c r="K2224" t="s">
        <v>25</v>
      </c>
      <c r="L2224">
        <v>-0.65931351042292441</v>
      </c>
      <c r="M2224" s="1" t="s">
        <v>23</v>
      </c>
      <c r="N2224" s="1" t="s">
        <v>230</v>
      </c>
      <c r="O2224" s="1" t="s">
        <v>25</v>
      </c>
      <c r="P2224" s="3" t="s">
        <v>25</v>
      </c>
      <c r="Q2224" s="37">
        <v>8.8034899999999999E-2</v>
      </c>
      <c r="R2224" s="1" t="s">
        <v>231</v>
      </c>
      <c r="S2224" s="13">
        <f t="shared" si="57"/>
        <v>-0.65931351042292441</v>
      </c>
    </row>
    <row r="2225" spans="1:19">
      <c r="A2225" s="18" t="s">
        <v>2225</v>
      </c>
      <c r="B2225" s="1" t="s">
        <v>2298</v>
      </c>
      <c r="C2225" s="1" t="s">
        <v>2320</v>
      </c>
      <c r="D2225" s="1" t="s">
        <v>2321</v>
      </c>
      <c r="E2225" s="1" t="s">
        <v>25</v>
      </c>
      <c r="F2225">
        <v>2500</v>
      </c>
      <c r="G2225">
        <v>2500</v>
      </c>
      <c r="H2225" s="1" t="s">
        <v>25</v>
      </c>
      <c r="I2225" s="1" t="s">
        <v>1528</v>
      </c>
      <c r="J2225" t="s">
        <v>25</v>
      </c>
      <c r="K2225" t="s">
        <v>25</v>
      </c>
      <c r="L2225">
        <v>-0.57734078098935848</v>
      </c>
      <c r="M2225" s="1" t="s">
        <v>23</v>
      </c>
      <c r="N2225" s="1" t="s">
        <v>230</v>
      </c>
      <c r="O2225" s="1" t="s">
        <v>25</v>
      </c>
      <c r="P2225" s="3" t="s">
        <v>25</v>
      </c>
      <c r="Q2225" s="37">
        <v>6.697199999999999E-2</v>
      </c>
      <c r="R2225" s="1" t="s">
        <v>231</v>
      </c>
      <c r="S2225" s="13">
        <f t="shared" si="57"/>
        <v>-0.57734078098935848</v>
      </c>
    </row>
    <row r="2226" spans="1:19">
      <c r="A2226" s="18" t="s">
        <v>2225</v>
      </c>
      <c r="B2226" s="1" t="s">
        <v>2299</v>
      </c>
      <c r="C2226" s="1" t="s">
        <v>2320</v>
      </c>
      <c r="D2226" s="1" t="s">
        <v>2321</v>
      </c>
      <c r="E2226" s="1" t="s">
        <v>25</v>
      </c>
      <c r="F2226">
        <v>2500</v>
      </c>
      <c r="G2226">
        <v>2500</v>
      </c>
      <c r="H2226" s="1" t="s">
        <v>25</v>
      </c>
      <c r="I2226" s="1" t="s">
        <v>1528</v>
      </c>
      <c r="J2226" t="s">
        <v>25</v>
      </c>
      <c r="K2226" t="s">
        <v>25</v>
      </c>
      <c r="L2226">
        <v>-0.86576102137025734</v>
      </c>
      <c r="M2226" s="1" t="s">
        <v>23</v>
      </c>
      <c r="N2226" s="1" t="s">
        <v>230</v>
      </c>
      <c r="O2226" s="1" t="s">
        <v>25</v>
      </c>
      <c r="P2226" s="3" t="s">
        <v>25</v>
      </c>
      <c r="Q2226" s="37">
        <v>4.9457599999999997E-2</v>
      </c>
      <c r="R2226" s="1" t="s">
        <v>231</v>
      </c>
      <c r="S2226" s="13">
        <f t="shared" si="57"/>
        <v>-0.86576102137025734</v>
      </c>
    </row>
    <row r="2227" spans="1:19">
      <c r="A2227" s="18" t="s">
        <v>2225</v>
      </c>
      <c r="B2227" s="1" t="s">
        <v>2300</v>
      </c>
      <c r="C2227" s="1" t="s">
        <v>2320</v>
      </c>
      <c r="D2227" s="1" t="s">
        <v>2321</v>
      </c>
      <c r="E2227" s="1" t="s">
        <v>25</v>
      </c>
      <c r="F2227">
        <v>2500</v>
      </c>
      <c r="G2227">
        <v>2500</v>
      </c>
      <c r="H2227" s="1" t="s">
        <v>25</v>
      </c>
      <c r="I2227" s="1" t="s">
        <v>1528</v>
      </c>
      <c r="J2227" t="s">
        <v>25</v>
      </c>
      <c r="K2227" t="s">
        <v>25</v>
      </c>
      <c r="L2227">
        <v>-0.8133011565298679</v>
      </c>
      <c r="M2227" s="1" t="s">
        <v>23</v>
      </c>
      <c r="N2227" s="1" t="s">
        <v>230</v>
      </c>
      <c r="O2227" s="1" t="s">
        <v>25</v>
      </c>
      <c r="P2227" s="3" t="s">
        <v>25</v>
      </c>
      <c r="Q2227" s="37">
        <v>4.3564800000000001E-2</v>
      </c>
      <c r="R2227" s="1" t="s">
        <v>231</v>
      </c>
      <c r="S2227" s="13">
        <f t="shared" si="57"/>
        <v>-0.8133011565298679</v>
      </c>
    </row>
    <row r="2228" spans="1:19">
      <c r="A2228" s="18" t="s">
        <v>2225</v>
      </c>
      <c r="B2228" s="1" t="s">
        <v>2301</v>
      </c>
      <c r="C2228" s="1" t="s">
        <v>2320</v>
      </c>
      <c r="D2228" s="1" t="s">
        <v>2321</v>
      </c>
      <c r="E2228" s="1" t="s">
        <v>25</v>
      </c>
      <c r="F2228">
        <v>2500</v>
      </c>
      <c r="G2228">
        <v>2500</v>
      </c>
      <c r="H2228" s="1" t="s">
        <v>25</v>
      </c>
      <c r="I2228" s="1" t="s">
        <v>1528</v>
      </c>
      <c r="J2228" t="s">
        <v>25</v>
      </c>
      <c r="K2228" t="s">
        <v>25</v>
      </c>
      <c r="L2228">
        <v>-0.87737455495159811</v>
      </c>
      <c r="M2228" s="1" t="s">
        <v>23</v>
      </c>
      <c r="N2228" s="1" t="s">
        <v>230</v>
      </c>
      <c r="O2228" s="1" t="s">
        <v>25</v>
      </c>
      <c r="P2228" s="3" t="s">
        <v>25</v>
      </c>
      <c r="Q2228" s="37">
        <v>4.50517E-2</v>
      </c>
      <c r="R2228" s="1" t="s">
        <v>231</v>
      </c>
      <c r="S2228" s="13">
        <f t="shared" si="57"/>
        <v>-0.87737455495159811</v>
      </c>
    </row>
    <row r="2229" spans="1:19">
      <c r="A2229" s="18" t="s">
        <v>2225</v>
      </c>
      <c r="B2229" s="1" t="s">
        <v>2302</v>
      </c>
      <c r="C2229" s="1" t="s">
        <v>2320</v>
      </c>
      <c r="D2229" s="1" t="s">
        <v>2321</v>
      </c>
      <c r="E2229" s="1" t="s">
        <v>25</v>
      </c>
      <c r="F2229">
        <v>2500</v>
      </c>
      <c r="G2229">
        <v>2500</v>
      </c>
      <c r="H2229" s="1" t="s">
        <v>25</v>
      </c>
      <c r="I2229" s="1" t="s">
        <v>1528</v>
      </c>
      <c r="J2229" t="s">
        <v>25</v>
      </c>
      <c r="K2229" t="s">
        <v>25</v>
      </c>
      <c r="L2229">
        <v>-0.81557955632673507</v>
      </c>
      <c r="M2229" s="1" t="s">
        <v>23</v>
      </c>
      <c r="N2229" s="1" t="s">
        <v>230</v>
      </c>
      <c r="O2229" s="1" t="s">
        <v>25</v>
      </c>
      <c r="P2229" s="3" t="s">
        <v>25</v>
      </c>
      <c r="Q2229" s="37">
        <v>3.7535899999999997E-2</v>
      </c>
      <c r="R2229" s="1" t="s">
        <v>231</v>
      </c>
      <c r="S2229" s="13">
        <f t="shared" si="57"/>
        <v>-0.81557955632673507</v>
      </c>
    </row>
    <row r="2230" spans="1:19">
      <c r="A2230" s="18" t="s">
        <v>2225</v>
      </c>
      <c r="B2230" s="1" t="s">
        <v>2303</v>
      </c>
      <c r="C2230" s="1" t="s">
        <v>2320</v>
      </c>
      <c r="D2230" s="1" t="s">
        <v>2321</v>
      </c>
      <c r="E2230" s="1" t="s">
        <v>25</v>
      </c>
      <c r="F2230">
        <v>2500</v>
      </c>
      <c r="G2230">
        <v>2500</v>
      </c>
      <c r="H2230" s="1" t="s">
        <v>25</v>
      </c>
      <c r="I2230" s="1" t="s">
        <v>1528</v>
      </c>
      <c r="J2230" t="s">
        <v>25</v>
      </c>
      <c r="K2230" t="s">
        <v>25</v>
      </c>
      <c r="L2230">
        <v>-0.56808426505036502</v>
      </c>
      <c r="M2230" s="1" t="s">
        <v>23</v>
      </c>
      <c r="N2230" s="1" t="s">
        <v>230</v>
      </c>
      <c r="O2230" s="1" t="s">
        <v>25</v>
      </c>
      <c r="P2230" s="3" t="s">
        <v>25</v>
      </c>
      <c r="Q2230" s="37">
        <v>4.4553200000000001E-2</v>
      </c>
      <c r="R2230" s="1" t="s">
        <v>231</v>
      </c>
      <c r="S2230" s="13">
        <f t="shared" si="57"/>
        <v>-0.56808426505036502</v>
      </c>
    </row>
    <row r="2231" spans="1:19">
      <c r="A2231" s="18" t="s">
        <v>2225</v>
      </c>
      <c r="B2231" s="1" t="s">
        <v>2304</v>
      </c>
      <c r="C2231" s="1" t="s">
        <v>2320</v>
      </c>
      <c r="D2231" s="1" t="s">
        <v>2321</v>
      </c>
      <c r="E2231" s="1" t="s">
        <v>25</v>
      </c>
      <c r="F2231">
        <v>2500</v>
      </c>
      <c r="G2231">
        <v>2500</v>
      </c>
      <c r="H2231" s="1" t="s">
        <v>25</v>
      </c>
      <c r="I2231" s="1" t="s">
        <v>1528</v>
      </c>
      <c r="J2231" t="s">
        <v>25</v>
      </c>
      <c r="K2231" t="s">
        <v>25</v>
      </c>
      <c r="L2231">
        <v>-0.73815108733484647</v>
      </c>
      <c r="M2231" s="1" t="s">
        <v>23</v>
      </c>
      <c r="N2231" s="1" t="s">
        <v>230</v>
      </c>
      <c r="O2231" s="1" t="s">
        <v>25</v>
      </c>
      <c r="P2231" s="3" t="s">
        <v>25</v>
      </c>
      <c r="Q2231" s="37">
        <v>4.3613600000000002E-2</v>
      </c>
      <c r="R2231" s="1" t="s">
        <v>231</v>
      </c>
      <c r="S2231" s="13">
        <f t="shared" si="57"/>
        <v>-0.73815108733484647</v>
      </c>
    </row>
    <row r="2232" spans="1:19">
      <c r="A2232" s="18" t="s">
        <v>2225</v>
      </c>
      <c r="B2232" s="1" t="s">
        <v>2305</v>
      </c>
      <c r="C2232" s="1" t="s">
        <v>2320</v>
      </c>
      <c r="D2232" s="1" t="s">
        <v>2321</v>
      </c>
      <c r="E2232" s="1" t="s">
        <v>25</v>
      </c>
      <c r="F2232">
        <v>2500</v>
      </c>
      <c r="G2232">
        <v>2500</v>
      </c>
      <c r="H2232" s="1" t="s">
        <v>25</v>
      </c>
      <c r="I2232" s="1" t="s">
        <v>1528</v>
      </c>
      <c r="J2232" t="s">
        <v>25</v>
      </c>
      <c r="K2232" t="s">
        <v>25</v>
      </c>
      <c r="L2232">
        <v>-1.060872914885592</v>
      </c>
      <c r="M2232" s="1" t="s">
        <v>23</v>
      </c>
      <c r="N2232" s="1" t="s">
        <v>230</v>
      </c>
      <c r="O2232" s="1" t="s">
        <v>25</v>
      </c>
      <c r="P2232" s="3" t="s">
        <v>25</v>
      </c>
      <c r="Q2232" s="37">
        <v>2.5994099999999999E-2</v>
      </c>
      <c r="R2232" s="1" t="s">
        <v>231</v>
      </c>
      <c r="S2232" s="13">
        <f t="shared" si="57"/>
        <v>-1.060872914885592</v>
      </c>
    </row>
    <row r="2233" spans="1:19">
      <c r="A2233" s="18" t="s">
        <v>2225</v>
      </c>
      <c r="B2233" s="1" t="s">
        <v>2306</v>
      </c>
      <c r="C2233" s="1" t="s">
        <v>2320</v>
      </c>
      <c r="D2233" s="1" t="s">
        <v>2321</v>
      </c>
      <c r="E2233" s="1" t="s">
        <v>25</v>
      </c>
      <c r="F2233">
        <v>2500</v>
      </c>
      <c r="G2233">
        <v>2500</v>
      </c>
      <c r="H2233" s="1" t="s">
        <v>25</v>
      </c>
      <c r="I2233" s="1" t="s">
        <v>1528</v>
      </c>
      <c r="J2233" t="s">
        <v>25</v>
      </c>
      <c r="K2233" t="s">
        <v>25</v>
      </c>
      <c r="L2233">
        <v>-0.99017137656503074</v>
      </c>
      <c r="M2233" s="1" t="s">
        <v>23</v>
      </c>
      <c r="N2233" s="1" t="s">
        <v>230</v>
      </c>
      <c r="O2233" s="1" t="s">
        <v>25</v>
      </c>
      <c r="P2233" s="3" t="s">
        <v>25</v>
      </c>
      <c r="Q2233" s="37">
        <v>5.7573800000000001E-2</v>
      </c>
      <c r="R2233" s="1" t="s">
        <v>231</v>
      </c>
      <c r="S2233" s="13">
        <f t="shared" si="57"/>
        <v>-0.99017137656503074</v>
      </c>
    </row>
    <row r="2234" spans="1:19">
      <c r="A2234" s="18" t="s">
        <v>2225</v>
      </c>
      <c r="B2234" s="1" t="s">
        <v>2307</v>
      </c>
      <c r="C2234" s="1" t="s">
        <v>2320</v>
      </c>
      <c r="D2234" s="1" t="s">
        <v>2321</v>
      </c>
      <c r="E2234" s="1" t="s">
        <v>25</v>
      </c>
      <c r="F2234">
        <v>2500</v>
      </c>
      <c r="G2234">
        <v>2500</v>
      </c>
      <c r="H2234" s="1" t="s">
        <v>25</v>
      </c>
      <c r="I2234" s="1" t="s">
        <v>1528</v>
      </c>
      <c r="J2234" t="s">
        <v>25</v>
      </c>
      <c r="K2234" t="s">
        <v>25</v>
      </c>
      <c r="L2234">
        <v>-0.92261484475837452</v>
      </c>
      <c r="M2234" s="1" t="s">
        <v>23</v>
      </c>
      <c r="N2234" s="1" t="s">
        <v>230</v>
      </c>
      <c r="O2234" s="1" t="s">
        <v>25</v>
      </c>
      <c r="P2234" s="3" t="s">
        <v>25</v>
      </c>
      <c r="Q2234" s="37">
        <v>5.4153399999999997E-2</v>
      </c>
      <c r="R2234" s="1" t="s">
        <v>231</v>
      </c>
      <c r="S2234" s="13">
        <f t="shared" si="57"/>
        <v>-0.92261484475837452</v>
      </c>
    </row>
    <row r="2235" spans="1:19">
      <c r="A2235" s="18" t="s">
        <v>2225</v>
      </c>
      <c r="B2235" s="1" t="s">
        <v>2308</v>
      </c>
      <c r="C2235" s="1" t="s">
        <v>2320</v>
      </c>
      <c r="D2235" s="1" t="s">
        <v>2321</v>
      </c>
      <c r="E2235" s="1" t="s">
        <v>25</v>
      </c>
      <c r="F2235">
        <v>2500</v>
      </c>
      <c r="G2235">
        <v>2500</v>
      </c>
      <c r="H2235" s="1" t="s">
        <v>25</v>
      </c>
      <c r="I2235" s="1" t="s">
        <v>1528</v>
      </c>
      <c r="J2235" t="s">
        <v>25</v>
      </c>
      <c r="K2235" t="s">
        <v>25</v>
      </c>
      <c r="L2235">
        <v>-1.0620643551332751</v>
      </c>
      <c r="M2235" s="1" t="s">
        <v>23</v>
      </c>
      <c r="N2235" s="1" t="s">
        <v>230</v>
      </c>
      <c r="O2235" s="1" t="s">
        <v>25</v>
      </c>
      <c r="P2235" s="3" t="s">
        <v>25</v>
      </c>
      <c r="Q2235" s="37">
        <v>0.25401630000000003</v>
      </c>
      <c r="R2235" s="1" t="s">
        <v>231</v>
      </c>
      <c r="S2235" s="13">
        <f t="shared" si="57"/>
        <v>-1.0620643551332751</v>
      </c>
    </row>
    <row r="2236" spans="1:19">
      <c r="A2236" s="18" t="s">
        <v>2225</v>
      </c>
      <c r="B2236" s="1" t="s">
        <v>2309</v>
      </c>
      <c r="C2236" s="1" t="s">
        <v>2320</v>
      </c>
      <c r="D2236" s="1" t="s">
        <v>2321</v>
      </c>
      <c r="E2236" s="1" t="s">
        <v>25</v>
      </c>
      <c r="F2236">
        <v>2500</v>
      </c>
      <c r="G2236">
        <v>2500</v>
      </c>
      <c r="H2236" s="1" t="s">
        <v>25</v>
      </c>
      <c r="I2236" s="1" t="s">
        <v>1528</v>
      </c>
      <c r="J2236" t="s">
        <v>25</v>
      </c>
      <c r="K2236" t="s">
        <v>25</v>
      </c>
      <c r="L2236">
        <v>-0.98882147991748237</v>
      </c>
      <c r="M2236" s="1" t="s">
        <v>23</v>
      </c>
      <c r="N2236" s="1" t="s">
        <v>230</v>
      </c>
      <c r="O2236" s="1" t="s">
        <v>25</v>
      </c>
      <c r="P2236" s="3" t="s">
        <v>25</v>
      </c>
      <c r="Q2236" s="37">
        <v>3.7766100000000004E-2</v>
      </c>
      <c r="R2236" s="1" t="s">
        <v>231</v>
      </c>
      <c r="S2236" s="13">
        <f t="shared" si="57"/>
        <v>-0.98882147991748237</v>
      </c>
    </row>
    <row r="2237" spans="1:19">
      <c r="A2237" s="18" t="s">
        <v>2225</v>
      </c>
      <c r="B2237" s="1" t="s">
        <v>2310</v>
      </c>
      <c r="C2237" s="1" t="s">
        <v>2320</v>
      </c>
      <c r="D2237" s="1" t="s">
        <v>2321</v>
      </c>
      <c r="E2237" s="1" t="s">
        <v>25</v>
      </c>
      <c r="F2237">
        <v>2500</v>
      </c>
      <c r="G2237">
        <v>2500</v>
      </c>
      <c r="H2237" s="1" t="s">
        <v>25</v>
      </c>
      <c r="I2237" s="1" t="s">
        <v>1528</v>
      </c>
      <c r="J2237" t="s">
        <v>25</v>
      </c>
      <c r="K2237" t="s">
        <v>25</v>
      </c>
      <c r="L2237">
        <v>-1.0607368195170852</v>
      </c>
      <c r="M2237" s="1" t="s">
        <v>23</v>
      </c>
      <c r="N2237" s="1" t="s">
        <v>230</v>
      </c>
      <c r="O2237" s="1" t="s">
        <v>25</v>
      </c>
      <c r="P2237" s="3" t="s">
        <v>25</v>
      </c>
      <c r="Q2237" s="37">
        <v>3.9373899999999996E-2</v>
      </c>
      <c r="R2237" s="1" t="s">
        <v>231</v>
      </c>
      <c r="S2237" s="13">
        <f t="shared" si="57"/>
        <v>-1.0607368195170852</v>
      </c>
    </row>
    <row r="2238" spans="1:19">
      <c r="A2238" s="18" t="s">
        <v>2225</v>
      </c>
      <c r="B2238" s="1" t="s">
        <v>2311</v>
      </c>
      <c r="C2238" s="1" t="s">
        <v>2320</v>
      </c>
      <c r="D2238" s="1" t="s">
        <v>2321</v>
      </c>
      <c r="E2238" s="1" t="s">
        <v>25</v>
      </c>
      <c r="F2238">
        <v>2500</v>
      </c>
      <c r="G2238">
        <v>2500</v>
      </c>
      <c r="H2238" s="1" t="s">
        <v>25</v>
      </c>
      <c r="I2238" s="1" t="s">
        <v>1528</v>
      </c>
      <c r="J2238" t="s">
        <v>25</v>
      </c>
      <c r="K2238" t="s">
        <v>25</v>
      </c>
      <c r="L2238">
        <v>-0.97428431724946107</v>
      </c>
      <c r="M2238" s="1" t="s">
        <v>23</v>
      </c>
      <c r="N2238" s="1" t="s">
        <v>230</v>
      </c>
      <c r="O2238" s="1" t="s">
        <v>25</v>
      </c>
      <c r="P2238" s="3" t="s">
        <v>25</v>
      </c>
      <c r="Q2238" s="37">
        <v>3.7411199999999999E-2</v>
      </c>
      <c r="R2238" s="1" t="s">
        <v>231</v>
      </c>
      <c r="S2238" s="13">
        <f t="shared" si="57"/>
        <v>-0.97428431724946107</v>
      </c>
    </row>
    <row r="2239" spans="1:19">
      <c r="A2239" s="18" t="s">
        <v>2225</v>
      </c>
      <c r="B2239" s="1" t="s">
        <v>2312</v>
      </c>
      <c r="C2239" s="1" t="s">
        <v>2320</v>
      </c>
      <c r="D2239" s="1" t="s">
        <v>2321</v>
      </c>
      <c r="E2239" s="1" t="s">
        <v>25</v>
      </c>
      <c r="F2239">
        <v>2500</v>
      </c>
      <c r="G2239">
        <v>2500</v>
      </c>
      <c r="H2239" s="1" t="s">
        <v>25</v>
      </c>
      <c r="I2239" s="1" t="s">
        <v>1528</v>
      </c>
      <c r="J2239" t="s">
        <v>25</v>
      </c>
      <c r="K2239" t="s">
        <v>25</v>
      </c>
      <c r="L2239">
        <v>-1.0663979004853921</v>
      </c>
      <c r="M2239" s="1" t="s">
        <v>23</v>
      </c>
      <c r="N2239" s="1" t="s">
        <v>230</v>
      </c>
      <c r="O2239" s="1" t="s">
        <v>25</v>
      </c>
      <c r="P2239" s="3" t="s">
        <v>25</v>
      </c>
      <c r="Q2239" s="37">
        <v>4.6158100000000001E-2</v>
      </c>
      <c r="R2239" s="1" t="s">
        <v>231</v>
      </c>
      <c r="S2239" s="13">
        <f t="shared" si="57"/>
        <v>-1.0663979004853921</v>
      </c>
    </row>
    <row r="2240" spans="1:19">
      <c r="A2240" s="18" t="s">
        <v>2225</v>
      </c>
      <c r="B2240" s="1" t="s">
        <v>2313</v>
      </c>
      <c r="C2240" s="1" t="s">
        <v>2320</v>
      </c>
      <c r="D2240" s="1" t="s">
        <v>2321</v>
      </c>
      <c r="E2240" s="1" t="s">
        <v>25</v>
      </c>
      <c r="F2240">
        <v>2500</v>
      </c>
      <c r="G2240">
        <v>2500</v>
      </c>
      <c r="H2240" s="1" t="s">
        <v>25</v>
      </c>
      <c r="I2240" s="1" t="s">
        <v>1528</v>
      </c>
      <c r="J2240" t="s">
        <v>25</v>
      </c>
      <c r="K2240" t="s">
        <v>25</v>
      </c>
      <c r="L2240">
        <v>-1.153420821300944</v>
      </c>
      <c r="M2240" s="1" t="s">
        <v>23</v>
      </c>
      <c r="N2240" s="1" t="s">
        <v>230</v>
      </c>
      <c r="O2240" s="1" t="s">
        <v>25</v>
      </c>
      <c r="P2240" s="3" t="s">
        <v>25</v>
      </c>
      <c r="Q2240" s="37">
        <v>4.2791700000000002E-2</v>
      </c>
      <c r="R2240" s="1" t="s">
        <v>231</v>
      </c>
      <c r="S2240" s="13">
        <f t="shared" si="57"/>
        <v>-1.153420821300944</v>
      </c>
    </row>
    <row r="2241" spans="1:19">
      <c r="A2241" s="18" t="s">
        <v>2225</v>
      </c>
      <c r="B2241" s="1" t="s">
        <v>2314</v>
      </c>
      <c r="C2241" s="1" t="s">
        <v>2320</v>
      </c>
      <c r="D2241" s="1" t="s">
        <v>2321</v>
      </c>
      <c r="E2241" s="1" t="s">
        <v>25</v>
      </c>
      <c r="F2241">
        <v>2500</v>
      </c>
      <c r="G2241">
        <v>2500</v>
      </c>
      <c r="H2241" s="1" t="s">
        <v>25</v>
      </c>
      <c r="I2241" s="1" t="s">
        <v>1528</v>
      </c>
      <c r="J2241" t="s">
        <v>25</v>
      </c>
      <c r="K2241" t="s">
        <v>25</v>
      </c>
      <c r="L2241">
        <v>-1.0189411643331017</v>
      </c>
      <c r="M2241" s="1" t="s">
        <v>23</v>
      </c>
      <c r="N2241" s="1" t="s">
        <v>230</v>
      </c>
      <c r="O2241" s="1" t="s">
        <v>25</v>
      </c>
      <c r="P2241" s="3" t="s">
        <v>25</v>
      </c>
      <c r="Q2241" s="37">
        <v>3.5295E-2</v>
      </c>
      <c r="R2241" s="1" t="s">
        <v>231</v>
      </c>
      <c r="S2241" s="13">
        <f t="shared" si="57"/>
        <v>-1.0189411643331017</v>
      </c>
    </row>
    <row r="2242" spans="1:19">
      <c r="A2242" s="18" t="s">
        <v>2225</v>
      </c>
      <c r="B2242" s="1" t="s">
        <v>2315</v>
      </c>
      <c r="C2242" s="1" t="s">
        <v>2320</v>
      </c>
      <c r="D2242" s="1" t="s">
        <v>2321</v>
      </c>
      <c r="E2242" s="1" t="s">
        <v>25</v>
      </c>
      <c r="F2242">
        <v>2500</v>
      </c>
      <c r="G2242">
        <v>2500</v>
      </c>
      <c r="H2242" s="1" t="s">
        <v>25</v>
      </c>
      <c r="I2242" s="1" t="s">
        <v>1528</v>
      </c>
      <c r="J2242" t="s">
        <v>25</v>
      </c>
      <c r="K2242" t="s">
        <v>25</v>
      </c>
      <c r="L2242">
        <v>-1.1241943992616583</v>
      </c>
      <c r="M2242" s="1" t="s">
        <v>23</v>
      </c>
      <c r="N2242" s="1" t="s">
        <v>230</v>
      </c>
      <c r="O2242" s="1" t="s">
        <v>25</v>
      </c>
      <c r="P2242" s="3" t="s">
        <v>25</v>
      </c>
      <c r="Q2242" s="37">
        <v>5.0290999999999995E-2</v>
      </c>
      <c r="R2242" s="1" t="s">
        <v>231</v>
      </c>
      <c r="S2242" s="13">
        <f t="shared" si="57"/>
        <v>-1.1241943992616583</v>
      </c>
    </row>
    <row r="2243" spans="1:19">
      <c r="A2243" s="18" t="s">
        <v>2225</v>
      </c>
      <c r="B2243" s="1" t="s">
        <v>2316</v>
      </c>
      <c r="C2243" s="1" t="s">
        <v>2320</v>
      </c>
      <c r="D2243" s="1" t="s">
        <v>2321</v>
      </c>
      <c r="E2243" s="1" t="s">
        <v>25</v>
      </c>
      <c r="F2243">
        <v>2500</v>
      </c>
      <c r="G2243">
        <v>2500</v>
      </c>
      <c r="H2243" s="1" t="s">
        <v>25</v>
      </c>
      <c r="I2243" s="1" t="s">
        <v>1528</v>
      </c>
      <c r="J2243" t="s">
        <v>25</v>
      </c>
      <c r="K2243" t="s">
        <v>25</v>
      </c>
      <c r="L2243">
        <v>-1.0349922471071415</v>
      </c>
      <c r="M2243" s="1" t="s">
        <v>23</v>
      </c>
      <c r="N2243" s="1" t="s">
        <v>230</v>
      </c>
      <c r="O2243" s="1" t="s">
        <v>25</v>
      </c>
      <c r="P2243" s="3" t="s">
        <v>25</v>
      </c>
      <c r="Q2243" s="37">
        <v>3.9726400000000002E-2</v>
      </c>
      <c r="R2243" s="1" t="s">
        <v>231</v>
      </c>
      <c r="S2243" s="13">
        <f t="shared" si="57"/>
        <v>-1.0349922471071415</v>
      </c>
    </row>
    <row r="2244" spans="1:19">
      <c r="A2244" s="18" t="s">
        <v>2225</v>
      </c>
      <c r="B2244" s="1" t="s">
        <v>2317</v>
      </c>
      <c r="C2244" s="1" t="s">
        <v>2320</v>
      </c>
      <c r="D2244" s="1" t="s">
        <v>2321</v>
      </c>
      <c r="E2244" s="1" t="s">
        <v>25</v>
      </c>
      <c r="F2244">
        <v>2500</v>
      </c>
      <c r="G2244">
        <v>2500</v>
      </c>
      <c r="H2244" s="1" t="s">
        <v>25</v>
      </c>
      <c r="I2244" s="1" t="s">
        <v>1528</v>
      </c>
      <c r="J2244" t="s">
        <v>25</v>
      </c>
      <c r="K2244" t="s">
        <v>25</v>
      </c>
      <c r="L2244">
        <v>-0.92214435668469896</v>
      </c>
      <c r="M2244" s="1" t="s">
        <v>23</v>
      </c>
      <c r="N2244" s="1" t="s">
        <v>230</v>
      </c>
      <c r="O2244" s="1" t="s">
        <v>25</v>
      </c>
      <c r="P2244" s="3" t="s">
        <v>25</v>
      </c>
      <c r="Q2244" s="37">
        <v>2.9981500000000001E-2</v>
      </c>
      <c r="R2244" s="1" t="s">
        <v>231</v>
      </c>
      <c r="S2244" s="13">
        <f t="shared" si="57"/>
        <v>-0.92214435668469896</v>
      </c>
    </row>
    <row r="2245" spans="1:19">
      <c r="A2245" s="18" t="s">
        <v>2225</v>
      </c>
      <c r="B2245" s="1" t="s">
        <v>2318</v>
      </c>
      <c r="C2245" s="1" t="s">
        <v>2320</v>
      </c>
      <c r="D2245" s="1" t="s">
        <v>2321</v>
      </c>
      <c r="E2245" s="1" t="s">
        <v>25</v>
      </c>
      <c r="F2245">
        <v>2500</v>
      </c>
      <c r="G2245">
        <v>2500</v>
      </c>
      <c r="H2245" s="1" t="s">
        <v>25</v>
      </c>
      <c r="I2245" s="1" t="s">
        <v>1528</v>
      </c>
      <c r="J2245" t="s">
        <v>25</v>
      </c>
      <c r="K2245" t="s">
        <v>25</v>
      </c>
      <c r="L2245">
        <v>-1.0418245827765773</v>
      </c>
      <c r="M2245" s="1" t="s">
        <v>23</v>
      </c>
      <c r="N2245" s="1" t="s">
        <v>230</v>
      </c>
      <c r="O2245" s="1" t="s">
        <v>25</v>
      </c>
      <c r="P2245" s="3" t="s">
        <v>25</v>
      </c>
      <c r="Q2245" s="37">
        <v>2.2232399999999999E-2</v>
      </c>
      <c r="R2245" s="1" t="s">
        <v>231</v>
      </c>
      <c r="S2245" s="13">
        <f t="shared" si="57"/>
        <v>-1.0418245827765773</v>
      </c>
    </row>
    <row r="2246" spans="1:19">
      <c r="A2246" s="18" t="s">
        <v>2225</v>
      </c>
      <c r="B2246" s="1" t="s">
        <v>2319</v>
      </c>
      <c r="C2246" s="1" t="s">
        <v>2320</v>
      </c>
      <c r="D2246" s="1" t="s">
        <v>2321</v>
      </c>
      <c r="E2246" s="1" t="s">
        <v>25</v>
      </c>
      <c r="F2246">
        <v>2500</v>
      </c>
      <c r="G2246">
        <v>2500</v>
      </c>
      <c r="H2246" s="1" t="s">
        <v>25</v>
      </c>
      <c r="I2246" s="1" t="s">
        <v>1528</v>
      </c>
      <c r="J2246" t="s">
        <v>25</v>
      </c>
      <c r="K2246" t="s">
        <v>25</v>
      </c>
      <c r="L2246">
        <v>-0.93421922518119116</v>
      </c>
      <c r="M2246" s="1" t="s">
        <v>23</v>
      </c>
      <c r="N2246" s="1" t="s">
        <v>230</v>
      </c>
      <c r="O2246" s="1" t="s">
        <v>25</v>
      </c>
      <c r="P2246" s="3" t="s">
        <v>25</v>
      </c>
      <c r="Q2246" s="37">
        <v>2.04634E-2</v>
      </c>
      <c r="R2246" s="1" t="s">
        <v>231</v>
      </c>
      <c r="S2246" s="13">
        <f t="shared" si="57"/>
        <v>-0.93421922518119116</v>
      </c>
    </row>
    <row r="2247" spans="1:19">
      <c r="A2247" s="18" t="s">
        <v>2225</v>
      </c>
      <c r="B2247" t="s">
        <v>2324</v>
      </c>
      <c r="C2247" s="1" t="s">
        <v>2322</v>
      </c>
      <c r="D2247" s="1" t="s">
        <v>2323</v>
      </c>
      <c r="E2247" s="1" t="s">
        <v>25</v>
      </c>
      <c r="F2247">
        <v>2720</v>
      </c>
      <c r="G2247">
        <v>2720</v>
      </c>
      <c r="H2247" s="1" t="s">
        <v>25</v>
      </c>
      <c r="I2247" s="1" t="s">
        <v>1528</v>
      </c>
      <c r="J2247" t="s">
        <v>25</v>
      </c>
      <c r="K2247" t="s">
        <v>25</v>
      </c>
      <c r="L2247">
        <v>-0.98159740961854725</v>
      </c>
      <c r="M2247" s="1" t="s">
        <v>23</v>
      </c>
      <c r="N2247" s="1" t="s">
        <v>230</v>
      </c>
      <c r="O2247" s="1" t="s">
        <v>25</v>
      </c>
      <c r="P2247" s="3" t="s">
        <v>25</v>
      </c>
      <c r="Q2247" s="37">
        <v>0.12686839999999999</v>
      </c>
      <c r="R2247" s="1" t="s">
        <v>231</v>
      </c>
      <c r="S2247" s="13">
        <f t="shared" si="57"/>
        <v>-0.98159740961854725</v>
      </c>
    </row>
    <row r="2248" spans="1:19">
      <c r="A2248" s="18" t="s">
        <v>2225</v>
      </c>
      <c r="B2248" t="s">
        <v>2325</v>
      </c>
      <c r="C2248" s="1" t="s">
        <v>2322</v>
      </c>
      <c r="D2248" s="1" t="s">
        <v>2323</v>
      </c>
      <c r="E2248" s="1" t="s">
        <v>25</v>
      </c>
      <c r="F2248">
        <v>2720</v>
      </c>
      <c r="G2248">
        <v>2720</v>
      </c>
      <c r="H2248" s="1" t="s">
        <v>25</v>
      </c>
      <c r="I2248" s="1" t="s">
        <v>1528</v>
      </c>
      <c r="J2248" t="s">
        <v>25</v>
      </c>
      <c r="K2248" t="s">
        <v>25</v>
      </c>
      <c r="L2248">
        <v>-0.80233555337296614</v>
      </c>
      <c r="M2248" s="1" t="s">
        <v>23</v>
      </c>
      <c r="N2248" s="1" t="s">
        <v>230</v>
      </c>
      <c r="O2248" s="1" t="s">
        <v>25</v>
      </c>
      <c r="P2248" s="3" t="s">
        <v>25</v>
      </c>
      <c r="Q2248" s="37">
        <v>0.1776025</v>
      </c>
      <c r="R2248" s="1" t="s">
        <v>231</v>
      </c>
      <c r="S2248" s="13">
        <f t="shared" si="57"/>
        <v>-0.80233555337296614</v>
      </c>
    </row>
    <row r="2249" spans="1:19">
      <c r="A2249" s="18" t="s">
        <v>2225</v>
      </c>
      <c r="B2249" t="s">
        <v>2326</v>
      </c>
      <c r="C2249" s="1" t="s">
        <v>2322</v>
      </c>
      <c r="D2249" s="1" t="s">
        <v>2323</v>
      </c>
      <c r="E2249" s="1" t="s">
        <v>25</v>
      </c>
      <c r="F2249">
        <v>2720</v>
      </c>
      <c r="G2249">
        <v>2720</v>
      </c>
      <c r="H2249" s="1" t="s">
        <v>25</v>
      </c>
      <c r="I2249" s="1" t="s">
        <v>1528</v>
      </c>
      <c r="J2249" t="s">
        <v>25</v>
      </c>
      <c r="K2249" t="s">
        <v>25</v>
      </c>
      <c r="L2249">
        <v>-0.92954491542035722</v>
      </c>
      <c r="M2249" s="1" t="s">
        <v>23</v>
      </c>
      <c r="N2249" s="1" t="s">
        <v>230</v>
      </c>
      <c r="O2249" s="1" t="s">
        <v>25</v>
      </c>
      <c r="P2249" s="3" t="s">
        <v>25</v>
      </c>
      <c r="Q2249" s="37">
        <v>0.17228200000000002</v>
      </c>
      <c r="R2249" s="1" t="s">
        <v>231</v>
      </c>
      <c r="S2249" s="13">
        <f t="shared" si="57"/>
        <v>-0.92954491542035722</v>
      </c>
    </row>
    <row r="2250" spans="1:19">
      <c r="A2250" s="18" t="s">
        <v>2225</v>
      </c>
      <c r="B2250" t="s">
        <v>2327</v>
      </c>
      <c r="C2250" s="1" t="s">
        <v>2322</v>
      </c>
      <c r="D2250" s="1" t="s">
        <v>2323</v>
      </c>
      <c r="E2250" s="1" t="s">
        <v>25</v>
      </c>
      <c r="F2250">
        <v>2720</v>
      </c>
      <c r="G2250">
        <v>2720</v>
      </c>
      <c r="H2250" s="1" t="s">
        <v>25</v>
      </c>
      <c r="I2250" s="1" t="s">
        <v>1528</v>
      </c>
      <c r="J2250" t="s">
        <v>25</v>
      </c>
      <c r="K2250" t="s">
        <v>25</v>
      </c>
      <c r="L2250">
        <v>-0.90353576229781818</v>
      </c>
      <c r="M2250" s="1" t="s">
        <v>23</v>
      </c>
      <c r="N2250" s="1" t="s">
        <v>230</v>
      </c>
      <c r="O2250" s="1" t="s">
        <v>25</v>
      </c>
      <c r="P2250" s="3" t="s">
        <v>25</v>
      </c>
      <c r="Q2250" s="37">
        <v>0.17828090000000002</v>
      </c>
      <c r="R2250" s="1" t="s">
        <v>231</v>
      </c>
      <c r="S2250" s="13">
        <f t="shared" si="57"/>
        <v>-0.90353576229781818</v>
      </c>
    </row>
    <row r="2251" spans="1:19">
      <c r="A2251" s="18" t="s">
        <v>2225</v>
      </c>
      <c r="B2251" t="s">
        <v>2328</v>
      </c>
      <c r="C2251" s="1" t="s">
        <v>2322</v>
      </c>
      <c r="D2251" s="1" t="s">
        <v>2323</v>
      </c>
      <c r="E2251" s="1" t="s">
        <v>25</v>
      </c>
      <c r="F2251">
        <v>2720</v>
      </c>
      <c r="G2251">
        <v>2720</v>
      </c>
      <c r="H2251" s="1" t="s">
        <v>25</v>
      </c>
      <c r="I2251" s="1" t="s">
        <v>1528</v>
      </c>
      <c r="J2251" t="s">
        <v>25</v>
      </c>
      <c r="K2251" t="s">
        <v>25</v>
      </c>
      <c r="L2251">
        <v>-0.92794474301506802</v>
      </c>
      <c r="M2251" s="1" t="s">
        <v>23</v>
      </c>
      <c r="N2251" s="1" t="s">
        <v>230</v>
      </c>
      <c r="O2251" s="1" t="s">
        <v>25</v>
      </c>
      <c r="P2251" s="3" t="s">
        <v>25</v>
      </c>
      <c r="Q2251" s="37">
        <v>0.16330240000000001</v>
      </c>
      <c r="R2251" s="1" t="s">
        <v>231</v>
      </c>
      <c r="S2251" s="13">
        <f t="shared" si="57"/>
        <v>-0.92794474301506802</v>
      </c>
    </row>
    <row r="2252" spans="1:19">
      <c r="A2252" s="18" t="s">
        <v>2225</v>
      </c>
      <c r="B2252" t="s">
        <v>2329</v>
      </c>
      <c r="C2252" s="1" t="s">
        <v>2322</v>
      </c>
      <c r="D2252" s="1" t="s">
        <v>2323</v>
      </c>
      <c r="E2252" s="1" t="s">
        <v>25</v>
      </c>
      <c r="F2252">
        <v>2720</v>
      </c>
      <c r="G2252">
        <v>2720</v>
      </c>
      <c r="H2252" s="1" t="s">
        <v>25</v>
      </c>
      <c r="I2252" s="1" t="s">
        <v>1528</v>
      </c>
      <c r="J2252" t="s">
        <v>25</v>
      </c>
      <c r="K2252" t="s">
        <v>25</v>
      </c>
      <c r="L2252">
        <v>-0.93893152576153693</v>
      </c>
      <c r="M2252" s="1" t="s">
        <v>23</v>
      </c>
      <c r="N2252" s="1" t="s">
        <v>230</v>
      </c>
      <c r="O2252" s="1" t="s">
        <v>25</v>
      </c>
      <c r="P2252" s="3" t="s">
        <v>25</v>
      </c>
      <c r="Q2252" s="37">
        <v>0.18601290000000001</v>
      </c>
      <c r="R2252" s="1" t="s">
        <v>231</v>
      </c>
      <c r="S2252" s="13">
        <f t="shared" si="57"/>
        <v>-0.93893152576153693</v>
      </c>
    </row>
    <row r="2253" spans="1:19">
      <c r="A2253" s="18" t="s">
        <v>2225</v>
      </c>
      <c r="B2253" t="s">
        <v>2330</v>
      </c>
      <c r="C2253" s="1" t="s">
        <v>2322</v>
      </c>
      <c r="D2253" s="1" t="s">
        <v>2323</v>
      </c>
      <c r="E2253" s="1" t="s">
        <v>25</v>
      </c>
      <c r="F2253">
        <v>2720</v>
      </c>
      <c r="G2253">
        <v>2720</v>
      </c>
      <c r="H2253" s="1" t="s">
        <v>25</v>
      </c>
      <c r="I2253" s="1" t="s">
        <v>1528</v>
      </c>
      <c r="J2253" t="s">
        <v>25</v>
      </c>
      <c r="K2253" t="s">
        <v>25</v>
      </c>
      <c r="L2253">
        <v>-0.76029435968707948</v>
      </c>
      <c r="M2253" s="1" t="s">
        <v>23</v>
      </c>
      <c r="N2253" s="1" t="s">
        <v>230</v>
      </c>
      <c r="O2253" s="1" t="s">
        <v>25</v>
      </c>
      <c r="P2253" s="3" t="s">
        <v>25</v>
      </c>
      <c r="Q2253" s="37">
        <v>9.008830000000001E-2</v>
      </c>
      <c r="R2253" s="1" t="s">
        <v>231</v>
      </c>
      <c r="S2253" s="13">
        <f t="shared" si="57"/>
        <v>-0.76029435968707948</v>
      </c>
    </row>
    <row r="2254" spans="1:19">
      <c r="A2254" s="18" t="s">
        <v>2225</v>
      </c>
      <c r="B2254" t="s">
        <v>2331</v>
      </c>
      <c r="C2254" s="1" t="s">
        <v>2322</v>
      </c>
      <c r="D2254" s="1" t="s">
        <v>2323</v>
      </c>
      <c r="E2254" s="1" t="s">
        <v>25</v>
      </c>
      <c r="F2254">
        <v>2720</v>
      </c>
      <c r="G2254">
        <v>2720</v>
      </c>
      <c r="H2254" s="1" t="s">
        <v>25</v>
      </c>
      <c r="I2254" s="1" t="s">
        <v>1528</v>
      </c>
      <c r="J2254" t="s">
        <v>25</v>
      </c>
      <c r="K2254" t="s">
        <v>25</v>
      </c>
      <c r="L2254">
        <v>-0.79342972047867866</v>
      </c>
      <c r="M2254" s="1" t="s">
        <v>23</v>
      </c>
      <c r="N2254" s="1" t="s">
        <v>230</v>
      </c>
      <c r="O2254" s="1" t="s">
        <v>25</v>
      </c>
      <c r="P2254" s="3" t="s">
        <v>25</v>
      </c>
      <c r="Q2254" s="37">
        <v>0.15381010000000001</v>
      </c>
      <c r="R2254" s="1" t="s">
        <v>231</v>
      </c>
      <c r="S2254" s="13">
        <f t="shared" si="57"/>
        <v>-0.79342972047867866</v>
      </c>
    </row>
    <row r="2255" spans="1:19">
      <c r="A2255" s="18" t="s">
        <v>2225</v>
      </c>
      <c r="B2255" t="s">
        <v>2332</v>
      </c>
      <c r="C2255" s="1" t="s">
        <v>2322</v>
      </c>
      <c r="D2255" s="1" t="s">
        <v>2323</v>
      </c>
      <c r="E2255" s="1" t="s">
        <v>25</v>
      </c>
      <c r="F2255">
        <v>2720</v>
      </c>
      <c r="G2255">
        <v>2720</v>
      </c>
      <c r="H2255" s="1" t="s">
        <v>25</v>
      </c>
      <c r="I2255" s="1" t="s">
        <v>1528</v>
      </c>
      <c r="J2255" t="s">
        <v>25</v>
      </c>
      <c r="K2255" t="s">
        <v>25</v>
      </c>
      <c r="L2255">
        <v>-0.71694114297497968</v>
      </c>
      <c r="M2255" s="1" t="s">
        <v>23</v>
      </c>
      <c r="N2255" s="1" t="s">
        <v>230</v>
      </c>
      <c r="O2255" s="1" t="s">
        <v>25</v>
      </c>
      <c r="P2255" s="3" t="s">
        <v>25</v>
      </c>
      <c r="Q2255" s="37">
        <v>8.69896E-2</v>
      </c>
      <c r="R2255" s="1" t="s">
        <v>231</v>
      </c>
      <c r="S2255" s="13">
        <f t="shared" si="57"/>
        <v>-0.71694114297497968</v>
      </c>
    </row>
    <row r="2256" spans="1:19">
      <c r="A2256" s="18" t="s">
        <v>2225</v>
      </c>
      <c r="B2256" t="s">
        <v>2333</v>
      </c>
      <c r="C2256" s="1" t="s">
        <v>2322</v>
      </c>
      <c r="D2256" s="1" t="s">
        <v>2323</v>
      </c>
      <c r="E2256" s="1" t="s">
        <v>25</v>
      </c>
      <c r="F2256">
        <v>2720</v>
      </c>
      <c r="G2256">
        <v>2720</v>
      </c>
      <c r="H2256" s="1" t="s">
        <v>25</v>
      </c>
      <c r="I2256" s="1" t="s">
        <v>1528</v>
      </c>
      <c r="J2256" t="s">
        <v>25</v>
      </c>
      <c r="K2256" t="s">
        <v>25</v>
      </c>
      <c r="L2256">
        <v>-0.94710016003628128</v>
      </c>
      <c r="M2256" s="1" t="s">
        <v>23</v>
      </c>
      <c r="N2256" s="1" t="s">
        <v>230</v>
      </c>
      <c r="O2256" s="1" t="s">
        <v>25</v>
      </c>
      <c r="P2256" s="3" t="s">
        <v>25</v>
      </c>
      <c r="Q2256" s="37">
        <v>0.23686779999999999</v>
      </c>
      <c r="R2256" s="1" t="s">
        <v>231</v>
      </c>
      <c r="S2256" s="13">
        <f t="shared" si="57"/>
        <v>-0.94710016003628128</v>
      </c>
    </row>
    <row r="2257" spans="1:19">
      <c r="A2257" s="18" t="s">
        <v>2225</v>
      </c>
      <c r="B2257" t="s">
        <v>2334</v>
      </c>
      <c r="C2257" s="1" t="s">
        <v>2322</v>
      </c>
      <c r="D2257" s="1" t="s">
        <v>2323</v>
      </c>
      <c r="E2257" s="1" t="s">
        <v>25</v>
      </c>
      <c r="F2257">
        <v>2720</v>
      </c>
      <c r="G2257">
        <v>2720</v>
      </c>
      <c r="H2257" s="1" t="s">
        <v>25</v>
      </c>
      <c r="I2257" s="1" t="s">
        <v>1528</v>
      </c>
      <c r="J2257" t="s">
        <v>25</v>
      </c>
      <c r="K2257" t="s">
        <v>25</v>
      </c>
      <c r="L2257">
        <v>-0.90756512702749603</v>
      </c>
      <c r="M2257" s="1" t="s">
        <v>23</v>
      </c>
      <c r="N2257" s="1" t="s">
        <v>230</v>
      </c>
      <c r="O2257" s="1" t="s">
        <v>25</v>
      </c>
      <c r="P2257" s="3" t="s">
        <v>25</v>
      </c>
      <c r="Q2257" s="37">
        <v>0.2345112</v>
      </c>
      <c r="R2257" s="1" t="s">
        <v>231</v>
      </c>
      <c r="S2257" s="13">
        <f t="shared" si="57"/>
        <v>-0.90756512702749603</v>
      </c>
    </row>
    <row r="2258" spans="1:19">
      <c r="A2258" s="18" t="s">
        <v>2225</v>
      </c>
      <c r="B2258" t="s">
        <v>2335</v>
      </c>
      <c r="C2258" s="1" t="s">
        <v>2322</v>
      </c>
      <c r="D2258" s="1" t="s">
        <v>2323</v>
      </c>
      <c r="E2258" s="1" t="s">
        <v>25</v>
      </c>
      <c r="F2258">
        <v>2720</v>
      </c>
      <c r="G2258">
        <v>2720</v>
      </c>
      <c r="H2258" s="1" t="s">
        <v>25</v>
      </c>
      <c r="I2258" s="1" t="s">
        <v>1528</v>
      </c>
      <c r="J2258" t="s">
        <v>25</v>
      </c>
      <c r="K2258" t="s">
        <v>25</v>
      </c>
      <c r="L2258">
        <v>-1.0650451706439468</v>
      </c>
      <c r="M2258" s="1" t="s">
        <v>23</v>
      </c>
      <c r="N2258" s="1" t="s">
        <v>230</v>
      </c>
      <c r="O2258" s="1" t="s">
        <v>25</v>
      </c>
      <c r="P2258" s="3" t="s">
        <v>25</v>
      </c>
      <c r="Q2258" s="37">
        <v>0.1634912</v>
      </c>
      <c r="R2258" s="1" t="s">
        <v>231</v>
      </c>
      <c r="S2258" s="13">
        <f t="shared" si="57"/>
        <v>-1.0650451706439468</v>
      </c>
    </row>
    <row r="2259" spans="1:19">
      <c r="A2259" s="18" t="s">
        <v>2225</v>
      </c>
      <c r="B2259" t="s">
        <v>2336</v>
      </c>
      <c r="C2259" s="1" t="s">
        <v>2322</v>
      </c>
      <c r="D2259" s="1" t="s">
        <v>2323</v>
      </c>
      <c r="E2259" s="1" t="s">
        <v>25</v>
      </c>
      <c r="F2259">
        <v>2720</v>
      </c>
      <c r="G2259">
        <v>2720</v>
      </c>
      <c r="H2259" s="1" t="s">
        <v>25</v>
      </c>
      <c r="I2259" s="1" t="s">
        <v>1528</v>
      </c>
      <c r="J2259" t="s">
        <v>25</v>
      </c>
      <c r="K2259" t="s">
        <v>25</v>
      </c>
      <c r="L2259">
        <v>-0.67323706753305479</v>
      </c>
      <c r="M2259" s="1" t="s">
        <v>23</v>
      </c>
      <c r="N2259" s="1" t="s">
        <v>230</v>
      </c>
      <c r="O2259" s="1" t="s">
        <v>25</v>
      </c>
      <c r="P2259" s="3" t="s">
        <v>25</v>
      </c>
      <c r="Q2259" s="37">
        <v>6.5733700000000006E-2</v>
      </c>
      <c r="R2259" s="1" t="s">
        <v>231</v>
      </c>
      <c r="S2259" s="13">
        <f t="shared" si="57"/>
        <v>-0.67323706753305479</v>
      </c>
    </row>
    <row r="2260" spans="1:19">
      <c r="A2260" s="18" t="s">
        <v>2225</v>
      </c>
      <c r="B2260" t="s">
        <v>2337</v>
      </c>
      <c r="C2260" s="1" t="s">
        <v>2322</v>
      </c>
      <c r="D2260" s="1" t="s">
        <v>2323</v>
      </c>
      <c r="E2260" s="1" t="s">
        <v>25</v>
      </c>
      <c r="F2260">
        <v>2720</v>
      </c>
      <c r="G2260">
        <v>2720</v>
      </c>
      <c r="H2260" s="1" t="s">
        <v>25</v>
      </c>
      <c r="I2260" s="1" t="s">
        <v>1528</v>
      </c>
      <c r="J2260" t="s">
        <v>25</v>
      </c>
      <c r="K2260" t="s">
        <v>25</v>
      </c>
      <c r="L2260">
        <v>-0.72071713223276679</v>
      </c>
      <c r="M2260" s="1" t="s">
        <v>23</v>
      </c>
      <c r="N2260" s="1" t="s">
        <v>230</v>
      </c>
      <c r="O2260" s="1" t="s">
        <v>25</v>
      </c>
      <c r="P2260" s="3" t="s">
        <v>25</v>
      </c>
      <c r="Q2260" s="37">
        <v>8.3189800000000008E-2</v>
      </c>
      <c r="R2260" s="1" t="s">
        <v>231</v>
      </c>
      <c r="S2260" s="13">
        <f t="shared" si="57"/>
        <v>-0.72071713223276679</v>
      </c>
    </row>
    <row r="2261" spans="1:19">
      <c r="A2261" s="18" t="s">
        <v>2225</v>
      </c>
      <c r="B2261" t="s">
        <v>2338</v>
      </c>
      <c r="C2261" s="1" t="s">
        <v>2322</v>
      </c>
      <c r="D2261" s="1" t="s">
        <v>2323</v>
      </c>
      <c r="E2261" s="1" t="s">
        <v>25</v>
      </c>
      <c r="F2261">
        <v>2720</v>
      </c>
      <c r="G2261">
        <v>2720</v>
      </c>
      <c r="H2261" s="1" t="s">
        <v>25</v>
      </c>
      <c r="I2261" s="1" t="s">
        <v>1528</v>
      </c>
      <c r="J2261" t="s">
        <v>25</v>
      </c>
      <c r="K2261" t="s">
        <v>25</v>
      </c>
      <c r="L2261">
        <v>-0.84155082573971751</v>
      </c>
      <c r="M2261" s="1" t="s">
        <v>23</v>
      </c>
      <c r="N2261" s="1" t="s">
        <v>230</v>
      </c>
      <c r="O2261" s="1" t="s">
        <v>25</v>
      </c>
      <c r="P2261" s="3" t="s">
        <v>25</v>
      </c>
      <c r="Q2261" s="37">
        <v>0.11707630000000001</v>
      </c>
      <c r="R2261" s="1" t="s">
        <v>231</v>
      </c>
      <c r="S2261" s="13">
        <f t="shared" si="57"/>
        <v>-0.84155082573971751</v>
      </c>
    </row>
    <row r="2262" spans="1:19">
      <c r="A2262" s="18" t="s">
        <v>2225</v>
      </c>
      <c r="B2262" t="s">
        <v>2339</v>
      </c>
      <c r="C2262" s="1" t="s">
        <v>2322</v>
      </c>
      <c r="D2262" s="1" t="s">
        <v>2323</v>
      </c>
      <c r="E2262" s="1" t="s">
        <v>25</v>
      </c>
      <c r="F2262">
        <v>2720</v>
      </c>
      <c r="G2262">
        <v>2720</v>
      </c>
      <c r="H2262" s="1" t="s">
        <v>25</v>
      </c>
      <c r="I2262" s="1" t="s">
        <v>1528</v>
      </c>
      <c r="J2262" t="s">
        <v>25</v>
      </c>
      <c r="K2262" t="s">
        <v>25</v>
      </c>
      <c r="L2262">
        <v>-0.78570390256227784</v>
      </c>
      <c r="M2262" s="1" t="s">
        <v>23</v>
      </c>
      <c r="N2262" s="1" t="s">
        <v>230</v>
      </c>
      <c r="O2262" s="1" t="s">
        <v>25</v>
      </c>
      <c r="P2262" s="3" t="s">
        <v>25</v>
      </c>
      <c r="Q2262" s="37">
        <v>0.201298</v>
      </c>
      <c r="R2262" s="1" t="s">
        <v>231</v>
      </c>
      <c r="S2262" s="13">
        <f t="shared" si="57"/>
        <v>-0.78570390256227784</v>
      </c>
    </row>
    <row r="2263" spans="1:19">
      <c r="A2263" s="18" t="s">
        <v>2225</v>
      </c>
      <c r="B2263" t="s">
        <v>2340</v>
      </c>
      <c r="C2263" s="1" t="s">
        <v>2322</v>
      </c>
      <c r="D2263" s="1" t="s">
        <v>2323</v>
      </c>
      <c r="E2263" s="1" t="s">
        <v>25</v>
      </c>
      <c r="F2263">
        <v>2720</v>
      </c>
      <c r="G2263">
        <v>2720</v>
      </c>
      <c r="H2263" s="1" t="s">
        <v>25</v>
      </c>
      <c r="I2263" s="1" t="s">
        <v>1528</v>
      </c>
      <c r="J2263" t="s">
        <v>25</v>
      </c>
      <c r="K2263" t="s">
        <v>25</v>
      </c>
      <c r="L2263">
        <v>-0.81729072729398666</v>
      </c>
      <c r="M2263" s="1" t="s">
        <v>23</v>
      </c>
      <c r="N2263" s="1" t="s">
        <v>230</v>
      </c>
      <c r="O2263" s="1" t="s">
        <v>25</v>
      </c>
      <c r="P2263" s="3" t="s">
        <v>25</v>
      </c>
      <c r="Q2263" s="37">
        <v>0.1504771</v>
      </c>
      <c r="R2263" s="1" t="s">
        <v>231</v>
      </c>
      <c r="S2263" s="13">
        <f t="shared" si="57"/>
        <v>-0.81729072729398666</v>
      </c>
    </row>
    <row r="2264" spans="1:19">
      <c r="A2264" s="18" t="s">
        <v>2225</v>
      </c>
      <c r="B2264" t="s">
        <v>2341</v>
      </c>
      <c r="C2264" s="1" t="s">
        <v>2322</v>
      </c>
      <c r="D2264" s="1" t="s">
        <v>2323</v>
      </c>
      <c r="E2264" s="1" t="s">
        <v>25</v>
      </c>
      <c r="F2264">
        <v>2720</v>
      </c>
      <c r="G2264">
        <v>2720</v>
      </c>
      <c r="H2264" s="1" t="s">
        <v>25</v>
      </c>
      <c r="I2264" s="1" t="s">
        <v>1528</v>
      </c>
      <c r="J2264" t="s">
        <v>25</v>
      </c>
      <c r="K2264" t="s">
        <v>25</v>
      </c>
      <c r="L2264">
        <v>-0.80246302166535055</v>
      </c>
      <c r="M2264" s="1" t="s">
        <v>23</v>
      </c>
      <c r="N2264" s="1" t="s">
        <v>230</v>
      </c>
      <c r="O2264" s="1" t="s">
        <v>25</v>
      </c>
      <c r="P2264" s="3" t="s">
        <v>25</v>
      </c>
      <c r="Q2264" s="37">
        <v>0.18021229999999999</v>
      </c>
      <c r="R2264" s="1" t="s">
        <v>231</v>
      </c>
      <c r="S2264" s="13">
        <f t="shared" si="57"/>
        <v>-0.80246302166535055</v>
      </c>
    </row>
    <row r="2265" spans="1:19">
      <c r="A2265" s="18" t="s">
        <v>2225</v>
      </c>
      <c r="B2265" t="s">
        <v>2342</v>
      </c>
      <c r="C2265" s="1" t="s">
        <v>2322</v>
      </c>
      <c r="D2265" s="1" t="s">
        <v>2323</v>
      </c>
      <c r="E2265" s="1" t="s">
        <v>25</v>
      </c>
      <c r="F2265">
        <v>2720</v>
      </c>
      <c r="G2265">
        <v>2720</v>
      </c>
      <c r="H2265" s="1" t="s">
        <v>25</v>
      </c>
      <c r="I2265" s="1" t="s">
        <v>1528</v>
      </c>
      <c r="J2265" t="s">
        <v>25</v>
      </c>
      <c r="K2265" t="s">
        <v>25</v>
      </c>
      <c r="L2265">
        <v>-0.74467497216784428</v>
      </c>
      <c r="M2265" s="1" t="s">
        <v>23</v>
      </c>
      <c r="N2265" s="1" t="s">
        <v>230</v>
      </c>
      <c r="O2265" s="1" t="s">
        <v>25</v>
      </c>
      <c r="P2265" s="3" t="s">
        <v>25</v>
      </c>
      <c r="Q2265" s="37">
        <v>0.14766770000000001</v>
      </c>
      <c r="R2265" s="1" t="s">
        <v>231</v>
      </c>
      <c r="S2265" s="13">
        <f t="shared" si="57"/>
        <v>-0.74467497216784428</v>
      </c>
    </row>
    <row r="2266" spans="1:19">
      <c r="A2266" s="18" t="s">
        <v>2225</v>
      </c>
      <c r="B2266" t="s">
        <v>2343</v>
      </c>
      <c r="C2266" s="1" t="s">
        <v>2322</v>
      </c>
      <c r="D2266" s="1" t="s">
        <v>2323</v>
      </c>
      <c r="E2266" s="1" t="s">
        <v>25</v>
      </c>
      <c r="F2266">
        <v>2720</v>
      </c>
      <c r="G2266">
        <v>2720</v>
      </c>
      <c r="H2266" s="1" t="s">
        <v>25</v>
      </c>
      <c r="I2266" s="1" t="s">
        <v>1528</v>
      </c>
      <c r="J2266" t="s">
        <v>25</v>
      </c>
      <c r="K2266" t="s">
        <v>25</v>
      </c>
      <c r="L2266">
        <v>-0.75911980740151841</v>
      </c>
      <c r="M2266" s="1" t="s">
        <v>23</v>
      </c>
      <c r="N2266" s="1" t="s">
        <v>230</v>
      </c>
      <c r="O2266" s="1" t="s">
        <v>25</v>
      </c>
      <c r="P2266" s="3" t="s">
        <v>25</v>
      </c>
      <c r="Q2266" s="37">
        <v>0.1684099</v>
      </c>
      <c r="R2266" s="1" t="s">
        <v>231</v>
      </c>
      <c r="S2266" s="13">
        <f t="shared" si="57"/>
        <v>-0.75911980740151841</v>
      </c>
    </row>
    <row r="2267" spans="1:19">
      <c r="A2267" s="18" t="s">
        <v>2225</v>
      </c>
      <c r="B2267" t="s">
        <v>2344</v>
      </c>
      <c r="C2267" s="1" t="s">
        <v>2322</v>
      </c>
      <c r="D2267" s="1" t="s">
        <v>2323</v>
      </c>
      <c r="E2267" s="1" t="s">
        <v>25</v>
      </c>
      <c r="F2267">
        <v>2720</v>
      </c>
      <c r="G2267">
        <v>2720</v>
      </c>
      <c r="H2267" s="1" t="s">
        <v>25</v>
      </c>
      <c r="I2267" s="1" t="s">
        <v>1528</v>
      </c>
      <c r="J2267" t="s">
        <v>25</v>
      </c>
      <c r="K2267" t="s">
        <v>25</v>
      </c>
      <c r="L2267">
        <v>-0.90105579512073286</v>
      </c>
      <c r="M2267" s="1" t="s">
        <v>23</v>
      </c>
      <c r="N2267" s="1" t="s">
        <v>230</v>
      </c>
      <c r="O2267" s="1" t="s">
        <v>25</v>
      </c>
      <c r="P2267" s="3" t="s">
        <v>25</v>
      </c>
      <c r="Q2267" s="37">
        <v>0.48463000000000001</v>
      </c>
      <c r="R2267" s="1" t="s">
        <v>231</v>
      </c>
      <c r="S2267" s="13">
        <f t="shared" si="57"/>
        <v>-0.90105579512073286</v>
      </c>
    </row>
    <row r="2268" spans="1:19">
      <c r="A2268" s="18" t="s">
        <v>2225</v>
      </c>
      <c r="B2268" t="s">
        <v>2345</v>
      </c>
      <c r="C2268" s="1" t="s">
        <v>2322</v>
      </c>
      <c r="D2268" s="1" t="s">
        <v>2323</v>
      </c>
      <c r="E2268" s="1" t="s">
        <v>25</v>
      </c>
      <c r="F2268">
        <v>2720</v>
      </c>
      <c r="G2268">
        <v>2720</v>
      </c>
      <c r="H2268" s="1" t="s">
        <v>25</v>
      </c>
      <c r="I2268" s="1" t="s">
        <v>1528</v>
      </c>
      <c r="J2268" t="s">
        <v>25</v>
      </c>
      <c r="K2268" t="s">
        <v>25</v>
      </c>
      <c r="L2268">
        <v>-0.77531574608475795</v>
      </c>
      <c r="M2268" s="1" t="s">
        <v>23</v>
      </c>
      <c r="N2268" s="1" t="s">
        <v>230</v>
      </c>
      <c r="O2268" s="1" t="s">
        <v>25</v>
      </c>
      <c r="P2268" s="3" t="s">
        <v>25</v>
      </c>
      <c r="Q2268" s="37">
        <v>0.1203703</v>
      </c>
      <c r="R2268" s="1" t="s">
        <v>231</v>
      </c>
      <c r="S2268" s="13">
        <f t="shared" si="57"/>
        <v>-0.77531574608475795</v>
      </c>
    </row>
    <row r="2269" spans="1:19">
      <c r="A2269" s="18" t="s">
        <v>2225</v>
      </c>
      <c r="B2269" t="s">
        <v>2346</v>
      </c>
      <c r="C2269" s="1" t="s">
        <v>2322</v>
      </c>
      <c r="D2269" s="1" t="s">
        <v>2323</v>
      </c>
      <c r="E2269" s="1" t="s">
        <v>25</v>
      </c>
      <c r="F2269">
        <v>2720</v>
      </c>
      <c r="G2269">
        <v>2720</v>
      </c>
      <c r="H2269" s="1" t="s">
        <v>25</v>
      </c>
      <c r="I2269" s="1" t="s">
        <v>1528</v>
      </c>
      <c r="J2269" t="s">
        <v>25</v>
      </c>
      <c r="K2269" t="s">
        <v>25</v>
      </c>
      <c r="L2269">
        <v>-0.78388854362152216</v>
      </c>
      <c r="M2269" s="1" t="s">
        <v>23</v>
      </c>
      <c r="N2269" s="1" t="s">
        <v>230</v>
      </c>
      <c r="O2269" s="1" t="s">
        <v>25</v>
      </c>
      <c r="P2269" s="3" t="s">
        <v>25</v>
      </c>
      <c r="Q2269" s="37">
        <v>0.15924870000000002</v>
      </c>
      <c r="R2269" s="1" t="s">
        <v>231</v>
      </c>
      <c r="S2269" s="13">
        <f t="shared" si="57"/>
        <v>-0.78388854362152216</v>
      </c>
    </row>
    <row r="2270" spans="1:19">
      <c r="A2270" s="18" t="s">
        <v>2225</v>
      </c>
      <c r="B2270" t="s">
        <v>2347</v>
      </c>
      <c r="C2270" s="1" t="s">
        <v>2322</v>
      </c>
      <c r="D2270" s="1" t="s">
        <v>2323</v>
      </c>
      <c r="E2270" s="1" t="s">
        <v>25</v>
      </c>
      <c r="F2270">
        <v>2720</v>
      </c>
      <c r="G2270">
        <v>2720</v>
      </c>
      <c r="H2270" s="1" t="s">
        <v>25</v>
      </c>
      <c r="I2270" s="1" t="s">
        <v>1528</v>
      </c>
      <c r="J2270" t="s">
        <v>25</v>
      </c>
      <c r="K2270" t="s">
        <v>25</v>
      </c>
      <c r="L2270">
        <v>-0.812310698227662</v>
      </c>
      <c r="M2270" s="1" t="s">
        <v>23</v>
      </c>
      <c r="N2270" s="1" t="s">
        <v>230</v>
      </c>
      <c r="O2270" s="1" t="s">
        <v>25</v>
      </c>
      <c r="P2270" s="3" t="s">
        <v>25</v>
      </c>
      <c r="Q2270" s="37">
        <v>0.2056983</v>
      </c>
      <c r="R2270" s="1" t="s">
        <v>231</v>
      </c>
      <c r="S2270" s="13">
        <f t="shared" si="57"/>
        <v>-0.812310698227662</v>
      </c>
    </row>
    <row r="2271" spans="1:19">
      <c r="A2271" s="18" t="s">
        <v>2225</v>
      </c>
      <c r="B2271" t="s">
        <v>2348</v>
      </c>
      <c r="C2271" s="1" t="s">
        <v>2322</v>
      </c>
      <c r="D2271" s="1" t="s">
        <v>2323</v>
      </c>
      <c r="E2271" s="1" t="s">
        <v>25</v>
      </c>
      <c r="F2271">
        <v>2720</v>
      </c>
      <c r="G2271">
        <v>2720</v>
      </c>
      <c r="H2271" s="1" t="s">
        <v>25</v>
      </c>
      <c r="I2271" s="1" t="s">
        <v>1528</v>
      </c>
      <c r="J2271" t="s">
        <v>25</v>
      </c>
      <c r="K2271" t="s">
        <v>25</v>
      </c>
      <c r="L2271">
        <v>-0.61751530094442864</v>
      </c>
      <c r="M2271" s="1" t="s">
        <v>23</v>
      </c>
      <c r="N2271" s="1" t="s">
        <v>230</v>
      </c>
      <c r="O2271" s="1" t="s">
        <v>25</v>
      </c>
      <c r="P2271" s="3" t="s">
        <v>25</v>
      </c>
      <c r="Q2271" s="37">
        <v>0.1709859</v>
      </c>
      <c r="R2271" s="1" t="s">
        <v>231</v>
      </c>
      <c r="S2271" s="13">
        <f t="shared" si="57"/>
        <v>-0.61751530094442864</v>
      </c>
    </row>
    <row r="2272" spans="1:19">
      <c r="A2272" s="18" t="s">
        <v>2225</v>
      </c>
      <c r="B2272" t="s">
        <v>2349</v>
      </c>
      <c r="C2272" s="1" t="s">
        <v>2322</v>
      </c>
      <c r="D2272" s="1" t="s">
        <v>2323</v>
      </c>
      <c r="E2272" s="1" t="s">
        <v>25</v>
      </c>
      <c r="F2272">
        <v>2720</v>
      </c>
      <c r="G2272">
        <v>2720</v>
      </c>
      <c r="H2272" s="1" t="s">
        <v>25</v>
      </c>
      <c r="I2272" s="1" t="s">
        <v>1528</v>
      </c>
      <c r="J2272" t="s">
        <v>25</v>
      </c>
      <c r="K2272" t="s">
        <v>25</v>
      </c>
      <c r="L2272">
        <v>-1.031846241699367</v>
      </c>
      <c r="M2272" s="1" t="s">
        <v>23</v>
      </c>
      <c r="N2272" s="1" t="s">
        <v>230</v>
      </c>
      <c r="O2272" s="1" t="s">
        <v>25</v>
      </c>
      <c r="P2272" s="3" t="s">
        <v>25</v>
      </c>
      <c r="Q2272" s="37">
        <v>0.58907299999999996</v>
      </c>
      <c r="R2272" s="1" t="s">
        <v>231</v>
      </c>
      <c r="S2272" s="13">
        <f t="shared" si="57"/>
        <v>-1.031846241699367</v>
      </c>
    </row>
    <row r="2273" spans="1:19">
      <c r="A2273" s="18" t="s">
        <v>2225</v>
      </c>
      <c r="B2273" t="s">
        <v>2350</v>
      </c>
      <c r="C2273" s="1" t="s">
        <v>2322</v>
      </c>
      <c r="D2273" s="1" t="s">
        <v>2323</v>
      </c>
      <c r="E2273" s="1" t="s">
        <v>25</v>
      </c>
      <c r="F2273">
        <v>2720</v>
      </c>
      <c r="G2273">
        <v>2720</v>
      </c>
      <c r="H2273" s="1" t="s">
        <v>25</v>
      </c>
      <c r="I2273" s="1" t="s">
        <v>1528</v>
      </c>
      <c r="J2273" t="s">
        <v>25</v>
      </c>
      <c r="K2273" t="s">
        <v>25</v>
      </c>
      <c r="L2273">
        <v>-1.0206068000642656</v>
      </c>
      <c r="M2273" s="1" t="s">
        <v>23</v>
      </c>
      <c r="N2273" s="1" t="s">
        <v>230</v>
      </c>
      <c r="O2273" s="1" t="s">
        <v>25</v>
      </c>
      <c r="P2273" s="3" t="s">
        <v>25</v>
      </c>
      <c r="Q2273" s="37">
        <v>0.50829080000000004</v>
      </c>
      <c r="R2273" s="1" t="s">
        <v>231</v>
      </c>
      <c r="S2273" s="13">
        <f t="shared" si="57"/>
        <v>-1.0206068000642656</v>
      </c>
    </row>
    <row r="2274" spans="1:19">
      <c r="A2274" s="18" t="s">
        <v>2225</v>
      </c>
      <c r="B2274" t="s">
        <v>2351</v>
      </c>
      <c r="C2274" s="1" t="s">
        <v>2322</v>
      </c>
      <c r="D2274" s="1" t="s">
        <v>2323</v>
      </c>
      <c r="E2274" s="1" t="s">
        <v>25</v>
      </c>
      <c r="F2274">
        <v>2720</v>
      </c>
      <c r="G2274">
        <v>2720</v>
      </c>
      <c r="H2274" s="1" t="s">
        <v>25</v>
      </c>
      <c r="I2274" s="1" t="s">
        <v>1528</v>
      </c>
      <c r="J2274" t="s">
        <v>25</v>
      </c>
      <c r="K2274" t="s">
        <v>25</v>
      </c>
      <c r="L2274">
        <v>-0.93620896581239621</v>
      </c>
      <c r="M2274" s="1" t="s">
        <v>23</v>
      </c>
      <c r="N2274" s="1" t="s">
        <v>230</v>
      </c>
      <c r="O2274" s="1" t="s">
        <v>25</v>
      </c>
      <c r="P2274" s="3" t="s">
        <v>25</v>
      </c>
      <c r="Q2274" s="37">
        <v>0.39768290000000001</v>
      </c>
      <c r="R2274" s="1" t="s">
        <v>231</v>
      </c>
      <c r="S2274" s="13">
        <f t="shared" si="57"/>
        <v>-0.93620896581239621</v>
      </c>
    </row>
    <row r="2275" spans="1:19" s="4" customFormat="1">
      <c r="B2275" s="5"/>
      <c r="C2275" s="5"/>
      <c r="D2275" s="5"/>
      <c r="E2275" s="5"/>
      <c r="I2275" s="5"/>
      <c r="J2275" s="5"/>
      <c r="M2275" s="5"/>
      <c r="O2275" s="5"/>
      <c r="P2275" s="6"/>
      <c r="Q2275" s="38"/>
      <c r="S2275" s="24"/>
    </row>
    <row r="2276" spans="1:19">
      <c r="A2276" s="18" t="s">
        <v>2225</v>
      </c>
      <c r="B2276" s="1" t="s">
        <v>2353</v>
      </c>
      <c r="C2276" s="1" t="s">
        <v>2322</v>
      </c>
      <c r="D2276" s="1" t="s">
        <v>2352</v>
      </c>
      <c r="E2276" s="1" t="s">
        <v>25</v>
      </c>
      <c r="F2276">
        <v>2600</v>
      </c>
      <c r="G2276">
        <v>2600</v>
      </c>
      <c r="H2276" s="1" t="s">
        <v>25</v>
      </c>
      <c r="I2276" s="1" t="s">
        <v>1528</v>
      </c>
      <c r="J2276" t="s">
        <v>25</v>
      </c>
      <c r="K2276" t="s">
        <v>25</v>
      </c>
      <c r="L2276">
        <v>-1.4619595476616147</v>
      </c>
      <c r="M2276" s="1" t="s">
        <v>23</v>
      </c>
      <c r="N2276" s="1" t="s">
        <v>230</v>
      </c>
      <c r="O2276" s="1" t="s">
        <v>25</v>
      </c>
      <c r="P2276" s="3" t="s">
        <v>25</v>
      </c>
      <c r="Q2276" s="37">
        <v>0.89978659999999999</v>
      </c>
      <c r="R2276" s="1" t="s">
        <v>231</v>
      </c>
      <c r="S2276" s="13">
        <f t="shared" ref="S2276:S2283" si="58">IF(NOT(N2276="SW"),L2276-1.88,L2276)</f>
        <v>-1.4619595476616147</v>
      </c>
    </row>
    <row r="2277" spans="1:19">
      <c r="A2277" s="18" t="s">
        <v>2225</v>
      </c>
      <c r="B2277" s="1" t="s">
        <v>2354</v>
      </c>
      <c r="C2277" s="1" t="s">
        <v>2322</v>
      </c>
      <c r="D2277" s="1" t="s">
        <v>2352</v>
      </c>
      <c r="E2277" s="1" t="s">
        <v>25</v>
      </c>
      <c r="F2277">
        <v>2600</v>
      </c>
      <c r="G2277">
        <v>2600</v>
      </c>
      <c r="H2277" s="1" t="s">
        <v>25</v>
      </c>
      <c r="I2277" s="1" t="s">
        <v>1528</v>
      </c>
      <c r="J2277" t="s">
        <v>25</v>
      </c>
      <c r="K2277" t="s">
        <v>25</v>
      </c>
      <c r="L2277">
        <v>-1.4231963916888033</v>
      </c>
      <c r="M2277" s="1" t="s">
        <v>23</v>
      </c>
      <c r="N2277" s="1" t="s">
        <v>230</v>
      </c>
      <c r="O2277" s="1" t="s">
        <v>25</v>
      </c>
      <c r="P2277" s="3" t="s">
        <v>25</v>
      </c>
      <c r="Q2277" s="37">
        <v>1.1811626000000002</v>
      </c>
      <c r="R2277" s="1" t="s">
        <v>231</v>
      </c>
      <c r="S2277" s="13">
        <f t="shared" si="58"/>
        <v>-1.4231963916888033</v>
      </c>
    </row>
    <row r="2278" spans="1:19">
      <c r="A2278" s="18" t="s">
        <v>2225</v>
      </c>
      <c r="B2278" s="1" t="s">
        <v>2355</v>
      </c>
      <c r="C2278" s="1" t="s">
        <v>2322</v>
      </c>
      <c r="D2278" s="1" t="s">
        <v>2352</v>
      </c>
      <c r="E2278" s="1" t="s">
        <v>25</v>
      </c>
      <c r="F2278">
        <v>2600</v>
      </c>
      <c r="G2278">
        <v>2600</v>
      </c>
      <c r="H2278" s="1" t="s">
        <v>25</v>
      </c>
      <c r="I2278" s="1" t="s">
        <v>1528</v>
      </c>
      <c r="J2278" t="s">
        <v>25</v>
      </c>
      <c r="K2278" t="s">
        <v>25</v>
      </c>
      <c r="L2278">
        <v>-0.96932829317022673</v>
      </c>
      <c r="M2278" s="1" t="s">
        <v>23</v>
      </c>
      <c r="N2278" s="1" t="s">
        <v>230</v>
      </c>
      <c r="O2278" s="1" t="s">
        <v>25</v>
      </c>
      <c r="P2278" s="3" t="s">
        <v>25</v>
      </c>
      <c r="Q2278" s="37">
        <v>0.15428059999999999</v>
      </c>
      <c r="R2278" s="1" t="s">
        <v>231</v>
      </c>
      <c r="S2278" s="13">
        <f t="shared" si="58"/>
        <v>-0.96932829317022673</v>
      </c>
    </row>
    <row r="2279" spans="1:19">
      <c r="A2279" s="18" t="s">
        <v>2225</v>
      </c>
      <c r="B2279" s="1" t="s">
        <v>2356</v>
      </c>
      <c r="C2279" s="1" t="s">
        <v>2322</v>
      </c>
      <c r="D2279" s="1" t="s">
        <v>2352</v>
      </c>
      <c r="E2279" s="1" t="s">
        <v>25</v>
      </c>
      <c r="F2279">
        <v>2600</v>
      </c>
      <c r="G2279">
        <v>2600</v>
      </c>
      <c r="H2279" s="1" t="s">
        <v>25</v>
      </c>
      <c r="I2279" s="1" t="s">
        <v>1528</v>
      </c>
      <c r="J2279" t="s">
        <v>25</v>
      </c>
      <c r="K2279" t="s">
        <v>25</v>
      </c>
      <c r="L2279">
        <v>-0.88960863805218326</v>
      </c>
      <c r="M2279" s="1" t="s">
        <v>23</v>
      </c>
      <c r="N2279" s="1" t="s">
        <v>230</v>
      </c>
      <c r="O2279" s="1" t="s">
        <v>25</v>
      </c>
      <c r="P2279" s="3" t="s">
        <v>25</v>
      </c>
      <c r="Q2279" s="37">
        <v>4.2782300000000002E-2</v>
      </c>
      <c r="R2279" s="1" t="s">
        <v>231</v>
      </c>
      <c r="S2279" s="13">
        <f t="shared" si="58"/>
        <v>-0.88960863805218326</v>
      </c>
    </row>
    <row r="2280" spans="1:19">
      <c r="A2280" s="18" t="s">
        <v>2225</v>
      </c>
      <c r="B2280" s="1" t="s">
        <v>2357</v>
      </c>
      <c r="C2280" s="1" t="s">
        <v>2389</v>
      </c>
      <c r="D2280" s="1" t="s">
        <v>2390</v>
      </c>
      <c r="E2280" s="1" t="s">
        <v>25</v>
      </c>
      <c r="F2280">
        <v>2400</v>
      </c>
      <c r="G2280">
        <v>2400</v>
      </c>
      <c r="H2280" s="1" t="s">
        <v>25</v>
      </c>
      <c r="I2280" s="1" t="s">
        <v>1528</v>
      </c>
      <c r="J2280" t="s">
        <v>25</v>
      </c>
      <c r="K2280" t="s">
        <v>25</v>
      </c>
      <c r="L2280">
        <v>-0.99723757491761966</v>
      </c>
      <c r="M2280" s="1" t="s">
        <v>23</v>
      </c>
      <c r="N2280" s="1" t="s">
        <v>230</v>
      </c>
      <c r="O2280" s="1" t="s">
        <v>25</v>
      </c>
      <c r="P2280" s="3" t="s">
        <v>25</v>
      </c>
      <c r="Q2280" s="37">
        <v>8.0907800000000002E-2</v>
      </c>
      <c r="R2280" s="1" t="s">
        <v>231</v>
      </c>
      <c r="S2280" s="13">
        <f t="shared" si="58"/>
        <v>-0.99723757491761966</v>
      </c>
    </row>
    <row r="2281" spans="1:19">
      <c r="A2281" s="18" t="s">
        <v>2225</v>
      </c>
      <c r="B2281" s="1" t="s">
        <v>2358</v>
      </c>
      <c r="C2281" s="1" t="s">
        <v>2389</v>
      </c>
      <c r="D2281" s="1" t="s">
        <v>2390</v>
      </c>
      <c r="E2281" s="1" t="s">
        <v>25</v>
      </c>
      <c r="F2281">
        <v>2400</v>
      </c>
      <c r="G2281">
        <v>2400</v>
      </c>
      <c r="H2281" s="1" t="s">
        <v>25</v>
      </c>
      <c r="I2281" s="1" t="s">
        <v>1528</v>
      </c>
      <c r="J2281" t="s">
        <v>25</v>
      </c>
      <c r="K2281" t="s">
        <v>25</v>
      </c>
      <c r="L2281">
        <v>-0.87438318488291789</v>
      </c>
      <c r="M2281" s="1" t="s">
        <v>23</v>
      </c>
      <c r="N2281" s="1" t="s">
        <v>230</v>
      </c>
      <c r="O2281" s="1" t="s">
        <v>25</v>
      </c>
      <c r="P2281" s="3" t="s">
        <v>25</v>
      </c>
      <c r="Q2281" s="37">
        <v>0.11235490000000001</v>
      </c>
      <c r="R2281" s="1" t="s">
        <v>231</v>
      </c>
      <c r="S2281" s="13">
        <f t="shared" si="58"/>
        <v>-0.87438318488291789</v>
      </c>
    </row>
    <row r="2282" spans="1:19">
      <c r="A2282" s="18" t="s">
        <v>2225</v>
      </c>
      <c r="B2282" s="1" t="s">
        <v>2359</v>
      </c>
      <c r="C2282" s="1" t="s">
        <v>2389</v>
      </c>
      <c r="D2282" s="1" t="s">
        <v>2390</v>
      </c>
      <c r="E2282" s="1" t="s">
        <v>25</v>
      </c>
      <c r="F2282">
        <v>2400</v>
      </c>
      <c r="G2282">
        <v>2400</v>
      </c>
      <c r="H2282" s="1" t="s">
        <v>25</v>
      </c>
      <c r="I2282" s="1" t="s">
        <v>1528</v>
      </c>
      <c r="J2282" t="s">
        <v>25</v>
      </c>
      <c r="K2282" t="s">
        <v>25</v>
      </c>
      <c r="L2282">
        <v>-0.90697474991147531</v>
      </c>
      <c r="M2282" s="1" t="s">
        <v>23</v>
      </c>
      <c r="N2282" s="1" t="s">
        <v>230</v>
      </c>
      <c r="O2282" s="1" t="s">
        <v>25</v>
      </c>
      <c r="P2282" s="3" t="s">
        <v>25</v>
      </c>
      <c r="Q2282" s="37">
        <v>5.54184E-2</v>
      </c>
      <c r="R2282" s="1" t="s">
        <v>231</v>
      </c>
      <c r="S2282" s="13">
        <f t="shared" si="58"/>
        <v>-0.90697474991147531</v>
      </c>
    </row>
    <row r="2283" spans="1:19">
      <c r="A2283" s="18" t="s">
        <v>2225</v>
      </c>
      <c r="B2283" s="1" t="s">
        <v>2360</v>
      </c>
      <c r="C2283" s="1" t="s">
        <v>2389</v>
      </c>
      <c r="D2283" s="1" t="s">
        <v>2390</v>
      </c>
      <c r="E2283" s="1" t="s">
        <v>25</v>
      </c>
      <c r="F2283">
        <v>2400</v>
      </c>
      <c r="G2283">
        <v>2400</v>
      </c>
      <c r="H2283" s="1" t="s">
        <v>25</v>
      </c>
      <c r="I2283" s="1" t="s">
        <v>1528</v>
      </c>
      <c r="J2283" t="s">
        <v>25</v>
      </c>
      <c r="K2283" t="s">
        <v>25</v>
      </c>
      <c r="L2283">
        <v>-0.75893274729487292</v>
      </c>
      <c r="M2283" s="1" t="s">
        <v>23</v>
      </c>
      <c r="N2283" s="1" t="s">
        <v>230</v>
      </c>
      <c r="O2283" s="1" t="s">
        <v>25</v>
      </c>
      <c r="P2283" s="3" t="s">
        <v>25</v>
      </c>
      <c r="Q2283" s="37">
        <v>6.8752999999999995E-2</v>
      </c>
      <c r="R2283" s="1" t="s">
        <v>231</v>
      </c>
      <c r="S2283" s="13">
        <f t="shared" si="58"/>
        <v>-0.75893274729487292</v>
      </c>
    </row>
    <row r="2284" spans="1:19">
      <c r="A2284" s="18" t="s">
        <v>2225</v>
      </c>
      <c r="B2284" s="1" t="s">
        <v>2361</v>
      </c>
      <c r="C2284" s="1" t="s">
        <v>2389</v>
      </c>
      <c r="D2284" s="1" t="s">
        <v>2390</v>
      </c>
      <c r="E2284" s="1" t="s">
        <v>25</v>
      </c>
      <c r="F2284">
        <v>2400</v>
      </c>
      <c r="G2284">
        <v>2400</v>
      </c>
      <c r="H2284" s="1" t="s">
        <v>25</v>
      </c>
      <c r="I2284" s="1" t="s">
        <v>1528</v>
      </c>
      <c r="J2284" t="s">
        <v>25</v>
      </c>
      <c r="K2284" t="s">
        <v>25</v>
      </c>
      <c r="L2284">
        <v>-1.0982974553723643</v>
      </c>
      <c r="M2284" s="1" t="s">
        <v>23</v>
      </c>
      <c r="N2284" s="1" t="s">
        <v>230</v>
      </c>
      <c r="O2284" s="1" t="s">
        <v>25</v>
      </c>
      <c r="P2284" s="3" t="s">
        <v>25</v>
      </c>
      <c r="Q2284" s="37">
        <v>5.4270899999999997E-2</v>
      </c>
      <c r="R2284" s="1" t="s">
        <v>231</v>
      </c>
      <c r="S2284" s="13">
        <f t="shared" ref="S2284:S2347" si="59">IF(NOT(N2284="SW"),L2284-1.88,L2284)</f>
        <v>-1.0982974553723643</v>
      </c>
    </row>
    <row r="2285" spans="1:19">
      <c r="A2285" s="18" t="s">
        <v>2225</v>
      </c>
      <c r="B2285" s="1" t="s">
        <v>2362</v>
      </c>
      <c r="C2285" s="1" t="s">
        <v>2389</v>
      </c>
      <c r="D2285" s="1" t="s">
        <v>2390</v>
      </c>
      <c r="E2285" s="1" t="s">
        <v>25</v>
      </c>
      <c r="F2285">
        <v>2400</v>
      </c>
      <c r="G2285">
        <v>2400</v>
      </c>
      <c r="H2285" s="1" t="s">
        <v>25</v>
      </c>
      <c r="I2285" s="1" t="s">
        <v>1528</v>
      </c>
      <c r="J2285" t="s">
        <v>25</v>
      </c>
      <c r="K2285" t="s">
        <v>25</v>
      </c>
      <c r="L2285">
        <v>-1.1160879919378739</v>
      </c>
      <c r="M2285" s="1" t="s">
        <v>23</v>
      </c>
      <c r="N2285" s="1" t="s">
        <v>230</v>
      </c>
      <c r="O2285" s="1" t="s">
        <v>25</v>
      </c>
      <c r="P2285" s="3" t="s">
        <v>25</v>
      </c>
      <c r="Q2285" s="37">
        <v>4.6070300000000002E-2</v>
      </c>
      <c r="R2285" s="1" t="s">
        <v>231</v>
      </c>
      <c r="S2285" s="13">
        <f t="shared" si="59"/>
        <v>-1.1160879919378739</v>
      </c>
    </row>
    <row r="2286" spans="1:19">
      <c r="A2286" s="18" t="s">
        <v>2225</v>
      </c>
      <c r="B2286" s="1" t="s">
        <v>2363</v>
      </c>
      <c r="C2286" s="1" t="s">
        <v>2389</v>
      </c>
      <c r="D2286" s="1" t="s">
        <v>2390</v>
      </c>
      <c r="E2286" s="1" t="s">
        <v>25</v>
      </c>
      <c r="F2286">
        <v>2400</v>
      </c>
      <c r="G2286">
        <v>2400</v>
      </c>
      <c r="H2286" s="1" t="s">
        <v>25</v>
      </c>
      <c r="I2286" s="1" t="s">
        <v>1528</v>
      </c>
      <c r="J2286" t="s">
        <v>25</v>
      </c>
      <c r="K2286" t="s">
        <v>25</v>
      </c>
      <c r="L2286">
        <v>-1.0137648078012444</v>
      </c>
      <c r="M2286" s="1" t="s">
        <v>23</v>
      </c>
      <c r="N2286" s="1" t="s">
        <v>230</v>
      </c>
      <c r="O2286" s="1" t="s">
        <v>25</v>
      </c>
      <c r="P2286" s="3" t="s">
        <v>25</v>
      </c>
      <c r="Q2286" s="37">
        <v>0.10979989999999999</v>
      </c>
      <c r="R2286" s="1" t="s">
        <v>231</v>
      </c>
      <c r="S2286" s="13">
        <f t="shared" si="59"/>
        <v>-1.0137648078012444</v>
      </c>
    </row>
    <row r="2287" spans="1:19">
      <c r="A2287" s="18" t="s">
        <v>2225</v>
      </c>
      <c r="B2287" s="1" t="s">
        <v>2364</v>
      </c>
      <c r="C2287" s="1" t="s">
        <v>2389</v>
      </c>
      <c r="D2287" s="1" t="s">
        <v>2390</v>
      </c>
      <c r="E2287" s="1" t="s">
        <v>25</v>
      </c>
      <c r="F2287">
        <v>2400</v>
      </c>
      <c r="G2287">
        <v>2400</v>
      </c>
      <c r="H2287" s="1" t="s">
        <v>25</v>
      </c>
      <c r="I2287" s="1" t="s">
        <v>1528</v>
      </c>
      <c r="J2287" t="s">
        <v>25</v>
      </c>
      <c r="K2287" t="s">
        <v>25</v>
      </c>
      <c r="L2287">
        <v>-1.0447945442633486</v>
      </c>
      <c r="M2287" s="1" t="s">
        <v>23</v>
      </c>
      <c r="N2287" s="1" t="s">
        <v>230</v>
      </c>
      <c r="O2287" s="1" t="s">
        <v>25</v>
      </c>
      <c r="P2287" s="3" t="s">
        <v>25</v>
      </c>
      <c r="Q2287" s="37">
        <v>3.1106400000000003E-2</v>
      </c>
      <c r="R2287" s="1" t="s">
        <v>231</v>
      </c>
      <c r="S2287" s="13">
        <f t="shared" si="59"/>
        <v>-1.0447945442633486</v>
      </c>
    </row>
    <row r="2288" spans="1:19">
      <c r="A2288" s="18" t="s">
        <v>2225</v>
      </c>
      <c r="B2288" s="1" t="s">
        <v>2365</v>
      </c>
      <c r="C2288" s="1" t="s">
        <v>2389</v>
      </c>
      <c r="D2288" s="1" t="s">
        <v>2390</v>
      </c>
      <c r="E2288" s="1" t="s">
        <v>25</v>
      </c>
      <c r="F2288">
        <v>2400</v>
      </c>
      <c r="G2288">
        <v>2400</v>
      </c>
      <c r="H2288" s="1" t="s">
        <v>25</v>
      </c>
      <c r="I2288" s="1" t="s">
        <v>1528</v>
      </c>
      <c r="J2288" t="s">
        <v>25</v>
      </c>
      <c r="K2288" t="s">
        <v>25</v>
      </c>
      <c r="L2288">
        <v>-1.0060802703314957</v>
      </c>
      <c r="M2288" s="1" t="s">
        <v>23</v>
      </c>
      <c r="N2288" s="1" t="s">
        <v>230</v>
      </c>
      <c r="O2288" s="1" t="s">
        <v>25</v>
      </c>
      <c r="P2288" s="3" t="s">
        <v>25</v>
      </c>
      <c r="Q2288" s="37">
        <v>5.2437900000000003E-2</v>
      </c>
      <c r="R2288" s="1" t="s">
        <v>231</v>
      </c>
      <c r="S2288" s="13">
        <f t="shared" si="59"/>
        <v>-1.0060802703314957</v>
      </c>
    </row>
    <row r="2289" spans="1:19">
      <c r="A2289" s="18" t="s">
        <v>2225</v>
      </c>
      <c r="B2289" s="1" t="s">
        <v>2366</v>
      </c>
      <c r="C2289" s="1" t="s">
        <v>2389</v>
      </c>
      <c r="D2289" s="1" t="s">
        <v>2390</v>
      </c>
      <c r="E2289" s="1" t="s">
        <v>25</v>
      </c>
      <c r="F2289">
        <v>2400</v>
      </c>
      <c r="G2289">
        <v>2400</v>
      </c>
      <c r="H2289" s="1" t="s">
        <v>25</v>
      </c>
      <c r="I2289" s="1" t="s">
        <v>1528</v>
      </c>
      <c r="J2289" t="s">
        <v>25</v>
      </c>
      <c r="K2289" t="s">
        <v>25</v>
      </c>
      <c r="L2289">
        <v>-1.0720954907675482</v>
      </c>
      <c r="M2289" s="1" t="s">
        <v>23</v>
      </c>
      <c r="N2289" s="1" t="s">
        <v>230</v>
      </c>
      <c r="O2289" s="1" t="s">
        <v>25</v>
      </c>
      <c r="P2289" s="3" t="s">
        <v>25</v>
      </c>
      <c r="Q2289" s="37">
        <v>3.9915199999999998E-2</v>
      </c>
      <c r="R2289" s="1" t="s">
        <v>231</v>
      </c>
      <c r="S2289" s="13">
        <f t="shared" si="59"/>
        <v>-1.0720954907675482</v>
      </c>
    </row>
    <row r="2290" spans="1:19">
      <c r="A2290" s="18" t="s">
        <v>2225</v>
      </c>
      <c r="B2290" s="1" t="s">
        <v>2367</v>
      </c>
      <c r="C2290" s="1" t="s">
        <v>2389</v>
      </c>
      <c r="D2290" s="1" t="s">
        <v>2390</v>
      </c>
      <c r="E2290" s="1" t="s">
        <v>25</v>
      </c>
      <c r="F2290">
        <v>2400</v>
      </c>
      <c r="G2290">
        <v>2400</v>
      </c>
      <c r="H2290" s="1" t="s">
        <v>25</v>
      </c>
      <c r="I2290" s="1" t="s">
        <v>1528</v>
      </c>
      <c r="J2290" t="s">
        <v>25</v>
      </c>
      <c r="K2290" t="s">
        <v>25</v>
      </c>
      <c r="L2290">
        <v>-1.1043576441511425</v>
      </c>
      <c r="M2290" s="1" t="s">
        <v>23</v>
      </c>
      <c r="N2290" s="1" t="s">
        <v>230</v>
      </c>
      <c r="O2290" s="1" t="s">
        <v>25</v>
      </c>
      <c r="P2290" s="3" t="s">
        <v>25</v>
      </c>
      <c r="Q2290" s="37">
        <v>3.4607800000000001E-2</v>
      </c>
      <c r="R2290" s="1" t="s">
        <v>231</v>
      </c>
      <c r="S2290" s="13">
        <f t="shared" si="59"/>
        <v>-1.1043576441511425</v>
      </c>
    </row>
    <row r="2291" spans="1:19">
      <c r="A2291" s="18" t="s">
        <v>2225</v>
      </c>
      <c r="B2291" s="1" t="s">
        <v>2368</v>
      </c>
      <c r="C2291" s="1" t="s">
        <v>2389</v>
      </c>
      <c r="D2291" s="1" t="s">
        <v>2390</v>
      </c>
      <c r="E2291" s="1" t="s">
        <v>25</v>
      </c>
      <c r="F2291">
        <v>2400</v>
      </c>
      <c r="G2291">
        <v>2400</v>
      </c>
      <c r="H2291" s="1" t="s">
        <v>25</v>
      </c>
      <c r="I2291" s="1" t="s">
        <v>1528</v>
      </c>
      <c r="J2291" t="s">
        <v>25</v>
      </c>
      <c r="K2291" t="s">
        <v>25</v>
      </c>
      <c r="L2291">
        <v>-1.0282611671053892</v>
      </c>
      <c r="M2291" s="1" t="s">
        <v>23</v>
      </c>
      <c r="N2291" s="1" t="s">
        <v>230</v>
      </c>
      <c r="O2291" s="1" t="s">
        <v>25</v>
      </c>
      <c r="P2291" s="3" t="s">
        <v>25</v>
      </c>
      <c r="Q2291" s="37">
        <v>4.6346899999999996E-2</v>
      </c>
      <c r="R2291" s="1" t="s">
        <v>231</v>
      </c>
      <c r="S2291" s="13">
        <f t="shared" si="59"/>
        <v>-1.0282611671053892</v>
      </c>
    </row>
    <row r="2292" spans="1:19">
      <c r="A2292" s="18" t="s">
        <v>2225</v>
      </c>
      <c r="B2292" s="1" t="s">
        <v>2369</v>
      </c>
      <c r="C2292" s="1" t="s">
        <v>2389</v>
      </c>
      <c r="D2292" s="1" t="s">
        <v>2390</v>
      </c>
      <c r="E2292" s="1" t="s">
        <v>25</v>
      </c>
      <c r="F2292">
        <v>2400</v>
      </c>
      <c r="G2292">
        <v>2400</v>
      </c>
      <c r="H2292" s="1" t="s">
        <v>25</v>
      </c>
      <c r="I2292" s="1" t="s">
        <v>1528</v>
      </c>
      <c r="J2292" t="s">
        <v>25</v>
      </c>
      <c r="K2292" t="s">
        <v>25</v>
      </c>
      <c r="L2292">
        <v>-0.99907297397632688</v>
      </c>
      <c r="M2292" s="1" t="s">
        <v>23</v>
      </c>
      <c r="N2292" s="1" t="s">
        <v>230</v>
      </c>
      <c r="O2292" s="1" t="s">
        <v>25</v>
      </c>
      <c r="P2292" s="3" t="s">
        <v>25</v>
      </c>
      <c r="Q2292" s="37">
        <v>4.1002400000000001E-2</v>
      </c>
      <c r="R2292" s="1" t="s">
        <v>231</v>
      </c>
      <c r="S2292" s="13">
        <f t="shared" si="59"/>
        <v>-0.99907297397632688</v>
      </c>
    </row>
    <row r="2293" spans="1:19">
      <c r="A2293" s="18" t="s">
        <v>2225</v>
      </c>
      <c r="B2293" s="1" t="s">
        <v>2370</v>
      </c>
      <c r="C2293" s="1" t="s">
        <v>2389</v>
      </c>
      <c r="D2293" s="1" t="s">
        <v>2390</v>
      </c>
      <c r="E2293" s="1" t="s">
        <v>25</v>
      </c>
      <c r="F2293">
        <v>2400</v>
      </c>
      <c r="G2293">
        <v>2400</v>
      </c>
      <c r="H2293" s="1" t="s">
        <v>25</v>
      </c>
      <c r="I2293" s="1" t="s">
        <v>1528</v>
      </c>
      <c r="J2293" t="s">
        <v>25</v>
      </c>
      <c r="K2293" t="s">
        <v>25</v>
      </c>
      <c r="L2293">
        <v>-1.0512969233106837</v>
      </c>
      <c r="M2293" s="1" t="s">
        <v>23</v>
      </c>
      <c r="N2293" s="1" t="s">
        <v>230</v>
      </c>
      <c r="O2293" s="1" t="s">
        <v>25</v>
      </c>
      <c r="P2293" s="3" t="s">
        <v>25</v>
      </c>
      <c r="Q2293" s="37">
        <v>3.7640199999999999E-2</v>
      </c>
      <c r="R2293" s="1" t="s">
        <v>231</v>
      </c>
      <c r="S2293" s="13">
        <f t="shared" si="59"/>
        <v>-1.0512969233106837</v>
      </c>
    </row>
    <row r="2294" spans="1:19">
      <c r="A2294" s="18" t="s">
        <v>2225</v>
      </c>
      <c r="B2294" s="1" t="s">
        <v>2371</v>
      </c>
      <c r="C2294" s="1" t="s">
        <v>2389</v>
      </c>
      <c r="D2294" s="1" t="s">
        <v>2390</v>
      </c>
      <c r="E2294" s="1" t="s">
        <v>25</v>
      </c>
      <c r="F2294">
        <v>2400</v>
      </c>
      <c r="G2294">
        <v>2400</v>
      </c>
      <c r="H2294" s="1" t="s">
        <v>25</v>
      </c>
      <c r="I2294" s="1" t="s">
        <v>1528</v>
      </c>
      <c r="J2294" t="s">
        <v>25</v>
      </c>
      <c r="K2294" t="s">
        <v>25</v>
      </c>
      <c r="L2294">
        <v>-1.1291131923408873</v>
      </c>
      <c r="M2294" s="1" t="s">
        <v>23</v>
      </c>
      <c r="N2294" s="1" t="s">
        <v>230</v>
      </c>
      <c r="O2294" s="1" t="s">
        <v>25</v>
      </c>
      <c r="P2294" s="3" t="s">
        <v>25</v>
      </c>
      <c r="Q2294" s="37">
        <v>4.07753E-2</v>
      </c>
      <c r="R2294" s="1" t="s">
        <v>231</v>
      </c>
      <c r="S2294" s="13">
        <f t="shared" si="59"/>
        <v>-1.1291131923408873</v>
      </c>
    </row>
    <row r="2295" spans="1:19">
      <c r="A2295" s="18" t="s">
        <v>2225</v>
      </c>
      <c r="B2295" s="1" t="s">
        <v>2372</v>
      </c>
      <c r="C2295" s="1" t="s">
        <v>2389</v>
      </c>
      <c r="D2295" s="1" t="s">
        <v>2390</v>
      </c>
      <c r="E2295" s="1" t="s">
        <v>25</v>
      </c>
      <c r="F2295">
        <v>2400</v>
      </c>
      <c r="G2295">
        <v>2400</v>
      </c>
      <c r="H2295" s="1" t="s">
        <v>25</v>
      </c>
      <c r="I2295" s="1" t="s">
        <v>1528</v>
      </c>
      <c r="J2295" t="s">
        <v>25</v>
      </c>
      <c r="K2295" t="s">
        <v>25</v>
      </c>
      <c r="L2295">
        <v>-1.0674215238701643</v>
      </c>
      <c r="M2295" s="1" t="s">
        <v>23</v>
      </c>
      <c r="N2295" s="1" t="s">
        <v>230</v>
      </c>
      <c r="O2295" s="1" t="s">
        <v>25</v>
      </c>
      <c r="P2295" s="3" t="s">
        <v>25</v>
      </c>
      <c r="Q2295" s="37">
        <v>4.8693300000000002E-2</v>
      </c>
      <c r="R2295" s="1" t="s">
        <v>231</v>
      </c>
      <c r="S2295" s="13">
        <f t="shared" si="59"/>
        <v>-1.0674215238701643</v>
      </c>
    </row>
    <row r="2296" spans="1:19">
      <c r="A2296" s="18" t="s">
        <v>2225</v>
      </c>
      <c r="B2296" s="1" t="s">
        <v>2373</v>
      </c>
      <c r="C2296" s="1" t="s">
        <v>2389</v>
      </c>
      <c r="D2296" s="1" t="s">
        <v>2390</v>
      </c>
      <c r="E2296" s="1" t="s">
        <v>25</v>
      </c>
      <c r="F2296">
        <v>2400</v>
      </c>
      <c r="G2296">
        <v>2400</v>
      </c>
      <c r="H2296" s="1" t="s">
        <v>25</v>
      </c>
      <c r="I2296" s="1" t="s">
        <v>1528</v>
      </c>
      <c r="J2296" t="s">
        <v>25</v>
      </c>
      <c r="K2296" t="s">
        <v>25</v>
      </c>
      <c r="L2296">
        <v>-0.99436629959914458</v>
      </c>
      <c r="M2296" s="1" t="s">
        <v>23</v>
      </c>
      <c r="N2296" s="1" t="s">
        <v>230</v>
      </c>
      <c r="O2296" s="1" t="s">
        <v>25</v>
      </c>
      <c r="P2296" s="3" t="s">
        <v>25</v>
      </c>
      <c r="Q2296" s="37">
        <v>7.3710999999999999E-2</v>
      </c>
      <c r="R2296" s="1" t="s">
        <v>231</v>
      </c>
      <c r="S2296" s="13">
        <f t="shared" si="59"/>
        <v>-0.99436629959914458</v>
      </c>
    </row>
    <row r="2297" spans="1:19">
      <c r="A2297" s="18" t="s">
        <v>2225</v>
      </c>
      <c r="B2297" s="1" t="s">
        <v>2374</v>
      </c>
      <c r="C2297" s="1" t="s">
        <v>2389</v>
      </c>
      <c r="D2297" s="1" t="s">
        <v>2390</v>
      </c>
      <c r="E2297" s="1" t="s">
        <v>25</v>
      </c>
      <c r="F2297">
        <v>2400</v>
      </c>
      <c r="G2297">
        <v>2400</v>
      </c>
      <c r="H2297" s="1" t="s">
        <v>25</v>
      </c>
      <c r="I2297" s="1" t="s">
        <v>1528</v>
      </c>
      <c r="J2297" t="s">
        <v>25</v>
      </c>
      <c r="K2297" t="s">
        <v>25</v>
      </c>
      <c r="L2297">
        <v>-1.0198123110055881</v>
      </c>
      <c r="M2297" s="1" t="s">
        <v>23</v>
      </c>
      <c r="N2297" s="1" t="s">
        <v>230</v>
      </c>
      <c r="O2297" s="1" t="s">
        <v>25</v>
      </c>
      <c r="P2297" s="3" t="s">
        <v>25</v>
      </c>
      <c r="Q2297" s="37">
        <v>6.5847900000000001E-2</v>
      </c>
      <c r="R2297" s="1" t="s">
        <v>231</v>
      </c>
      <c r="S2297" s="13">
        <f t="shared" si="59"/>
        <v>-1.0198123110055881</v>
      </c>
    </row>
    <row r="2298" spans="1:19">
      <c r="A2298" s="18" t="s">
        <v>2225</v>
      </c>
      <c r="B2298" s="1" t="s">
        <v>2375</v>
      </c>
      <c r="C2298" s="1" t="s">
        <v>2389</v>
      </c>
      <c r="D2298" s="1" t="s">
        <v>2390</v>
      </c>
      <c r="E2298" s="1" t="s">
        <v>25</v>
      </c>
      <c r="F2298">
        <v>2400</v>
      </c>
      <c r="G2298">
        <v>2400</v>
      </c>
      <c r="H2298" s="1" t="s">
        <v>25</v>
      </c>
      <c r="I2298" s="1" t="s">
        <v>1528</v>
      </c>
      <c r="J2298" t="s">
        <v>25</v>
      </c>
      <c r="K2298" t="s">
        <v>25</v>
      </c>
      <c r="L2298">
        <v>-0.9621419381760169</v>
      </c>
      <c r="M2298" s="1" t="s">
        <v>23</v>
      </c>
      <c r="N2298" s="1" t="s">
        <v>230</v>
      </c>
      <c r="O2298" s="1" t="s">
        <v>25</v>
      </c>
      <c r="P2298" s="3" t="s">
        <v>25</v>
      </c>
      <c r="Q2298" s="37">
        <v>6.9599300000000003E-2</v>
      </c>
      <c r="R2298" s="1" t="s">
        <v>231</v>
      </c>
      <c r="S2298" s="13">
        <f t="shared" si="59"/>
        <v>-0.9621419381760169</v>
      </c>
    </row>
    <row r="2299" spans="1:19">
      <c r="A2299" s="18" t="s">
        <v>2225</v>
      </c>
      <c r="B2299" s="1" t="s">
        <v>2376</v>
      </c>
      <c r="C2299" s="1" t="s">
        <v>2389</v>
      </c>
      <c r="D2299" s="1" t="s">
        <v>2390</v>
      </c>
      <c r="E2299" s="1" t="s">
        <v>25</v>
      </c>
      <c r="F2299">
        <v>2400</v>
      </c>
      <c r="G2299">
        <v>2400</v>
      </c>
      <c r="H2299" s="1" t="s">
        <v>25</v>
      </c>
      <c r="I2299" s="1" t="s">
        <v>1528</v>
      </c>
      <c r="J2299" t="s">
        <v>25</v>
      </c>
      <c r="K2299" t="s">
        <v>25</v>
      </c>
      <c r="L2299">
        <v>-1.4566798909787819</v>
      </c>
      <c r="M2299" s="1" t="s">
        <v>23</v>
      </c>
      <c r="N2299" s="1" t="s">
        <v>230</v>
      </c>
      <c r="O2299" s="1" t="s">
        <v>25</v>
      </c>
      <c r="P2299" s="3" t="s">
        <v>25</v>
      </c>
      <c r="Q2299" s="37">
        <v>1.4223933</v>
      </c>
      <c r="R2299" s="1" t="s">
        <v>231</v>
      </c>
      <c r="S2299" s="13">
        <f t="shared" si="59"/>
        <v>-1.4566798909787819</v>
      </c>
    </row>
    <row r="2300" spans="1:19">
      <c r="A2300" s="18" t="s">
        <v>2225</v>
      </c>
      <c r="B2300" s="1" t="s">
        <v>2377</v>
      </c>
      <c r="C2300" s="1" t="s">
        <v>2389</v>
      </c>
      <c r="D2300" s="1" t="s">
        <v>2390</v>
      </c>
      <c r="E2300" s="1" t="s">
        <v>25</v>
      </c>
      <c r="F2300">
        <v>2400</v>
      </c>
      <c r="G2300">
        <v>2400</v>
      </c>
      <c r="H2300" s="1" t="s">
        <v>25</v>
      </c>
      <c r="I2300" s="1" t="s">
        <v>1528</v>
      </c>
      <c r="J2300" t="s">
        <v>25</v>
      </c>
      <c r="K2300" t="s">
        <v>25</v>
      </c>
      <c r="L2300">
        <v>-1.428527838515381</v>
      </c>
      <c r="M2300" s="1" t="s">
        <v>23</v>
      </c>
      <c r="N2300" s="1" t="s">
        <v>230</v>
      </c>
      <c r="O2300" s="1" t="s">
        <v>25</v>
      </c>
      <c r="P2300" s="3" t="s">
        <v>25</v>
      </c>
      <c r="Q2300" s="37">
        <v>1.3183124000000002</v>
      </c>
      <c r="R2300" s="1" t="s">
        <v>231</v>
      </c>
      <c r="S2300" s="13">
        <f t="shared" si="59"/>
        <v>-1.428527838515381</v>
      </c>
    </row>
    <row r="2301" spans="1:19">
      <c r="A2301" s="18" t="s">
        <v>2225</v>
      </c>
      <c r="B2301" s="1" t="s">
        <v>2378</v>
      </c>
      <c r="C2301" s="1" t="s">
        <v>2389</v>
      </c>
      <c r="D2301" s="1" t="s">
        <v>2390</v>
      </c>
      <c r="E2301" s="1" t="s">
        <v>25</v>
      </c>
      <c r="F2301">
        <v>2400</v>
      </c>
      <c r="G2301">
        <v>2400</v>
      </c>
      <c r="H2301" s="1" t="s">
        <v>25</v>
      </c>
      <c r="I2301" s="1" t="s">
        <v>1528</v>
      </c>
      <c r="J2301" t="s">
        <v>25</v>
      </c>
      <c r="K2301" t="s">
        <v>25</v>
      </c>
      <c r="L2301">
        <v>-1.4882666773737145</v>
      </c>
      <c r="M2301" s="1" t="s">
        <v>23</v>
      </c>
      <c r="N2301" s="1" t="s">
        <v>230</v>
      </c>
      <c r="O2301" s="1" t="s">
        <v>25</v>
      </c>
      <c r="P2301" s="3" t="s">
        <v>25</v>
      </c>
      <c r="Q2301" s="37">
        <v>1.3206134999999999</v>
      </c>
      <c r="R2301" s="1" t="s">
        <v>231</v>
      </c>
      <c r="S2301" s="13">
        <f t="shared" si="59"/>
        <v>-1.4882666773737145</v>
      </c>
    </row>
    <row r="2302" spans="1:19">
      <c r="A2302" s="18" t="s">
        <v>2225</v>
      </c>
      <c r="B2302" s="1" t="s">
        <v>2379</v>
      </c>
      <c r="C2302" s="1" t="s">
        <v>2389</v>
      </c>
      <c r="D2302" s="1" t="s">
        <v>2390</v>
      </c>
      <c r="E2302" s="1" t="s">
        <v>25</v>
      </c>
      <c r="F2302">
        <v>2400</v>
      </c>
      <c r="G2302">
        <v>2400</v>
      </c>
      <c r="H2302" s="1" t="s">
        <v>25</v>
      </c>
      <c r="I2302" s="1" t="s">
        <v>1528</v>
      </c>
      <c r="J2302" t="s">
        <v>25</v>
      </c>
      <c r="K2302" t="s">
        <v>25</v>
      </c>
      <c r="L2302">
        <v>-1.3508630169988107</v>
      </c>
      <c r="M2302" s="1" t="s">
        <v>23</v>
      </c>
      <c r="N2302" s="1" t="s">
        <v>230</v>
      </c>
      <c r="O2302" s="1" t="s">
        <v>25</v>
      </c>
      <c r="P2302" s="3" t="s">
        <v>25</v>
      </c>
      <c r="Q2302" s="37">
        <v>0.47587770000000001</v>
      </c>
      <c r="R2302" s="1" t="s">
        <v>231</v>
      </c>
      <c r="S2302" s="13">
        <f t="shared" si="59"/>
        <v>-1.3508630169988107</v>
      </c>
    </row>
    <row r="2303" spans="1:19">
      <c r="A2303" s="18" t="s">
        <v>2225</v>
      </c>
      <c r="B2303" s="1" t="s">
        <v>2380</v>
      </c>
      <c r="C2303" s="1" t="s">
        <v>2389</v>
      </c>
      <c r="D2303" s="1" t="s">
        <v>2390</v>
      </c>
      <c r="E2303" s="1" t="s">
        <v>25</v>
      </c>
      <c r="F2303">
        <v>2400</v>
      </c>
      <c r="G2303">
        <v>2400</v>
      </c>
      <c r="H2303" s="1" t="s">
        <v>25</v>
      </c>
      <c r="I2303" s="1" t="s">
        <v>1528</v>
      </c>
      <c r="J2303" t="s">
        <v>25</v>
      </c>
      <c r="K2303" t="s">
        <v>25</v>
      </c>
      <c r="L2303">
        <v>-1.4921867575417218</v>
      </c>
      <c r="M2303" s="1" t="s">
        <v>23</v>
      </c>
      <c r="N2303" s="1" t="s">
        <v>230</v>
      </c>
      <c r="O2303" s="1" t="s">
        <v>25</v>
      </c>
      <c r="P2303" s="3" t="s">
        <v>25</v>
      </c>
      <c r="Q2303" s="37">
        <v>0.52135860000000001</v>
      </c>
      <c r="R2303" s="1" t="s">
        <v>231</v>
      </c>
      <c r="S2303" s="13">
        <f t="shared" si="59"/>
        <v>-1.4921867575417218</v>
      </c>
    </row>
    <row r="2304" spans="1:19">
      <c r="A2304" s="18" t="s">
        <v>2225</v>
      </c>
      <c r="B2304" s="1" t="s">
        <v>2381</v>
      </c>
      <c r="C2304" s="1" t="s">
        <v>2389</v>
      </c>
      <c r="D2304" s="1" t="s">
        <v>2390</v>
      </c>
      <c r="E2304" s="1" t="s">
        <v>25</v>
      </c>
      <c r="F2304">
        <v>2400</v>
      </c>
      <c r="G2304">
        <v>2400</v>
      </c>
      <c r="H2304" s="1" t="s">
        <v>25</v>
      </c>
      <c r="I2304" s="1" t="s">
        <v>1528</v>
      </c>
      <c r="J2304" t="s">
        <v>25</v>
      </c>
      <c r="K2304" t="s">
        <v>25</v>
      </c>
      <c r="L2304">
        <v>-1.3909940124338196</v>
      </c>
      <c r="M2304" s="1" t="s">
        <v>23</v>
      </c>
      <c r="N2304" s="1" t="s">
        <v>230</v>
      </c>
      <c r="O2304" s="1" t="s">
        <v>25</v>
      </c>
      <c r="P2304" s="3" t="s">
        <v>25</v>
      </c>
      <c r="Q2304" s="37">
        <v>0.67302290000000009</v>
      </c>
      <c r="R2304" s="1" t="s">
        <v>231</v>
      </c>
      <c r="S2304" s="13">
        <f t="shared" si="59"/>
        <v>-1.3909940124338196</v>
      </c>
    </row>
    <row r="2305" spans="1:19">
      <c r="A2305" s="18" t="s">
        <v>2225</v>
      </c>
      <c r="B2305" s="1" t="s">
        <v>2382</v>
      </c>
      <c r="C2305" s="1" t="s">
        <v>2389</v>
      </c>
      <c r="D2305" s="1" t="s">
        <v>2390</v>
      </c>
      <c r="E2305" s="1" t="s">
        <v>25</v>
      </c>
      <c r="F2305">
        <v>2400</v>
      </c>
      <c r="G2305">
        <v>2400</v>
      </c>
      <c r="H2305" s="1" t="s">
        <v>25</v>
      </c>
      <c r="I2305" s="1" t="s">
        <v>1528</v>
      </c>
      <c r="J2305" t="s">
        <v>25</v>
      </c>
      <c r="K2305" t="s">
        <v>25</v>
      </c>
      <c r="L2305">
        <v>-1.4615233794799121</v>
      </c>
      <c r="M2305" s="1" t="s">
        <v>23</v>
      </c>
      <c r="N2305" s="1" t="s">
        <v>230</v>
      </c>
      <c r="O2305" s="1" t="s">
        <v>25</v>
      </c>
      <c r="P2305" s="3" t="s">
        <v>25</v>
      </c>
      <c r="Q2305" s="37">
        <v>0.74982270000000006</v>
      </c>
      <c r="R2305" s="1" t="s">
        <v>231</v>
      </c>
      <c r="S2305" s="13">
        <f t="shared" si="59"/>
        <v>-1.4615233794799121</v>
      </c>
    </row>
    <row r="2306" spans="1:19">
      <c r="A2306" s="18" t="s">
        <v>2225</v>
      </c>
      <c r="B2306" s="1" t="s">
        <v>2383</v>
      </c>
      <c r="C2306" s="1" t="s">
        <v>2389</v>
      </c>
      <c r="D2306" s="1" t="s">
        <v>2390</v>
      </c>
      <c r="E2306" s="1" t="s">
        <v>25</v>
      </c>
      <c r="F2306">
        <v>2400</v>
      </c>
      <c r="G2306">
        <v>2400</v>
      </c>
      <c r="H2306" s="1" t="s">
        <v>25</v>
      </c>
      <c r="I2306" s="1" t="s">
        <v>1528</v>
      </c>
      <c r="J2306" t="s">
        <v>25</v>
      </c>
      <c r="K2306" t="s">
        <v>25</v>
      </c>
      <c r="L2306">
        <v>-1.3439314979865704</v>
      </c>
      <c r="M2306" s="1" t="s">
        <v>23</v>
      </c>
      <c r="N2306" s="1" t="s">
        <v>230</v>
      </c>
      <c r="O2306" s="1" t="s">
        <v>25</v>
      </c>
      <c r="P2306" s="3" t="s">
        <v>25</v>
      </c>
      <c r="Q2306" s="37">
        <v>0.7169411</v>
      </c>
      <c r="R2306" s="1" t="s">
        <v>231</v>
      </c>
      <c r="S2306" s="13">
        <f t="shared" si="59"/>
        <v>-1.3439314979865704</v>
      </c>
    </row>
    <row r="2307" spans="1:19">
      <c r="A2307" s="18" t="s">
        <v>2225</v>
      </c>
      <c r="B2307" s="1" t="s">
        <v>2384</v>
      </c>
      <c r="C2307" s="1" t="s">
        <v>2389</v>
      </c>
      <c r="D2307" s="1" t="s">
        <v>2390</v>
      </c>
      <c r="E2307" s="1" t="s">
        <v>25</v>
      </c>
      <c r="F2307">
        <v>2400</v>
      </c>
      <c r="G2307">
        <v>2400</v>
      </c>
      <c r="H2307" s="1" t="s">
        <v>25</v>
      </c>
      <c r="I2307" s="1" t="s">
        <v>1528</v>
      </c>
      <c r="J2307" t="s">
        <v>25</v>
      </c>
      <c r="K2307" t="s">
        <v>25</v>
      </c>
      <c r="L2307">
        <v>-0.85937427845682846</v>
      </c>
      <c r="M2307" s="1" t="s">
        <v>23</v>
      </c>
      <c r="N2307" s="1" t="s">
        <v>230</v>
      </c>
      <c r="O2307" s="1" t="s">
        <v>25</v>
      </c>
      <c r="P2307" s="3" t="s">
        <v>25</v>
      </c>
      <c r="Q2307" s="37">
        <v>8.9562700000000009E-2</v>
      </c>
      <c r="R2307" s="1" t="s">
        <v>231</v>
      </c>
      <c r="S2307" s="13">
        <f t="shared" si="59"/>
        <v>-0.85937427845682846</v>
      </c>
    </row>
    <row r="2308" spans="1:19">
      <c r="A2308" s="18" t="s">
        <v>2225</v>
      </c>
      <c r="B2308" s="1" t="s">
        <v>2385</v>
      </c>
      <c r="C2308" s="1" t="s">
        <v>2389</v>
      </c>
      <c r="D2308" s="1" t="s">
        <v>2390</v>
      </c>
      <c r="E2308" s="1" t="s">
        <v>25</v>
      </c>
      <c r="F2308">
        <v>2400</v>
      </c>
      <c r="G2308">
        <v>2400</v>
      </c>
      <c r="H2308" s="1" t="s">
        <v>25</v>
      </c>
      <c r="I2308" s="1" t="s">
        <v>1528</v>
      </c>
      <c r="J2308" t="s">
        <v>25</v>
      </c>
      <c r="K2308" t="s">
        <v>25</v>
      </c>
      <c r="L2308">
        <v>-1.0167075291190177</v>
      </c>
      <c r="M2308" s="1" t="s">
        <v>23</v>
      </c>
      <c r="N2308" s="1" t="s">
        <v>230</v>
      </c>
      <c r="O2308" s="1" t="s">
        <v>25</v>
      </c>
      <c r="P2308" s="3" t="s">
        <v>25</v>
      </c>
      <c r="Q2308" s="37">
        <v>3.56999E-2</v>
      </c>
      <c r="R2308" s="1" t="s">
        <v>231</v>
      </c>
      <c r="S2308" s="13">
        <f t="shared" si="59"/>
        <v>-1.0167075291190177</v>
      </c>
    </row>
    <row r="2309" spans="1:19">
      <c r="A2309" s="18" t="s">
        <v>2225</v>
      </c>
      <c r="B2309" s="1" t="s">
        <v>2386</v>
      </c>
      <c r="C2309" s="1" t="s">
        <v>2389</v>
      </c>
      <c r="D2309" s="1" t="s">
        <v>2390</v>
      </c>
      <c r="E2309" s="1" t="s">
        <v>25</v>
      </c>
      <c r="F2309">
        <v>2400</v>
      </c>
      <c r="G2309">
        <v>2400</v>
      </c>
      <c r="H2309" s="1" t="s">
        <v>25</v>
      </c>
      <c r="I2309" s="1" t="s">
        <v>1528</v>
      </c>
      <c r="J2309" t="s">
        <v>25</v>
      </c>
      <c r="K2309" t="s">
        <v>25</v>
      </c>
      <c r="L2309">
        <v>-0.95600562478170537</v>
      </c>
      <c r="M2309" s="1" t="s">
        <v>23</v>
      </c>
      <c r="N2309" s="1" t="s">
        <v>230</v>
      </c>
      <c r="O2309" s="1" t="s">
        <v>25</v>
      </c>
      <c r="P2309" s="3" t="s">
        <v>25</v>
      </c>
      <c r="Q2309" s="37">
        <v>6.4053499999999999E-2</v>
      </c>
      <c r="R2309" s="1" t="s">
        <v>231</v>
      </c>
      <c r="S2309" s="13">
        <f t="shared" si="59"/>
        <v>-0.95600562478170537</v>
      </c>
    </row>
    <row r="2310" spans="1:19">
      <c r="A2310" s="18" t="s">
        <v>2225</v>
      </c>
      <c r="B2310" s="1" t="s">
        <v>2387</v>
      </c>
      <c r="C2310" s="1" t="s">
        <v>2389</v>
      </c>
      <c r="D2310" s="1" t="s">
        <v>2390</v>
      </c>
      <c r="E2310" s="1" t="s">
        <v>25</v>
      </c>
      <c r="F2310">
        <v>2400</v>
      </c>
      <c r="G2310">
        <v>2400</v>
      </c>
      <c r="H2310" s="1" t="s">
        <v>25</v>
      </c>
      <c r="I2310" s="1" t="s">
        <v>1528</v>
      </c>
      <c r="J2310" t="s">
        <v>25</v>
      </c>
      <c r="K2310" t="s">
        <v>25</v>
      </c>
      <c r="L2310">
        <v>-0.92135161415808065</v>
      </c>
      <c r="M2310" s="1" t="s">
        <v>23</v>
      </c>
      <c r="N2310" s="1" t="s">
        <v>230</v>
      </c>
      <c r="O2310" s="1" t="s">
        <v>25</v>
      </c>
      <c r="P2310" s="3" t="s">
        <v>25</v>
      </c>
      <c r="Q2310" s="37">
        <v>5.7503400000000003E-2</v>
      </c>
      <c r="R2310" s="1" t="s">
        <v>231</v>
      </c>
      <c r="S2310" s="13">
        <f t="shared" si="59"/>
        <v>-0.92135161415808065</v>
      </c>
    </row>
    <row r="2311" spans="1:19">
      <c r="A2311" s="18" t="s">
        <v>2225</v>
      </c>
      <c r="B2311" s="1" t="s">
        <v>2388</v>
      </c>
      <c r="C2311" s="1" t="s">
        <v>2389</v>
      </c>
      <c r="D2311" s="1" t="s">
        <v>2390</v>
      </c>
      <c r="E2311" s="1" t="s">
        <v>25</v>
      </c>
      <c r="F2311">
        <v>2400</v>
      </c>
      <c r="G2311">
        <v>2400</v>
      </c>
      <c r="H2311" s="1" t="s">
        <v>25</v>
      </c>
      <c r="I2311" s="1" t="s">
        <v>1528</v>
      </c>
      <c r="J2311" t="s">
        <v>25</v>
      </c>
      <c r="K2311" t="s">
        <v>25</v>
      </c>
      <c r="L2311">
        <v>-0.93236137183607104</v>
      </c>
      <c r="M2311" s="1" t="s">
        <v>23</v>
      </c>
      <c r="N2311" s="1" t="s">
        <v>230</v>
      </c>
      <c r="O2311" s="1" t="s">
        <v>25</v>
      </c>
      <c r="P2311" s="3" t="s">
        <v>25</v>
      </c>
      <c r="Q2311" s="37">
        <v>5.8750300000000005E-2</v>
      </c>
      <c r="R2311" s="1" t="s">
        <v>231</v>
      </c>
      <c r="S2311" s="13">
        <f t="shared" si="59"/>
        <v>-0.93236137183607104</v>
      </c>
    </row>
    <row r="2312" spans="1:19">
      <c r="A2312" s="18" t="s">
        <v>2225</v>
      </c>
      <c r="B2312" s="1" t="s">
        <v>2391</v>
      </c>
      <c r="C2312" s="1" t="s">
        <v>2389</v>
      </c>
      <c r="D2312" s="1" t="s">
        <v>2401</v>
      </c>
      <c r="E2312" s="1" t="s">
        <v>25</v>
      </c>
      <c r="F2312">
        <v>2100</v>
      </c>
      <c r="G2312">
        <v>2100</v>
      </c>
      <c r="H2312" s="1" t="s">
        <v>25</v>
      </c>
      <c r="I2312" s="1" t="s">
        <v>1528</v>
      </c>
      <c r="J2312" t="s">
        <v>25</v>
      </c>
      <c r="K2312" t="s">
        <v>25</v>
      </c>
      <c r="L2312">
        <v>-1.0179521175212745</v>
      </c>
      <c r="M2312" s="1" t="s">
        <v>23</v>
      </c>
      <c r="N2312" s="1" t="s">
        <v>230</v>
      </c>
      <c r="O2312" s="1" t="s">
        <v>25</v>
      </c>
      <c r="P2312" s="3" t="s">
        <v>25</v>
      </c>
      <c r="Q2312" s="37">
        <v>0.22399650000000002</v>
      </c>
      <c r="R2312" s="1" t="s">
        <v>231</v>
      </c>
      <c r="S2312" s="13">
        <f t="shared" si="59"/>
        <v>-1.0179521175212745</v>
      </c>
    </row>
    <row r="2313" spans="1:19">
      <c r="A2313" s="18" t="s">
        <v>2225</v>
      </c>
      <c r="B2313" s="1" t="s">
        <v>2392</v>
      </c>
      <c r="C2313" s="1" t="s">
        <v>2389</v>
      </c>
      <c r="D2313" s="1" t="s">
        <v>2401</v>
      </c>
      <c r="E2313" s="1" t="s">
        <v>25</v>
      </c>
      <c r="F2313">
        <v>2100</v>
      </c>
      <c r="G2313">
        <v>2100</v>
      </c>
      <c r="H2313" s="1" t="s">
        <v>25</v>
      </c>
      <c r="I2313" s="1" t="s">
        <v>1528</v>
      </c>
      <c r="J2313" t="s">
        <v>25</v>
      </c>
      <c r="K2313" t="s">
        <v>25</v>
      </c>
      <c r="L2313">
        <v>-1.0256534915853808</v>
      </c>
      <c r="M2313" s="1" t="s">
        <v>23</v>
      </c>
      <c r="N2313" s="1" t="s">
        <v>230</v>
      </c>
      <c r="O2313" s="1" t="s">
        <v>25</v>
      </c>
      <c r="P2313" s="3" t="s">
        <v>25</v>
      </c>
      <c r="Q2313" s="37">
        <v>0.29628670000000001</v>
      </c>
      <c r="R2313" s="1" t="s">
        <v>231</v>
      </c>
      <c r="S2313" s="13">
        <f t="shared" si="59"/>
        <v>-1.0256534915853808</v>
      </c>
    </row>
    <row r="2314" spans="1:19">
      <c r="A2314" s="18" t="s">
        <v>2225</v>
      </c>
      <c r="B2314" s="1" t="s">
        <v>2393</v>
      </c>
      <c r="C2314" s="1" t="s">
        <v>2389</v>
      </c>
      <c r="D2314" s="1" t="s">
        <v>2401</v>
      </c>
      <c r="E2314" s="1" t="s">
        <v>25</v>
      </c>
      <c r="F2314">
        <v>2100</v>
      </c>
      <c r="G2314">
        <v>2100</v>
      </c>
      <c r="H2314" s="1" t="s">
        <v>25</v>
      </c>
      <c r="I2314" s="1" t="s">
        <v>1528</v>
      </c>
      <c r="J2314" t="s">
        <v>25</v>
      </c>
      <c r="K2314" t="s">
        <v>25</v>
      </c>
      <c r="L2314">
        <v>-1.0779306213906479</v>
      </c>
      <c r="M2314" s="1" t="s">
        <v>23</v>
      </c>
      <c r="N2314" s="1" t="s">
        <v>230</v>
      </c>
      <c r="O2314" s="1" t="s">
        <v>25</v>
      </c>
      <c r="P2314" s="3" t="s">
        <v>25</v>
      </c>
      <c r="Q2314" s="37">
        <v>7.0018500000000011E-2</v>
      </c>
      <c r="R2314" s="1" t="s">
        <v>231</v>
      </c>
      <c r="S2314" s="13">
        <f t="shared" si="59"/>
        <v>-1.0779306213906479</v>
      </c>
    </row>
    <row r="2315" spans="1:19">
      <c r="A2315" s="18" t="s">
        <v>2225</v>
      </c>
      <c r="B2315" s="1" t="s">
        <v>2394</v>
      </c>
      <c r="C2315" s="1" t="s">
        <v>2389</v>
      </c>
      <c r="D2315" s="1" t="s">
        <v>2401</v>
      </c>
      <c r="E2315" s="1" t="s">
        <v>25</v>
      </c>
      <c r="F2315">
        <v>2100</v>
      </c>
      <c r="G2315">
        <v>2100</v>
      </c>
      <c r="H2315" s="1" t="s">
        <v>25</v>
      </c>
      <c r="I2315" s="1" t="s">
        <v>1528</v>
      </c>
      <c r="J2315" t="s">
        <v>25</v>
      </c>
      <c r="K2315" t="s">
        <v>25</v>
      </c>
      <c r="L2315">
        <v>-1.0391018480634133</v>
      </c>
      <c r="M2315" s="1" t="s">
        <v>23</v>
      </c>
      <c r="N2315" s="1" t="s">
        <v>230</v>
      </c>
      <c r="O2315" s="1" t="s">
        <v>25</v>
      </c>
      <c r="P2315" s="3" t="s">
        <v>25</v>
      </c>
      <c r="Q2315" s="37">
        <v>6.6087999999999994E-2</v>
      </c>
      <c r="R2315" s="1" t="s">
        <v>231</v>
      </c>
      <c r="S2315" s="13">
        <f t="shared" si="59"/>
        <v>-1.0391018480634133</v>
      </c>
    </row>
    <row r="2316" spans="1:19">
      <c r="A2316" s="18" t="s">
        <v>2225</v>
      </c>
      <c r="B2316" s="1" t="s">
        <v>2395</v>
      </c>
      <c r="C2316" s="1" t="s">
        <v>2389</v>
      </c>
      <c r="D2316" s="1" t="s">
        <v>2401</v>
      </c>
      <c r="E2316" s="1" t="s">
        <v>25</v>
      </c>
      <c r="F2316">
        <v>2100</v>
      </c>
      <c r="G2316">
        <v>2100</v>
      </c>
      <c r="H2316" s="1" t="s">
        <v>25</v>
      </c>
      <c r="I2316" s="1" t="s">
        <v>1528</v>
      </c>
      <c r="J2316" t="s">
        <v>25</v>
      </c>
      <c r="K2316" t="s">
        <v>25</v>
      </c>
      <c r="L2316">
        <v>-0.98394401106156748</v>
      </c>
      <c r="M2316" s="1" t="s">
        <v>23</v>
      </c>
      <c r="N2316" s="1" t="s">
        <v>230</v>
      </c>
      <c r="O2316" s="1" t="s">
        <v>25</v>
      </c>
      <c r="P2316" s="3" t="s">
        <v>25</v>
      </c>
      <c r="Q2316" s="37">
        <v>7.5848799999999994E-2</v>
      </c>
      <c r="R2316" s="1" t="s">
        <v>231</v>
      </c>
      <c r="S2316" s="13">
        <f t="shared" si="59"/>
        <v>-0.98394401106156748</v>
      </c>
    </row>
    <row r="2317" spans="1:19">
      <c r="A2317" s="18" t="s">
        <v>2225</v>
      </c>
      <c r="B2317" s="1" t="s">
        <v>2396</v>
      </c>
      <c r="C2317" s="1" t="s">
        <v>2389</v>
      </c>
      <c r="D2317" s="1" t="s">
        <v>2401</v>
      </c>
      <c r="E2317" s="1" t="s">
        <v>25</v>
      </c>
      <c r="F2317">
        <v>2100</v>
      </c>
      <c r="G2317">
        <v>2100</v>
      </c>
      <c r="H2317" s="1" t="s">
        <v>25</v>
      </c>
      <c r="I2317" s="1" t="s">
        <v>1528</v>
      </c>
      <c r="J2317" t="s">
        <v>25</v>
      </c>
      <c r="K2317" t="s">
        <v>25</v>
      </c>
      <c r="L2317">
        <v>-1.0334845927689504</v>
      </c>
      <c r="M2317" s="1" t="s">
        <v>23</v>
      </c>
      <c r="N2317" s="1" t="s">
        <v>230</v>
      </c>
      <c r="O2317" s="1" t="s">
        <v>25</v>
      </c>
      <c r="P2317" s="3" t="s">
        <v>25</v>
      </c>
      <c r="Q2317" s="37">
        <v>0.10001</v>
      </c>
      <c r="R2317" s="1" t="s">
        <v>231</v>
      </c>
      <c r="S2317" s="13">
        <f t="shared" si="59"/>
        <v>-1.0334845927689504</v>
      </c>
    </row>
    <row r="2318" spans="1:19">
      <c r="A2318" s="18" t="s">
        <v>2225</v>
      </c>
      <c r="B2318" s="1" t="s">
        <v>2397</v>
      </c>
      <c r="C2318" s="1" t="s">
        <v>2389</v>
      </c>
      <c r="D2318" s="1" t="s">
        <v>2401</v>
      </c>
      <c r="E2318" s="1" t="s">
        <v>25</v>
      </c>
      <c r="F2318">
        <v>2100</v>
      </c>
      <c r="G2318">
        <v>2100</v>
      </c>
      <c r="H2318" s="1" t="s">
        <v>25</v>
      </c>
      <c r="I2318" s="1" t="s">
        <v>1528</v>
      </c>
      <c r="J2318" t="s">
        <v>25</v>
      </c>
      <c r="K2318" t="s">
        <v>25</v>
      </c>
      <c r="L2318">
        <v>-1.0509448273731419</v>
      </c>
      <c r="M2318" s="1" t="s">
        <v>23</v>
      </c>
      <c r="N2318" s="1" t="s">
        <v>230</v>
      </c>
      <c r="O2318" s="1" t="s">
        <v>25</v>
      </c>
      <c r="P2318" s="3" t="s">
        <v>25</v>
      </c>
      <c r="Q2318" s="37">
        <v>8.6878499999999997E-2</v>
      </c>
      <c r="R2318" s="1" t="s">
        <v>231</v>
      </c>
      <c r="S2318" s="13">
        <f t="shared" si="59"/>
        <v>-1.0509448273731419</v>
      </c>
    </row>
    <row r="2319" spans="1:19">
      <c r="A2319" s="18" t="s">
        <v>2225</v>
      </c>
      <c r="B2319" s="1" t="s">
        <v>2398</v>
      </c>
      <c r="C2319" s="1" t="s">
        <v>2389</v>
      </c>
      <c r="D2319" s="1" t="s">
        <v>2401</v>
      </c>
      <c r="E2319" s="1" t="s">
        <v>25</v>
      </c>
      <c r="F2319">
        <v>2100</v>
      </c>
      <c r="G2319">
        <v>2100</v>
      </c>
      <c r="H2319" s="1" t="s">
        <v>25</v>
      </c>
      <c r="I2319" s="1" t="s">
        <v>1528</v>
      </c>
      <c r="J2319" t="s">
        <v>25</v>
      </c>
      <c r="K2319" t="s">
        <v>25</v>
      </c>
      <c r="L2319">
        <v>-1.0095283675728137</v>
      </c>
      <c r="M2319" s="1" t="s">
        <v>23</v>
      </c>
      <c r="N2319" s="1" t="s">
        <v>230</v>
      </c>
      <c r="O2319" s="1" t="s">
        <v>25</v>
      </c>
      <c r="P2319" s="3" t="s">
        <v>25</v>
      </c>
      <c r="Q2319" s="37">
        <v>6.5327499999999997E-2</v>
      </c>
      <c r="R2319" s="1" t="s">
        <v>231</v>
      </c>
      <c r="S2319" s="13">
        <f t="shared" si="59"/>
        <v>-1.0095283675728137</v>
      </c>
    </row>
    <row r="2320" spans="1:19">
      <c r="A2320" s="18" t="s">
        <v>2225</v>
      </c>
      <c r="B2320" s="1" t="s">
        <v>2399</v>
      </c>
      <c r="C2320" s="1" t="s">
        <v>2389</v>
      </c>
      <c r="D2320" s="1" t="s">
        <v>2401</v>
      </c>
      <c r="E2320" s="1" t="s">
        <v>25</v>
      </c>
      <c r="F2320">
        <v>2100</v>
      </c>
      <c r="G2320">
        <v>2100</v>
      </c>
      <c r="H2320" s="1" t="s">
        <v>25</v>
      </c>
      <c r="I2320" s="1" t="s">
        <v>1528</v>
      </c>
      <c r="J2320" t="s">
        <v>25</v>
      </c>
      <c r="K2320" t="s">
        <v>25</v>
      </c>
      <c r="L2320">
        <v>-0.99092506390572188</v>
      </c>
      <c r="M2320" s="1" t="s">
        <v>23</v>
      </c>
      <c r="N2320" s="1" t="s">
        <v>230</v>
      </c>
      <c r="O2320" s="1" t="s">
        <v>25</v>
      </c>
      <c r="P2320" s="3" t="s">
        <v>25</v>
      </c>
      <c r="Q2320" s="37">
        <v>6.5650200000000006E-2</v>
      </c>
      <c r="R2320" s="1" t="s">
        <v>231</v>
      </c>
      <c r="S2320" s="13">
        <f t="shared" si="59"/>
        <v>-0.99092506390572188</v>
      </c>
    </row>
    <row r="2321" spans="1:19">
      <c r="A2321" s="18" t="s">
        <v>2225</v>
      </c>
      <c r="B2321" s="1" t="s">
        <v>2400</v>
      </c>
      <c r="C2321" s="1" t="s">
        <v>2389</v>
      </c>
      <c r="D2321" s="1" t="s">
        <v>2401</v>
      </c>
      <c r="E2321" s="1" t="s">
        <v>25</v>
      </c>
      <c r="F2321">
        <v>2100</v>
      </c>
      <c r="G2321">
        <v>2100</v>
      </c>
      <c r="H2321" s="1" t="s">
        <v>25</v>
      </c>
      <c r="I2321" s="1" t="s">
        <v>1528</v>
      </c>
      <c r="J2321" t="s">
        <v>25</v>
      </c>
      <c r="K2321" t="s">
        <v>25</v>
      </c>
      <c r="L2321">
        <v>-1.0532159939718526</v>
      </c>
      <c r="M2321" s="1" t="s">
        <v>23</v>
      </c>
      <c r="N2321" s="1" t="s">
        <v>230</v>
      </c>
      <c r="O2321" s="1" t="s">
        <v>25</v>
      </c>
      <c r="P2321" s="3" t="s">
        <v>25</v>
      </c>
      <c r="Q2321" s="37">
        <v>6.9573300000000005E-2</v>
      </c>
      <c r="R2321" s="1" t="s">
        <v>231</v>
      </c>
      <c r="S2321" s="13">
        <f t="shared" si="59"/>
        <v>-1.0532159939718526</v>
      </c>
    </row>
    <row r="2322" spans="1:19">
      <c r="A2322" s="18" t="s">
        <v>2225</v>
      </c>
      <c r="B2322" s="1" t="s">
        <v>2402</v>
      </c>
      <c r="C2322" s="1" t="s">
        <v>2322</v>
      </c>
      <c r="D2322" s="1" t="s">
        <v>2429</v>
      </c>
      <c r="E2322" s="1" t="s">
        <v>25</v>
      </c>
      <c r="F2322">
        <v>1800</v>
      </c>
      <c r="G2322">
        <v>1800</v>
      </c>
      <c r="H2322" s="1" t="s">
        <v>25</v>
      </c>
      <c r="I2322" s="1" t="s">
        <v>1528</v>
      </c>
      <c r="J2322" t="s">
        <v>25</v>
      </c>
      <c r="K2322" t="s">
        <v>25</v>
      </c>
      <c r="L2322">
        <v>-0.62067802156719909</v>
      </c>
      <c r="M2322" s="1" t="s">
        <v>23</v>
      </c>
      <c r="N2322" s="1" t="s">
        <v>230</v>
      </c>
      <c r="O2322" s="1" t="s">
        <v>25</v>
      </c>
      <c r="P2322" s="3" t="s">
        <v>25</v>
      </c>
      <c r="Q2322" s="37">
        <v>6.2770900000000004E-2</v>
      </c>
      <c r="R2322" s="1" t="s">
        <v>231</v>
      </c>
      <c r="S2322" s="13">
        <f t="shared" si="59"/>
        <v>-0.62067802156719909</v>
      </c>
    </row>
    <row r="2323" spans="1:19">
      <c r="A2323" s="18" t="s">
        <v>2225</v>
      </c>
      <c r="B2323" s="1" t="s">
        <v>2403</v>
      </c>
      <c r="C2323" s="1" t="s">
        <v>2322</v>
      </c>
      <c r="D2323" s="1" t="s">
        <v>2429</v>
      </c>
      <c r="E2323" s="1" t="s">
        <v>25</v>
      </c>
      <c r="F2323">
        <v>1800</v>
      </c>
      <c r="G2323">
        <v>1800</v>
      </c>
      <c r="H2323" s="1" t="s">
        <v>25</v>
      </c>
      <c r="I2323" s="1" t="s">
        <v>1528</v>
      </c>
      <c r="J2323" t="s">
        <v>25</v>
      </c>
      <c r="K2323" t="s">
        <v>25</v>
      </c>
      <c r="L2323">
        <v>-0.86358086170878345</v>
      </c>
      <c r="M2323" s="1" t="s">
        <v>23</v>
      </c>
      <c r="N2323" s="1" t="s">
        <v>230</v>
      </c>
      <c r="O2323" s="1" t="s">
        <v>25</v>
      </c>
      <c r="P2323" s="3" t="s">
        <v>25</v>
      </c>
      <c r="Q2323" s="37">
        <v>7.1728399999999998E-2</v>
      </c>
      <c r="R2323" s="1" t="s">
        <v>231</v>
      </c>
      <c r="S2323" s="13">
        <f t="shared" si="59"/>
        <v>-0.86358086170878345</v>
      </c>
    </row>
    <row r="2324" spans="1:19">
      <c r="A2324" s="18" t="s">
        <v>2225</v>
      </c>
      <c r="B2324" s="1" t="s">
        <v>2404</v>
      </c>
      <c r="C2324" s="1" t="s">
        <v>2322</v>
      </c>
      <c r="D2324" s="1" t="s">
        <v>2429</v>
      </c>
      <c r="E2324" s="1" t="s">
        <v>25</v>
      </c>
      <c r="F2324">
        <v>1800</v>
      </c>
      <c r="G2324">
        <v>1800</v>
      </c>
      <c r="H2324" s="1" t="s">
        <v>25</v>
      </c>
      <c r="I2324" s="1" t="s">
        <v>1528</v>
      </c>
      <c r="J2324" t="s">
        <v>25</v>
      </c>
      <c r="K2324" t="s">
        <v>25</v>
      </c>
      <c r="L2324">
        <v>-0.67618641079343778</v>
      </c>
      <c r="M2324" s="1" t="s">
        <v>23</v>
      </c>
      <c r="N2324" s="1" t="s">
        <v>230</v>
      </c>
      <c r="O2324" s="1" t="s">
        <v>25</v>
      </c>
      <c r="P2324" s="3" t="s">
        <v>25</v>
      </c>
      <c r="Q2324" s="37">
        <v>7.59996E-2</v>
      </c>
      <c r="R2324" s="1" t="s">
        <v>231</v>
      </c>
      <c r="S2324" s="13">
        <f t="shared" si="59"/>
        <v>-0.67618641079343778</v>
      </c>
    </row>
    <row r="2325" spans="1:19">
      <c r="A2325" s="18" t="s">
        <v>2225</v>
      </c>
      <c r="B2325" s="1" t="s">
        <v>2405</v>
      </c>
      <c r="C2325" s="1" t="s">
        <v>2322</v>
      </c>
      <c r="D2325" s="1" t="s">
        <v>2429</v>
      </c>
      <c r="E2325" s="1" t="s">
        <v>25</v>
      </c>
      <c r="F2325">
        <v>1800</v>
      </c>
      <c r="G2325">
        <v>1800</v>
      </c>
      <c r="H2325" s="1" t="s">
        <v>25</v>
      </c>
      <c r="I2325" s="1" t="s">
        <v>1528</v>
      </c>
      <c r="J2325" t="s">
        <v>25</v>
      </c>
      <c r="K2325" t="s">
        <v>25</v>
      </c>
      <c r="L2325">
        <v>-0.86913775806049132</v>
      </c>
      <c r="M2325" s="1" t="s">
        <v>23</v>
      </c>
      <c r="N2325" s="1" t="s">
        <v>230</v>
      </c>
      <c r="O2325" s="1" t="s">
        <v>25</v>
      </c>
      <c r="P2325" s="3" t="s">
        <v>25</v>
      </c>
      <c r="Q2325" s="37">
        <v>9.2508800000000002E-2</v>
      </c>
      <c r="R2325" s="1" t="s">
        <v>231</v>
      </c>
      <c r="S2325" s="13">
        <f t="shared" si="59"/>
        <v>-0.86913775806049132</v>
      </c>
    </row>
    <row r="2326" spans="1:19">
      <c r="A2326" s="18" t="s">
        <v>2225</v>
      </c>
      <c r="B2326" s="1" t="s">
        <v>2406</v>
      </c>
      <c r="C2326" s="1" t="s">
        <v>2322</v>
      </c>
      <c r="D2326" s="1" t="s">
        <v>2429</v>
      </c>
      <c r="E2326" s="1" t="s">
        <v>25</v>
      </c>
      <c r="F2326">
        <v>1800</v>
      </c>
      <c r="G2326">
        <v>1800</v>
      </c>
      <c r="H2326" s="1" t="s">
        <v>25</v>
      </c>
      <c r="I2326" s="1" t="s">
        <v>1528</v>
      </c>
      <c r="J2326" t="s">
        <v>25</v>
      </c>
      <c r="K2326" t="s">
        <v>25</v>
      </c>
      <c r="L2326">
        <v>-0.9668140298330784</v>
      </c>
      <c r="M2326" s="1" t="s">
        <v>23</v>
      </c>
      <c r="N2326" s="1" t="s">
        <v>230</v>
      </c>
      <c r="O2326" s="1" t="s">
        <v>25</v>
      </c>
      <c r="P2326" s="3" t="s">
        <v>25</v>
      </c>
      <c r="Q2326" s="37">
        <v>8.4439899999999998E-2</v>
      </c>
      <c r="R2326" s="1" t="s">
        <v>231</v>
      </c>
      <c r="S2326" s="13">
        <f t="shared" si="59"/>
        <v>-0.9668140298330784</v>
      </c>
    </row>
    <row r="2327" spans="1:19">
      <c r="A2327" s="18" t="s">
        <v>2225</v>
      </c>
      <c r="B2327" s="1" t="s">
        <v>2407</v>
      </c>
      <c r="C2327" s="1" t="s">
        <v>2322</v>
      </c>
      <c r="D2327" s="1" t="s">
        <v>2429</v>
      </c>
      <c r="E2327" s="1" t="s">
        <v>25</v>
      </c>
      <c r="F2327">
        <v>1800</v>
      </c>
      <c r="G2327">
        <v>1800</v>
      </c>
      <c r="H2327" s="1" t="s">
        <v>25</v>
      </c>
      <c r="I2327" s="1" t="s">
        <v>1528</v>
      </c>
      <c r="J2327" t="s">
        <v>25</v>
      </c>
      <c r="K2327" t="s">
        <v>25</v>
      </c>
      <c r="L2327">
        <v>-0.87874829978691216</v>
      </c>
      <c r="M2327" s="1" t="s">
        <v>23</v>
      </c>
      <c r="N2327" s="1" t="s">
        <v>230</v>
      </c>
      <c r="O2327" s="1" t="s">
        <v>25</v>
      </c>
      <c r="P2327" s="3" t="s">
        <v>25</v>
      </c>
      <c r="Q2327" s="37">
        <v>7.7443499999999998E-2</v>
      </c>
      <c r="R2327" s="1" t="s">
        <v>231</v>
      </c>
      <c r="S2327" s="13">
        <f t="shared" si="59"/>
        <v>-0.87874829978691216</v>
      </c>
    </row>
    <row r="2328" spans="1:19">
      <c r="A2328" s="18" t="s">
        <v>2225</v>
      </c>
      <c r="B2328" s="1" t="s">
        <v>2408</v>
      </c>
      <c r="C2328" s="1" t="s">
        <v>2322</v>
      </c>
      <c r="D2328" s="1" t="s">
        <v>2429</v>
      </c>
      <c r="E2328" s="1" t="s">
        <v>25</v>
      </c>
      <c r="F2328">
        <v>1800</v>
      </c>
      <c r="G2328">
        <v>1800</v>
      </c>
      <c r="H2328" s="1" t="s">
        <v>25</v>
      </c>
      <c r="I2328" s="1" t="s">
        <v>1528</v>
      </c>
      <c r="J2328" t="s">
        <v>25</v>
      </c>
      <c r="K2328" t="s">
        <v>25</v>
      </c>
      <c r="L2328">
        <v>-0.96874693574082893</v>
      </c>
      <c r="M2328" s="1" t="s">
        <v>23</v>
      </c>
      <c r="N2328" s="1" t="s">
        <v>230</v>
      </c>
      <c r="O2328" s="1" t="s">
        <v>25</v>
      </c>
      <c r="P2328" s="3" t="s">
        <v>25</v>
      </c>
      <c r="Q2328" s="37">
        <v>0.13913780000000001</v>
      </c>
      <c r="R2328" s="1" t="s">
        <v>231</v>
      </c>
      <c r="S2328" s="13">
        <f t="shared" si="59"/>
        <v>-0.96874693574082893</v>
      </c>
    </row>
    <row r="2329" spans="1:19">
      <c r="A2329" s="18" t="s">
        <v>2225</v>
      </c>
      <c r="B2329" s="1" t="s">
        <v>2409</v>
      </c>
      <c r="C2329" s="1" t="s">
        <v>2322</v>
      </c>
      <c r="D2329" s="1" t="s">
        <v>2429</v>
      </c>
      <c r="E2329" s="1" t="s">
        <v>25</v>
      </c>
      <c r="F2329">
        <v>1800</v>
      </c>
      <c r="G2329">
        <v>1800</v>
      </c>
      <c r="H2329" s="1" t="s">
        <v>25</v>
      </c>
      <c r="I2329" s="1" t="s">
        <v>1528</v>
      </c>
      <c r="J2329" t="s">
        <v>25</v>
      </c>
      <c r="K2329" t="s">
        <v>25</v>
      </c>
      <c r="L2329">
        <v>-0.94043522798274037</v>
      </c>
      <c r="M2329" s="1" t="s">
        <v>23</v>
      </c>
      <c r="N2329" s="1" t="s">
        <v>230</v>
      </c>
      <c r="O2329" s="1" t="s">
        <v>25</v>
      </c>
      <c r="P2329" s="3" t="s">
        <v>25</v>
      </c>
      <c r="Q2329" s="37">
        <v>0.12465470000000001</v>
      </c>
      <c r="R2329" s="1" t="s">
        <v>231</v>
      </c>
      <c r="S2329" s="13">
        <f t="shared" si="59"/>
        <v>-0.94043522798274037</v>
      </c>
    </row>
    <row r="2330" spans="1:19">
      <c r="A2330" s="18" t="s">
        <v>2225</v>
      </c>
      <c r="B2330" s="1" t="s">
        <v>2410</v>
      </c>
      <c r="C2330" s="1" t="s">
        <v>2322</v>
      </c>
      <c r="D2330" s="1" t="s">
        <v>2429</v>
      </c>
      <c r="E2330" s="1" t="s">
        <v>25</v>
      </c>
      <c r="F2330">
        <v>1800</v>
      </c>
      <c r="G2330">
        <v>1800</v>
      </c>
      <c r="H2330" s="1" t="s">
        <v>25</v>
      </c>
      <c r="I2330" s="1" t="s">
        <v>1528</v>
      </c>
      <c r="J2330" t="s">
        <v>25</v>
      </c>
      <c r="K2330" t="s">
        <v>25</v>
      </c>
      <c r="L2330">
        <v>-0.63788648145632498</v>
      </c>
      <c r="M2330" s="1" t="s">
        <v>23</v>
      </c>
      <c r="N2330" s="1" t="s">
        <v>230</v>
      </c>
      <c r="O2330" s="1" t="s">
        <v>25</v>
      </c>
      <c r="P2330" s="3" t="s">
        <v>25</v>
      </c>
      <c r="Q2330" s="37">
        <v>8.5685500000000012E-2</v>
      </c>
      <c r="R2330" s="1" t="s">
        <v>231</v>
      </c>
      <c r="S2330" s="13">
        <f t="shared" si="59"/>
        <v>-0.63788648145632498</v>
      </c>
    </row>
    <row r="2331" spans="1:19">
      <c r="A2331" s="18" t="s">
        <v>2225</v>
      </c>
      <c r="B2331" s="1" t="s">
        <v>2411</v>
      </c>
      <c r="C2331" s="1" t="s">
        <v>2322</v>
      </c>
      <c r="D2331" s="1" t="s">
        <v>2429</v>
      </c>
      <c r="E2331" s="1" t="s">
        <v>25</v>
      </c>
      <c r="F2331">
        <v>1800</v>
      </c>
      <c r="G2331">
        <v>1800</v>
      </c>
      <c r="H2331" s="1" t="s">
        <v>25</v>
      </c>
      <c r="I2331" s="1" t="s">
        <v>1528</v>
      </c>
      <c r="J2331" t="s">
        <v>25</v>
      </c>
      <c r="K2331" t="s">
        <v>25</v>
      </c>
      <c r="L2331">
        <v>-0.73647895484571102</v>
      </c>
      <c r="M2331" s="1" t="s">
        <v>23</v>
      </c>
      <c r="N2331" s="1" t="s">
        <v>230</v>
      </c>
      <c r="O2331" s="1" t="s">
        <v>25</v>
      </c>
      <c r="P2331" s="3" t="s">
        <v>25</v>
      </c>
      <c r="Q2331" s="37">
        <v>8.0252600000000007E-2</v>
      </c>
      <c r="R2331" s="1" t="s">
        <v>231</v>
      </c>
      <c r="S2331" s="13">
        <f t="shared" si="59"/>
        <v>-0.73647895484571102</v>
      </c>
    </row>
    <row r="2332" spans="1:19">
      <c r="A2332" s="18" t="s">
        <v>2225</v>
      </c>
      <c r="B2332" s="1" t="s">
        <v>2412</v>
      </c>
      <c r="C2332" s="1" t="s">
        <v>2322</v>
      </c>
      <c r="D2332" s="1" t="s">
        <v>2429</v>
      </c>
      <c r="E2332" s="1" t="s">
        <v>25</v>
      </c>
      <c r="F2332">
        <v>1800</v>
      </c>
      <c r="G2332">
        <v>1800</v>
      </c>
      <c r="H2332" s="1" t="s">
        <v>25</v>
      </c>
      <c r="I2332" s="1" t="s">
        <v>1528</v>
      </c>
      <c r="J2332" t="s">
        <v>25</v>
      </c>
      <c r="K2332" t="s">
        <v>25</v>
      </c>
      <c r="L2332">
        <v>-0.75366677687367256</v>
      </c>
      <c r="M2332" s="1" t="s">
        <v>23</v>
      </c>
      <c r="N2332" s="1" t="s">
        <v>230</v>
      </c>
      <c r="O2332" s="1" t="s">
        <v>25</v>
      </c>
      <c r="P2332" s="3" t="s">
        <v>25</v>
      </c>
      <c r="Q2332" s="37">
        <v>7.9191600000000001E-2</v>
      </c>
      <c r="R2332" s="1" t="s">
        <v>231</v>
      </c>
      <c r="S2332" s="13">
        <f t="shared" si="59"/>
        <v>-0.75366677687367256</v>
      </c>
    </row>
    <row r="2333" spans="1:19">
      <c r="A2333" s="18" t="s">
        <v>2225</v>
      </c>
      <c r="B2333" s="1" t="s">
        <v>2413</v>
      </c>
      <c r="C2333" s="1" t="s">
        <v>2322</v>
      </c>
      <c r="D2333" s="1" t="s">
        <v>2429</v>
      </c>
      <c r="E2333" s="1" t="s">
        <v>25</v>
      </c>
      <c r="F2333">
        <v>1800</v>
      </c>
      <c r="G2333">
        <v>1800</v>
      </c>
      <c r="H2333" s="1" t="s">
        <v>25</v>
      </c>
      <c r="I2333" s="1" t="s">
        <v>1528</v>
      </c>
      <c r="J2333" t="s">
        <v>25</v>
      </c>
      <c r="K2333" t="s">
        <v>25</v>
      </c>
      <c r="L2333">
        <v>-0.73062333122635037</v>
      </c>
      <c r="M2333" s="1" t="s">
        <v>23</v>
      </c>
      <c r="N2333" s="1" t="s">
        <v>230</v>
      </c>
      <c r="O2333" s="1" t="s">
        <v>25</v>
      </c>
      <c r="P2333" s="3" t="s">
        <v>25</v>
      </c>
      <c r="Q2333" s="37">
        <v>6.6429000000000002E-2</v>
      </c>
      <c r="R2333" s="1" t="s">
        <v>231</v>
      </c>
      <c r="S2333" s="13">
        <f t="shared" si="59"/>
        <v>-0.73062333122635037</v>
      </c>
    </row>
    <row r="2334" spans="1:19">
      <c r="A2334" s="18" t="s">
        <v>2225</v>
      </c>
      <c r="B2334" s="1" t="s">
        <v>2414</v>
      </c>
      <c r="C2334" s="1" t="s">
        <v>2322</v>
      </c>
      <c r="D2334" s="1" t="s">
        <v>2429</v>
      </c>
      <c r="E2334" s="1" t="s">
        <v>25</v>
      </c>
      <c r="F2334">
        <v>1800</v>
      </c>
      <c r="G2334">
        <v>1800</v>
      </c>
      <c r="H2334" s="1" t="s">
        <v>25</v>
      </c>
      <c r="I2334" s="1" t="s">
        <v>1528</v>
      </c>
      <c r="J2334" t="s">
        <v>25</v>
      </c>
      <c r="K2334" t="s">
        <v>25</v>
      </c>
      <c r="L2334">
        <v>-0.75803769237218366</v>
      </c>
      <c r="M2334" s="1" t="s">
        <v>23</v>
      </c>
      <c r="N2334" s="1" t="s">
        <v>230</v>
      </c>
      <c r="O2334" s="1" t="s">
        <v>25</v>
      </c>
      <c r="P2334" s="3" t="s">
        <v>25</v>
      </c>
      <c r="Q2334" s="37">
        <v>4.3817999999999996E-2</v>
      </c>
      <c r="R2334" s="1" t="s">
        <v>231</v>
      </c>
      <c r="S2334" s="13">
        <f t="shared" si="59"/>
        <v>-0.75803769237218366</v>
      </c>
    </row>
    <row r="2335" spans="1:19">
      <c r="A2335" s="18" t="s">
        <v>2225</v>
      </c>
      <c r="B2335" s="1" t="s">
        <v>2415</v>
      </c>
      <c r="C2335" s="1" t="s">
        <v>2322</v>
      </c>
      <c r="D2335" s="1" t="s">
        <v>2429</v>
      </c>
      <c r="E2335" s="1" t="s">
        <v>25</v>
      </c>
      <c r="F2335">
        <v>1800</v>
      </c>
      <c r="G2335">
        <v>1800</v>
      </c>
      <c r="H2335" s="1" t="s">
        <v>25</v>
      </c>
      <c r="I2335" s="1" t="s">
        <v>1528</v>
      </c>
      <c r="J2335" t="s">
        <v>25</v>
      </c>
      <c r="K2335" t="s">
        <v>25</v>
      </c>
      <c r="L2335">
        <v>-0.8880904993805715</v>
      </c>
      <c r="M2335" s="1" t="s">
        <v>23</v>
      </c>
      <c r="N2335" s="1" t="s">
        <v>230</v>
      </c>
      <c r="O2335" s="1" t="s">
        <v>25</v>
      </c>
      <c r="P2335" s="3" t="s">
        <v>25</v>
      </c>
      <c r="Q2335" s="37">
        <v>6.0009700000000006E-2</v>
      </c>
      <c r="R2335" s="1" t="s">
        <v>231</v>
      </c>
      <c r="S2335" s="13">
        <f t="shared" si="59"/>
        <v>-0.8880904993805715</v>
      </c>
    </row>
    <row r="2336" spans="1:19">
      <c r="A2336" s="18" t="s">
        <v>2225</v>
      </c>
      <c r="B2336" s="1" t="s">
        <v>2416</v>
      </c>
      <c r="C2336" s="1" t="s">
        <v>2322</v>
      </c>
      <c r="D2336" s="1" t="s">
        <v>2429</v>
      </c>
      <c r="E2336" s="1" t="s">
        <v>25</v>
      </c>
      <c r="F2336">
        <v>1800</v>
      </c>
      <c r="G2336">
        <v>1800</v>
      </c>
      <c r="H2336" s="1" t="s">
        <v>25</v>
      </c>
      <c r="I2336" s="1" t="s">
        <v>1528</v>
      </c>
      <c r="J2336" t="s">
        <v>25</v>
      </c>
      <c r="K2336" t="s">
        <v>25</v>
      </c>
      <c r="L2336">
        <v>-0.88673383829724217</v>
      </c>
      <c r="M2336" s="1" t="s">
        <v>23</v>
      </c>
      <c r="N2336" s="1" t="s">
        <v>230</v>
      </c>
      <c r="O2336" s="1" t="s">
        <v>25</v>
      </c>
      <c r="P2336" s="3" t="s">
        <v>25</v>
      </c>
      <c r="Q2336" s="37">
        <v>0.10853910000000001</v>
      </c>
      <c r="R2336" s="1" t="s">
        <v>231</v>
      </c>
      <c r="S2336" s="13">
        <f t="shared" si="59"/>
        <v>-0.88673383829724217</v>
      </c>
    </row>
    <row r="2337" spans="1:19">
      <c r="A2337" s="18" t="s">
        <v>2225</v>
      </c>
      <c r="B2337" s="1" t="s">
        <v>2417</v>
      </c>
      <c r="C2337" s="1" t="s">
        <v>2322</v>
      </c>
      <c r="D2337" s="1" t="s">
        <v>2429</v>
      </c>
      <c r="E2337" s="1" t="s">
        <v>25</v>
      </c>
      <c r="F2337">
        <v>1800</v>
      </c>
      <c r="G2337">
        <v>1800</v>
      </c>
      <c r="H2337" s="1" t="s">
        <v>25</v>
      </c>
      <c r="I2337" s="1" t="s">
        <v>1528</v>
      </c>
      <c r="J2337" t="s">
        <v>25</v>
      </c>
      <c r="K2337" t="s">
        <v>25</v>
      </c>
      <c r="L2337">
        <v>-0.9131654320633219</v>
      </c>
      <c r="M2337" s="1" t="s">
        <v>23</v>
      </c>
      <c r="N2337" s="1" t="s">
        <v>230</v>
      </c>
      <c r="O2337" s="1" t="s">
        <v>25</v>
      </c>
      <c r="P2337" s="3" t="s">
        <v>25</v>
      </c>
      <c r="Q2337" s="37">
        <v>0.14718969999999998</v>
      </c>
      <c r="R2337" s="1" t="s">
        <v>231</v>
      </c>
      <c r="S2337" s="13">
        <f t="shared" si="59"/>
        <v>-0.9131654320633219</v>
      </c>
    </row>
    <row r="2338" spans="1:19">
      <c r="A2338" s="18" t="s">
        <v>2225</v>
      </c>
      <c r="B2338" s="1" t="s">
        <v>2418</v>
      </c>
      <c r="C2338" s="1" t="s">
        <v>2322</v>
      </c>
      <c r="D2338" s="1" t="s">
        <v>2429</v>
      </c>
      <c r="E2338" s="1" t="s">
        <v>25</v>
      </c>
      <c r="F2338">
        <v>1800</v>
      </c>
      <c r="G2338">
        <v>1800</v>
      </c>
      <c r="H2338" s="1" t="s">
        <v>25</v>
      </c>
      <c r="I2338" s="1" t="s">
        <v>1528</v>
      </c>
      <c r="J2338" t="s">
        <v>25</v>
      </c>
      <c r="K2338" t="s">
        <v>25</v>
      </c>
      <c r="L2338">
        <v>-0.95890099631080072</v>
      </c>
      <c r="M2338" s="1" t="s">
        <v>23</v>
      </c>
      <c r="N2338" s="1" t="s">
        <v>230</v>
      </c>
      <c r="O2338" s="1" t="s">
        <v>25</v>
      </c>
      <c r="P2338" s="3" t="s">
        <v>25</v>
      </c>
      <c r="Q2338" s="37">
        <v>0.1167492</v>
      </c>
      <c r="R2338" s="1" t="s">
        <v>231</v>
      </c>
      <c r="S2338" s="13">
        <f t="shared" si="59"/>
        <v>-0.95890099631080072</v>
      </c>
    </row>
    <row r="2339" spans="1:19">
      <c r="A2339" s="18" t="s">
        <v>2225</v>
      </c>
      <c r="B2339" s="1" t="s">
        <v>2419</v>
      </c>
      <c r="C2339" s="1" t="s">
        <v>2322</v>
      </c>
      <c r="D2339" s="1" t="s">
        <v>2429</v>
      </c>
      <c r="E2339" s="1" t="s">
        <v>25</v>
      </c>
      <c r="F2339">
        <v>1800</v>
      </c>
      <c r="G2339">
        <v>1800</v>
      </c>
      <c r="H2339" s="1" t="s">
        <v>25</v>
      </c>
      <c r="I2339" s="1" t="s">
        <v>1528</v>
      </c>
      <c r="J2339" t="s">
        <v>25</v>
      </c>
      <c r="K2339" t="s">
        <v>25</v>
      </c>
      <c r="L2339">
        <v>-0.93233220427916141</v>
      </c>
      <c r="M2339" s="1" t="s">
        <v>23</v>
      </c>
      <c r="N2339" s="1" t="s">
        <v>230</v>
      </c>
      <c r="O2339" s="1" t="s">
        <v>25</v>
      </c>
      <c r="P2339" s="3" t="s">
        <v>25</v>
      </c>
      <c r="Q2339" s="37">
        <v>4.2258200000000003E-2</v>
      </c>
      <c r="R2339" s="1" t="s">
        <v>231</v>
      </c>
      <c r="S2339" s="13">
        <f t="shared" si="59"/>
        <v>-0.93233220427916141</v>
      </c>
    </row>
    <row r="2340" spans="1:19">
      <c r="A2340" s="18" t="s">
        <v>2225</v>
      </c>
      <c r="B2340" s="1" t="s">
        <v>2420</v>
      </c>
      <c r="C2340" s="1" t="s">
        <v>2322</v>
      </c>
      <c r="D2340" s="1" t="s">
        <v>2429</v>
      </c>
      <c r="E2340" s="1" t="s">
        <v>25</v>
      </c>
      <c r="F2340">
        <v>1800</v>
      </c>
      <c r="G2340">
        <v>1800</v>
      </c>
      <c r="H2340" s="1" t="s">
        <v>25</v>
      </c>
      <c r="I2340" s="1" t="s">
        <v>1528</v>
      </c>
      <c r="J2340" t="s">
        <v>25</v>
      </c>
      <c r="K2340" t="s">
        <v>25</v>
      </c>
      <c r="L2340">
        <v>-1.0304812176161957</v>
      </c>
      <c r="M2340" s="1" t="s">
        <v>23</v>
      </c>
      <c r="N2340" s="1" t="s">
        <v>230</v>
      </c>
      <c r="O2340" s="1" t="s">
        <v>25</v>
      </c>
      <c r="P2340" s="3" t="s">
        <v>25</v>
      </c>
      <c r="Q2340" s="37">
        <v>6.3242800000000002E-2</v>
      </c>
      <c r="R2340" s="1" t="s">
        <v>231</v>
      </c>
      <c r="S2340" s="13">
        <f t="shared" si="59"/>
        <v>-1.0304812176161957</v>
      </c>
    </row>
    <row r="2341" spans="1:19">
      <c r="A2341" s="18" t="s">
        <v>2225</v>
      </c>
      <c r="B2341" s="1" t="s">
        <v>2421</v>
      </c>
      <c r="C2341" s="1" t="s">
        <v>2322</v>
      </c>
      <c r="D2341" s="1" t="s">
        <v>2429</v>
      </c>
      <c r="E2341" s="1" t="s">
        <v>25</v>
      </c>
      <c r="F2341">
        <v>1800</v>
      </c>
      <c r="G2341">
        <v>1800</v>
      </c>
      <c r="H2341" s="1" t="s">
        <v>25</v>
      </c>
      <c r="I2341" s="1" t="s">
        <v>1528</v>
      </c>
      <c r="J2341" t="s">
        <v>25</v>
      </c>
      <c r="K2341" t="s">
        <v>25</v>
      </c>
      <c r="L2341">
        <v>-0.77365512175331541</v>
      </c>
      <c r="M2341" s="1" t="s">
        <v>23</v>
      </c>
      <c r="N2341" s="1" t="s">
        <v>230</v>
      </c>
      <c r="O2341" s="1" t="s">
        <v>25</v>
      </c>
      <c r="P2341" s="3" t="s">
        <v>25</v>
      </c>
      <c r="Q2341" s="37">
        <v>7.5776399999999994E-2</v>
      </c>
      <c r="R2341" s="1" t="s">
        <v>231</v>
      </c>
      <c r="S2341" s="13">
        <f t="shared" si="59"/>
        <v>-0.77365512175331541</v>
      </c>
    </row>
    <row r="2342" spans="1:19">
      <c r="A2342" s="18" t="s">
        <v>2225</v>
      </c>
      <c r="B2342" s="1" t="s">
        <v>2422</v>
      </c>
      <c r="C2342" s="1" t="s">
        <v>2322</v>
      </c>
      <c r="D2342" s="1" t="s">
        <v>2429</v>
      </c>
      <c r="E2342" s="1" t="s">
        <v>25</v>
      </c>
      <c r="F2342">
        <v>1800</v>
      </c>
      <c r="G2342">
        <v>1800</v>
      </c>
      <c r="H2342" s="1" t="s">
        <v>25</v>
      </c>
      <c r="I2342" s="1" t="s">
        <v>1528</v>
      </c>
      <c r="J2342" t="s">
        <v>25</v>
      </c>
      <c r="K2342" t="s">
        <v>25</v>
      </c>
      <c r="L2342">
        <v>-0.88033907519135957</v>
      </c>
      <c r="M2342" s="1" t="s">
        <v>23</v>
      </c>
      <c r="N2342" s="1" t="s">
        <v>230</v>
      </c>
      <c r="O2342" s="1" t="s">
        <v>25</v>
      </c>
      <c r="P2342" s="3" t="s">
        <v>25</v>
      </c>
      <c r="Q2342" s="37">
        <v>0.1248437</v>
      </c>
      <c r="R2342" s="1" t="s">
        <v>231</v>
      </c>
      <c r="S2342" s="13">
        <f t="shared" si="59"/>
        <v>-0.88033907519135957</v>
      </c>
    </row>
    <row r="2343" spans="1:19">
      <c r="A2343" s="18" t="s">
        <v>2225</v>
      </c>
      <c r="B2343" s="1" t="s">
        <v>2423</v>
      </c>
      <c r="C2343" s="1" t="s">
        <v>2322</v>
      </c>
      <c r="D2343" s="1" t="s">
        <v>2429</v>
      </c>
      <c r="E2343" s="1" t="s">
        <v>25</v>
      </c>
      <c r="F2343">
        <v>1800</v>
      </c>
      <c r="G2343">
        <v>1800</v>
      </c>
      <c r="H2343" s="1" t="s">
        <v>25</v>
      </c>
      <c r="I2343" s="1" t="s">
        <v>1528</v>
      </c>
      <c r="J2343" t="s">
        <v>25</v>
      </c>
      <c r="K2343" t="s">
        <v>25</v>
      </c>
      <c r="L2343">
        <v>-0.75706139477892276</v>
      </c>
      <c r="M2343" s="1" t="s">
        <v>23</v>
      </c>
      <c r="N2343" s="1" t="s">
        <v>230</v>
      </c>
      <c r="O2343" s="1" t="s">
        <v>25</v>
      </c>
      <c r="P2343" s="3" t="s">
        <v>25</v>
      </c>
      <c r="Q2343" s="37">
        <v>0.1170443</v>
      </c>
      <c r="R2343" s="1" t="s">
        <v>231</v>
      </c>
      <c r="S2343" s="13">
        <f t="shared" si="59"/>
        <v>-0.75706139477892276</v>
      </c>
    </row>
    <row r="2344" spans="1:19">
      <c r="A2344" s="18" t="s">
        <v>2225</v>
      </c>
      <c r="B2344" s="1" t="s">
        <v>2424</v>
      </c>
      <c r="C2344" s="1" t="s">
        <v>2322</v>
      </c>
      <c r="D2344" s="1" t="s">
        <v>2429</v>
      </c>
      <c r="E2344" s="1" t="s">
        <v>25</v>
      </c>
      <c r="F2344">
        <v>1800</v>
      </c>
      <c r="G2344">
        <v>1800</v>
      </c>
      <c r="H2344" s="1" t="s">
        <v>25</v>
      </c>
      <c r="I2344" s="1" t="s">
        <v>1528</v>
      </c>
      <c r="J2344" t="s">
        <v>25</v>
      </c>
      <c r="K2344" t="s">
        <v>25</v>
      </c>
      <c r="L2344">
        <v>-1.097116322330842</v>
      </c>
      <c r="M2344" s="1" t="s">
        <v>23</v>
      </c>
      <c r="N2344" s="1" t="s">
        <v>230</v>
      </c>
      <c r="O2344" s="1" t="s">
        <v>25</v>
      </c>
      <c r="P2344" s="3" t="s">
        <v>25</v>
      </c>
      <c r="Q2344" s="37">
        <v>0.2018519</v>
      </c>
      <c r="R2344" s="1" t="s">
        <v>231</v>
      </c>
      <c r="S2344" s="13">
        <f t="shared" si="59"/>
        <v>-1.097116322330842</v>
      </c>
    </row>
    <row r="2345" spans="1:19">
      <c r="A2345" s="18" t="s">
        <v>2225</v>
      </c>
      <c r="B2345" s="1" t="s">
        <v>2425</v>
      </c>
      <c r="C2345" s="1" t="s">
        <v>2322</v>
      </c>
      <c r="D2345" s="1" t="s">
        <v>2429</v>
      </c>
      <c r="E2345" s="1" t="s">
        <v>25</v>
      </c>
      <c r="F2345">
        <v>1800</v>
      </c>
      <c r="G2345">
        <v>1800</v>
      </c>
      <c r="H2345" s="1" t="s">
        <v>25</v>
      </c>
      <c r="I2345" s="1" t="s">
        <v>1528</v>
      </c>
      <c r="J2345" t="s">
        <v>25</v>
      </c>
      <c r="K2345" t="s">
        <v>25</v>
      </c>
      <c r="L2345">
        <v>-0.78563882205811719</v>
      </c>
      <c r="M2345" s="1" t="s">
        <v>23</v>
      </c>
      <c r="N2345" s="1" t="s">
        <v>230</v>
      </c>
      <c r="O2345" s="1" t="s">
        <v>25</v>
      </c>
      <c r="P2345" s="3" t="s">
        <v>25</v>
      </c>
      <c r="Q2345" s="37">
        <v>0.28459649999999997</v>
      </c>
      <c r="R2345" s="1" t="s">
        <v>231</v>
      </c>
      <c r="S2345" s="13">
        <f t="shared" si="59"/>
        <v>-0.78563882205811719</v>
      </c>
    </row>
    <row r="2346" spans="1:19">
      <c r="A2346" s="18" t="s">
        <v>2225</v>
      </c>
      <c r="B2346" s="1" t="s">
        <v>2426</v>
      </c>
      <c r="C2346" s="1" t="s">
        <v>2322</v>
      </c>
      <c r="D2346" s="1" t="s">
        <v>2429</v>
      </c>
      <c r="E2346" s="1" t="s">
        <v>25</v>
      </c>
      <c r="F2346">
        <v>1800</v>
      </c>
      <c r="G2346">
        <v>1800</v>
      </c>
      <c r="H2346" s="1" t="s">
        <v>25</v>
      </c>
      <c r="I2346" s="1" t="s">
        <v>1528</v>
      </c>
      <c r="J2346" t="s">
        <v>25</v>
      </c>
      <c r="K2346" t="s">
        <v>25</v>
      </c>
      <c r="L2346">
        <v>-0.56625058868822065</v>
      </c>
      <c r="M2346" s="1" t="s">
        <v>23</v>
      </c>
      <c r="N2346" s="1" t="s">
        <v>230</v>
      </c>
      <c r="O2346" s="1" t="s">
        <v>25</v>
      </c>
      <c r="P2346" s="3" t="s">
        <v>25</v>
      </c>
      <c r="Q2346" s="37">
        <v>0.23601050000000001</v>
      </c>
      <c r="R2346" s="1" t="s">
        <v>231</v>
      </c>
      <c r="S2346" s="13">
        <f t="shared" si="59"/>
        <v>-0.56625058868822065</v>
      </c>
    </row>
    <row r="2347" spans="1:19">
      <c r="A2347" s="18" t="s">
        <v>2225</v>
      </c>
      <c r="B2347" s="1" t="s">
        <v>2427</v>
      </c>
      <c r="C2347" s="1" t="s">
        <v>2322</v>
      </c>
      <c r="D2347" s="1" t="s">
        <v>2429</v>
      </c>
      <c r="E2347" s="1" t="s">
        <v>25</v>
      </c>
      <c r="F2347">
        <v>1800</v>
      </c>
      <c r="G2347">
        <v>1800</v>
      </c>
      <c r="H2347" s="1" t="s">
        <v>25</v>
      </c>
      <c r="I2347" s="1" t="s">
        <v>1528</v>
      </c>
      <c r="J2347" t="s">
        <v>25</v>
      </c>
      <c r="K2347" t="s">
        <v>25</v>
      </c>
      <c r="L2347">
        <v>-0.7834059876021553</v>
      </c>
      <c r="M2347" s="1" t="s">
        <v>23</v>
      </c>
      <c r="N2347" s="1" t="s">
        <v>230</v>
      </c>
      <c r="O2347" s="1" t="s">
        <v>25</v>
      </c>
      <c r="P2347" s="3" t="s">
        <v>25</v>
      </c>
      <c r="Q2347" s="37">
        <v>0.13092799999999999</v>
      </c>
      <c r="R2347" s="1" t="s">
        <v>231</v>
      </c>
      <c r="S2347" s="13">
        <f t="shared" si="59"/>
        <v>-0.7834059876021553</v>
      </c>
    </row>
    <row r="2348" spans="1:19">
      <c r="A2348" s="18" t="s">
        <v>2225</v>
      </c>
      <c r="B2348" s="1" t="s">
        <v>2428</v>
      </c>
      <c r="C2348" s="1" t="s">
        <v>2322</v>
      </c>
      <c r="D2348" s="1" t="s">
        <v>2429</v>
      </c>
      <c r="E2348" s="1" t="s">
        <v>25</v>
      </c>
      <c r="F2348">
        <v>1800</v>
      </c>
      <c r="G2348">
        <v>1800</v>
      </c>
      <c r="H2348" s="1" t="s">
        <v>25</v>
      </c>
      <c r="I2348" s="1" t="s">
        <v>1528</v>
      </c>
      <c r="J2348" t="s">
        <v>25</v>
      </c>
      <c r="K2348" t="s">
        <v>25</v>
      </c>
      <c r="L2348">
        <v>-0.77057958670887916</v>
      </c>
      <c r="M2348" s="1" t="s">
        <v>23</v>
      </c>
      <c r="N2348" s="1" t="s">
        <v>230</v>
      </c>
      <c r="O2348" s="1" t="s">
        <v>25</v>
      </c>
      <c r="P2348" s="3" t="s">
        <v>25</v>
      </c>
      <c r="Q2348" s="37">
        <v>6.5584900000000002E-2</v>
      </c>
      <c r="R2348" s="1" t="s">
        <v>231</v>
      </c>
      <c r="S2348" s="13">
        <f t="shared" ref="S2348:S2411" si="60">IF(NOT(N2348="SW"),L2348-1.88,L2348)</f>
        <v>-0.77057958670887916</v>
      </c>
    </row>
    <row r="2349" spans="1:19">
      <c r="A2349" s="18" t="s">
        <v>2225</v>
      </c>
      <c r="B2349" s="1" t="s">
        <v>1121</v>
      </c>
      <c r="C2349" s="1" t="s">
        <v>2459</v>
      </c>
      <c r="D2349" s="1" t="s">
        <v>2460</v>
      </c>
      <c r="E2349" s="1" t="s">
        <v>25</v>
      </c>
      <c r="F2349">
        <v>1700</v>
      </c>
      <c r="G2349">
        <v>1700</v>
      </c>
      <c r="H2349" s="1" t="s">
        <v>25</v>
      </c>
      <c r="I2349" s="1" t="s">
        <v>1528</v>
      </c>
      <c r="J2349" t="s">
        <v>25</v>
      </c>
      <c r="K2349" t="s">
        <v>25</v>
      </c>
      <c r="L2349">
        <v>-1.0854494149360447</v>
      </c>
      <c r="M2349" s="1" t="s">
        <v>23</v>
      </c>
      <c r="N2349" s="1" t="s">
        <v>230</v>
      </c>
      <c r="O2349" s="1" t="s">
        <v>25</v>
      </c>
      <c r="P2349" s="3" t="s">
        <v>25</v>
      </c>
      <c r="Q2349" s="37">
        <v>9.1580600000000012E-2</v>
      </c>
      <c r="R2349" s="1" t="s">
        <v>231</v>
      </c>
      <c r="S2349" s="13">
        <f t="shared" si="60"/>
        <v>-1.0854494149360447</v>
      </c>
    </row>
    <row r="2350" spans="1:19">
      <c r="A2350" s="18" t="s">
        <v>2225</v>
      </c>
      <c r="B2350" s="1" t="s">
        <v>2430</v>
      </c>
      <c r="C2350" s="1" t="s">
        <v>2459</v>
      </c>
      <c r="D2350" s="1" t="s">
        <v>2460</v>
      </c>
      <c r="E2350" s="1" t="s">
        <v>25</v>
      </c>
      <c r="F2350">
        <v>1700</v>
      </c>
      <c r="G2350">
        <v>1700</v>
      </c>
      <c r="H2350" s="1" t="s">
        <v>25</v>
      </c>
      <c r="I2350" s="1" t="s">
        <v>1528</v>
      </c>
      <c r="J2350" t="s">
        <v>25</v>
      </c>
      <c r="K2350" t="s">
        <v>25</v>
      </c>
      <c r="L2350">
        <v>-0.81478279979706392</v>
      </c>
      <c r="M2350" s="1" t="s">
        <v>23</v>
      </c>
      <c r="N2350" s="1" t="s">
        <v>230</v>
      </c>
      <c r="O2350" s="1" t="s">
        <v>25</v>
      </c>
      <c r="P2350" s="3" t="s">
        <v>25</v>
      </c>
      <c r="Q2350" s="37">
        <v>6.2593400000000007E-2</v>
      </c>
      <c r="R2350" s="1" t="s">
        <v>231</v>
      </c>
      <c r="S2350" s="13">
        <f t="shared" si="60"/>
        <v>-0.81478279979706392</v>
      </c>
    </row>
    <row r="2351" spans="1:19">
      <c r="A2351" s="18" t="s">
        <v>2225</v>
      </c>
      <c r="B2351" s="1" t="s">
        <v>2431</v>
      </c>
      <c r="C2351" s="1" t="s">
        <v>2459</v>
      </c>
      <c r="D2351" s="1" t="s">
        <v>2460</v>
      </c>
      <c r="E2351" s="1" t="s">
        <v>25</v>
      </c>
      <c r="F2351">
        <v>1700</v>
      </c>
      <c r="G2351">
        <v>1700</v>
      </c>
      <c r="H2351" s="1" t="s">
        <v>25</v>
      </c>
      <c r="I2351" s="1" t="s">
        <v>1528</v>
      </c>
      <c r="J2351" t="s">
        <v>25</v>
      </c>
      <c r="K2351" t="s">
        <v>25</v>
      </c>
      <c r="L2351">
        <v>-0.70124895366483619</v>
      </c>
      <c r="M2351" s="1" t="s">
        <v>23</v>
      </c>
      <c r="N2351" s="1" t="s">
        <v>230</v>
      </c>
      <c r="O2351" s="1" t="s">
        <v>25</v>
      </c>
      <c r="P2351" s="3" t="s">
        <v>25</v>
      </c>
      <c r="Q2351" s="37">
        <v>0.23908940000000001</v>
      </c>
      <c r="R2351" s="1" t="s">
        <v>231</v>
      </c>
      <c r="S2351" s="13">
        <f t="shared" si="60"/>
        <v>-0.70124895366483619</v>
      </c>
    </row>
    <row r="2352" spans="1:19">
      <c r="A2352" s="18" t="s">
        <v>2225</v>
      </c>
      <c r="B2352" s="1" t="s">
        <v>2432</v>
      </c>
      <c r="C2352" s="1" t="s">
        <v>2459</v>
      </c>
      <c r="D2352" s="1" t="s">
        <v>2460</v>
      </c>
      <c r="E2352" s="1" t="s">
        <v>25</v>
      </c>
      <c r="F2352">
        <v>1700</v>
      </c>
      <c r="G2352">
        <v>1700</v>
      </c>
      <c r="H2352" s="1" t="s">
        <v>25</v>
      </c>
      <c r="I2352" s="1" t="s">
        <v>1528</v>
      </c>
      <c r="J2352" t="s">
        <v>25</v>
      </c>
      <c r="K2352" t="s">
        <v>25</v>
      </c>
      <c r="L2352">
        <v>-0.76247196984190613</v>
      </c>
      <c r="M2352" s="1" t="s">
        <v>23</v>
      </c>
      <c r="N2352" s="1" t="s">
        <v>230</v>
      </c>
      <c r="O2352" s="1" t="s">
        <v>25</v>
      </c>
      <c r="P2352" s="3" t="s">
        <v>25</v>
      </c>
      <c r="Q2352" s="37">
        <v>0.28419690000000003</v>
      </c>
      <c r="R2352" s="1" t="s">
        <v>231</v>
      </c>
      <c r="S2352" s="13">
        <f t="shared" si="60"/>
        <v>-0.76247196984190613</v>
      </c>
    </row>
    <row r="2353" spans="1:19">
      <c r="A2353" s="18" t="s">
        <v>2225</v>
      </c>
      <c r="B2353" s="1" t="s">
        <v>2433</v>
      </c>
      <c r="C2353" s="1" t="s">
        <v>2459</v>
      </c>
      <c r="D2353" s="1" t="s">
        <v>2460</v>
      </c>
      <c r="E2353" s="1" t="s">
        <v>25</v>
      </c>
      <c r="F2353">
        <v>1700</v>
      </c>
      <c r="G2353">
        <v>1700</v>
      </c>
      <c r="H2353" s="1" t="s">
        <v>25</v>
      </c>
      <c r="I2353" s="1" t="s">
        <v>1528</v>
      </c>
      <c r="J2353" t="s">
        <v>25</v>
      </c>
      <c r="K2353" t="s">
        <v>25</v>
      </c>
      <c r="L2353">
        <v>-0.99385021679731433</v>
      </c>
      <c r="M2353" s="1" t="s">
        <v>23</v>
      </c>
      <c r="N2353" s="1" t="s">
        <v>230</v>
      </c>
      <c r="O2353" s="1" t="s">
        <v>25</v>
      </c>
      <c r="P2353" s="3" t="s">
        <v>25</v>
      </c>
      <c r="Q2353" s="37">
        <v>0.53443510000000005</v>
      </c>
      <c r="R2353" s="1" t="s">
        <v>231</v>
      </c>
      <c r="S2353" s="13">
        <f t="shared" si="60"/>
        <v>-0.99385021679731433</v>
      </c>
    </row>
    <row r="2354" spans="1:19">
      <c r="A2354" s="18" t="s">
        <v>2225</v>
      </c>
      <c r="B2354" s="1" t="s">
        <v>1117</v>
      </c>
      <c r="C2354" s="1" t="s">
        <v>2459</v>
      </c>
      <c r="D2354" s="1" t="s">
        <v>2460</v>
      </c>
      <c r="E2354" s="1" t="s">
        <v>25</v>
      </c>
      <c r="F2354">
        <v>1700</v>
      </c>
      <c r="G2354">
        <v>1700</v>
      </c>
      <c r="H2354" s="1" t="s">
        <v>25</v>
      </c>
      <c r="I2354" s="1" t="s">
        <v>1528</v>
      </c>
      <c r="J2354" t="s">
        <v>25</v>
      </c>
      <c r="K2354" t="s">
        <v>25</v>
      </c>
      <c r="L2354">
        <v>-0.77339709361217568</v>
      </c>
      <c r="M2354" s="1" t="s">
        <v>23</v>
      </c>
      <c r="N2354" s="1" t="s">
        <v>230</v>
      </c>
      <c r="O2354" s="1" t="s">
        <v>25</v>
      </c>
      <c r="P2354" s="3" t="s">
        <v>25</v>
      </c>
      <c r="Q2354" s="37">
        <v>6.6412499999999999E-2</v>
      </c>
      <c r="R2354" s="1" t="s">
        <v>231</v>
      </c>
      <c r="S2354" s="13">
        <f t="shared" si="60"/>
        <v>-0.77339709361217568</v>
      </c>
    </row>
    <row r="2355" spans="1:19">
      <c r="A2355" s="18" t="s">
        <v>2225</v>
      </c>
      <c r="B2355" s="1" t="s">
        <v>2434</v>
      </c>
      <c r="C2355" s="1" t="s">
        <v>2459</v>
      </c>
      <c r="D2355" s="1" t="s">
        <v>2460</v>
      </c>
      <c r="E2355" s="1" t="s">
        <v>25</v>
      </c>
      <c r="F2355">
        <v>1700</v>
      </c>
      <c r="G2355">
        <v>1700</v>
      </c>
      <c r="H2355" s="1" t="s">
        <v>25</v>
      </c>
      <c r="I2355" s="1" t="s">
        <v>1528</v>
      </c>
      <c r="J2355" t="s">
        <v>25</v>
      </c>
      <c r="K2355" t="s">
        <v>25</v>
      </c>
      <c r="L2355">
        <v>-1.002722148562059</v>
      </c>
      <c r="M2355" s="1" t="s">
        <v>23</v>
      </c>
      <c r="N2355" s="1" t="s">
        <v>230</v>
      </c>
      <c r="O2355" s="1" t="s">
        <v>25</v>
      </c>
      <c r="P2355" s="3" t="s">
        <v>25</v>
      </c>
      <c r="Q2355" s="37">
        <v>0.12646270000000001</v>
      </c>
      <c r="R2355" s="1" t="s">
        <v>231</v>
      </c>
      <c r="S2355" s="13">
        <f t="shared" si="60"/>
        <v>-1.002722148562059</v>
      </c>
    </row>
    <row r="2356" spans="1:19">
      <c r="A2356" s="18" t="s">
        <v>2225</v>
      </c>
      <c r="B2356" s="1" t="s">
        <v>2435</v>
      </c>
      <c r="C2356" s="1" t="s">
        <v>2459</v>
      </c>
      <c r="D2356" s="1" t="s">
        <v>2460</v>
      </c>
      <c r="E2356" s="1" t="s">
        <v>25</v>
      </c>
      <c r="F2356">
        <v>1700</v>
      </c>
      <c r="G2356">
        <v>1700</v>
      </c>
      <c r="H2356" s="1" t="s">
        <v>25</v>
      </c>
      <c r="I2356" s="1" t="s">
        <v>1528</v>
      </c>
      <c r="J2356" t="s">
        <v>25</v>
      </c>
      <c r="K2356" t="s">
        <v>25</v>
      </c>
      <c r="L2356">
        <v>-0.95639807701216473</v>
      </c>
      <c r="M2356" s="1" t="s">
        <v>23</v>
      </c>
      <c r="N2356" s="1" t="s">
        <v>230</v>
      </c>
      <c r="O2356" s="1" t="s">
        <v>25</v>
      </c>
      <c r="P2356" s="3" t="s">
        <v>25</v>
      </c>
      <c r="Q2356" s="37">
        <v>3.7350800000000003E-2</v>
      </c>
      <c r="R2356" s="1" t="s">
        <v>231</v>
      </c>
      <c r="S2356" s="13">
        <f t="shared" si="60"/>
        <v>-0.95639807701216473</v>
      </c>
    </row>
    <row r="2357" spans="1:19">
      <c r="A2357" s="18" t="s">
        <v>2225</v>
      </c>
      <c r="B2357" s="1" t="s">
        <v>2436</v>
      </c>
      <c r="C2357" s="1" t="s">
        <v>2459</v>
      </c>
      <c r="D2357" s="1" t="s">
        <v>2460</v>
      </c>
      <c r="E2357" s="1" t="s">
        <v>25</v>
      </c>
      <c r="F2357">
        <v>1700</v>
      </c>
      <c r="G2357">
        <v>1700</v>
      </c>
      <c r="H2357" s="1" t="s">
        <v>25</v>
      </c>
      <c r="I2357" s="1" t="s">
        <v>1528</v>
      </c>
      <c r="J2357" t="s">
        <v>25</v>
      </c>
      <c r="K2357" t="s">
        <v>25</v>
      </c>
      <c r="L2357">
        <v>-1.0153404928905168</v>
      </c>
      <c r="M2357" s="1" t="s">
        <v>23</v>
      </c>
      <c r="N2357" s="1" t="s">
        <v>230</v>
      </c>
      <c r="O2357" s="1" t="s">
        <v>25</v>
      </c>
      <c r="P2357" s="3" t="s">
        <v>25</v>
      </c>
      <c r="Q2357" s="37">
        <v>0.1441239</v>
      </c>
      <c r="R2357" s="1" t="s">
        <v>231</v>
      </c>
      <c r="S2357" s="13">
        <f t="shared" si="60"/>
        <v>-1.0153404928905168</v>
      </c>
    </row>
    <row r="2358" spans="1:19">
      <c r="A2358" s="18" t="s">
        <v>2225</v>
      </c>
      <c r="B2358" s="1" t="s">
        <v>2437</v>
      </c>
      <c r="C2358" s="1" t="s">
        <v>2459</v>
      </c>
      <c r="D2358" s="1" t="s">
        <v>2460</v>
      </c>
      <c r="E2358" s="1" t="s">
        <v>25</v>
      </c>
      <c r="F2358">
        <v>1700</v>
      </c>
      <c r="G2358">
        <v>1700</v>
      </c>
      <c r="H2358" s="1" t="s">
        <v>25</v>
      </c>
      <c r="I2358" s="1" t="s">
        <v>1528</v>
      </c>
      <c r="J2358" t="s">
        <v>25</v>
      </c>
      <c r="K2358" t="s">
        <v>25</v>
      </c>
      <c r="L2358">
        <v>-0.94163052334592245</v>
      </c>
      <c r="M2358" s="1" t="s">
        <v>23</v>
      </c>
      <c r="N2358" s="1" t="s">
        <v>230</v>
      </c>
      <c r="O2358" s="1" t="s">
        <v>25</v>
      </c>
      <c r="P2358" s="3" t="s">
        <v>25</v>
      </c>
      <c r="Q2358" s="37">
        <v>0.1036253</v>
      </c>
      <c r="R2358" s="1" t="s">
        <v>231</v>
      </c>
      <c r="S2358" s="13">
        <f t="shared" si="60"/>
        <v>-0.94163052334592245</v>
      </c>
    </row>
    <row r="2359" spans="1:19">
      <c r="A2359" s="18" t="s">
        <v>2225</v>
      </c>
      <c r="B2359" s="1" t="s">
        <v>2438</v>
      </c>
      <c r="C2359" s="1" t="s">
        <v>2459</v>
      </c>
      <c r="D2359" s="1" t="s">
        <v>2460</v>
      </c>
      <c r="E2359" s="1" t="s">
        <v>25</v>
      </c>
      <c r="F2359">
        <v>1700</v>
      </c>
      <c r="G2359">
        <v>1700</v>
      </c>
      <c r="H2359" s="1" t="s">
        <v>25</v>
      </c>
      <c r="I2359" s="1" t="s">
        <v>1528</v>
      </c>
      <c r="J2359" t="s">
        <v>25</v>
      </c>
      <c r="K2359" t="s">
        <v>25</v>
      </c>
      <c r="L2359">
        <v>-1.0550310266938021</v>
      </c>
      <c r="M2359" s="1" t="s">
        <v>23</v>
      </c>
      <c r="N2359" s="1" t="s">
        <v>230</v>
      </c>
      <c r="O2359" s="1" t="s">
        <v>25</v>
      </c>
      <c r="P2359" s="3" t="s">
        <v>25</v>
      </c>
      <c r="Q2359" s="37">
        <v>0.10418600000000001</v>
      </c>
      <c r="R2359" s="1" t="s">
        <v>231</v>
      </c>
      <c r="S2359" s="13">
        <f t="shared" si="60"/>
        <v>-1.0550310266938021</v>
      </c>
    </row>
    <row r="2360" spans="1:19">
      <c r="A2360" s="18" t="s">
        <v>2225</v>
      </c>
      <c r="B2360" s="1" t="s">
        <v>2439</v>
      </c>
      <c r="C2360" s="1" t="s">
        <v>2459</v>
      </c>
      <c r="D2360" s="1" t="s">
        <v>2460</v>
      </c>
      <c r="E2360" s="1" t="s">
        <v>25</v>
      </c>
      <c r="F2360">
        <v>1700</v>
      </c>
      <c r="G2360">
        <v>1700</v>
      </c>
      <c r="H2360" s="1" t="s">
        <v>25</v>
      </c>
      <c r="I2360" s="1" t="s">
        <v>1528</v>
      </c>
      <c r="J2360" t="s">
        <v>25</v>
      </c>
      <c r="K2360" t="s">
        <v>25</v>
      </c>
      <c r="L2360">
        <v>-1.0689241875043485</v>
      </c>
      <c r="M2360" s="1" t="s">
        <v>23</v>
      </c>
      <c r="N2360" s="1" t="s">
        <v>230</v>
      </c>
      <c r="O2360" s="1" t="s">
        <v>25</v>
      </c>
      <c r="P2360" s="3" t="s">
        <v>25</v>
      </c>
      <c r="Q2360" s="37">
        <v>0.15281139999999999</v>
      </c>
      <c r="R2360" s="1" t="s">
        <v>231</v>
      </c>
      <c r="S2360" s="13">
        <f t="shared" si="60"/>
        <v>-1.0689241875043485</v>
      </c>
    </row>
    <row r="2361" spans="1:19">
      <c r="A2361" s="18" t="s">
        <v>2225</v>
      </c>
      <c r="B2361" s="1" t="s">
        <v>2440</v>
      </c>
      <c r="C2361" s="1" t="s">
        <v>2459</v>
      </c>
      <c r="D2361" s="1" t="s">
        <v>2460</v>
      </c>
      <c r="E2361" s="1" t="s">
        <v>25</v>
      </c>
      <c r="F2361">
        <v>1700</v>
      </c>
      <c r="G2361">
        <v>1700</v>
      </c>
      <c r="H2361" s="1" t="s">
        <v>25</v>
      </c>
      <c r="I2361" s="1" t="s">
        <v>1528</v>
      </c>
      <c r="J2361" t="s">
        <v>25</v>
      </c>
      <c r="K2361" t="s">
        <v>25</v>
      </c>
      <c r="L2361">
        <v>-1.1910152798224674</v>
      </c>
      <c r="M2361" s="1" t="s">
        <v>23</v>
      </c>
      <c r="N2361" s="1" t="s">
        <v>230</v>
      </c>
      <c r="O2361" s="1" t="s">
        <v>25</v>
      </c>
      <c r="P2361" s="3" t="s">
        <v>25</v>
      </c>
      <c r="Q2361" s="37">
        <v>1.5142838999999999</v>
      </c>
      <c r="R2361" s="1" t="s">
        <v>231</v>
      </c>
      <c r="S2361" s="13">
        <f t="shared" si="60"/>
        <v>-1.1910152798224674</v>
      </c>
    </row>
    <row r="2362" spans="1:19">
      <c r="A2362" s="18" t="s">
        <v>2225</v>
      </c>
      <c r="B2362" s="1" t="s">
        <v>2441</v>
      </c>
      <c r="C2362" s="1" t="s">
        <v>2459</v>
      </c>
      <c r="D2362" s="1" t="s">
        <v>2460</v>
      </c>
      <c r="E2362" s="1" t="s">
        <v>25</v>
      </c>
      <c r="F2362">
        <v>1700</v>
      </c>
      <c r="G2362">
        <v>1700</v>
      </c>
      <c r="H2362" s="1" t="s">
        <v>25</v>
      </c>
      <c r="I2362" s="1" t="s">
        <v>1528</v>
      </c>
      <c r="J2362" t="s">
        <v>25</v>
      </c>
      <c r="K2362" t="s">
        <v>25</v>
      </c>
      <c r="L2362">
        <v>-1.2386140957942313</v>
      </c>
      <c r="M2362" s="1" t="s">
        <v>23</v>
      </c>
      <c r="N2362" s="1" t="s">
        <v>230</v>
      </c>
      <c r="O2362" s="1" t="s">
        <v>25</v>
      </c>
      <c r="P2362" s="3" t="s">
        <v>25</v>
      </c>
      <c r="Q2362" s="37">
        <v>0.98865250000000005</v>
      </c>
      <c r="R2362" s="1" t="s">
        <v>231</v>
      </c>
      <c r="S2362" s="13">
        <f t="shared" si="60"/>
        <v>-1.2386140957942313</v>
      </c>
    </row>
    <row r="2363" spans="1:19">
      <c r="A2363" s="18" t="s">
        <v>2225</v>
      </c>
      <c r="B2363" s="1" t="s">
        <v>2442</v>
      </c>
      <c r="C2363" s="1" t="s">
        <v>2459</v>
      </c>
      <c r="D2363" s="1" t="s">
        <v>2460</v>
      </c>
      <c r="E2363" s="1" t="s">
        <v>25</v>
      </c>
      <c r="F2363">
        <v>1700</v>
      </c>
      <c r="G2363">
        <v>1700</v>
      </c>
      <c r="H2363" s="1" t="s">
        <v>25</v>
      </c>
      <c r="I2363" s="1" t="s">
        <v>1528</v>
      </c>
      <c r="J2363" t="s">
        <v>25</v>
      </c>
      <c r="K2363" t="s">
        <v>25</v>
      </c>
      <c r="L2363">
        <v>-0.88705874889736391</v>
      </c>
      <c r="M2363" s="1" t="s">
        <v>23</v>
      </c>
      <c r="N2363" s="1" t="s">
        <v>230</v>
      </c>
      <c r="O2363" s="1" t="s">
        <v>25</v>
      </c>
      <c r="P2363" s="3" t="s">
        <v>25</v>
      </c>
      <c r="Q2363" s="37">
        <v>0.37391219999999997</v>
      </c>
      <c r="R2363" s="1" t="s">
        <v>231</v>
      </c>
      <c r="S2363" s="13">
        <f t="shared" si="60"/>
        <v>-0.88705874889736391</v>
      </c>
    </row>
    <row r="2364" spans="1:19">
      <c r="A2364" s="18" t="s">
        <v>2225</v>
      </c>
      <c r="B2364" s="1" t="s">
        <v>2443</v>
      </c>
      <c r="C2364" s="1" t="s">
        <v>2459</v>
      </c>
      <c r="D2364" s="1" t="s">
        <v>2460</v>
      </c>
      <c r="E2364" s="1" t="s">
        <v>25</v>
      </c>
      <c r="F2364">
        <v>1700</v>
      </c>
      <c r="G2364">
        <v>1700</v>
      </c>
      <c r="H2364" s="1" t="s">
        <v>25</v>
      </c>
      <c r="I2364" s="1" t="s">
        <v>1528</v>
      </c>
      <c r="J2364" t="s">
        <v>25</v>
      </c>
      <c r="K2364" t="s">
        <v>25</v>
      </c>
      <c r="L2364">
        <v>-0.78780895151046726</v>
      </c>
      <c r="M2364" s="1" t="s">
        <v>23</v>
      </c>
      <c r="N2364" s="1" t="s">
        <v>230</v>
      </c>
      <c r="O2364" s="1" t="s">
        <v>25</v>
      </c>
      <c r="P2364" s="3" t="s">
        <v>25</v>
      </c>
      <c r="Q2364" s="37">
        <v>0.41873250000000001</v>
      </c>
      <c r="R2364" s="1" t="s">
        <v>231</v>
      </c>
      <c r="S2364" s="13">
        <f t="shared" si="60"/>
        <v>-0.78780895151046726</v>
      </c>
    </row>
    <row r="2365" spans="1:19">
      <c r="A2365" s="18" t="s">
        <v>2225</v>
      </c>
      <c r="B2365" s="1" t="s">
        <v>2444</v>
      </c>
      <c r="C2365" s="1" t="s">
        <v>2459</v>
      </c>
      <c r="D2365" s="1" t="s">
        <v>2460</v>
      </c>
      <c r="E2365" s="1" t="s">
        <v>25</v>
      </c>
      <c r="F2365">
        <v>1700</v>
      </c>
      <c r="G2365">
        <v>1700</v>
      </c>
      <c r="H2365" s="1" t="s">
        <v>25</v>
      </c>
      <c r="I2365" s="1" t="s">
        <v>1528</v>
      </c>
      <c r="J2365" t="s">
        <v>25</v>
      </c>
      <c r="K2365" t="s">
        <v>25</v>
      </c>
      <c r="L2365">
        <v>-0.92111271921091675</v>
      </c>
      <c r="M2365" s="1" t="s">
        <v>23</v>
      </c>
      <c r="N2365" s="1" t="s">
        <v>230</v>
      </c>
      <c r="O2365" s="1" t="s">
        <v>25</v>
      </c>
      <c r="P2365" s="3" t="s">
        <v>25</v>
      </c>
      <c r="Q2365" s="37">
        <v>0.357904</v>
      </c>
      <c r="R2365" s="1" t="s">
        <v>231</v>
      </c>
      <c r="S2365" s="13">
        <f t="shared" si="60"/>
        <v>-0.92111271921091675</v>
      </c>
    </row>
    <row r="2366" spans="1:19">
      <c r="A2366" s="18" t="s">
        <v>2225</v>
      </c>
      <c r="B2366" s="1" t="s">
        <v>2445</v>
      </c>
      <c r="C2366" s="1" t="s">
        <v>2459</v>
      </c>
      <c r="D2366" s="1" t="s">
        <v>2460</v>
      </c>
      <c r="E2366" s="1" t="s">
        <v>25</v>
      </c>
      <c r="F2366">
        <v>1700</v>
      </c>
      <c r="G2366">
        <v>1700</v>
      </c>
      <c r="H2366" s="1" t="s">
        <v>25</v>
      </c>
      <c r="I2366" s="1" t="s">
        <v>1528</v>
      </c>
      <c r="J2366" t="s">
        <v>25</v>
      </c>
      <c r="K2366" t="s">
        <v>25</v>
      </c>
      <c r="L2366">
        <v>-0.6642353307477048</v>
      </c>
      <c r="M2366" s="1" t="s">
        <v>23</v>
      </c>
      <c r="N2366" s="1" t="s">
        <v>230</v>
      </c>
      <c r="O2366" s="1" t="s">
        <v>25</v>
      </c>
      <c r="P2366" s="3" t="s">
        <v>25</v>
      </c>
      <c r="Q2366" s="37">
        <v>0.31828269999999997</v>
      </c>
      <c r="R2366" s="1" t="s">
        <v>231</v>
      </c>
      <c r="S2366" s="13">
        <f t="shared" si="60"/>
        <v>-0.6642353307477048</v>
      </c>
    </row>
    <row r="2367" spans="1:19">
      <c r="A2367" s="18" t="s">
        <v>2225</v>
      </c>
      <c r="B2367" s="1" t="s">
        <v>2446</v>
      </c>
      <c r="C2367" s="1" t="s">
        <v>2459</v>
      </c>
      <c r="D2367" s="1" t="s">
        <v>2460</v>
      </c>
      <c r="E2367" s="1" t="s">
        <v>25</v>
      </c>
      <c r="F2367">
        <v>1700</v>
      </c>
      <c r="G2367">
        <v>1700</v>
      </c>
      <c r="H2367" s="1" t="s">
        <v>25</v>
      </c>
      <c r="I2367" s="1" t="s">
        <v>1528</v>
      </c>
      <c r="J2367" t="s">
        <v>25</v>
      </c>
      <c r="K2367" t="s">
        <v>25</v>
      </c>
      <c r="L2367">
        <v>-0.80393519881988984</v>
      </c>
      <c r="M2367" s="1" t="s">
        <v>23</v>
      </c>
      <c r="N2367" s="1" t="s">
        <v>230</v>
      </c>
      <c r="O2367" s="1" t="s">
        <v>25</v>
      </c>
      <c r="P2367" s="3" t="s">
        <v>25</v>
      </c>
      <c r="Q2367" s="37">
        <v>0.40860050000000003</v>
      </c>
      <c r="R2367" s="1" t="s">
        <v>231</v>
      </c>
      <c r="S2367" s="13">
        <f t="shared" si="60"/>
        <v>-0.80393519881988984</v>
      </c>
    </row>
    <row r="2368" spans="1:19">
      <c r="A2368" s="18" t="s">
        <v>2225</v>
      </c>
      <c r="B2368" s="1" t="s">
        <v>2447</v>
      </c>
      <c r="C2368" s="1" t="s">
        <v>2459</v>
      </c>
      <c r="D2368" s="1" t="s">
        <v>2460</v>
      </c>
      <c r="E2368" s="1" t="s">
        <v>25</v>
      </c>
      <c r="F2368">
        <v>1700</v>
      </c>
      <c r="G2368">
        <v>1700</v>
      </c>
      <c r="H2368" s="1" t="s">
        <v>25</v>
      </c>
      <c r="I2368" s="1" t="s">
        <v>1528</v>
      </c>
      <c r="J2368" t="s">
        <v>25</v>
      </c>
      <c r="K2368" t="s">
        <v>25</v>
      </c>
      <c r="L2368">
        <v>-0.86952998464616271</v>
      </c>
      <c r="M2368" s="1" t="s">
        <v>23</v>
      </c>
      <c r="N2368" s="1" t="s">
        <v>230</v>
      </c>
      <c r="O2368" s="1" t="s">
        <v>25</v>
      </c>
      <c r="P2368" s="3" t="s">
        <v>25</v>
      </c>
      <c r="Q2368" s="37">
        <v>0.29454010000000003</v>
      </c>
      <c r="R2368" s="1" t="s">
        <v>231</v>
      </c>
      <c r="S2368" s="13">
        <f t="shared" si="60"/>
        <v>-0.86952998464616271</v>
      </c>
    </row>
    <row r="2369" spans="1:19">
      <c r="A2369" s="18" t="s">
        <v>2225</v>
      </c>
      <c r="B2369" s="1" t="s">
        <v>2448</v>
      </c>
      <c r="C2369" s="1" t="s">
        <v>2459</v>
      </c>
      <c r="D2369" s="1" t="s">
        <v>2460</v>
      </c>
      <c r="E2369" s="1" t="s">
        <v>25</v>
      </c>
      <c r="F2369">
        <v>1700</v>
      </c>
      <c r="G2369">
        <v>1700</v>
      </c>
      <c r="H2369" s="1" t="s">
        <v>25</v>
      </c>
      <c r="I2369" s="1" t="s">
        <v>1528</v>
      </c>
      <c r="J2369" t="s">
        <v>25</v>
      </c>
      <c r="K2369" t="s">
        <v>25</v>
      </c>
      <c r="L2369">
        <v>-0.71876192380953696</v>
      </c>
      <c r="M2369" s="1" t="s">
        <v>23</v>
      </c>
      <c r="N2369" s="1" t="s">
        <v>230</v>
      </c>
      <c r="O2369" s="1" t="s">
        <v>25</v>
      </c>
      <c r="P2369" s="3" t="s">
        <v>25</v>
      </c>
      <c r="Q2369" s="37">
        <v>0.30417809999999995</v>
      </c>
      <c r="R2369" s="1" t="s">
        <v>231</v>
      </c>
      <c r="S2369" s="13">
        <f t="shared" si="60"/>
        <v>-0.71876192380953696</v>
      </c>
    </row>
    <row r="2370" spans="1:19">
      <c r="A2370" s="18" t="s">
        <v>2225</v>
      </c>
      <c r="B2370" s="1" t="s">
        <v>2449</v>
      </c>
      <c r="C2370" s="1" t="s">
        <v>2459</v>
      </c>
      <c r="D2370" s="1" t="s">
        <v>2460</v>
      </c>
      <c r="E2370" s="1" t="s">
        <v>25</v>
      </c>
      <c r="F2370">
        <v>1700</v>
      </c>
      <c r="G2370">
        <v>1700</v>
      </c>
      <c r="H2370" s="1" t="s">
        <v>25</v>
      </c>
      <c r="I2370" s="1" t="s">
        <v>1528</v>
      </c>
      <c r="J2370" t="s">
        <v>25</v>
      </c>
      <c r="K2370" t="s">
        <v>25</v>
      </c>
      <c r="L2370">
        <v>-0.85744469668794987</v>
      </c>
      <c r="M2370" s="1" t="s">
        <v>23</v>
      </c>
      <c r="N2370" s="1" t="s">
        <v>230</v>
      </c>
      <c r="O2370" s="1" t="s">
        <v>25</v>
      </c>
      <c r="P2370" s="3" t="s">
        <v>25</v>
      </c>
      <c r="Q2370" s="37">
        <v>0.30089030000000005</v>
      </c>
      <c r="R2370" s="1" t="s">
        <v>231</v>
      </c>
      <c r="S2370" s="13">
        <f t="shared" si="60"/>
        <v>-0.85744469668794987</v>
      </c>
    </row>
    <row r="2371" spans="1:19">
      <c r="A2371" s="18" t="s">
        <v>2225</v>
      </c>
      <c r="B2371" s="1" t="s">
        <v>2450</v>
      </c>
      <c r="C2371" s="1" t="s">
        <v>2459</v>
      </c>
      <c r="D2371" s="1" t="s">
        <v>2460</v>
      </c>
      <c r="E2371" s="1" t="s">
        <v>25</v>
      </c>
      <c r="F2371">
        <v>1700</v>
      </c>
      <c r="G2371">
        <v>1700</v>
      </c>
      <c r="H2371" s="1" t="s">
        <v>25</v>
      </c>
      <c r="I2371" s="1" t="s">
        <v>1528</v>
      </c>
      <c r="J2371" t="s">
        <v>25</v>
      </c>
      <c r="K2371" t="s">
        <v>25</v>
      </c>
      <c r="L2371">
        <v>-0.80880414553128255</v>
      </c>
      <c r="M2371" s="1" t="s">
        <v>23</v>
      </c>
      <c r="N2371" s="1" t="s">
        <v>230</v>
      </c>
      <c r="O2371" s="1" t="s">
        <v>25</v>
      </c>
      <c r="P2371" s="3" t="s">
        <v>25</v>
      </c>
      <c r="Q2371" s="37">
        <v>0.24884020000000001</v>
      </c>
      <c r="R2371" s="1" t="s">
        <v>231</v>
      </c>
      <c r="S2371" s="13">
        <f t="shared" si="60"/>
        <v>-0.80880414553128255</v>
      </c>
    </row>
    <row r="2372" spans="1:19">
      <c r="A2372" s="18" t="s">
        <v>2225</v>
      </c>
      <c r="B2372" s="1" t="s">
        <v>2451</v>
      </c>
      <c r="C2372" s="1" t="s">
        <v>2459</v>
      </c>
      <c r="D2372" s="1" t="s">
        <v>2460</v>
      </c>
      <c r="E2372" s="1" t="s">
        <v>25</v>
      </c>
      <c r="F2372">
        <v>1700</v>
      </c>
      <c r="G2372">
        <v>1700</v>
      </c>
      <c r="H2372" s="1" t="s">
        <v>25</v>
      </c>
      <c r="I2372" s="1" t="s">
        <v>1528</v>
      </c>
      <c r="J2372" t="s">
        <v>25</v>
      </c>
      <c r="K2372" t="s">
        <v>25</v>
      </c>
      <c r="L2372">
        <v>-0.6448923543721744</v>
      </c>
      <c r="M2372" s="1" t="s">
        <v>23</v>
      </c>
      <c r="N2372" s="1" t="s">
        <v>230</v>
      </c>
      <c r="O2372" s="1" t="s">
        <v>25</v>
      </c>
      <c r="P2372" s="3" t="s">
        <v>25</v>
      </c>
      <c r="Q2372" s="37">
        <v>0.22901070000000001</v>
      </c>
      <c r="R2372" s="1" t="s">
        <v>231</v>
      </c>
      <c r="S2372" s="13">
        <f t="shared" si="60"/>
        <v>-0.6448923543721744</v>
      </c>
    </row>
    <row r="2373" spans="1:19">
      <c r="A2373" s="18" t="s">
        <v>2225</v>
      </c>
      <c r="B2373" s="1" t="s">
        <v>2452</v>
      </c>
      <c r="C2373" s="1" t="s">
        <v>2459</v>
      </c>
      <c r="D2373" s="1" t="s">
        <v>2460</v>
      </c>
      <c r="E2373" s="1" t="s">
        <v>25</v>
      </c>
      <c r="F2373">
        <v>1700</v>
      </c>
      <c r="G2373">
        <v>1700</v>
      </c>
      <c r="H2373" s="1" t="s">
        <v>25</v>
      </c>
      <c r="I2373" s="1" t="s">
        <v>1528</v>
      </c>
      <c r="J2373" t="s">
        <v>25</v>
      </c>
      <c r="K2373" t="s">
        <v>25</v>
      </c>
      <c r="L2373">
        <v>-0.7153217100538054</v>
      </c>
      <c r="M2373" s="1" t="s">
        <v>23</v>
      </c>
      <c r="N2373" s="1" t="s">
        <v>230</v>
      </c>
      <c r="O2373" s="1" t="s">
        <v>25</v>
      </c>
      <c r="P2373" s="3" t="s">
        <v>25</v>
      </c>
      <c r="Q2373" s="37">
        <v>0.19506219999999999</v>
      </c>
      <c r="R2373" s="1" t="s">
        <v>231</v>
      </c>
      <c r="S2373" s="13">
        <f t="shared" si="60"/>
        <v>-0.7153217100538054</v>
      </c>
    </row>
    <row r="2374" spans="1:19">
      <c r="A2374" s="18" t="s">
        <v>2225</v>
      </c>
      <c r="B2374" s="1" t="s">
        <v>2453</v>
      </c>
      <c r="C2374" s="1" t="s">
        <v>2459</v>
      </c>
      <c r="D2374" s="1" t="s">
        <v>2460</v>
      </c>
      <c r="E2374" s="1" t="s">
        <v>25</v>
      </c>
      <c r="F2374">
        <v>1700</v>
      </c>
      <c r="G2374">
        <v>1700</v>
      </c>
      <c r="H2374" s="1" t="s">
        <v>25</v>
      </c>
      <c r="I2374" s="1" t="s">
        <v>1528</v>
      </c>
      <c r="J2374" t="s">
        <v>25</v>
      </c>
      <c r="K2374" t="s">
        <v>25</v>
      </c>
      <c r="L2374">
        <v>-0.69908310562273457</v>
      </c>
      <c r="M2374" s="1" t="s">
        <v>23</v>
      </c>
      <c r="N2374" s="1" t="s">
        <v>230</v>
      </c>
      <c r="O2374" s="1" t="s">
        <v>25</v>
      </c>
      <c r="P2374" s="3" t="s">
        <v>25</v>
      </c>
      <c r="Q2374" s="37">
        <v>0.25385790000000003</v>
      </c>
      <c r="R2374" s="1" t="s">
        <v>231</v>
      </c>
      <c r="S2374" s="13">
        <f t="shared" si="60"/>
        <v>-0.69908310562273457</v>
      </c>
    </row>
    <row r="2375" spans="1:19">
      <c r="A2375" s="18" t="s">
        <v>2225</v>
      </c>
      <c r="B2375" s="1" t="s">
        <v>2454</v>
      </c>
      <c r="C2375" s="1" t="s">
        <v>2459</v>
      </c>
      <c r="D2375" s="1" t="s">
        <v>2460</v>
      </c>
      <c r="E2375" s="1" t="s">
        <v>25</v>
      </c>
      <c r="F2375">
        <v>1700</v>
      </c>
      <c r="G2375">
        <v>1700</v>
      </c>
      <c r="H2375" s="1" t="s">
        <v>25</v>
      </c>
      <c r="I2375" s="1" t="s">
        <v>1528</v>
      </c>
      <c r="J2375" t="s">
        <v>25</v>
      </c>
      <c r="K2375" t="s">
        <v>25</v>
      </c>
      <c r="L2375">
        <v>-0.75291433944974984</v>
      </c>
      <c r="M2375" s="1" t="s">
        <v>23</v>
      </c>
      <c r="N2375" s="1" t="s">
        <v>230</v>
      </c>
      <c r="O2375" s="1" t="s">
        <v>25</v>
      </c>
      <c r="P2375" s="3" t="s">
        <v>25</v>
      </c>
      <c r="Q2375" s="37">
        <v>5.6390200000000001E-2</v>
      </c>
      <c r="R2375" s="1" t="s">
        <v>231</v>
      </c>
      <c r="S2375" s="13">
        <f t="shared" si="60"/>
        <v>-0.75291433944974984</v>
      </c>
    </row>
    <row r="2376" spans="1:19">
      <c r="A2376" s="18" t="s">
        <v>2225</v>
      </c>
      <c r="B2376" s="1" t="s">
        <v>2455</v>
      </c>
      <c r="C2376" s="1" t="s">
        <v>2459</v>
      </c>
      <c r="D2376" s="1" t="s">
        <v>2460</v>
      </c>
      <c r="E2376" s="1" t="s">
        <v>25</v>
      </c>
      <c r="F2376">
        <v>1700</v>
      </c>
      <c r="G2376">
        <v>1700</v>
      </c>
      <c r="H2376" s="1" t="s">
        <v>25</v>
      </c>
      <c r="I2376" s="1" t="s">
        <v>1528</v>
      </c>
      <c r="J2376" t="s">
        <v>25</v>
      </c>
      <c r="K2376" t="s">
        <v>25</v>
      </c>
      <c r="L2376">
        <v>-0.62852242259400937</v>
      </c>
      <c r="M2376" s="1" t="s">
        <v>23</v>
      </c>
      <c r="N2376" s="1" t="s">
        <v>230</v>
      </c>
      <c r="O2376" s="1" t="s">
        <v>25</v>
      </c>
      <c r="P2376" s="3" t="s">
        <v>25</v>
      </c>
      <c r="Q2376" s="37">
        <v>3.9974099999999999E-2</v>
      </c>
      <c r="R2376" s="1" t="s">
        <v>231</v>
      </c>
      <c r="S2376" s="13">
        <f t="shared" si="60"/>
        <v>-0.62852242259400937</v>
      </c>
    </row>
    <row r="2377" spans="1:19">
      <c r="A2377" s="18" t="s">
        <v>2225</v>
      </c>
      <c r="B2377" s="1" t="s">
        <v>2456</v>
      </c>
      <c r="C2377" s="1" t="s">
        <v>2459</v>
      </c>
      <c r="D2377" s="1" t="s">
        <v>2460</v>
      </c>
      <c r="E2377" s="1" t="s">
        <v>25</v>
      </c>
      <c r="F2377">
        <v>1700</v>
      </c>
      <c r="G2377">
        <v>1700</v>
      </c>
      <c r="H2377" s="1" t="s">
        <v>25</v>
      </c>
      <c r="I2377" s="1" t="s">
        <v>1528</v>
      </c>
      <c r="J2377" t="s">
        <v>25</v>
      </c>
      <c r="K2377" t="s">
        <v>25</v>
      </c>
      <c r="L2377">
        <v>-0.54163003716087721</v>
      </c>
      <c r="M2377" s="1" t="s">
        <v>23</v>
      </c>
      <c r="N2377" s="1" t="s">
        <v>230</v>
      </c>
      <c r="O2377" s="1" t="s">
        <v>25</v>
      </c>
      <c r="P2377" s="3" t="s">
        <v>25</v>
      </c>
      <c r="Q2377" s="37">
        <v>3.8973999999999995E-2</v>
      </c>
      <c r="R2377" s="1" t="s">
        <v>231</v>
      </c>
      <c r="S2377" s="13">
        <f t="shared" si="60"/>
        <v>-0.54163003716087721</v>
      </c>
    </row>
    <row r="2378" spans="1:19">
      <c r="A2378" s="18" t="s">
        <v>2225</v>
      </c>
      <c r="B2378" s="1" t="s">
        <v>2457</v>
      </c>
      <c r="C2378" s="1" t="s">
        <v>2459</v>
      </c>
      <c r="D2378" s="1" t="s">
        <v>2460</v>
      </c>
      <c r="E2378" s="1" t="s">
        <v>25</v>
      </c>
      <c r="F2378">
        <v>1700</v>
      </c>
      <c r="G2378">
        <v>1700</v>
      </c>
      <c r="H2378" s="1" t="s">
        <v>25</v>
      </c>
      <c r="I2378" s="1" t="s">
        <v>1528</v>
      </c>
      <c r="J2378" t="s">
        <v>25</v>
      </c>
      <c r="K2378" t="s">
        <v>25</v>
      </c>
      <c r="L2378">
        <v>-0.61510454447604868</v>
      </c>
      <c r="M2378" s="1" t="s">
        <v>23</v>
      </c>
      <c r="N2378" s="1" t="s">
        <v>230</v>
      </c>
      <c r="O2378" s="1" t="s">
        <v>25</v>
      </c>
      <c r="P2378" s="3" t="s">
        <v>25</v>
      </c>
      <c r="Q2378" s="37">
        <v>3.4146799999999998E-2</v>
      </c>
      <c r="R2378" s="1" t="s">
        <v>231</v>
      </c>
      <c r="S2378" s="13">
        <f t="shared" si="60"/>
        <v>-0.61510454447604868</v>
      </c>
    </row>
    <row r="2379" spans="1:19">
      <c r="A2379" s="18" t="s">
        <v>2225</v>
      </c>
      <c r="B2379" s="1" t="s">
        <v>2458</v>
      </c>
      <c r="C2379" s="1" t="s">
        <v>2459</v>
      </c>
      <c r="D2379" s="1" t="s">
        <v>2460</v>
      </c>
      <c r="E2379" s="1" t="s">
        <v>25</v>
      </c>
      <c r="F2379">
        <v>1700</v>
      </c>
      <c r="G2379">
        <v>1700</v>
      </c>
      <c r="H2379" s="1" t="s">
        <v>25</v>
      </c>
      <c r="I2379" s="1" t="s">
        <v>1528</v>
      </c>
      <c r="J2379" t="s">
        <v>25</v>
      </c>
      <c r="K2379" t="s">
        <v>25</v>
      </c>
      <c r="L2379">
        <v>-0.8668112455959901</v>
      </c>
      <c r="M2379" s="1" t="s">
        <v>23</v>
      </c>
      <c r="N2379" s="1" t="s">
        <v>230</v>
      </c>
      <c r="O2379" s="1" t="s">
        <v>25</v>
      </c>
      <c r="P2379" s="3" t="s">
        <v>25</v>
      </c>
      <c r="Q2379" s="37">
        <v>0.1767772</v>
      </c>
      <c r="R2379" s="1" t="s">
        <v>231</v>
      </c>
      <c r="S2379" s="13">
        <f t="shared" si="60"/>
        <v>-0.8668112455959901</v>
      </c>
    </row>
    <row r="2380" spans="1:19">
      <c r="A2380" s="18" t="s">
        <v>2225</v>
      </c>
      <c r="B2380" s="1">
        <v>89023</v>
      </c>
      <c r="C2380" s="1" t="s">
        <v>2322</v>
      </c>
      <c r="D2380" s="1" t="s">
        <v>2465</v>
      </c>
      <c r="E2380" s="1" t="s">
        <v>25</v>
      </c>
      <c r="F2380">
        <v>1400</v>
      </c>
      <c r="G2380">
        <v>1400</v>
      </c>
      <c r="H2380" s="1" t="s">
        <v>25</v>
      </c>
      <c r="I2380" s="1" t="s">
        <v>1528</v>
      </c>
      <c r="J2380" t="s">
        <v>25</v>
      </c>
      <c r="K2380" t="s">
        <v>25</v>
      </c>
      <c r="L2380">
        <v>-0.57784671937301002</v>
      </c>
      <c r="M2380" s="1" t="s">
        <v>23</v>
      </c>
      <c r="N2380" s="1" t="s">
        <v>230</v>
      </c>
      <c r="O2380" s="1" t="s">
        <v>25</v>
      </c>
      <c r="P2380" s="3" t="s">
        <v>25</v>
      </c>
      <c r="Q2380" s="37">
        <v>0.1414185</v>
      </c>
      <c r="R2380" s="1" t="s">
        <v>231</v>
      </c>
      <c r="S2380" s="13">
        <f t="shared" si="60"/>
        <v>-0.57784671937301002</v>
      </c>
    </row>
    <row r="2381" spans="1:19">
      <c r="A2381" s="18" t="s">
        <v>2225</v>
      </c>
      <c r="B2381" s="1">
        <v>89026</v>
      </c>
      <c r="C2381" s="1" t="s">
        <v>2322</v>
      </c>
      <c r="D2381" s="1" t="s">
        <v>2465</v>
      </c>
      <c r="E2381" s="1" t="s">
        <v>25</v>
      </c>
      <c r="F2381">
        <v>1400</v>
      </c>
      <c r="G2381">
        <v>1400</v>
      </c>
      <c r="H2381" s="1" t="s">
        <v>25</v>
      </c>
      <c r="I2381" s="1" t="s">
        <v>1528</v>
      </c>
      <c r="J2381" t="s">
        <v>25</v>
      </c>
      <c r="K2381" t="s">
        <v>25</v>
      </c>
      <c r="L2381">
        <v>-0.72588827419264346</v>
      </c>
      <c r="M2381" s="1" t="s">
        <v>23</v>
      </c>
      <c r="N2381" s="1" t="s">
        <v>230</v>
      </c>
      <c r="O2381" s="1" t="s">
        <v>25</v>
      </c>
      <c r="P2381" s="3" t="s">
        <v>25</v>
      </c>
      <c r="Q2381" s="37">
        <v>0.13413239999999998</v>
      </c>
      <c r="R2381" s="1" t="s">
        <v>231</v>
      </c>
      <c r="S2381" s="13">
        <f t="shared" si="60"/>
        <v>-0.72588827419264346</v>
      </c>
    </row>
    <row r="2382" spans="1:19">
      <c r="A2382" s="18" t="s">
        <v>2225</v>
      </c>
      <c r="B2382" s="1">
        <v>89095</v>
      </c>
      <c r="C2382" s="1" t="s">
        <v>2322</v>
      </c>
      <c r="D2382" s="1" t="s">
        <v>2465</v>
      </c>
      <c r="E2382" s="1" t="s">
        <v>25</v>
      </c>
      <c r="F2382">
        <v>1400</v>
      </c>
      <c r="G2382">
        <v>1400</v>
      </c>
      <c r="H2382" s="1" t="s">
        <v>25</v>
      </c>
      <c r="I2382" s="1" t="s">
        <v>1528</v>
      </c>
      <c r="J2382" t="s">
        <v>25</v>
      </c>
      <c r="K2382" t="s">
        <v>25</v>
      </c>
      <c r="L2382">
        <v>-0.50351692096949374</v>
      </c>
      <c r="M2382" s="1" t="s">
        <v>23</v>
      </c>
      <c r="N2382" s="1" t="s">
        <v>230</v>
      </c>
      <c r="O2382" s="1" t="s">
        <v>25</v>
      </c>
      <c r="P2382" s="3" t="s">
        <v>25</v>
      </c>
      <c r="Q2382" s="37">
        <v>0.1028733</v>
      </c>
      <c r="R2382" s="1" t="s">
        <v>231</v>
      </c>
      <c r="S2382" s="13">
        <f t="shared" si="60"/>
        <v>-0.50351692096949374</v>
      </c>
    </row>
    <row r="2383" spans="1:19">
      <c r="A2383" s="18" t="s">
        <v>2225</v>
      </c>
      <c r="B2383" s="1">
        <v>89100</v>
      </c>
      <c r="C2383" s="1" t="s">
        <v>2322</v>
      </c>
      <c r="D2383" s="1" t="s">
        <v>2465</v>
      </c>
      <c r="E2383" s="1" t="s">
        <v>25</v>
      </c>
      <c r="F2383">
        <v>1400</v>
      </c>
      <c r="G2383">
        <v>1400</v>
      </c>
      <c r="H2383" s="1" t="s">
        <v>25</v>
      </c>
      <c r="I2383" s="1" t="s">
        <v>1528</v>
      </c>
      <c r="J2383" t="s">
        <v>25</v>
      </c>
      <c r="K2383" t="s">
        <v>25</v>
      </c>
      <c r="L2383">
        <v>-0.53039998954484446</v>
      </c>
      <c r="M2383" s="1" t="s">
        <v>23</v>
      </c>
      <c r="N2383" s="1" t="s">
        <v>230</v>
      </c>
      <c r="O2383" s="1" t="s">
        <v>25</v>
      </c>
      <c r="P2383" s="3" t="s">
        <v>25</v>
      </c>
      <c r="Q2383" s="37">
        <v>7.5020400000000001E-2</v>
      </c>
      <c r="R2383" s="1" t="s">
        <v>231</v>
      </c>
      <c r="S2383" s="13">
        <f t="shared" si="60"/>
        <v>-0.53039998954484446</v>
      </c>
    </row>
    <row r="2384" spans="1:19">
      <c r="A2384" s="18" t="s">
        <v>2225</v>
      </c>
      <c r="B2384" s="1" t="s">
        <v>2461</v>
      </c>
      <c r="C2384" s="1" t="s">
        <v>2322</v>
      </c>
      <c r="D2384" s="1" t="s">
        <v>2465</v>
      </c>
      <c r="E2384" s="1" t="s">
        <v>25</v>
      </c>
      <c r="F2384">
        <v>1400</v>
      </c>
      <c r="G2384">
        <v>1400</v>
      </c>
      <c r="H2384" s="1" t="s">
        <v>25</v>
      </c>
      <c r="I2384" s="1" t="s">
        <v>1528</v>
      </c>
      <c r="J2384" t="s">
        <v>25</v>
      </c>
      <c r="K2384" t="s">
        <v>25</v>
      </c>
      <c r="L2384">
        <v>-0.45266063545876134</v>
      </c>
      <c r="M2384" s="1" t="s">
        <v>23</v>
      </c>
      <c r="N2384" s="1" t="s">
        <v>230</v>
      </c>
      <c r="O2384" s="1" t="s">
        <v>25</v>
      </c>
      <c r="P2384" s="3" t="s">
        <v>25</v>
      </c>
      <c r="Q2384" s="37">
        <v>0.29484589999999999</v>
      </c>
      <c r="R2384" s="1" t="s">
        <v>231</v>
      </c>
      <c r="S2384" s="13">
        <f t="shared" si="60"/>
        <v>-0.45266063545876134</v>
      </c>
    </row>
    <row r="2385" spans="1:19">
      <c r="A2385" s="18" t="s">
        <v>2225</v>
      </c>
      <c r="B2385" s="1" t="s">
        <v>2462</v>
      </c>
      <c r="C2385" s="1" t="s">
        <v>2322</v>
      </c>
      <c r="D2385" s="1" t="s">
        <v>2465</v>
      </c>
      <c r="E2385" s="1" t="s">
        <v>25</v>
      </c>
      <c r="F2385">
        <v>1400</v>
      </c>
      <c r="G2385">
        <v>1400</v>
      </c>
      <c r="H2385" s="1" t="s">
        <v>25</v>
      </c>
      <c r="I2385" s="1" t="s">
        <v>1528</v>
      </c>
      <c r="J2385" t="s">
        <v>25</v>
      </c>
      <c r="K2385" t="s">
        <v>25</v>
      </c>
      <c r="L2385">
        <v>-0.52046569707911317</v>
      </c>
      <c r="M2385" s="1" t="s">
        <v>23</v>
      </c>
      <c r="N2385" s="1" t="s">
        <v>230</v>
      </c>
      <c r="O2385" s="1" t="s">
        <v>25</v>
      </c>
      <c r="P2385" s="3" t="s">
        <v>25</v>
      </c>
      <c r="Q2385" s="37">
        <v>0.21113760000000001</v>
      </c>
      <c r="R2385" s="1" t="s">
        <v>231</v>
      </c>
      <c r="S2385" s="13">
        <f t="shared" si="60"/>
        <v>-0.52046569707911317</v>
      </c>
    </row>
    <row r="2386" spans="1:19">
      <c r="A2386" s="18" t="s">
        <v>2225</v>
      </c>
      <c r="B2386" s="1" t="s">
        <v>2463</v>
      </c>
      <c r="C2386" s="1" t="s">
        <v>2322</v>
      </c>
      <c r="D2386" s="1" t="s">
        <v>2465</v>
      </c>
      <c r="E2386" s="1" t="s">
        <v>25</v>
      </c>
      <c r="F2386">
        <v>1400</v>
      </c>
      <c r="G2386">
        <v>1400</v>
      </c>
      <c r="H2386" s="1" t="s">
        <v>25</v>
      </c>
      <c r="I2386" s="1" t="s">
        <v>1528</v>
      </c>
      <c r="J2386" t="s">
        <v>25</v>
      </c>
      <c r="K2386" t="s">
        <v>25</v>
      </c>
      <c r="L2386">
        <v>-0.32127320734704357</v>
      </c>
      <c r="M2386" s="1" t="s">
        <v>23</v>
      </c>
      <c r="N2386" s="1" t="s">
        <v>230</v>
      </c>
      <c r="O2386" s="1" t="s">
        <v>25</v>
      </c>
      <c r="P2386" s="3" t="s">
        <v>25</v>
      </c>
      <c r="Q2386" s="37">
        <v>0.21998900000000002</v>
      </c>
      <c r="R2386" s="1" t="s">
        <v>231</v>
      </c>
      <c r="S2386" s="13">
        <f t="shared" si="60"/>
        <v>-0.32127320734704357</v>
      </c>
    </row>
    <row r="2387" spans="1:19">
      <c r="A2387" s="18" t="s">
        <v>2225</v>
      </c>
      <c r="B2387" s="1" t="s">
        <v>2464</v>
      </c>
      <c r="C2387" s="1" t="s">
        <v>2322</v>
      </c>
      <c r="D2387" s="1" t="s">
        <v>2465</v>
      </c>
      <c r="E2387" s="1" t="s">
        <v>25</v>
      </c>
      <c r="F2387">
        <v>1400</v>
      </c>
      <c r="G2387">
        <v>1400</v>
      </c>
      <c r="H2387" s="1" t="s">
        <v>25</v>
      </c>
      <c r="I2387" s="1" t="s">
        <v>1528</v>
      </c>
      <c r="J2387" t="s">
        <v>25</v>
      </c>
      <c r="K2387" t="s">
        <v>25</v>
      </c>
      <c r="L2387">
        <v>-0.45283688678919887</v>
      </c>
      <c r="M2387" s="1" t="s">
        <v>23</v>
      </c>
      <c r="N2387" s="1" t="s">
        <v>230</v>
      </c>
      <c r="O2387" s="1" t="s">
        <v>25</v>
      </c>
      <c r="P2387" s="3" t="s">
        <v>25</v>
      </c>
      <c r="Q2387" s="37">
        <v>0.20883889999999999</v>
      </c>
      <c r="R2387" s="1" t="s">
        <v>231</v>
      </c>
      <c r="S2387" s="13">
        <f t="shared" si="60"/>
        <v>-0.45283688678919887</v>
      </c>
    </row>
    <row r="2388" spans="1:19">
      <c r="A2388" s="18" t="s">
        <v>2225</v>
      </c>
      <c r="B2388" s="1">
        <v>90020</v>
      </c>
      <c r="C2388" s="1" t="s">
        <v>2322</v>
      </c>
      <c r="D2388" s="1" t="s">
        <v>2465</v>
      </c>
      <c r="E2388" s="1" t="s">
        <v>25</v>
      </c>
      <c r="F2388">
        <v>1400</v>
      </c>
      <c r="G2388">
        <v>1400</v>
      </c>
      <c r="H2388" s="1" t="s">
        <v>25</v>
      </c>
      <c r="I2388" s="1" t="s">
        <v>1528</v>
      </c>
      <c r="J2388" t="s">
        <v>25</v>
      </c>
      <c r="K2388" t="s">
        <v>25</v>
      </c>
      <c r="L2388">
        <v>-0.76962799264170856</v>
      </c>
      <c r="M2388" s="1" t="s">
        <v>23</v>
      </c>
      <c r="N2388" s="1" t="s">
        <v>230</v>
      </c>
      <c r="O2388" s="1" t="s">
        <v>25</v>
      </c>
      <c r="P2388" s="3" t="s">
        <v>25</v>
      </c>
      <c r="Q2388" s="37">
        <v>0.28543000000000002</v>
      </c>
      <c r="R2388" s="1" t="s">
        <v>231</v>
      </c>
      <c r="S2388" s="13">
        <f t="shared" si="60"/>
        <v>-0.76962799264170856</v>
      </c>
    </row>
    <row r="2389" spans="1:19">
      <c r="A2389" s="18" t="s">
        <v>2225</v>
      </c>
      <c r="B2389" s="1">
        <v>90079</v>
      </c>
      <c r="C2389" s="1" t="s">
        <v>2322</v>
      </c>
      <c r="D2389" s="1" t="s">
        <v>2465</v>
      </c>
      <c r="E2389" s="1" t="s">
        <v>25</v>
      </c>
      <c r="F2389">
        <v>1400</v>
      </c>
      <c r="G2389">
        <v>1400</v>
      </c>
      <c r="H2389" s="1" t="s">
        <v>25</v>
      </c>
      <c r="I2389" s="1" t="s">
        <v>1528</v>
      </c>
      <c r="J2389" t="s">
        <v>25</v>
      </c>
      <c r="K2389" t="s">
        <v>25</v>
      </c>
      <c r="L2389">
        <v>-0.95399450742480219</v>
      </c>
      <c r="M2389" s="1" t="s">
        <v>23</v>
      </c>
      <c r="N2389" s="1" t="s">
        <v>230</v>
      </c>
      <c r="O2389" s="1" t="s">
        <v>25</v>
      </c>
      <c r="P2389" s="3" t="s">
        <v>25</v>
      </c>
      <c r="Q2389" s="37">
        <v>0.1223588</v>
      </c>
      <c r="R2389" s="1" t="s">
        <v>231</v>
      </c>
      <c r="S2389" s="13">
        <f t="shared" si="60"/>
        <v>-0.95399450742480219</v>
      </c>
    </row>
    <row r="2390" spans="1:19">
      <c r="A2390" s="18" t="s">
        <v>2225</v>
      </c>
      <c r="B2390" s="1">
        <v>90082</v>
      </c>
      <c r="C2390" s="1" t="s">
        <v>2322</v>
      </c>
      <c r="D2390" s="1" t="s">
        <v>2465</v>
      </c>
      <c r="E2390" s="1" t="s">
        <v>25</v>
      </c>
      <c r="F2390">
        <v>1400</v>
      </c>
      <c r="G2390">
        <v>1400</v>
      </c>
      <c r="H2390" s="1" t="s">
        <v>25</v>
      </c>
      <c r="I2390" s="1" t="s">
        <v>1528</v>
      </c>
      <c r="J2390" t="s">
        <v>25</v>
      </c>
      <c r="K2390" t="s">
        <v>25</v>
      </c>
      <c r="L2390">
        <v>-0.7297159746179952</v>
      </c>
      <c r="M2390" s="1" t="s">
        <v>23</v>
      </c>
      <c r="N2390" s="1" t="s">
        <v>230</v>
      </c>
      <c r="O2390" s="1" t="s">
        <v>25</v>
      </c>
      <c r="P2390" s="3" t="s">
        <v>25</v>
      </c>
      <c r="Q2390" s="37">
        <v>0.19595079999999998</v>
      </c>
      <c r="R2390" s="1" t="s">
        <v>231</v>
      </c>
      <c r="S2390" s="13">
        <f t="shared" si="60"/>
        <v>-0.7297159746179952</v>
      </c>
    </row>
    <row r="2391" spans="1:19">
      <c r="A2391" s="18" t="s">
        <v>2225</v>
      </c>
      <c r="B2391" s="1">
        <v>90088</v>
      </c>
      <c r="C2391" s="1" t="s">
        <v>2322</v>
      </c>
      <c r="D2391" s="1" t="s">
        <v>2465</v>
      </c>
      <c r="E2391" s="1" t="s">
        <v>25</v>
      </c>
      <c r="F2391">
        <v>1400</v>
      </c>
      <c r="G2391">
        <v>1400</v>
      </c>
      <c r="H2391" s="1" t="s">
        <v>25</v>
      </c>
      <c r="I2391" s="1" t="s">
        <v>1528</v>
      </c>
      <c r="J2391" t="s">
        <v>25</v>
      </c>
      <c r="K2391" t="s">
        <v>25</v>
      </c>
      <c r="L2391">
        <v>-0.47871878778713051</v>
      </c>
      <c r="M2391" s="1" t="s">
        <v>23</v>
      </c>
      <c r="N2391" s="1" t="s">
        <v>230</v>
      </c>
      <c r="O2391" s="1" t="s">
        <v>25</v>
      </c>
      <c r="P2391" s="3" t="s">
        <v>25</v>
      </c>
      <c r="Q2391" s="37">
        <v>0.21563170000000001</v>
      </c>
      <c r="R2391" s="1" t="s">
        <v>231</v>
      </c>
      <c r="S2391" s="13">
        <f t="shared" si="60"/>
        <v>-0.47871878778713051</v>
      </c>
    </row>
    <row r="2392" spans="1:19">
      <c r="A2392" s="18" t="s">
        <v>2225</v>
      </c>
      <c r="B2392" s="1" t="s">
        <v>2466</v>
      </c>
      <c r="C2392" s="1" t="s">
        <v>2472</v>
      </c>
      <c r="D2392" s="1" t="s">
        <v>2473</v>
      </c>
      <c r="E2392" s="1" t="s">
        <v>25</v>
      </c>
      <c r="F2392">
        <v>1400</v>
      </c>
      <c r="G2392">
        <v>1400</v>
      </c>
      <c r="H2392" s="1" t="s">
        <v>25</v>
      </c>
      <c r="I2392" s="1" t="s">
        <v>1528</v>
      </c>
      <c r="J2392" t="s">
        <v>25</v>
      </c>
      <c r="K2392" t="s">
        <v>25</v>
      </c>
      <c r="L2392">
        <v>-0.91356692265848194</v>
      </c>
      <c r="M2392" s="1" t="s">
        <v>23</v>
      </c>
      <c r="N2392" s="1" t="s">
        <v>230</v>
      </c>
      <c r="O2392" s="1" t="s">
        <v>25</v>
      </c>
      <c r="P2392" s="3" t="s">
        <v>25</v>
      </c>
      <c r="Q2392" s="37">
        <v>5.0344900000000005E-2</v>
      </c>
      <c r="R2392" s="1" t="s">
        <v>231</v>
      </c>
      <c r="S2392" s="13">
        <f t="shared" si="60"/>
        <v>-0.91356692265848194</v>
      </c>
    </row>
    <row r="2393" spans="1:19">
      <c r="A2393" s="18" t="s">
        <v>2225</v>
      </c>
      <c r="B2393" s="1" t="s">
        <v>2467</v>
      </c>
      <c r="C2393" s="1" t="s">
        <v>2472</v>
      </c>
      <c r="D2393" s="1" t="s">
        <v>2473</v>
      </c>
      <c r="E2393" s="1" t="s">
        <v>25</v>
      </c>
      <c r="F2393">
        <v>1400</v>
      </c>
      <c r="G2393">
        <v>1400</v>
      </c>
      <c r="H2393" s="1" t="s">
        <v>25</v>
      </c>
      <c r="I2393" s="1" t="s">
        <v>1528</v>
      </c>
      <c r="J2393" t="s">
        <v>25</v>
      </c>
      <c r="K2393" t="s">
        <v>25</v>
      </c>
      <c r="L2393">
        <v>-0.97582088991995697</v>
      </c>
      <c r="M2393" s="1" t="s">
        <v>23</v>
      </c>
      <c r="N2393" s="1" t="s">
        <v>230</v>
      </c>
      <c r="O2393" s="1" t="s">
        <v>25</v>
      </c>
      <c r="P2393" s="3" t="s">
        <v>25</v>
      </c>
      <c r="Q2393" s="37">
        <v>5.98459E-2</v>
      </c>
      <c r="R2393" s="1" t="s">
        <v>231</v>
      </c>
      <c r="S2393" s="13">
        <f t="shared" si="60"/>
        <v>-0.97582088991995697</v>
      </c>
    </row>
    <row r="2394" spans="1:19">
      <c r="A2394" s="18" t="s">
        <v>2225</v>
      </c>
      <c r="B2394" s="1" t="s">
        <v>2468</v>
      </c>
      <c r="C2394" s="1" t="s">
        <v>2472</v>
      </c>
      <c r="D2394" s="1" t="s">
        <v>2473</v>
      </c>
      <c r="E2394" s="1" t="s">
        <v>25</v>
      </c>
      <c r="F2394">
        <v>1400</v>
      </c>
      <c r="G2394">
        <v>1400</v>
      </c>
      <c r="H2394" s="1" t="s">
        <v>25</v>
      </c>
      <c r="I2394" s="1" t="s">
        <v>1528</v>
      </c>
      <c r="J2394" t="s">
        <v>25</v>
      </c>
      <c r="K2394" t="s">
        <v>25</v>
      </c>
      <c r="L2394">
        <v>-1.0738614983493602</v>
      </c>
      <c r="M2394" s="1" t="s">
        <v>23</v>
      </c>
      <c r="N2394" s="1" t="s">
        <v>230</v>
      </c>
      <c r="O2394" s="1" t="s">
        <v>25</v>
      </c>
      <c r="P2394" s="3" t="s">
        <v>25</v>
      </c>
      <c r="Q2394" s="37">
        <v>8.6816400000000002E-2</v>
      </c>
      <c r="R2394" s="1" t="s">
        <v>231</v>
      </c>
      <c r="S2394" s="13">
        <f t="shared" si="60"/>
        <v>-1.0738614983493602</v>
      </c>
    </row>
    <row r="2395" spans="1:19">
      <c r="A2395" s="18" t="s">
        <v>2225</v>
      </c>
      <c r="B2395" s="1" t="s">
        <v>2469</v>
      </c>
      <c r="C2395" s="1" t="s">
        <v>2472</v>
      </c>
      <c r="D2395" s="1" t="s">
        <v>2473</v>
      </c>
      <c r="E2395" s="1" t="s">
        <v>25</v>
      </c>
      <c r="F2395">
        <v>1400</v>
      </c>
      <c r="G2395">
        <v>1400</v>
      </c>
      <c r="H2395" s="1" t="s">
        <v>25</v>
      </c>
      <c r="I2395" s="1" t="s">
        <v>1528</v>
      </c>
      <c r="J2395" t="s">
        <v>25</v>
      </c>
      <c r="K2395" t="s">
        <v>25</v>
      </c>
      <c r="L2395">
        <v>-0.88326678246891943</v>
      </c>
      <c r="M2395" s="1" t="s">
        <v>23</v>
      </c>
      <c r="N2395" s="1" t="s">
        <v>230</v>
      </c>
      <c r="O2395" s="1" t="s">
        <v>25</v>
      </c>
      <c r="P2395" s="3" t="s">
        <v>25</v>
      </c>
      <c r="Q2395" s="37">
        <v>3.5942700000000001E-2</v>
      </c>
      <c r="R2395" s="1" t="s">
        <v>231</v>
      </c>
      <c r="S2395" s="13">
        <f t="shared" si="60"/>
        <v>-0.88326678246891943</v>
      </c>
    </row>
    <row r="2396" spans="1:19">
      <c r="A2396" s="18" t="s">
        <v>2225</v>
      </c>
      <c r="B2396" s="1" t="s">
        <v>2470</v>
      </c>
      <c r="C2396" s="1" t="s">
        <v>2472</v>
      </c>
      <c r="D2396" s="1" t="s">
        <v>2473</v>
      </c>
      <c r="E2396" s="1" t="s">
        <v>25</v>
      </c>
      <c r="F2396">
        <v>1400</v>
      </c>
      <c r="G2396">
        <v>1400</v>
      </c>
      <c r="H2396" s="1" t="s">
        <v>25</v>
      </c>
      <c r="I2396" s="1" t="s">
        <v>1528</v>
      </c>
      <c r="J2396" t="s">
        <v>25</v>
      </c>
      <c r="K2396" t="s">
        <v>25</v>
      </c>
      <c r="L2396">
        <v>-1.1435666387340504</v>
      </c>
      <c r="M2396" s="1" t="s">
        <v>23</v>
      </c>
      <c r="N2396" s="1" t="s">
        <v>230</v>
      </c>
      <c r="O2396" s="1" t="s">
        <v>25</v>
      </c>
      <c r="P2396" s="3" t="s">
        <v>25</v>
      </c>
      <c r="Q2396" s="37">
        <v>4.5281200000000001E-2</v>
      </c>
      <c r="R2396" s="1" t="s">
        <v>231</v>
      </c>
      <c r="S2396" s="13">
        <f t="shared" si="60"/>
        <v>-1.1435666387340504</v>
      </c>
    </row>
    <row r="2397" spans="1:19">
      <c r="A2397" s="18" t="s">
        <v>2225</v>
      </c>
      <c r="B2397" s="1" t="s">
        <v>2471</v>
      </c>
      <c r="C2397" s="1" t="s">
        <v>2472</v>
      </c>
      <c r="D2397" s="1" t="s">
        <v>2473</v>
      </c>
      <c r="E2397" s="1" t="s">
        <v>25</v>
      </c>
      <c r="F2397">
        <v>1400</v>
      </c>
      <c r="G2397">
        <v>1400</v>
      </c>
      <c r="H2397" s="1" t="s">
        <v>25</v>
      </c>
      <c r="I2397" s="1" t="s">
        <v>1528</v>
      </c>
      <c r="J2397" t="s">
        <v>25</v>
      </c>
      <c r="K2397" t="s">
        <v>25</v>
      </c>
      <c r="L2397">
        <v>-0.9704176715772117</v>
      </c>
      <c r="M2397" s="1" t="s">
        <v>23</v>
      </c>
      <c r="N2397" s="1" t="s">
        <v>230</v>
      </c>
      <c r="O2397" s="1" t="s">
        <v>25</v>
      </c>
      <c r="P2397" s="3" t="s">
        <v>25</v>
      </c>
      <c r="Q2397" s="37">
        <v>6.2286000000000001E-2</v>
      </c>
      <c r="R2397" s="1" t="s">
        <v>231</v>
      </c>
      <c r="S2397" s="13">
        <f t="shared" si="60"/>
        <v>-0.9704176715772117</v>
      </c>
    </row>
    <row r="2398" spans="1:19">
      <c r="A2398" s="18" t="s">
        <v>2225</v>
      </c>
      <c r="B2398" s="1" t="s">
        <v>2474</v>
      </c>
      <c r="C2398" s="1" t="s">
        <v>2495</v>
      </c>
      <c r="D2398" s="1" t="s">
        <v>2496</v>
      </c>
      <c r="E2398" s="1" t="s">
        <v>25</v>
      </c>
      <c r="F2398">
        <v>1400</v>
      </c>
      <c r="G2398">
        <v>1400</v>
      </c>
      <c r="H2398" s="1" t="s">
        <v>25</v>
      </c>
      <c r="I2398" s="1" t="s">
        <v>1528</v>
      </c>
      <c r="J2398" t="s">
        <v>25</v>
      </c>
      <c r="K2398" t="s">
        <v>25</v>
      </c>
      <c r="L2398">
        <v>-0.49274238619783806</v>
      </c>
      <c r="M2398" s="1" t="s">
        <v>23</v>
      </c>
      <c r="N2398" s="1" t="s">
        <v>230</v>
      </c>
      <c r="O2398" s="1" t="s">
        <v>25</v>
      </c>
      <c r="P2398" s="3" t="s">
        <v>25</v>
      </c>
      <c r="Q2398" s="37">
        <v>8.4702899999999998E-2</v>
      </c>
      <c r="R2398" s="1" t="s">
        <v>231</v>
      </c>
      <c r="S2398" s="13">
        <f t="shared" si="60"/>
        <v>-0.49274238619783806</v>
      </c>
    </row>
    <row r="2399" spans="1:19">
      <c r="A2399" s="18" t="s">
        <v>2225</v>
      </c>
      <c r="B2399" s="1" t="s">
        <v>2475</v>
      </c>
      <c r="C2399" s="1" t="s">
        <v>2495</v>
      </c>
      <c r="D2399" s="1" t="s">
        <v>2496</v>
      </c>
      <c r="E2399" s="1" t="s">
        <v>25</v>
      </c>
      <c r="F2399">
        <v>1400</v>
      </c>
      <c r="G2399">
        <v>1400</v>
      </c>
      <c r="H2399" s="1" t="s">
        <v>25</v>
      </c>
      <c r="I2399" s="1" t="s">
        <v>1528</v>
      </c>
      <c r="J2399" t="s">
        <v>25</v>
      </c>
      <c r="K2399" t="s">
        <v>25</v>
      </c>
      <c r="L2399">
        <v>-0.93962151930437243</v>
      </c>
      <c r="M2399" s="1" t="s">
        <v>23</v>
      </c>
      <c r="N2399" s="1" t="s">
        <v>230</v>
      </c>
      <c r="O2399" s="1" t="s">
        <v>25</v>
      </c>
      <c r="P2399" s="3" t="s">
        <v>25</v>
      </c>
      <c r="Q2399" s="37">
        <v>6.2813999999999995E-2</v>
      </c>
      <c r="R2399" s="1" t="s">
        <v>231</v>
      </c>
      <c r="S2399" s="13">
        <f t="shared" si="60"/>
        <v>-0.93962151930437243</v>
      </c>
    </row>
    <row r="2400" spans="1:19">
      <c r="A2400" s="18" t="s">
        <v>2225</v>
      </c>
      <c r="B2400" s="1" t="s">
        <v>2476</v>
      </c>
      <c r="C2400" s="1" t="s">
        <v>2495</v>
      </c>
      <c r="D2400" s="1" t="s">
        <v>2496</v>
      </c>
      <c r="E2400" s="1" t="s">
        <v>25</v>
      </c>
      <c r="F2400">
        <v>1400</v>
      </c>
      <c r="G2400">
        <v>1400</v>
      </c>
      <c r="H2400" s="1" t="s">
        <v>25</v>
      </c>
      <c r="I2400" s="1" t="s">
        <v>1528</v>
      </c>
      <c r="J2400" t="s">
        <v>25</v>
      </c>
      <c r="K2400" t="s">
        <v>25</v>
      </c>
      <c r="L2400">
        <v>-0.878311055576105</v>
      </c>
      <c r="M2400" s="1" t="s">
        <v>23</v>
      </c>
      <c r="N2400" s="1" t="s">
        <v>230</v>
      </c>
      <c r="O2400" s="1" t="s">
        <v>25</v>
      </c>
      <c r="P2400" s="3" t="s">
        <v>25</v>
      </c>
      <c r="Q2400" s="37">
        <v>7.3008300000000012E-2</v>
      </c>
      <c r="R2400" s="1" t="s">
        <v>231</v>
      </c>
      <c r="S2400" s="13">
        <f t="shared" si="60"/>
        <v>-0.878311055576105</v>
      </c>
    </row>
    <row r="2401" spans="1:19">
      <c r="A2401" s="18" t="s">
        <v>2225</v>
      </c>
      <c r="B2401" s="1" t="s">
        <v>2477</v>
      </c>
      <c r="C2401" s="1" t="s">
        <v>2495</v>
      </c>
      <c r="D2401" s="1" t="s">
        <v>2496</v>
      </c>
      <c r="E2401" s="1" t="s">
        <v>25</v>
      </c>
      <c r="F2401">
        <v>1400</v>
      </c>
      <c r="G2401">
        <v>1400</v>
      </c>
      <c r="H2401" s="1" t="s">
        <v>25</v>
      </c>
      <c r="I2401" s="1" t="s">
        <v>1528</v>
      </c>
      <c r="J2401" t="s">
        <v>25</v>
      </c>
      <c r="K2401" t="s">
        <v>25</v>
      </c>
      <c r="L2401">
        <v>-1.1247478988440909</v>
      </c>
      <c r="M2401" s="1" t="s">
        <v>23</v>
      </c>
      <c r="N2401" s="1" t="s">
        <v>230</v>
      </c>
      <c r="O2401" s="1" t="s">
        <v>25</v>
      </c>
      <c r="P2401" s="3" t="s">
        <v>25</v>
      </c>
      <c r="Q2401" s="37">
        <v>4.0607999999999998E-2</v>
      </c>
      <c r="R2401" s="1" t="s">
        <v>231</v>
      </c>
      <c r="S2401" s="13">
        <f t="shared" si="60"/>
        <v>-1.1247478988440909</v>
      </c>
    </row>
    <row r="2402" spans="1:19">
      <c r="A2402" s="18" t="s">
        <v>2225</v>
      </c>
      <c r="B2402" s="1" t="s">
        <v>2478</v>
      </c>
      <c r="C2402" s="1" t="s">
        <v>2495</v>
      </c>
      <c r="D2402" s="1" t="s">
        <v>2496</v>
      </c>
      <c r="E2402" s="1" t="s">
        <v>25</v>
      </c>
      <c r="F2402">
        <v>1400</v>
      </c>
      <c r="G2402">
        <v>1400</v>
      </c>
      <c r="H2402" s="1" t="s">
        <v>25</v>
      </c>
      <c r="I2402" s="1" t="s">
        <v>1528</v>
      </c>
      <c r="J2402" t="s">
        <v>25</v>
      </c>
      <c r="K2402" t="s">
        <v>25</v>
      </c>
      <c r="L2402">
        <v>-0.99863018384130275</v>
      </c>
      <c r="M2402" s="1" t="s">
        <v>23</v>
      </c>
      <c r="N2402" s="1" t="s">
        <v>230</v>
      </c>
      <c r="O2402" s="1" t="s">
        <v>25</v>
      </c>
      <c r="P2402" s="3" t="s">
        <v>25</v>
      </c>
      <c r="Q2402" s="37">
        <v>6.8115599999999998E-2</v>
      </c>
      <c r="R2402" s="1" t="s">
        <v>231</v>
      </c>
      <c r="S2402" s="13">
        <f t="shared" si="60"/>
        <v>-0.99863018384130275</v>
      </c>
    </row>
    <row r="2403" spans="1:19">
      <c r="A2403" s="18" t="s">
        <v>2225</v>
      </c>
      <c r="B2403" s="1" t="s">
        <v>2479</v>
      </c>
      <c r="C2403" s="1" t="s">
        <v>2495</v>
      </c>
      <c r="D2403" s="1" t="s">
        <v>2496</v>
      </c>
      <c r="E2403" s="1" t="s">
        <v>25</v>
      </c>
      <c r="F2403">
        <v>1400</v>
      </c>
      <c r="G2403">
        <v>1400</v>
      </c>
      <c r="H2403" s="1" t="s">
        <v>25</v>
      </c>
      <c r="I2403" s="1" t="s">
        <v>1528</v>
      </c>
      <c r="J2403" t="s">
        <v>25</v>
      </c>
      <c r="K2403" t="s">
        <v>25</v>
      </c>
      <c r="L2403">
        <v>-0.91598193785420634</v>
      </c>
      <c r="M2403" s="1" t="s">
        <v>23</v>
      </c>
      <c r="N2403" s="1" t="s">
        <v>230</v>
      </c>
      <c r="O2403" s="1" t="s">
        <v>25</v>
      </c>
      <c r="P2403" s="3" t="s">
        <v>25</v>
      </c>
      <c r="Q2403" s="37">
        <v>0.1018927</v>
      </c>
      <c r="R2403" s="1" t="s">
        <v>231</v>
      </c>
      <c r="S2403" s="13">
        <f t="shared" si="60"/>
        <v>-0.91598193785420634</v>
      </c>
    </row>
    <row r="2404" spans="1:19">
      <c r="A2404" s="18" t="s">
        <v>2225</v>
      </c>
      <c r="B2404" s="1" t="s">
        <v>2480</v>
      </c>
      <c r="C2404" s="1" t="s">
        <v>2495</v>
      </c>
      <c r="D2404" s="1" t="s">
        <v>2496</v>
      </c>
      <c r="E2404" s="1" t="s">
        <v>25</v>
      </c>
      <c r="F2404">
        <v>1400</v>
      </c>
      <c r="G2404">
        <v>1400</v>
      </c>
      <c r="H2404" s="1" t="s">
        <v>25</v>
      </c>
      <c r="I2404" s="1" t="s">
        <v>1528</v>
      </c>
      <c r="J2404" t="s">
        <v>25</v>
      </c>
      <c r="K2404" t="s">
        <v>25</v>
      </c>
      <c r="L2404">
        <v>-0.98978285546400724</v>
      </c>
      <c r="M2404" s="1" t="s">
        <v>23</v>
      </c>
      <c r="N2404" s="1" t="s">
        <v>230</v>
      </c>
      <c r="O2404" s="1" t="s">
        <v>25</v>
      </c>
      <c r="P2404" s="3" t="s">
        <v>25</v>
      </c>
      <c r="Q2404" s="37">
        <v>5.2387900000000001E-2</v>
      </c>
      <c r="R2404" s="1" t="s">
        <v>231</v>
      </c>
      <c r="S2404" s="13">
        <f t="shared" si="60"/>
        <v>-0.98978285546400724</v>
      </c>
    </row>
    <row r="2405" spans="1:19">
      <c r="A2405" s="18" t="s">
        <v>2225</v>
      </c>
      <c r="B2405" s="1" t="s">
        <v>2481</v>
      </c>
      <c r="C2405" s="1" t="s">
        <v>2495</v>
      </c>
      <c r="D2405" s="1" t="s">
        <v>2496</v>
      </c>
      <c r="E2405" s="1" t="s">
        <v>25</v>
      </c>
      <c r="F2405">
        <v>1400</v>
      </c>
      <c r="G2405">
        <v>1400</v>
      </c>
      <c r="H2405" s="1" t="s">
        <v>25</v>
      </c>
      <c r="I2405" s="1" t="s">
        <v>1528</v>
      </c>
      <c r="J2405" t="s">
        <v>25</v>
      </c>
      <c r="K2405" t="s">
        <v>25</v>
      </c>
      <c r="L2405">
        <v>-0.83231848916479245</v>
      </c>
      <c r="M2405" s="1" t="s">
        <v>23</v>
      </c>
      <c r="N2405" s="1" t="s">
        <v>230</v>
      </c>
      <c r="O2405" s="1" t="s">
        <v>25</v>
      </c>
      <c r="P2405" s="3" t="s">
        <v>25</v>
      </c>
      <c r="Q2405" s="37">
        <v>4.8871600000000001E-2</v>
      </c>
      <c r="R2405" s="1" t="s">
        <v>231</v>
      </c>
      <c r="S2405" s="13">
        <f t="shared" si="60"/>
        <v>-0.83231848916479245</v>
      </c>
    </row>
    <row r="2406" spans="1:19">
      <c r="A2406" s="18" t="s">
        <v>2225</v>
      </c>
      <c r="B2406" s="1" t="s">
        <v>2482</v>
      </c>
      <c r="C2406" s="1" t="s">
        <v>2495</v>
      </c>
      <c r="D2406" s="1" t="s">
        <v>2496</v>
      </c>
      <c r="E2406" s="1" t="s">
        <v>25</v>
      </c>
      <c r="F2406">
        <v>1400</v>
      </c>
      <c r="G2406">
        <v>1400</v>
      </c>
      <c r="H2406" s="1" t="s">
        <v>25</v>
      </c>
      <c r="I2406" s="1" t="s">
        <v>1528</v>
      </c>
      <c r="J2406" t="s">
        <v>25</v>
      </c>
      <c r="K2406" t="s">
        <v>25</v>
      </c>
      <c r="L2406">
        <v>-0.9363470910542756</v>
      </c>
      <c r="M2406" s="1" t="s">
        <v>23</v>
      </c>
      <c r="N2406" s="1" t="s">
        <v>230</v>
      </c>
      <c r="O2406" s="1" t="s">
        <v>25</v>
      </c>
      <c r="P2406" s="3" t="s">
        <v>25</v>
      </c>
      <c r="Q2406" s="37">
        <v>9.3879299999999999E-2</v>
      </c>
      <c r="R2406" s="1" t="s">
        <v>231</v>
      </c>
      <c r="S2406" s="13">
        <f t="shared" si="60"/>
        <v>-0.9363470910542756</v>
      </c>
    </row>
    <row r="2407" spans="1:19">
      <c r="A2407" s="18" t="s">
        <v>2225</v>
      </c>
      <c r="B2407" s="1" t="s">
        <v>2483</v>
      </c>
      <c r="C2407" s="1" t="s">
        <v>2495</v>
      </c>
      <c r="D2407" s="1" t="s">
        <v>2496</v>
      </c>
      <c r="E2407" s="1" t="s">
        <v>25</v>
      </c>
      <c r="F2407">
        <v>1400</v>
      </c>
      <c r="G2407">
        <v>1400</v>
      </c>
      <c r="H2407" s="1" t="s">
        <v>25</v>
      </c>
      <c r="I2407" s="1" t="s">
        <v>1528</v>
      </c>
      <c r="J2407" t="s">
        <v>25</v>
      </c>
      <c r="K2407" t="s">
        <v>25</v>
      </c>
      <c r="L2407">
        <v>-0.84813547160475977</v>
      </c>
      <c r="M2407" s="1" t="s">
        <v>23</v>
      </c>
      <c r="N2407" s="1" t="s">
        <v>230</v>
      </c>
      <c r="O2407" s="1" t="s">
        <v>25</v>
      </c>
      <c r="P2407" s="3" t="s">
        <v>25</v>
      </c>
      <c r="Q2407" s="37">
        <v>0.29982890000000001</v>
      </c>
      <c r="R2407" s="1" t="s">
        <v>231</v>
      </c>
      <c r="S2407" s="13">
        <f t="shared" si="60"/>
        <v>-0.84813547160475977</v>
      </c>
    </row>
    <row r="2408" spans="1:19">
      <c r="A2408" s="18" t="s">
        <v>2225</v>
      </c>
      <c r="B2408" s="1" t="s">
        <v>2484</v>
      </c>
      <c r="C2408" s="1" t="s">
        <v>2495</v>
      </c>
      <c r="D2408" s="1" t="s">
        <v>2496</v>
      </c>
      <c r="E2408" s="1" t="s">
        <v>25</v>
      </c>
      <c r="F2408">
        <v>1400</v>
      </c>
      <c r="G2408">
        <v>1400</v>
      </c>
      <c r="H2408" s="1" t="s">
        <v>25</v>
      </c>
      <c r="I2408" s="1" t="s">
        <v>1528</v>
      </c>
      <c r="J2408" t="s">
        <v>25</v>
      </c>
      <c r="K2408" t="s">
        <v>25</v>
      </c>
      <c r="L2408">
        <v>-1.2159193942887161</v>
      </c>
      <c r="M2408" s="1" t="s">
        <v>23</v>
      </c>
      <c r="N2408" s="1" t="s">
        <v>230</v>
      </c>
      <c r="O2408" s="1" t="s">
        <v>25</v>
      </c>
      <c r="P2408" s="3" t="s">
        <v>25</v>
      </c>
      <c r="Q2408" s="37">
        <v>0.35997170000000001</v>
      </c>
      <c r="R2408" s="1" t="s">
        <v>231</v>
      </c>
      <c r="S2408" s="13">
        <f t="shared" si="60"/>
        <v>-1.2159193942887161</v>
      </c>
    </row>
    <row r="2409" spans="1:19">
      <c r="A2409" s="18" t="s">
        <v>2225</v>
      </c>
      <c r="B2409" s="1" t="s">
        <v>2485</v>
      </c>
      <c r="C2409" s="1" t="s">
        <v>2495</v>
      </c>
      <c r="D2409" s="1" t="s">
        <v>2496</v>
      </c>
      <c r="E2409" s="1" t="s">
        <v>25</v>
      </c>
      <c r="F2409">
        <v>1400</v>
      </c>
      <c r="G2409">
        <v>1400</v>
      </c>
      <c r="H2409" s="1" t="s">
        <v>25</v>
      </c>
      <c r="I2409" s="1" t="s">
        <v>1528</v>
      </c>
      <c r="J2409" t="s">
        <v>25</v>
      </c>
      <c r="K2409" t="s">
        <v>25</v>
      </c>
      <c r="L2409">
        <v>-0.95339747420751408</v>
      </c>
      <c r="M2409" s="1" t="s">
        <v>23</v>
      </c>
      <c r="N2409" s="1" t="s">
        <v>230</v>
      </c>
      <c r="O2409" s="1" t="s">
        <v>25</v>
      </c>
      <c r="P2409" s="3" t="s">
        <v>25</v>
      </c>
      <c r="Q2409" s="37">
        <v>0.41467360000000003</v>
      </c>
      <c r="R2409" s="1" t="s">
        <v>231</v>
      </c>
      <c r="S2409" s="13">
        <f t="shared" si="60"/>
        <v>-0.95339747420751408</v>
      </c>
    </row>
    <row r="2410" spans="1:19">
      <c r="A2410" s="18" t="s">
        <v>2225</v>
      </c>
      <c r="B2410" s="1" t="s">
        <v>2486</v>
      </c>
      <c r="C2410" s="1" t="s">
        <v>2495</v>
      </c>
      <c r="D2410" s="1" t="s">
        <v>2496</v>
      </c>
      <c r="E2410" s="1" t="s">
        <v>25</v>
      </c>
      <c r="F2410">
        <v>1400</v>
      </c>
      <c r="G2410">
        <v>1400</v>
      </c>
      <c r="H2410" s="1" t="s">
        <v>25</v>
      </c>
      <c r="I2410" s="1" t="s">
        <v>1528</v>
      </c>
      <c r="J2410" t="s">
        <v>25</v>
      </c>
      <c r="K2410" t="s">
        <v>25</v>
      </c>
      <c r="L2410">
        <v>-0.66254616645587017</v>
      </c>
      <c r="M2410" s="1" t="s">
        <v>23</v>
      </c>
      <c r="N2410" s="1" t="s">
        <v>230</v>
      </c>
      <c r="O2410" s="1" t="s">
        <v>25</v>
      </c>
      <c r="P2410" s="3" t="s">
        <v>25</v>
      </c>
      <c r="Q2410" s="37">
        <v>0.1762319</v>
      </c>
      <c r="R2410" s="1" t="s">
        <v>231</v>
      </c>
      <c r="S2410" s="13">
        <f t="shared" si="60"/>
        <v>-0.66254616645587017</v>
      </c>
    </row>
    <row r="2411" spans="1:19">
      <c r="A2411" s="18" t="s">
        <v>2225</v>
      </c>
      <c r="B2411" s="1" t="s">
        <v>2487</v>
      </c>
      <c r="C2411" s="1" t="s">
        <v>2495</v>
      </c>
      <c r="D2411" s="1" t="s">
        <v>2496</v>
      </c>
      <c r="E2411" s="1" t="s">
        <v>25</v>
      </c>
      <c r="F2411">
        <v>1400</v>
      </c>
      <c r="G2411">
        <v>1400</v>
      </c>
      <c r="H2411" s="1" t="s">
        <v>25</v>
      </c>
      <c r="I2411" s="1" t="s">
        <v>1528</v>
      </c>
      <c r="J2411" t="s">
        <v>25</v>
      </c>
      <c r="K2411" t="s">
        <v>25</v>
      </c>
      <c r="L2411">
        <v>-1.0625423273424102</v>
      </c>
      <c r="M2411" s="1" t="s">
        <v>23</v>
      </c>
      <c r="N2411" s="1" t="s">
        <v>230</v>
      </c>
      <c r="O2411" s="1" t="s">
        <v>25</v>
      </c>
      <c r="P2411" s="3" t="s">
        <v>25</v>
      </c>
      <c r="Q2411" s="37">
        <v>4.1121699999999997E-2</v>
      </c>
      <c r="R2411" s="1" t="s">
        <v>231</v>
      </c>
      <c r="S2411" s="13">
        <f t="shared" si="60"/>
        <v>-1.0625423273424102</v>
      </c>
    </row>
    <row r="2412" spans="1:19">
      <c r="A2412" s="18" t="s">
        <v>2225</v>
      </c>
      <c r="B2412" s="1" t="s">
        <v>2488</v>
      </c>
      <c r="C2412" s="1" t="s">
        <v>2495</v>
      </c>
      <c r="D2412" s="1" t="s">
        <v>2496</v>
      </c>
      <c r="E2412" s="1" t="s">
        <v>25</v>
      </c>
      <c r="F2412">
        <v>1400</v>
      </c>
      <c r="G2412">
        <v>1400</v>
      </c>
      <c r="H2412" s="1" t="s">
        <v>25</v>
      </c>
      <c r="I2412" s="1" t="s">
        <v>1528</v>
      </c>
      <c r="J2412" t="s">
        <v>25</v>
      </c>
      <c r="K2412" t="s">
        <v>25</v>
      </c>
      <c r="L2412">
        <v>-0.91432558027379951</v>
      </c>
      <c r="M2412" s="1" t="s">
        <v>23</v>
      </c>
      <c r="N2412" s="1" t="s">
        <v>230</v>
      </c>
      <c r="O2412" s="1" t="s">
        <v>25</v>
      </c>
      <c r="P2412" s="3" t="s">
        <v>25</v>
      </c>
      <c r="Q2412" s="37">
        <v>3.3004399999999996E-2</v>
      </c>
      <c r="R2412" s="1" t="s">
        <v>231</v>
      </c>
      <c r="S2412" s="13">
        <f t="shared" ref="S2412:S2475" si="61">IF(NOT(N2412="SW"),L2412-1.88,L2412)</f>
        <v>-0.91432558027379951</v>
      </c>
    </row>
    <row r="2413" spans="1:19">
      <c r="A2413" s="18" t="s">
        <v>2225</v>
      </c>
      <c r="B2413" s="1" t="s">
        <v>2489</v>
      </c>
      <c r="C2413" s="1" t="s">
        <v>2495</v>
      </c>
      <c r="D2413" s="1" t="s">
        <v>2496</v>
      </c>
      <c r="E2413" s="1" t="s">
        <v>25</v>
      </c>
      <c r="F2413">
        <v>1400</v>
      </c>
      <c r="G2413">
        <v>1400</v>
      </c>
      <c r="H2413" s="1" t="s">
        <v>25</v>
      </c>
      <c r="I2413" s="1" t="s">
        <v>1528</v>
      </c>
      <c r="J2413" t="s">
        <v>25</v>
      </c>
      <c r="K2413" t="s">
        <v>25</v>
      </c>
      <c r="L2413">
        <v>-1.0444480661191626</v>
      </c>
      <c r="M2413" s="1" t="s">
        <v>23</v>
      </c>
      <c r="N2413" s="1" t="s">
        <v>230</v>
      </c>
      <c r="O2413" s="1" t="s">
        <v>25</v>
      </c>
      <c r="P2413" s="3" t="s">
        <v>25</v>
      </c>
      <c r="Q2413" s="37">
        <v>4.2899700000000006E-2</v>
      </c>
      <c r="R2413" s="1" t="s">
        <v>231</v>
      </c>
      <c r="S2413" s="13">
        <f t="shared" si="61"/>
        <v>-1.0444480661191626</v>
      </c>
    </row>
    <row r="2414" spans="1:19">
      <c r="A2414" s="18" t="s">
        <v>2225</v>
      </c>
      <c r="B2414" s="1" t="s">
        <v>2490</v>
      </c>
      <c r="C2414" s="1" t="s">
        <v>2495</v>
      </c>
      <c r="D2414" s="1" t="s">
        <v>2496</v>
      </c>
      <c r="E2414" s="1" t="s">
        <v>25</v>
      </c>
      <c r="F2414">
        <v>1400</v>
      </c>
      <c r="G2414">
        <v>1400</v>
      </c>
      <c r="H2414" s="1" t="s">
        <v>25</v>
      </c>
      <c r="I2414" s="1" t="s">
        <v>1528</v>
      </c>
      <c r="J2414" t="s">
        <v>25</v>
      </c>
      <c r="K2414" t="s">
        <v>25</v>
      </c>
      <c r="L2414">
        <v>-1.2887956124698388</v>
      </c>
      <c r="M2414" s="1" t="s">
        <v>23</v>
      </c>
      <c r="N2414" s="1" t="s">
        <v>230</v>
      </c>
      <c r="O2414" s="1" t="s">
        <v>25</v>
      </c>
      <c r="P2414" s="3" t="s">
        <v>25</v>
      </c>
      <c r="Q2414" s="37">
        <v>0.1934351</v>
      </c>
      <c r="R2414" s="1" t="s">
        <v>231</v>
      </c>
      <c r="S2414" s="13">
        <f t="shared" si="61"/>
        <v>-1.2887956124698388</v>
      </c>
    </row>
    <row r="2415" spans="1:19">
      <c r="A2415" s="18" t="s">
        <v>2225</v>
      </c>
      <c r="B2415" s="1" t="s">
        <v>2491</v>
      </c>
      <c r="C2415" s="1" t="s">
        <v>2495</v>
      </c>
      <c r="D2415" s="1" t="s">
        <v>2496</v>
      </c>
      <c r="E2415" s="1" t="s">
        <v>25</v>
      </c>
      <c r="F2415">
        <v>1400</v>
      </c>
      <c r="G2415">
        <v>1400</v>
      </c>
      <c r="H2415" s="1" t="s">
        <v>25</v>
      </c>
      <c r="I2415" s="1" t="s">
        <v>1528</v>
      </c>
      <c r="J2415" t="s">
        <v>25</v>
      </c>
      <c r="K2415" t="s">
        <v>25</v>
      </c>
      <c r="L2415">
        <v>-1.0986936301374501</v>
      </c>
      <c r="M2415" s="1" t="s">
        <v>23</v>
      </c>
      <c r="N2415" s="1" t="s">
        <v>230</v>
      </c>
      <c r="O2415" s="1" t="s">
        <v>25</v>
      </c>
      <c r="P2415" s="3" t="s">
        <v>25</v>
      </c>
      <c r="Q2415" s="37">
        <v>7.3523400000000003E-2</v>
      </c>
      <c r="R2415" s="1" t="s">
        <v>231</v>
      </c>
      <c r="S2415" s="13">
        <f t="shared" si="61"/>
        <v>-1.0986936301374501</v>
      </c>
    </row>
    <row r="2416" spans="1:19">
      <c r="A2416" s="18" t="s">
        <v>2225</v>
      </c>
      <c r="B2416" s="1" t="s">
        <v>2492</v>
      </c>
      <c r="C2416" s="1" t="s">
        <v>2495</v>
      </c>
      <c r="D2416" s="1" t="s">
        <v>2496</v>
      </c>
      <c r="E2416" s="1" t="s">
        <v>25</v>
      </c>
      <c r="F2416">
        <v>1400</v>
      </c>
      <c r="G2416">
        <v>1400</v>
      </c>
      <c r="H2416" s="1" t="s">
        <v>25</v>
      </c>
      <c r="I2416" s="1" t="s">
        <v>1528</v>
      </c>
      <c r="J2416" t="s">
        <v>25</v>
      </c>
      <c r="K2416" t="s">
        <v>25</v>
      </c>
      <c r="L2416">
        <v>-0.77495978119858555</v>
      </c>
      <c r="M2416" s="1" t="s">
        <v>23</v>
      </c>
      <c r="N2416" s="1" t="s">
        <v>230</v>
      </c>
      <c r="O2416" s="1" t="s">
        <v>25</v>
      </c>
      <c r="P2416" s="3" t="s">
        <v>25</v>
      </c>
      <c r="Q2416" s="37" t="s">
        <v>25</v>
      </c>
      <c r="R2416" s="1" t="s">
        <v>25</v>
      </c>
      <c r="S2416" s="13">
        <f t="shared" si="61"/>
        <v>-0.77495978119858555</v>
      </c>
    </row>
    <row r="2417" spans="1:19">
      <c r="A2417" s="18" t="s">
        <v>2225</v>
      </c>
      <c r="B2417" s="1" t="s">
        <v>2493</v>
      </c>
      <c r="C2417" s="1" t="s">
        <v>2495</v>
      </c>
      <c r="D2417" s="1" t="s">
        <v>2496</v>
      </c>
      <c r="E2417" s="1" t="s">
        <v>25</v>
      </c>
      <c r="F2417">
        <v>1400</v>
      </c>
      <c r="G2417">
        <v>1400</v>
      </c>
      <c r="H2417" s="1" t="s">
        <v>25</v>
      </c>
      <c r="I2417" s="1" t="s">
        <v>1528</v>
      </c>
      <c r="J2417" t="s">
        <v>25</v>
      </c>
      <c r="K2417" t="s">
        <v>25</v>
      </c>
      <c r="L2417">
        <v>-1.0534424316955218</v>
      </c>
      <c r="M2417" s="1" t="s">
        <v>23</v>
      </c>
      <c r="N2417" s="1" t="s">
        <v>230</v>
      </c>
      <c r="O2417" s="1" t="s">
        <v>25</v>
      </c>
      <c r="P2417" s="3" t="s">
        <v>25</v>
      </c>
      <c r="Q2417" s="37">
        <v>0.1433442</v>
      </c>
      <c r="R2417" s="1" t="s">
        <v>231</v>
      </c>
      <c r="S2417" s="13">
        <f t="shared" si="61"/>
        <v>-1.0534424316955218</v>
      </c>
    </row>
    <row r="2418" spans="1:19">
      <c r="A2418" s="18" t="s">
        <v>2225</v>
      </c>
      <c r="B2418" s="1" t="s">
        <v>2494</v>
      </c>
      <c r="C2418" s="1" t="s">
        <v>2495</v>
      </c>
      <c r="D2418" s="1" t="s">
        <v>2496</v>
      </c>
      <c r="E2418" s="1" t="s">
        <v>25</v>
      </c>
      <c r="F2418">
        <v>1400</v>
      </c>
      <c r="G2418">
        <v>1400</v>
      </c>
      <c r="H2418" s="1" t="s">
        <v>25</v>
      </c>
      <c r="I2418" s="1" t="s">
        <v>1528</v>
      </c>
      <c r="J2418" t="s">
        <v>25</v>
      </c>
      <c r="K2418" t="s">
        <v>25</v>
      </c>
      <c r="L2418">
        <v>-1.1168670455350656</v>
      </c>
      <c r="M2418" s="1" t="s">
        <v>23</v>
      </c>
      <c r="N2418" s="1" t="s">
        <v>230</v>
      </c>
      <c r="O2418" s="1" t="s">
        <v>25</v>
      </c>
      <c r="P2418" s="3" t="s">
        <v>25</v>
      </c>
      <c r="Q2418" s="37">
        <v>4.4965999999999999E-2</v>
      </c>
      <c r="R2418" s="1" t="s">
        <v>231</v>
      </c>
      <c r="S2418" s="13">
        <f t="shared" si="61"/>
        <v>-1.1168670455350656</v>
      </c>
    </row>
    <row r="2419" spans="1:19">
      <c r="A2419" s="18" t="s">
        <v>2225</v>
      </c>
      <c r="B2419" s="1" t="s">
        <v>2497</v>
      </c>
      <c r="C2419" s="1" t="s">
        <v>2043</v>
      </c>
      <c r="D2419" s="1" t="s">
        <v>2515</v>
      </c>
      <c r="E2419" s="1" t="s">
        <v>25</v>
      </c>
      <c r="F2419">
        <v>1250</v>
      </c>
      <c r="G2419">
        <v>1250</v>
      </c>
      <c r="H2419" s="1" t="s">
        <v>25</v>
      </c>
      <c r="I2419" s="1" t="s">
        <v>1528</v>
      </c>
      <c r="J2419" t="s">
        <v>25</v>
      </c>
      <c r="K2419" t="s">
        <v>25</v>
      </c>
      <c r="L2419">
        <v>-0.61891792610804797</v>
      </c>
      <c r="M2419" s="1" t="s">
        <v>23</v>
      </c>
      <c r="N2419" s="1" t="s">
        <v>230</v>
      </c>
      <c r="O2419" s="1" t="s">
        <v>25</v>
      </c>
      <c r="P2419" s="3" t="s">
        <v>25</v>
      </c>
      <c r="Q2419" s="37">
        <v>2.0768008</v>
      </c>
      <c r="R2419" s="1" t="s">
        <v>231</v>
      </c>
      <c r="S2419" s="13">
        <f t="shared" si="61"/>
        <v>-0.61891792610804797</v>
      </c>
    </row>
    <row r="2420" spans="1:19">
      <c r="A2420" s="18" t="s">
        <v>2225</v>
      </c>
      <c r="B2420" s="1" t="s">
        <v>2498</v>
      </c>
      <c r="C2420" s="1" t="s">
        <v>2043</v>
      </c>
      <c r="D2420" s="1" t="s">
        <v>2515</v>
      </c>
      <c r="E2420" s="1" t="s">
        <v>25</v>
      </c>
      <c r="F2420">
        <v>1250</v>
      </c>
      <c r="G2420">
        <v>1250</v>
      </c>
      <c r="H2420" s="1" t="s">
        <v>25</v>
      </c>
      <c r="I2420" s="1" t="s">
        <v>1528</v>
      </c>
      <c r="J2420" t="s">
        <v>25</v>
      </c>
      <c r="K2420" t="s">
        <v>25</v>
      </c>
      <c r="L2420">
        <v>-1.0031957609989066</v>
      </c>
      <c r="M2420" s="1" t="s">
        <v>23</v>
      </c>
      <c r="N2420" s="1" t="s">
        <v>230</v>
      </c>
      <c r="O2420" s="1" t="s">
        <v>25</v>
      </c>
      <c r="P2420" s="3" t="s">
        <v>25</v>
      </c>
      <c r="Q2420" s="37">
        <v>0.23180240000000002</v>
      </c>
      <c r="R2420" s="1" t="s">
        <v>231</v>
      </c>
      <c r="S2420" s="13">
        <f t="shared" si="61"/>
        <v>-1.0031957609989066</v>
      </c>
    </row>
    <row r="2421" spans="1:19">
      <c r="A2421" s="18" t="s">
        <v>2225</v>
      </c>
      <c r="B2421" s="1" t="s">
        <v>2499</v>
      </c>
      <c r="C2421" s="1" t="s">
        <v>2043</v>
      </c>
      <c r="D2421" s="1" t="s">
        <v>2515</v>
      </c>
      <c r="E2421" s="1" t="s">
        <v>25</v>
      </c>
      <c r="F2421">
        <v>1250</v>
      </c>
      <c r="G2421">
        <v>1250</v>
      </c>
      <c r="H2421" s="1" t="s">
        <v>25</v>
      </c>
      <c r="I2421" s="1" t="s">
        <v>1528</v>
      </c>
      <c r="J2421" t="s">
        <v>25</v>
      </c>
      <c r="K2421" t="s">
        <v>25</v>
      </c>
      <c r="L2421">
        <v>-0.74153998779593322</v>
      </c>
      <c r="M2421" s="1" t="s">
        <v>23</v>
      </c>
      <c r="N2421" s="1" t="s">
        <v>230</v>
      </c>
      <c r="O2421" s="1" t="s">
        <v>25</v>
      </c>
      <c r="P2421" s="3" t="s">
        <v>25</v>
      </c>
      <c r="Q2421" s="37">
        <v>1.9804702999999999</v>
      </c>
      <c r="R2421" s="1" t="s">
        <v>231</v>
      </c>
      <c r="S2421" s="13">
        <f t="shared" si="61"/>
        <v>-0.74153998779593322</v>
      </c>
    </row>
    <row r="2422" spans="1:19">
      <c r="A2422" s="18" t="s">
        <v>2225</v>
      </c>
      <c r="B2422" s="1" t="s">
        <v>2500</v>
      </c>
      <c r="C2422" s="1" t="s">
        <v>2043</v>
      </c>
      <c r="D2422" s="1" t="s">
        <v>2515</v>
      </c>
      <c r="E2422" s="1" t="s">
        <v>25</v>
      </c>
      <c r="F2422">
        <v>1250</v>
      </c>
      <c r="G2422">
        <v>1250</v>
      </c>
      <c r="H2422" s="1" t="s">
        <v>25</v>
      </c>
      <c r="I2422" s="1" t="s">
        <v>1528</v>
      </c>
      <c r="J2422" t="s">
        <v>25</v>
      </c>
      <c r="K2422" t="s">
        <v>25</v>
      </c>
      <c r="L2422">
        <v>-0.84560550750978336</v>
      </c>
      <c r="M2422" s="1" t="s">
        <v>23</v>
      </c>
      <c r="N2422" s="1" t="s">
        <v>230</v>
      </c>
      <c r="O2422" s="1" t="s">
        <v>25</v>
      </c>
      <c r="P2422" s="3" t="s">
        <v>25</v>
      </c>
      <c r="Q2422" s="37">
        <v>0.30136430000000003</v>
      </c>
      <c r="R2422" s="1" t="s">
        <v>231</v>
      </c>
      <c r="S2422" s="13">
        <f t="shared" si="61"/>
        <v>-0.84560550750978336</v>
      </c>
    </row>
    <row r="2423" spans="1:19">
      <c r="A2423" s="18" t="s">
        <v>2225</v>
      </c>
      <c r="B2423" s="1" t="s">
        <v>2501</v>
      </c>
      <c r="C2423" s="1" t="s">
        <v>2043</v>
      </c>
      <c r="D2423" s="1" t="s">
        <v>2515</v>
      </c>
      <c r="E2423" s="1" t="s">
        <v>25</v>
      </c>
      <c r="F2423">
        <v>1250</v>
      </c>
      <c r="G2423">
        <v>1250</v>
      </c>
      <c r="H2423" s="1" t="s">
        <v>25</v>
      </c>
      <c r="I2423" s="1" t="s">
        <v>1528</v>
      </c>
      <c r="J2423" t="s">
        <v>25</v>
      </c>
      <c r="K2423" t="s">
        <v>25</v>
      </c>
      <c r="L2423">
        <v>-0.86865479149031133</v>
      </c>
      <c r="M2423" s="1" t="s">
        <v>23</v>
      </c>
      <c r="N2423" s="1" t="s">
        <v>230</v>
      </c>
      <c r="O2423" s="1" t="s">
        <v>25</v>
      </c>
      <c r="P2423" s="3" t="s">
        <v>25</v>
      </c>
      <c r="Q2423" s="37">
        <v>0.4766493</v>
      </c>
      <c r="R2423" s="1" t="s">
        <v>231</v>
      </c>
      <c r="S2423" s="13">
        <f t="shared" si="61"/>
        <v>-0.86865479149031133</v>
      </c>
    </row>
    <row r="2424" spans="1:19">
      <c r="A2424" s="18" t="s">
        <v>2225</v>
      </c>
      <c r="B2424" s="1" t="s">
        <v>2502</v>
      </c>
      <c r="C2424" s="1" t="s">
        <v>2043</v>
      </c>
      <c r="D2424" s="1" t="s">
        <v>2515</v>
      </c>
      <c r="E2424" s="1" t="s">
        <v>25</v>
      </c>
      <c r="F2424">
        <v>1250</v>
      </c>
      <c r="G2424">
        <v>1250</v>
      </c>
      <c r="H2424" s="1" t="s">
        <v>25</v>
      </c>
      <c r="I2424" s="1" t="s">
        <v>1528</v>
      </c>
      <c r="J2424" t="s">
        <v>25</v>
      </c>
      <c r="K2424" t="s">
        <v>25</v>
      </c>
      <c r="L2424">
        <v>-1.1192745610037635</v>
      </c>
      <c r="M2424" s="1" t="s">
        <v>23</v>
      </c>
      <c r="N2424" s="1" t="s">
        <v>230</v>
      </c>
      <c r="O2424" s="1" t="s">
        <v>25</v>
      </c>
      <c r="P2424" s="3" t="s">
        <v>25</v>
      </c>
      <c r="Q2424" s="37">
        <v>0.85286139999999999</v>
      </c>
      <c r="R2424" s="1" t="s">
        <v>231</v>
      </c>
      <c r="S2424" s="13">
        <f t="shared" si="61"/>
        <v>-1.1192745610037635</v>
      </c>
    </row>
    <row r="2425" spans="1:19">
      <c r="A2425" s="18" t="s">
        <v>2225</v>
      </c>
      <c r="B2425" s="1" t="s">
        <v>2503</v>
      </c>
      <c r="C2425" s="1" t="s">
        <v>2043</v>
      </c>
      <c r="D2425" s="1" t="s">
        <v>2515</v>
      </c>
      <c r="E2425" s="1" t="s">
        <v>25</v>
      </c>
      <c r="F2425">
        <v>1250</v>
      </c>
      <c r="G2425">
        <v>1250</v>
      </c>
      <c r="H2425" s="1" t="s">
        <v>25</v>
      </c>
      <c r="I2425" s="1" t="s">
        <v>1528</v>
      </c>
      <c r="J2425" t="s">
        <v>25</v>
      </c>
      <c r="K2425" t="s">
        <v>25</v>
      </c>
      <c r="L2425">
        <v>-0.87951198744311276</v>
      </c>
      <c r="M2425" s="1" t="s">
        <v>23</v>
      </c>
      <c r="N2425" s="1" t="s">
        <v>230</v>
      </c>
      <c r="O2425" s="1" t="s">
        <v>25</v>
      </c>
      <c r="P2425" s="3" t="s">
        <v>25</v>
      </c>
      <c r="Q2425" s="37">
        <v>0.6660218</v>
      </c>
      <c r="R2425" s="1" t="s">
        <v>231</v>
      </c>
      <c r="S2425" s="13">
        <f t="shared" si="61"/>
        <v>-0.87951198744311276</v>
      </c>
    </row>
    <row r="2426" spans="1:19">
      <c r="A2426" s="18" t="s">
        <v>2225</v>
      </c>
      <c r="B2426" s="1" t="s">
        <v>2504</v>
      </c>
      <c r="C2426" s="1" t="s">
        <v>2043</v>
      </c>
      <c r="D2426" s="1" t="s">
        <v>2515</v>
      </c>
      <c r="E2426" s="1" t="s">
        <v>25</v>
      </c>
      <c r="F2426">
        <v>1250</v>
      </c>
      <c r="G2426">
        <v>1250</v>
      </c>
      <c r="H2426" s="1" t="s">
        <v>25</v>
      </c>
      <c r="I2426" s="1" t="s">
        <v>1528</v>
      </c>
      <c r="J2426" t="s">
        <v>25</v>
      </c>
      <c r="K2426" t="s">
        <v>25</v>
      </c>
      <c r="L2426">
        <v>-0.59837314832282273</v>
      </c>
      <c r="M2426" s="1" t="s">
        <v>23</v>
      </c>
      <c r="N2426" s="1" t="s">
        <v>230</v>
      </c>
      <c r="O2426" s="1" t="s">
        <v>25</v>
      </c>
      <c r="P2426" s="3" t="s">
        <v>25</v>
      </c>
      <c r="Q2426" s="37">
        <v>4.6694399000000004</v>
      </c>
      <c r="R2426" s="1" t="s">
        <v>231</v>
      </c>
      <c r="S2426" s="13">
        <f t="shared" si="61"/>
        <v>-0.59837314832282273</v>
      </c>
    </row>
    <row r="2427" spans="1:19">
      <c r="A2427" s="18" t="s">
        <v>2225</v>
      </c>
      <c r="B2427" s="1" t="s">
        <v>2505</v>
      </c>
      <c r="C2427" s="1" t="s">
        <v>2043</v>
      </c>
      <c r="D2427" s="1" t="s">
        <v>2515</v>
      </c>
      <c r="E2427" s="1" t="s">
        <v>25</v>
      </c>
      <c r="F2427">
        <v>1250</v>
      </c>
      <c r="G2427">
        <v>1250</v>
      </c>
      <c r="H2427" s="1" t="s">
        <v>25</v>
      </c>
      <c r="I2427" s="1" t="s">
        <v>1528</v>
      </c>
      <c r="J2427" t="s">
        <v>25</v>
      </c>
      <c r="K2427" t="s">
        <v>25</v>
      </c>
      <c r="L2427">
        <v>-1.2181773419050383</v>
      </c>
      <c r="M2427" s="1" t="s">
        <v>23</v>
      </c>
      <c r="N2427" s="1" t="s">
        <v>230</v>
      </c>
      <c r="O2427" s="1" t="s">
        <v>25</v>
      </c>
      <c r="P2427" s="3" t="s">
        <v>25</v>
      </c>
      <c r="Q2427" s="37">
        <v>1.3489174000000002</v>
      </c>
      <c r="R2427" s="1" t="s">
        <v>231</v>
      </c>
      <c r="S2427" s="13">
        <f t="shared" si="61"/>
        <v>-1.2181773419050383</v>
      </c>
    </row>
    <row r="2428" spans="1:19">
      <c r="A2428" s="18" t="s">
        <v>2225</v>
      </c>
      <c r="B2428" s="1" t="s">
        <v>2506</v>
      </c>
      <c r="C2428" s="1" t="s">
        <v>2043</v>
      </c>
      <c r="D2428" s="1" t="s">
        <v>2515</v>
      </c>
      <c r="E2428" s="1" t="s">
        <v>25</v>
      </c>
      <c r="F2428">
        <v>1250</v>
      </c>
      <c r="G2428">
        <v>1250</v>
      </c>
      <c r="H2428" s="1" t="s">
        <v>25</v>
      </c>
      <c r="I2428" s="1" t="s">
        <v>1528</v>
      </c>
      <c r="J2428" t="s">
        <v>25</v>
      </c>
      <c r="K2428" t="s">
        <v>25</v>
      </c>
      <c r="L2428">
        <v>-1.0865004016037487</v>
      </c>
      <c r="M2428" s="1" t="s">
        <v>23</v>
      </c>
      <c r="N2428" s="1" t="s">
        <v>230</v>
      </c>
      <c r="O2428" s="1" t="s">
        <v>25</v>
      </c>
      <c r="P2428" s="3" t="s">
        <v>25</v>
      </c>
      <c r="Q2428" s="37">
        <v>0.73830240000000003</v>
      </c>
      <c r="R2428" s="1" t="s">
        <v>231</v>
      </c>
      <c r="S2428" s="13">
        <f t="shared" si="61"/>
        <v>-1.0865004016037487</v>
      </c>
    </row>
    <row r="2429" spans="1:19">
      <c r="A2429" s="18" t="s">
        <v>2225</v>
      </c>
      <c r="B2429" s="1" t="s">
        <v>2507</v>
      </c>
      <c r="C2429" s="1" t="s">
        <v>2043</v>
      </c>
      <c r="D2429" s="1" t="s">
        <v>2515</v>
      </c>
      <c r="E2429" s="1" t="s">
        <v>25</v>
      </c>
      <c r="F2429">
        <v>1250</v>
      </c>
      <c r="G2429">
        <v>1250</v>
      </c>
      <c r="H2429" s="1" t="s">
        <v>25</v>
      </c>
      <c r="I2429" s="1" t="s">
        <v>1528</v>
      </c>
      <c r="J2429" t="s">
        <v>25</v>
      </c>
      <c r="K2429" t="s">
        <v>25</v>
      </c>
      <c r="L2429">
        <v>-0.51033187097896948</v>
      </c>
      <c r="M2429" s="1" t="s">
        <v>23</v>
      </c>
      <c r="N2429" s="1" t="s">
        <v>230</v>
      </c>
      <c r="O2429" s="1" t="s">
        <v>25</v>
      </c>
      <c r="P2429" s="3" t="s">
        <v>25</v>
      </c>
      <c r="Q2429" s="37">
        <v>2.1009333000000003</v>
      </c>
      <c r="R2429" s="1" t="s">
        <v>231</v>
      </c>
      <c r="S2429" s="13">
        <f t="shared" si="61"/>
        <v>-0.51033187097896948</v>
      </c>
    </row>
    <row r="2430" spans="1:19">
      <c r="A2430" s="18" t="s">
        <v>2225</v>
      </c>
      <c r="B2430" s="1" t="s">
        <v>2508</v>
      </c>
      <c r="C2430" s="1" t="s">
        <v>2043</v>
      </c>
      <c r="D2430" s="1" t="s">
        <v>2515</v>
      </c>
      <c r="E2430" s="1" t="s">
        <v>25</v>
      </c>
      <c r="F2430">
        <v>1250</v>
      </c>
      <c r="G2430">
        <v>1250</v>
      </c>
      <c r="H2430" s="1" t="s">
        <v>25</v>
      </c>
      <c r="I2430" s="1" t="s">
        <v>1528</v>
      </c>
      <c r="J2430" t="s">
        <v>25</v>
      </c>
      <c r="K2430" t="s">
        <v>25</v>
      </c>
      <c r="L2430">
        <v>-0.95662930061120022</v>
      </c>
      <c r="M2430" s="1" t="s">
        <v>23</v>
      </c>
      <c r="N2430" s="1" t="s">
        <v>230</v>
      </c>
      <c r="O2430" s="1" t="s">
        <v>25</v>
      </c>
      <c r="P2430" s="3" t="s">
        <v>25</v>
      </c>
      <c r="Q2430" s="37">
        <v>0.34418890000000002</v>
      </c>
      <c r="R2430" s="1" t="s">
        <v>231</v>
      </c>
      <c r="S2430" s="13">
        <f t="shared" si="61"/>
        <v>-0.95662930061120022</v>
      </c>
    </row>
    <row r="2431" spans="1:19">
      <c r="A2431" s="18" t="s">
        <v>2225</v>
      </c>
      <c r="B2431" s="1" t="s">
        <v>2509</v>
      </c>
      <c r="C2431" s="1" t="s">
        <v>2043</v>
      </c>
      <c r="D2431" s="1" t="s">
        <v>2515</v>
      </c>
      <c r="E2431" s="1" t="s">
        <v>25</v>
      </c>
      <c r="F2431">
        <v>1250</v>
      </c>
      <c r="G2431">
        <v>1250</v>
      </c>
      <c r="H2431" s="1" t="s">
        <v>25</v>
      </c>
      <c r="I2431" s="1" t="s">
        <v>1528</v>
      </c>
      <c r="J2431" t="s">
        <v>25</v>
      </c>
      <c r="K2431" t="s">
        <v>25</v>
      </c>
      <c r="L2431">
        <v>-0.72734199498980512</v>
      </c>
      <c r="M2431" s="1" t="s">
        <v>23</v>
      </c>
      <c r="N2431" s="1" t="s">
        <v>230</v>
      </c>
      <c r="O2431" s="1" t="s">
        <v>25</v>
      </c>
      <c r="P2431" s="3" t="s">
        <v>25</v>
      </c>
      <c r="Q2431" s="37">
        <v>1.4028079</v>
      </c>
      <c r="R2431" s="1" t="s">
        <v>231</v>
      </c>
      <c r="S2431" s="13">
        <f t="shared" si="61"/>
        <v>-0.72734199498980512</v>
      </c>
    </row>
    <row r="2432" spans="1:19">
      <c r="A2432" s="18" t="s">
        <v>2225</v>
      </c>
      <c r="B2432" s="1" t="s">
        <v>2510</v>
      </c>
      <c r="C2432" s="1" t="s">
        <v>2043</v>
      </c>
      <c r="D2432" s="1" t="s">
        <v>2515</v>
      </c>
      <c r="E2432" s="1" t="s">
        <v>25</v>
      </c>
      <c r="F2432">
        <v>1250</v>
      </c>
      <c r="G2432">
        <v>1250</v>
      </c>
      <c r="H2432" s="1" t="s">
        <v>25</v>
      </c>
      <c r="I2432" s="1" t="s">
        <v>1528</v>
      </c>
      <c r="J2432" t="s">
        <v>25</v>
      </c>
      <c r="K2432" t="s">
        <v>25</v>
      </c>
      <c r="L2432">
        <v>-0.75259702669100415</v>
      </c>
      <c r="M2432" s="1" t="s">
        <v>23</v>
      </c>
      <c r="N2432" s="1" t="s">
        <v>230</v>
      </c>
      <c r="O2432" s="1" t="s">
        <v>25</v>
      </c>
      <c r="P2432" s="3" t="s">
        <v>25</v>
      </c>
      <c r="Q2432" s="37">
        <v>1.1621408</v>
      </c>
      <c r="R2432" s="1" t="s">
        <v>231</v>
      </c>
      <c r="S2432" s="13">
        <f t="shared" si="61"/>
        <v>-0.75259702669100415</v>
      </c>
    </row>
    <row r="2433" spans="1:19">
      <c r="A2433" s="18" t="s">
        <v>2225</v>
      </c>
      <c r="B2433" s="1" t="s">
        <v>2511</v>
      </c>
      <c r="C2433" s="1" t="s">
        <v>2043</v>
      </c>
      <c r="D2433" s="1" t="s">
        <v>2515</v>
      </c>
      <c r="E2433" s="1" t="s">
        <v>25</v>
      </c>
      <c r="F2433">
        <v>1250</v>
      </c>
      <c r="G2433">
        <v>1250</v>
      </c>
      <c r="H2433" s="1" t="s">
        <v>25</v>
      </c>
      <c r="I2433" s="1" t="s">
        <v>1528</v>
      </c>
      <c r="J2433" t="s">
        <v>25</v>
      </c>
      <c r="K2433" t="s">
        <v>25</v>
      </c>
      <c r="L2433">
        <v>-1.1098971735633372</v>
      </c>
      <c r="M2433" s="1" t="s">
        <v>23</v>
      </c>
      <c r="N2433" s="1" t="s">
        <v>230</v>
      </c>
      <c r="O2433" s="1" t="s">
        <v>25</v>
      </c>
      <c r="P2433" s="3" t="s">
        <v>25</v>
      </c>
      <c r="Q2433" s="37">
        <v>0.56832989999999994</v>
      </c>
      <c r="R2433" s="1" t="s">
        <v>231</v>
      </c>
      <c r="S2433" s="13">
        <f t="shared" si="61"/>
        <v>-1.1098971735633372</v>
      </c>
    </row>
    <row r="2434" spans="1:19">
      <c r="A2434" s="18" t="s">
        <v>2225</v>
      </c>
      <c r="B2434" s="1" t="s">
        <v>2512</v>
      </c>
      <c r="C2434" s="1" t="s">
        <v>2043</v>
      </c>
      <c r="D2434" s="1" t="s">
        <v>2515</v>
      </c>
      <c r="E2434" s="1" t="s">
        <v>25</v>
      </c>
      <c r="F2434">
        <v>1250</v>
      </c>
      <c r="G2434">
        <v>1250</v>
      </c>
      <c r="H2434" s="1" t="s">
        <v>25</v>
      </c>
      <c r="I2434" s="1" t="s">
        <v>1528</v>
      </c>
      <c r="J2434" t="s">
        <v>25</v>
      </c>
      <c r="K2434" t="s">
        <v>25</v>
      </c>
      <c r="L2434">
        <v>-0.95214226155020942</v>
      </c>
      <c r="M2434" s="1" t="s">
        <v>23</v>
      </c>
      <c r="N2434" s="1" t="s">
        <v>230</v>
      </c>
      <c r="O2434" s="1" t="s">
        <v>25</v>
      </c>
      <c r="P2434" s="3" t="s">
        <v>25</v>
      </c>
      <c r="Q2434" s="37">
        <v>0.30443249999999999</v>
      </c>
      <c r="R2434" s="1" t="s">
        <v>231</v>
      </c>
      <c r="S2434" s="13">
        <f t="shared" si="61"/>
        <v>-0.95214226155020942</v>
      </c>
    </row>
    <row r="2435" spans="1:19">
      <c r="A2435" s="18" t="s">
        <v>2225</v>
      </c>
      <c r="B2435" s="1" t="s">
        <v>2513</v>
      </c>
      <c r="C2435" s="1" t="s">
        <v>2043</v>
      </c>
      <c r="D2435" s="1" t="s">
        <v>2515</v>
      </c>
      <c r="E2435" s="1" t="s">
        <v>25</v>
      </c>
      <c r="F2435">
        <v>1250</v>
      </c>
      <c r="G2435">
        <v>1250</v>
      </c>
      <c r="H2435" s="1" t="s">
        <v>25</v>
      </c>
      <c r="I2435" s="1" t="s">
        <v>1528</v>
      </c>
      <c r="J2435" t="s">
        <v>25</v>
      </c>
      <c r="K2435" t="s">
        <v>25</v>
      </c>
      <c r="L2435">
        <v>-0.63889557009093045</v>
      </c>
      <c r="M2435" s="1" t="s">
        <v>23</v>
      </c>
      <c r="N2435" s="1" t="s">
        <v>230</v>
      </c>
      <c r="O2435" s="1" t="s">
        <v>25</v>
      </c>
      <c r="P2435" s="3" t="s">
        <v>25</v>
      </c>
      <c r="Q2435" s="37">
        <v>4.2766387000000003</v>
      </c>
      <c r="R2435" s="1" t="s">
        <v>231</v>
      </c>
      <c r="S2435" s="13">
        <f t="shared" si="61"/>
        <v>-0.63889557009093045</v>
      </c>
    </row>
    <row r="2436" spans="1:19">
      <c r="A2436" s="18" t="s">
        <v>2225</v>
      </c>
      <c r="B2436" s="1" t="s">
        <v>2514</v>
      </c>
      <c r="C2436" s="1" t="s">
        <v>2043</v>
      </c>
      <c r="D2436" s="1" t="s">
        <v>2515</v>
      </c>
      <c r="E2436" s="1" t="s">
        <v>25</v>
      </c>
      <c r="F2436">
        <v>1250</v>
      </c>
      <c r="G2436">
        <v>1250</v>
      </c>
      <c r="H2436" s="1" t="s">
        <v>25</v>
      </c>
      <c r="I2436" s="1" t="s">
        <v>1528</v>
      </c>
      <c r="J2436" t="s">
        <v>25</v>
      </c>
      <c r="K2436" t="s">
        <v>25</v>
      </c>
      <c r="L2436">
        <v>-0.79990330889967143</v>
      </c>
      <c r="M2436" s="1" t="s">
        <v>23</v>
      </c>
      <c r="N2436" s="1" t="s">
        <v>230</v>
      </c>
      <c r="O2436" s="1" t="s">
        <v>25</v>
      </c>
      <c r="P2436" s="3" t="s">
        <v>25</v>
      </c>
      <c r="Q2436" s="37">
        <v>1.9525486000000001</v>
      </c>
      <c r="R2436" s="1" t="s">
        <v>231</v>
      </c>
      <c r="S2436" s="13">
        <f t="shared" si="61"/>
        <v>-0.79990330889967143</v>
      </c>
    </row>
    <row r="2437" spans="1:19">
      <c r="A2437" s="18" t="s">
        <v>2225</v>
      </c>
      <c r="B2437" s="36" t="s">
        <v>2516</v>
      </c>
      <c r="C2437" s="1" t="s">
        <v>2522</v>
      </c>
      <c r="D2437" s="1" t="s">
        <v>2523</v>
      </c>
      <c r="E2437" s="1" t="s">
        <v>25</v>
      </c>
      <c r="F2437">
        <v>1200</v>
      </c>
      <c r="G2437">
        <v>1200</v>
      </c>
      <c r="H2437" s="1" t="s">
        <v>25</v>
      </c>
      <c r="I2437" s="1" t="s">
        <v>1528</v>
      </c>
      <c r="J2437" t="s">
        <v>25</v>
      </c>
      <c r="K2437" t="s">
        <v>25</v>
      </c>
      <c r="L2437">
        <v>-0.59939342255966455</v>
      </c>
      <c r="M2437" s="1" t="s">
        <v>23</v>
      </c>
      <c r="N2437" s="1" t="s">
        <v>230</v>
      </c>
      <c r="O2437" s="1" t="s">
        <v>25</v>
      </c>
      <c r="P2437" s="3" t="s">
        <v>25</v>
      </c>
      <c r="Q2437" s="37">
        <v>0.23435520000000001</v>
      </c>
      <c r="R2437" s="1" t="s">
        <v>231</v>
      </c>
      <c r="S2437" s="13">
        <f t="shared" si="61"/>
        <v>-0.59939342255966455</v>
      </c>
    </row>
    <row r="2438" spans="1:19">
      <c r="A2438" s="18" t="s">
        <v>2225</v>
      </c>
      <c r="B2438" s="36" t="s">
        <v>2517</v>
      </c>
      <c r="C2438" s="1" t="s">
        <v>2522</v>
      </c>
      <c r="D2438" s="1" t="s">
        <v>2523</v>
      </c>
      <c r="E2438" s="1" t="s">
        <v>25</v>
      </c>
      <c r="F2438">
        <v>1200</v>
      </c>
      <c r="G2438">
        <v>1200</v>
      </c>
      <c r="H2438" s="1" t="s">
        <v>25</v>
      </c>
      <c r="I2438" s="1" t="s">
        <v>1528</v>
      </c>
      <c r="J2438" t="s">
        <v>25</v>
      </c>
      <c r="K2438" t="s">
        <v>25</v>
      </c>
      <c r="L2438">
        <v>-0.94242418214948309</v>
      </c>
      <c r="M2438" s="1" t="s">
        <v>23</v>
      </c>
      <c r="N2438" s="1" t="s">
        <v>230</v>
      </c>
      <c r="O2438" s="1" t="s">
        <v>25</v>
      </c>
      <c r="P2438" s="3" t="s">
        <v>25</v>
      </c>
      <c r="Q2438" s="37">
        <v>0.12042120000000001</v>
      </c>
      <c r="R2438" s="1" t="s">
        <v>231</v>
      </c>
      <c r="S2438" s="13">
        <f t="shared" si="61"/>
        <v>-0.94242418214948309</v>
      </c>
    </row>
    <row r="2439" spans="1:19">
      <c r="A2439" s="18" t="s">
        <v>2225</v>
      </c>
      <c r="B2439" s="36" t="s">
        <v>2518</v>
      </c>
      <c r="C2439" s="1" t="s">
        <v>2522</v>
      </c>
      <c r="D2439" s="1" t="s">
        <v>2523</v>
      </c>
      <c r="E2439" s="1" t="s">
        <v>25</v>
      </c>
      <c r="F2439">
        <v>1200</v>
      </c>
      <c r="G2439">
        <v>1200</v>
      </c>
      <c r="H2439" s="1" t="s">
        <v>25</v>
      </c>
      <c r="I2439" s="1" t="s">
        <v>1528</v>
      </c>
      <c r="J2439" t="s">
        <v>25</v>
      </c>
      <c r="K2439" t="s">
        <v>25</v>
      </c>
      <c r="L2439">
        <v>-0.57887727512637854</v>
      </c>
      <c r="M2439" s="1" t="s">
        <v>23</v>
      </c>
      <c r="N2439" s="1" t="s">
        <v>230</v>
      </c>
      <c r="O2439" s="1" t="s">
        <v>25</v>
      </c>
      <c r="P2439" s="3" t="s">
        <v>25</v>
      </c>
      <c r="Q2439" s="37">
        <v>0.16886200000000001</v>
      </c>
      <c r="R2439" s="1" t="s">
        <v>231</v>
      </c>
      <c r="S2439" s="13">
        <f t="shared" si="61"/>
        <v>-0.57887727512637854</v>
      </c>
    </row>
    <row r="2440" spans="1:19">
      <c r="A2440" s="18" t="s">
        <v>2225</v>
      </c>
      <c r="B2440" s="36" t="s">
        <v>2519</v>
      </c>
      <c r="C2440" s="1" t="s">
        <v>2522</v>
      </c>
      <c r="D2440" s="1" t="s">
        <v>2523</v>
      </c>
      <c r="E2440" s="1" t="s">
        <v>25</v>
      </c>
      <c r="F2440">
        <v>1200</v>
      </c>
      <c r="G2440">
        <v>1200</v>
      </c>
      <c r="H2440" s="1" t="s">
        <v>25</v>
      </c>
      <c r="I2440" s="1" t="s">
        <v>1528</v>
      </c>
      <c r="J2440" t="s">
        <v>25</v>
      </c>
      <c r="K2440" t="s">
        <v>25</v>
      </c>
      <c r="L2440">
        <v>-0.67788196666188216</v>
      </c>
      <c r="M2440" s="1" t="s">
        <v>23</v>
      </c>
      <c r="N2440" s="1" t="s">
        <v>230</v>
      </c>
      <c r="O2440" s="1" t="s">
        <v>25</v>
      </c>
      <c r="P2440" s="3" t="s">
        <v>25</v>
      </c>
      <c r="Q2440" s="37">
        <v>0.24171960000000001</v>
      </c>
      <c r="R2440" s="1" t="s">
        <v>231</v>
      </c>
      <c r="S2440" s="13">
        <f t="shared" si="61"/>
        <v>-0.67788196666188216</v>
      </c>
    </row>
    <row r="2441" spans="1:19">
      <c r="A2441" s="18" t="s">
        <v>2225</v>
      </c>
      <c r="B2441" s="36" t="s">
        <v>2520</v>
      </c>
      <c r="C2441" s="1" t="s">
        <v>2522</v>
      </c>
      <c r="D2441" s="1" t="s">
        <v>2523</v>
      </c>
      <c r="E2441" s="1" t="s">
        <v>25</v>
      </c>
      <c r="F2441">
        <v>1200</v>
      </c>
      <c r="G2441">
        <v>1200</v>
      </c>
      <c r="H2441" s="1" t="s">
        <v>25</v>
      </c>
      <c r="I2441" s="1" t="s">
        <v>1528</v>
      </c>
      <c r="J2441" t="s">
        <v>25</v>
      </c>
      <c r="K2441" t="s">
        <v>25</v>
      </c>
      <c r="L2441">
        <v>-0.77493261848449879</v>
      </c>
      <c r="M2441" s="1" t="s">
        <v>23</v>
      </c>
      <c r="N2441" s="1" t="s">
        <v>230</v>
      </c>
      <c r="O2441" s="1" t="s">
        <v>25</v>
      </c>
      <c r="P2441" s="3" t="s">
        <v>25</v>
      </c>
      <c r="Q2441" s="37">
        <v>0.21609110000000001</v>
      </c>
      <c r="R2441" s="1" t="s">
        <v>231</v>
      </c>
      <c r="S2441" s="13">
        <f t="shared" si="61"/>
        <v>-0.77493261848449879</v>
      </c>
    </row>
    <row r="2442" spans="1:19">
      <c r="A2442" s="18" t="s">
        <v>2225</v>
      </c>
      <c r="B2442" s="36" t="s">
        <v>2521</v>
      </c>
      <c r="C2442" s="1" t="s">
        <v>2522</v>
      </c>
      <c r="D2442" s="1" t="s">
        <v>2523</v>
      </c>
      <c r="E2442" s="1" t="s">
        <v>25</v>
      </c>
      <c r="F2442">
        <v>1200</v>
      </c>
      <c r="G2442">
        <v>1200</v>
      </c>
      <c r="H2442" s="1" t="s">
        <v>25</v>
      </c>
      <c r="I2442" s="1" t="s">
        <v>1528</v>
      </c>
      <c r="J2442" t="s">
        <v>25</v>
      </c>
      <c r="K2442" t="s">
        <v>25</v>
      </c>
      <c r="L2442">
        <v>-0.70885536824615436</v>
      </c>
      <c r="M2442" s="1" t="s">
        <v>23</v>
      </c>
      <c r="N2442" s="1" t="s">
        <v>230</v>
      </c>
      <c r="O2442" s="1" t="s">
        <v>25</v>
      </c>
      <c r="P2442" s="3" t="s">
        <v>25</v>
      </c>
      <c r="Q2442" s="37">
        <v>0.27952779999999999</v>
      </c>
      <c r="R2442" s="1" t="s">
        <v>231</v>
      </c>
      <c r="S2442" s="13">
        <f t="shared" si="61"/>
        <v>-0.70885536824615436</v>
      </c>
    </row>
    <row r="2443" spans="1:19">
      <c r="A2443" s="18" t="s">
        <v>2225</v>
      </c>
      <c r="B2443" s="1" t="s">
        <v>2524</v>
      </c>
      <c r="C2443" s="1" t="s">
        <v>2529</v>
      </c>
      <c r="D2443" s="1" t="s">
        <v>2530</v>
      </c>
      <c r="E2443" s="1" t="s">
        <v>25</v>
      </c>
      <c r="F2443">
        <v>1100</v>
      </c>
      <c r="G2443">
        <v>1100</v>
      </c>
      <c r="H2443" s="1" t="s">
        <v>25</v>
      </c>
      <c r="I2443" s="1" t="s">
        <v>1528</v>
      </c>
      <c r="J2443" t="s">
        <v>25</v>
      </c>
      <c r="K2443" t="s">
        <v>25</v>
      </c>
      <c r="L2443">
        <v>-1.8041995269082858</v>
      </c>
      <c r="M2443" s="1" t="s">
        <v>23</v>
      </c>
      <c r="N2443" s="1" t="s">
        <v>230</v>
      </c>
      <c r="O2443" s="1" t="s">
        <v>25</v>
      </c>
      <c r="P2443" s="3" t="s">
        <v>25</v>
      </c>
      <c r="Q2443" s="37">
        <v>2.2155176999999999</v>
      </c>
      <c r="R2443" s="1" t="s">
        <v>231</v>
      </c>
      <c r="S2443" s="13">
        <f t="shared" si="61"/>
        <v>-1.8041995269082858</v>
      </c>
    </row>
    <row r="2444" spans="1:19">
      <c r="A2444" s="18" t="s">
        <v>2225</v>
      </c>
      <c r="B2444" s="1" t="s">
        <v>2525</v>
      </c>
      <c r="C2444" s="1" t="s">
        <v>2529</v>
      </c>
      <c r="D2444" s="1" t="s">
        <v>2530</v>
      </c>
      <c r="E2444" s="1" t="s">
        <v>25</v>
      </c>
      <c r="F2444">
        <v>1100</v>
      </c>
      <c r="G2444">
        <v>1100</v>
      </c>
      <c r="H2444" s="1" t="s">
        <v>25</v>
      </c>
      <c r="I2444" s="1" t="s">
        <v>1528</v>
      </c>
      <c r="J2444" t="s">
        <v>25</v>
      </c>
      <c r="K2444" t="s">
        <v>25</v>
      </c>
      <c r="L2444">
        <v>-1.6257185772213065</v>
      </c>
      <c r="M2444" s="1" t="s">
        <v>23</v>
      </c>
      <c r="N2444" s="1" t="s">
        <v>230</v>
      </c>
      <c r="O2444" s="1" t="s">
        <v>25</v>
      </c>
      <c r="P2444" s="3" t="s">
        <v>25</v>
      </c>
      <c r="Q2444" s="37">
        <v>1.7354768999999999</v>
      </c>
      <c r="R2444" s="1" t="s">
        <v>231</v>
      </c>
      <c r="S2444" s="13">
        <f t="shared" si="61"/>
        <v>-1.6257185772213065</v>
      </c>
    </row>
    <row r="2445" spans="1:19">
      <c r="A2445" s="18" t="s">
        <v>2225</v>
      </c>
      <c r="B2445" s="1" t="s">
        <v>2526</v>
      </c>
      <c r="C2445" s="1" t="s">
        <v>2529</v>
      </c>
      <c r="D2445" s="1" t="s">
        <v>2530</v>
      </c>
      <c r="E2445" s="1" t="s">
        <v>25</v>
      </c>
      <c r="F2445">
        <v>1100</v>
      </c>
      <c r="G2445">
        <v>1100</v>
      </c>
      <c r="H2445" s="1" t="s">
        <v>25</v>
      </c>
      <c r="I2445" s="1" t="s">
        <v>1528</v>
      </c>
      <c r="J2445" t="s">
        <v>25</v>
      </c>
      <c r="K2445" t="s">
        <v>25</v>
      </c>
      <c r="L2445">
        <v>-1.670042654383834</v>
      </c>
      <c r="M2445" s="1" t="s">
        <v>23</v>
      </c>
      <c r="N2445" s="1" t="s">
        <v>230</v>
      </c>
      <c r="O2445" s="1" t="s">
        <v>25</v>
      </c>
      <c r="P2445" s="3" t="s">
        <v>25</v>
      </c>
      <c r="Q2445" s="37">
        <v>1.0819293999999999</v>
      </c>
      <c r="R2445" s="1" t="s">
        <v>231</v>
      </c>
      <c r="S2445" s="13">
        <f t="shared" si="61"/>
        <v>-1.670042654383834</v>
      </c>
    </row>
    <row r="2446" spans="1:19">
      <c r="A2446" s="18" t="s">
        <v>2225</v>
      </c>
      <c r="B2446" s="1" t="s">
        <v>2527</v>
      </c>
      <c r="C2446" s="1" t="s">
        <v>2529</v>
      </c>
      <c r="D2446" s="1" t="s">
        <v>2530</v>
      </c>
      <c r="E2446" s="1" t="s">
        <v>25</v>
      </c>
      <c r="F2446">
        <v>1100</v>
      </c>
      <c r="G2446">
        <v>1100</v>
      </c>
      <c r="H2446" s="1" t="s">
        <v>25</v>
      </c>
      <c r="I2446" s="1" t="s">
        <v>1528</v>
      </c>
      <c r="J2446" t="s">
        <v>25</v>
      </c>
      <c r="K2446" t="s">
        <v>25</v>
      </c>
      <c r="L2446">
        <v>-1.2846897505973478</v>
      </c>
      <c r="M2446" s="1" t="s">
        <v>23</v>
      </c>
      <c r="N2446" s="1" t="s">
        <v>230</v>
      </c>
      <c r="O2446" s="1" t="s">
        <v>25</v>
      </c>
      <c r="P2446" s="3" t="s">
        <v>25</v>
      </c>
      <c r="Q2446" s="37">
        <v>0.17688140000000002</v>
      </c>
      <c r="R2446" s="1" t="s">
        <v>231</v>
      </c>
      <c r="S2446" s="13">
        <f t="shared" si="61"/>
        <v>-1.2846897505973478</v>
      </c>
    </row>
    <row r="2447" spans="1:19">
      <c r="A2447" s="18" t="s">
        <v>2225</v>
      </c>
      <c r="B2447" s="1" t="s">
        <v>2528</v>
      </c>
      <c r="C2447" s="1" t="s">
        <v>2529</v>
      </c>
      <c r="D2447" s="1" t="s">
        <v>2530</v>
      </c>
      <c r="E2447" s="1" t="s">
        <v>25</v>
      </c>
      <c r="F2447">
        <v>1100</v>
      </c>
      <c r="G2447">
        <v>1100</v>
      </c>
      <c r="H2447" s="1" t="s">
        <v>25</v>
      </c>
      <c r="I2447" s="1" t="s">
        <v>1528</v>
      </c>
      <c r="J2447" t="s">
        <v>25</v>
      </c>
      <c r="K2447" t="s">
        <v>25</v>
      </c>
      <c r="L2447">
        <v>-0.98535501290673533</v>
      </c>
      <c r="M2447" s="1" t="s">
        <v>23</v>
      </c>
      <c r="N2447" s="1" t="s">
        <v>230</v>
      </c>
      <c r="O2447" s="1" t="s">
        <v>25</v>
      </c>
      <c r="P2447" s="3" t="s">
        <v>25</v>
      </c>
      <c r="Q2447" s="37">
        <v>0.20654310000000001</v>
      </c>
      <c r="R2447" s="1" t="s">
        <v>231</v>
      </c>
      <c r="S2447" s="13">
        <f t="shared" si="61"/>
        <v>-0.98535501290673533</v>
      </c>
    </row>
    <row r="2448" spans="1:19">
      <c r="A2448" s="18" t="s">
        <v>2225</v>
      </c>
      <c r="B2448" s="1" t="s">
        <v>2531</v>
      </c>
      <c r="C2448" s="1" t="s">
        <v>2546</v>
      </c>
      <c r="D2448" s="1" t="s">
        <v>2547</v>
      </c>
      <c r="E2448" s="1" t="s">
        <v>25</v>
      </c>
      <c r="F2448">
        <v>800</v>
      </c>
      <c r="G2448">
        <v>800</v>
      </c>
      <c r="H2448" s="1" t="s">
        <v>25</v>
      </c>
      <c r="I2448" s="1" t="s">
        <v>1528</v>
      </c>
      <c r="J2448" s="1" t="s">
        <v>2548</v>
      </c>
      <c r="K2448" t="s">
        <v>25</v>
      </c>
      <c r="L2448">
        <v>-1.2813267127250991</v>
      </c>
      <c r="M2448" s="1" t="s">
        <v>23</v>
      </c>
      <c r="N2448" s="1" t="s">
        <v>230</v>
      </c>
      <c r="O2448" s="1" t="s">
        <v>25</v>
      </c>
      <c r="P2448" s="3" t="s">
        <v>25</v>
      </c>
      <c r="Q2448" s="37">
        <v>0.42839350000000004</v>
      </c>
      <c r="R2448" s="1" t="s">
        <v>231</v>
      </c>
      <c r="S2448" s="13">
        <f t="shared" si="61"/>
        <v>-1.2813267127250991</v>
      </c>
    </row>
    <row r="2449" spans="1:19">
      <c r="A2449" s="18" t="s">
        <v>2225</v>
      </c>
      <c r="B2449" s="1" t="s">
        <v>2532</v>
      </c>
      <c r="C2449" s="1" t="s">
        <v>2546</v>
      </c>
      <c r="D2449" s="1" t="s">
        <v>2547</v>
      </c>
      <c r="E2449" s="1" t="s">
        <v>25</v>
      </c>
      <c r="F2449">
        <v>800</v>
      </c>
      <c r="G2449">
        <v>800</v>
      </c>
      <c r="H2449" s="1" t="s">
        <v>25</v>
      </c>
      <c r="I2449" s="1" t="s">
        <v>1528</v>
      </c>
      <c r="J2449" s="1" t="s">
        <v>2548</v>
      </c>
      <c r="K2449" t="s">
        <v>25</v>
      </c>
      <c r="L2449">
        <v>-1.2938085853985994</v>
      </c>
      <c r="M2449" s="1" t="s">
        <v>23</v>
      </c>
      <c r="N2449" s="1" t="s">
        <v>230</v>
      </c>
      <c r="O2449" s="1" t="s">
        <v>25</v>
      </c>
      <c r="P2449" s="3" t="s">
        <v>25</v>
      </c>
      <c r="Q2449" s="37">
        <v>1.0222245999999999</v>
      </c>
      <c r="R2449" s="1" t="s">
        <v>231</v>
      </c>
      <c r="S2449" s="13">
        <f t="shared" si="61"/>
        <v>-1.2938085853985994</v>
      </c>
    </row>
    <row r="2450" spans="1:19">
      <c r="A2450" s="18" t="s">
        <v>2225</v>
      </c>
      <c r="B2450" s="1" t="s">
        <v>2533</v>
      </c>
      <c r="C2450" s="1" t="s">
        <v>2546</v>
      </c>
      <c r="D2450" s="1" t="s">
        <v>2547</v>
      </c>
      <c r="E2450" s="1" t="s">
        <v>25</v>
      </c>
      <c r="F2450">
        <v>800</v>
      </c>
      <c r="G2450">
        <v>800</v>
      </c>
      <c r="H2450" s="1" t="s">
        <v>25</v>
      </c>
      <c r="I2450" s="1" t="s">
        <v>1528</v>
      </c>
      <c r="J2450" s="1" t="s">
        <v>2548</v>
      </c>
      <c r="K2450" t="s">
        <v>25</v>
      </c>
      <c r="L2450">
        <v>-1.2539766193217381</v>
      </c>
      <c r="M2450" s="1" t="s">
        <v>23</v>
      </c>
      <c r="N2450" s="1" t="s">
        <v>230</v>
      </c>
      <c r="O2450" s="1" t="s">
        <v>25</v>
      </c>
      <c r="P2450" s="3" t="s">
        <v>25</v>
      </c>
      <c r="Q2450" s="37">
        <v>0.15096600000000002</v>
      </c>
      <c r="R2450" s="1" t="s">
        <v>231</v>
      </c>
      <c r="S2450" s="13">
        <f t="shared" si="61"/>
        <v>-1.2539766193217381</v>
      </c>
    </row>
    <row r="2451" spans="1:19">
      <c r="A2451" s="18" t="s">
        <v>2225</v>
      </c>
      <c r="B2451" s="1" t="s">
        <v>2534</v>
      </c>
      <c r="C2451" s="1" t="s">
        <v>2546</v>
      </c>
      <c r="D2451" s="1" t="s">
        <v>2547</v>
      </c>
      <c r="E2451" s="1" t="s">
        <v>25</v>
      </c>
      <c r="F2451">
        <v>800</v>
      </c>
      <c r="G2451">
        <v>800</v>
      </c>
      <c r="H2451" s="1" t="s">
        <v>25</v>
      </c>
      <c r="I2451" s="1" t="s">
        <v>1528</v>
      </c>
      <c r="J2451" s="1" t="s">
        <v>2548</v>
      </c>
      <c r="K2451" t="s">
        <v>25</v>
      </c>
      <c r="L2451">
        <v>-1.4951043332646949</v>
      </c>
      <c r="M2451" s="1" t="s">
        <v>23</v>
      </c>
      <c r="N2451" s="1" t="s">
        <v>230</v>
      </c>
      <c r="O2451" s="1" t="s">
        <v>25</v>
      </c>
      <c r="P2451" s="3" t="s">
        <v>25</v>
      </c>
      <c r="Q2451" s="37">
        <v>5.9458316000000009</v>
      </c>
      <c r="R2451" s="1" t="s">
        <v>231</v>
      </c>
      <c r="S2451" s="13">
        <f t="shared" si="61"/>
        <v>-1.4951043332646949</v>
      </c>
    </row>
    <row r="2452" spans="1:19">
      <c r="A2452" s="18" t="s">
        <v>2225</v>
      </c>
      <c r="B2452" s="1" t="s">
        <v>2535</v>
      </c>
      <c r="C2452" s="1" t="s">
        <v>2546</v>
      </c>
      <c r="D2452" s="1" t="s">
        <v>2547</v>
      </c>
      <c r="E2452" s="1" t="s">
        <v>25</v>
      </c>
      <c r="F2452">
        <v>800</v>
      </c>
      <c r="G2452">
        <v>800</v>
      </c>
      <c r="H2452" s="1" t="s">
        <v>25</v>
      </c>
      <c r="I2452" s="1" t="s">
        <v>1528</v>
      </c>
      <c r="J2452" s="1" t="s">
        <v>2548</v>
      </c>
      <c r="K2452" t="s">
        <v>25</v>
      </c>
      <c r="L2452">
        <v>-1.5353461677903315</v>
      </c>
      <c r="M2452" s="1" t="s">
        <v>23</v>
      </c>
      <c r="N2452" s="1" t="s">
        <v>230</v>
      </c>
      <c r="O2452" s="1" t="s">
        <v>25</v>
      </c>
      <c r="P2452" s="3" t="s">
        <v>25</v>
      </c>
      <c r="Q2452" s="37">
        <v>1.0550966000000002</v>
      </c>
      <c r="R2452" s="1" t="s">
        <v>231</v>
      </c>
      <c r="S2452" s="13">
        <f t="shared" si="61"/>
        <v>-1.5353461677903315</v>
      </c>
    </row>
    <row r="2453" spans="1:19">
      <c r="A2453" s="18" t="s">
        <v>2225</v>
      </c>
      <c r="B2453" s="1" t="s">
        <v>2536</v>
      </c>
      <c r="C2453" s="1" t="s">
        <v>2546</v>
      </c>
      <c r="D2453" s="1" t="s">
        <v>2547</v>
      </c>
      <c r="E2453" s="1" t="s">
        <v>25</v>
      </c>
      <c r="F2453">
        <v>800</v>
      </c>
      <c r="G2453">
        <v>800</v>
      </c>
      <c r="H2453" s="1" t="s">
        <v>25</v>
      </c>
      <c r="I2453" s="1" t="s">
        <v>1528</v>
      </c>
      <c r="J2453" s="1" t="s">
        <v>2548</v>
      </c>
      <c r="K2453" t="s">
        <v>25</v>
      </c>
      <c r="L2453">
        <v>-1.4556758668407097</v>
      </c>
      <c r="M2453" s="1" t="s">
        <v>23</v>
      </c>
      <c r="N2453" s="1" t="s">
        <v>230</v>
      </c>
      <c r="O2453" s="1" t="s">
        <v>25</v>
      </c>
      <c r="P2453" s="3" t="s">
        <v>25</v>
      </c>
      <c r="Q2453" s="37">
        <v>1.0888017999999999</v>
      </c>
      <c r="R2453" s="1" t="s">
        <v>231</v>
      </c>
      <c r="S2453" s="13">
        <f t="shared" si="61"/>
        <v>-1.4556758668407097</v>
      </c>
    </row>
    <row r="2454" spans="1:19">
      <c r="A2454" s="18" t="s">
        <v>2225</v>
      </c>
      <c r="B2454" s="1" t="s">
        <v>2537</v>
      </c>
      <c r="C2454" s="1" t="s">
        <v>2546</v>
      </c>
      <c r="D2454" s="1" t="s">
        <v>2547</v>
      </c>
      <c r="E2454" s="1" t="s">
        <v>25</v>
      </c>
      <c r="F2454">
        <v>800</v>
      </c>
      <c r="G2454">
        <v>800</v>
      </c>
      <c r="H2454" s="1" t="s">
        <v>25</v>
      </c>
      <c r="I2454" s="1" t="s">
        <v>1528</v>
      </c>
      <c r="J2454" s="1" t="s">
        <v>2548</v>
      </c>
      <c r="K2454" t="s">
        <v>25</v>
      </c>
      <c r="L2454">
        <v>-1.5143551218671627</v>
      </c>
      <c r="M2454" s="1" t="s">
        <v>23</v>
      </c>
      <c r="N2454" s="1" t="s">
        <v>230</v>
      </c>
      <c r="O2454" s="1" t="s">
        <v>25</v>
      </c>
      <c r="P2454" s="3" t="s">
        <v>25</v>
      </c>
      <c r="Q2454" s="37">
        <v>2.0830353000000001</v>
      </c>
      <c r="R2454" s="1" t="s">
        <v>231</v>
      </c>
      <c r="S2454" s="13">
        <f t="shared" si="61"/>
        <v>-1.5143551218671627</v>
      </c>
    </row>
    <row r="2455" spans="1:19">
      <c r="A2455" s="18" t="s">
        <v>2225</v>
      </c>
      <c r="B2455" s="1" t="s">
        <v>2538</v>
      </c>
      <c r="C2455" s="1" t="s">
        <v>2546</v>
      </c>
      <c r="D2455" s="1" t="s">
        <v>2547</v>
      </c>
      <c r="E2455" s="1" t="s">
        <v>25</v>
      </c>
      <c r="F2455">
        <v>800</v>
      </c>
      <c r="G2455">
        <v>800</v>
      </c>
      <c r="H2455" s="1" t="s">
        <v>25</v>
      </c>
      <c r="I2455" s="1" t="s">
        <v>1528</v>
      </c>
      <c r="J2455" s="1" t="s">
        <v>2548</v>
      </c>
      <c r="K2455" t="s">
        <v>25</v>
      </c>
      <c r="L2455">
        <v>-1.3959112724294778</v>
      </c>
      <c r="M2455" s="1" t="s">
        <v>23</v>
      </c>
      <c r="N2455" s="1" t="s">
        <v>230</v>
      </c>
      <c r="O2455" s="1" t="s">
        <v>25</v>
      </c>
      <c r="P2455" s="3" t="s">
        <v>25</v>
      </c>
      <c r="Q2455" s="37">
        <v>1.4797569000000002</v>
      </c>
      <c r="R2455" s="1" t="s">
        <v>231</v>
      </c>
      <c r="S2455" s="13">
        <f t="shared" si="61"/>
        <v>-1.3959112724294778</v>
      </c>
    </row>
    <row r="2456" spans="1:19">
      <c r="A2456" s="18" t="s">
        <v>2225</v>
      </c>
      <c r="B2456" s="1" t="s">
        <v>2539</v>
      </c>
      <c r="C2456" s="1" t="s">
        <v>2546</v>
      </c>
      <c r="D2456" s="1" t="s">
        <v>2547</v>
      </c>
      <c r="E2456" s="1" t="s">
        <v>25</v>
      </c>
      <c r="F2456">
        <v>800</v>
      </c>
      <c r="G2456">
        <v>800</v>
      </c>
      <c r="H2456" s="1" t="s">
        <v>25</v>
      </c>
      <c r="I2456" s="1" t="s">
        <v>1528</v>
      </c>
      <c r="J2456" s="1" t="s">
        <v>2548</v>
      </c>
      <c r="K2456" t="s">
        <v>25</v>
      </c>
      <c r="L2456">
        <v>-1.5266327364215144</v>
      </c>
      <c r="M2456" s="1" t="s">
        <v>23</v>
      </c>
      <c r="N2456" s="1" t="s">
        <v>230</v>
      </c>
      <c r="O2456" s="1" t="s">
        <v>25</v>
      </c>
      <c r="P2456" s="3" t="s">
        <v>25</v>
      </c>
      <c r="Q2456" s="37">
        <v>2.3887280999999998</v>
      </c>
      <c r="R2456" s="1" t="s">
        <v>231</v>
      </c>
      <c r="S2456" s="13">
        <f t="shared" si="61"/>
        <v>-1.5266327364215144</v>
      </c>
    </row>
    <row r="2457" spans="1:19">
      <c r="A2457" s="18" t="s">
        <v>2225</v>
      </c>
      <c r="B2457" s="1" t="s">
        <v>2540</v>
      </c>
      <c r="C2457" s="1" t="s">
        <v>2546</v>
      </c>
      <c r="D2457" s="1" t="s">
        <v>2547</v>
      </c>
      <c r="E2457" s="1" t="s">
        <v>25</v>
      </c>
      <c r="F2457">
        <v>800</v>
      </c>
      <c r="G2457">
        <v>800</v>
      </c>
      <c r="H2457" s="1" t="s">
        <v>25</v>
      </c>
      <c r="I2457" s="1" t="s">
        <v>1528</v>
      </c>
      <c r="J2457" s="1" t="s">
        <v>2548</v>
      </c>
      <c r="K2457" t="s">
        <v>25</v>
      </c>
      <c r="L2457">
        <v>-1.497638105016518</v>
      </c>
      <c r="M2457" s="1" t="s">
        <v>23</v>
      </c>
      <c r="N2457" s="1" t="s">
        <v>230</v>
      </c>
      <c r="O2457" s="1" t="s">
        <v>25</v>
      </c>
      <c r="P2457" s="3" t="s">
        <v>25</v>
      </c>
      <c r="Q2457" s="37">
        <v>2.8084023000000005</v>
      </c>
      <c r="R2457" s="1" t="s">
        <v>231</v>
      </c>
      <c r="S2457" s="13">
        <f t="shared" si="61"/>
        <v>-1.497638105016518</v>
      </c>
    </row>
    <row r="2458" spans="1:19">
      <c r="A2458" s="18" t="s">
        <v>2225</v>
      </c>
      <c r="B2458" s="1" t="s">
        <v>2541</v>
      </c>
      <c r="C2458" s="1" t="s">
        <v>2546</v>
      </c>
      <c r="D2458" s="1" t="s">
        <v>2547</v>
      </c>
      <c r="E2458" s="1" t="s">
        <v>25</v>
      </c>
      <c r="F2458">
        <v>800</v>
      </c>
      <c r="G2458">
        <v>800</v>
      </c>
      <c r="H2458" s="1" t="s">
        <v>25</v>
      </c>
      <c r="I2458" s="1" t="s">
        <v>1528</v>
      </c>
      <c r="J2458" s="1" t="s">
        <v>2548</v>
      </c>
      <c r="K2458" t="s">
        <v>25</v>
      </c>
      <c r="L2458">
        <v>-1.4876428148161638</v>
      </c>
      <c r="M2458" s="1" t="s">
        <v>23</v>
      </c>
      <c r="N2458" s="1" t="s">
        <v>230</v>
      </c>
      <c r="O2458" s="1" t="s">
        <v>25</v>
      </c>
      <c r="P2458" s="3" t="s">
        <v>25</v>
      </c>
      <c r="Q2458" s="37">
        <v>1.4465613000000002</v>
      </c>
      <c r="R2458" s="1" t="s">
        <v>231</v>
      </c>
      <c r="S2458" s="13">
        <f t="shared" si="61"/>
        <v>-1.4876428148161638</v>
      </c>
    </row>
    <row r="2459" spans="1:19">
      <c r="A2459" s="18" t="s">
        <v>2225</v>
      </c>
      <c r="B2459" s="1" t="s">
        <v>2542</v>
      </c>
      <c r="C2459" s="1" t="s">
        <v>2546</v>
      </c>
      <c r="D2459" s="1" t="s">
        <v>2547</v>
      </c>
      <c r="E2459" s="1" t="s">
        <v>25</v>
      </c>
      <c r="F2459">
        <v>800</v>
      </c>
      <c r="G2459">
        <v>800</v>
      </c>
      <c r="H2459" s="1" t="s">
        <v>25</v>
      </c>
      <c r="I2459" s="1" t="s">
        <v>1528</v>
      </c>
      <c r="J2459" s="1" t="s">
        <v>2548</v>
      </c>
      <c r="K2459" t="s">
        <v>25</v>
      </c>
      <c r="L2459">
        <v>-1.4911428414756862</v>
      </c>
      <c r="M2459" s="1" t="s">
        <v>23</v>
      </c>
      <c r="N2459" s="1" t="s">
        <v>230</v>
      </c>
      <c r="O2459" s="1" t="s">
        <v>25</v>
      </c>
      <c r="P2459" s="3" t="s">
        <v>25</v>
      </c>
      <c r="Q2459" s="37">
        <v>1.6230250000000002</v>
      </c>
      <c r="R2459" s="1" t="s">
        <v>231</v>
      </c>
      <c r="S2459" s="13">
        <f t="shared" si="61"/>
        <v>-1.4911428414756862</v>
      </c>
    </row>
    <row r="2460" spans="1:19">
      <c r="A2460" s="18" t="s">
        <v>2225</v>
      </c>
      <c r="B2460" s="1" t="s">
        <v>2543</v>
      </c>
      <c r="C2460" s="1" t="s">
        <v>2546</v>
      </c>
      <c r="D2460" s="1" t="s">
        <v>2547</v>
      </c>
      <c r="E2460" s="1" t="s">
        <v>25</v>
      </c>
      <c r="F2460">
        <v>800</v>
      </c>
      <c r="G2460">
        <v>800</v>
      </c>
      <c r="H2460" s="1" t="s">
        <v>25</v>
      </c>
      <c r="I2460" s="1" t="s">
        <v>1528</v>
      </c>
      <c r="J2460" s="1" t="s">
        <v>2548</v>
      </c>
      <c r="K2460" t="s">
        <v>25</v>
      </c>
      <c r="L2460">
        <v>-1.4294407739067279</v>
      </c>
      <c r="M2460" s="1" t="s">
        <v>23</v>
      </c>
      <c r="N2460" s="1" t="s">
        <v>230</v>
      </c>
      <c r="O2460" s="1" t="s">
        <v>25</v>
      </c>
      <c r="P2460" s="3" t="s">
        <v>25</v>
      </c>
      <c r="Q2460" s="37">
        <v>1.4952665000000001</v>
      </c>
      <c r="R2460" s="1" t="s">
        <v>231</v>
      </c>
      <c r="S2460" s="13">
        <f t="shared" si="61"/>
        <v>-1.4294407739067279</v>
      </c>
    </row>
    <row r="2461" spans="1:19">
      <c r="A2461" s="18" t="s">
        <v>2225</v>
      </c>
      <c r="B2461" s="1" t="s">
        <v>2544</v>
      </c>
      <c r="C2461" s="1" t="s">
        <v>2546</v>
      </c>
      <c r="D2461" s="1" t="s">
        <v>2547</v>
      </c>
      <c r="E2461" s="1" t="s">
        <v>25</v>
      </c>
      <c r="F2461">
        <v>800</v>
      </c>
      <c r="G2461">
        <v>800</v>
      </c>
      <c r="H2461" s="1" t="s">
        <v>25</v>
      </c>
      <c r="I2461" s="1" t="s">
        <v>1528</v>
      </c>
      <c r="J2461" s="1" t="s">
        <v>2548</v>
      </c>
      <c r="K2461" t="s">
        <v>25</v>
      </c>
      <c r="L2461">
        <v>-1.4452524534211548</v>
      </c>
      <c r="M2461" s="1" t="s">
        <v>23</v>
      </c>
      <c r="N2461" s="1" t="s">
        <v>230</v>
      </c>
      <c r="O2461" s="1" t="s">
        <v>25</v>
      </c>
      <c r="P2461" s="3" t="s">
        <v>25</v>
      </c>
      <c r="Q2461" s="37">
        <v>1.4781279000000001</v>
      </c>
      <c r="R2461" s="1" t="s">
        <v>231</v>
      </c>
      <c r="S2461" s="13">
        <f t="shared" si="61"/>
        <v>-1.4452524534211548</v>
      </c>
    </row>
    <row r="2462" spans="1:19">
      <c r="A2462" s="18" t="s">
        <v>2225</v>
      </c>
      <c r="B2462" s="1" t="s">
        <v>2545</v>
      </c>
      <c r="C2462" s="1" t="s">
        <v>2546</v>
      </c>
      <c r="D2462" s="1" t="s">
        <v>2547</v>
      </c>
      <c r="E2462" s="1" t="s">
        <v>25</v>
      </c>
      <c r="F2462">
        <v>800</v>
      </c>
      <c r="G2462">
        <v>800</v>
      </c>
      <c r="H2462" s="1" t="s">
        <v>25</v>
      </c>
      <c r="I2462" s="1" t="s">
        <v>1528</v>
      </c>
      <c r="J2462" s="1" t="s">
        <v>2548</v>
      </c>
      <c r="K2462" t="s">
        <v>25</v>
      </c>
      <c r="L2462">
        <v>-1.3672295778312211</v>
      </c>
      <c r="M2462" s="1" t="s">
        <v>23</v>
      </c>
      <c r="N2462" s="1" t="s">
        <v>230</v>
      </c>
      <c r="O2462" s="1" t="s">
        <v>25</v>
      </c>
      <c r="P2462" s="3" t="s">
        <v>25</v>
      </c>
      <c r="Q2462" s="37">
        <v>1.3980873999999999</v>
      </c>
      <c r="R2462" s="1" t="s">
        <v>231</v>
      </c>
      <c r="S2462" s="13">
        <f t="shared" si="61"/>
        <v>-1.3672295778312211</v>
      </c>
    </row>
    <row r="2463" spans="1:19">
      <c r="A2463" s="18" t="s">
        <v>2225</v>
      </c>
      <c r="B2463" s="1" t="s">
        <v>2549</v>
      </c>
      <c r="C2463" s="1" t="s">
        <v>2585</v>
      </c>
      <c r="D2463" s="1" t="s">
        <v>2586</v>
      </c>
      <c r="E2463" s="1" t="s">
        <v>25</v>
      </c>
      <c r="F2463">
        <v>800</v>
      </c>
      <c r="G2463">
        <v>800</v>
      </c>
      <c r="H2463" s="1" t="s">
        <v>25</v>
      </c>
      <c r="I2463" s="1" t="s">
        <v>1528</v>
      </c>
      <c r="J2463" s="1" t="s">
        <v>25</v>
      </c>
      <c r="K2463" t="s">
        <v>25</v>
      </c>
      <c r="L2463">
        <v>-0.48400886305074442</v>
      </c>
      <c r="M2463" s="1" t="s">
        <v>23</v>
      </c>
      <c r="N2463" s="1" t="s">
        <v>230</v>
      </c>
      <c r="O2463" s="1" t="s">
        <v>25</v>
      </c>
      <c r="P2463" s="3" t="s">
        <v>25</v>
      </c>
      <c r="Q2463" s="37">
        <v>0.83597040000000011</v>
      </c>
      <c r="R2463" s="1" t="s">
        <v>231</v>
      </c>
      <c r="S2463" s="13">
        <f t="shared" si="61"/>
        <v>-0.48400886305074442</v>
      </c>
    </row>
    <row r="2464" spans="1:19">
      <c r="A2464" s="18" t="s">
        <v>2225</v>
      </c>
      <c r="B2464" s="1" t="s">
        <v>2550</v>
      </c>
      <c r="C2464" s="1" t="s">
        <v>2585</v>
      </c>
      <c r="D2464" s="1" t="s">
        <v>2586</v>
      </c>
      <c r="E2464" s="1" t="s">
        <v>25</v>
      </c>
      <c r="F2464">
        <v>800</v>
      </c>
      <c r="G2464">
        <v>800</v>
      </c>
      <c r="H2464" s="1" t="s">
        <v>25</v>
      </c>
      <c r="I2464" s="1" t="s">
        <v>1528</v>
      </c>
      <c r="J2464" s="1" t="s">
        <v>25</v>
      </c>
      <c r="K2464" t="s">
        <v>25</v>
      </c>
      <c r="L2464">
        <v>-1.0971129543419833</v>
      </c>
      <c r="M2464" s="1" t="s">
        <v>23</v>
      </c>
      <c r="N2464" s="1" t="s">
        <v>230</v>
      </c>
      <c r="O2464" s="1" t="s">
        <v>25</v>
      </c>
      <c r="P2464" s="3" t="s">
        <v>25</v>
      </c>
      <c r="Q2464" s="37">
        <v>0.70980849999999995</v>
      </c>
      <c r="R2464" s="1" t="s">
        <v>231</v>
      </c>
      <c r="S2464" s="13">
        <f t="shared" si="61"/>
        <v>-1.0971129543419833</v>
      </c>
    </row>
    <row r="2465" spans="1:19">
      <c r="A2465" s="18" t="s">
        <v>2225</v>
      </c>
      <c r="B2465" s="1" t="s">
        <v>2551</v>
      </c>
      <c r="C2465" s="1" t="s">
        <v>2585</v>
      </c>
      <c r="D2465" s="1" t="s">
        <v>2586</v>
      </c>
      <c r="E2465" s="1" t="s">
        <v>25</v>
      </c>
      <c r="F2465">
        <v>800</v>
      </c>
      <c r="G2465">
        <v>800</v>
      </c>
      <c r="H2465" s="1" t="s">
        <v>25</v>
      </c>
      <c r="I2465" s="1" t="s">
        <v>1528</v>
      </c>
      <c r="J2465" s="1" t="s">
        <v>25</v>
      </c>
      <c r="K2465" t="s">
        <v>25</v>
      </c>
      <c r="L2465">
        <v>-0.97623562755359272</v>
      </c>
      <c r="M2465" s="1" t="s">
        <v>23</v>
      </c>
      <c r="N2465" s="1" t="s">
        <v>230</v>
      </c>
      <c r="O2465" s="1" t="s">
        <v>25</v>
      </c>
      <c r="P2465" s="3" t="s">
        <v>25</v>
      </c>
      <c r="Q2465" s="37">
        <v>0.52560770000000001</v>
      </c>
      <c r="R2465" s="1" t="s">
        <v>231</v>
      </c>
      <c r="S2465" s="13">
        <f t="shared" si="61"/>
        <v>-0.97623562755359272</v>
      </c>
    </row>
    <row r="2466" spans="1:19">
      <c r="A2466" s="18" t="s">
        <v>2225</v>
      </c>
      <c r="B2466" s="1" t="s">
        <v>2552</v>
      </c>
      <c r="C2466" s="1" t="s">
        <v>2585</v>
      </c>
      <c r="D2466" s="1" t="s">
        <v>2586</v>
      </c>
      <c r="E2466" s="1" t="s">
        <v>25</v>
      </c>
      <c r="F2466">
        <v>800</v>
      </c>
      <c r="G2466">
        <v>800</v>
      </c>
      <c r="H2466" s="1" t="s">
        <v>25</v>
      </c>
      <c r="I2466" s="1" t="s">
        <v>1528</v>
      </c>
      <c r="J2466" s="1" t="s">
        <v>25</v>
      </c>
      <c r="K2466" t="s">
        <v>25</v>
      </c>
      <c r="L2466">
        <v>-1.5871723766861023</v>
      </c>
      <c r="M2466" s="1" t="s">
        <v>23</v>
      </c>
      <c r="N2466" s="1" t="s">
        <v>230</v>
      </c>
      <c r="O2466" s="1" t="s">
        <v>25</v>
      </c>
      <c r="P2466" s="3" t="s">
        <v>25</v>
      </c>
      <c r="Q2466" s="37">
        <v>2.8423012000000001</v>
      </c>
      <c r="R2466" s="1" t="s">
        <v>231</v>
      </c>
      <c r="S2466" s="13">
        <f t="shared" si="61"/>
        <v>-1.5871723766861023</v>
      </c>
    </row>
    <row r="2467" spans="1:19">
      <c r="A2467" s="18" t="s">
        <v>2225</v>
      </c>
      <c r="B2467" s="1" t="s">
        <v>2553</v>
      </c>
      <c r="C2467" s="1" t="s">
        <v>2585</v>
      </c>
      <c r="D2467" s="1" t="s">
        <v>2586</v>
      </c>
      <c r="E2467" s="1" t="s">
        <v>25</v>
      </c>
      <c r="F2467">
        <v>800</v>
      </c>
      <c r="G2467">
        <v>800</v>
      </c>
      <c r="H2467" s="1" t="s">
        <v>25</v>
      </c>
      <c r="I2467" s="1" t="s">
        <v>1528</v>
      </c>
      <c r="J2467" s="1" t="s">
        <v>25</v>
      </c>
      <c r="K2467" t="s">
        <v>25</v>
      </c>
      <c r="L2467">
        <v>-1.3542254797275055</v>
      </c>
      <c r="M2467" s="1" t="s">
        <v>23</v>
      </c>
      <c r="N2467" s="1" t="s">
        <v>230</v>
      </c>
      <c r="O2467" s="1" t="s">
        <v>25</v>
      </c>
      <c r="P2467" s="3" t="s">
        <v>25</v>
      </c>
      <c r="Q2467" s="37">
        <v>9.5359100000000002E-2</v>
      </c>
      <c r="R2467" s="1" t="s">
        <v>231</v>
      </c>
      <c r="S2467" s="13">
        <f t="shared" si="61"/>
        <v>-1.3542254797275055</v>
      </c>
    </row>
    <row r="2468" spans="1:19">
      <c r="A2468" s="18" t="s">
        <v>2225</v>
      </c>
      <c r="B2468" s="1" t="s">
        <v>2554</v>
      </c>
      <c r="C2468" s="1" t="s">
        <v>2585</v>
      </c>
      <c r="D2468" s="1" t="s">
        <v>2586</v>
      </c>
      <c r="E2468" s="1" t="s">
        <v>25</v>
      </c>
      <c r="F2468">
        <v>800</v>
      </c>
      <c r="G2468">
        <v>800</v>
      </c>
      <c r="H2468" s="1" t="s">
        <v>25</v>
      </c>
      <c r="I2468" s="1" t="s">
        <v>1528</v>
      </c>
      <c r="J2468" s="1" t="s">
        <v>25</v>
      </c>
      <c r="K2468" t="s">
        <v>25</v>
      </c>
      <c r="L2468">
        <v>-1.7422844235585739</v>
      </c>
      <c r="M2468" s="1" t="s">
        <v>23</v>
      </c>
      <c r="N2468" s="1" t="s">
        <v>230</v>
      </c>
      <c r="O2468" s="1" t="s">
        <v>25</v>
      </c>
      <c r="P2468" s="3" t="s">
        <v>25</v>
      </c>
      <c r="Q2468" s="37">
        <v>0.11464249999999999</v>
      </c>
      <c r="R2468" s="1" t="s">
        <v>231</v>
      </c>
      <c r="S2468" s="13">
        <f t="shared" si="61"/>
        <v>-1.7422844235585739</v>
      </c>
    </row>
    <row r="2469" spans="1:19">
      <c r="A2469" s="18" t="s">
        <v>2225</v>
      </c>
      <c r="B2469" s="1" t="s">
        <v>2555</v>
      </c>
      <c r="C2469" s="1" t="s">
        <v>2585</v>
      </c>
      <c r="D2469" s="1" t="s">
        <v>2586</v>
      </c>
      <c r="E2469" s="1" t="s">
        <v>25</v>
      </c>
      <c r="F2469">
        <v>800</v>
      </c>
      <c r="G2469">
        <v>800</v>
      </c>
      <c r="H2469" s="1" t="s">
        <v>25</v>
      </c>
      <c r="I2469" s="1" t="s">
        <v>1528</v>
      </c>
      <c r="J2469" s="1" t="s">
        <v>25</v>
      </c>
      <c r="K2469" t="s">
        <v>25</v>
      </c>
      <c r="L2469">
        <v>-1.2720030222906271</v>
      </c>
      <c r="M2469" s="1" t="s">
        <v>23</v>
      </c>
      <c r="N2469" s="1" t="s">
        <v>230</v>
      </c>
      <c r="O2469" s="1" t="s">
        <v>25</v>
      </c>
      <c r="P2469" s="3" t="s">
        <v>25</v>
      </c>
      <c r="Q2469" s="37">
        <v>0.55092160000000001</v>
      </c>
      <c r="R2469" s="1" t="s">
        <v>231</v>
      </c>
      <c r="S2469" s="13">
        <f t="shared" si="61"/>
        <v>-1.2720030222906271</v>
      </c>
    </row>
    <row r="2470" spans="1:19">
      <c r="A2470" s="18" t="s">
        <v>2225</v>
      </c>
      <c r="B2470" s="1" t="s">
        <v>2556</v>
      </c>
      <c r="C2470" s="1" t="s">
        <v>2585</v>
      </c>
      <c r="D2470" s="1" t="s">
        <v>2586</v>
      </c>
      <c r="E2470" s="1" t="s">
        <v>25</v>
      </c>
      <c r="F2470">
        <v>800</v>
      </c>
      <c r="G2470">
        <v>800</v>
      </c>
      <c r="H2470" s="1" t="s">
        <v>25</v>
      </c>
      <c r="I2470" s="1" t="s">
        <v>1528</v>
      </c>
      <c r="J2470" s="1" t="s">
        <v>25</v>
      </c>
      <c r="K2470" t="s">
        <v>25</v>
      </c>
      <c r="L2470">
        <v>-1.1356426345554782</v>
      </c>
      <c r="M2470" s="1" t="s">
        <v>23</v>
      </c>
      <c r="N2470" s="1" t="s">
        <v>230</v>
      </c>
      <c r="O2470" s="1" t="s">
        <v>25</v>
      </c>
      <c r="P2470" s="3" t="s">
        <v>25</v>
      </c>
      <c r="Q2470" s="37">
        <v>0.40120370000000005</v>
      </c>
      <c r="R2470" s="1" t="s">
        <v>231</v>
      </c>
      <c r="S2470" s="13">
        <f t="shared" si="61"/>
        <v>-1.1356426345554782</v>
      </c>
    </row>
    <row r="2471" spans="1:19">
      <c r="A2471" s="18" t="s">
        <v>2225</v>
      </c>
      <c r="B2471" s="1" t="s">
        <v>2557</v>
      </c>
      <c r="C2471" s="1" t="s">
        <v>2585</v>
      </c>
      <c r="D2471" s="1" t="s">
        <v>2586</v>
      </c>
      <c r="E2471" s="1" t="s">
        <v>25</v>
      </c>
      <c r="F2471">
        <v>800</v>
      </c>
      <c r="G2471">
        <v>800</v>
      </c>
      <c r="H2471" s="1" t="s">
        <v>25</v>
      </c>
      <c r="I2471" s="1" t="s">
        <v>1528</v>
      </c>
      <c r="J2471" s="1" t="s">
        <v>25</v>
      </c>
      <c r="K2471" t="s">
        <v>25</v>
      </c>
      <c r="L2471">
        <v>-1.3423508647920357</v>
      </c>
      <c r="M2471" s="1" t="s">
        <v>23</v>
      </c>
      <c r="N2471" s="1" t="s">
        <v>230</v>
      </c>
      <c r="O2471" s="1" t="s">
        <v>25</v>
      </c>
      <c r="P2471" s="3" t="s">
        <v>25</v>
      </c>
      <c r="Q2471" s="37">
        <v>0.134071</v>
      </c>
      <c r="R2471" s="1" t="s">
        <v>231</v>
      </c>
      <c r="S2471" s="13">
        <f t="shared" si="61"/>
        <v>-1.3423508647920357</v>
      </c>
    </row>
    <row r="2472" spans="1:19">
      <c r="A2472" s="18" t="s">
        <v>2225</v>
      </c>
      <c r="B2472" s="1" t="s">
        <v>2558</v>
      </c>
      <c r="C2472" s="1" t="s">
        <v>2585</v>
      </c>
      <c r="D2472" s="1" t="s">
        <v>2586</v>
      </c>
      <c r="E2472" s="1" t="s">
        <v>25</v>
      </c>
      <c r="F2472">
        <v>800</v>
      </c>
      <c r="G2472">
        <v>800</v>
      </c>
      <c r="H2472" s="1" t="s">
        <v>25</v>
      </c>
      <c r="I2472" s="1" t="s">
        <v>1528</v>
      </c>
      <c r="J2472" s="1" t="s">
        <v>25</v>
      </c>
      <c r="K2472" t="s">
        <v>25</v>
      </c>
      <c r="L2472">
        <v>-0.90341706281609202</v>
      </c>
      <c r="M2472" s="1" t="s">
        <v>23</v>
      </c>
      <c r="N2472" s="1" t="s">
        <v>230</v>
      </c>
      <c r="O2472" s="1" t="s">
        <v>25</v>
      </c>
      <c r="P2472" s="3" t="s">
        <v>25</v>
      </c>
      <c r="Q2472" s="37">
        <v>0.12903020000000001</v>
      </c>
      <c r="R2472" s="1" t="s">
        <v>231</v>
      </c>
      <c r="S2472" s="13">
        <f t="shared" si="61"/>
        <v>-0.90341706281609202</v>
      </c>
    </row>
    <row r="2473" spans="1:19">
      <c r="A2473" s="18" t="s">
        <v>2225</v>
      </c>
      <c r="B2473" s="1" t="s">
        <v>2559</v>
      </c>
      <c r="C2473" s="1" t="s">
        <v>2585</v>
      </c>
      <c r="D2473" s="1" t="s">
        <v>2586</v>
      </c>
      <c r="E2473" s="1" t="s">
        <v>25</v>
      </c>
      <c r="F2473">
        <v>800</v>
      </c>
      <c r="G2473">
        <v>800</v>
      </c>
      <c r="H2473" s="1" t="s">
        <v>25</v>
      </c>
      <c r="I2473" s="1" t="s">
        <v>1528</v>
      </c>
      <c r="J2473" s="1" t="s">
        <v>25</v>
      </c>
      <c r="K2473" t="s">
        <v>25</v>
      </c>
      <c r="L2473">
        <v>-0.87086692775336094</v>
      </c>
      <c r="M2473" s="1" t="s">
        <v>23</v>
      </c>
      <c r="N2473" s="1" t="s">
        <v>230</v>
      </c>
      <c r="O2473" s="1" t="s">
        <v>25</v>
      </c>
      <c r="P2473" s="3" t="s">
        <v>25</v>
      </c>
      <c r="Q2473" s="37">
        <v>0.17839050000000001</v>
      </c>
      <c r="R2473" s="1" t="s">
        <v>231</v>
      </c>
      <c r="S2473" s="13">
        <f t="shared" si="61"/>
        <v>-0.87086692775336094</v>
      </c>
    </row>
    <row r="2474" spans="1:19">
      <c r="A2474" s="18" t="s">
        <v>2225</v>
      </c>
      <c r="B2474" s="1" t="s">
        <v>2560</v>
      </c>
      <c r="C2474" s="1" t="s">
        <v>2585</v>
      </c>
      <c r="D2474" s="1" t="s">
        <v>2586</v>
      </c>
      <c r="E2474" s="1" t="s">
        <v>25</v>
      </c>
      <c r="F2474">
        <v>800</v>
      </c>
      <c r="G2474">
        <v>800</v>
      </c>
      <c r="H2474" s="1" t="s">
        <v>25</v>
      </c>
      <c r="I2474" s="1" t="s">
        <v>1528</v>
      </c>
      <c r="J2474" s="1" t="s">
        <v>25</v>
      </c>
      <c r="K2474" t="s">
        <v>25</v>
      </c>
      <c r="L2474">
        <v>-1.1844664635445397</v>
      </c>
      <c r="M2474" s="1" t="s">
        <v>23</v>
      </c>
      <c r="N2474" s="1" t="s">
        <v>230</v>
      </c>
      <c r="O2474" s="1" t="s">
        <v>25</v>
      </c>
      <c r="P2474" s="3" t="s">
        <v>25</v>
      </c>
      <c r="Q2474" s="37">
        <v>0.1290502</v>
      </c>
      <c r="R2474" s="1" t="s">
        <v>231</v>
      </c>
      <c r="S2474" s="13">
        <f t="shared" si="61"/>
        <v>-1.1844664635445397</v>
      </c>
    </row>
    <row r="2475" spans="1:19">
      <c r="A2475" s="18" t="s">
        <v>2225</v>
      </c>
      <c r="B2475" s="1" t="s">
        <v>2561</v>
      </c>
      <c r="C2475" s="1" t="s">
        <v>2585</v>
      </c>
      <c r="D2475" s="1" t="s">
        <v>2586</v>
      </c>
      <c r="E2475" s="1" t="s">
        <v>25</v>
      </c>
      <c r="F2475">
        <v>800</v>
      </c>
      <c r="G2475">
        <v>800</v>
      </c>
      <c r="H2475" s="1" t="s">
        <v>25</v>
      </c>
      <c r="I2475" s="1" t="s">
        <v>1528</v>
      </c>
      <c r="J2475" s="1" t="s">
        <v>25</v>
      </c>
      <c r="K2475" t="s">
        <v>25</v>
      </c>
      <c r="L2475">
        <v>-0.70761614567530484</v>
      </c>
      <c r="M2475" s="1" t="s">
        <v>23</v>
      </c>
      <c r="N2475" s="1" t="s">
        <v>230</v>
      </c>
      <c r="O2475" s="1" t="s">
        <v>25</v>
      </c>
      <c r="P2475" s="3" t="s">
        <v>25</v>
      </c>
      <c r="Q2475" s="37">
        <v>0.5690733</v>
      </c>
      <c r="R2475" s="1" t="s">
        <v>231</v>
      </c>
      <c r="S2475" s="13">
        <f t="shared" si="61"/>
        <v>-0.70761614567530484</v>
      </c>
    </row>
    <row r="2476" spans="1:19">
      <c r="A2476" s="18" t="s">
        <v>2225</v>
      </c>
      <c r="B2476" s="1" t="s">
        <v>2562</v>
      </c>
      <c r="C2476" s="1" t="s">
        <v>2585</v>
      </c>
      <c r="D2476" s="1" t="s">
        <v>2586</v>
      </c>
      <c r="E2476" s="1" t="s">
        <v>25</v>
      </c>
      <c r="F2476">
        <v>800</v>
      </c>
      <c r="G2476">
        <v>800</v>
      </c>
      <c r="H2476" s="1" t="s">
        <v>25</v>
      </c>
      <c r="I2476" s="1" t="s">
        <v>1528</v>
      </c>
      <c r="J2476" s="1" t="s">
        <v>25</v>
      </c>
      <c r="K2476" t="s">
        <v>25</v>
      </c>
      <c r="L2476">
        <v>-0.96402985850196621</v>
      </c>
      <c r="M2476" s="1" t="s">
        <v>23</v>
      </c>
      <c r="N2476" s="1" t="s">
        <v>230</v>
      </c>
      <c r="O2476" s="1" t="s">
        <v>25</v>
      </c>
      <c r="P2476" s="3" t="s">
        <v>25</v>
      </c>
      <c r="Q2476" s="37">
        <v>0.66700919999999997</v>
      </c>
      <c r="R2476" s="1" t="s">
        <v>231</v>
      </c>
      <c r="S2476" s="13">
        <f t="shared" ref="S2476:S2539" si="62">IF(NOT(N2476="SW"),L2476-1.88,L2476)</f>
        <v>-0.96402985850196621</v>
      </c>
    </row>
    <row r="2477" spans="1:19">
      <c r="A2477" s="18" t="s">
        <v>2225</v>
      </c>
      <c r="B2477" s="1" t="s">
        <v>2563</v>
      </c>
      <c r="C2477" s="1" t="s">
        <v>2585</v>
      </c>
      <c r="D2477" s="1" t="s">
        <v>2586</v>
      </c>
      <c r="E2477" s="1" t="s">
        <v>25</v>
      </c>
      <c r="F2477">
        <v>800</v>
      </c>
      <c r="G2477">
        <v>800</v>
      </c>
      <c r="H2477" s="1" t="s">
        <v>25</v>
      </c>
      <c r="I2477" s="1" t="s">
        <v>1528</v>
      </c>
      <c r="J2477" s="1" t="s">
        <v>25</v>
      </c>
      <c r="K2477" t="s">
        <v>25</v>
      </c>
      <c r="L2477">
        <v>-0.91899947026848605</v>
      </c>
      <c r="M2477" s="1" t="s">
        <v>23</v>
      </c>
      <c r="N2477" s="1" t="s">
        <v>230</v>
      </c>
      <c r="O2477" s="1" t="s">
        <v>25</v>
      </c>
      <c r="P2477" s="3" t="s">
        <v>25</v>
      </c>
      <c r="Q2477" s="37">
        <v>0.51836660000000001</v>
      </c>
      <c r="R2477" s="1" t="s">
        <v>231</v>
      </c>
      <c r="S2477" s="13">
        <f t="shared" si="62"/>
        <v>-0.91899947026848605</v>
      </c>
    </row>
    <row r="2478" spans="1:19">
      <c r="A2478" s="18" t="s">
        <v>2225</v>
      </c>
      <c r="B2478" s="1" t="s">
        <v>2564</v>
      </c>
      <c r="C2478" s="1" t="s">
        <v>2585</v>
      </c>
      <c r="D2478" s="1" t="s">
        <v>2586</v>
      </c>
      <c r="E2478" s="1" t="s">
        <v>25</v>
      </c>
      <c r="F2478">
        <v>800</v>
      </c>
      <c r="G2478">
        <v>800</v>
      </c>
      <c r="H2478" s="1" t="s">
        <v>25</v>
      </c>
      <c r="I2478" s="1" t="s">
        <v>1528</v>
      </c>
      <c r="J2478" s="1" t="s">
        <v>25</v>
      </c>
      <c r="K2478" t="s">
        <v>25</v>
      </c>
      <c r="L2478">
        <v>-1.2752663746932817</v>
      </c>
      <c r="M2478" s="1" t="s">
        <v>23</v>
      </c>
      <c r="N2478" s="1" t="s">
        <v>230</v>
      </c>
      <c r="O2478" s="1" t="s">
        <v>25</v>
      </c>
      <c r="P2478" s="3" t="s">
        <v>25</v>
      </c>
      <c r="Q2478" s="37">
        <v>0.14355709999999999</v>
      </c>
      <c r="R2478" s="1" t="s">
        <v>231</v>
      </c>
      <c r="S2478" s="13">
        <f t="shared" si="62"/>
        <v>-1.2752663746932817</v>
      </c>
    </row>
    <row r="2479" spans="1:19">
      <c r="A2479" s="18" t="s">
        <v>2225</v>
      </c>
      <c r="B2479" s="1" t="s">
        <v>2565</v>
      </c>
      <c r="C2479" s="1" t="s">
        <v>2585</v>
      </c>
      <c r="D2479" s="1" t="s">
        <v>2586</v>
      </c>
      <c r="E2479" s="1" t="s">
        <v>25</v>
      </c>
      <c r="F2479">
        <v>800</v>
      </c>
      <c r="G2479">
        <v>800</v>
      </c>
      <c r="H2479" s="1" t="s">
        <v>25</v>
      </c>
      <c r="I2479" s="1" t="s">
        <v>1528</v>
      </c>
      <c r="J2479" s="1" t="s">
        <v>25</v>
      </c>
      <c r="K2479" t="s">
        <v>25</v>
      </c>
      <c r="L2479">
        <v>-0.98469340234534064</v>
      </c>
      <c r="M2479" s="1" t="s">
        <v>23</v>
      </c>
      <c r="N2479" s="1" t="s">
        <v>230</v>
      </c>
      <c r="O2479" s="1" t="s">
        <v>25</v>
      </c>
      <c r="P2479" s="3" t="s">
        <v>25</v>
      </c>
      <c r="Q2479" s="37">
        <v>0.10544740000000001</v>
      </c>
      <c r="R2479" s="1" t="s">
        <v>231</v>
      </c>
      <c r="S2479" s="13">
        <f t="shared" si="62"/>
        <v>-0.98469340234534064</v>
      </c>
    </row>
    <row r="2480" spans="1:19">
      <c r="A2480" s="18" t="s">
        <v>2225</v>
      </c>
      <c r="B2480" s="1" t="s">
        <v>2566</v>
      </c>
      <c r="C2480" s="1" t="s">
        <v>2585</v>
      </c>
      <c r="D2480" s="1" t="s">
        <v>2586</v>
      </c>
      <c r="E2480" s="1" t="s">
        <v>25</v>
      </c>
      <c r="F2480">
        <v>800</v>
      </c>
      <c r="G2480">
        <v>800</v>
      </c>
      <c r="H2480" s="1" t="s">
        <v>25</v>
      </c>
      <c r="I2480" s="1" t="s">
        <v>1528</v>
      </c>
      <c r="J2480" s="1" t="s">
        <v>25</v>
      </c>
      <c r="K2480" t="s">
        <v>25</v>
      </c>
      <c r="L2480">
        <v>-0.99557359549760349</v>
      </c>
      <c r="M2480" s="1" t="s">
        <v>23</v>
      </c>
      <c r="N2480" s="1" t="s">
        <v>230</v>
      </c>
      <c r="O2480" s="1" t="s">
        <v>25</v>
      </c>
      <c r="P2480" s="3" t="s">
        <v>25</v>
      </c>
      <c r="Q2480" s="37">
        <v>1.4181279</v>
      </c>
      <c r="R2480" s="1" t="s">
        <v>231</v>
      </c>
      <c r="S2480" s="13">
        <f t="shared" si="62"/>
        <v>-0.99557359549760349</v>
      </c>
    </row>
    <row r="2481" spans="1:19">
      <c r="A2481" s="18" t="s">
        <v>2225</v>
      </c>
      <c r="B2481" s="1" t="s">
        <v>2567</v>
      </c>
      <c r="C2481" s="1" t="s">
        <v>2585</v>
      </c>
      <c r="D2481" s="1" t="s">
        <v>2586</v>
      </c>
      <c r="E2481" s="1" t="s">
        <v>25</v>
      </c>
      <c r="F2481">
        <v>800</v>
      </c>
      <c r="G2481">
        <v>800</v>
      </c>
      <c r="H2481" s="1" t="s">
        <v>25</v>
      </c>
      <c r="I2481" s="1" t="s">
        <v>1528</v>
      </c>
      <c r="J2481" s="1" t="s">
        <v>25</v>
      </c>
      <c r="K2481" t="s">
        <v>25</v>
      </c>
      <c r="L2481">
        <v>-1.0784116437296321</v>
      </c>
      <c r="M2481" s="1" t="s">
        <v>23</v>
      </c>
      <c r="N2481" s="1" t="s">
        <v>230</v>
      </c>
      <c r="O2481" s="1" t="s">
        <v>25</v>
      </c>
      <c r="P2481" s="3" t="s">
        <v>25</v>
      </c>
      <c r="Q2481" s="37">
        <v>0.28040660000000001</v>
      </c>
      <c r="R2481" s="1" t="s">
        <v>231</v>
      </c>
      <c r="S2481" s="13">
        <f t="shared" si="62"/>
        <v>-1.0784116437296321</v>
      </c>
    </row>
    <row r="2482" spans="1:19">
      <c r="A2482" s="18" t="s">
        <v>2225</v>
      </c>
      <c r="B2482" s="1" t="s">
        <v>2568</v>
      </c>
      <c r="C2482" s="1" t="s">
        <v>2585</v>
      </c>
      <c r="D2482" s="1" t="s">
        <v>2586</v>
      </c>
      <c r="E2482" s="1" t="s">
        <v>25</v>
      </c>
      <c r="F2482">
        <v>800</v>
      </c>
      <c r="G2482">
        <v>800</v>
      </c>
      <c r="H2482" s="1" t="s">
        <v>25</v>
      </c>
      <c r="I2482" s="1" t="s">
        <v>1528</v>
      </c>
      <c r="J2482" s="1" t="s">
        <v>25</v>
      </c>
      <c r="K2482" t="s">
        <v>25</v>
      </c>
      <c r="L2482">
        <v>-1.0352085523740451</v>
      </c>
      <c r="M2482" s="1" t="s">
        <v>23</v>
      </c>
      <c r="N2482" s="1" t="s">
        <v>230</v>
      </c>
      <c r="O2482" s="1" t="s">
        <v>25</v>
      </c>
      <c r="P2482" s="3" t="s">
        <v>25</v>
      </c>
      <c r="Q2482" s="37">
        <v>0.6430785</v>
      </c>
      <c r="R2482" s="1" t="s">
        <v>231</v>
      </c>
      <c r="S2482" s="13">
        <f t="shared" si="62"/>
        <v>-1.0352085523740451</v>
      </c>
    </row>
    <row r="2483" spans="1:19">
      <c r="A2483" s="18" t="s">
        <v>2225</v>
      </c>
      <c r="B2483" s="1" t="s">
        <v>2569</v>
      </c>
      <c r="C2483" s="1" t="s">
        <v>2585</v>
      </c>
      <c r="D2483" s="1" t="s">
        <v>2586</v>
      </c>
      <c r="E2483" s="1" t="s">
        <v>25</v>
      </c>
      <c r="F2483">
        <v>800</v>
      </c>
      <c r="G2483">
        <v>800</v>
      </c>
      <c r="H2483" s="1" t="s">
        <v>25</v>
      </c>
      <c r="I2483" s="1" t="s">
        <v>1528</v>
      </c>
      <c r="J2483" s="1" t="s">
        <v>25</v>
      </c>
      <c r="K2483" t="s">
        <v>25</v>
      </c>
      <c r="L2483">
        <v>-1.1352849149602495</v>
      </c>
      <c r="M2483" s="1" t="s">
        <v>23</v>
      </c>
      <c r="N2483" s="1" t="s">
        <v>230</v>
      </c>
      <c r="O2483" s="1" t="s">
        <v>25</v>
      </c>
      <c r="P2483" s="3" t="s">
        <v>25</v>
      </c>
      <c r="Q2483" s="37">
        <v>1.0389204000000001</v>
      </c>
      <c r="R2483" s="1" t="s">
        <v>231</v>
      </c>
      <c r="S2483" s="13">
        <f t="shared" si="62"/>
        <v>-1.1352849149602495</v>
      </c>
    </row>
    <row r="2484" spans="1:19">
      <c r="A2484" s="18" t="s">
        <v>2225</v>
      </c>
      <c r="B2484" s="1" t="s">
        <v>2570</v>
      </c>
      <c r="C2484" s="1" t="s">
        <v>2585</v>
      </c>
      <c r="D2484" s="1" t="s">
        <v>2586</v>
      </c>
      <c r="E2484" s="1" t="s">
        <v>25</v>
      </c>
      <c r="F2484">
        <v>800</v>
      </c>
      <c r="G2484">
        <v>800</v>
      </c>
      <c r="H2484" s="1" t="s">
        <v>25</v>
      </c>
      <c r="I2484" s="1" t="s">
        <v>1528</v>
      </c>
      <c r="J2484" s="1" t="s">
        <v>25</v>
      </c>
      <c r="K2484" t="s">
        <v>25</v>
      </c>
      <c r="L2484">
        <v>-1.4275428039964759</v>
      </c>
      <c r="M2484" s="1" t="s">
        <v>23</v>
      </c>
      <c r="N2484" s="1" t="s">
        <v>230</v>
      </c>
      <c r="O2484" s="1" t="s">
        <v>25</v>
      </c>
      <c r="P2484" s="3" t="s">
        <v>25</v>
      </c>
      <c r="Q2484" s="37">
        <v>0.68775680000000006</v>
      </c>
      <c r="R2484" s="1" t="s">
        <v>231</v>
      </c>
      <c r="S2484" s="13">
        <f t="shared" si="62"/>
        <v>-1.4275428039964759</v>
      </c>
    </row>
    <row r="2485" spans="1:19">
      <c r="A2485" s="18" t="s">
        <v>2225</v>
      </c>
      <c r="B2485" s="1" t="s">
        <v>2571</v>
      </c>
      <c r="C2485" s="1" t="s">
        <v>2585</v>
      </c>
      <c r="D2485" s="1" t="s">
        <v>2586</v>
      </c>
      <c r="E2485" s="1" t="s">
        <v>25</v>
      </c>
      <c r="F2485">
        <v>800</v>
      </c>
      <c r="G2485">
        <v>800</v>
      </c>
      <c r="H2485" s="1" t="s">
        <v>25</v>
      </c>
      <c r="I2485" s="1" t="s">
        <v>1528</v>
      </c>
      <c r="J2485" s="1" t="s">
        <v>25</v>
      </c>
      <c r="K2485" t="s">
        <v>25</v>
      </c>
      <c r="L2485">
        <v>-0.89812268620849112</v>
      </c>
      <c r="M2485" s="1" t="s">
        <v>23</v>
      </c>
      <c r="N2485" s="1" t="s">
        <v>230</v>
      </c>
      <c r="O2485" s="1" t="s">
        <v>25</v>
      </c>
      <c r="P2485" s="3" t="s">
        <v>25</v>
      </c>
      <c r="Q2485" s="37">
        <v>0.48053200000000001</v>
      </c>
      <c r="R2485" s="1" t="s">
        <v>231</v>
      </c>
      <c r="S2485" s="13">
        <f t="shared" si="62"/>
        <v>-0.89812268620849112</v>
      </c>
    </row>
    <row r="2486" spans="1:19">
      <c r="A2486" s="18" t="s">
        <v>2225</v>
      </c>
      <c r="B2486" s="1" t="s">
        <v>2572</v>
      </c>
      <c r="C2486" s="1" t="s">
        <v>2585</v>
      </c>
      <c r="D2486" s="1" t="s">
        <v>2586</v>
      </c>
      <c r="E2486" s="1" t="s">
        <v>25</v>
      </c>
      <c r="F2486">
        <v>800</v>
      </c>
      <c r="G2486">
        <v>800</v>
      </c>
      <c r="H2486" s="1" t="s">
        <v>25</v>
      </c>
      <c r="I2486" s="1" t="s">
        <v>1528</v>
      </c>
      <c r="J2486" s="1" t="s">
        <v>25</v>
      </c>
      <c r="K2486" t="s">
        <v>25</v>
      </c>
      <c r="L2486">
        <v>-0.98838603860146579</v>
      </c>
      <c r="M2486" s="1" t="s">
        <v>23</v>
      </c>
      <c r="N2486" s="1" t="s">
        <v>230</v>
      </c>
      <c r="O2486" s="1" t="s">
        <v>25</v>
      </c>
      <c r="P2486" s="3" t="s">
        <v>25</v>
      </c>
      <c r="Q2486" s="37">
        <v>0.19778860000000001</v>
      </c>
      <c r="R2486" s="1" t="s">
        <v>231</v>
      </c>
      <c r="S2486" s="13">
        <f t="shared" si="62"/>
        <v>-0.98838603860146579</v>
      </c>
    </row>
    <row r="2487" spans="1:19">
      <c r="A2487" s="18" t="s">
        <v>2225</v>
      </c>
      <c r="B2487" s="1" t="s">
        <v>2573</v>
      </c>
      <c r="C2487" s="1" t="s">
        <v>2585</v>
      </c>
      <c r="D2487" s="1" t="s">
        <v>2586</v>
      </c>
      <c r="E2487" s="1" t="s">
        <v>25</v>
      </c>
      <c r="F2487">
        <v>800</v>
      </c>
      <c r="G2487">
        <v>800</v>
      </c>
      <c r="H2487" s="1" t="s">
        <v>25</v>
      </c>
      <c r="I2487" s="1" t="s">
        <v>1528</v>
      </c>
      <c r="J2487" s="1" t="s">
        <v>25</v>
      </c>
      <c r="K2487" t="s">
        <v>25</v>
      </c>
      <c r="L2487">
        <v>-1.2749695667063465</v>
      </c>
      <c r="M2487" s="1" t="s">
        <v>23</v>
      </c>
      <c r="N2487" s="1" t="s">
        <v>230</v>
      </c>
      <c r="O2487" s="1" t="s">
        <v>25</v>
      </c>
      <c r="P2487" s="3" t="s">
        <v>25</v>
      </c>
      <c r="Q2487" s="37">
        <v>9.1875799999999994E-2</v>
      </c>
      <c r="R2487" s="1" t="s">
        <v>231</v>
      </c>
      <c r="S2487" s="13">
        <f t="shared" si="62"/>
        <v>-1.2749695667063465</v>
      </c>
    </row>
    <row r="2488" spans="1:19">
      <c r="A2488" s="18" t="s">
        <v>2225</v>
      </c>
      <c r="B2488" s="1" t="s">
        <v>2574</v>
      </c>
      <c r="C2488" s="1" t="s">
        <v>2585</v>
      </c>
      <c r="D2488" s="1" t="s">
        <v>2586</v>
      </c>
      <c r="E2488" s="1" t="s">
        <v>25</v>
      </c>
      <c r="F2488">
        <v>800</v>
      </c>
      <c r="G2488">
        <v>800</v>
      </c>
      <c r="H2488" s="1" t="s">
        <v>25</v>
      </c>
      <c r="I2488" s="1" t="s">
        <v>1528</v>
      </c>
      <c r="J2488" s="1" t="s">
        <v>25</v>
      </c>
      <c r="K2488" t="s">
        <v>25</v>
      </c>
      <c r="L2488">
        <v>-1.0533858491751948</v>
      </c>
      <c r="M2488" s="1" t="s">
        <v>23</v>
      </c>
      <c r="N2488" s="1" t="s">
        <v>230</v>
      </c>
      <c r="O2488" s="1" t="s">
        <v>25</v>
      </c>
      <c r="P2488" s="3" t="s">
        <v>25</v>
      </c>
      <c r="Q2488" s="37">
        <v>0.99103160000000001</v>
      </c>
      <c r="R2488" s="1" t="s">
        <v>231</v>
      </c>
      <c r="S2488" s="13">
        <f t="shared" si="62"/>
        <v>-1.0533858491751948</v>
      </c>
    </row>
    <row r="2489" spans="1:19">
      <c r="A2489" s="18" t="s">
        <v>2225</v>
      </c>
      <c r="B2489" s="1" t="s">
        <v>2575</v>
      </c>
      <c r="C2489" s="1" t="s">
        <v>2585</v>
      </c>
      <c r="D2489" s="1" t="s">
        <v>2586</v>
      </c>
      <c r="E2489" s="1" t="s">
        <v>25</v>
      </c>
      <c r="F2489">
        <v>800</v>
      </c>
      <c r="G2489">
        <v>800</v>
      </c>
      <c r="H2489" s="1" t="s">
        <v>25</v>
      </c>
      <c r="I2489" s="1" t="s">
        <v>1528</v>
      </c>
      <c r="J2489" s="1" t="s">
        <v>25</v>
      </c>
      <c r="K2489" t="s">
        <v>25</v>
      </c>
      <c r="L2489">
        <v>-0.71522075092892123</v>
      </c>
      <c r="M2489" s="1" t="s">
        <v>23</v>
      </c>
      <c r="N2489" s="1" t="s">
        <v>230</v>
      </c>
      <c r="O2489" s="1" t="s">
        <v>25</v>
      </c>
      <c r="P2489" s="3" t="s">
        <v>25</v>
      </c>
      <c r="Q2489" s="37">
        <v>0.13180050000000001</v>
      </c>
      <c r="R2489" s="1" t="s">
        <v>231</v>
      </c>
      <c r="S2489" s="13">
        <f t="shared" si="62"/>
        <v>-0.71522075092892123</v>
      </c>
    </row>
    <row r="2490" spans="1:19">
      <c r="A2490" s="18" t="s">
        <v>2225</v>
      </c>
      <c r="B2490" s="1" t="s">
        <v>2576</v>
      </c>
      <c r="C2490" s="1" t="s">
        <v>2585</v>
      </c>
      <c r="D2490" s="1" t="s">
        <v>2586</v>
      </c>
      <c r="E2490" s="1" t="s">
        <v>25</v>
      </c>
      <c r="F2490">
        <v>800</v>
      </c>
      <c r="G2490">
        <v>800</v>
      </c>
      <c r="H2490" s="1" t="s">
        <v>25</v>
      </c>
      <c r="I2490" s="1" t="s">
        <v>1528</v>
      </c>
      <c r="J2490" s="1" t="s">
        <v>25</v>
      </c>
      <c r="K2490" t="s">
        <v>25</v>
      </c>
      <c r="L2490">
        <v>-1.0554592405254304</v>
      </c>
      <c r="M2490" s="1" t="s">
        <v>23</v>
      </c>
      <c r="N2490" s="1" t="s">
        <v>230</v>
      </c>
      <c r="O2490" s="1" t="s">
        <v>25</v>
      </c>
      <c r="P2490" s="3" t="s">
        <v>25</v>
      </c>
      <c r="Q2490" s="37">
        <v>0.1126905</v>
      </c>
      <c r="R2490" s="1" t="s">
        <v>231</v>
      </c>
      <c r="S2490" s="13">
        <f t="shared" si="62"/>
        <v>-1.0554592405254304</v>
      </c>
    </row>
    <row r="2491" spans="1:19">
      <c r="A2491" s="18" t="s">
        <v>2225</v>
      </c>
      <c r="B2491" s="1" t="s">
        <v>2577</v>
      </c>
      <c r="C2491" s="1" t="s">
        <v>2585</v>
      </c>
      <c r="D2491" s="1" t="s">
        <v>2586</v>
      </c>
      <c r="E2491" s="1" t="s">
        <v>25</v>
      </c>
      <c r="F2491">
        <v>800</v>
      </c>
      <c r="G2491">
        <v>800</v>
      </c>
      <c r="H2491" s="1" t="s">
        <v>25</v>
      </c>
      <c r="I2491" s="1" t="s">
        <v>1528</v>
      </c>
      <c r="J2491" s="1" t="s">
        <v>25</v>
      </c>
      <c r="K2491" t="s">
        <v>25</v>
      </c>
      <c r="L2491">
        <v>-0.97763705261544853</v>
      </c>
      <c r="M2491" s="1" t="s">
        <v>23</v>
      </c>
      <c r="N2491" s="1" t="s">
        <v>230</v>
      </c>
      <c r="O2491" s="1" t="s">
        <v>25</v>
      </c>
      <c r="P2491" s="3" t="s">
        <v>25</v>
      </c>
      <c r="Q2491" s="37">
        <v>6.9161E-2</v>
      </c>
      <c r="R2491" s="1" t="s">
        <v>231</v>
      </c>
      <c r="S2491" s="13">
        <f t="shared" si="62"/>
        <v>-0.97763705261544853</v>
      </c>
    </row>
    <row r="2492" spans="1:19">
      <c r="A2492" s="18" t="s">
        <v>2225</v>
      </c>
      <c r="B2492" s="1" t="s">
        <v>2578</v>
      </c>
      <c r="C2492" s="1" t="s">
        <v>2585</v>
      </c>
      <c r="D2492" s="1" t="s">
        <v>2586</v>
      </c>
      <c r="E2492" s="1" t="s">
        <v>25</v>
      </c>
      <c r="F2492">
        <v>800</v>
      </c>
      <c r="G2492">
        <v>800</v>
      </c>
      <c r="H2492" s="1" t="s">
        <v>25</v>
      </c>
      <c r="I2492" s="1" t="s">
        <v>1528</v>
      </c>
      <c r="J2492" s="1" t="s">
        <v>25</v>
      </c>
      <c r="K2492" t="s">
        <v>25</v>
      </c>
      <c r="L2492">
        <v>-0.79533739736522546</v>
      </c>
      <c r="M2492" s="1" t="s">
        <v>23</v>
      </c>
      <c r="N2492" s="1" t="s">
        <v>230</v>
      </c>
      <c r="O2492" s="1" t="s">
        <v>25</v>
      </c>
      <c r="P2492" s="3" t="s">
        <v>25</v>
      </c>
      <c r="Q2492" s="37">
        <v>0.35252290000000003</v>
      </c>
      <c r="R2492" s="1" t="s">
        <v>231</v>
      </c>
      <c r="S2492" s="13">
        <f t="shared" si="62"/>
        <v>-0.79533739736522546</v>
      </c>
    </row>
    <row r="2493" spans="1:19">
      <c r="A2493" s="18" t="s">
        <v>2225</v>
      </c>
      <c r="B2493" s="1" t="s">
        <v>2579</v>
      </c>
      <c r="C2493" s="1" t="s">
        <v>2585</v>
      </c>
      <c r="D2493" s="1" t="s">
        <v>2586</v>
      </c>
      <c r="E2493" s="1" t="s">
        <v>25</v>
      </c>
      <c r="F2493">
        <v>800</v>
      </c>
      <c r="G2493">
        <v>800</v>
      </c>
      <c r="H2493" s="1" t="s">
        <v>25</v>
      </c>
      <c r="I2493" s="1" t="s">
        <v>1528</v>
      </c>
      <c r="J2493" s="1" t="s">
        <v>25</v>
      </c>
      <c r="K2493" t="s">
        <v>25</v>
      </c>
      <c r="L2493">
        <v>-1.014131021441808</v>
      </c>
      <c r="M2493" s="1" t="s">
        <v>23</v>
      </c>
      <c r="N2493" s="1" t="s">
        <v>230</v>
      </c>
      <c r="O2493" s="1" t="s">
        <v>25</v>
      </c>
      <c r="P2493" s="3" t="s">
        <v>25</v>
      </c>
      <c r="Q2493" s="37">
        <v>0.48264200000000002</v>
      </c>
      <c r="R2493" s="1" t="s">
        <v>231</v>
      </c>
      <c r="S2493" s="13">
        <f t="shared" si="62"/>
        <v>-1.014131021441808</v>
      </c>
    </row>
    <row r="2494" spans="1:19">
      <c r="A2494" s="18" t="s">
        <v>2225</v>
      </c>
      <c r="B2494" s="1" t="s">
        <v>2580</v>
      </c>
      <c r="C2494" s="1" t="s">
        <v>2585</v>
      </c>
      <c r="D2494" s="1" t="s">
        <v>2586</v>
      </c>
      <c r="E2494" s="1" t="s">
        <v>25</v>
      </c>
      <c r="F2494">
        <v>800</v>
      </c>
      <c r="G2494">
        <v>800</v>
      </c>
      <c r="H2494" s="1" t="s">
        <v>25</v>
      </c>
      <c r="I2494" s="1" t="s">
        <v>1528</v>
      </c>
      <c r="J2494" s="1" t="s">
        <v>25</v>
      </c>
      <c r="K2494" t="s">
        <v>25</v>
      </c>
      <c r="L2494">
        <v>-1.4917358277445085</v>
      </c>
      <c r="M2494" s="1" t="s">
        <v>23</v>
      </c>
      <c r="N2494" s="1" t="s">
        <v>230</v>
      </c>
      <c r="O2494" s="1" t="s">
        <v>25</v>
      </c>
      <c r="P2494" s="3" t="s">
        <v>25</v>
      </c>
      <c r="Q2494" s="37">
        <v>2.3986428000000002</v>
      </c>
      <c r="R2494" s="1" t="s">
        <v>231</v>
      </c>
      <c r="S2494" s="13">
        <f t="shared" si="62"/>
        <v>-1.4917358277445085</v>
      </c>
    </row>
    <row r="2495" spans="1:19">
      <c r="A2495" s="18" t="s">
        <v>2225</v>
      </c>
      <c r="B2495" s="1" t="s">
        <v>2581</v>
      </c>
      <c r="C2495" s="1" t="s">
        <v>2585</v>
      </c>
      <c r="D2495" s="1" t="s">
        <v>2586</v>
      </c>
      <c r="E2495" s="1" t="s">
        <v>25</v>
      </c>
      <c r="F2495">
        <v>800</v>
      </c>
      <c r="G2495">
        <v>800</v>
      </c>
      <c r="H2495" s="1" t="s">
        <v>25</v>
      </c>
      <c r="I2495" s="1" t="s">
        <v>1528</v>
      </c>
      <c r="J2495" s="1" t="s">
        <v>25</v>
      </c>
      <c r="K2495" t="s">
        <v>25</v>
      </c>
      <c r="L2495">
        <v>-1.0170580516487726</v>
      </c>
      <c r="M2495" s="1" t="s">
        <v>23</v>
      </c>
      <c r="N2495" s="1" t="s">
        <v>230</v>
      </c>
      <c r="O2495" s="1" t="s">
        <v>25</v>
      </c>
      <c r="P2495" s="3" t="s">
        <v>25</v>
      </c>
      <c r="Q2495" s="37">
        <v>0.44421480000000002</v>
      </c>
      <c r="R2495" s="1" t="s">
        <v>231</v>
      </c>
      <c r="S2495" s="13">
        <f t="shared" si="62"/>
        <v>-1.0170580516487726</v>
      </c>
    </row>
    <row r="2496" spans="1:19">
      <c r="A2496" s="18" t="s">
        <v>2225</v>
      </c>
      <c r="B2496" s="1" t="s">
        <v>2582</v>
      </c>
      <c r="C2496" s="1" t="s">
        <v>2585</v>
      </c>
      <c r="D2496" s="1" t="s">
        <v>2586</v>
      </c>
      <c r="E2496" s="1" t="s">
        <v>25</v>
      </c>
      <c r="F2496">
        <v>800</v>
      </c>
      <c r="G2496">
        <v>800</v>
      </c>
      <c r="H2496" s="1" t="s">
        <v>25</v>
      </c>
      <c r="I2496" s="1" t="s">
        <v>1528</v>
      </c>
      <c r="J2496" s="1" t="s">
        <v>25</v>
      </c>
      <c r="K2496" t="s">
        <v>25</v>
      </c>
      <c r="L2496">
        <v>-0.97846160469384758</v>
      </c>
      <c r="M2496" s="1" t="s">
        <v>23</v>
      </c>
      <c r="N2496" s="1" t="s">
        <v>230</v>
      </c>
      <c r="O2496" s="1" t="s">
        <v>25</v>
      </c>
      <c r="P2496" s="3" t="s">
        <v>25</v>
      </c>
      <c r="Q2496" s="37">
        <v>0.33367540000000001</v>
      </c>
      <c r="R2496" s="1" t="s">
        <v>231</v>
      </c>
      <c r="S2496" s="13">
        <f t="shared" si="62"/>
        <v>-0.97846160469384758</v>
      </c>
    </row>
    <row r="2497" spans="1:19">
      <c r="A2497" s="18" t="s">
        <v>2225</v>
      </c>
      <c r="B2497" s="1" t="s">
        <v>2583</v>
      </c>
      <c r="C2497" s="1" t="s">
        <v>2585</v>
      </c>
      <c r="D2497" s="1" t="s">
        <v>2586</v>
      </c>
      <c r="E2497" s="1" t="s">
        <v>25</v>
      </c>
      <c r="F2497">
        <v>800</v>
      </c>
      <c r="G2497">
        <v>800</v>
      </c>
      <c r="H2497" s="1" t="s">
        <v>25</v>
      </c>
      <c r="I2497" s="1" t="s">
        <v>1528</v>
      </c>
      <c r="J2497" s="1" t="s">
        <v>25</v>
      </c>
      <c r="K2497" t="s">
        <v>25</v>
      </c>
      <c r="L2497">
        <v>-0.76622561469746875</v>
      </c>
      <c r="M2497" s="1" t="s">
        <v>23</v>
      </c>
      <c r="N2497" s="1" t="s">
        <v>230</v>
      </c>
      <c r="O2497" s="1" t="s">
        <v>25</v>
      </c>
      <c r="P2497" s="3" t="s">
        <v>25</v>
      </c>
      <c r="Q2497" s="37">
        <v>0.22641900000000001</v>
      </c>
      <c r="R2497" s="1" t="s">
        <v>231</v>
      </c>
      <c r="S2497" s="13">
        <f t="shared" si="62"/>
        <v>-0.76622561469746875</v>
      </c>
    </row>
    <row r="2498" spans="1:19">
      <c r="A2498" s="18" t="s">
        <v>2225</v>
      </c>
      <c r="B2498" s="1" t="s">
        <v>2584</v>
      </c>
      <c r="C2498" s="1" t="s">
        <v>2585</v>
      </c>
      <c r="D2498" s="1" t="s">
        <v>2586</v>
      </c>
      <c r="E2498" s="1" t="s">
        <v>25</v>
      </c>
      <c r="F2498">
        <v>800</v>
      </c>
      <c r="G2498">
        <v>800</v>
      </c>
      <c r="H2498" s="1" t="s">
        <v>25</v>
      </c>
      <c r="I2498" s="1" t="s">
        <v>1528</v>
      </c>
      <c r="J2498" s="1" t="s">
        <v>25</v>
      </c>
      <c r="K2498" t="s">
        <v>25</v>
      </c>
      <c r="L2498">
        <v>-0.71381178746786611</v>
      </c>
      <c r="M2498" s="1" t="s">
        <v>23</v>
      </c>
      <c r="N2498" s="1" t="s">
        <v>230</v>
      </c>
      <c r="O2498" s="1" t="s">
        <v>25</v>
      </c>
      <c r="P2498" s="3" t="s">
        <v>25</v>
      </c>
      <c r="Q2498" s="37">
        <v>0.30462889999999998</v>
      </c>
      <c r="R2498" s="1" t="s">
        <v>231</v>
      </c>
      <c r="S2498" s="13">
        <f t="shared" si="62"/>
        <v>-0.71381178746786611</v>
      </c>
    </row>
    <row r="2499" spans="1:19">
      <c r="A2499" s="18" t="s">
        <v>2225</v>
      </c>
      <c r="B2499" s="1" t="s">
        <v>2587</v>
      </c>
      <c r="C2499" s="1" t="s">
        <v>2635</v>
      </c>
      <c r="D2499" s="1" t="s">
        <v>2636</v>
      </c>
      <c r="E2499" s="1" t="s">
        <v>25</v>
      </c>
      <c r="F2499">
        <v>800</v>
      </c>
      <c r="G2499">
        <v>800</v>
      </c>
      <c r="H2499" s="1" t="s">
        <v>25</v>
      </c>
      <c r="I2499" s="1" t="s">
        <v>1528</v>
      </c>
      <c r="J2499" s="1" t="s">
        <v>25</v>
      </c>
      <c r="K2499" t="s">
        <v>25</v>
      </c>
      <c r="L2499">
        <v>-0.66589489378101863</v>
      </c>
      <c r="M2499" s="1" t="s">
        <v>23</v>
      </c>
      <c r="N2499" s="1" t="s">
        <v>230</v>
      </c>
      <c r="O2499" s="1" t="s">
        <v>25</v>
      </c>
      <c r="P2499" s="3" t="s">
        <v>25</v>
      </c>
      <c r="Q2499" s="37">
        <v>0.1078364</v>
      </c>
      <c r="R2499" s="1" t="s">
        <v>231</v>
      </c>
      <c r="S2499" s="13">
        <f t="shared" si="62"/>
        <v>-0.66589489378101863</v>
      </c>
    </row>
    <row r="2500" spans="1:19">
      <c r="A2500" s="18" t="s">
        <v>2225</v>
      </c>
      <c r="B2500" s="1" t="s">
        <v>2588</v>
      </c>
      <c r="C2500" s="1" t="s">
        <v>2635</v>
      </c>
      <c r="D2500" s="1" t="s">
        <v>2636</v>
      </c>
      <c r="E2500" s="1" t="s">
        <v>25</v>
      </c>
      <c r="F2500">
        <v>800</v>
      </c>
      <c r="G2500">
        <v>800</v>
      </c>
      <c r="H2500" s="1" t="s">
        <v>25</v>
      </c>
      <c r="I2500" s="1" t="s">
        <v>1528</v>
      </c>
      <c r="J2500" s="1" t="s">
        <v>25</v>
      </c>
      <c r="K2500" t="s">
        <v>25</v>
      </c>
      <c r="L2500">
        <v>-1.2297928501394186</v>
      </c>
      <c r="M2500" s="1" t="s">
        <v>23</v>
      </c>
      <c r="N2500" s="1" t="s">
        <v>230</v>
      </c>
      <c r="O2500" s="1" t="s">
        <v>25</v>
      </c>
      <c r="P2500" s="3" t="s">
        <v>25</v>
      </c>
      <c r="Q2500" s="37">
        <v>0.1750998</v>
      </c>
      <c r="R2500" s="1" t="s">
        <v>231</v>
      </c>
      <c r="S2500" s="13">
        <f t="shared" si="62"/>
        <v>-1.2297928501394186</v>
      </c>
    </row>
    <row r="2501" spans="1:19">
      <c r="A2501" s="18" t="s">
        <v>2225</v>
      </c>
      <c r="B2501" s="1" t="s">
        <v>2589</v>
      </c>
      <c r="C2501" s="1" t="s">
        <v>2635</v>
      </c>
      <c r="D2501" s="1" t="s">
        <v>2636</v>
      </c>
      <c r="E2501" s="1" t="s">
        <v>25</v>
      </c>
      <c r="F2501">
        <v>800</v>
      </c>
      <c r="G2501">
        <v>800</v>
      </c>
      <c r="H2501" s="1" t="s">
        <v>25</v>
      </c>
      <c r="I2501" s="1" t="s">
        <v>1528</v>
      </c>
      <c r="J2501" s="1" t="s">
        <v>25</v>
      </c>
      <c r="K2501" t="s">
        <v>25</v>
      </c>
      <c r="L2501">
        <v>-0.84697570205621953</v>
      </c>
      <c r="M2501" s="1" t="s">
        <v>23</v>
      </c>
      <c r="N2501" s="1" t="s">
        <v>230</v>
      </c>
      <c r="O2501" s="1" t="s">
        <v>25</v>
      </c>
      <c r="P2501" s="3" t="s">
        <v>25</v>
      </c>
      <c r="Q2501" s="37">
        <v>0.18166589999999999</v>
      </c>
      <c r="R2501" s="1" t="s">
        <v>231</v>
      </c>
      <c r="S2501" s="13">
        <f t="shared" si="62"/>
        <v>-0.84697570205621953</v>
      </c>
    </row>
    <row r="2502" spans="1:19">
      <c r="A2502" s="18" t="s">
        <v>2225</v>
      </c>
      <c r="B2502" s="1" t="s">
        <v>2590</v>
      </c>
      <c r="C2502" s="1" t="s">
        <v>2635</v>
      </c>
      <c r="D2502" s="1" t="s">
        <v>2636</v>
      </c>
      <c r="E2502" s="1" t="s">
        <v>25</v>
      </c>
      <c r="F2502">
        <v>800</v>
      </c>
      <c r="G2502">
        <v>800</v>
      </c>
      <c r="H2502" s="1" t="s">
        <v>25</v>
      </c>
      <c r="I2502" s="1" t="s">
        <v>1528</v>
      </c>
      <c r="J2502" s="1" t="s">
        <v>25</v>
      </c>
      <c r="K2502" t="s">
        <v>25</v>
      </c>
      <c r="L2502">
        <v>-1.0357190371019784</v>
      </c>
      <c r="M2502" s="1" t="s">
        <v>23</v>
      </c>
      <c r="N2502" s="1" t="s">
        <v>230</v>
      </c>
      <c r="O2502" s="1" t="s">
        <v>25</v>
      </c>
      <c r="P2502" s="3" t="s">
        <v>25</v>
      </c>
      <c r="Q2502" s="37">
        <v>0.2004976</v>
      </c>
      <c r="R2502" s="1" t="s">
        <v>231</v>
      </c>
      <c r="S2502" s="13">
        <f t="shared" si="62"/>
        <v>-1.0357190371019784</v>
      </c>
    </row>
    <row r="2503" spans="1:19">
      <c r="A2503" s="18" t="s">
        <v>2225</v>
      </c>
      <c r="B2503" s="1" t="s">
        <v>2591</v>
      </c>
      <c r="C2503" s="1" t="s">
        <v>2635</v>
      </c>
      <c r="D2503" s="1" t="s">
        <v>2636</v>
      </c>
      <c r="E2503" s="1" t="s">
        <v>25</v>
      </c>
      <c r="F2503">
        <v>800</v>
      </c>
      <c r="G2503">
        <v>800</v>
      </c>
      <c r="H2503" s="1" t="s">
        <v>25</v>
      </c>
      <c r="I2503" s="1" t="s">
        <v>1528</v>
      </c>
      <c r="J2503" s="1" t="s">
        <v>25</v>
      </c>
      <c r="K2503" t="s">
        <v>25</v>
      </c>
      <c r="L2503">
        <v>-0.90819320062555087</v>
      </c>
      <c r="M2503" s="1" t="s">
        <v>23</v>
      </c>
      <c r="N2503" s="1" t="s">
        <v>230</v>
      </c>
      <c r="O2503" s="1" t="s">
        <v>25</v>
      </c>
      <c r="P2503" s="3" t="s">
        <v>25</v>
      </c>
      <c r="Q2503" s="37">
        <v>0.12534820000000002</v>
      </c>
      <c r="R2503" s="1" t="s">
        <v>231</v>
      </c>
      <c r="S2503" s="13">
        <f t="shared" si="62"/>
        <v>-0.90819320062555087</v>
      </c>
    </row>
    <row r="2504" spans="1:19">
      <c r="A2504" s="18" t="s">
        <v>2225</v>
      </c>
      <c r="B2504" s="1" t="s">
        <v>2592</v>
      </c>
      <c r="C2504" s="1" t="s">
        <v>2635</v>
      </c>
      <c r="D2504" s="1" t="s">
        <v>2636</v>
      </c>
      <c r="E2504" s="1" t="s">
        <v>25</v>
      </c>
      <c r="F2504">
        <v>800</v>
      </c>
      <c r="G2504">
        <v>800</v>
      </c>
      <c r="H2504" s="1" t="s">
        <v>25</v>
      </c>
      <c r="I2504" s="1" t="s">
        <v>1528</v>
      </c>
      <c r="J2504" s="1" t="s">
        <v>25</v>
      </c>
      <c r="K2504" t="s">
        <v>25</v>
      </c>
      <c r="L2504">
        <v>-0.90062289738626999</v>
      </c>
      <c r="M2504" s="1" t="s">
        <v>23</v>
      </c>
      <c r="N2504" s="1" t="s">
        <v>230</v>
      </c>
      <c r="O2504" s="1" t="s">
        <v>25</v>
      </c>
      <c r="P2504" s="3" t="s">
        <v>25</v>
      </c>
      <c r="Q2504" s="37">
        <v>0.22958210000000001</v>
      </c>
      <c r="R2504" s="1" t="s">
        <v>231</v>
      </c>
      <c r="S2504" s="13">
        <f t="shared" si="62"/>
        <v>-0.90062289738626999</v>
      </c>
    </row>
    <row r="2505" spans="1:19">
      <c r="A2505" s="18" t="s">
        <v>2225</v>
      </c>
      <c r="B2505" s="1" t="s">
        <v>2593</v>
      </c>
      <c r="C2505" s="1" t="s">
        <v>2635</v>
      </c>
      <c r="D2505" s="1" t="s">
        <v>2636</v>
      </c>
      <c r="E2505" s="1" t="s">
        <v>25</v>
      </c>
      <c r="F2505">
        <v>800</v>
      </c>
      <c r="G2505">
        <v>800</v>
      </c>
      <c r="H2505" s="1" t="s">
        <v>25</v>
      </c>
      <c r="I2505" s="1" t="s">
        <v>1528</v>
      </c>
      <c r="J2505" s="1" t="s">
        <v>25</v>
      </c>
      <c r="K2505" t="s">
        <v>25</v>
      </c>
      <c r="L2505">
        <v>-0.85621845824278264</v>
      </c>
      <c r="M2505" s="1" t="s">
        <v>23</v>
      </c>
      <c r="N2505" s="1" t="s">
        <v>230</v>
      </c>
      <c r="O2505" s="1" t="s">
        <v>25</v>
      </c>
      <c r="P2505" s="3" t="s">
        <v>25</v>
      </c>
      <c r="Q2505" s="37">
        <v>0.19766720000000002</v>
      </c>
      <c r="R2505" s="1" t="s">
        <v>231</v>
      </c>
      <c r="S2505" s="13">
        <f t="shared" si="62"/>
        <v>-0.85621845824278264</v>
      </c>
    </row>
    <row r="2506" spans="1:19">
      <c r="A2506" s="18" t="s">
        <v>2225</v>
      </c>
      <c r="B2506" s="1" t="s">
        <v>2594</v>
      </c>
      <c r="C2506" s="1" t="s">
        <v>2635</v>
      </c>
      <c r="D2506" s="1" t="s">
        <v>2636</v>
      </c>
      <c r="E2506" s="1" t="s">
        <v>25</v>
      </c>
      <c r="F2506">
        <v>800</v>
      </c>
      <c r="G2506">
        <v>800</v>
      </c>
      <c r="H2506" s="1" t="s">
        <v>25</v>
      </c>
      <c r="I2506" s="1" t="s">
        <v>1528</v>
      </c>
      <c r="J2506" s="1" t="s">
        <v>25</v>
      </c>
      <c r="K2506" t="s">
        <v>25</v>
      </c>
      <c r="L2506">
        <v>-0.72113183746805132</v>
      </c>
      <c r="M2506" s="1" t="s">
        <v>23</v>
      </c>
      <c r="N2506" s="1" t="s">
        <v>230</v>
      </c>
      <c r="O2506" s="1" t="s">
        <v>25</v>
      </c>
      <c r="P2506" s="3" t="s">
        <v>25</v>
      </c>
      <c r="Q2506" s="37">
        <v>0.23227300000000001</v>
      </c>
      <c r="R2506" s="1" t="s">
        <v>231</v>
      </c>
      <c r="S2506" s="13">
        <f t="shared" si="62"/>
        <v>-0.72113183746805132</v>
      </c>
    </row>
    <row r="2507" spans="1:19">
      <c r="A2507" s="18" t="s">
        <v>2225</v>
      </c>
      <c r="B2507" s="1" t="s">
        <v>2595</v>
      </c>
      <c r="C2507" s="1" t="s">
        <v>2635</v>
      </c>
      <c r="D2507" s="1" t="s">
        <v>2636</v>
      </c>
      <c r="E2507" s="1" t="s">
        <v>25</v>
      </c>
      <c r="F2507">
        <v>800</v>
      </c>
      <c r="G2507">
        <v>800</v>
      </c>
      <c r="H2507" s="1" t="s">
        <v>25</v>
      </c>
      <c r="I2507" s="1" t="s">
        <v>1528</v>
      </c>
      <c r="J2507" s="1" t="s">
        <v>25</v>
      </c>
      <c r="K2507" t="s">
        <v>25</v>
      </c>
      <c r="L2507">
        <v>-0.68850365010592984</v>
      </c>
      <c r="M2507" s="1" t="s">
        <v>23</v>
      </c>
      <c r="N2507" s="1" t="s">
        <v>230</v>
      </c>
      <c r="O2507" s="1" t="s">
        <v>25</v>
      </c>
      <c r="P2507" s="3" t="s">
        <v>25</v>
      </c>
      <c r="Q2507" s="37">
        <v>0.24209719999999998</v>
      </c>
      <c r="R2507" s="1" t="s">
        <v>231</v>
      </c>
      <c r="S2507" s="13">
        <f t="shared" si="62"/>
        <v>-0.68850365010592984</v>
      </c>
    </row>
    <row r="2508" spans="1:19">
      <c r="A2508" s="18" t="s">
        <v>2225</v>
      </c>
      <c r="B2508" s="1" t="s">
        <v>2596</v>
      </c>
      <c r="C2508" s="1" t="s">
        <v>2635</v>
      </c>
      <c r="D2508" s="1" t="s">
        <v>2636</v>
      </c>
      <c r="E2508" s="1" t="s">
        <v>25</v>
      </c>
      <c r="F2508">
        <v>800</v>
      </c>
      <c r="G2508">
        <v>800</v>
      </c>
      <c r="H2508" s="1" t="s">
        <v>25</v>
      </c>
      <c r="I2508" s="1" t="s">
        <v>1528</v>
      </c>
      <c r="J2508" s="1" t="s">
        <v>25</v>
      </c>
      <c r="K2508" t="s">
        <v>25</v>
      </c>
      <c r="L2508">
        <v>-1.2399562568213698</v>
      </c>
      <c r="M2508" s="1" t="s">
        <v>23</v>
      </c>
      <c r="N2508" s="1" t="s">
        <v>230</v>
      </c>
      <c r="O2508" s="1" t="s">
        <v>25</v>
      </c>
      <c r="P2508" s="3" t="s">
        <v>25</v>
      </c>
      <c r="Q2508" s="37">
        <v>2.3279506999999997</v>
      </c>
      <c r="R2508" s="1" t="s">
        <v>231</v>
      </c>
      <c r="S2508" s="13">
        <f t="shared" si="62"/>
        <v>-1.2399562568213698</v>
      </c>
    </row>
    <row r="2509" spans="1:19">
      <c r="A2509" s="18" t="s">
        <v>2225</v>
      </c>
      <c r="B2509" s="1" t="s">
        <v>2597</v>
      </c>
      <c r="C2509" s="1" t="s">
        <v>2635</v>
      </c>
      <c r="D2509" s="1" t="s">
        <v>2636</v>
      </c>
      <c r="E2509" s="1" t="s">
        <v>25</v>
      </c>
      <c r="F2509">
        <v>800</v>
      </c>
      <c r="G2509">
        <v>800</v>
      </c>
      <c r="H2509" s="1" t="s">
        <v>25</v>
      </c>
      <c r="I2509" s="1" t="s">
        <v>1528</v>
      </c>
      <c r="J2509" s="1" t="s">
        <v>25</v>
      </c>
      <c r="K2509" t="s">
        <v>25</v>
      </c>
      <c r="L2509">
        <v>-1.0161561105334918</v>
      </c>
      <c r="M2509" s="1" t="s">
        <v>23</v>
      </c>
      <c r="N2509" s="1" t="s">
        <v>230</v>
      </c>
      <c r="O2509" s="1" t="s">
        <v>25</v>
      </c>
      <c r="P2509" s="3" t="s">
        <v>25</v>
      </c>
      <c r="Q2509" s="37">
        <v>0.20033090000000001</v>
      </c>
      <c r="R2509" s="1" t="s">
        <v>231</v>
      </c>
      <c r="S2509" s="13">
        <f t="shared" si="62"/>
        <v>-1.0161561105334918</v>
      </c>
    </row>
    <row r="2510" spans="1:19">
      <c r="A2510" s="18" t="s">
        <v>2225</v>
      </c>
      <c r="B2510" s="1" t="s">
        <v>2598</v>
      </c>
      <c r="C2510" s="1" t="s">
        <v>2635</v>
      </c>
      <c r="D2510" s="1" t="s">
        <v>2636</v>
      </c>
      <c r="E2510" s="1" t="s">
        <v>25</v>
      </c>
      <c r="F2510">
        <v>800</v>
      </c>
      <c r="G2510">
        <v>800</v>
      </c>
      <c r="H2510" s="1" t="s">
        <v>25</v>
      </c>
      <c r="I2510" s="1" t="s">
        <v>1528</v>
      </c>
      <c r="J2510" s="1" t="s">
        <v>25</v>
      </c>
      <c r="K2510" t="s">
        <v>25</v>
      </c>
      <c r="L2510">
        <v>-0.9994146051974182</v>
      </c>
      <c r="M2510" s="1" t="s">
        <v>23</v>
      </c>
      <c r="N2510" s="1" t="s">
        <v>230</v>
      </c>
      <c r="O2510" s="1" t="s">
        <v>25</v>
      </c>
      <c r="P2510" s="3" t="s">
        <v>25</v>
      </c>
      <c r="Q2510" s="37">
        <v>0.34975290000000003</v>
      </c>
      <c r="R2510" s="1" t="s">
        <v>231</v>
      </c>
      <c r="S2510" s="13">
        <f t="shared" si="62"/>
        <v>-0.9994146051974182</v>
      </c>
    </row>
    <row r="2511" spans="1:19">
      <c r="A2511" s="18" t="s">
        <v>2225</v>
      </c>
      <c r="B2511" s="1" t="s">
        <v>2599</v>
      </c>
      <c r="C2511" s="1" t="s">
        <v>2635</v>
      </c>
      <c r="D2511" s="1" t="s">
        <v>2636</v>
      </c>
      <c r="E2511" s="1" t="s">
        <v>25</v>
      </c>
      <c r="F2511">
        <v>800</v>
      </c>
      <c r="G2511">
        <v>800</v>
      </c>
      <c r="H2511" s="1" t="s">
        <v>25</v>
      </c>
      <c r="I2511" s="1" t="s">
        <v>1528</v>
      </c>
      <c r="J2511" s="1" t="s">
        <v>25</v>
      </c>
      <c r="K2511" t="s">
        <v>25</v>
      </c>
      <c r="L2511">
        <v>-0.76500662989136248</v>
      </c>
      <c r="M2511" s="1" t="s">
        <v>23</v>
      </c>
      <c r="N2511" s="1" t="s">
        <v>230</v>
      </c>
      <c r="O2511" s="1" t="s">
        <v>25</v>
      </c>
      <c r="P2511" s="3" t="s">
        <v>25</v>
      </c>
      <c r="Q2511" s="37">
        <v>0.16302449999999999</v>
      </c>
      <c r="R2511" s="1" t="s">
        <v>231</v>
      </c>
      <c r="S2511" s="13">
        <f t="shared" si="62"/>
        <v>-0.76500662989136248</v>
      </c>
    </row>
    <row r="2512" spans="1:19">
      <c r="A2512" s="18" t="s">
        <v>2225</v>
      </c>
      <c r="B2512" s="1" t="s">
        <v>2600</v>
      </c>
      <c r="C2512" s="1" t="s">
        <v>2635</v>
      </c>
      <c r="D2512" s="1" t="s">
        <v>2636</v>
      </c>
      <c r="E2512" s="1" t="s">
        <v>25</v>
      </c>
      <c r="F2512">
        <v>800</v>
      </c>
      <c r="G2512">
        <v>800</v>
      </c>
      <c r="H2512" s="1" t="s">
        <v>25</v>
      </c>
      <c r="I2512" s="1" t="s">
        <v>1528</v>
      </c>
      <c r="J2512" s="1" t="s">
        <v>25</v>
      </c>
      <c r="K2512" t="s">
        <v>25</v>
      </c>
      <c r="L2512">
        <v>-0.84650976460257632</v>
      </c>
      <c r="M2512" s="1" t="s">
        <v>23</v>
      </c>
      <c r="N2512" s="1" t="s">
        <v>230</v>
      </c>
      <c r="O2512" s="1" t="s">
        <v>25</v>
      </c>
      <c r="P2512" s="3" t="s">
        <v>25</v>
      </c>
      <c r="Q2512" s="37">
        <v>0.23026269999999999</v>
      </c>
      <c r="R2512" s="1" t="s">
        <v>231</v>
      </c>
      <c r="S2512" s="13">
        <f t="shared" si="62"/>
        <v>-0.84650976460257632</v>
      </c>
    </row>
    <row r="2513" spans="1:19">
      <c r="A2513" s="18" t="s">
        <v>2225</v>
      </c>
      <c r="B2513" s="1" t="s">
        <v>2601</v>
      </c>
      <c r="C2513" s="1" t="s">
        <v>2635</v>
      </c>
      <c r="D2513" s="1" t="s">
        <v>2636</v>
      </c>
      <c r="E2513" s="1" t="s">
        <v>25</v>
      </c>
      <c r="F2513">
        <v>800</v>
      </c>
      <c r="G2513">
        <v>800</v>
      </c>
      <c r="H2513" s="1" t="s">
        <v>25</v>
      </c>
      <c r="I2513" s="1" t="s">
        <v>1528</v>
      </c>
      <c r="J2513" s="1" t="s">
        <v>25</v>
      </c>
      <c r="K2513" t="s">
        <v>25</v>
      </c>
      <c r="L2513">
        <v>-0.59079149859718005</v>
      </c>
      <c r="M2513" s="1" t="s">
        <v>23</v>
      </c>
      <c r="N2513" s="1" t="s">
        <v>230</v>
      </c>
      <c r="O2513" s="1" t="s">
        <v>25</v>
      </c>
      <c r="P2513" s="3" t="s">
        <v>25</v>
      </c>
      <c r="Q2513" s="37">
        <v>0.1101439</v>
      </c>
      <c r="R2513" s="1" t="s">
        <v>231</v>
      </c>
      <c r="S2513" s="13">
        <f t="shared" si="62"/>
        <v>-0.59079149859718005</v>
      </c>
    </row>
    <row r="2514" spans="1:19">
      <c r="A2514" s="18" t="s">
        <v>2225</v>
      </c>
      <c r="B2514" s="1" t="s">
        <v>2602</v>
      </c>
      <c r="C2514" s="1" t="s">
        <v>2635</v>
      </c>
      <c r="D2514" s="1" t="s">
        <v>2636</v>
      </c>
      <c r="E2514" s="1" t="s">
        <v>25</v>
      </c>
      <c r="F2514">
        <v>800</v>
      </c>
      <c r="G2514">
        <v>800</v>
      </c>
      <c r="H2514" s="1" t="s">
        <v>25</v>
      </c>
      <c r="I2514" s="1" t="s">
        <v>1528</v>
      </c>
      <c r="J2514" s="1" t="s">
        <v>25</v>
      </c>
      <c r="K2514" t="s">
        <v>25</v>
      </c>
      <c r="L2514">
        <v>-0.60678820589457316</v>
      </c>
      <c r="M2514" s="1" t="s">
        <v>23</v>
      </c>
      <c r="N2514" s="1" t="s">
        <v>230</v>
      </c>
      <c r="O2514" s="1" t="s">
        <v>25</v>
      </c>
      <c r="P2514" s="3" t="s">
        <v>25</v>
      </c>
      <c r="Q2514" s="37">
        <v>0.1863794</v>
      </c>
      <c r="R2514" s="1" t="s">
        <v>231</v>
      </c>
      <c r="S2514" s="13">
        <f t="shared" si="62"/>
        <v>-0.60678820589457316</v>
      </c>
    </row>
    <row r="2515" spans="1:19">
      <c r="A2515" s="18" t="s">
        <v>2225</v>
      </c>
      <c r="B2515" s="1" t="s">
        <v>2603</v>
      </c>
      <c r="C2515" s="1" t="s">
        <v>2635</v>
      </c>
      <c r="D2515" s="1" t="s">
        <v>2636</v>
      </c>
      <c r="E2515" s="1" t="s">
        <v>25</v>
      </c>
      <c r="F2515">
        <v>800</v>
      </c>
      <c r="G2515">
        <v>800</v>
      </c>
      <c r="H2515" s="1" t="s">
        <v>25</v>
      </c>
      <c r="I2515" s="1" t="s">
        <v>1528</v>
      </c>
      <c r="J2515" s="1" t="s">
        <v>25</v>
      </c>
      <c r="K2515" t="s">
        <v>25</v>
      </c>
      <c r="L2515">
        <v>-0.88148795080465447</v>
      </c>
      <c r="M2515" s="1" t="s">
        <v>23</v>
      </c>
      <c r="N2515" s="1" t="s">
        <v>230</v>
      </c>
      <c r="O2515" s="1" t="s">
        <v>25</v>
      </c>
      <c r="P2515" s="3" t="s">
        <v>25</v>
      </c>
      <c r="Q2515" s="37">
        <v>0.81523800000000002</v>
      </c>
      <c r="R2515" s="1" t="s">
        <v>231</v>
      </c>
      <c r="S2515" s="13">
        <f t="shared" si="62"/>
        <v>-0.88148795080465447</v>
      </c>
    </row>
    <row r="2516" spans="1:19">
      <c r="A2516" s="18" t="s">
        <v>2225</v>
      </c>
      <c r="B2516" s="1" t="s">
        <v>2604</v>
      </c>
      <c r="C2516" s="1" t="s">
        <v>2635</v>
      </c>
      <c r="D2516" s="1" t="s">
        <v>2636</v>
      </c>
      <c r="E2516" s="1" t="s">
        <v>25</v>
      </c>
      <c r="F2516">
        <v>800</v>
      </c>
      <c r="G2516">
        <v>800</v>
      </c>
      <c r="H2516" s="1" t="s">
        <v>25</v>
      </c>
      <c r="I2516" s="1" t="s">
        <v>1528</v>
      </c>
      <c r="J2516" s="1" t="s">
        <v>25</v>
      </c>
      <c r="K2516" t="s">
        <v>25</v>
      </c>
      <c r="L2516">
        <v>-0.77611807844251124</v>
      </c>
      <c r="M2516" s="1" t="s">
        <v>23</v>
      </c>
      <c r="N2516" s="1" t="s">
        <v>230</v>
      </c>
      <c r="O2516" s="1" t="s">
        <v>25</v>
      </c>
      <c r="P2516" s="3" t="s">
        <v>25</v>
      </c>
      <c r="Q2516" s="37">
        <v>0.12692980000000001</v>
      </c>
      <c r="R2516" s="1" t="s">
        <v>231</v>
      </c>
      <c r="S2516" s="13">
        <f t="shared" si="62"/>
        <v>-0.77611807844251124</v>
      </c>
    </row>
    <row r="2517" spans="1:19">
      <c r="A2517" s="18" t="s">
        <v>2225</v>
      </c>
      <c r="B2517" s="1" t="s">
        <v>2605</v>
      </c>
      <c r="C2517" s="1" t="s">
        <v>2635</v>
      </c>
      <c r="D2517" s="1" t="s">
        <v>2636</v>
      </c>
      <c r="E2517" s="1" t="s">
        <v>25</v>
      </c>
      <c r="F2517">
        <v>800</v>
      </c>
      <c r="G2517">
        <v>800</v>
      </c>
      <c r="H2517" s="1" t="s">
        <v>25</v>
      </c>
      <c r="I2517" s="1" t="s">
        <v>1528</v>
      </c>
      <c r="J2517" s="1" t="s">
        <v>25</v>
      </c>
      <c r="K2517" t="s">
        <v>25</v>
      </c>
      <c r="L2517">
        <v>-0.74884071180344158</v>
      </c>
      <c r="M2517" s="1" t="s">
        <v>23</v>
      </c>
      <c r="N2517" s="1" t="s">
        <v>230</v>
      </c>
      <c r="O2517" s="1" t="s">
        <v>25</v>
      </c>
      <c r="P2517" s="3" t="s">
        <v>25</v>
      </c>
      <c r="Q2517" s="37">
        <v>0.19374910000000001</v>
      </c>
      <c r="R2517" s="1" t="s">
        <v>231</v>
      </c>
      <c r="S2517" s="13">
        <f t="shared" si="62"/>
        <v>-0.74884071180344158</v>
      </c>
    </row>
    <row r="2518" spans="1:19">
      <c r="A2518" s="18" t="s">
        <v>2225</v>
      </c>
      <c r="B2518" s="1" t="s">
        <v>2606</v>
      </c>
      <c r="C2518" s="1" t="s">
        <v>2635</v>
      </c>
      <c r="D2518" s="1" t="s">
        <v>2636</v>
      </c>
      <c r="E2518" s="1" t="s">
        <v>25</v>
      </c>
      <c r="F2518">
        <v>800</v>
      </c>
      <c r="G2518">
        <v>800</v>
      </c>
      <c r="H2518" s="1" t="s">
        <v>25</v>
      </c>
      <c r="I2518" s="1" t="s">
        <v>1528</v>
      </c>
      <c r="J2518" s="1" t="s">
        <v>25</v>
      </c>
      <c r="K2518" t="s">
        <v>25</v>
      </c>
      <c r="L2518">
        <v>-0.88568192235602239</v>
      </c>
      <c r="M2518" s="1" t="s">
        <v>23</v>
      </c>
      <c r="N2518" s="1" t="s">
        <v>230</v>
      </c>
      <c r="O2518" s="1" t="s">
        <v>25</v>
      </c>
      <c r="P2518" s="3" t="s">
        <v>25</v>
      </c>
      <c r="Q2518" s="37">
        <v>9.0807800000000008E-2</v>
      </c>
      <c r="R2518" s="1" t="s">
        <v>231</v>
      </c>
      <c r="S2518" s="13">
        <f t="shared" si="62"/>
        <v>-0.88568192235602239</v>
      </c>
    </row>
    <row r="2519" spans="1:19">
      <c r="A2519" s="18" t="s">
        <v>2225</v>
      </c>
      <c r="B2519" s="1" t="s">
        <v>2607</v>
      </c>
      <c r="C2519" s="1" t="s">
        <v>2635</v>
      </c>
      <c r="D2519" s="1" t="s">
        <v>2636</v>
      </c>
      <c r="E2519" s="1" t="s">
        <v>25</v>
      </c>
      <c r="F2519">
        <v>800</v>
      </c>
      <c r="G2519">
        <v>800</v>
      </c>
      <c r="H2519" s="1" t="s">
        <v>25</v>
      </c>
      <c r="I2519" s="1" t="s">
        <v>1528</v>
      </c>
      <c r="J2519" s="1" t="s">
        <v>25</v>
      </c>
      <c r="K2519" t="s">
        <v>25</v>
      </c>
      <c r="L2519">
        <v>-0.68063603176133614</v>
      </c>
      <c r="M2519" s="1" t="s">
        <v>23</v>
      </c>
      <c r="N2519" s="1" t="s">
        <v>230</v>
      </c>
      <c r="O2519" s="1" t="s">
        <v>25</v>
      </c>
      <c r="P2519" s="3" t="s">
        <v>25</v>
      </c>
      <c r="Q2519" s="37">
        <v>0.17988270000000001</v>
      </c>
      <c r="R2519" s="1" t="s">
        <v>231</v>
      </c>
      <c r="S2519" s="13">
        <f t="shared" si="62"/>
        <v>-0.68063603176133614</v>
      </c>
    </row>
    <row r="2520" spans="1:19">
      <c r="A2520" s="18" t="s">
        <v>2225</v>
      </c>
      <c r="B2520" s="1" t="s">
        <v>2608</v>
      </c>
      <c r="C2520" s="1" t="s">
        <v>2635</v>
      </c>
      <c r="D2520" s="1" t="s">
        <v>2636</v>
      </c>
      <c r="E2520" s="1" t="s">
        <v>25</v>
      </c>
      <c r="F2520">
        <v>800</v>
      </c>
      <c r="G2520">
        <v>800</v>
      </c>
      <c r="H2520" s="1" t="s">
        <v>25</v>
      </c>
      <c r="I2520" s="1" t="s">
        <v>1528</v>
      </c>
      <c r="J2520" s="1" t="s">
        <v>25</v>
      </c>
      <c r="K2520" t="s">
        <v>25</v>
      </c>
      <c r="L2520">
        <v>-1.0617491064271702</v>
      </c>
      <c r="M2520" s="1" t="s">
        <v>23</v>
      </c>
      <c r="N2520" s="1" t="s">
        <v>230</v>
      </c>
      <c r="O2520" s="1" t="s">
        <v>25</v>
      </c>
      <c r="P2520" s="3" t="s">
        <v>25</v>
      </c>
      <c r="Q2520" s="37">
        <v>0.21704920000000003</v>
      </c>
      <c r="R2520" s="1" t="s">
        <v>231</v>
      </c>
      <c r="S2520" s="13">
        <f t="shared" si="62"/>
        <v>-1.0617491064271702</v>
      </c>
    </row>
    <row r="2521" spans="1:19">
      <c r="A2521" s="18" t="s">
        <v>2225</v>
      </c>
      <c r="B2521" s="1" t="s">
        <v>2609</v>
      </c>
      <c r="C2521" s="1" t="s">
        <v>2635</v>
      </c>
      <c r="D2521" s="1" t="s">
        <v>2636</v>
      </c>
      <c r="E2521" s="1" t="s">
        <v>25</v>
      </c>
      <c r="F2521">
        <v>800</v>
      </c>
      <c r="G2521">
        <v>800</v>
      </c>
      <c r="H2521" s="1" t="s">
        <v>25</v>
      </c>
      <c r="I2521" s="1" t="s">
        <v>1528</v>
      </c>
      <c r="J2521" s="1" t="s">
        <v>25</v>
      </c>
      <c r="K2521" t="s">
        <v>25</v>
      </c>
      <c r="L2521">
        <v>-1.2746193349624446</v>
      </c>
      <c r="M2521" s="1" t="s">
        <v>23</v>
      </c>
      <c r="N2521" s="1" t="s">
        <v>230</v>
      </c>
      <c r="O2521" s="1" t="s">
        <v>25</v>
      </c>
      <c r="P2521" s="3" t="s">
        <v>25</v>
      </c>
      <c r="Q2521" s="37">
        <v>0.12820310000000001</v>
      </c>
      <c r="R2521" s="1" t="s">
        <v>231</v>
      </c>
      <c r="S2521" s="13">
        <f t="shared" si="62"/>
        <v>-1.2746193349624446</v>
      </c>
    </row>
    <row r="2522" spans="1:19">
      <c r="A2522" s="18" t="s">
        <v>2225</v>
      </c>
      <c r="B2522" s="1" t="s">
        <v>2610</v>
      </c>
      <c r="C2522" s="1" t="s">
        <v>2635</v>
      </c>
      <c r="D2522" s="1" t="s">
        <v>2636</v>
      </c>
      <c r="E2522" s="1" t="s">
        <v>25</v>
      </c>
      <c r="F2522">
        <v>800</v>
      </c>
      <c r="G2522">
        <v>800</v>
      </c>
      <c r="H2522" s="1" t="s">
        <v>25</v>
      </c>
      <c r="I2522" s="1" t="s">
        <v>1528</v>
      </c>
      <c r="J2522" s="1" t="s">
        <v>25</v>
      </c>
      <c r="K2522" t="s">
        <v>25</v>
      </c>
      <c r="L2522">
        <v>-0.52819366071111995</v>
      </c>
      <c r="M2522" s="1" t="s">
        <v>23</v>
      </c>
      <c r="N2522" s="1" t="s">
        <v>230</v>
      </c>
      <c r="O2522" s="1" t="s">
        <v>25</v>
      </c>
      <c r="P2522" s="3" t="s">
        <v>25</v>
      </c>
      <c r="Q2522" s="37">
        <v>0.73246469999999997</v>
      </c>
      <c r="R2522" s="1" t="s">
        <v>231</v>
      </c>
      <c r="S2522" s="13">
        <f t="shared" si="62"/>
        <v>-0.52819366071111995</v>
      </c>
    </row>
    <row r="2523" spans="1:19">
      <c r="A2523" s="18" t="s">
        <v>2225</v>
      </c>
      <c r="B2523" s="1" t="s">
        <v>2611</v>
      </c>
      <c r="C2523" s="1" t="s">
        <v>2635</v>
      </c>
      <c r="D2523" s="1" t="s">
        <v>2636</v>
      </c>
      <c r="E2523" s="1" t="s">
        <v>25</v>
      </c>
      <c r="F2523">
        <v>800</v>
      </c>
      <c r="G2523">
        <v>800</v>
      </c>
      <c r="H2523" s="1" t="s">
        <v>25</v>
      </c>
      <c r="I2523" s="1" t="s">
        <v>1528</v>
      </c>
      <c r="J2523" s="1" t="s">
        <v>25</v>
      </c>
      <c r="K2523" t="s">
        <v>25</v>
      </c>
      <c r="L2523">
        <v>-1.0308551387610829</v>
      </c>
      <c r="M2523" s="1" t="s">
        <v>23</v>
      </c>
      <c r="N2523" s="1" t="s">
        <v>230</v>
      </c>
      <c r="O2523" s="1" t="s">
        <v>25</v>
      </c>
      <c r="P2523" s="3" t="s">
        <v>25</v>
      </c>
      <c r="Q2523" s="37">
        <v>0.1435583</v>
      </c>
      <c r="R2523" s="1" t="s">
        <v>231</v>
      </c>
      <c r="S2523" s="13">
        <f t="shared" si="62"/>
        <v>-1.0308551387610829</v>
      </c>
    </row>
    <row r="2524" spans="1:19">
      <c r="A2524" s="18" t="s">
        <v>2225</v>
      </c>
      <c r="B2524" s="1" t="s">
        <v>2612</v>
      </c>
      <c r="C2524" s="1" t="s">
        <v>2635</v>
      </c>
      <c r="D2524" s="1" t="s">
        <v>2636</v>
      </c>
      <c r="E2524" s="1" t="s">
        <v>25</v>
      </c>
      <c r="F2524">
        <v>800</v>
      </c>
      <c r="G2524">
        <v>800</v>
      </c>
      <c r="H2524" s="1" t="s">
        <v>25</v>
      </c>
      <c r="I2524" s="1" t="s">
        <v>1528</v>
      </c>
      <c r="J2524" s="1" t="s">
        <v>25</v>
      </c>
      <c r="K2524" t="s">
        <v>25</v>
      </c>
      <c r="L2524">
        <v>-1.0514861213292839</v>
      </c>
      <c r="M2524" s="1" t="s">
        <v>23</v>
      </c>
      <c r="N2524" s="1" t="s">
        <v>230</v>
      </c>
      <c r="O2524" s="1" t="s">
        <v>25</v>
      </c>
      <c r="P2524" s="3" t="s">
        <v>25</v>
      </c>
      <c r="Q2524" s="37">
        <v>0.1363993</v>
      </c>
      <c r="R2524" s="1" t="s">
        <v>231</v>
      </c>
      <c r="S2524" s="13">
        <f t="shared" si="62"/>
        <v>-1.0514861213292839</v>
      </c>
    </row>
    <row r="2525" spans="1:19">
      <c r="A2525" s="18" t="s">
        <v>2225</v>
      </c>
      <c r="B2525" s="1" t="s">
        <v>2613</v>
      </c>
      <c r="C2525" s="1" t="s">
        <v>2635</v>
      </c>
      <c r="D2525" s="1" t="s">
        <v>2636</v>
      </c>
      <c r="E2525" s="1" t="s">
        <v>25</v>
      </c>
      <c r="F2525">
        <v>800</v>
      </c>
      <c r="G2525">
        <v>800</v>
      </c>
      <c r="H2525" s="1" t="s">
        <v>25</v>
      </c>
      <c r="I2525" s="1" t="s">
        <v>1528</v>
      </c>
      <c r="J2525" s="1" t="s">
        <v>25</v>
      </c>
      <c r="K2525" t="s">
        <v>25</v>
      </c>
      <c r="L2525">
        <v>-0.8175292435592505</v>
      </c>
      <c r="M2525" s="1" t="s">
        <v>23</v>
      </c>
      <c r="N2525" s="1" t="s">
        <v>230</v>
      </c>
      <c r="O2525" s="1" t="s">
        <v>25</v>
      </c>
      <c r="P2525" s="3" t="s">
        <v>25</v>
      </c>
      <c r="Q2525" s="37">
        <v>0.21292509999999998</v>
      </c>
      <c r="R2525" s="1" t="s">
        <v>231</v>
      </c>
      <c r="S2525" s="13">
        <f t="shared" si="62"/>
        <v>-0.8175292435592505</v>
      </c>
    </row>
    <row r="2526" spans="1:19">
      <c r="A2526" s="18" t="s">
        <v>2225</v>
      </c>
      <c r="B2526" s="1" t="s">
        <v>2614</v>
      </c>
      <c r="C2526" s="1" t="s">
        <v>2635</v>
      </c>
      <c r="D2526" s="1" t="s">
        <v>2636</v>
      </c>
      <c r="E2526" s="1" t="s">
        <v>25</v>
      </c>
      <c r="F2526">
        <v>800</v>
      </c>
      <c r="G2526">
        <v>800</v>
      </c>
      <c r="H2526" s="1" t="s">
        <v>25</v>
      </c>
      <c r="I2526" s="1" t="s">
        <v>1528</v>
      </c>
      <c r="J2526" s="1" t="s">
        <v>25</v>
      </c>
      <c r="K2526" t="s">
        <v>25</v>
      </c>
      <c r="L2526">
        <v>-1.1212449808126546</v>
      </c>
      <c r="M2526" s="1" t="s">
        <v>23</v>
      </c>
      <c r="N2526" s="1" t="s">
        <v>230</v>
      </c>
      <c r="O2526" s="1" t="s">
        <v>25</v>
      </c>
      <c r="P2526" s="3" t="s">
        <v>25</v>
      </c>
      <c r="Q2526" s="37">
        <v>9.2695600000000003E-2</v>
      </c>
      <c r="R2526" s="1" t="s">
        <v>231</v>
      </c>
      <c r="S2526" s="13">
        <f t="shared" si="62"/>
        <v>-1.1212449808126546</v>
      </c>
    </row>
    <row r="2527" spans="1:19">
      <c r="A2527" s="18" t="s">
        <v>2225</v>
      </c>
      <c r="B2527" s="1" t="s">
        <v>2615</v>
      </c>
      <c r="C2527" s="1" t="s">
        <v>2635</v>
      </c>
      <c r="D2527" s="1" t="s">
        <v>2636</v>
      </c>
      <c r="E2527" s="1" t="s">
        <v>25</v>
      </c>
      <c r="F2527">
        <v>800</v>
      </c>
      <c r="G2527">
        <v>800</v>
      </c>
      <c r="H2527" s="1" t="s">
        <v>25</v>
      </c>
      <c r="I2527" s="1" t="s">
        <v>1528</v>
      </c>
      <c r="J2527" s="1" t="s">
        <v>25</v>
      </c>
      <c r="K2527" t="s">
        <v>25</v>
      </c>
      <c r="L2527">
        <v>-1.0772389259758621</v>
      </c>
      <c r="M2527" s="1" t="s">
        <v>23</v>
      </c>
      <c r="N2527" s="1" t="s">
        <v>230</v>
      </c>
      <c r="O2527" s="1" t="s">
        <v>25</v>
      </c>
      <c r="P2527" s="3" t="s">
        <v>25</v>
      </c>
      <c r="Q2527" s="37">
        <v>0.1351734</v>
      </c>
      <c r="R2527" s="1" t="s">
        <v>231</v>
      </c>
      <c r="S2527" s="13">
        <f t="shared" si="62"/>
        <v>-1.0772389259758621</v>
      </c>
    </row>
    <row r="2528" spans="1:19">
      <c r="A2528" s="18" t="s">
        <v>2225</v>
      </c>
      <c r="B2528" s="1" t="s">
        <v>2616</v>
      </c>
      <c r="C2528" s="1" t="s">
        <v>2635</v>
      </c>
      <c r="D2528" s="1" t="s">
        <v>2636</v>
      </c>
      <c r="E2528" s="1" t="s">
        <v>25</v>
      </c>
      <c r="F2528">
        <v>800</v>
      </c>
      <c r="G2528">
        <v>800</v>
      </c>
      <c r="H2528" s="1" t="s">
        <v>25</v>
      </c>
      <c r="I2528" s="1" t="s">
        <v>1528</v>
      </c>
      <c r="J2528" s="1" t="s">
        <v>25</v>
      </c>
      <c r="K2528" t="s">
        <v>25</v>
      </c>
      <c r="L2528">
        <v>-1.0754472385341018</v>
      </c>
      <c r="M2528" s="1" t="s">
        <v>23</v>
      </c>
      <c r="N2528" s="1" t="s">
        <v>230</v>
      </c>
      <c r="O2528" s="1" t="s">
        <v>25</v>
      </c>
      <c r="P2528" s="3" t="s">
        <v>25</v>
      </c>
      <c r="Q2528" s="37">
        <v>9.3020600000000009E-2</v>
      </c>
      <c r="R2528" s="1" t="s">
        <v>231</v>
      </c>
      <c r="S2528" s="13">
        <f t="shared" si="62"/>
        <v>-1.0754472385341018</v>
      </c>
    </row>
    <row r="2529" spans="1:19">
      <c r="A2529" s="18" t="s">
        <v>2225</v>
      </c>
      <c r="B2529" s="1" t="s">
        <v>2617</v>
      </c>
      <c r="C2529" s="1" t="s">
        <v>2635</v>
      </c>
      <c r="D2529" s="1" t="s">
        <v>2636</v>
      </c>
      <c r="E2529" s="1" t="s">
        <v>25</v>
      </c>
      <c r="F2529">
        <v>800</v>
      </c>
      <c r="G2529">
        <v>800</v>
      </c>
      <c r="H2529" s="1" t="s">
        <v>25</v>
      </c>
      <c r="I2529" s="1" t="s">
        <v>1528</v>
      </c>
      <c r="J2529" s="1" t="s">
        <v>25</v>
      </c>
      <c r="K2529" t="s">
        <v>25</v>
      </c>
      <c r="L2529">
        <v>-1.0638477181701067</v>
      </c>
      <c r="M2529" s="1" t="s">
        <v>23</v>
      </c>
      <c r="N2529" s="1" t="s">
        <v>230</v>
      </c>
      <c r="O2529" s="1" t="s">
        <v>25</v>
      </c>
      <c r="P2529" s="3" t="s">
        <v>25</v>
      </c>
      <c r="Q2529" s="37">
        <v>6.9778800000000002E-2</v>
      </c>
      <c r="R2529" s="1" t="s">
        <v>231</v>
      </c>
      <c r="S2529" s="13">
        <f t="shared" si="62"/>
        <v>-1.0638477181701067</v>
      </c>
    </row>
    <row r="2530" spans="1:19">
      <c r="A2530" s="18" t="s">
        <v>2225</v>
      </c>
      <c r="B2530" s="1" t="s">
        <v>2618</v>
      </c>
      <c r="C2530" s="1" t="s">
        <v>2635</v>
      </c>
      <c r="D2530" s="1" t="s">
        <v>2636</v>
      </c>
      <c r="E2530" s="1" t="s">
        <v>25</v>
      </c>
      <c r="F2530">
        <v>800</v>
      </c>
      <c r="G2530">
        <v>800</v>
      </c>
      <c r="H2530" s="1" t="s">
        <v>25</v>
      </c>
      <c r="I2530" s="1" t="s">
        <v>1528</v>
      </c>
      <c r="J2530" s="1" t="s">
        <v>25</v>
      </c>
      <c r="K2530" t="s">
        <v>25</v>
      </c>
      <c r="L2530">
        <v>-0.70005161273594307</v>
      </c>
      <c r="M2530" s="1" t="s">
        <v>23</v>
      </c>
      <c r="N2530" s="1" t="s">
        <v>230</v>
      </c>
      <c r="O2530" s="1" t="s">
        <v>25</v>
      </c>
      <c r="P2530" s="3" t="s">
        <v>25</v>
      </c>
      <c r="Q2530" s="37">
        <v>0.14003689999999999</v>
      </c>
      <c r="R2530" s="1" t="s">
        <v>231</v>
      </c>
      <c r="S2530" s="13">
        <f t="shared" si="62"/>
        <v>-0.70005161273594307</v>
      </c>
    </row>
    <row r="2531" spans="1:19">
      <c r="A2531" s="18" t="s">
        <v>2225</v>
      </c>
      <c r="B2531" s="1" t="s">
        <v>2619</v>
      </c>
      <c r="C2531" s="1" t="s">
        <v>2635</v>
      </c>
      <c r="D2531" s="1" t="s">
        <v>2636</v>
      </c>
      <c r="E2531" s="1" t="s">
        <v>25</v>
      </c>
      <c r="F2531">
        <v>800</v>
      </c>
      <c r="G2531">
        <v>800</v>
      </c>
      <c r="H2531" s="1" t="s">
        <v>25</v>
      </c>
      <c r="I2531" s="1" t="s">
        <v>1528</v>
      </c>
      <c r="J2531" s="1" t="s">
        <v>25</v>
      </c>
      <c r="K2531" t="s">
        <v>25</v>
      </c>
      <c r="L2531">
        <v>-0.92202151031185431</v>
      </c>
      <c r="M2531" s="1" t="s">
        <v>23</v>
      </c>
      <c r="N2531" s="1" t="s">
        <v>230</v>
      </c>
      <c r="O2531" s="1" t="s">
        <v>25</v>
      </c>
      <c r="P2531" s="3" t="s">
        <v>25</v>
      </c>
      <c r="Q2531" s="37">
        <v>7.8817700000000004E-2</v>
      </c>
      <c r="R2531" s="1" t="s">
        <v>231</v>
      </c>
      <c r="S2531" s="13">
        <f t="shared" si="62"/>
        <v>-0.92202151031185431</v>
      </c>
    </row>
    <row r="2532" spans="1:19">
      <c r="A2532" s="18" t="s">
        <v>2225</v>
      </c>
      <c r="B2532" s="1" t="s">
        <v>2620</v>
      </c>
      <c r="C2532" s="1" t="s">
        <v>2635</v>
      </c>
      <c r="D2532" s="1" t="s">
        <v>2636</v>
      </c>
      <c r="E2532" s="1" t="s">
        <v>25</v>
      </c>
      <c r="F2532">
        <v>800</v>
      </c>
      <c r="G2532">
        <v>800</v>
      </c>
      <c r="H2532" s="1" t="s">
        <v>25</v>
      </c>
      <c r="I2532" s="1" t="s">
        <v>1528</v>
      </c>
      <c r="J2532" s="1" t="s">
        <v>25</v>
      </c>
      <c r="K2532" t="s">
        <v>25</v>
      </c>
      <c r="L2532">
        <v>-1.2392934929241139</v>
      </c>
      <c r="M2532" s="1" t="s">
        <v>23</v>
      </c>
      <c r="N2532" s="1" t="s">
        <v>230</v>
      </c>
      <c r="O2532" s="1" t="s">
        <v>25</v>
      </c>
      <c r="P2532" s="3" t="s">
        <v>25</v>
      </c>
      <c r="Q2532" s="37">
        <v>0.1088032</v>
      </c>
      <c r="R2532" s="1" t="s">
        <v>231</v>
      </c>
      <c r="S2532" s="13">
        <f t="shared" si="62"/>
        <v>-1.2392934929241139</v>
      </c>
    </row>
    <row r="2533" spans="1:19">
      <c r="A2533" s="18" t="s">
        <v>2225</v>
      </c>
      <c r="B2533" s="1" t="s">
        <v>2621</v>
      </c>
      <c r="C2533" s="1" t="s">
        <v>2635</v>
      </c>
      <c r="D2533" s="1" t="s">
        <v>2636</v>
      </c>
      <c r="E2533" s="1" t="s">
        <v>25</v>
      </c>
      <c r="F2533">
        <v>800</v>
      </c>
      <c r="G2533">
        <v>800</v>
      </c>
      <c r="H2533" s="1" t="s">
        <v>25</v>
      </c>
      <c r="I2533" s="1" t="s">
        <v>1528</v>
      </c>
      <c r="J2533" s="1" t="s">
        <v>25</v>
      </c>
      <c r="K2533" t="s">
        <v>25</v>
      </c>
      <c r="L2533">
        <v>-0.89385499090688003</v>
      </c>
      <c r="M2533" s="1" t="s">
        <v>23</v>
      </c>
      <c r="N2533" s="1" t="s">
        <v>230</v>
      </c>
      <c r="O2533" s="1" t="s">
        <v>25</v>
      </c>
      <c r="P2533" s="3" t="s">
        <v>25</v>
      </c>
      <c r="Q2533" s="37">
        <v>0.1322325</v>
      </c>
      <c r="R2533" s="1" t="s">
        <v>231</v>
      </c>
      <c r="S2533" s="13">
        <f t="shared" si="62"/>
        <v>-0.89385499090688003</v>
      </c>
    </row>
    <row r="2534" spans="1:19">
      <c r="A2534" s="18" t="s">
        <v>2225</v>
      </c>
      <c r="B2534" s="1" t="s">
        <v>2622</v>
      </c>
      <c r="C2534" s="1" t="s">
        <v>2635</v>
      </c>
      <c r="D2534" s="1" t="s">
        <v>2636</v>
      </c>
      <c r="E2534" s="1" t="s">
        <v>25</v>
      </c>
      <c r="F2534">
        <v>800</v>
      </c>
      <c r="G2534">
        <v>800</v>
      </c>
      <c r="H2534" s="1" t="s">
        <v>25</v>
      </c>
      <c r="I2534" s="1" t="s">
        <v>1528</v>
      </c>
      <c r="J2534" s="1" t="s">
        <v>25</v>
      </c>
      <c r="K2534" t="s">
        <v>25</v>
      </c>
      <c r="L2534">
        <v>-0.93797721053050487</v>
      </c>
      <c r="M2534" s="1" t="s">
        <v>23</v>
      </c>
      <c r="N2534" s="1" t="s">
        <v>230</v>
      </c>
      <c r="O2534" s="1" t="s">
        <v>25</v>
      </c>
      <c r="P2534" s="3" t="s">
        <v>25</v>
      </c>
      <c r="Q2534" s="37">
        <v>5.4646500000000008E-2</v>
      </c>
      <c r="R2534" s="1" t="s">
        <v>231</v>
      </c>
      <c r="S2534" s="13">
        <f t="shared" si="62"/>
        <v>-0.93797721053050487</v>
      </c>
    </row>
    <row r="2535" spans="1:19">
      <c r="A2535" s="18" t="s">
        <v>2225</v>
      </c>
      <c r="B2535" s="1" t="s">
        <v>2623</v>
      </c>
      <c r="C2535" s="1" t="s">
        <v>2635</v>
      </c>
      <c r="D2535" s="1" t="s">
        <v>2636</v>
      </c>
      <c r="E2535" s="1" t="s">
        <v>25</v>
      </c>
      <c r="F2535">
        <v>800</v>
      </c>
      <c r="G2535">
        <v>800</v>
      </c>
      <c r="H2535" s="1" t="s">
        <v>25</v>
      </c>
      <c r="I2535" s="1" t="s">
        <v>1528</v>
      </c>
      <c r="J2535" s="1" t="s">
        <v>25</v>
      </c>
      <c r="K2535" t="s">
        <v>25</v>
      </c>
      <c r="L2535">
        <v>-0.90959975244388458</v>
      </c>
      <c r="M2535" s="1" t="s">
        <v>23</v>
      </c>
      <c r="N2535" s="1" t="s">
        <v>230</v>
      </c>
      <c r="O2535" s="1" t="s">
        <v>25</v>
      </c>
      <c r="P2535" s="3" t="s">
        <v>25</v>
      </c>
      <c r="Q2535" s="37">
        <v>8.3939899999999998E-2</v>
      </c>
      <c r="R2535" s="1" t="s">
        <v>231</v>
      </c>
      <c r="S2535" s="13">
        <f t="shared" si="62"/>
        <v>-0.90959975244388458</v>
      </c>
    </row>
    <row r="2536" spans="1:19">
      <c r="A2536" s="18" t="s">
        <v>2225</v>
      </c>
      <c r="B2536" s="1" t="s">
        <v>2624</v>
      </c>
      <c r="C2536" s="1" t="s">
        <v>2635</v>
      </c>
      <c r="D2536" s="1" t="s">
        <v>2636</v>
      </c>
      <c r="E2536" s="1" t="s">
        <v>25</v>
      </c>
      <c r="F2536">
        <v>800</v>
      </c>
      <c r="G2536">
        <v>800</v>
      </c>
      <c r="H2536" s="1" t="s">
        <v>25</v>
      </c>
      <c r="I2536" s="1" t="s">
        <v>1528</v>
      </c>
      <c r="J2536" s="1" t="s">
        <v>25</v>
      </c>
      <c r="K2536" t="s">
        <v>25</v>
      </c>
      <c r="L2536">
        <v>-1.0414741709928361</v>
      </c>
      <c r="M2536" s="1" t="s">
        <v>23</v>
      </c>
      <c r="N2536" s="1" t="s">
        <v>230</v>
      </c>
      <c r="O2536" s="1" t="s">
        <v>25</v>
      </c>
      <c r="P2536" s="3" t="s">
        <v>25</v>
      </c>
      <c r="Q2536" s="37">
        <v>0.1061107</v>
      </c>
      <c r="R2536" s="1" t="s">
        <v>231</v>
      </c>
      <c r="S2536" s="13">
        <f t="shared" si="62"/>
        <v>-1.0414741709928361</v>
      </c>
    </row>
    <row r="2537" spans="1:19">
      <c r="A2537" s="18" t="s">
        <v>2225</v>
      </c>
      <c r="B2537" s="1" t="s">
        <v>2625</v>
      </c>
      <c r="C2537" s="1" t="s">
        <v>2635</v>
      </c>
      <c r="D2537" s="1" t="s">
        <v>2636</v>
      </c>
      <c r="E2537" s="1" t="s">
        <v>25</v>
      </c>
      <c r="F2537">
        <v>800</v>
      </c>
      <c r="G2537">
        <v>800</v>
      </c>
      <c r="H2537" s="1" t="s">
        <v>25</v>
      </c>
      <c r="I2537" s="1" t="s">
        <v>1528</v>
      </c>
      <c r="J2537" s="1" t="s">
        <v>25</v>
      </c>
      <c r="K2537" t="s">
        <v>25</v>
      </c>
      <c r="L2537">
        <v>-0.99719542179493559</v>
      </c>
      <c r="M2537" s="1" t="s">
        <v>23</v>
      </c>
      <c r="N2537" s="1" t="s">
        <v>230</v>
      </c>
      <c r="O2537" s="1" t="s">
        <v>25</v>
      </c>
      <c r="P2537" s="3" t="s">
        <v>25</v>
      </c>
      <c r="Q2537" s="37">
        <v>5.7674200000000002E-2</v>
      </c>
      <c r="R2537" s="1" t="s">
        <v>231</v>
      </c>
      <c r="S2537" s="13">
        <f t="shared" si="62"/>
        <v>-0.99719542179493559</v>
      </c>
    </row>
    <row r="2538" spans="1:19">
      <c r="A2538" s="18" t="s">
        <v>2225</v>
      </c>
      <c r="B2538" s="1" t="s">
        <v>2626</v>
      </c>
      <c r="C2538" s="1" t="s">
        <v>2635</v>
      </c>
      <c r="D2538" s="1" t="s">
        <v>2636</v>
      </c>
      <c r="E2538" s="1" t="s">
        <v>25</v>
      </c>
      <c r="F2538">
        <v>800</v>
      </c>
      <c r="G2538">
        <v>800</v>
      </c>
      <c r="H2538" s="1" t="s">
        <v>25</v>
      </c>
      <c r="I2538" s="1" t="s">
        <v>1528</v>
      </c>
      <c r="J2538" s="1" t="s">
        <v>25</v>
      </c>
      <c r="K2538" t="s">
        <v>25</v>
      </c>
      <c r="L2538">
        <v>-1.1164584176280179</v>
      </c>
      <c r="M2538" s="1" t="s">
        <v>23</v>
      </c>
      <c r="N2538" s="1" t="s">
        <v>230</v>
      </c>
      <c r="O2538" s="1" t="s">
        <v>25</v>
      </c>
      <c r="P2538" s="3" t="s">
        <v>25</v>
      </c>
      <c r="Q2538" s="37">
        <v>9.3119400000000005E-2</v>
      </c>
      <c r="R2538" s="1" t="s">
        <v>231</v>
      </c>
      <c r="S2538" s="13">
        <f t="shared" si="62"/>
        <v>-1.1164584176280179</v>
      </c>
    </row>
    <row r="2539" spans="1:19">
      <c r="A2539" s="18" t="s">
        <v>2225</v>
      </c>
      <c r="B2539" s="1" t="s">
        <v>2627</v>
      </c>
      <c r="C2539" s="1" t="s">
        <v>2635</v>
      </c>
      <c r="D2539" s="1" t="s">
        <v>2636</v>
      </c>
      <c r="E2539" s="1" t="s">
        <v>25</v>
      </c>
      <c r="F2539">
        <v>800</v>
      </c>
      <c r="G2539">
        <v>800</v>
      </c>
      <c r="H2539" s="1" t="s">
        <v>25</v>
      </c>
      <c r="I2539" s="1" t="s">
        <v>1528</v>
      </c>
      <c r="J2539" s="1" t="s">
        <v>25</v>
      </c>
      <c r="K2539" t="s">
        <v>25</v>
      </c>
      <c r="L2539">
        <v>-0.46421345180603624</v>
      </c>
      <c r="M2539" s="1" t="s">
        <v>23</v>
      </c>
      <c r="N2539" s="1" t="s">
        <v>230</v>
      </c>
      <c r="O2539" s="1" t="s">
        <v>25</v>
      </c>
      <c r="P2539" s="3" t="s">
        <v>25</v>
      </c>
      <c r="Q2539" s="37">
        <v>0.12572929999999999</v>
      </c>
      <c r="R2539" s="1" t="s">
        <v>231</v>
      </c>
      <c r="S2539" s="13">
        <f t="shared" si="62"/>
        <v>-0.46421345180603624</v>
      </c>
    </row>
    <row r="2540" spans="1:19">
      <c r="A2540" s="18" t="s">
        <v>2225</v>
      </c>
      <c r="B2540" s="1" t="s">
        <v>2628</v>
      </c>
      <c r="C2540" s="1" t="s">
        <v>2635</v>
      </c>
      <c r="D2540" s="1" t="s">
        <v>2636</v>
      </c>
      <c r="E2540" s="1" t="s">
        <v>25</v>
      </c>
      <c r="F2540">
        <v>800</v>
      </c>
      <c r="G2540">
        <v>800</v>
      </c>
      <c r="H2540" s="1" t="s">
        <v>25</v>
      </c>
      <c r="I2540" s="1" t="s">
        <v>1528</v>
      </c>
      <c r="J2540" s="1" t="s">
        <v>25</v>
      </c>
      <c r="K2540" t="s">
        <v>25</v>
      </c>
      <c r="L2540">
        <v>-1.1526078555336567</v>
      </c>
      <c r="M2540" s="1" t="s">
        <v>23</v>
      </c>
      <c r="N2540" s="1" t="s">
        <v>230</v>
      </c>
      <c r="O2540" s="1" t="s">
        <v>25</v>
      </c>
      <c r="P2540" s="3" t="s">
        <v>25</v>
      </c>
      <c r="Q2540" s="37">
        <v>0.142343</v>
      </c>
      <c r="R2540" s="1" t="s">
        <v>231</v>
      </c>
      <c r="S2540" s="13">
        <f t="shared" ref="S2540:S2603" si="63">IF(NOT(N2540="SW"),L2540-1.88,L2540)</f>
        <v>-1.1526078555336567</v>
      </c>
    </row>
    <row r="2541" spans="1:19">
      <c r="A2541" s="18" t="s">
        <v>2225</v>
      </c>
      <c r="B2541" s="1" t="s">
        <v>2629</v>
      </c>
      <c r="C2541" s="1" t="s">
        <v>2635</v>
      </c>
      <c r="D2541" s="1" t="s">
        <v>2636</v>
      </c>
      <c r="E2541" s="1" t="s">
        <v>25</v>
      </c>
      <c r="F2541">
        <v>800</v>
      </c>
      <c r="G2541">
        <v>800</v>
      </c>
      <c r="H2541" s="1" t="s">
        <v>25</v>
      </c>
      <c r="I2541" s="1" t="s">
        <v>1528</v>
      </c>
      <c r="J2541" s="1" t="s">
        <v>25</v>
      </c>
      <c r="K2541" t="s">
        <v>25</v>
      </c>
      <c r="L2541">
        <v>-0.88840847515710397</v>
      </c>
      <c r="M2541" s="1" t="s">
        <v>23</v>
      </c>
      <c r="N2541" s="1" t="s">
        <v>230</v>
      </c>
      <c r="O2541" s="1" t="s">
        <v>25</v>
      </c>
      <c r="P2541" s="3" t="s">
        <v>25</v>
      </c>
      <c r="Q2541" s="37">
        <v>6.3665200000000005E-2</v>
      </c>
      <c r="R2541" s="1" t="s">
        <v>231</v>
      </c>
      <c r="S2541" s="13">
        <f t="shared" si="63"/>
        <v>-0.88840847515710397</v>
      </c>
    </row>
    <row r="2542" spans="1:19">
      <c r="A2542" s="18" t="s">
        <v>2225</v>
      </c>
      <c r="B2542" s="1" t="s">
        <v>2630</v>
      </c>
      <c r="C2542" s="1" t="s">
        <v>2635</v>
      </c>
      <c r="D2542" s="1" t="s">
        <v>2636</v>
      </c>
      <c r="E2542" s="1" t="s">
        <v>25</v>
      </c>
      <c r="F2542">
        <v>800</v>
      </c>
      <c r="G2542">
        <v>800</v>
      </c>
      <c r="H2542" s="1" t="s">
        <v>25</v>
      </c>
      <c r="I2542" s="1" t="s">
        <v>1528</v>
      </c>
      <c r="J2542" s="1" t="s">
        <v>25</v>
      </c>
      <c r="K2542" t="s">
        <v>25</v>
      </c>
      <c r="L2542">
        <v>-0.74609854424648991</v>
      </c>
      <c r="M2542" s="1" t="s">
        <v>23</v>
      </c>
      <c r="N2542" s="1" t="s">
        <v>230</v>
      </c>
      <c r="O2542" s="1" t="s">
        <v>25</v>
      </c>
      <c r="P2542" s="3" t="s">
        <v>25</v>
      </c>
      <c r="Q2542" s="37">
        <v>0.18264539999999999</v>
      </c>
      <c r="R2542" s="1" t="s">
        <v>231</v>
      </c>
      <c r="S2542" s="13">
        <f t="shared" si="63"/>
        <v>-0.74609854424648991</v>
      </c>
    </row>
    <row r="2543" spans="1:19">
      <c r="A2543" s="18" t="s">
        <v>2225</v>
      </c>
      <c r="B2543" s="1" t="s">
        <v>2631</v>
      </c>
      <c r="C2543" s="1" t="s">
        <v>2635</v>
      </c>
      <c r="D2543" s="1" t="s">
        <v>2636</v>
      </c>
      <c r="E2543" s="1" t="s">
        <v>25</v>
      </c>
      <c r="F2543">
        <v>800</v>
      </c>
      <c r="G2543">
        <v>800</v>
      </c>
      <c r="H2543" s="1" t="s">
        <v>25</v>
      </c>
      <c r="I2543" s="1" t="s">
        <v>1528</v>
      </c>
      <c r="J2543" s="1" t="s">
        <v>25</v>
      </c>
      <c r="K2543" t="s">
        <v>25</v>
      </c>
      <c r="L2543">
        <v>-0.58834589511473534</v>
      </c>
      <c r="M2543" s="1" t="s">
        <v>23</v>
      </c>
      <c r="N2543" s="1" t="s">
        <v>230</v>
      </c>
      <c r="O2543" s="1" t="s">
        <v>25</v>
      </c>
      <c r="P2543" s="3" t="s">
        <v>25</v>
      </c>
      <c r="Q2543" s="37">
        <v>0.1141142</v>
      </c>
      <c r="R2543" s="1" t="s">
        <v>231</v>
      </c>
      <c r="S2543" s="13">
        <f t="shared" si="63"/>
        <v>-0.58834589511473534</v>
      </c>
    </row>
    <row r="2544" spans="1:19">
      <c r="A2544" s="18" t="s">
        <v>2225</v>
      </c>
      <c r="B2544" s="1" t="s">
        <v>2632</v>
      </c>
      <c r="C2544" s="1" t="s">
        <v>2635</v>
      </c>
      <c r="D2544" s="1" t="s">
        <v>2636</v>
      </c>
      <c r="E2544" s="1" t="s">
        <v>25</v>
      </c>
      <c r="F2544">
        <v>800</v>
      </c>
      <c r="G2544">
        <v>800</v>
      </c>
      <c r="H2544" s="1" t="s">
        <v>25</v>
      </c>
      <c r="I2544" s="1" t="s">
        <v>1528</v>
      </c>
      <c r="J2544" s="1" t="s">
        <v>25</v>
      </c>
      <c r="K2544" t="s">
        <v>25</v>
      </c>
      <c r="L2544">
        <v>-0.99595266300008911</v>
      </c>
      <c r="M2544" s="1" t="s">
        <v>23</v>
      </c>
      <c r="N2544" s="1" t="s">
        <v>230</v>
      </c>
      <c r="O2544" s="1" t="s">
        <v>25</v>
      </c>
      <c r="P2544" s="3" t="s">
        <v>25</v>
      </c>
      <c r="Q2544" s="37">
        <v>0.2720438</v>
      </c>
      <c r="R2544" s="1" t="s">
        <v>231</v>
      </c>
      <c r="S2544" s="13">
        <f t="shared" si="63"/>
        <v>-0.99595266300008911</v>
      </c>
    </row>
    <row r="2545" spans="1:19">
      <c r="A2545" s="18" t="s">
        <v>2225</v>
      </c>
      <c r="B2545" s="1" t="s">
        <v>2633</v>
      </c>
      <c r="C2545" s="1" t="s">
        <v>2635</v>
      </c>
      <c r="D2545" s="1" t="s">
        <v>2636</v>
      </c>
      <c r="E2545" s="1" t="s">
        <v>25</v>
      </c>
      <c r="F2545">
        <v>800</v>
      </c>
      <c r="G2545">
        <v>800</v>
      </c>
      <c r="H2545" s="1" t="s">
        <v>25</v>
      </c>
      <c r="I2545" s="1" t="s">
        <v>1528</v>
      </c>
      <c r="J2545" s="1" t="s">
        <v>25</v>
      </c>
      <c r="K2545" t="s">
        <v>25</v>
      </c>
      <c r="L2545">
        <v>-0.72882012555830744</v>
      </c>
      <c r="M2545" s="1" t="s">
        <v>23</v>
      </c>
      <c r="N2545" s="1" t="s">
        <v>230</v>
      </c>
      <c r="O2545" s="1" t="s">
        <v>25</v>
      </c>
      <c r="P2545" s="3" t="s">
        <v>25</v>
      </c>
      <c r="Q2545" s="37">
        <v>0.1323406</v>
      </c>
      <c r="R2545" s="1" t="s">
        <v>231</v>
      </c>
      <c r="S2545" s="13">
        <f t="shared" si="63"/>
        <v>-0.72882012555830744</v>
      </c>
    </row>
    <row r="2546" spans="1:19">
      <c r="A2546" s="18" t="s">
        <v>2225</v>
      </c>
      <c r="B2546" s="1" t="s">
        <v>2634</v>
      </c>
      <c r="C2546" s="1" t="s">
        <v>2635</v>
      </c>
      <c r="D2546" s="1" t="s">
        <v>2636</v>
      </c>
      <c r="E2546" s="1" t="s">
        <v>25</v>
      </c>
      <c r="F2546">
        <v>800</v>
      </c>
      <c r="G2546">
        <v>800</v>
      </c>
      <c r="H2546" s="1" t="s">
        <v>25</v>
      </c>
      <c r="I2546" s="1" t="s">
        <v>1528</v>
      </c>
      <c r="J2546" s="1" t="s">
        <v>25</v>
      </c>
      <c r="K2546" t="s">
        <v>25</v>
      </c>
      <c r="L2546">
        <v>-0.86518480216043447</v>
      </c>
      <c r="M2546" s="1" t="s">
        <v>23</v>
      </c>
      <c r="N2546" s="1" t="s">
        <v>230</v>
      </c>
      <c r="O2546" s="1" t="s">
        <v>25</v>
      </c>
      <c r="P2546" s="3" t="s">
        <v>25</v>
      </c>
      <c r="Q2546" s="37">
        <v>0.17778679999999999</v>
      </c>
      <c r="R2546" s="1" t="s">
        <v>231</v>
      </c>
      <c r="S2546" s="13">
        <f t="shared" si="63"/>
        <v>-0.86518480216043447</v>
      </c>
    </row>
    <row r="2547" spans="1:19">
      <c r="A2547" s="18" t="s">
        <v>2225</v>
      </c>
      <c r="B2547" s="1" t="s">
        <v>2637</v>
      </c>
      <c r="C2547" s="1" t="s">
        <v>2674</v>
      </c>
      <c r="D2547" s="1" t="s">
        <v>2675</v>
      </c>
      <c r="E2547" s="1" t="s">
        <v>25</v>
      </c>
      <c r="F2547">
        <v>750</v>
      </c>
      <c r="G2547">
        <v>750</v>
      </c>
      <c r="H2547" s="1" t="s">
        <v>25</v>
      </c>
      <c r="I2547" s="1" t="s">
        <v>1528</v>
      </c>
      <c r="J2547" s="1" t="s">
        <v>25</v>
      </c>
      <c r="K2547" t="s">
        <v>25</v>
      </c>
      <c r="L2547">
        <v>-1.2175213226429327</v>
      </c>
      <c r="M2547" s="1" t="s">
        <v>23</v>
      </c>
      <c r="N2547" s="1" t="s">
        <v>230</v>
      </c>
      <c r="O2547" s="1" t="s">
        <v>25</v>
      </c>
      <c r="P2547" s="3" t="s">
        <v>25</v>
      </c>
      <c r="Q2547" s="37">
        <v>0.32457744919429488</v>
      </c>
      <c r="R2547" s="1" t="s">
        <v>231</v>
      </c>
      <c r="S2547" s="13">
        <f t="shared" si="63"/>
        <v>-1.2175213226429327</v>
      </c>
    </row>
    <row r="2548" spans="1:19">
      <c r="A2548" s="18" t="s">
        <v>2225</v>
      </c>
      <c r="B2548" s="1" t="s">
        <v>2638</v>
      </c>
      <c r="C2548" s="1" t="s">
        <v>2674</v>
      </c>
      <c r="D2548" s="1" t="s">
        <v>2675</v>
      </c>
      <c r="E2548" s="1" t="s">
        <v>25</v>
      </c>
      <c r="F2548">
        <v>750</v>
      </c>
      <c r="G2548">
        <v>750</v>
      </c>
      <c r="H2548" s="1" t="s">
        <v>25</v>
      </c>
      <c r="I2548" s="1" t="s">
        <v>1528</v>
      </c>
      <c r="J2548" s="1" t="s">
        <v>25</v>
      </c>
      <c r="K2548" t="s">
        <v>25</v>
      </c>
      <c r="L2548">
        <v>-1.2614730503674083</v>
      </c>
      <c r="M2548" s="1" t="s">
        <v>23</v>
      </c>
      <c r="N2548" s="1" t="s">
        <v>230</v>
      </c>
      <c r="O2548" s="1" t="s">
        <v>25</v>
      </c>
      <c r="P2548" s="3" t="s">
        <v>25</v>
      </c>
      <c r="Q2548" s="37">
        <v>0.17288944684670499</v>
      </c>
      <c r="R2548" s="1" t="s">
        <v>231</v>
      </c>
      <c r="S2548" s="13">
        <f t="shared" si="63"/>
        <v>-1.2614730503674083</v>
      </c>
    </row>
    <row r="2549" spans="1:19">
      <c r="A2549" s="18" t="s">
        <v>2225</v>
      </c>
      <c r="B2549" s="1" t="s">
        <v>2639</v>
      </c>
      <c r="C2549" s="1" t="s">
        <v>2674</v>
      </c>
      <c r="D2549" s="1" t="s">
        <v>2675</v>
      </c>
      <c r="E2549" s="1" t="s">
        <v>25</v>
      </c>
      <c r="F2549">
        <v>750</v>
      </c>
      <c r="G2549">
        <v>750</v>
      </c>
      <c r="H2549" s="1" t="s">
        <v>25</v>
      </c>
      <c r="I2549" s="1" t="s">
        <v>1528</v>
      </c>
      <c r="J2549" s="1" t="s">
        <v>25</v>
      </c>
      <c r="K2549" t="s">
        <v>25</v>
      </c>
      <c r="L2549">
        <v>-1.1094366531756568</v>
      </c>
      <c r="M2549" s="1" t="s">
        <v>23</v>
      </c>
      <c r="N2549" s="1" t="s">
        <v>230</v>
      </c>
      <c r="O2549" s="1" t="s">
        <v>25</v>
      </c>
      <c r="P2549" s="3" t="s">
        <v>25</v>
      </c>
      <c r="Q2549" s="37">
        <v>0.28105303730166792</v>
      </c>
      <c r="R2549" s="1" t="s">
        <v>231</v>
      </c>
      <c r="S2549" s="13">
        <f t="shared" si="63"/>
        <v>-1.1094366531756568</v>
      </c>
    </row>
    <row r="2550" spans="1:19">
      <c r="A2550" s="18" t="s">
        <v>2225</v>
      </c>
      <c r="B2550" s="1" t="s">
        <v>2640</v>
      </c>
      <c r="C2550" s="1" t="s">
        <v>2674</v>
      </c>
      <c r="D2550" s="1" t="s">
        <v>2675</v>
      </c>
      <c r="E2550" s="1" t="s">
        <v>25</v>
      </c>
      <c r="F2550">
        <v>750</v>
      </c>
      <c r="G2550">
        <v>750</v>
      </c>
      <c r="H2550" s="1" t="s">
        <v>25</v>
      </c>
      <c r="I2550" s="1" t="s">
        <v>1528</v>
      </c>
      <c r="J2550" s="1" t="s">
        <v>25</v>
      </c>
      <c r="K2550" t="s">
        <v>25</v>
      </c>
      <c r="L2550">
        <v>-1.2664886599101439</v>
      </c>
      <c r="M2550" s="1" t="s">
        <v>23</v>
      </c>
      <c r="N2550" s="1" t="s">
        <v>230</v>
      </c>
      <c r="O2550" s="1" t="s">
        <v>25</v>
      </c>
      <c r="P2550" s="3" t="s">
        <v>25</v>
      </c>
      <c r="Q2550" s="37">
        <v>0.28137683568339378</v>
      </c>
      <c r="R2550" s="1" t="s">
        <v>231</v>
      </c>
      <c r="S2550" s="13">
        <f t="shared" si="63"/>
        <v>-1.2664886599101439</v>
      </c>
    </row>
    <row r="2551" spans="1:19">
      <c r="A2551" s="18" t="s">
        <v>2225</v>
      </c>
      <c r="B2551" s="1" t="s">
        <v>2641</v>
      </c>
      <c r="C2551" s="1" t="s">
        <v>2674</v>
      </c>
      <c r="D2551" s="1" t="s">
        <v>2675</v>
      </c>
      <c r="E2551" s="1" t="s">
        <v>25</v>
      </c>
      <c r="F2551">
        <v>750</v>
      </c>
      <c r="G2551">
        <v>750</v>
      </c>
      <c r="H2551" s="1" t="s">
        <v>25</v>
      </c>
      <c r="I2551" s="1" t="s">
        <v>1528</v>
      </c>
      <c r="J2551" s="1" t="s">
        <v>25</v>
      </c>
      <c r="K2551" t="s">
        <v>25</v>
      </c>
      <c r="L2551">
        <v>-1.0623979201430618</v>
      </c>
      <c r="M2551" s="1" t="s">
        <v>23</v>
      </c>
      <c r="N2551" s="1" t="s">
        <v>230</v>
      </c>
      <c r="O2551" s="1" t="s">
        <v>25</v>
      </c>
      <c r="P2551" s="3" t="s">
        <v>25</v>
      </c>
      <c r="Q2551" s="37">
        <v>0.70391309587312589</v>
      </c>
      <c r="R2551" s="1" t="s">
        <v>231</v>
      </c>
      <c r="S2551" s="13">
        <f t="shared" si="63"/>
        <v>-1.0623979201430618</v>
      </c>
    </row>
    <row r="2552" spans="1:19">
      <c r="A2552" s="18" t="s">
        <v>2225</v>
      </c>
      <c r="B2552" s="1" t="s">
        <v>2642</v>
      </c>
      <c r="C2552" s="1" t="s">
        <v>2674</v>
      </c>
      <c r="D2552" s="1" t="s">
        <v>2675</v>
      </c>
      <c r="E2552" s="1" t="s">
        <v>25</v>
      </c>
      <c r="F2552">
        <v>750</v>
      </c>
      <c r="G2552">
        <v>750</v>
      </c>
      <c r="H2552" s="1" t="s">
        <v>25</v>
      </c>
      <c r="I2552" s="1" t="s">
        <v>1528</v>
      </c>
      <c r="J2552" s="1" t="s">
        <v>25</v>
      </c>
      <c r="K2552" t="s">
        <v>25</v>
      </c>
      <c r="L2552">
        <v>-1.1207631038909693</v>
      </c>
      <c r="M2552" s="1" t="s">
        <v>23</v>
      </c>
      <c r="N2552" s="1" t="s">
        <v>230</v>
      </c>
      <c r="O2552" s="1" t="s">
        <v>25</v>
      </c>
      <c r="P2552" s="3" t="s">
        <v>25</v>
      </c>
      <c r="Q2552" s="37">
        <v>0.35312446127928393</v>
      </c>
      <c r="R2552" s="1" t="s">
        <v>231</v>
      </c>
      <c r="S2552" s="13">
        <f t="shared" si="63"/>
        <v>-1.1207631038909693</v>
      </c>
    </row>
    <row r="2553" spans="1:19">
      <c r="A2553" s="18" t="s">
        <v>2225</v>
      </c>
      <c r="B2553" s="1" t="s">
        <v>2643</v>
      </c>
      <c r="C2553" s="1" t="s">
        <v>2674</v>
      </c>
      <c r="D2553" s="1" t="s">
        <v>2675</v>
      </c>
      <c r="E2553" s="1" t="s">
        <v>25</v>
      </c>
      <c r="F2553">
        <v>750</v>
      </c>
      <c r="G2553">
        <v>750</v>
      </c>
      <c r="H2553" s="1" t="s">
        <v>25</v>
      </c>
      <c r="I2553" s="1" t="s">
        <v>1528</v>
      </c>
      <c r="J2553" s="1" t="s">
        <v>25</v>
      </c>
      <c r="K2553" t="s">
        <v>25</v>
      </c>
      <c r="L2553">
        <v>-0.79160566139853294</v>
      </c>
      <c r="M2553" s="1" t="s">
        <v>23</v>
      </c>
      <c r="N2553" s="1" t="s">
        <v>230</v>
      </c>
      <c r="O2553" s="1" t="s">
        <v>25</v>
      </c>
      <c r="P2553" s="3" t="s">
        <v>25</v>
      </c>
      <c r="Q2553" s="37" t="s">
        <v>25</v>
      </c>
      <c r="R2553" s="1" t="s">
        <v>25</v>
      </c>
      <c r="S2553" s="13">
        <f t="shared" si="63"/>
        <v>-0.79160566139853294</v>
      </c>
    </row>
    <row r="2554" spans="1:19">
      <c r="A2554" s="18" t="s">
        <v>2225</v>
      </c>
      <c r="B2554" s="1" t="s">
        <v>2644</v>
      </c>
      <c r="C2554" s="1" t="s">
        <v>2674</v>
      </c>
      <c r="D2554" s="1" t="s">
        <v>2675</v>
      </c>
      <c r="E2554" s="1" t="s">
        <v>25</v>
      </c>
      <c r="F2554">
        <v>750</v>
      </c>
      <c r="G2554">
        <v>750</v>
      </c>
      <c r="H2554" s="1" t="s">
        <v>25</v>
      </c>
      <c r="I2554" s="1" t="s">
        <v>1528</v>
      </c>
      <c r="J2554" s="1" t="s">
        <v>25</v>
      </c>
      <c r="K2554" t="s">
        <v>25</v>
      </c>
      <c r="L2554">
        <v>-1.1081392438688848</v>
      </c>
      <c r="M2554" s="1" t="s">
        <v>23</v>
      </c>
      <c r="N2554" s="1" t="s">
        <v>230</v>
      </c>
      <c r="O2554" s="1" t="s">
        <v>25</v>
      </c>
      <c r="P2554" s="3" t="s">
        <v>25</v>
      </c>
      <c r="Q2554" s="37">
        <v>2.8763944227169822</v>
      </c>
      <c r="R2554" s="1" t="s">
        <v>231</v>
      </c>
      <c r="S2554" s="13">
        <f t="shared" si="63"/>
        <v>-1.1081392438688848</v>
      </c>
    </row>
    <row r="2555" spans="1:19">
      <c r="A2555" s="18" t="s">
        <v>2225</v>
      </c>
      <c r="B2555" s="1" t="s">
        <v>2645</v>
      </c>
      <c r="C2555" s="1" t="s">
        <v>2674</v>
      </c>
      <c r="D2555" s="1" t="s">
        <v>2675</v>
      </c>
      <c r="E2555" s="1" t="s">
        <v>25</v>
      </c>
      <c r="F2555">
        <v>750</v>
      </c>
      <c r="G2555">
        <v>750</v>
      </c>
      <c r="H2555" s="1" t="s">
        <v>25</v>
      </c>
      <c r="I2555" s="1" t="s">
        <v>1528</v>
      </c>
      <c r="J2555" s="1" t="s">
        <v>25</v>
      </c>
      <c r="K2555" t="s">
        <v>25</v>
      </c>
      <c r="L2555">
        <v>-1.330695116102439</v>
      </c>
      <c r="M2555" s="1" t="s">
        <v>23</v>
      </c>
      <c r="N2555" s="1" t="s">
        <v>230</v>
      </c>
      <c r="O2555" s="1" t="s">
        <v>25</v>
      </c>
      <c r="P2555" s="3" t="s">
        <v>25</v>
      </c>
      <c r="Q2555" s="37">
        <v>1.3012911260902731</v>
      </c>
      <c r="R2555" s="1" t="s">
        <v>231</v>
      </c>
      <c r="S2555" s="13">
        <f t="shared" si="63"/>
        <v>-1.330695116102439</v>
      </c>
    </row>
    <row r="2556" spans="1:19">
      <c r="A2556" s="18" t="s">
        <v>2225</v>
      </c>
      <c r="B2556" s="1" t="s">
        <v>2646</v>
      </c>
      <c r="C2556" s="1" t="s">
        <v>2674</v>
      </c>
      <c r="D2556" s="1" t="s">
        <v>2675</v>
      </c>
      <c r="E2556" s="1" t="s">
        <v>25</v>
      </c>
      <c r="F2556">
        <v>750</v>
      </c>
      <c r="G2556">
        <v>750</v>
      </c>
      <c r="H2556" s="1" t="s">
        <v>25</v>
      </c>
      <c r="I2556" s="1" t="s">
        <v>1528</v>
      </c>
      <c r="J2556" s="1" t="s">
        <v>25</v>
      </c>
      <c r="K2556" t="s">
        <v>25</v>
      </c>
      <c r="L2556">
        <v>-1.1065604780478151</v>
      </c>
      <c r="M2556" s="1" t="s">
        <v>23</v>
      </c>
      <c r="N2556" s="1" t="s">
        <v>230</v>
      </c>
      <c r="O2556" s="1" t="s">
        <v>25</v>
      </c>
      <c r="P2556" s="3" t="s">
        <v>25</v>
      </c>
      <c r="Q2556" s="37">
        <v>1.6710429986483064</v>
      </c>
      <c r="R2556" s="1" t="s">
        <v>231</v>
      </c>
      <c r="S2556" s="13">
        <f t="shared" si="63"/>
        <v>-1.1065604780478151</v>
      </c>
    </row>
    <row r="2557" spans="1:19">
      <c r="A2557" s="18" t="s">
        <v>2225</v>
      </c>
      <c r="B2557" s="1" t="s">
        <v>2647</v>
      </c>
      <c r="C2557" s="1" t="s">
        <v>2674</v>
      </c>
      <c r="D2557" s="1" t="s">
        <v>2675</v>
      </c>
      <c r="E2557" s="1" t="s">
        <v>25</v>
      </c>
      <c r="F2557">
        <v>750</v>
      </c>
      <c r="G2557">
        <v>750</v>
      </c>
      <c r="H2557" s="1" t="s">
        <v>25</v>
      </c>
      <c r="I2557" s="1" t="s">
        <v>1528</v>
      </c>
      <c r="J2557" s="1" t="s">
        <v>25</v>
      </c>
      <c r="K2557" t="s">
        <v>25</v>
      </c>
      <c r="L2557">
        <v>-1.2353796127953554</v>
      </c>
      <c r="M2557" s="1" t="s">
        <v>23</v>
      </c>
      <c r="N2557" s="1" t="s">
        <v>230</v>
      </c>
      <c r="O2557" s="1" t="s">
        <v>25</v>
      </c>
      <c r="P2557" s="3" t="s">
        <v>25</v>
      </c>
      <c r="Q2557" s="37">
        <v>2.5209985625952696</v>
      </c>
      <c r="R2557" s="1" t="s">
        <v>231</v>
      </c>
      <c r="S2557" s="13">
        <f t="shared" si="63"/>
        <v>-1.2353796127953554</v>
      </c>
    </row>
    <row r="2558" spans="1:19">
      <c r="A2558" s="18" t="s">
        <v>2225</v>
      </c>
      <c r="B2558" s="1" t="s">
        <v>2648</v>
      </c>
      <c r="C2558" s="1" t="s">
        <v>2674</v>
      </c>
      <c r="D2558" s="1" t="s">
        <v>2675</v>
      </c>
      <c r="E2558" s="1" t="s">
        <v>25</v>
      </c>
      <c r="F2558">
        <v>750</v>
      </c>
      <c r="G2558">
        <v>750</v>
      </c>
      <c r="H2558" s="1" t="s">
        <v>25</v>
      </c>
      <c r="I2558" s="1" t="s">
        <v>1528</v>
      </c>
      <c r="J2558" s="1" t="s">
        <v>25</v>
      </c>
      <c r="K2558" t="s">
        <v>25</v>
      </c>
      <c r="L2558">
        <v>-1.0601191134945775</v>
      </c>
      <c r="M2558" s="1" t="s">
        <v>23</v>
      </c>
      <c r="N2558" s="1" t="s">
        <v>230</v>
      </c>
      <c r="O2558" s="1" t="s">
        <v>25</v>
      </c>
      <c r="P2558" s="3" t="s">
        <v>25</v>
      </c>
      <c r="Q2558" s="37">
        <v>2.5301609165654115</v>
      </c>
      <c r="R2558" s="1" t="s">
        <v>231</v>
      </c>
      <c r="S2558" s="13">
        <f t="shared" si="63"/>
        <v>-1.0601191134945775</v>
      </c>
    </row>
    <row r="2559" spans="1:19">
      <c r="A2559" s="18" t="s">
        <v>2225</v>
      </c>
      <c r="B2559" s="1" t="s">
        <v>2649</v>
      </c>
      <c r="C2559" s="1" t="s">
        <v>2674</v>
      </c>
      <c r="D2559" s="1" t="s">
        <v>2675</v>
      </c>
      <c r="E2559" s="1" t="s">
        <v>25</v>
      </c>
      <c r="F2559">
        <v>750</v>
      </c>
      <c r="G2559">
        <v>750</v>
      </c>
      <c r="H2559" s="1" t="s">
        <v>25</v>
      </c>
      <c r="I2559" s="1" t="s">
        <v>1528</v>
      </c>
      <c r="J2559" s="1" t="s">
        <v>25</v>
      </c>
      <c r="K2559" t="s">
        <v>25</v>
      </c>
      <c r="L2559">
        <v>-0.94877211112608562</v>
      </c>
      <c r="M2559" s="1" t="s">
        <v>23</v>
      </c>
      <c r="N2559" s="1" t="s">
        <v>230</v>
      </c>
      <c r="O2559" s="1" t="s">
        <v>25</v>
      </c>
      <c r="P2559" s="3" t="s">
        <v>25</v>
      </c>
      <c r="Q2559" s="37">
        <v>1.3962055016113173</v>
      </c>
      <c r="R2559" s="1" t="s">
        <v>231</v>
      </c>
      <c r="S2559" s="13">
        <f t="shared" si="63"/>
        <v>-0.94877211112608562</v>
      </c>
    </row>
    <row r="2560" spans="1:19">
      <c r="A2560" s="18" t="s">
        <v>2225</v>
      </c>
      <c r="B2560" s="1" t="s">
        <v>2650</v>
      </c>
      <c r="C2560" s="1" t="s">
        <v>2674</v>
      </c>
      <c r="D2560" s="1" t="s">
        <v>2675</v>
      </c>
      <c r="E2560" s="1" t="s">
        <v>25</v>
      </c>
      <c r="F2560">
        <v>750</v>
      </c>
      <c r="G2560">
        <v>750</v>
      </c>
      <c r="H2560" s="1" t="s">
        <v>25</v>
      </c>
      <c r="I2560" s="1" t="s">
        <v>1528</v>
      </c>
      <c r="J2560" s="1" t="s">
        <v>25</v>
      </c>
      <c r="K2560" t="s">
        <v>25</v>
      </c>
      <c r="L2560">
        <v>-0.96200072035621709</v>
      </c>
      <c r="M2560" s="1" t="s">
        <v>23</v>
      </c>
      <c r="N2560" s="1" t="s">
        <v>230</v>
      </c>
      <c r="O2560" s="1" t="s">
        <v>25</v>
      </c>
      <c r="P2560" s="3" t="s">
        <v>25</v>
      </c>
      <c r="Q2560" s="37">
        <v>3.5140602291417156</v>
      </c>
      <c r="R2560" s="1" t="s">
        <v>231</v>
      </c>
      <c r="S2560" s="13">
        <f t="shared" si="63"/>
        <v>-0.96200072035621709</v>
      </c>
    </row>
    <row r="2561" spans="1:19">
      <c r="A2561" s="18" t="s">
        <v>2225</v>
      </c>
      <c r="B2561" s="1" t="s">
        <v>2651</v>
      </c>
      <c r="C2561" s="1" t="s">
        <v>2674</v>
      </c>
      <c r="D2561" s="1" t="s">
        <v>2675</v>
      </c>
      <c r="E2561" s="1" t="s">
        <v>25</v>
      </c>
      <c r="F2561">
        <v>750</v>
      </c>
      <c r="G2561">
        <v>750</v>
      </c>
      <c r="H2561" s="1" t="s">
        <v>25</v>
      </c>
      <c r="I2561" s="1" t="s">
        <v>1528</v>
      </c>
      <c r="J2561" s="1" t="s">
        <v>25</v>
      </c>
      <c r="K2561" t="s">
        <v>25</v>
      </c>
      <c r="L2561">
        <v>-1.155234398396553</v>
      </c>
      <c r="M2561" s="1" t="s">
        <v>23</v>
      </c>
      <c r="N2561" s="1" t="s">
        <v>230</v>
      </c>
      <c r="O2561" s="1" t="s">
        <v>25</v>
      </c>
      <c r="P2561" s="3" t="s">
        <v>25</v>
      </c>
      <c r="Q2561" s="37">
        <v>1.5187919187651857</v>
      </c>
      <c r="R2561" s="1" t="s">
        <v>231</v>
      </c>
      <c r="S2561" s="13">
        <f t="shared" si="63"/>
        <v>-1.155234398396553</v>
      </c>
    </row>
    <row r="2562" spans="1:19">
      <c r="A2562" s="18" t="s">
        <v>2225</v>
      </c>
      <c r="B2562" s="1" t="s">
        <v>2652</v>
      </c>
      <c r="C2562" s="1" t="s">
        <v>2674</v>
      </c>
      <c r="D2562" s="1" t="s">
        <v>2675</v>
      </c>
      <c r="E2562" s="1" t="s">
        <v>25</v>
      </c>
      <c r="F2562">
        <v>750</v>
      </c>
      <c r="G2562">
        <v>750</v>
      </c>
      <c r="H2562" s="1" t="s">
        <v>25</v>
      </c>
      <c r="I2562" s="1" t="s">
        <v>1528</v>
      </c>
      <c r="J2562" s="1" t="s">
        <v>25</v>
      </c>
      <c r="K2562" t="s">
        <v>25</v>
      </c>
      <c r="L2562">
        <v>-1.2751780514076927</v>
      </c>
      <c r="M2562" s="1" t="s">
        <v>23</v>
      </c>
      <c r="N2562" s="1" t="s">
        <v>230</v>
      </c>
      <c r="O2562" s="1" t="s">
        <v>25</v>
      </c>
      <c r="P2562" s="3" t="s">
        <v>25</v>
      </c>
      <c r="Q2562" s="37">
        <v>3.148651339796122</v>
      </c>
      <c r="R2562" s="1" t="s">
        <v>231</v>
      </c>
      <c r="S2562" s="13">
        <f t="shared" si="63"/>
        <v>-1.2751780514076927</v>
      </c>
    </row>
    <row r="2563" spans="1:19">
      <c r="A2563" s="18" t="s">
        <v>2225</v>
      </c>
      <c r="B2563" s="1" t="s">
        <v>2653</v>
      </c>
      <c r="C2563" s="1" t="s">
        <v>2674</v>
      </c>
      <c r="D2563" s="1" t="s">
        <v>2675</v>
      </c>
      <c r="E2563" s="1" t="s">
        <v>25</v>
      </c>
      <c r="F2563">
        <v>750</v>
      </c>
      <c r="G2563">
        <v>750</v>
      </c>
      <c r="H2563" s="1" t="s">
        <v>25</v>
      </c>
      <c r="I2563" s="1" t="s">
        <v>1528</v>
      </c>
      <c r="J2563" s="1" t="s">
        <v>25</v>
      </c>
      <c r="K2563" t="s">
        <v>25</v>
      </c>
      <c r="L2563">
        <v>-1.3496977801423466</v>
      </c>
      <c r="M2563" s="1" t="s">
        <v>23</v>
      </c>
      <c r="N2563" s="1" t="s">
        <v>230</v>
      </c>
      <c r="O2563" s="1" t="s">
        <v>25</v>
      </c>
      <c r="P2563" s="3" t="s">
        <v>25</v>
      </c>
      <c r="Q2563" s="37">
        <v>2.3189542390051905</v>
      </c>
      <c r="R2563" s="1" t="s">
        <v>231</v>
      </c>
      <c r="S2563" s="13">
        <f t="shared" si="63"/>
        <v>-1.3496977801423466</v>
      </c>
    </row>
    <row r="2564" spans="1:19">
      <c r="A2564" s="18" t="s">
        <v>2225</v>
      </c>
      <c r="B2564" s="1" t="s">
        <v>2654</v>
      </c>
      <c r="C2564" s="1" t="s">
        <v>2674</v>
      </c>
      <c r="D2564" s="1" t="s">
        <v>2675</v>
      </c>
      <c r="E2564" s="1" t="s">
        <v>25</v>
      </c>
      <c r="F2564">
        <v>750</v>
      </c>
      <c r="G2564">
        <v>750</v>
      </c>
      <c r="H2564" s="1" t="s">
        <v>25</v>
      </c>
      <c r="I2564" s="1" t="s">
        <v>1528</v>
      </c>
      <c r="J2564" s="1" t="s">
        <v>25</v>
      </c>
      <c r="K2564" t="s">
        <v>25</v>
      </c>
      <c r="L2564">
        <v>-1.2880179960390443</v>
      </c>
      <c r="M2564" s="1" t="s">
        <v>23</v>
      </c>
      <c r="N2564" s="1" t="s">
        <v>230</v>
      </c>
      <c r="O2564" s="1" t="s">
        <v>25</v>
      </c>
      <c r="P2564" s="3" t="s">
        <v>25</v>
      </c>
      <c r="Q2564" s="37">
        <v>3.0334953590896112</v>
      </c>
      <c r="R2564" s="1" t="s">
        <v>231</v>
      </c>
      <c r="S2564" s="13">
        <f t="shared" si="63"/>
        <v>-1.2880179960390443</v>
      </c>
    </row>
    <row r="2565" spans="1:19">
      <c r="A2565" s="18" t="s">
        <v>2225</v>
      </c>
      <c r="B2565" s="1" t="s">
        <v>2655</v>
      </c>
      <c r="C2565" s="1" t="s">
        <v>2674</v>
      </c>
      <c r="D2565" s="1" t="s">
        <v>2675</v>
      </c>
      <c r="E2565" s="1" t="s">
        <v>25</v>
      </c>
      <c r="F2565">
        <v>750</v>
      </c>
      <c r="G2565">
        <v>750</v>
      </c>
      <c r="H2565" s="1" t="s">
        <v>25</v>
      </c>
      <c r="I2565" s="1" t="s">
        <v>1528</v>
      </c>
      <c r="J2565" s="1" t="s">
        <v>25</v>
      </c>
      <c r="K2565" t="s">
        <v>25</v>
      </c>
      <c r="L2565">
        <v>-1.0328389590514371</v>
      </c>
      <c r="M2565" s="1" t="s">
        <v>23</v>
      </c>
      <c r="N2565" s="1" t="s">
        <v>230</v>
      </c>
      <c r="O2565" s="1" t="s">
        <v>25</v>
      </c>
      <c r="P2565" s="3" t="s">
        <v>25</v>
      </c>
      <c r="Q2565" s="37">
        <v>1.640429270716919</v>
      </c>
      <c r="R2565" s="1" t="s">
        <v>231</v>
      </c>
      <c r="S2565" s="13">
        <f t="shared" si="63"/>
        <v>-1.0328389590514371</v>
      </c>
    </row>
    <row r="2566" spans="1:19">
      <c r="A2566" s="18" t="s">
        <v>2225</v>
      </c>
      <c r="B2566" s="1" t="s">
        <v>2656</v>
      </c>
      <c r="C2566" s="1" t="s">
        <v>2674</v>
      </c>
      <c r="D2566" s="1" t="s">
        <v>2675</v>
      </c>
      <c r="E2566" s="1" t="s">
        <v>25</v>
      </c>
      <c r="F2566">
        <v>750</v>
      </c>
      <c r="G2566">
        <v>750</v>
      </c>
      <c r="H2566" s="1" t="s">
        <v>25</v>
      </c>
      <c r="I2566" s="1" t="s">
        <v>1528</v>
      </c>
      <c r="J2566" s="1" t="s">
        <v>25</v>
      </c>
      <c r="K2566" t="s">
        <v>25</v>
      </c>
      <c r="L2566">
        <v>-0.93337118106207217</v>
      </c>
      <c r="M2566" s="1" t="s">
        <v>23</v>
      </c>
      <c r="N2566" s="1" t="s">
        <v>230</v>
      </c>
      <c r="O2566" s="1" t="s">
        <v>25</v>
      </c>
      <c r="P2566" s="3" t="s">
        <v>25</v>
      </c>
      <c r="Q2566" s="37">
        <v>2.1502421597642964</v>
      </c>
      <c r="R2566" s="1" t="s">
        <v>231</v>
      </c>
      <c r="S2566" s="13">
        <f t="shared" si="63"/>
        <v>-0.93337118106207217</v>
      </c>
    </row>
    <row r="2567" spans="1:19">
      <c r="A2567" s="18" t="s">
        <v>2225</v>
      </c>
      <c r="B2567" s="1" t="s">
        <v>2657</v>
      </c>
      <c r="C2567" s="1" t="s">
        <v>2674</v>
      </c>
      <c r="D2567" s="1" t="s">
        <v>2675</v>
      </c>
      <c r="E2567" s="1" t="s">
        <v>25</v>
      </c>
      <c r="F2567">
        <v>750</v>
      </c>
      <c r="G2567">
        <v>750</v>
      </c>
      <c r="H2567" s="1" t="s">
        <v>25</v>
      </c>
      <c r="I2567" s="1" t="s">
        <v>1528</v>
      </c>
      <c r="J2567" s="1" t="s">
        <v>25</v>
      </c>
      <c r="K2567" t="s">
        <v>25</v>
      </c>
      <c r="L2567">
        <v>-1.0093604857220568</v>
      </c>
      <c r="M2567" s="1" t="s">
        <v>23</v>
      </c>
      <c r="N2567" s="1" t="s">
        <v>230</v>
      </c>
      <c r="O2567" s="1" t="s">
        <v>25</v>
      </c>
      <c r="P2567" s="3" t="s">
        <v>25</v>
      </c>
      <c r="Q2567" s="37">
        <v>1.7675883804185464</v>
      </c>
      <c r="R2567" s="1" t="s">
        <v>231</v>
      </c>
      <c r="S2567" s="13">
        <f t="shared" si="63"/>
        <v>-1.0093604857220568</v>
      </c>
    </row>
    <row r="2568" spans="1:19">
      <c r="A2568" s="18" t="s">
        <v>2225</v>
      </c>
      <c r="B2568" s="1" t="s">
        <v>2658</v>
      </c>
      <c r="C2568" s="1" t="s">
        <v>2674</v>
      </c>
      <c r="D2568" s="1" t="s">
        <v>2675</v>
      </c>
      <c r="E2568" s="1" t="s">
        <v>25</v>
      </c>
      <c r="F2568">
        <v>750</v>
      </c>
      <c r="G2568">
        <v>750</v>
      </c>
      <c r="H2568" s="1" t="s">
        <v>25</v>
      </c>
      <c r="I2568" s="1" t="s">
        <v>1528</v>
      </c>
      <c r="J2568" s="1" t="s">
        <v>25</v>
      </c>
      <c r="K2568" t="s">
        <v>25</v>
      </c>
      <c r="L2568">
        <v>-1.1861502351573368</v>
      </c>
      <c r="M2568" s="1" t="s">
        <v>23</v>
      </c>
      <c r="N2568" s="1" t="s">
        <v>230</v>
      </c>
      <c r="O2568" s="1" t="s">
        <v>25</v>
      </c>
      <c r="P2568" s="3" t="s">
        <v>25</v>
      </c>
      <c r="Q2568" s="37">
        <v>1.5678996241061263</v>
      </c>
      <c r="R2568" s="1" t="s">
        <v>231</v>
      </c>
      <c r="S2568" s="13">
        <f t="shared" si="63"/>
        <v>-1.1861502351573368</v>
      </c>
    </row>
    <row r="2569" spans="1:19">
      <c r="A2569" s="18" t="s">
        <v>2225</v>
      </c>
      <c r="B2569" s="1" t="s">
        <v>2659</v>
      </c>
      <c r="C2569" s="1" t="s">
        <v>2674</v>
      </c>
      <c r="D2569" s="1" t="s">
        <v>2675</v>
      </c>
      <c r="E2569" s="1" t="s">
        <v>25</v>
      </c>
      <c r="F2569">
        <v>750</v>
      </c>
      <c r="G2569">
        <v>750</v>
      </c>
      <c r="H2569" s="1" t="s">
        <v>25</v>
      </c>
      <c r="I2569" s="1" t="s">
        <v>1528</v>
      </c>
      <c r="J2569" s="1" t="s">
        <v>25</v>
      </c>
      <c r="K2569" t="s">
        <v>25</v>
      </c>
      <c r="L2569">
        <v>-0.85397844297445857</v>
      </c>
      <c r="M2569" s="1" t="s">
        <v>23</v>
      </c>
      <c r="N2569" s="1" t="s">
        <v>230</v>
      </c>
      <c r="O2569" s="1" t="s">
        <v>25</v>
      </c>
      <c r="P2569" s="3" t="s">
        <v>25</v>
      </c>
      <c r="Q2569" s="37">
        <v>1.141643368529571</v>
      </c>
      <c r="R2569" s="1" t="s">
        <v>231</v>
      </c>
      <c r="S2569" s="13">
        <f t="shared" si="63"/>
        <v>-0.85397844297445857</v>
      </c>
    </row>
    <row r="2570" spans="1:19">
      <c r="A2570" s="18" t="s">
        <v>2225</v>
      </c>
      <c r="B2570" s="1" t="s">
        <v>2660</v>
      </c>
      <c r="C2570" s="1" t="s">
        <v>2674</v>
      </c>
      <c r="D2570" s="1" t="s">
        <v>2675</v>
      </c>
      <c r="E2570" s="1" t="s">
        <v>25</v>
      </c>
      <c r="F2570">
        <v>750</v>
      </c>
      <c r="G2570">
        <v>750</v>
      </c>
      <c r="H2570" s="1" t="s">
        <v>25</v>
      </c>
      <c r="I2570" s="1" t="s">
        <v>1528</v>
      </c>
      <c r="J2570" s="1" t="s">
        <v>25</v>
      </c>
      <c r="K2570" t="s">
        <v>25</v>
      </c>
      <c r="L2570">
        <v>-0.90295929893913396</v>
      </c>
      <c r="M2570" s="1" t="s">
        <v>23</v>
      </c>
      <c r="N2570" s="1" t="s">
        <v>230</v>
      </c>
      <c r="O2570" s="1" t="s">
        <v>25</v>
      </c>
      <c r="P2570" s="3" t="s">
        <v>25</v>
      </c>
      <c r="Q2570" s="37">
        <v>1.2883993155185913</v>
      </c>
      <c r="R2570" s="1" t="s">
        <v>231</v>
      </c>
      <c r="S2570" s="13">
        <f t="shared" si="63"/>
        <v>-0.90295929893913396</v>
      </c>
    </row>
    <row r="2571" spans="1:19">
      <c r="A2571" s="18" t="s">
        <v>2225</v>
      </c>
      <c r="B2571" s="1" t="s">
        <v>2661</v>
      </c>
      <c r="C2571" s="1" t="s">
        <v>2674</v>
      </c>
      <c r="D2571" s="1" t="s">
        <v>2675</v>
      </c>
      <c r="E2571" s="1" t="s">
        <v>25</v>
      </c>
      <c r="F2571">
        <v>750</v>
      </c>
      <c r="G2571">
        <v>750</v>
      </c>
      <c r="H2571" s="1" t="s">
        <v>25</v>
      </c>
      <c r="I2571" s="1" t="s">
        <v>1528</v>
      </c>
      <c r="J2571" s="1" t="s">
        <v>25</v>
      </c>
      <c r="K2571" t="s">
        <v>25</v>
      </c>
      <c r="L2571">
        <v>-1.3361496258617791</v>
      </c>
      <c r="M2571" s="1" t="s">
        <v>23</v>
      </c>
      <c r="N2571" s="1" t="s">
        <v>230</v>
      </c>
      <c r="O2571" s="1" t="s">
        <v>25</v>
      </c>
      <c r="P2571" s="3" t="s">
        <v>25</v>
      </c>
      <c r="Q2571" s="37">
        <v>0.70655894364077254</v>
      </c>
      <c r="R2571" s="1" t="s">
        <v>231</v>
      </c>
      <c r="S2571" s="13">
        <f t="shared" si="63"/>
        <v>-1.3361496258617791</v>
      </c>
    </row>
    <row r="2572" spans="1:19">
      <c r="A2572" s="18" t="s">
        <v>2225</v>
      </c>
      <c r="B2572" s="1" t="s">
        <v>2662</v>
      </c>
      <c r="C2572" s="1" t="s">
        <v>2674</v>
      </c>
      <c r="D2572" s="1" t="s">
        <v>2675</v>
      </c>
      <c r="E2572" s="1" t="s">
        <v>25</v>
      </c>
      <c r="F2572">
        <v>750</v>
      </c>
      <c r="G2572">
        <v>750</v>
      </c>
      <c r="H2572" s="1" t="s">
        <v>25</v>
      </c>
      <c r="I2572" s="1" t="s">
        <v>1528</v>
      </c>
      <c r="J2572" s="1" t="s">
        <v>25</v>
      </c>
      <c r="K2572" t="s">
        <v>25</v>
      </c>
      <c r="L2572">
        <v>-1.0231252149905943</v>
      </c>
      <c r="M2572" s="1" t="s">
        <v>23</v>
      </c>
      <c r="N2572" s="1" t="s">
        <v>230</v>
      </c>
      <c r="O2572" s="1" t="s">
        <v>25</v>
      </c>
      <c r="P2572" s="3" t="s">
        <v>25</v>
      </c>
      <c r="Q2572" s="37">
        <v>2.5236927147838104</v>
      </c>
      <c r="R2572" s="1" t="s">
        <v>231</v>
      </c>
      <c r="S2572" s="13">
        <f t="shared" si="63"/>
        <v>-1.0231252149905943</v>
      </c>
    </row>
    <row r="2573" spans="1:19">
      <c r="A2573" s="18" t="s">
        <v>2225</v>
      </c>
      <c r="B2573" s="1" t="s">
        <v>2663</v>
      </c>
      <c r="C2573" s="1" t="s">
        <v>2674</v>
      </c>
      <c r="D2573" s="1" t="s">
        <v>2675</v>
      </c>
      <c r="E2573" s="1" t="s">
        <v>25</v>
      </c>
      <c r="F2573">
        <v>750</v>
      </c>
      <c r="G2573">
        <v>750</v>
      </c>
      <c r="H2573" s="1" t="s">
        <v>25</v>
      </c>
      <c r="I2573" s="1" t="s">
        <v>1528</v>
      </c>
      <c r="J2573" s="1" t="s">
        <v>25</v>
      </c>
      <c r="K2573" t="s">
        <v>25</v>
      </c>
      <c r="L2573">
        <v>-1.4013721147092204</v>
      </c>
      <c r="M2573" s="1" t="s">
        <v>23</v>
      </c>
      <c r="N2573" s="1" t="s">
        <v>230</v>
      </c>
      <c r="O2573" s="1" t="s">
        <v>25</v>
      </c>
      <c r="P2573" s="3" t="s">
        <v>25</v>
      </c>
      <c r="Q2573" s="37">
        <v>0.72728554145116697</v>
      </c>
      <c r="R2573" s="1" t="s">
        <v>231</v>
      </c>
      <c r="S2573" s="13">
        <f t="shared" si="63"/>
        <v>-1.4013721147092204</v>
      </c>
    </row>
    <row r="2574" spans="1:19">
      <c r="A2574" s="18" t="s">
        <v>2225</v>
      </c>
      <c r="B2574" s="1" t="s">
        <v>2664</v>
      </c>
      <c r="C2574" s="1" t="s">
        <v>2674</v>
      </c>
      <c r="D2574" s="1" t="s">
        <v>2675</v>
      </c>
      <c r="E2574" s="1" t="s">
        <v>25</v>
      </c>
      <c r="F2574">
        <v>750</v>
      </c>
      <c r="G2574">
        <v>750</v>
      </c>
      <c r="H2574" s="1" t="s">
        <v>25</v>
      </c>
      <c r="I2574" s="1" t="s">
        <v>1528</v>
      </c>
      <c r="J2574" s="1" t="s">
        <v>25</v>
      </c>
      <c r="K2574" t="s">
        <v>25</v>
      </c>
      <c r="L2574">
        <v>-1.415713547705701</v>
      </c>
      <c r="M2574" s="1" t="s">
        <v>23</v>
      </c>
      <c r="N2574" s="1" t="s">
        <v>230</v>
      </c>
      <c r="O2574" s="1" t="s">
        <v>25</v>
      </c>
      <c r="P2574" s="3" t="s">
        <v>25</v>
      </c>
      <c r="Q2574" s="37">
        <v>0.77264884243360477</v>
      </c>
      <c r="R2574" s="1" t="s">
        <v>231</v>
      </c>
      <c r="S2574" s="13">
        <f t="shared" si="63"/>
        <v>-1.415713547705701</v>
      </c>
    </row>
    <row r="2575" spans="1:19">
      <c r="A2575" s="18" t="s">
        <v>2225</v>
      </c>
      <c r="B2575" s="1" t="s">
        <v>2665</v>
      </c>
      <c r="C2575" s="1" t="s">
        <v>2674</v>
      </c>
      <c r="D2575" s="1" t="s">
        <v>2675</v>
      </c>
      <c r="E2575" s="1" t="s">
        <v>25</v>
      </c>
      <c r="F2575">
        <v>750</v>
      </c>
      <c r="G2575">
        <v>750</v>
      </c>
      <c r="H2575" s="1" t="s">
        <v>25</v>
      </c>
      <c r="I2575" s="1" t="s">
        <v>1528</v>
      </c>
      <c r="J2575" s="1" t="s">
        <v>25</v>
      </c>
      <c r="K2575" t="s">
        <v>25</v>
      </c>
      <c r="L2575">
        <v>-1.3003394088242828</v>
      </c>
      <c r="M2575" s="1" t="s">
        <v>23</v>
      </c>
      <c r="N2575" s="1" t="s">
        <v>230</v>
      </c>
      <c r="O2575" s="1" t="s">
        <v>25</v>
      </c>
      <c r="P2575" s="3" t="s">
        <v>25</v>
      </c>
      <c r="Q2575" s="37">
        <v>2.4486893068193494</v>
      </c>
      <c r="R2575" s="1" t="s">
        <v>231</v>
      </c>
      <c r="S2575" s="13">
        <f t="shared" si="63"/>
        <v>-1.3003394088242828</v>
      </c>
    </row>
    <row r="2576" spans="1:19">
      <c r="A2576" s="18" t="s">
        <v>2225</v>
      </c>
      <c r="B2576" s="1" t="s">
        <v>2666</v>
      </c>
      <c r="C2576" s="1" t="s">
        <v>2674</v>
      </c>
      <c r="D2576" s="1" t="s">
        <v>2675</v>
      </c>
      <c r="E2576" s="1" t="s">
        <v>25</v>
      </c>
      <c r="F2576">
        <v>750</v>
      </c>
      <c r="G2576">
        <v>750</v>
      </c>
      <c r="H2576" s="1" t="s">
        <v>25</v>
      </c>
      <c r="I2576" s="1" t="s">
        <v>1528</v>
      </c>
      <c r="J2576" s="1" t="s">
        <v>25</v>
      </c>
      <c r="K2576" t="s">
        <v>25</v>
      </c>
      <c r="L2576">
        <v>-1.2145295714683393</v>
      </c>
      <c r="M2576" s="1" t="s">
        <v>23</v>
      </c>
      <c r="N2576" s="1" t="s">
        <v>230</v>
      </c>
      <c r="O2576" s="1" t="s">
        <v>25</v>
      </c>
      <c r="P2576" s="3" t="s">
        <v>25</v>
      </c>
      <c r="Q2576" s="37">
        <v>1.7939703227233545</v>
      </c>
      <c r="R2576" s="1" t="s">
        <v>231</v>
      </c>
      <c r="S2576" s="13">
        <f t="shared" si="63"/>
        <v>-1.2145295714683393</v>
      </c>
    </row>
    <row r="2577" spans="1:19">
      <c r="A2577" s="18" t="s">
        <v>2225</v>
      </c>
      <c r="B2577" s="1" t="s">
        <v>2667</v>
      </c>
      <c r="C2577" s="1" t="s">
        <v>2674</v>
      </c>
      <c r="D2577" s="1" t="s">
        <v>2675</v>
      </c>
      <c r="E2577" s="1" t="s">
        <v>25</v>
      </c>
      <c r="F2577">
        <v>750</v>
      </c>
      <c r="G2577">
        <v>750</v>
      </c>
      <c r="H2577" s="1" t="s">
        <v>25</v>
      </c>
      <c r="I2577" s="1" t="s">
        <v>1528</v>
      </c>
      <c r="J2577" s="1" t="s">
        <v>25</v>
      </c>
      <c r="K2577" t="s">
        <v>25</v>
      </c>
      <c r="L2577">
        <v>-1.3541338953956259</v>
      </c>
      <c r="M2577" s="1" t="s">
        <v>23</v>
      </c>
      <c r="N2577" s="1" t="s">
        <v>230</v>
      </c>
      <c r="O2577" s="1" t="s">
        <v>25</v>
      </c>
      <c r="P2577" s="3" t="s">
        <v>25</v>
      </c>
      <c r="Q2577" s="37">
        <v>1.9817120244598792</v>
      </c>
      <c r="R2577" s="1" t="s">
        <v>231</v>
      </c>
      <c r="S2577" s="13">
        <f t="shared" si="63"/>
        <v>-1.3541338953956259</v>
      </c>
    </row>
    <row r="2578" spans="1:19">
      <c r="A2578" s="18" t="s">
        <v>2225</v>
      </c>
      <c r="B2578" s="1" t="s">
        <v>2668</v>
      </c>
      <c r="C2578" s="1" t="s">
        <v>2674</v>
      </c>
      <c r="D2578" s="1" t="s">
        <v>2675</v>
      </c>
      <c r="E2578" s="1" t="s">
        <v>25</v>
      </c>
      <c r="F2578">
        <v>750</v>
      </c>
      <c r="G2578">
        <v>750</v>
      </c>
      <c r="H2578" s="1" t="s">
        <v>25</v>
      </c>
      <c r="I2578" s="1" t="s">
        <v>1528</v>
      </c>
      <c r="J2578" s="1" t="s">
        <v>25</v>
      </c>
      <c r="K2578" t="s">
        <v>25</v>
      </c>
      <c r="L2578">
        <v>-1.2249231629993638</v>
      </c>
      <c r="M2578" s="1" t="s">
        <v>23</v>
      </c>
      <c r="N2578" s="1" t="s">
        <v>230</v>
      </c>
      <c r="O2578" s="1" t="s">
        <v>25</v>
      </c>
      <c r="P2578" s="3" t="s">
        <v>25</v>
      </c>
      <c r="Q2578" s="37">
        <v>0.70902847167367966</v>
      </c>
      <c r="R2578" s="1" t="s">
        <v>231</v>
      </c>
      <c r="S2578" s="13">
        <f t="shared" si="63"/>
        <v>-1.2249231629993638</v>
      </c>
    </row>
    <row r="2579" spans="1:19">
      <c r="A2579" s="18" t="s">
        <v>2225</v>
      </c>
      <c r="B2579" s="1" t="s">
        <v>2669</v>
      </c>
      <c r="C2579" s="1" t="s">
        <v>2674</v>
      </c>
      <c r="D2579" s="1" t="s">
        <v>2675</v>
      </c>
      <c r="E2579" s="1" t="s">
        <v>25</v>
      </c>
      <c r="F2579">
        <v>750</v>
      </c>
      <c r="G2579">
        <v>750</v>
      </c>
      <c r="H2579" s="1" t="s">
        <v>25</v>
      </c>
      <c r="I2579" s="1" t="s">
        <v>1528</v>
      </c>
      <c r="J2579" s="1" t="s">
        <v>25</v>
      </c>
      <c r="K2579" t="s">
        <v>25</v>
      </c>
      <c r="L2579">
        <v>-1.1226214417336946</v>
      </c>
      <c r="M2579" s="1" t="s">
        <v>23</v>
      </c>
      <c r="N2579" s="1" t="s">
        <v>230</v>
      </c>
      <c r="O2579" s="1" t="s">
        <v>25</v>
      </c>
      <c r="P2579" s="3" t="s">
        <v>25</v>
      </c>
      <c r="Q2579" s="37">
        <v>1.1607710592429041</v>
      </c>
      <c r="R2579" s="1" t="s">
        <v>231</v>
      </c>
      <c r="S2579" s="13">
        <f t="shared" si="63"/>
        <v>-1.1226214417336946</v>
      </c>
    </row>
    <row r="2580" spans="1:19">
      <c r="A2580" s="18" t="s">
        <v>2225</v>
      </c>
      <c r="B2580" s="1" t="s">
        <v>2670</v>
      </c>
      <c r="C2580" s="1" t="s">
        <v>2674</v>
      </c>
      <c r="D2580" s="1" t="s">
        <v>2675</v>
      </c>
      <c r="E2580" s="1" t="s">
        <v>25</v>
      </c>
      <c r="F2580">
        <v>750</v>
      </c>
      <c r="G2580">
        <v>750</v>
      </c>
      <c r="H2580" s="1" t="s">
        <v>25</v>
      </c>
      <c r="I2580" s="1" t="s">
        <v>1528</v>
      </c>
      <c r="J2580" s="1" t="s">
        <v>25</v>
      </c>
      <c r="K2580" t="s">
        <v>25</v>
      </c>
      <c r="L2580">
        <v>-1.1659812273180821</v>
      </c>
      <c r="M2580" s="1" t="s">
        <v>23</v>
      </c>
      <c r="N2580" s="1" t="s">
        <v>230</v>
      </c>
      <c r="O2580" s="1" t="s">
        <v>25</v>
      </c>
      <c r="P2580" s="3" t="s">
        <v>25</v>
      </c>
      <c r="Q2580" s="37">
        <v>1.1175103975823573</v>
      </c>
      <c r="R2580" s="1" t="s">
        <v>231</v>
      </c>
      <c r="S2580" s="13">
        <f t="shared" si="63"/>
        <v>-1.1659812273180821</v>
      </c>
    </row>
    <row r="2581" spans="1:19">
      <c r="A2581" s="18" t="s">
        <v>2225</v>
      </c>
      <c r="B2581" s="1" t="s">
        <v>2671</v>
      </c>
      <c r="C2581" s="1" t="s">
        <v>2674</v>
      </c>
      <c r="D2581" s="1" t="s">
        <v>2675</v>
      </c>
      <c r="E2581" s="1" t="s">
        <v>25</v>
      </c>
      <c r="F2581">
        <v>750</v>
      </c>
      <c r="G2581">
        <v>750</v>
      </c>
      <c r="H2581" s="1" t="s">
        <v>25</v>
      </c>
      <c r="I2581" s="1" t="s">
        <v>1528</v>
      </c>
      <c r="J2581" s="1" t="s">
        <v>25</v>
      </c>
      <c r="K2581" t="s">
        <v>25</v>
      </c>
      <c r="L2581">
        <v>-1.050240828616918</v>
      </c>
      <c r="M2581" s="1" t="s">
        <v>23</v>
      </c>
      <c r="N2581" s="1" t="s">
        <v>230</v>
      </c>
      <c r="O2581" s="1" t="s">
        <v>25</v>
      </c>
      <c r="P2581" s="3" t="s">
        <v>25</v>
      </c>
      <c r="Q2581" s="37">
        <v>0.56221594400209607</v>
      </c>
      <c r="R2581" s="1" t="s">
        <v>231</v>
      </c>
      <c r="S2581" s="13">
        <f t="shared" si="63"/>
        <v>-1.050240828616918</v>
      </c>
    </row>
    <row r="2582" spans="1:19">
      <c r="A2582" s="18" t="s">
        <v>2225</v>
      </c>
      <c r="B2582" s="1" t="s">
        <v>2672</v>
      </c>
      <c r="C2582" s="1" t="s">
        <v>2674</v>
      </c>
      <c r="D2582" s="1" t="s">
        <v>2675</v>
      </c>
      <c r="E2582" s="1" t="s">
        <v>25</v>
      </c>
      <c r="F2582">
        <v>750</v>
      </c>
      <c r="G2582">
        <v>750</v>
      </c>
      <c r="H2582" s="1" t="s">
        <v>25</v>
      </c>
      <c r="I2582" s="1" t="s">
        <v>1528</v>
      </c>
      <c r="J2582" s="1" t="s">
        <v>25</v>
      </c>
      <c r="K2582" t="s">
        <v>25</v>
      </c>
      <c r="L2582">
        <v>-0.93796249602202852</v>
      </c>
      <c r="M2582" s="1" t="s">
        <v>23</v>
      </c>
      <c r="N2582" s="1" t="s">
        <v>230</v>
      </c>
      <c r="O2582" s="1" t="s">
        <v>25</v>
      </c>
      <c r="P2582" s="3" t="s">
        <v>25</v>
      </c>
      <c r="Q2582" s="37">
        <v>0.88446628336482247</v>
      </c>
      <c r="R2582" s="1" t="s">
        <v>231</v>
      </c>
      <c r="S2582" s="13">
        <f t="shared" si="63"/>
        <v>-0.93796249602202852</v>
      </c>
    </row>
    <row r="2583" spans="1:19">
      <c r="A2583" s="18" t="s">
        <v>2225</v>
      </c>
      <c r="B2583" s="1" t="s">
        <v>2673</v>
      </c>
      <c r="C2583" s="1" t="s">
        <v>2674</v>
      </c>
      <c r="D2583" s="1" t="s">
        <v>2675</v>
      </c>
      <c r="E2583" s="1" t="s">
        <v>25</v>
      </c>
      <c r="F2583">
        <v>750</v>
      </c>
      <c r="G2583">
        <v>750</v>
      </c>
      <c r="H2583" s="1" t="s">
        <v>25</v>
      </c>
      <c r="I2583" s="1" t="s">
        <v>1528</v>
      </c>
      <c r="J2583" s="1" t="s">
        <v>25</v>
      </c>
      <c r="K2583" t="s">
        <v>25</v>
      </c>
      <c r="L2583">
        <v>-0.87572911184324487</v>
      </c>
      <c r="M2583" s="1" t="s">
        <v>23</v>
      </c>
      <c r="N2583" s="1" t="s">
        <v>230</v>
      </c>
      <c r="O2583" s="1" t="s">
        <v>25</v>
      </c>
      <c r="P2583" s="3" t="s">
        <v>25</v>
      </c>
      <c r="Q2583" s="37">
        <v>1.9484179734288585</v>
      </c>
      <c r="R2583" s="1" t="s">
        <v>231</v>
      </c>
      <c r="S2583" s="13">
        <f t="shared" si="63"/>
        <v>-0.87572911184324487</v>
      </c>
    </row>
    <row r="2584" spans="1:19" s="4" customFormat="1">
      <c r="B2584" s="5"/>
      <c r="C2584" s="5"/>
      <c r="D2584" s="5"/>
      <c r="E2584" s="5"/>
      <c r="I2584" s="5"/>
      <c r="J2584" s="5"/>
      <c r="M2584" s="5"/>
      <c r="O2584" s="5"/>
      <c r="P2584" s="6"/>
      <c r="Q2584" s="38"/>
      <c r="S2584" s="24"/>
    </row>
    <row r="2585" spans="1:19">
      <c r="A2585" s="18" t="s">
        <v>2676</v>
      </c>
      <c r="B2585" s="1" t="s">
        <v>2677</v>
      </c>
      <c r="C2585" s="1" t="s">
        <v>2826</v>
      </c>
      <c r="D2585" s="1" t="s">
        <v>2827</v>
      </c>
      <c r="E2585" s="1" t="s">
        <v>25</v>
      </c>
      <c r="F2585">
        <v>659</v>
      </c>
      <c r="G2585">
        <v>659</v>
      </c>
      <c r="H2585">
        <v>11</v>
      </c>
      <c r="I2585" s="1" t="s">
        <v>1528</v>
      </c>
      <c r="J2585" s="1" t="s">
        <v>1336</v>
      </c>
      <c r="K2585" t="s">
        <v>25</v>
      </c>
      <c r="L2585" t="s">
        <v>25</v>
      </c>
      <c r="M2585" t="s">
        <v>25</v>
      </c>
      <c r="N2585" t="str">
        <f>IF(M2585="Na","Na","SW")</f>
        <v>Na</v>
      </c>
      <c r="O2585" s="1" t="s">
        <v>25</v>
      </c>
      <c r="P2585" s="3" t="s">
        <v>25</v>
      </c>
      <c r="Q2585" s="37" t="s">
        <v>25</v>
      </c>
      <c r="R2585" t="str">
        <f>IF(Q2585="Na","Na","mmol/mol")</f>
        <v>Na</v>
      </c>
      <c r="S2585" s="13" t="s">
        <v>25</v>
      </c>
    </row>
    <row r="2586" spans="1:19">
      <c r="A2586" s="18" t="s">
        <v>2676</v>
      </c>
      <c r="B2586" s="1" t="s">
        <v>2678</v>
      </c>
      <c r="C2586" s="1" t="s">
        <v>2826</v>
      </c>
      <c r="D2586" s="1" t="s">
        <v>2827</v>
      </c>
      <c r="E2586" s="1" t="s">
        <v>25</v>
      </c>
      <c r="F2586">
        <v>659</v>
      </c>
      <c r="G2586">
        <v>659</v>
      </c>
      <c r="H2586">
        <v>50</v>
      </c>
      <c r="I2586" s="1" t="s">
        <v>1528</v>
      </c>
      <c r="J2586" s="1" t="s">
        <v>1336</v>
      </c>
      <c r="K2586" t="s">
        <v>25</v>
      </c>
      <c r="L2586" t="s">
        <v>25</v>
      </c>
      <c r="M2586" t="s">
        <v>25</v>
      </c>
      <c r="N2586" t="str">
        <f t="shared" ref="N2586:N2649" si="64">IF(M2586="Na","Na","SW")</f>
        <v>Na</v>
      </c>
      <c r="O2586" s="1" t="s">
        <v>25</v>
      </c>
      <c r="P2586" s="3" t="s">
        <v>25</v>
      </c>
      <c r="Q2586" s="37">
        <v>2.8289274349750504</v>
      </c>
      <c r="R2586" t="str">
        <f t="shared" ref="R2586:R2649" si="65">IF(Q2586="Na","Na","mmol/mol")</f>
        <v>mmol/mol</v>
      </c>
      <c r="S2586" s="13" t="s">
        <v>25</v>
      </c>
    </row>
    <row r="2587" spans="1:19">
      <c r="A2587" s="18" t="s">
        <v>2676</v>
      </c>
      <c r="B2587" s="1" t="s">
        <v>2679</v>
      </c>
      <c r="C2587" s="1" t="s">
        <v>2826</v>
      </c>
      <c r="D2587" s="1" t="s">
        <v>2827</v>
      </c>
      <c r="E2587" s="1" t="s">
        <v>25</v>
      </c>
      <c r="F2587">
        <v>659</v>
      </c>
      <c r="G2587">
        <v>659</v>
      </c>
      <c r="H2587">
        <v>53</v>
      </c>
      <c r="I2587" s="1" t="s">
        <v>1528</v>
      </c>
      <c r="J2587" s="1" t="s">
        <v>1336</v>
      </c>
      <c r="K2587" t="s">
        <v>25</v>
      </c>
      <c r="L2587" t="s">
        <v>25</v>
      </c>
      <c r="M2587" t="s">
        <v>25</v>
      </c>
      <c r="N2587" t="str">
        <f t="shared" si="64"/>
        <v>Na</v>
      </c>
      <c r="O2587" s="1" t="s">
        <v>25</v>
      </c>
      <c r="P2587" s="3" t="s">
        <v>25</v>
      </c>
      <c r="Q2587" s="37">
        <v>2.9244457592355113</v>
      </c>
      <c r="R2587" t="str">
        <f t="shared" si="65"/>
        <v>mmol/mol</v>
      </c>
      <c r="S2587" s="13" t="s">
        <v>25</v>
      </c>
    </row>
    <row r="2588" spans="1:19">
      <c r="A2588" s="18" t="s">
        <v>2676</v>
      </c>
      <c r="B2588" s="1" t="s">
        <v>2680</v>
      </c>
      <c r="C2588" s="1" t="s">
        <v>2826</v>
      </c>
      <c r="D2588" s="1" t="s">
        <v>2827</v>
      </c>
      <c r="E2588" s="1" t="s">
        <v>25</v>
      </c>
      <c r="F2588">
        <v>659</v>
      </c>
      <c r="G2588">
        <v>659</v>
      </c>
      <c r="H2588">
        <v>56</v>
      </c>
      <c r="I2588" s="1" t="s">
        <v>1528</v>
      </c>
      <c r="J2588" s="1" t="s">
        <v>1336</v>
      </c>
      <c r="K2588" t="s">
        <v>25</v>
      </c>
      <c r="L2588" t="s">
        <v>25</v>
      </c>
      <c r="M2588" t="s">
        <v>25</v>
      </c>
      <c r="N2588" t="str">
        <f t="shared" si="64"/>
        <v>Na</v>
      </c>
      <c r="O2588" s="1" t="s">
        <v>25</v>
      </c>
      <c r="P2588" s="3" t="s">
        <v>25</v>
      </c>
      <c r="Q2588" s="37">
        <v>2.7043178930134317</v>
      </c>
      <c r="R2588" t="str">
        <f t="shared" si="65"/>
        <v>mmol/mol</v>
      </c>
      <c r="S2588" s="13" t="s">
        <v>25</v>
      </c>
    </row>
    <row r="2589" spans="1:19">
      <c r="A2589" s="18" t="s">
        <v>2676</v>
      </c>
      <c r="B2589" s="1" t="s">
        <v>2681</v>
      </c>
      <c r="C2589" s="1" t="s">
        <v>2826</v>
      </c>
      <c r="D2589" s="1" t="s">
        <v>2827</v>
      </c>
      <c r="E2589" s="1" t="s">
        <v>25</v>
      </c>
      <c r="F2589">
        <v>659</v>
      </c>
      <c r="G2589">
        <v>659</v>
      </c>
      <c r="H2589">
        <v>59</v>
      </c>
      <c r="I2589" s="1" t="s">
        <v>1528</v>
      </c>
      <c r="J2589" s="1" t="s">
        <v>1336</v>
      </c>
      <c r="K2589" t="s">
        <v>25</v>
      </c>
      <c r="L2589" t="s">
        <v>25</v>
      </c>
      <c r="M2589" t="s">
        <v>25</v>
      </c>
      <c r="N2589" t="str">
        <f t="shared" si="64"/>
        <v>Na</v>
      </c>
      <c r="O2589" s="1" t="s">
        <v>25</v>
      </c>
      <c r="P2589" s="3" t="s">
        <v>25</v>
      </c>
      <c r="Q2589" s="37">
        <v>0.27319057130130653</v>
      </c>
      <c r="R2589" t="str">
        <f t="shared" si="65"/>
        <v>mmol/mol</v>
      </c>
      <c r="S2589" s="13" t="s">
        <v>25</v>
      </c>
    </row>
    <row r="2590" spans="1:19">
      <c r="A2590" s="18" t="s">
        <v>2676</v>
      </c>
      <c r="B2590" s="1" t="s">
        <v>2682</v>
      </c>
      <c r="C2590" s="1" t="s">
        <v>2826</v>
      </c>
      <c r="D2590" s="1" t="s">
        <v>2827</v>
      </c>
      <c r="E2590" s="1" t="s">
        <v>25</v>
      </c>
      <c r="F2590">
        <v>659</v>
      </c>
      <c r="G2590">
        <v>659</v>
      </c>
      <c r="H2590">
        <v>62</v>
      </c>
      <c r="I2590" s="1" t="s">
        <v>1528</v>
      </c>
      <c r="J2590" s="1" t="s">
        <v>1336</v>
      </c>
      <c r="K2590" t="s">
        <v>25</v>
      </c>
      <c r="L2590" t="s">
        <v>25</v>
      </c>
      <c r="M2590" t="s">
        <v>25</v>
      </c>
      <c r="N2590" t="str">
        <f t="shared" si="64"/>
        <v>Na</v>
      </c>
      <c r="O2590" s="1" t="s">
        <v>25</v>
      </c>
      <c r="P2590" s="3" t="s">
        <v>25</v>
      </c>
      <c r="Q2590" s="37">
        <v>0.25298772845102313</v>
      </c>
      <c r="R2590" t="str">
        <f t="shared" si="65"/>
        <v>mmol/mol</v>
      </c>
      <c r="S2590" s="13" t="s">
        <v>25</v>
      </c>
    </row>
    <row r="2591" spans="1:19">
      <c r="A2591" s="18" t="s">
        <v>2676</v>
      </c>
      <c r="B2591" s="1" t="s">
        <v>2683</v>
      </c>
      <c r="C2591" s="1" t="s">
        <v>2826</v>
      </c>
      <c r="D2591" s="1" t="s">
        <v>2827</v>
      </c>
      <c r="E2591" s="1" t="s">
        <v>25</v>
      </c>
      <c r="F2591">
        <v>659</v>
      </c>
      <c r="G2591">
        <v>659</v>
      </c>
      <c r="H2591">
        <v>65</v>
      </c>
      <c r="I2591" s="1" t="s">
        <v>1528</v>
      </c>
      <c r="J2591" s="1" t="s">
        <v>1336</v>
      </c>
      <c r="K2591" t="s">
        <v>25</v>
      </c>
      <c r="L2591" t="s">
        <v>25</v>
      </c>
      <c r="M2591" t="s">
        <v>25</v>
      </c>
      <c r="N2591" t="str">
        <f t="shared" si="64"/>
        <v>Na</v>
      </c>
      <c r="O2591" s="1" t="s">
        <v>25</v>
      </c>
      <c r="P2591" s="3" t="s">
        <v>25</v>
      </c>
      <c r="Q2591" s="37">
        <v>0.57159210234482916</v>
      </c>
      <c r="R2591" t="str">
        <f t="shared" si="65"/>
        <v>mmol/mol</v>
      </c>
      <c r="S2591" s="13" t="s">
        <v>25</v>
      </c>
    </row>
    <row r="2592" spans="1:19">
      <c r="A2592" s="18" t="s">
        <v>2676</v>
      </c>
      <c r="B2592" s="1" t="s">
        <v>2684</v>
      </c>
      <c r="C2592" s="1" t="s">
        <v>2826</v>
      </c>
      <c r="D2592" s="1" t="s">
        <v>2827</v>
      </c>
      <c r="E2592" s="1" t="s">
        <v>25</v>
      </c>
      <c r="F2592">
        <v>659</v>
      </c>
      <c r="G2592">
        <v>659</v>
      </c>
      <c r="H2592">
        <v>68</v>
      </c>
      <c r="I2592" s="1" t="s">
        <v>1528</v>
      </c>
      <c r="J2592" s="1" t="s">
        <v>1336</v>
      </c>
      <c r="K2592" t="s">
        <v>25</v>
      </c>
      <c r="L2592" t="s">
        <v>25</v>
      </c>
      <c r="M2592" t="s">
        <v>25</v>
      </c>
      <c r="N2592" t="str">
        <f t="shared" si="64"/>
        <v>Na</v>
      </c>
      <c r="O2592" s="1" t="s">
        <v>25</v>
      </c>
      <c r="P2592" s="3" t="s">
        <v>25</v>
      </c>
      <c r="Q2592" s="37">
        <v>0.50663834885777903</v>
      </c>
      <c r="R2592" t="str">
        <f t="shared" si="65"/>
        <v>mmol/mol</v>
      </c>
      <c r="S2592" s="13" t="s">
        <v>25</v>
      </c>
    </row>
    <row r="2593" spans="1:19">
      <c r="A2593" s="18" t="s">
        <v>2676</v>
      </c>
      <c r="B2593" s="1" t="s">
        <v>2685</v>
      </c>
      <c r="C2593" s="1" t="s">
        <v>2826</v>
      </c>
      <c r="D2593" s="1" t="s">
        <v>2827</v>
      </c>
      <c r="E2593" s="1" t="s">
        <v>25</v>
      </c>
      <c r="F2593">
        <v>659</v>
      </c>
      <c r="G2593">
        <v>659</v>
      </c>
      <c r="H2593">
        <v>71.5</v>
      </c>
      <c r="I2593" s="1" t="s">
        <v>1528</v>
      </c>
      <c r="J2593" s="1" t="s">
        <v>1336</v>
      </c>
      <c r="K2593" t="s">
        <v>25</v>
      </c>
      <c r="L2593" t="s">
        <v>25</v>
      </c>
      <c r="M2593" t="s">
        <v>25</v>
      </c>
      <c r="N2593" t="str">
        <f t="shared" si="64"/>
        <v>Na</v>
      </c>
      <c r="O2593" s="1" t="s">
        <v>25</v>
      </c>
      <c r="P2593" s="3" t="s">
        <v>25</v>
      </c>
      <c r="Q2593" s="37">
        <v>0.2264860241792884</v>
      </c>
      <c r="R2593" t="str">
        <f t="shared" si="65"/>
        <v>mmol/mol</v>
      </c>
      <c r="S2593" s="13" t="s">
        <v>25</v>
      </c>
    </row>
    <row r="2594" spans="1:19">
      <c r="A2594" s="18" t="s">
        <v>2676</v>
      </c>
      <c r="B2594" s="1" t="s">
        <v>2686</v>
      </c>
      <c r="C2594" s="1" t="s">
        <v>2826</v>
      </c>
      <c r="D2594" s="1" t="s">
        <v>2827</v>
      </c>
      <c r="E2594" s="1" t="s">
        <v>25</v>
      </c>
      <c r="F2594">
        <v>659</v>
      </c>
      <c r="G2594">
        <v>659</v>
      </c>
      <c r="H2594">
        <v>74.5</v>
      </c>
      <c r="I2594" s="1" t="s">
        <v>1528</v>
      </c>
      <c r="J2594" s="1" t="s">
        <v>1336</v>
      </c>
      <c r="K2594" t="s">
        <v>25</v>
      </c>
      <c r="L2594" t="s">
        <v>25</v>
      </c>
      <c r="M2594" t="s">
        <v>25</v>
      </c>
      <c r="N2594" t="str">
        <f t="shared" si="64"/>
        <v>Na</v>
      </c>
      <c r="O2594" s="1" t="s">
        <v>25</v>
      </c>
      <c r="P2594" s="3" t="s">
        <v>25</v>
      </c>
      <c r="Q2594" s="37">
        <v>0.4814905778103179</v>
      </c>
      <c r="R2594" t="str">
        <f t="shared" si="65"/>
        <v>mmol/mol</v>
      </c>
      <c r="S2594" s="13" t="s">
        <v>25</v>
      </c>
    </row>
    <row r="2595" spans="1:19">
      <c r="A2595" s="18" t="s">
        <v>2676</v>
      </c>
      <c r="B2595" s="1" t="s">
        <v>2687</v>
      </c>
      <c r="C2595" s="1" t="s">
        <v>2826</v>
      </c>
      <c r="D2595" s="1" t="s">
        <v>2827</v>
      </c>
      <c r="E2595" s="1" t="s">
        <v>25</v>
      </c>
      <c r="F2595">
        <v>659</v>
      </c>
      <c r="G2595">
        <v>659</v>
      </c>
      <c r="H2595">
        <v>77</v>
      </c>
      <c r="I2595" s="1" t="s">
        <v>1528</v>
      </c>
      <c r="J2595" s="1" t="s">
        <v>1336</v>
      </c>
      <c r="K2595" t="s">
        <v>25</v>
      </c>
      <c r="L2595" t="s">
        <v>25</v>
      </c>
      <c r="M2595" t="s">
        <v>25</v>
      </c>
      <c r="N2595" t="str">
        <f t="shared" si="64"/>
        <v>Na</v>
      </c>
      <c r="O2595" s="1" t="s">
        <v>25</v>
      </c>
      <c r="P2595" s="3" t="s">
        <v>25</v>
      </c>
      <c r="Q2595" s="37">
        <v>9.3483887101092344E-3</v>
      </c>
      <c r="R2595" t="str">
        <f t="shared" si="65"/>
        <v>mmol/mol</v>
      </c>
      <c r="S2595" s="13" t="s">
        <v>25</v>
      </c>
    </row>
    <row r="2596" spans="1:19">
      <c r="A2596" s="18" t="s">
        <v>2676</v>
      </c>
      <c r="B2596" s="1" t="s">
        <v>2688</v>
      </c>
      <c r="C2596" s="1" t="s">
        <v>2826</v>
      </c>
      <c r="D2596" s="1" t="s">
        <v>2827</v>
      </c>
      <c r="E2596" s="1" t="s">
        <v>25</v>
      </c>
      <c r="F2596">
        <v>659</v>
      </c>
      <c r="G2596">
        <v>659</v>
      </c>
      <c r="H2596">
        <v>79</v>
      </c>
      <c r="I2596" s="1" t="s">
        <v>1528</v>
      </c>
      <c r="J2596" s="1" t="s">
        <v>1491</v>
      </c>
      <c r="K2596" t="s">
        <v>25</v>
      </c>
      <c r="L2596">
        <v>-1.02370823130436</v>
      </c>
      <c r="M2596" s="1" t="s">
        <v>23</v>
      </c>
      <c r="N2596" t="str">
        <f t="shared" si="64"/>
        <v>SW</v>
      </c>
      <c r="O2596" s="1" t="s">
        <v>25</v>
      </c>
      <c r="P2596" s="3" t="s">
        <v>25</v>
      </c>
      <c r="Q2596" s="37">
        <v>0.10305269612979231</v>
      </c>
      <c r="R2596" t="str">
        <f t="shared" si="65"/>
        <v>mmol/mol</v>
      </c>
      <c r="S2596" s="13">
        <f t="shared" si="63"/>
        <v>-1.02370823130436</v>
      </c>
    </row>
    <row r="2597" spans="1:19">
      <c r="A2597" s="18" t="s">
        <v>2676</v>
      </c>
      <c r="B2597" s="1" t="s">
        <v>2689</v>
      </c>
      <c r="C2597" s="1" t="s">
        <v>2826</v>
      </c>
      <c r="D2597" s="1" t="s">
        <v>2827</v>
      </c>
      <c r="E2597" s="1" t="s">
        <v>25</v>
      </c>
      <c r="F2597">
        <v>659</v>
      </c>
      <c r="G2597">
        <v>659</v>
      </c>
      <c r="H2597">
        <v>82</v>
      </c>
      <c r="I2597" s="1" t="s">
        <v>1528</v>
      </c>
      <c r="J2597" s="1" t="s">
        <v>1491</v>
      </c>
      <c r="K2597" t="s">
        <v>25</v>
      </c>
      <c r="L2597">
        <v>-1.1305255665354867</v>
      </c>
      <c r="M2597" s="1" t="s">
        <v>23</v>
      </c>
      <c r="N2597" t="str">
        <f t="shared" si="64"/>
        <v>SW</v>
      </c>
      <c r="O2597" s="1" t="s">
        <v>25</v>
      </c>
      <c r="P2597" s="3" t="s">
        <v>25</v>
      </c>
      <c r="Q2597" s="37">
        <v>0.10738572627586009</v>
      </c>
      <c r="R2597" t="str">
        <f t="shared" si="65"/>
        <v>mmol/mol</v>
      </c>
      <c r="S2597" s="13">
        <f t="shared" si="63"/>
        <v>-1.1305255665354867</v>
      </c>
    </row>
    <row r="2598" spans="1:19">
      <c r="A2598" s="18" t="s">
        <v>2676</v>
      </c>
      <c r="B2598" s="1" t="s">
        <v>2690</v>
      </c>
      <c r="C2598" s="1" t="s">
        <v>2826</v>
      </c>
      <c r="D2598" s="1" t="s">
        <v>2827</v>
      </c>
      <c r="E2598" s="1" t="s">
        <v>25</v>
      </c>
      <c r="F2598">
        <v>659</v>
      </c>
      <c r="G2598">
        <v>659</v>
      </c>
      <c r="H2598">
        <v>85</v>
      </c>
      <c r="I2598" s="1" t="s">
        <v>1528</v>
      </c>
      <c r="J2598" s="1" t="s">
        <v>1491</v>
      </c>
      <c r="K2598" t="s">
        <v>25</v>
      </c>
      <c r="L2598">
        <v>-1.0899311480672933</v>
      </c>
      <c r="M2598" s="1" t="s">
        <v>23</v>
      </c>
      <c r="N2598" t="str">
        <f t="shared" si="64"/>
        <v>SW</v>
      </c>
      <c r="O2598" s="1" t="s">
        <v>25</v>
      </c>
      <c r="P2598" s="3" t="s">
        <v>25</v>
      </c>
      <c r="Q2598" s="37">
        <v>0.16200425356754364</v>
      </c>
      <c r="R2598" t="str">
        <f t="shared" si="65"/>
        <v>mmol/mol</v>
      </c>
      <c r="S2598" s="13">
        <f t="shared" si="63"/>
        <v>-1.0899311480672933</v>
      </c>
    </row>
    <row r="2599" spans="1:19">
      <c r="A2599" s="18" t="s">
        <v>2676</v>
      </c>
      <c r="B2599" s="1" t="s">
        <v>2691</v>
      </c>
      <c r="C2599" s="1" t="s">
        <v>2826</v>
      </c>
      <c r="D2599" s="1" t="s">
        <v>2827</v>
      </c>
      <c r="E2599" s="1" t="s">
        <v>25</v>
      </c>
      <c r="F2599">
        <v>659</v>
      </c>
      <c r="G2599">
        <v>659</v>
      </c>
      <c r="H2599">
        <v>89</v>
      </c>
      <c r="I2599" s="1" t="s">
        <v>1528</v>
      </c>
      <c r="J2599" s="1" t="s">
        <v>1491</v>
      </c>
      <c r="K2599" t="s">
        <v>25</v>
      </c>
      <c r="L2599">
        <v>-1.0627356411400095</v>
      </c>
      <c r="M2599" s="1" t="s">
        <v>23</v>
      </c>
      <c r="N2599" t="str">
        <f t="shared" si="64"/>
        <v>SW</v>
      </c>
      <c r="O2599" s="1" t="s">
        <v>25</v>
      </c>
      <c r="P2599" s="3" t="s">
        <v>25</v>
      </c>
      <c r="Q2599" s="37">
        <v>0.14796735175787554</v>
      </c>
      <c r="R2599" t="str">
        <f t="shared" si="65"/>
        <v>mmol/mol</v>
      </c>
      <c r="S2599" s="13">
        <f t="shared" si="63"/>
        <v>-1.0627356411400095</v>
      </c>
    </row>
    <row r="2600" spans="1:19">
      <c r="A2600" s="18" t="s">
        <v>2676</v>
      </c>
      <c r="B2600" s="1" t="s">
        <v>2692</v>
      </c>
      <c r="C2600" s="1" t="s">
        <v>2826</v>
      </c>
      <c r="D2600" s="1" t="s">
        <v>2827</v>
      </c>
      <c r="E2600" s="1" t="s">
        <v>25</v>
      </c>
      <c r="F2600">
        <v>659</v>
      </c>
      <c r="G2600">
        <v>659</v>
      </c>
      <c r="H2600">
        <v>92</v>
      </c>
      <c r="I2600" s="1" t="s">
        <v>1528</v>
      </c>
      <c r="J2600" s="1" t="s">
        <v>1491</v>
      </c>
      <c r="K2600" t="s">
        <v>25</v>
      </c>
      <c r="L2600" t="s">
        <v>25</v>
      </c>
      <c r="M2600" t="s">
        <v>25</v>
      </c>
      <c r="N2600" t="str">
        <f t="shared" si="64"/>
        <v>Na</v>
      </c>
      <c r="O2600" s="1" t="s">
        <v>25</v>
      </c>
      <c r="P2600" s="3" t="s">
        <v>25</v>
      </c>
      <c r="Q2600" s="37" t="s">
        <v>25</v>
      </c>
      <c r="R2600" t="str">
        <f t="shared" si="65"/>
        <v>Na</v>
      </c>
      <c r="S2600" s="13" t="s">
        <v>25</v>
      </c>
    </row>
    <row r="2601" spans="1:19">
      <c r="A2601" s="18" t="s">
        <v>2676</v>
      </c>
      <c r="B2601" s="1" t="s">
        <v>2693</v>
      </c>
      <c r="C2601" s="1" t="s">
        <v>2826</v>
      </c>
      <c r="D2601" s="1" t="s">
        <v>2827</v>
      </c>
      <c r="E2601" s="1" t="s">
        <v>25</v>
      </c>
      <c r="F2601">
        <v>659</v>
      </c>
      <c r="G2601">
        <v>659</v>
      </c>
      <c r="H2601">
        <v>95</v>
      </c>
      <c r="I2601" s="1" t="s">
        <v>1528</v>
      </c>
      <c r="J2601" s="1" t="s">
        <v>1491</v>
      </c>
      <c r="K2601" t="s">
        <v>25</v>
      </c>
      <c r="L2601">
        <v>-1.0155856991389571</v>
      </c>
      <c r="M2601" s="1" t="s">
        <v>23</v>
      </c>
      <c r="N2601" t="str">
        <f t="shared" si="64"/>
        <v>SW</v>
      </c>
      <c r="O2601" s="1" t="s">
        <v>25</v>
      </c>
      <c r="P2601" s="3" t="s">
        <v>25</v>
      </c>
      <c r="Q2601" s="37">
        <v>0.10527694078814603</v>
      </c>
      <c r="R2601" t="str">
        <f t="shared" si="65"/>
        <v>mmol/mol</v>
      </c>
      <c r="S2601" s="13">
        <f t="shared" si="63"/>
        <v>-1.0155856991389571</v>
      </c>
    </row>
    <row r="2602" spans="1:19">
      <c r="A2602" s="18" t="s">
        <v>2676</v>
      </c>
      <c r="B2602" s="1" t="s">
        <v>2694</v>
      </c>
      <c r="C2602" s="1" t="s">
        <v>2826</v>
      </c>
      <c r="D2602" s="1" t="s">
        <v>2827</v>
      </c>
      <c r="E2602" s="1" t="s">
        <v>25</v>
      </c>
      <c r="F2602">
        <v>659</v>
      </c>
      <c r="G2602">
        <v>659</v>
      </c>
      <c r="H2602">
        <v>98</v>
      </c>
      <c r="I2602" s="1" t="s">
        <v>1528</v>
      </c>
      <c r="J2602" s="1" t="s">
        <v>1491</v>
      </c>
      <c r="K2602" t="s">
        <v>25</v>
      </c>
      <c r="L2602" t="s">
        <v>25</v>
      </c>
      <c r="M2602" t="s">
        <v>25</v>
      </c>
      <c r="N2602" t="str">
        <f t="shared" si="64"/>
        <v>Na</v>
      </c>
      <c r="O2602" s="1" t="s">
        <v>25</v>
      </c>
      <c r="P2602" s="3" t="s">
        <v>25</v>
      </c>
      <c r="Q2602" s="37" t="s">
        <v>25</v>
      </c>
      <c r="R2602" t="str">
        <f t="shared" si="65"/>
        <v>Na</v>
      </c>
      <c r="S2602" s="13" t="s">
        <v>25</v>
      </c>
    </row>
    <row r="2603" spans="1:19">
      <c r="A2603" s="18" t="s">
        <v>2676</v>
      </c>
      <c r="B2603" s="1" t="s">
        <v>2695</v>
      </c>
      <c r="C2603" s="1" t="s">
        <v>2826</v>
      </c>
      <c r="D2603" s="1" t="s">
        <v>2827</v>
      </c>
      <c r="E2603" s="1" t="s">
        <v>25</v>
      </c>
      <c r="F2603">
        <v>659</v>
      </c>
      <c r="G2603">
        <v>659</v>
      </c>
      <c r="H2603">
        <v>101</v>
      </c>
      <c r="I2603" s="1" t="s">
        <v>1528</v>
      </c>
      <c r="J2603" s="1" t="s">
        <v>1491</v>
      </c>
      <c r="K2603" t="s">
        <v>25</v>
      </c>
      <c r="L2603">
        <v>-1.0608589970868767</v>
      </c>
      <c r="M2603" s="1" t="s">
        <v>23</v>
      </c>
      <c r="N2603" t="str">
        <f t="shared" si="64"/>
        <v>SW</v>
      </c>
      <c r="O2603" s="1" t="s">
        <v>25</v>
      </c>
      <c r="P2603" s="3" t="s">
        <v>25</v>
      </c>
      <c r="Q2603" s="37">
        <v>0.12478127236874162</v>
      </c>
      <c r="R2603" t="str">
        <f t="shared" si="65"/>
        <v>mmol/mol</v>
      </c>
      <c r="S2603" s="13">
        <f t="shared" si="63"/>
        <v>-1.0608589970868767</v>
      </c>
    </row>
    <row r="2604" spans="1:19">
      <c r="A2604" s="18" t="s">
        <v>2676</v>
      </c>
      <c r="B2604" s="1" t="s">
        <v>2696</v>
      </c>
      <c r="C2604" s="1" t="s">
        <v>2826</v>
      </c>
      <c r="D2604" s="1" t="s">
        <v>2827</v>
      </c>
      <c r="E2604" s="1" t="s">
        <v>25</v>
      </c>
      <c r="F2604">
        <v>659</v>
      </c>
      <c r="G2604">
        <v>659</v>
      </c>
      <c r="H2604">
        <v>105</v>
      </c>
      <c r="I2604" s="1" t="s">
        <v>1528</v>
      </c>
      <c r="J2604" s="1" t="s">
        <v>1491</v>
      </c>
      <c r="K2604" t="s">
        <v>25</v>
      </c>
      <c r="L2604" t="s">
        <v>25</v>
      </c>
      <c r="M2604" t="s">
        <v>25</v>
      </c>
      <c r="N2604" t="str">
        <f t="shared" si="64"/>
        <v>Na</v>
      </c>
      <c r="O2604" s="1" t="s">
        <v>25</v>
      </c>
      <c r="P2604" s="3" t="s">
        <v>25</v>
      </c>
      <c r="Q2604" s="37" t="s">
        <v>25</v>
      </c>
      <c r="R2604" t="str">
        <f t="shared" si="65"/>
        <v>Na</v>
      </c>
      <c r="S2604" s="13" t="s">
        <v>25</v>
      </c>
    </row>
    <row r="2605" spans="1:19">
      <c r="A2605" s="18" t="s">
        <v>2676</v>
      </c>
      <c r="B2605" s="1" t="s">
        <v>2697</v>
      </c>
      <c r="C2605" s="1" t="s">
        <v>2826</v>
      </c>
      <c r="D2605" s="1" t="s">
        <v>2827</v>
      </c>
      <c r="E2605" s="1" t="s">
        <v>25</v>
      </c>
      <c r="F2605">
        <v>659</v>
      </c>
      <c r="G2605">
        <v>659</v>
      </c>
      <c r="H2605">
        <v>108</v>
      </c>
      <c r="I2605" s="1" t="s">
        <v>1528</v>
      </c>
      <c r="J2605" s="1" t="s">
        <v>1491</v>
      </c>
      <c r="K2605" t="s">
        <v>25</v>
      </c>
      <c r="L2605" t="s">
        <v>25</v>
      </c>
      <c r="M2605" t="s">
        <v>25</v>
      </c>
      <c r="N2605" t="str">
        <f t="shared" si="64"/>
        <v>Na</v>
      </c>
      <c r="O2605" s="1" t="s">
        <v>25</v>
      </c>
      <c r="P2605" s="3" t="s">
        <v>25</v>
      </c>
      <c r="Q2605" s="37" t="s">
        <v>25</v>
      </c>
      <c r="R2605" t="str">
        <f t="shared" si="65"/>
        <v>Na</v>
      </c>
      <c r="S2605" s="13" t="s">
        <v>25</v>
      </c>
    </row>
    <row r="2606" spans="1:19">
      <c r="A2606" s="18" t="s">
        <v>2676</v>
      </c>
      <c r="B2606" s="1" t="s">
        <v>2698</v>
      </c>
      <c r="C2606" s="1" t="s">
        <v>2826</v>
      </c>
      <c r="D2606" s="1" t="s">
        <v>2827</v>
      </c>
      <c r="E2606" s="1" t="s">
        <v>25</v>
      </c>
      <c r="F2606">
        <v>659</v>
      </c>
      <c r="G2606">
        <v>659</v>
      </c>
      <c r="H2606">
        <v>111</v>
      </c>
      <c r="I2606" s="1" t="s">
        <v>1528</v>
      </c>
      <c r="J2606" s="1" t="s">
        <v>1491</v>
      </c>
      <c r="K2606" t="s">
        <v>25</v>
      </c>
      <c r="L2606" t="s">
        <v>25</v>
      </c>
      <c r="M2606" t="s">
        <v>25</v>
      </c>
      <c r="N2606" t="str">
        <f t="shared" si="64"/>
        <v>Na</v>
      </c>
      <c r="O2606" s="1" t="s">
        <v>25</v>
      </c>
      <c r="P2606" s="3" t="s">
        <v>25</v>
      </c>
      <c r="Q2606" s="37" t="s">
        <v>25</v>
      </c>
      <c r="R2606" t="str">
        <f t="shared" si="65"/>
        <v>Na</v>
      </c>
      <c r="S2606" s="13" t="s">
        <v>25</v>
      </c>
    </row>
    <row r="2607" spans="1:19">
      <c r="A2607" s="18" t="s">
        <v>2676</v>
      </c>
      <c r="B2607" s="1" t="s">
        <v>2699</v>
      </c>
      <c r="C2607" s="1" t="s">
        <v>2826</v>
      </c>
      <c r="D2607" s="1" t="s">
        <v>2827</v>
      </c>
      <c r="E2607" s="1" t="s">
        <v>25</v>
      </c>
      <c r="F2607">
        <v>659</v>
      </c>
      <c r="G2607">
        <v>659</v>
      </c>
      <c r="H2607">
        <v>114</v>
      </c>
      <c r="I2607" s="1" t="s">
        <v>1528</v>
      </c>
      <c r="J2607" s="1" t="s">
        <v>1491</v>
      </c>
      <c r="K2607" t="s">
        <v>25</v>
      </c>
      <c r="L2607">
        <v>-1.1402016360070599</v>
      </c>
      <c r="M2607" s="1" t="s">
        <v>23</v>
      </c>
      <c r="N2607" t="str">
        <f t="shared" si="64"/>
        <v>SW</v>
      </c>
      <c r="O2607" s="1" t="s">
        <v>25</v>
      </c>
      <c r="P2607" s="3" t="s">
        <v>25</v>
      </c>
      <c r="Q2607" s="37">
        <v>0.12440469113679604</v>
      </c>
      <c r="R2607" t="str">
        <f t="shared" si="65"/>
        <v>mmol/mol</v>
      </c>
      <c r="S2607" s="13">
        <f t="shared" ref="S2607:S2666" si="66">IF(NOT(N2607="SW"),L2607-1.88,L2607)</f>
        <v>-1.1402016360070599</v>
      </c>
    </row>
    <row r="2608" spans="1:19">
      <c r="A2608" s="18" t="s">
        <v>2676</v>
      </c>
      <c r="B2608" s="1" t="s">
        <v>2700</v>
      </c>
      <c r="C2608" s="1" t="s">
        <v>2826</v>
      </c>
      <c r="D2608" s="1" t="s">
        <v>2827</v>
      </c>
      <c r="E2608" s="1" t="s">
        <v>25</v>
      </c>
      <c r="F2608">
        <v>659</v>
      </c>
      <c r="G2608">
        <v>659</v>
      </c>
      <c r="H2608">
        <v>117</v>
      </c>
      <c r="I2608" s="1" t="s">
        <v>1528</v>
      </c>
      <c r="J2608" s="1" t="s">
        <v>1491</v>
      </c>
      <c r="K2608" t="s">
        <v>25</v>
      </c>
      <c r="L2608">
        <v>-1.1231080111108294</v>
      </c>
      <c r="M2608" s="1" t="s">
        <v>23</v>
      </c>
      <c r="N2608" t="str">
        <f t="shared" si="64"/>
        <v>SW</v>
      </c>
      <c r="O2608" s="1" t="s">
        <v>25</v>
      </c>
      <c r="P2608" s="3" t="s">
        <v>25</v>
      </c>
      <c r="Q2608" s="37">
        <v>0.14180232305576074</v>
      </c>
      <c r="R2608" t="str">
        <f t="shared" si="65"/>
        <v>mmol/mol</v>
      </c>
      <c r="S2608" s="13">
        <f t="shared" si="66"/>
        <v>-1.1231080111108294</v>
      </c>
    </row>
    <row r="2609" spans="1:19">
      <c r="A2609" s="18" t="s">
        <v>2676</v>
      </c>
      <c r="B2609" s="1" t="s">
        <v>2701</v>
      </c>
      <c r="C2609" s="1" t="s">
        <v>2826</v>
      </c>
      <c r="D2609" s="1" t="s">
        <v>2827</v>
      </c>
      <c r="E2609" s="1" t="s">
        <v>25</v>
      </c>
      <c r="F2609">
        <v>659</v>
      </c>
      <c r="G2609">
        <v>659</v>
      </c>
      <c r="H2609">
        <v>120</v>
      </c>
      <c r="I2609" s="1" t="s">
        <v>1528</v>
      </c>
      <c r="J2609" s="1" t="s">
        <v>1491</v>
      </c>
      <c r="K2609" t="s">
        <v>25</v>
      </c>
      <c r="L2609">
        <v>-1.1426643431357171</v>
      </c>
      <c r="M2609" s="1" t="s">
        <v>23</v>
      </c>
      <c r="N2609" t="str">
        <f t="shared" si="64"/>
        <v>SW</v>
      </c>
      <c r="O2609" s="1" t="s">
        <v>25</v>
      </c>
      <c r="P2609" s="3" t="s">
        <v>25</v>
      </c>
      <c r="Q2609" s="37">
        <v>0.4937076705836676</v>
      </c>
      <c r="R2609" t="str">
        <f t="shared" si="65"/>
        <v>mmol/mol</v>
      </c>
      <c r="S2609" s="13">
        <f t="shared" si="66"/>
        <v>-1.1426643431357171</v>
      </c>
    </row>
    <row r="2610" spans="1:19">
      <c r="A2610" s="18" t="s">
        <v>2676</v>
      </c>
      <c r="B2610" s="1" t="s">
        <v>2702</v>
      </c>
      <c r="C2610" s="1" t="s">
        <v>2826</v>
      </c>
      <c r="D2610" s="1" t="s">
        <v>2827</v>
      </c>
      <c r="E2610" s="1" t="s">
        <v>25</v>
      </c>
      <c r="F2610">
        <v>659</v>
      </c>
      <c r="G2610">
        <v>659</v>
      </c>
      <c r="H2610">
        <v>1.8</v>
      </c>
      <c r="I2610" s="1" t="s">
        <v>1528</v>
      </c>
      <c r="J2610" s="1" t="s">
        <v>1491</v>
      </c>
      <c r="K2610" t="s">
        <v>25</v>
      </c>
      <c r="L2610">
        <v>-1.1612875972690062</v>
      </c>
      <c r="M2610" s="1" t="s">
        <v>23</v>
      </c>
      <c r="N2610" t="str">
        <f t="shared" si="64"/>
        <v>SW</v>
      </c>
      <c r="O2610" s="1" t="s">
        <v>25</v>
      </c>
      <c r="P2610" s="3" t="s">
        <v>25</v>
      </c>
      <c r="Q2610" s="37">
        <v>0.58976179049566702</v>
      </c>
      <c r="R2610" t="str">
        <f t="shared" si="65"/>
        <v>mmol/mol</v>
      </c>
      <c r="S2610" s="13">
        <f t="shared" si="66"/>
        <v>-1.1612875972690062</v>
      </c>
    </row>
    <row r="2611" spans="1:19">
      <c r="A2611" s="18" t="s">
        <v>2676</v>
      </c>
      <c r="B2611" s="1" t="s">
        <v>2703</v>
      </c>
      <c r="C2611" s="1" t="s">
        <v>2826</v>
      </c>
      <c r="D2611" s="1" t="s">
        <v>2827</v>
      </c>
      <c r="E2611" s="1" t="s">
        <v>25</v>
      </c>
      <c r="F2611">
        <v>659</v>
      </c>
      <c r="G2611">
        <v>659</v>
      </c>
      <c r="H2611">
        <v>3</v>
      </c>
      <c r="I2611" s="1" t="s">
        <v>1528</v>
      </c>
      <c r="J2611" s="1" t="s">
        <v>1491</v>
      </c>
      <c r="K2611" t="s">
        <v>25</v>
      </c>
      <c r="L2611">
        <v>-1.3808781305123992</v>
      </c>
      <c r="M2611" s="1" t="s">
        <v>23</v>
      </c>
      <c r="N2611" t="str">
        <f t="shared" si="64"/>
        <v>SW</v>
      </c>
      <c r="O2611" s="1" t="s">
        <v>25</v>
      </c>
      <c r="P2611" s="3" t="s">
        <v>25</v>
      </c>
      <c r="Q2611" s="37">
        <v>0.17093368931616998</v>
      </c>
      <c r="R2611" t="str">
        <f t="shared" si="65"/>
        <v>mmol/mol</v>
      </c>
      <c r="S2611" s="13">
        <f t="shared" si="66"/>
        <v>-1.3808781305123992</v>
      </c>
    </row>
    <row r="2612" spans="1:19">
      <c r="A2612" s="18" t="s">
        <v>2676</v>
      </c>
      <c r="B2612" s="1" t="s">
        <v>2704</v>
      </c>
      <c r="C2612" s="1" t="s">
        <v>2826</v>
      </c>
      <c r="D2612" s="1" t="s">
        <v>2827</v>
      </c>
      <c r="E2612" s="1" t="s">
        <v>25</v>
      </c>
      <c r="F2612">
        <v>659</v>
      </c>
      <c r="G2612">
        <v>659</v>
      </c>
      <c r="H2612">
        <v>5.4</v>
      </c>
      <c r="I2612" s="1" t="s">
        <v>1528</v>
      </c>
      <c r="J2612" s="1" t="s">
        <v>1491</v>
      </c>
      <c r="K2612" t="s">
        <v>25</v>
      </c>
      <c r="L2612">
        <v>-1.2428482095241602</v>
      </c>
      <c r="M2612" s="1" t="s">
        <v>23</v>
      </c>
      <c r="N2612" t="str">
        <f t="shared" si="64"/>
        <v>SW</v>
      </c>
      <c r="O2612" s="1" t="s">
        <v>25</v>
      </c>
      <c r="P2612" s="3" t="s">
        <v>25</v>
      </c>
      <c r="Q2612" s="37">
        <v>0.10606063181077643</v>
      </c>
      <c r="R2612" t="str">
        <f t="shared" si="65"/>
        <v>mmol/mol</v>
      </c>
      <c r="S2612" s="13">
        <f t="shared" si="66"/>
        <v>-1.2428482095241602</v>
      </c>
    </row>
    <row r="2613" spans="1:19">
      <c r="A2613" s="18" t="s">
        <v>2676</v>
      </c>
      <c r="B2613" s="1" t="s">
        <v>2705</v>
      </c>
      <c r="C2613" s="1" t="s">
        <v>2826</v>
      </c>
      <c r="D2613" s="1" t="s">
        <v>2827</v>
      </c>
      <c r="E2613" s="1" t="s">
        <v>25</v>
      </c>
      <c r="F2613">
        <v>659</v>
      </c>
      <c r="G2613">
        <v>659</v>
      </c>
      <c r="H2613">
        <v>6</v>
      </c>
      <c r="I2613" s="1" t="s">
        <v>1528</v>
      </c>
      <c r="J2613" s="1" t="s">
        <v>1491</v>
      </c>
      <c r="K2613" t="s">
        <v>25</v>
      </c>
      <c r="L2613">
        <v>-1.0091665400263738</v>
      </c>
      <c r="M2613" s="1" t="s">
        <v>23</v>
      </c>
      <c r="N2613" t="str">
        <f t="shared" si="64"/>
        <v>SW</v>
      </c>
      <c r="O2613" s="1" t="s">
        <v>25</v>
      </c>
      <c r="P2613" s="3" t="s">
        <v>25</v>
      </c>
      <c r="Q2613" s="37">
        <v>0.20153704458124264</v>
      </c>
      <c r="R2613" t="str">
        <f t="shared" si="65"/>
        <v>mmol/mol</v>
      </c>
      <c r="S2613" s="13">
        <f t="shared" si="66"/>
        <v>-1.0091665400263738</v>
      </c>
    </row>
    <row r="2614" spans="1:19">
      <c r="A2614" s="18" t="s">
        <v>2676</v>
      </c>
      <c r="B2614" s="1" t="s">
        <v>2706</v>
      </c>
      <c r="C2614" s="1" t="s">
        <v>2826</v>
      </c>
      <c r="D2614" s="1" t="s">
        <v>2827</v>
      </c>
      <c r="E2614" s="1" t="s">
        <v>25</v>
      </c>
      <c r="F2614">
        <v>659</v>
      </c>
      <c r="G2614">
        <v>659</v>
      </c>
      <c r="H2614">
        <v>8</v>
      </c>
      <c r="I2614" s="1" t="s">
        <v>1528</v>
      </c>
      <c r="J2614" s="1" t="s">
        <v>1491</v>
      </c>
      <c r="K2614" t="s">
        <v>25</v>
      </c>
      <c r="L2614">
        <v>-1.2291900258941251</v>
      </c>
      <c r="M2614" s="1" t="s">
        <v>23</v>
      </c>
      <c r="N2614" t="str">
        <f t="shared" si="64"/>
        <v>SW</v>
      </c>
      <c r="O2614" s="1" t="s">
        <v>25</v>
      </c>
      <c r="P2614" s="3" t="s">
        <v>25</v>
      </c>
      <c r="Q2614" s="37">
        <v>7.9541238671494166E-2</v>
      </c>
      <c r="R2614" t="str">
        <f t="shared" si="65"/>
        <v>mmol/mol</v>
      </c>
      <c r="S2614" s="13">
        <f t="shared" si="66"/>
        <v>-1.2291900258941251</v>
      </c>
    </row>
    <row r="2615" spans="1:19">
      <c r="A2615" s="18" t="s">
        <v>2676</v>
      </c>
      <c r="B2615" s="1" t="s">
        <v>2707</v>
      </c>
      <c r="C2615" s="1" t="s">
        <v>2826</v>
      </c>
      <c r="D2615" s="1" t="s">
        <v>2827</v>
      </c>
      <c r="E2615" s="1" t="s">
        <v>25</v>
      </c>
      <c r="F2615">
        <v>659</v>
      </c>
      <c r="G2615">
        <v>659</v>
      </c>
      <c r="H2615">
        <v>11</v>
      </c>
      <c r="I2615" s="1" t="s">
        <v>1528</v>
      </c>
      <c r="J2615" s="1" t="s">
        <v>1491</v>
      </c>
      <c r="K2615" t="s">
        <v>25</v>
      </c>
      <c r="L2615">
        <v>-1.1449868681161657</v>
      </c>
      <c r="M2615" s="1" t="s">
        <v>23</v>
      </c>
      <c r="N2615" t="str">
        <f t="shared" si="64"/>
        <v>SW</v>
      </c>
      <c r="O2615" s="1" t="s">
        <v>25</v>
      </c>
      <c r="P2615" s="3" t="s">
        <v>25</v>
      </c>
      <c r="Q2615" s="37">
        <v>0.31742035135221747</v>
      </c>
      <c r="R2615" t="str">
        <f t="shared" si="65"/>
        <v>mmol/mol</v>
      </c>
      <c r="S2615" s="13">
        <f t="shared" si="66"/>
        <v>-1.1449868681161657</v>
      </c>
    </row>
    <row r="2616" spans="1:19">
      <c r="A2616" s="18" t="s">
        <v>2676</v>
      </c>
      <c r="B2616" s="1" t="s">
        <v>2708</v>
      </c>
      <c r="C2616" s="1" t="s">
        <v>2826</v>
      </c>
      <c r="D2616" s="1" t="s">
        <v>2827</v>
      </c>
      <c r="E2616" s="1" t="s">
        <v>25</v>
      </c>
      <c r="F2616">
        <v>659</v>
      </c>
      <c r="G2616">
        <v>659</v>
      </c>
      <c r="H2616">
        <v>13</v>
      </c>
      <c r="I2616" s="1" t="s">
        <v>1528</v>
      </c>
      <c r="J2616" s="1" t="s">
        <v>1491</v>
      </c>
      <c r="K2616" t="s">
        <v>25</v>
      </c>
      <c r="L2616">
        <v>-1.3138039926890777</v>
      </c>
      <c r="M2616" s="1" t="s">
        <v>23</v>
      </c>
      <c r="N2616" t="str">
        <f t="shared" si="64"/>
        <v>SW</v>
      </c>
      <c r="O2616" s="1" t="s">
        <v>25</v>
      </c>
      <c r="P2616" s="3" t="s">
        <v>25</v>
      </c>
      <c r="Q2616" s="37">
        <v>0.22584123915570498</v>
      </c>
      <c r="R2616" t="str">
        <f t="shared" si="65"/>
        <v>mmol/mol</v>
      </c>
      <c r="S2616" s="13">
        <f t="shared" si="66"/>
        <v>-1.3138039926890777</v>
      </c>
    </row>
    <row r="2617" spans="1:19">
      <c r="A2617" s="18" t="s">
        <v>2676</v>
      </c>
      <c r="B2617" s="1" t="s">
        <v>2709</v>
      </c>
      <c r="C2617" s="1" t="s">
        <v>2826</v>
      </c>
      <c r="D2617" s="1" t="s">
        <v>2827</v>
      </c>
      <c r="E2617" s="1" t="s">
        <v>25</v>
      </c>
      <c r="F2617">
        <v>659</v>
      </c>
      <c r="G2617">
        <v>659</v>
      </c>
      <c r="H2617">
        <v>15.2</v>
      </c>
      <c r="I2617" s="1" t="s">
        <v>1528</v>
      </c>
      <c r="J2617" s="1" t="s">
        <v>1491</v>
      </c>
      <c r="K2617" t="s">
        <v>25</v>
      </c>
      <c r="L2617">
        <v>-1.2314904769136417</v>
      </c>
      <c r="M2617" s="1" t="s">
        <v>23</v>
      </c>
      <c r="N2617" t="str">
        <f t="shared" si="64"/>
        <v>SW</v>
      </c>
      <c r="O2617" s="1" t="s">
        <v>25</v>
      </c>
      <c r="P2617" s="3" t="s">
        <v>25</v>
      </c>
      <c r="Q2617" s="37">
        <v>0.1467465907190682</v>
      </c>
      <c r="R2617" t="str">
        <f t="shared" si="65"/>
        <v>mmol/mol</v>
      </c>
      <c r="S2617" s="13">
        <f t="shared" si="66"/>
        <v>-1.2314904769136417</v>
      </c>
    </row>
    <row r="2618" spans="1:19">
      <c r="A2618" s="18" t="s">
        <v>2676</v>
      </c>
      <c r="B2618" s="1" t="s">
        <v>2710</v>
      </c>
      <c r="C2618" s="1" t="s">
        <v>2826</v>
      </c>
      <c r="D2618" s="1" t="s">
        <v>2827</v>
      </c>
      <c r="E2618" s="1" t="s">
        <v>25</v>
      </c>
      <c r="F2618">
        <v>659</v>
      </c>
      <c r="G2618">
        <v>659</v>
      </c>
      <c r="H2618">
        <v>18</v>
      </c>
      <c r="I2618" s="1" t="s">
        <v>1528</v>
      </c>
      <c r="J2618" s="1" t="s">
        <v>1491</v>
      </c>
      <c r="K2618" t="s">
        <v>25</v>
      </c>
      <c r="L2618">
        <v>-1.2330082986780675</v>
      </c>
      <c r="M2618" s="1" t="s">
        <v>23</v>
      </c>
      <c r="N2618" t="str">
        <f t="shared" si="64"/>
        <v>SW</v>
      </c>
      <c r="O2618" s="1" t="s">
        <v>25</v>
      </c>
      <c r="P2618" s="3" t="s">
        <v>25</v>
      </c>
      <c r="Q2618" s="37">
        <v>0.13665237206932707</v>
      </c>
      <c r="R2618" t="str">
        <f t="shared" si="65"/>
        <v>mmol/mol</v>
      </c>
      <c r="S2618" s="13">
        <f t="shared" si="66"/>
        <v>-1.2330082986780675</v>
      </c>
    </row>
    <row r="2619" spans="1:19">
      <c r="A2619" s="18" t="s">
        <v>2676</v>
      </c>
      <c r="B2619" s="1" t="s">
        <v>2711</v>
      </c>
      <c r="C2619" s="1" t="s">
        <v>2826</v>
      </c>
      <c r="D2619" s="1" t="s">
        <v>2827</v>
      </c>
      <c r="E2619" s="1" t="s">
        <v>25</v>
      </c>
      <c r="F2619">
        <v>659</v>
      </c>
      <c r="G2619">
        <v>659</v>
      </c>
      <c r="H2619">
        <v>20.2</v>
      </c>
      <c r="I2619" s="1" t="s">
        <v>1528</v>
      </c>
      <c r="J2619" s="1" t="s">
        <v>1491</v>
      </c>
      <c r="K2619" t="s">
        <v>25</v>
      </c>
      <c r="L2619">
        <v>-1.203278659257037</v>
      </c>
      <c r="M2619" s="1" t="s">
        <v>23</v>
      </c>
      <c r="N2619" t="str">
        <f t="shared" si="64"/>
        <v>SW</v>
      </c>
      <c r="O2619" s="1" t="s">
        <v>25</v>
      </c>
      <c r="P2619" s="3" t="s">
        <v>25</v>
      </c>
      <c r="Q2619" s="37">
        <v>0.59222621772620243</v>
      </c>
      <c r="R2619" t="str">
        <f t="shared" si="65"/>
        <v>mmol/mol</v>
      </c>
      <c r="S2619" s="13">
        <f t="shared" si="66"/>
        <v>-1.203278659257037</v>
      </c>
    </row>
    <row r="2620" spans="1:19">
      <c r="A2620" s="18" t="s">
        <v>2676</v>
      </c>
      <c r="B2620" s="1" t="s">
        <v>2712</v>
      </c>
      <c r="C2620" s="1" t="s">
        <v>2826</v>
      </c>
      <c r="D2620" s="1" t="s">
        <v>2827</v>
      </c>
      <c r="E2620" s="1" t="s">
        <v>25</v>
      </c>
      <c r="F2620">
        <v>659</v>
      </c>
      <c r="G2620">
        <v>659</v>
      </c>
      <c r="H2620">
        <v>27</v>
      </c>
      <c r="I2620" s="1" t="s">
        <v>1528</v>
      </c>
      <c r="J2620" s="1" t="s">
        <v>1491</v>
      </c>
      <c r="K2620" t="s">
        <v>25</v>
      </c>
      <c r="L2620">
        <v>-1.1057106475376499</v>
      </c>
      <c r="M2620" s="1" t="s">
        <v>23</v>
      </c>
      <c r="N2620" t="str">
        <f t="shared" si="64"/>
        <v>SW</v>
      </c>
      <c r="O2620" s="1" t="s">
        <v>25</v>
      </c>
      <c r="P2620" s="3" t="s">
        <v>25</v>
      </c>
      <c r="Q2620" s="37">
        <v>0.30315464159045513</v>
      </c>
      <c r="R2620" t="str">
        <f t="shared" si="65"/>
        <v>mmol/mol</v>
      </c>
      <c r="S2620" s="13">
        <f t="shared" si="66"/>
        <v>-1.1057106475376499</v>
      </c>
    </row>
    <row r="2621" spans="1:19">
      <c r="A2621" s="18" t="s">
        <v>2676</v>
      </c>
      <c r="B2621" s="1" t="s">
        <v>2713</v>
      </c>
      <c r="C2621" s="1" t="s">
        <v>2826</v>
      </c>
      <c r="D2621" s="1" t="s">
        <v>2827</v>
      </c>
      <c r="E2621" s="1" t="s">
        <v>25</v>
      </c>
      <c r="F2621">
        <v>659</v>
      </c>
      <c r="G2621">
        <v>659</v>
      </c>
      <c r="H2621">
        <v>28.5</v>
      </c>
      <c r="I2621" s="1" t="s">
        <v>1528</v>
      </c>
      <c r="J2621" s="1" t="s">
        <v>1491</v>
      </c>
      <c r="K2621" t="s">
        <v>25</v>
      </c>
      <c r="L2621">
        <v>-1.2286419036665164</v>
      </c>
      <c r="M2621" s="1" t="s">
        <v>23</v>
      </c>
      <c r="N2621" t="str">
        <f t="shared" si="64"/>
        <v>SW</v>
      </c>
      <c r="O2621" s="1" t="s">
        <v>25</v>
      </c>
      <c r="P2621" s="3" t="s">
        <v>25</v>
      </c>
      <c r="Q2621" s="37">
        <v>0.10907235798565318</v>
      </c>
      <c r="R2621" t="str">
        <f t="shared" si="65"/>
        <v>mmol/mol</v>
      </c>
      <c r="S2621" s="13">
        <f t="shared" si="66"/>
        <v>-1.2286419036665164</v>
      </c>
    </row>
    <row r="2622" spans="1:19">
      <c r="A2622" s="18" t="s">
        <v>2676</v>
      </c>
      <c r="B2622" s="1" t="s">
        <v>2714</v>
      </c>
      <c r="C2622" s="1" t="s">
        <v>2826</v>
      </c>
      <c r="D2622" s="1" t="s">
        <v>2827</v>
      </c>
      <c r="E2622" s="1" t="s">
        <v>25</v>
      </c>
      <c r="F2622">
        <v>659</v>
      </c>
      <c r="G2622">
        <v>659</v>
      </c>
      <c r="H2622">
        <v>30.5</v>
      </c>
      <c r="I2622" s="1" t="s">
        <v>1528</v>
      </c>
      <c r="J2622" s="1" t="s">
        <v>1491</v>
      </c>
      <c r="K2622" t="s">
        <v>25</v>
      </c>
      <c r="L2622">
        <v>-1.1836079041241028</v>
      </c>
      <c r="M2622" s="1" t="s">
        <v>23</v>
      </c>
      <c r="N2622" t="str">
        <f t="shared" si="64"/>
        <v>SW</v>
      </c>
      <c r="O2622" s="1" t="s">
        <v>25</v>
      </c>
      <c r="P2622" s="3" t="s">
        <v>25</v>
      </c>
      <c r="Q2622" s="37">
        <v>0.15943686784174105</v>
      </c>
      <c r="R2622" t="str">
        <f t="shared" si="65"/>
        <v>mmol/mol</v>
      </c>
      <c r="S2622" s="13">
        <f t="shared" si="66"/>
        <v>-1.1836079041241028</v>
      </c>
    </row>
    <row r="2623" spans="1:19">
      <c r="A2623" s="18" t="s">
        <v>2676</v>
      </c>
      <c r="B2623" s="1" t="s">
        <v>2715</v>
      </c>
      <c r="C2623" s="1" t="s">
        <v>2826</v>
      </c>
      <c r="D2623" s="1" t="s">
        <v>2827</v>
      </c>
      <c r="E2623" s="1" t="s">
        <v>25</v>
      </c>
      <c r="F2623">
        <v>659</v>
      </c>
      <c r="G2623">
        <v>659</v>
      </c>
      <c r="H2623">
        <v>32</v>
      </c>
      <c r="I2623" s="1" t="s">
        <v>1528</v>
      </c>
      <c r="J2623" s="1" t="s">
        <v>1491</v>
      </c>
      <c r="K2623" t="s">
        <v>25</v>
      </c>
      <c r="L2623">
        <v>-1.2323055630172994</v>
      </c>
      <c r="M2623" s="1" t="s">
        <v>23</v>
      </c>
      <c r="N2623" t="str">
        <f t="shared" si="64"/>
        <v>SW</v>
      </c>
      <c r="O2623" s="1" t="s">
        <v>25</v>
      </c>
      <c r="P2623" s="3" t="s">
        <v>25</v>
      </c>
      <c r="Q2623" s="37">
        <v>0.44502311741097256</v>
      </c>
      <c r="R2623" t="str">
        <f t="shared" si="65"/>
        <v>mmol/mol</v>
      </c>
      <c r="S2623" s="13">
        <f t="shared" si="66"/>
        <v>-1.2323055630172994</v>
      </c>
    </row>
    <row r="2624" spans="1:19">
      <c r="A2624" s="18" t="s">
        <v>2676</v>
      </c>
      <c r="B2624" s="1" t="s">
        <v>2716</v>
      </c>
      <c r="C2624" s="1" t="s">
        <v>2826</v>
      </c>
      <c r="D2624" s="1" t="s">
        <v>2827</v>
      </c>
      <c r="E2624" s="1" t="s">
        <v>25</v>
      </c>
      <c r="F2624">
        <v>659</v>
      </c>
      <c r="G2624">
        <v>659</v>
      </c>
      <c r="H2624">
        <v>34.5</v>
      </c>
      <c r="I2624" s="1" t="s">
        <v>1528</v>
      </c>
      <c r="J2624" s="1" t="s">
        <v>1491</v>
      </c>
      <c r="K2624" t="s">
        <v>25</v>
      </c>
      <c r="L2624">
        <v>-1.0008716983531534</v>
      </c>
      <c r="M2624" s="1" t="s">
        <v>23</v>
      </c>
      <c r="N2624" t="str">
        <f t="shared" si="64"/>
        <v>SW</v>
      </c>
      <c r="O2624" s="1" t="s">
        <v>25</v>
      </c>
      <c r="P2624" s="3" t="s">
        <v>25</v>
      </c>
      <c r="Q2624" s="37" t="s">
        <v>25</v>
      </c>
      <c r="R2624" t="str">
        <f t="shared" si="65"/>
        <v>Na</v>
      </c>
      <c r="S2624" s="13">
        <f t="shared" si="66"/>
        <v>-1.0008716983531534</v>
      </c>
    </row>
    <row r="2625" spans="1:19">
      <c r="A2625" s="18" t="s">
        <v>2676</v>
      </c>
      <c r="B2625" s="1" t="s">
        <v>2717</v>
      </c>
      <c r="C2625" s="1" t="s">
        <v>2826</v>
      </c>
      <c r="D2625" s="1" t="s">
        <v>2827</v>
      </c>
      <c r="E2625" s="1" t="s">
        <v>25</v>
      </c>
      <c r="F2625">
        <v>659</v>
      </c>
      <c r="G2625">
        <v>659</v>
      </c>
      <c r="H2625">
        <v>38</v>
      </c>
      <c r="I2625" s="1" t="s">
        <v>1528</v>
      </c>
      <c r="J2625" s="1" t="s">
        <v>1491</v>
      </c>
      <c r="K2625" t="s">
        <v>25</v>
      </c>
      <c r="L2625">
        <v>-1.0310036695995091</v>
      </c>
      <c r="M2625" s="1" t="s">
        <v>23</v>
      </c>
      <c r="N2625" t="str">
        <f t="shared" si="64"/>
        <v>SW</v>
      </c>
      <c r="O2625" s="1" t="s">
        <v>25</v>
      </c>
      <c r="P2625" s="3" t="s">
        <v>25</v>
      </c>
      <c r="Q2625" s="37">
        <v>0.21181441341906193</v>
      </c>
      <c r="R2625" t="str">
        <f t="shared" si="65"/>
        <v>mmol/mol</v>
      </c>
      <c r="S2625" s="13">
        <f t="shared" si="66"/>
        <v>-1.0310036695995091</v>
      </c>
    </row>
    <row r="2626" spans="1:19">
      <c r="A2626" s="18" t="s">
        <v>2676</v>
      </c>
      <c r="B2626" s="1" t="s">
        <v>2718</v>
      </c>
      <c r="C2626" s="1" t="s">
        <v>2826</v>
      </c>
      <c r="D2626" s="1" t="s">
        <v>2827</v>
      </c>
      <c r="E2626" s="1" t="s">
        <v>25</v>
      </c>
      <c r="F2626">
        <v>659</v>
      </c>
      <c r="G2626">
        <v>659</v>
      </c>
      <c r="H2626">
        <v>40</v>
      </c>
      <c r="I2626" s="1" t="s">
        <v>1528</v>
      </c>
      <c r="J2626" s="1" t="s">
        <v>1491</v>
      </c>
      <c r="K2626" t="s">
        <v>25</v>
      </c>
      <c r="L2626">
        <v>-1.0912275949926331</v>
      </c>
      <c r="M2626" s="1" t="s">
        <v>23</v>
      </c>
      <c r="N2626" t="str">
        <f t="shared" si="64"/>
        <v>SW</v>
      </c>
      <c r="O2626" s="1" t="s">
        <v>25</v>
      </c>
      <c r="P2626" s="3" t="s">
        <v>25</v>
      </c>
      <c r="Q2626" s="37">
        <v>0.13295526638084909</v>
      </c>
      <c r="R2626" t="str">
        <f t="shared" si="65"/>
        <v>mmol/mol</v>
      </c>
      <c r="S2626" s="13">
        <f t="shared" si="66"/>
        <v>-1.0912275949926331</v>
      </c>
    </row>
    <row r="2627" spans="1:19">
      <c r="A2627" s="18" t="s">
        <v>2676</v>
      </c>
      <c r="B2627" s="1" t="s">
        <v>2719</v>
      </c>
      <c r="C2627" s="1" t="s">
        <v>2826</v>
      </c>
      <c r="D2627" s="1" t="s">
        <v>2827</v>
      </c>
      <c r="E2627" s="1" t="s">
        <v>25</v>
      </c>
      <c r="F2627">
        <v>659</v>
      </c>
      <c r="G2627">
        <v>659</v>
      </c>
      <c r="H2627">
        <v>87</v>
      </c>
      <c r="I2627" s="1" t="s">
        <v>1528</v>
      </c>
      <c r="J2627" s="1" t="s">
        <v>1491</v>
      </c>
      <c r="K2627" t="s">
        <v>25</v>
      </c>
      <c r="L2627">
        <v>-0.96253321813191006</v>
      </c>
      <c r="M2627" s="1" t="s">
        <v>23</v>
      </c>
      <c r="N2627" t="str">
        <f t="shared" si="64"/>
        <v>SW</v>
      </c>
      <c r="O2627" s="1" t="s">
        <v>25</v>
      </c>
      <c r="P2627" s="3" t="s">
        <v>25</v>
      </c>
      <c r="Q2627" s="37">
        <v>8.6285049156903548E-2</v>
      </c>
      <c r="R2627" t="str">
        <f t="shared" si="65"/>
        <v>mmol/mol</v>
      </c>
      <c r="S2627" s="13">
        <f t="shared" si="66"/>
        <v>-0.96253321813191006</v>
      </c>
    </row>
    <row r="2628" spans="1:19">
      <c r="A2628" s="18" t="s">
        <v>2676</v>
      </c>
      <c r="B2628" s="1" t="s">
        <v>2720</v>
      </c>
      <c r="C2628" s="1" t="s">
        <v>2826</v>
      </c>
      <c r="D2628" s="1" t="s">
        <v>2827</v>
      </c>
      <c r="E2628" s="1" t="s">
        <v>25</v>
      </c>
      <c r="F2628">
        <v>659</v>
      </c>
      <c r="G2628">
        <v>659</v>
      </c>
      <c r="H2628">
        <v>89</v>
      </c>
      <c r="I2628" s="1" t="s">
        <v>1528</v>
      </c>
      <c r="J2628" s="1" t="s">
        <v>1491</v>
      </c>
      <c r="K2628" t="s">
        <v>25</v>
      </c>
      <c r="L2628">
        <v>-1.2701153269745247</v>
      </c>
      <c r="M2628" s="1" t="s">
        <v>23</v>
      </c>
      <c r="N2628" t="str">
        <f t="shared" si="64"/>
        <v>SW</v>
      </c>
      <c r="O2628" s="1" t="s">
        <v>25</v>
      </c>
      <c r="P2628" s="3" t="s">
        <v>25</v>
      </c>
      <c r="Q2628" s="37">
        <v>0.14194615423710899</v>
      </c>
      <c r="R2628" t="str">
        <f t="shared" si="65"/>
        <v>mmol/mol</v>
      </c>
      <c r="S2628" s="13">
        <f t="shared" si="66"/>
        <v>-1.2701153269745247</v>
      </c>
    </row>
    <row r="2629" spans="1:19">
      <c r="A2629" s="18" t="s">
        <v>2676</v>
      </c>
      <c r="B2629" s="1" t="s">
        <v>2721</v>
      </c>
      <c r="C2629" s="1" t="s">
        <v>2826</v>
      </c>
      <c r="D2629" s="1" t="s">
        <v>2827</v>
      </c>
      <c r="E2629" s="1" t="s">
        <v>25</v>
      </c>
      <c r="F2629">
        <v>659</v>
      </c>
      <c r="G2629">
        <v>659</v>
      </c>
      <c r="H2629">
        <v>95.1</v>
      </c>
      <c r="I2629" s="1" t="s">
        <v>1528</v>
      </c>
      <c r="J2629" s="1" t="s">
        <v>1491</v>
      </c>
      <c r="K2629" t="s">
        <v>25</v>
      </c>
      <c r="L2629">
        <v>-0.98760818901038872</v>
      </c>
      <c r="M2629" s="1" t="s">
        <v>23</v>
      </c>
      <c r="N2629" t="str">
        <f t="shared" si="64"/>
        <v>SW</v>
      </c>
      <c r="O2629" s="1" t="s">
        <v>25</v>
      </c>
      <c r="P2629" s="3" t="s">
        <v>25</v>
      </c>
      <c r="Q2629" s="37" t="s">
        <v>25</v>
      </c>
      <c r="R2629" t="str">
        <f t="shared" si="65"/>
        <v>Na</v>
      </c>
      <c r="S2629" s="13">
        <f t="shared" si="66"/>
        <v>-0.98760818901038872</v>
      </c>
    </row>
    <row r="2630" spans="1:19">
      <c r="A2630" s="18" t="s">
        <v>2676</v>
      </c>
      <c r="B2630" s="1" t="s">
        <v>2722</v>
      </c>
      <c r="C2630" s="1" t="s">
        <v>2826</v>
      </c>
      <c r="D2630" s="1" t="s">
        <v>2827</v>
      </c>
      <c r="E2630" s="1" t="s">
        <v>25</v>
      </c>
      <c r="F2630">
        <v>659</v>
      </c>
      <c r="G2630">
        <v>659</v>
      </c>
      <c r="H2630">
        <v>98</v>
      </c>
      <c r="I2630" s="1" t="s">
        <v>1528</v>
      </c>
      <c r="J2630" s="1" t="s">
        <v>1491</v>
      </c>
      <c r="K2630" t="s">
        <v>25</v>
      </c>
      <c r="L2630">
        <v>-1.0794627710469156</v>
      </c>
      <c r="M2630" s="1" t="s">
        <v>23</v>
      </c>
      <c r="N2630" t="str">
        <f t="shared" si="64"/>
        <v>SW</v>
      </c>
      <c r="O2630" s="1" t="s">
        <v>25</v>
      </c>
      <c r="P2630" s="3" t="s">
        <v>25</v>
      </c>
      <c r="Q2630" s="37" t="s">
        <v>25</v>
      </c>
      <c r="R2630" t="str">
        <f t="shared" si="65"/>
        <v>Na</v>
      </c>
      <c r="S2630" s="13">
        <f t="shared" si="66"/>
        <v>-1.0794627710469156</v>
      </c>
    </row>
    <row r="2631" spans="1:19">
      <c r="A2631" s="18" t="s">
        <v>2676</v>
      </c>
      <c r="B2631" s="1" t="s">
        <v>2723</v>
      </c>
      <c r="C2631" s="1" t="s">
        <v>2826</v>
      </c>
      <c r="D2631" s="1" t="s">
        <v>2827</v>
      </c>
      <c r="E2631" s="1" t="s">
        <v>25</v>
      </c>
      <c r="F2631">
        <v>659</v>
      </c>
      <c r="G2631">
        <v>659</v>
      </c>
      <c r="H2631">
        <v>99</v>
      </c>
      <c r="I2631" s="1" t="s">
        <v>1528</v>
      </c>
      <c r="J2631" s="1" t="s">
        <v>1491</v>
      </c>
      <c r="K2631" t="s">
        <v>25</v>
      </c>
      <c r="L2631">
        <v>-1.0034006801244804</v>
      </c>
      <c r="M2631" s="1" t="s">
        <v>23</v>
      </c>
      <c r="N2631" t="str">
        <f t="shared" si="64"/>
        <v>SW</v>
      </c>
      <c r="O2631" s="1" t="s">
        <v>25</v>
      </c>
      <c r="P2631" s="3" t="s">
        <v>25</v>
      </c>
      <c r="Q2631" s="37" t="s">
        <v>25</v>
      </c>
      <c r="R2631" t="str">
        <f t="shared" si="65"/>
        <v>Na</v>
      </c>
      <c r="S2631" s="13">
        <f t="shared" si="66"/>
        <v>-1.0034006801244804</v>
      </c>
    </row>
    <row r="2632" spans="1:19">
      <c r="A2632" s="18" t="s">
        <v>2676</v>
      </c>
      <c r="B2632" s="1" t="s">
        <v>2724</v>
      </c>
      <c r="C2632" s="1" t="s">
        <v>2826</v>
      </c>
      <c r="D2632" s="1" t="s">
        <v>2827</v>
      </c>
      <c r="E2632" s="1" t="s">
        <v>25</v>
      </c>
      <c r="F2632">
        <v>659</v>
      </c>
      <c r="G2632">
        <v>659</v>
      </c>
      <c r="H2632">
        <v>101</v>
      </c>
      <c r="I2632" s="1" t="s">
        <v>1528</v>
      </c>
      <c r="J2632" s="1" t="s">
        <v>1491</v>
      </c>
      <c r="K2632" t="s">
        <v>25</v>
      </c>
      <c r="L2632">
        <v>-0.99810520384632773</v>
      </c>
      <c r="M2632" s="1" t="s">
        <v>23</v>
      </c>
      <c r="N2632" t="str">
        <f t="shared" si="64"/>
        <v>SW</v>
      </c>
      <c r="O2632" s="1" t="s">
        <v>25</v>
      </c>
      <c r="P2632" s="3" t="s">
        <v>25</v>
      </c>
      <c r="Q2632" s="37">
        <v>7.3271315588647162E-2</v>
      </c>
      <c r="R2632" t="str">
        <f t="shared" si="65"/>
        <v>mmol/mol</v>
      </c>
      <c r="S2632" s="13">
        <f t="shared" si="66"/>
        <v>-0.99810520384632773</v>
      </c>
    </row>
    <row r="2633" spans="1:19">
      <c r="A2633" s="18" t="s">
        <v>2676</v>
      </c>
      <c r="B2633" s="1" t="s">
        <v>2725</v>
      </c>
      <c r="C2633" s="1" t="s">
        <v>2826</v>
      </c>
      <c r="D2633" s="1" t="s">
        <v>2827</v>
      </c>
      <c r="E2633" s="1" t="s">
        <v>25</v>
      </c>
      <c r="F2633">
        <v>659</v>
      </c>
      <c r="G2633">
        <v>659</v>
      </c>
      <c r="H2633">
        <v>104</v>
      </c>
      <c r="I2633" s="1" t="s">
        <v>1528</v>
      </c>
      <c r="J2633" s="1" t="s">
        <v>1491</v>
      </c>
      <c r="K2633" t="s">
        <v>25</v>
      </c>
      <c r="L2633">
        <v>-0.94546987202978039</v>
      </c>
      <c r="M2633" s="1" t="s">
        <v>23</v>
      </c>
      <c r="N2633" t="str">
        <f t="shared" si="64"/>
        <v>SW</v>
      </c>
      <c r="O2633" s="1" t="s">
        <v>25</v>
      </c>
      <c r="P2633" s="3" t="s">
        <v>25</v>
      </c>
      <c r="Q2633" s="37" t="s">
        <v>25</v>
      </c>
      <c r="R2633" t="str">
        <f t="shared" si="65"/>
        <v>Na</v>
      </c>
      <c r="S2633" s="13">
        <f t="shared" si="66"/>
        <v>-0.94546987202978039</v>
      </c>
    </row>
    <row r="2634" spans="1:19">
      <c r="A2634" s="18" t="s">
        <v>2676</v>
      </c>
      <c r="B2634" s="1" t="s">
        <v>2726</v>
      </c>
      <c r="C2634" s="1" t="s">
        <v>2826</v>
      </c>
      <c r="D2634" s="1" t="s">
        <v>2827</v>
      </c>
      <c r="E2634" s="1" t="s">
        <v>25</v>
      </c>
      <c r="F2634">
        <v>659</v>
      </c>
      <c r="G2634">
        <v>659</v>
      </c>
      <c r="H2634">
        <v>105</v>
      </c>
      <c r="I2634" s="1" t="s">
        <v>1528</v>
      </c>
      <c r="J2634" s="1" t="s">
        <v>1491</v>
      </c>
      <c r="K2634" t="s">
        <v>25</v>
      </c>
      <c r="L2634">
        <v>-1.0335851319794447</v>
      </c>
      <c r="M2634" s="1" t="s">
        <v>23</v>
      </c>
      <c r="N2634" t="str">
        <f t="shared" si="64"/>
        <v>SW</v>
      </c>
      <c r="O2634" s="1" t="s">
        <v>25</v>
      </c>
      <c r="P2634" s="3" t="s">
        <v>25</v>
      </c>
      <c r="Q2634" s="37" t="s">
        <v>25</v>
      </c>
      <c r="R2634" t="str">
        <f t="shared" si="65"/>
        <v>Na</v>
      </c>
      <c r="S2634" s="13">
        <f t="shared" si="66"/>
        <v>-1.0335851319794447</v>
      </c>
    </row>
    <row r="2635" spans="1:19">
      <c r="A2635" s="18" t="s">
        <v>2676</v>
      </c>
      <c r="B2635" s="1" t="s">
        <v>2727</v>
      </c>
      <c r="C2635" s="1" t="s">
        <v>2826</v>
      </c>
      <c r="D2635" s="1" t="s">
        <v>2827</v>
      </c>
      <c r="E2635" s="1" t="s">
        <v>25</v>
      </c>
      <c r="F2635">
        <v>659</v>
      </c>
      <c r="G2635">
        <v>659</v>
      </c>
      <c r="H2635">
        <v>107</v>
      </c>
      <c r="I2635" s="1" t="s">
        <v>1528</v>
      </c>
      <c r="J2635" s="1" t="s">
        <v>1491</v>
      </c>
      <c r="K2635" t="s">
        <v>25</v>
      </c>
      <c r="L2635">
        <v>-1.0883991308821894</v>
      </c>
      <c r="M2635" s="1" t="s">
        <v>23</v>
      </c>
      <c r="N2635" t="str">
        <f t="shared" si="64"/>
        <v>SW</v>
      </c>
      <c r="O2635" s="1" t="s">
        <v>25</v>
      </c>
      <c r="P2635" s="3" t="s">
        <v>25</v>
      </c>
      <c r="Q2635" s="37">
        <v>7.5816275361127797E-2</v>
      </c>
      <c r="R2635" t="str">
        <f t="shared" si="65"/>
        <v>mmol/mol</v>
      </c>
      <c r="S2635" s="13">
        <f t="shared" si="66"/>
        <v>-1.0883991308821894</v>
      </c>
    </row>
    <row r="2636" spans="1:19">
      <c r="A2636" s="18" t="s">
        <v>2676</v>
      </c>
      <c r="B2636" s="1" t="s">
        <v>2728</v>
      </c>
      <c r="C2636" s="1" t="s">
        <v>2826</v>
      </c>
      <c r="D2636" s="1" t="s">
        <v>2827</v>
      </c>
      <c r="E2636" s="1" t="s">
        <v>25</v>
      </c>
      <c r="F2636">
        <v>659</v>
      </c>
      <c r="G2636">
        <v>659</v>
      </c>
      <c r="H2636">
        <v>109</v>
      </c>
      <c r="I2636" s="1" t="s">
        <v>1528</v>
      </c>
      <c r="J2636" s="1" t="s">
        <v>1491</v>
      </c>
      <c r="K2636" t="s">
        <v>25</v>
      </c>
      <c r="L2636">
        <v>-1.1301278448934824</v>
      </c>
      <c r="M2636" s="1" t="s">
        <v>23</v>
      </c>
      <c r="N2636" t="str">
        <f t="shared" si="64"/>
        <v>SW</v>
      </c>
      <c r="O2636" s="1" t="s">
        <v>25</v>
      </c>
      <c r="P2636" s="3" t="s">
        <v>25</v>
      </c>
      <c r="Q2636" s="37">
        <v>0.15368790325284123</v>
      </c>
      <c r="R2636" t="str">
        <f t="shared" si="65"/>
        <v>mmol/mol</v>
      </c>
      <c r="S2636" s="13">
        <f t="shared" si="66"/>
        <v>-1.1301278448934824</v>
      </c>
    </row>
    <row r="2637" spans="1:19">
      <c r="A2637" s="18" t="s">
        <v>2676</v>
      </c>
      <c r="B2637" s="1" t="s">
        <v>2729</v>
      </c>
      <c r="C2637" s="1" t="s">
        <v>2826</v>
      </c>
      <c r="D2637" s="1" t="s">
        <v>2827</v>
      </c>
      <c r="E2637" s="1" t="s">
        <v>25</v>
      </c>
      <c r="F2637">
        <v>659</v>
      </c>
      <c r="G2637">
        <v>659</v>
      </c>
      <c r="H2637">
        <v>118</v>
      </c>
      <c r="I2637" s="1" t="s">
        <v>1528</v>
      </c>
      <c r="J2637" s="1" t="s">
        <v>1491</v>
      </c>
      <c r="K2637" t="s">
        <v>25</v>
      </c>
      <c r="L2637">
        <v>-1.0954864085476324</v>
      </c>
      <c r="M2637" s="1" t="s">
        <v>23</v>
      </c>
      <c r="N2637" t="str">
        <f t="shared" si="64"/>
        <v>SW</v>
      </c>
      <c r="O2637" s="1" t="s">
        <v>25</v>
      </c>
      <c r="P2637" s="3" t="s">
        <v>25</v>
      </c>
      <c r="Q2637" s="37">
        <v>0.12208706099591972</v>
      </c>
      <c r="R2637" t="str">
        <f t="shared" si="65"/>
        <v>mmol/mol</v>
      </c>
      <c r="S2637" s="13">
        <f t="shared" si="66"/>
        <v>-1.0954864085476324</v>
      </c>
    </row>
    <row r="2638" spans="1:19">
      <c r="A2638" s="18" t="s">
        <v>2676</v>
      </c>
      <c r="B2638" s="1" t="s">
        <v>2730</v>
      </c>
      <c r="C2638" s="1" t="s">
        <v>2826</v>
      </c>
      <c r="D2638" s="1" t="s">
        <v>2827</v>
      </c>
      <c r="E2638" s="1" t="s">
        <v>25</v>
      </c>
      <c r="F2638">
        <v>659</v>
      </c>
      <c r="G2638">
        <v>659</v>
      </c>
      <c r="H2638">
        <v>121</v>
      </c>
      <c r="I2638" s="1" t="s">
        <v>1528</v>
      </c>
      <c r="J2638" s="1" t="s">
        <v>1491</v>
      </c>
      <c r="K2638" t="s">
        <v>25</v>
      </c>
      <c r="L2638">
        <v>-1.1740499735025829</v>
      </c>
      <c r="M2638" s="1" t="s">
        <v>23</v>
      </c>
      <c r="N2638" t="str">
        <f t="shared" si="64"/>
        <v>SW</v>
      </c>
      <c r="O2638" s="1" t="s">
        <v>25</v>
      </c>
      <c r="P2638" s="3" t="s">
        <v>25</v>
      </c>
      <c r="Q2638" s="37">
        <v>0.13983100197695736</v>
      </c>
      <c r="R2638" t="str">
        <f t="shared" si="65"/>
        <v>mmol/mol</v>
      </c>
      <c r="S2638" s="13">
        <f t="shared" si="66"/>
        <v>-1.1740499735025829</v>
      </c>
    </row>
    <row r="2639" spans="1:19">
      <c r="A2639" s="18" t="s">
        <v>2676</v>
      </c>
      <c r="B2639" s="1" t="s">
        <v>2731</v>
      </c>
      <c r="C2639" s="1" t="s">
        <v>2826</v>
      </c>
      <c r="D2639" s="1" t="s">
        <v>2827</v>
      </c>
      <c r="E2639" s="1" t="s">
        <v>25</v>
      </c>
      <c r="F2639">
        <v>659</v>
      </c>
      <c r="G2639">
        <v>659</v>
      </c>
      <c r="H2639">
        <v>123</v>
      </c>
      <c r="I2639" s="1" t="s">
        <v>1528</v>
      </c>
      <c r="J2639" s="1" t="s">
        <v>1491</v>
      </c>
      <c r="K2639" t="s">
        <v>25</v>
      </c>
      <c r="L2639" t="s">
        <v>25</v>
      </c>
      <c r="M2639" t="s">
        <v>25</v>
      </c>
      <c r="N2639" t="str">
        <f t="shared" si="64"/>
        <v>Na</v>
      </c>
      <c r="O2639" s="1" t="s">
        <v>25</v>
      </c>
      <c r="P2639" s="3" t="s">
        <v>25</v>
      </c>
      <c r="Q2639" s="37">
        <v>7.6224294717587154E-3</v>
      </c>
      <c r="R2639" t="str">
        <f t="shared" si="65"/>
        <v>mmol/mol</v>
      </c>
      <c r="S2639" s="13" t="s">
        <v>25</v>
      </c>
    </row>
    <row r="2640" spans="1:19">
      <c r="A2640" s="18" t="s">
        <v>2676</v>
      </c>
      <c r="B2640" s="1" t="s">
        <v>2732</v>
      </c>
      <c r="C2640" s="1" t="s">
        <v>2826</v>
      </c>
      <c r="D2640" s="1" t="s">
        <v>2827</v>
      </c>
      <c r="E2640" s="1" t="s">
        <v>25</v>
      </c>
      <c r="F2640">
        <v>659</v>
      </c>
      <c r="G2640">
        <v>659</v>
      </c>
      <c r="H2640">
        <v>127</v>
      </c>
      <c r="I2640" s="1" t="s">
        <v>1528</v>
      </c>
      <c r="J2640" s="1" t="s">
        <v>1491</v>
      </c>
      <c r="K2640" t="s">
        <v>25</v>
      </c>
      <c r="L2640">
        <v>-0.84918981401589944</v>
      </c>
      <c r="M2640" s="1" t="s">
        <v>23</v>
      </c>
      <c r="N2640" t="str">
        <f t="shared" si="64"/>
        <v>SW</v>
      </c>
      <c r="O2640" s="1" t="s">
        <v>25</v>
      </c>
      <c r="P2640" s="3" t="s">
        <v>25</v>
      </c>
      <c r="Q2640" s="37">
        <v>0.22674203654003447</v>
      </c>
      <c r="R2640" t="str">
        <f t="shared" si="65"/>
        <v>mmol/mol</v>
      </c>
      <c r="S2640" s="13">
        <f t="shared" si="66"/>
        <v>-0.84918981401589944</v>
      </c>
    </row>
    <row r="2641" spans="1:19">
      <c r="A2641" s="18" t="s">
        <v>2676</v>
      </c>
      <c r="B2641" s="1" t="s">
        <v>2733</v>
      </c>
      <c r="C2641" s="1" t="s">
        <v>2826</v>
      </c>
      <c r="D2641" s="1" t="s">
        <v>2827</v>
      </c>
      <c r="E2641" s="1" t="s">
        <v>25</v>
      </c>
      <c r="F2641">
        <v>659</v>
      </c>
      <c r="G2641">
        <v>659</v>
      </c>
      <c r="H2641">
        <v>133</v>
      </c>
      <c r="I2641" s="1" t="s">
        <v>1528</v>
      </c>
      <c r="J2641" s="1" t="s">
        <v>1491</v>
      </c>
      <c r="K2641" t="s">
        <v>25</v>
      </c>
      <c r="L2641">
        <v>-1.2812251901221519</v>
      </c>
      <c r="M2641" s="1" t="s">
        <v>23</v>
      </c>
      <c r="N2641" t="str">
        <f t="shared" si="64"/>
        <v>SW</v>
      </c>
      <c r="O2641" s="1" t="s">
        <v>25</v>
      </c>
      <c r="P2641" s="3" t="s">
        <v>25</v>
      </c>
      <c r="Q2641" s="37">
        <v>9.2263545953978079E-2</v>
      </c>
      <c r="R2641" t="str">
        <f t="shared" si="65"/>
        <v>mmol/mol</v>
      </c>
      <c r="S2641" s="13">
        <f t="shared" si="66"/>
        <v>-1.2812251901221519</v>
      </c>
    </row>
    <row r="2642" spans="1:19">
      <c r="A2642" s="18" t="s">
        <v>2676</v>
      </c>
      <c r="B2642" s="1" t="s">
        <v>2734</v>
      </c>
      <c r="C2642" s="1" t="s">
        <v>2826</v>
      </c>
      <c r="D2642" s="1" t="s">
        <v>2827</v>
      </c>
      <c r="E2642" s="1" t="s">
        <v>25</v>
      </c>
      <c r="F2642">
        <v>659</v>
      </c>
      <c r="G2642">
        <v>659</v>
      </c>
      <c r="H2642">
        <v>135</v>
      </c>
      <c r="I2642" s="1" t="s">
        <v>1528</v>
      </c>
      <c r="J2642" s="1" t="s">
        <v>1491</v>
      </c>
      <c r="K2642" t="s">
        <v>25</v>
      </c>
      <c r="L2642">
        <v>-1.0546530688750488</v>
      </c>
      <c r="M2642" s="1" t="s">
        <v>23</v>
      </c>
      <c r="N2642" t="str">
        <f t="shared" si="64"/>
        <v>SW</v>
      </c>
      <c r="O2642" s="1" t="s">
        <v>25</v>
      </c>
      <c r="P2642" s="3" t="s">
        <v>25</v>
      </c>
      <c r="Q2642" s="37">
        <v>8.9854142149556365E-2</v>
      </c>
      <c r="R2642" t="str">
        <f t="shared" si="65"/>
        <v>mmol/mol</v>
      </c>
      <c r="S2642" s="13">
        <f t="shared" si="66"/>
        <v>-1.0546530688750488</v>
      </c>
    </row>
    <row r="2643" spans="1:19">
      <c r="A2643" s="18" t="s">
        <v>2676</v>
      </c>
      <c r="B2643" s="1" t="s">
        <v>2735</v>
      </c>
      <c r="C2643" s="1" t="s">
        <v>2826</v>
      </c>
      <c r="D2643" s="1" t="s">
        <v>2827</v>
      </c>
      <c r="E2643" s="1" t="s">
        <v>25</v>
      </c>
      <c r="F2643">
        <v>659</v>
      </c>
      <c r="G2643">
        <v>659</v>
      </c>
      <c r="H2643">
        <v>149</v>
      </c>
      <c r="I2643" s="1" t="s">
        <v>1528</v>
      </c>
      <c r="J2643" s="1" t="s">
        <v>1491</v>
      </c>
      <c r="K2643" t="s">
        <v>25</v>
      </c>
      <c r="L2643">
        <v>-1.1304102922338275</v>
      </c>
      <c r="M2643" s="1" t="s">
        <v>23</v>
      </c>
      <c r="N2643" t="str">
        <f t="shared" si="64"/>
        <v>SW</v>
      </c>
      <c r="O2643" s="1" t="s">
        <v>25</v>
      </c>
      <c r="P2643" s="3" t="s">
        <v>25</v>
      </c>
      <c r="Q2643" s="37">
        <v>0.37346107578173915</v>
      </c>
      <c r="R2643" t="str">
        <f t="shared" si="65"/>
        <v>mmol/mol</v>
      </c>
      <c r="S2643" s="13">
        <f t="shared" si="66"/>
        <v>-1.1304102922338275</v>
      </c>
    </row>
    <row r="2644" spans="1:19">
      <c r="A2644" s="18" t="s">
        <v>2676</v>
      </c>
      <c r="B2644" s="1" t="s">
        <v>2736</v>
      </c>
      <c r="C2644" s="1" t="s">
        <v>2826</v>
      </c>
      <c r="D2644" s="1" t="s">
        <v>2827</v>
      </c>
      <c r="E2644" s="1" t="s">
        <v>25</v>
      </c>
      <c r="F2644">
        <v>659</v>
      </c>
      <c r="G2644">
        <v>659</v>
      </c>
      <c r="H2644">
        <v>153</v>
      </c>
      <c r="I2644" s="1" t="s">
        <v>1528</v>
      </c>
      <c r="J2644" s="1" t="s">
        <v>1491</v>
      </c>
      <c r="K2644" t="s">
        <v>25</v>
      </c>
      <c r="L2644" t="s">
        <v>25</v>
      </c>
      <c r="M2644" t="s">
        <v>25</v>
      </c>
      <c r="N2644" t="str">
        <f t="shared" si="64"/>
        <v>Na</v>
      </c>
      <c r="O2644" s="1" t="s">
        <v>25</v>
      </c>
      <c r="P2644" s="3" t="s">
        <v>25</v>
      </c>
      <c r="Q2644" s="37" t="s">
        <v>25</v>
      </c>
      <c r="R2644" t="str">
        <f t="shared" si="65"/>
        <v>Na</v>
      </c>
      <c r="S2644" s="13" t="s">
        <v>25</v>
      </c>
    </row>
    <row r="2645" spans="1:19">
      <c r="A2645" s="18" t="s">
        <v>2676</v>
      </c>
      <c r="B2645" s="1" t="s">
        <v>2737</v>
      </c>
      <c r="C2645" s="1" t="s">
        <v>2826</v>
      </c>
      <c r="D2645" s="1" t="s">
        <v>2827</v>
      </c>
      <c r="E2645" s="1" t="s">
        <v>25</v>
      </c>
      <c r="F2645">
        <v>659</v>
      </c>
      <c r="G2645">
        <v>659</v>
      </c>
      <c r="H2645">
        <v>166</v>
      </c>
      <c r="I2645" s="1" t="s">
        <v>1528</v>
      </c>
      <c r="J2645" s="1" t="s">
        <v>1491</v>
      </c>
      <c r="K2645" t="s">
        <v>25</v>
      </c>
      <c r="L2645">
        <v>-1.1506798006780719</v>
      </c>
      <c r="M2645" s="1" t="s">
        <v>23</v>
      </c>
      <c r="N2645" t="str">
        <f t="shared" si="64"/>
        <v>SW</v>
      </c>
      <c r="O2645" s="1" t="s">
        <v>25</v>
      </c>
      <c r="P2645" s="3" t="s">
        <v>25</v>
      </c>
      <c r="Q2645" s="37">
        <v>9.7603037119563446E-2</v>
      </c>
      <c r="R2645" t="str">
        <f t="shared" si="65"/>
        <v>mmol/mol</v>
      </c>
      <c r="S2645" s="13">
        <f t="shared" si="66"/>
        <v>-1.1506798006780719</v>
      </c>
    </row>
    <row r="2646" spans="1:19">
      <c r="A2646" s="18" t="s">
        <v>2676</v>
      </c>
      <c r="B2646" s="1" t="s">
        <v>2738</v>
      </c>
      <c r="C2646" s="1" t="s">
        <v>2826</v>
      </c>
      <c r="D2646" s="1" t="s">
        <v>2827</v>
      </c>
      <c r="E2646" s="1" t="s">
        <v>25</v>
      </c>
      <c r="F2646">
        <v>659</v>
      </c>
      <c r="G2646">
        <v>659</v>
      </c>
      <c r="H2646">
        <v>168</v>
      </c>
      <c r="I2646" s="1" t="s">
        <v>1528</v>
      </c>
      <c r="J2646" s="1" t="s">
        <v>1491</v>
      </c>
      <c r="K2646" t="s">
        <v>25</v>
      </c>
      <c r="L2646">
        <v>-1.1740459807850092</v>
      </c>
      <c r="M2646" s="1" t="s">
        <v>23</v>
      </c>
      <c r="N2646" t="str">
        <f t="shared" si="64"/>
        <v>SW</v>
      </c>
      <c r="O2646" s="1" t="s">
        <v>25</v>
      </c>
      <c r="P2646" s="3" t="s">
        <v>25</v>
      </c>
      <c r="Q2646" s="37">
        <v>0.10239624597989061</v>
      </c>
      <c r="R2646" t="str">
        <f t="shared" si="65"/>
        <v>mmol/mol</v>
      </c>
      <c r="S2646" s="13">
        <f t="shared" si="66"/>
        <v>-1.1740459807850092</v>
      </c>
    </row>
    <row r="2647" spans="1:19">
      <c r="A2647" s="18" t="s">
        <v>2676</v>
      </c>
      <c r="B2647" s="1" t="s">
        <v>2739</v>
      </c>
      <c r="C2647" s="1" t="s">
        <v>2826</v>
      </c>
      <c r="D2647" s="1" t="s">
        <v>2827</v>
      </c>
      <c r="E2647" s="1" t="s">
        <v>25</v>
      </c>
      <c r="F2647">
        <v>659</v>
      </c>
      <c r="G2647">
        <v>659</v>
      </c>
      <c r="H2647">
        <v>171</v>
      </c>
      <c r="I2647" s="1" t="s">
        <v>1528</v>
      </c>
      <c r="J2647" s="1" t="s">
        <v>1491</v>
      </c>
      <c r="K2647" t="s">
        <v>25</v>
      </c>
      <c r="L2647">
        <v>-1.0377142465310101</v>
      </c>
      <c r="M2647" s="1" t="s">
        <v>23</v>
      </c>
      <c r="N2647" t="str">
        <f t="shared" si="64"/>
        <v>SW</v>
      </c>
      <c r="O2647" s="1" t="s">
        <v>25</v>
      </c>
      <c r="P2647" s="3" t="s">
        <v>25</v>
      </c>
      <c r="Q2647" s="37">
        <v>0.12511922725575342</v>
      </c>
      <c r="R2647" t="str">
        <f t="shared" si="65"/>
        <v>mmol/mol</v>
      </c>
      <c r="S2647" s="13">
        <f t="shared" si="66"/>
        <v>-1.0377142465310101</v>
      </c>
    </row>
    <row r="2648" spans="1:19">
      <c r="A2648" s="18" t="s">
        <v>2676</v>
      </c>
      <c r="B2648" s="1" t="s">
        <v>2740</v>
      </c>
      <c r="C2648" s="1" t="s">
        <v>2826</v>
      </c>
      <c r="D2648" s="1" t="s">
        <v>2827</v>
      </c>
      <c r="E2648" s="1" t="s">
        <v>25</v>
      </c>
      <c r="F2648">
        <v>659</v>
      </c>
      <c r="G2648">
        <v>659</v>
      </c>
      <c r="H2648">
        <v>174</v>
      </c>
      <c r="I2648" s="1" t="s">
        <v>1528</v>
      </c>
      <c r="J2648" s="1" t="s">
        <v>1491</v>
      </c>
      <c r="K2648" t="s">
        <v>25</v>
      </c>
      <c r="L2648">
        <v>-1.1647769659024081</v>
      </c>
      <c r="M2648" s="1" t="s">
        <v>23</v>
      </c>
      <c r="N2648" t="str">
        <f t="shared" si="64"/>
        <v>SW</v>
      </c>
      <c r="O2648" s="1" t="s">
        <v>25</v>
      </c>
      <c r="P2648" s="3" t="s">
        <v>25</v>
      </c>
      <c r="Q2648" s="37">
        <v>0.10049576161069573</v>
      </c>
      <c r="R2648" t="str">
        <f t="shared" si="65"/>
        <v>mmol/mol</v>
      </c>
      <c r="S2648" s="13">
        <f t="shared" si="66"/>
        <v>-1.1647769659024081</v>
      </c>
    </row>
    <row r="2649" spans="1:19">
      <c r="A2649" s="18" t="s">
        <v>2676</v>
      </c>
      <c r="B2649" s="1" t="s">
        <v>2741</v>
      </c>
      <c r="C2649" s="1" t="s">
        <v>2826</v>
      </c>
      <c r="D2649" s="1" t="s">
        <v>2827</v>
      </c>
      <c r="E2649" s="1" t="s">
        <v>25</v>
      </c>
      <c r="F2649">
        <v>659</v>
      </c>
      <c r="G2649">
        <v>659</v>
      </c>
      <c r="H2649">
        <v>177</v>
      </c>
      <c r="I2649" s="1" t="s">
        <v>1528</v>
      </c>
      <c r="J2649" s="1" t="s">
        <v>1491</v>
      </c>
      <c r="K2649" t="s">
        <v>25</v>
      </c>
      <c r="L2649">
        <v>-1.2169240954140694</v>
      </c>
      <c r="M2649" s="1" t="s">
        <v>23</v>
      </c>
      <c r="N2649" t="str">
        <f t="shared" si="64"/>
        <v>SW</v>
      </c>
      <c r="O2649" s="1" t="s">
        <v>25</v>
      </c>
      <c r="P2649" s="3" t="s">
        <v>25</v>
      </c>
      <c r="Q2649" s="37">
        <v>5.6955645856621148E-2</v>
      </c>
      <c r="R2649" t="str">
        <f t="shared" si="65"/>
        <v>mmol/mol</v>
      </c>
      <c r="S2649" s="13">
        <f t="shared" si="66"/>
        <v>-1.2169240954140694</v>
      </c>
    </row>
    <row r="2650" spans="1:19">
      <c r="A2650" s="18" t="s">
        <v>2676</v>
      </c>
      <c r="B2650" s="1" t="s">
        <v>2742</v>
      </c>
      <c r="C2650" s="1" t="s">
        <v>2826</v>
      </c>
      <c r="D2650" s="1" t="s">
        <v>2827</v>
      </c>
      <c r="E2650" s="1" t="s">
        <v>25</v>
      </c>
      <c r="F2650">
        <v>659</v>
      </c>
      <c r="G2650">
        <v>659</v>
      </c>
      <c r="H2650">
        <v>188</v>
      </c>
      <c r="I2650" s="1" t="s">
        <v>1528</v>
      </c>
      <c r="J2650" s="1" t="s">
        <v>1491</v>
      </c>
      <c r="K2650" t="s">
        <v>25</v>
      </c>
      <c r="L2650">
        <v>-1.2107952146639416</v>
      </c>
      <c r="M2650" s="1" t="s">
        <v>23</v>
      </c>
      <c r="N2650" t="str">
        <f t="shared" ref="N2650:N2713" si="67">IF(M2650="Na","Na","SW")</f>
        <v>SW</v>
      </c>
      <c r="O2650" s="1" t="s">
        <v>25</v>
      </c>
      <c r="P2650" s="3" t="s">
        <v>25</v>
      </c>
      <c r="Q2650" s="37">
        <v>0.13750619774837169</v>
      </c>
      <c r="R2650" t="str">
        <f t="shared" ref="R2650:R2713" si="68">IF(Q2650="Na","Na","mmol/mol")</f>
        <v>mmol/mol</v>
      </c>
      <c r="S2650" s="13">
        <f t="shared" si="66"/>
        <v>-1.2107952146639416</v>
      </c>
    </row>
    <row r="2651" spans="1:19">
      <c r="A2651" s="18" t="s">
        <v>2676</v>
      </c>
      <c r="B2651" s="1" t="s">
        <v>2743</v>
      </c>
      <c r="C2651" s="1" t="s">
        <v>2826</v>
      </c>
      <c r="D2651" s="1" t="s">
        <v>2827</v>
      </c>
      <c r="E2651" s="1" t="s">
        <v>25</v>
      </c>
      <c r="F2651">
        <v>659</v>
      </c>
      <c r="G2651">
        <v>659</v>
      </c>
      <c r="H2651">
        <v>191</v>
      </c>
      <c r="I2651" s="1" t="s">
        <v>1528</v>
      </c>
      <c r="J2651" s="1" t="s">
        <v>1491</v>
      </c>
      <c r="K2651" t="s">
        <v>25</v>
      </c>
      <c r="L2651">
        <v>-1.1069599284104543</v>
      </c>
      <c r="M2651" s="1" t="s">
        <v>23</v>
      </c>
      <c r="N2651" t="str">
        <f t="shared" si="67"/>
        <v>SW</v>
      </c>
      <c r="O2651" s="1" t="s">
        <v>25</v>
      </c>
      <c r="P2651" s="3" t="s">
        <v>25</v>
      </c>
      <c r="Q2651" s="37">
        <v>0.10077501356950515</v>
      </c>
      <c r="R2651" t="str">
        <f t="shared" si="68"/>
        <v>mmol/mol</v>
      </c>
      <c r="S2651" s="13">
        <f t="shared" si="66"/>
        <v>-1.1069599284104543</v>
      </c>
    </row>
    <row r="2652" spans="1:19">
      <c r="A2652" s="18" t="s">
        <v>2676</v>
      </c>
      <c r="B2652" s="1" t="s">
        <v>2744</v>
      </c>
      <c r="C2652" s="1" t="s">
        <v>2826</v>
      </c>
      <c r="D2652" s="1" t="s">
        <v>2827</v>
      </c>
      <c r="E2652" s="1" t="s">
        <v>25</v>
      </c>
      <c r="F2652">
        <v>659</v>
      </c>
      <c r="G2652">
        <v>659</v>
      </c>
      <c r="H2652">
        <v>194</v>
      </c>
      <c r="I2652" s="1" t="s">
        <v>1528</v>
      </c>
      <c r="J2652" s="1" t="s">
        <v>1491</v>
      </c>
      <c r="K2652" t="s">
        <v>25</v>
      </c>
      <c r="L2652">
        <v>-1.1624420912223354</v>
      </c>
      <c r="M2652" s="1" t="s">
        <v>23</v>
      </c>
      <c r="N2652" t="str">
        <f t="shared" si="67"/>
        <v>SW</v>
      </c>
      <c r="O2652" s="1" t="s">
        <v>25</v>
      </c>
      <c r="P2652" s="3" t="s">
        <v>25</v>
      </c>
      <c r="Q2652" s="37">
        <v>8.8267242746291122E-2</v>
      </c>
      <c r="R2652" t="str">
        <f t="shared" si="68"/>
        <v>mmol/mol</v>
      </c>
      <c r="S2652" s="13">
        <f t="shared" si="66"/>
        <v>-1.1624420912223354</v>
      </c>
    </row>
    <row r="2653" spans="1:19">
      <c r="A2653" s="18" t="s">
        <v>2676</v>
      </c>
      <c r="B2653" s="1" t="s">
        <v>2745</v>
      </c>
      <c r="C2653" s="1" t="s">
        <v>2826</v>
      </c>
      <c r="D2653" s="1" t="s">
        <v>2827</v>
      </c>
      <c r="E2653" s="1" t="s">
        <v>25</v>
      </c>
      <c r="F2653">
        <v>659</v>
      </c>
      <c r="G2653">
        <v>659</v>
      </c>
      <c r="H2653">
        <v>3</v>
      </c>
      <c r="I2653" s="1" t="s">
        <v>1528</v>
      </c>
      <c r="J2653" s="1" t="s">
        <v>1491</v>
      </c>
      <c r="K2653" t="s">
        <v>25</v>
      </c>
      <c r="L2653">
        <v>-1.1468660993999624</v>
      </c>
      <c r="M2653" s="1" t="s">
        <v>23</v>
      </c>
      <c r="N2653" t="str">
        <f t="shared" si="67"/>
        <v>SW</v>
      </c>
      <c r="O2653" s="1" t="s">
        <v>25</v>
      </c>
      <c r="P2653" s="3" t="s">
        <v>25</v>
      </c>
      <c r="Q2653" s="37">
        <v>0.36695254787350562</v>
      </c>
      <c r="R2653" t="str">
        <f t="shared" si="68"/>
        <v>mmol/mol</v>
      </c>
      <c r="S2653" s="13">
        <f t="shared" si="66"/>
        <v>-1.1468660993999624</v>
      </c>
    </row>
    <row r="2654" spans="1:19">
      <c r="A2654" s="18" t="s">
        <v>2676</v>
      </c>
      <c r="B2654" s="1" t="s">
        <v>2746</v>
      </c>
      <c r="C2654" s="1" t="s">
        <v>2826</v>
      </c>
      <c r="D2654" s="1" t="s">
        <v>2827</v>
      </c>
      <c r="E2654" s="1" t="s">
        <v>25</v>
      </c>
      <c r="F2654">
        <v>659</v>
      </c>
      <c r="G2654">
        <v>659</v>
      </c>
      <c r="H2654">
        <v>6</v>
      </c>
      <c r="I2654" s="1" t="s">
        <v>1528</v>
      </c>
      <c r="J2654" s="1" t="s">
        <v>1491</v>
      </c>
      <c r="K2654" t="s">
        <v>25</v>
      </c>
      <c r="L2654">
        <v>-1.0383675740723908</v>
      </c>
      <c r="M2654" s="1" t="s">
        <v>23</v>
      </c>
      <c r="N2654" t="str">
        <f t="shared" si="67"/>
        <v>SW</v>
      </c>
      <c r="O2654" s="1" t="s">
        <v>25</v>
      </c>
      <c r="P2654" s="3" t="s">
        <v>25</v>
      </c>
      <c r="Q2654" s="37">
        <v>7.186719834075618E-2</v>
      </c>
      <c r="R2654" t="str">
        <f t="shared" si="68"/>
        <v>mmol/mol</v>
      </c>
      <c r="S2654" s="13">
        <f t="shared" si="66"/>
        <v>-1.0383675740723908</v>
      </c>
    </row>
    <row r="2655" spans="1:19">
      <c r="A2655" s="18" t="s">
        <v>2676</v>
      </c>
      <c r="B2655" s="1" t="s">
        <v>2747</v>
      </c>
      <c r="C2655" s="1" t="s">
        <v>2826</v>
      </c>
      <c r="D2655" s="1" t="s">
        <v>2827</v>
      </c>
      <c r="E2655" s="1" t="s">
        <v>25</v>
      </c>
      <c r="F2655">
        <v>659</v>
      </c>
      <c r="G2655">
        <v>659</v>
      </c>
      <c r="H2655">
        <v>9</v>
      </c>
      <c r="I2655" s="1" t="s">
        <v>1528</v>
      </c>
      <c r="J2655" s="1" t="s">
        <v>1491</v>
      </c>
      <c r="K2655" t="s">
        <v>25</v>
      </c>
      <c r="L2655">
        <v>-1.0352922255647397</v>
      </c>
      <c r="M2655" s="1" t="s">
        <v>23</v>
      </c>
      <c r="N2655" t="str">
        <f t="shared" si="67"/>
        <v>SW</v>
      </c>
      <c r="O2655" s="1" t="s">
        <v>25</v>
      </c>
      <c r="P2655" s="3" t="s">
        <v>25</v>
      </c>
      <c r="Q2655" s="37">
        <v>9.1665504670573453E-2</v>
      </c>
      <c r="R2655" t="str">
        <f t="shared" si="68"/>
        <v>mmol/mol</v>
      </c>
      <c r="S2655" s="13">
        <f t="shared" si="66"/>
        <v>-1.0352922255647397</v>
      </c>
    </row>
    <row r="2656" spans="1:19">
      <c r="A2656" s="18" t="s">
        <v>2676</v>
      </c>
      <c r="B2656" s="1" t="s">
        <v>2748</v>
      </c>
      <c r="C2656" s="1" t="s">
        <v>2826</v>
      </c>
      <c r="D2656" s="1" t="s">
        <v>2827</v>
      </c>
      <c r="E2656" s="1" t="s">
        <v>25</v>
      </c>
      <c r="F2656">
        <v>659</v>
      </c>
      <c r="G2656">
        <v>659</v>
      </c>
      <c r="H2656">
        <v>12</v>
      </c>
      <c r="I2656" s="1" t="s">
        <v>1528</v>
      </c>
      <c r="J2656" s="1" t="s">
        <v>1491</v>
      </c>
      <c r="K2656" t="s">
        <v>25</v>
      </c>
      <c r="L2656">
        <v>-1.130940617474143</v>
      </c>
      <c r="M2656" s="1" t="s">
        <v>23</v>
      </c>
      <c r="N2656" t="str">
        <f t="shared" si="67"/>
        <v>SW</v>
      </c>
      <c r="O2656" s="1" t="s">
        <v>25</v>
      </c>
      <c r="P2656" s="3" t="s">
        <v>25</v>
      </c>
      <c r="Q2656" s="37">
        <v>0.10412794329704558</v>
      </c>
      <c r="R2656" t="str">
        <f t="shared" si="68"/>
        <v>mmol/mol</v>
      </c>
      <c r="S2656" s="13">
        <f t="shared" si="66"/>
        <v>-1.130940617474143</v>
      </c>
    </row>
    <row r="2657" spans="1:19">
      <c r="A2657" s="18" t="s">
        <v>2676</v>
      </c>
      <c r="B2657" s="1" t="s">
        <v>2749</v>
      </c>
      <c r="C2657" s="1" t="s">
        <v>2826</v>
      </c>
      <c r="D2657" s="1" t="s">
        <v>2827</v>
      </c>
      <c r="E2657" s="1" t="s">
        <v>25</v>
      </c>
      <c r="F2657">
        <v>659</v>
      </c>
      <c r="G2657">
        <v>659</v>
      </c>
      <c r="H2657">
        <v>17</v>
      </c>
      <c r="I2657" s="1" t="s">
        <v>1528</v>
      </c>
      <c r="J2657" s="1" t="s">
        <v>1491</v>
      </c>
      <c r="K2657" t="s">
        <v>25</v>
      </c>
      <c r="L2657">
        <v>-1.073935750718072</v>
      </c>
      <c r="M2657" s="1" t="s">
        <v>23</v>
      </c>
      <c r="N2657" t="str">
        <f t="shared" si="67"/>
        <v>SW</v>
      </c>
      <c r="O2657" s="1" t="s">
        <v>25</v>
      </c>
      <c r="P2657" s="3" t="s">
        <v>25</v>
      </c>
      <c r="Q2657" s="37">
        <v>0.33970160983310965</v>
      </c>
      <c r="R2657" t="str">
        <f t="shared" si="68"/>
        <v>mmol/mol</v>
      </c>
      <c r="S2657" s="13">
        <f t="shared" si="66"/>
        <v>-1.073935750718072</v>
      </c>
    </row>
    <row r="2658" spans="1:19">
      <c r="A2658" s="18" t="s">
        <v>2676</v>
      </c>
      <c r="B2658" s="1" t="s">
        <v>2750</v>
      </c>
      <c r="C2658" s="1" t="s">
        <v>2826</v>
      </c>
      <c r="D2658" s="1" t="s">
        <v>2827</v>
      </c>
      <c r="E2658" s="1" t="s">
        <v>25</v>
      </c>
      <c r="F2658">
        <v>659</v>
      </c>
      <c r="G2658">
        <v>659</v>
      </c>
      <c r="H2658">
        <v>24.5</v>
      </c>
      <c r="I2658" s="1" t="s">
        <v>1528</v>
      </c>
      <c r="J2658" s="1" t="s">
        <v>1491</v>
      </c>
      <c r="K2658" t="s">
        <v>25</v>
      </c>
      <c r="L2658">
        <v>-1.080748810595666</v>
      </c>
      <c r="M2658" s="1" t="s">
        <v>23</v>
      </c>
      <c r="N2658" t="str">
        <f t="shared" si="67"/>
        <v>SW</v>
      </c>
      <c r="O2658" s="1" t="s">
        <v>25</v>
      </c>
      <c r="P2658" s="3" t="s">
        <v>25</v>
      </c>
      <c r="Q2658" s="37">
        <v>0.1147939037013842</v>
      </c>
      <c r="R2658" t="str">
        <f t="shared" si="68"/>
        <v>mmol/mol</v>
      </c>
      <c r="S2658" s="13">
        <f t="shared" si="66"/>
        <v>-1.080748810595666</v>
      </c>
    </row>
    <row r="2659" spans="1:19">
      <c r="A2659" s="18" t="s">
        <v>2676</v>
      </c>
      <c r="B2659" s="1" t="s">
        <v>2751</v>
      </c>
      <c r="C2659" s="1" t="s">
        <v>2826</v>
      </c>
      <c r="D2659" s="1" t="s">
        <v>2827</v>
      </c>
      <c r="E2659" s="1" t="s">
        <v>25</v>
      </c>
      <c r="F2659">
        <v>659</v>
      </c>
      <c r="G2659">
        <v>659</v>
      </c>
      <c r="H2659">
        <v>26</v>
      </c>
      <c r="I2659" s="1" t="s">
        <v>1528</v>
      </c>
      <c r="J2659" s="1" t="s">
        <v>1491</v>
      </c>
      <c r="K2659" t="s">
        <v>25</v>
      </c>
      <c r="L2659">
        <v>-1.103212651889584</v>
      </c>
      <c r="M2659" s="1" t="s">
        <v>23</v>
      </c>
      <c r="N2659" t="str">
        <f t="shared" si="67"/>
        <v>SW</v>
      </c>
      <c r="O2659" s="1" t="s">
        <v>25</v>
      </c>
      <c r="P2659" s="3" t="s">
        <v>25</v>
      </c>
      <c r="Q2659" s="37">
        <v>0.11781523429377307</v>
      </c>
      <c r="R2659" t="str">
        <f t="shared" si="68"/>
        <v>mmol/mol</v>
      </c>
      <c r="S2659" s="13">
        <f t="shared" si="66"/>
        <v>-1.103212651889584</v>
      </c>
    </row>
    <row r="2660" spans="1:19">
      <c r="A2660" s="18" t="s">
        <v>2676</v>
      </c>
      <c r="B2660" s="1" t="s">
        <v>2752</v>
      </c>
      <c r="C2660" s="1" t="s">
        <v>2826</v>
      </c>
      <c r="D2660" s="1" t="s">
        <v>2827</v>
      </c>
      <c r="E2660" s="1" t="s">
        <v>25</v>
      </c>
      <c r="F2660">
        <v>659</v>
      </c>
      <c r="G2660">
        <v>659</v>
      </c>
      <c r="H2660">
        <v>31</v>
      </c>
      <c r="I2660" s="1" t="s">
        <v>1528</v>
      </c>
      <c r="J2660" s="1" t="s">
        <v>1336</v>
      </c>
      <c r="K2660" t="s">
        <v>25</v>
      </c>
      <c r="L2660">
        <v>-1.543209396252168</v>
      </c>
      <c r="M2660" s="1" t="s">
        <v>23</v>
      </c>
      <c r="N2660" t="str">
        <f t="shared" si="67"/>
        <v>SW</v>
      </c>
      <c r="O2660" s="1" t="s">
        <v>25</v>
      </c>
      <c r="P2660" s="3" t="s">
        <v>25</v>
      </c>
      <c r="Q2660" s="37">
        <v>0.89017120279890982</v>
      </c>
      <c r="R2660" t="str">
        <f t="shared" si="68"/>
        <v>mmol/mol</v>
      </c>
      <c r="S2660" s="13">
        <f t="shared" si="66"/>
        <v>-1.543209396252168</v>
      </c>
    </row>
    <row r="2661" spans="1:19">
      <c r="A2661" s="18" t="s">
        <v>2676</v>
      </c>
      <c r="B2661" s="1" t="s">
        <v>2753</v>
      </c>
      <c r="C2661" s="1" t="s">
        <v>2826</v>
      </c>
      <c r="D2661" s="1" t="s">
        <v>2827</v>
      </c>
      <c r="E2661" s="1" t="s">
        <v>25</v>
      </c>
      <c r="F2661">
        <v>659</v>
      </c>
      <c r="G2661">
        <v>659</v>
      </c>
      <c r="H2661">
        <v>35</v>
      </c>
      <c r="I2661" s="1" t="s">
        <v>1528</v>
      </c>
      <c r="J2661" s="1" t="s">
        <v>1336</v>
      </c>
      <c r="K2661" t="s">
        <v>25</v>
      </c>
      <c r="L2661">
        <v>-1.7111532422083851</v>
      </c>
      <c r="M2661" s="1" t="s">
        <v>23</v>
      </c>
      <c r="N2661" t="str">
        <f t="shared" si="67"/>
        <v>SW</v>
      </c>
      <c r="O2661" s="1" t="s">
        <v>25</v>
      </c>
      <c r="P2661" s="3" t="s">
        <v>25</v>
      </c>
      <c r="Q2661" s="37">
        <v>2.3991329505856287</v>
      </c>
      <c r="R2661" t="str">
        <f t="shared" si="68"/>
        <v>mmol/mol</v>
      </c>
      <c r="S2661" s="13">
        <f t="shared" si="66"/>
        <v>-1.7111532422083851</v>
      </c>
    </row>
    <row r="2662" spans="1:19">
      <c r="A2662" s="18" t="s">
        <v>2676</v>
      </c>
      <c r="B2662" s="1" t="s">
        <v>2754</v>
      </c>
      <c r="C2662" s="1" t="s">
        <v>2826</v>
      </c>
      <c r="D2662" s="1" t="s">
        <v>2827</v>
      </c>
      <c r="E2662" s="1" t="s">
        <v>25</v>
      </c>
      <c r="F2662">
        <v>659</v>
      </c>
      <c r="G2662">
        <v>659</v>
      </c>
      <c r="H2662">
        <v>38</v>
      </c>
      <c r="I2662" s="1" t="s">
        <v>1528</v>
      </c>
      <c r="J2662" s="1" t="s">
        <v>1336</v>
      </c>
      <c r="K2662" t="s">
        <v>25</v>
      </c>
      <c r="L2662">
        <v>-1.6864618303301602</v>
      </c>
      <c r="M2662" s="1" t="s">
        <v>23</v>
      </c>
      <c r="N2662" t="str">
        <f t="shared" si="67"/>
        <v>SW</v>
      </c>
      <c r="O2662" s="1" t="s">
        <v>25</v>
      </c>
      <c r="P2662" s="3" t="s">
        <v>25</v>
      </c>
      <c r="Q2662" s="37">
        <v>1.5584585289394794</v>
      </c>
      <c r="R2662" t="str">
        <f t="shared" si="68"/>
        <v>mmol/mol</v>
      </c>
      <c r="S2662" s="13">
        <f t="shared" si="66"/>
        <v>-1.6864618303301602</v>
      </c>
    </row>
    <row r="2663" spans="1:19">
      <c r="A2663" s="18" t="s">
        <v>2676</v>
      </c>
      <c r="B2663" s="1" t="s">
        <v>2755</v>
      </c>
      <c r="C2663" s="1" t="s">
        <v>2826</v>
      </c>
      <c r="D2663" s="1" t="s">
        <v>2827</v>
      </c>
      <c r="E2663" s="1" t="s">
        <v>25</v>
      </c>
      <c r="F2663">
        <v>659</v>
      </c>
      <c r="G2663">
        <v>659</v>
      </c>
      <c r="H2663">
        <v>41</v>
      </c>
      <c r="I2663" s="1" t="s">
        <v>1528</v>
      </c>
      <c r="J2663" s="1" t="s">
        <v>1336</v>
      </c>
      <c r="K2663" t="s">
        <v>25</v>
      </c>
      <c r="L2663" t="s">
        <v>25</v>
      </c>
      <c r="M2663" t="s">
        <v>25</v>
      </c>
      <c r="N2663" t="str">
        <f t="shared" si="67"/>
        <v>Na</v>
      </c>
      <c r="O2663" s="1" t="s">
        <v>25</v>
      </c>
      <c r="P2663" s="3" t="s">
        <v>25</v>
      </c>
      <c r="Q2663" s="37">
        <v>2.4123850567737004</v>
      </c>
      <c r="R2663" t="str">
        <f t="shared" si="68"/>
        <v>mmol/mol</v>
      </c>
      <c r="S2663" s="13" t="s">
        <v>25</v>
      </c>
    </row>
    <row r="2664" spans="1:19">
      <c r="A2664" s="18" t="s">
        <v>2676</v>
      </c>
      <c r="B2664" s="1" t="s">
        <v>2756</v>
      </c>
      <c r="C2664" s="1" t="s">
        <v>2826</v>
      </c>
      <c r="D2664" s="1" t="s">
        <v>2827</v>
      </c>
      <c r="E2664" s="1" t="s">
        <v>25</v>
      </c>
      <c r="F2664">
        <v>659</v>
      </c>
      <c r="G2664">
        <v>659</v>
      </c>
      <c r="H2664">
        <v>44</v>
      </c>
      <c r="I2664" s="1" t="s">
        <v>1528</v>
      </c>
      <c r="J2664" s="1" t="s">
        <v>1336</v>
      </c>
      <c r="K2664" t="s">
        <v>25</v>
      </c>
      <c r="L2664">
        <v>-1.555839219579813</v>
      </c>
      <c r="M2664" s="1" t="s">
        <v>23</v>
      </c>
      <c r="N2664" t="str">
        <f t="shared" si="67"/>
        <v>SW</v>
      </c>
      <c r="O2664" s="1" t="s">
        <v>25</v>
      </c>
      <c r="P2664" s="3" t="s">
        <v>25</v>
      </c>
      <c r="Q2664" s="37">
        <v>1.4150827187295874</v>
      </c>
      <c r="R2664" t="str">
        <f t="shared" si="68"/>
        <v>mmol/mol</v>
      </c>
      <c r="S2664" s="13">
        <f t="shared" si="66"/>
        <v>-1.555839219579813</v>
      </c>
    </row>
    <row r="2665" spans="1:19">
      <c r="A2665" s="18" t="s">
        <v>2676</v>
      </c>
      <c r="B2665" s="1" t="s">
        <v>2757</v>
      </c>
      <c r="C2665" s="1" t="s">
        <v>2826</v>
      </c>
      <c r="D2665" s="1" t="s">
        <v>2827</v>
      </c>
      <c r="E2665" s="1" t="s">
        <v>25</v>
      </c>
      <c r="F2665">
        <v>659</v>
      </c>
      <c r="G2665">
        <v>659</v>
      </c>
      <c r="H2665">
        <v>46</v>
      </c>
      <c r="I2665" s="1" t="s">
        <v>1528</v>
      </c>
      <c r="J2665" s="1" t="s">
        <v>1336</v>
      </c>
      <c r="K2665" t="s">
        <v>25</v>
      </c>
      <c r="L2665">
        <v>-1.6392402320989428</v>
      </c>
      <c r="M2665" s="1" t="s">
        <v>23</v>
      </c>
      <c r="N2665" t="str">
        <f t="shared" si="67"/>
        <v>SW</v>
      </c>
      <c r="O2665" s="1" t="s">
        <v>25</v>
      </c>
      <c r="P2665" s="3" t="s">
        <v>25</v>
      </c>
      <c r="Q2665" s="37">
        <v>1.2566253711619015</v>
      </c>
      <c r="R2665" t="str">
        <f t="shared" si="68"/>
        <v>mmol/mol</v>
      </c>
      <c r="S2665" s="13">
        <f t="shared" si="66"/>
        <v>-1.6392402320989428</v>
      </c>
    </row>
    <row r="2666" spans="1:19">
      <c r="A2666" s="18" t="s">
        <v>2676</v>
      </c>
      <c r="B2666" s="1" t="s">
        <v>2758</v>
      </c>
      <c r="C2666" s="1" t="s">
        <v>2826</v>
      </c>
      <c r="D2666" s="1" t="s">
        <v>2827</v>
      </c>
      <c r="E2666" s="1" t="s">
        <v>25</v>
      </c>
      <c r="F2666">
        <v>659</v>
      </c>
      <c r="G2666">
        <v>659</v>
      </c>
      <c r="H2666">
        <v>49.5</v>
      </c>
      <c r="I2666" s="1" t="s">
        <v>1528</v>
      </c>
      <c r="J2666" s="1" t="s">
        <v>1336</v>
      </c>
      <c r="K2666" t="s">
        <v>25</v>
      </c>
      <c r="L2666">
        <v>-1.3380870381245329</v>
      </c>
      <c r="M2666" s="1" t="s">
        <v>23</v>
      </c>
      <c r="N2666" t="str">
        <f t="shared" si="67"/>
        <v>SW</v>
      </c>
      <c r="O2666" s="1" t="s">
        <v>25</v>
      </c>
      <c r="P2666" s="3" t="s">
        <v>25</v>
      </c>
      <c r="Q2666" s="37">
        <v>1.9732759321069377</v>
      </c>
      <c r="R2666" t="str">
        <f t="shared" si="68"/>
        <v>mmol/mol</v>
      </c>
      <c r="S2666" s="13">
        <f t="shared" si="66"/>
        <v>-1.3380870381245329</v>
      </c>
    </row>
    <row r="2667" spans="1:19">
      <c r="A2667" s="18" t="s">
        <v>2676</v>
      </c>
      <c r="B2667" s="1" t="s">
        <v>2759</v>
      </c>
      <c r="C2667" s="1" t="s">
        <v>2826</v>
      </c>
      <c r="D2667" s="1" t="s">
        <v>2827</v>
      </c>
      <c r="E2667" s="1" t="s">
        <v>25</v>
      </c>
      <c r="F2667">
        <v>659</v>
      </c>
      <c r="G2667">
        <v>659</v>
      </c>
      <c r="H2667">
        <v>52</v>
      </c>
      <c r="I2667" s="1" t="s">
        <v>1528</v>
      </c>
      <c r="J2667" s="1" t="s">
        <v>1336</v>
      </c>
      <c r="K2667" t="s">
        <v>25</v>
      </c>
      <c r="L2667" t="s">
        <v>25</v>
      </c>
      <c r="M2667" t="s">
        <v>25</v>
      </c>
      <c r="N2667" t="str">
        <f t="shared" si="67"/>
        <v>Na</v>
      </c>
      <c r="O2667" s="1" t="s">
        <v>25</v>
      </c>
      <c r="P2667" s="3" t="s">
        <v>25</v>
      </c>
      <c r="Q2667" s="37">
        <v>1.6284926371494224</v>
      </c>
      <c r="R2667" t="str">
        <f t="shared" si="68"/>
        <v>mmol/mol</v>
      </c>
      <c r="S2667" s="13" t="s">
        <v>25</v>
      </c>
    </row>
    <row r="2668" spans="1:19">
      <c r="A2668" s="18" t="s">
        <v>2676</v>
      </c>
      <c r="B2668" s="1" t="s">
        <v>2760</v>
      </c>
      <c r="C2668" s="1" t="s">
        <v>2826</v>
      </c>
      <c r="D2668" s="1" t="s">
        <v>2827</v>
      </c>
      <c r="E2668" s="1" t="s">
        <v>25</v>
      </c>
      <c r="F2668">
        <v>659</v>
      </c>
      <c r="G2668">
        <v>659</v>
      </c>
      <c r="H2668">
        <v>55</v>
      </c>
      <c r="I2668" s="1" t="s">
        <v>1528</v>
      </c>
      <c r="J2668" s="1" t="s">
        <v>1336</v>
      </c>
      <c r="K2668" t="s">
        <v>25</v>
      </c>
      <c r="L2668">
        <v>-1.4747016368612973</v>
      </c>
      <c r="M2668" s="1" t="s">
        <v>23</v>
      </c>
      <c r="N2668" t="str">
        <f t="shared" si="67"/>
        <v>SW</v>
      </c>
      <c r="O2668" s="1" t="s">
        <v>25</v>
      </c>
      <c r="P2668" s="3" t="s">
        <v>25</v>
      </c>
      <c r="Q2668" s="37">
        <v>2.3911793873237674</v>
      </c>
      <c r="R2668" t="str">
        <f t="shared" si="68"/>
        <v>mmol/mol</v>
      </c>
      <c r="S2668" s="13">
        <f t="shared" ref="S2668:S2731" si="69">IF(NOT(N2668="SW"),L2668-1.88,L2668)</f>
        <v>-1.4747016368612973</v>
      </c>
    </row>
    <row r="2669" spans="1:19">
      <c r="A2669" s="18" t="s">
        <v>2676</v>
      </c>
      <c r="B2669" s="1" t="s">
        <v>2761</v>
      </c>
      <c r="C2669" s="1" t="s">
        <v>2826</v>
      </c>
      <c r="D2669" s="1" t="s">
        <v>2827</v>
      </c>
      <c r="E2669" s="1" t="s">
        <v>25</v>
      </c>
      <c r="F2669">
        <v>659</v>
      </c>
      <c r="G2669">
        <v>659</v>
      </c>
      <c r="H2669">
        <v>58</v>
      </c>
      <c r="I2669" s="1" t="s">
        <v>1528</v>
      </c>
      <c r="J2669" s="1" t="s">
        <v>1336</v>
      </c>
      <c r="K2669" t="s">
        <v>25</v>
      </c>
      <c r="L2669" t="s">
        <v>25</v>
      </c>
      <c r="M2669" s="1" t="s">
        <v>23</v>
      </c>
      <c r="N2669" t="str">
        <f t="shared" si="67"/>
        <v>SW</v>
      </c>
      <c r="O2669" s="1" t="s">
        <v>25</v>
      </c>
      <c r="P2669" s="3" t="s">
        <v>25</v>
      </c>
      <c r="Q2669" s="37">
        <v>0.95137408889935782</v>
      </c>
      <c r="R2669" t="str">
        <f t="shared" si="68"/>
        <v>mmol/mol</v>
      </c>
      <c r="S2669" s="13" t="str">
        <f t="shared" si="69"/>
        <v>Na</v>
      </c>
    </row>
    <row r="2670" spans="1:19">
      <c r="A2670" s="18" t="s">
        <v>2676</v>
      </c>
      <c r="B2670" s="1" t="s">
        <v>2762</v>
      </c>
      <c r="C2670" s="1" t="s">
        <v>2826</v>
      </c>
      <c r="D2670" s="1" t="s">
        <v>2827</v>
      </c>
      <c r="E2670" s="1" t="s">
        <v>25</v>
      </c>
      <c r="F2670">
        <v>659</v>
      </c>
      <c r="G2670">
        <v>659</v>
      </c>
      <c r="H2670">
        <v>61</v>
      </c>
      <c r="I2670" s="1" t="s">
        <v>1528</v>
      </c>
      <c r="J2670" s="1" t="s">
        <v>1336</v>
      </c>
      <c r="K2670" t="s">
        <v>25</v>
      </c>
      <c r="L2670">
        <v>-1.1630589621847292</v>
      </c>
      <c r="M2670" s="1" t="s">
        <v>23</v>
      </c>
      <c r="N2670" t="str">
        <f t="shared" si="67"/>
        <v>SW</v>
      </c>
      <c r="O2670" s="1" t="s">
        <v>25</v>
      </c>
      <c r="P2670" s="3" t="s">
        <v>25</v>
      </c>
      <c r="Q2670" s="37">
        <v>1.5405172613263791</v>
      </c>
      <c r="R2670" t="str">
        <f t="shared" si="68"/>
        <v>mmol/mol</v>
      </c>
      <c r="S2670" s="13">
        <f t="shared" si="69"/>
        <v>-1.1630589621847292</v>
      </c>
    </row>
    <row r="2671" spans="1:19">
      <c r="A2671" s="18" t="s">
        <v>2676</v>
      </c>
      <c r="B2671" s="1" t="s">
        <v>2763</v>
      </c>
      <c r="C2671" s="1" t="s">
        <v>2826</v>
      </c>
      <c r="D2671" s="1" t="s">
        <v>2827</v>
      </c>
      <c r="E2671" s="1" t="s">
        <v>25</v>
      </c>
      <c r="F2671">
        <v>659</v>
      </c>
      <c r="G2671">
        <v>659</v>
      </c>
      <c r="H2671">
        <v>64</v>
      </c>
      <c r="I2671" s="1" t="s">
        <v>1528</v>
      </c>
      <c r="J2671" s="1" t="s">
        <v>1336</v>
      </c>
      <c r="K2671" t="s">
        <v>25</v>
      </c>
      <c r="L2671" t="s">
        <v>25</v>
      </c>
      <c r="M2671" t="s">
        <v>25</v>
      </c>
      <c r="N2671" t="str">
        <f t="shared" si="67"/>
        <v>Na</v>
      </c>
      <c r="O2671" s="1" t="s">
        <v>25</v>
      </c>
      <c r="P2671" s="3" t="s">
        <v>25</v>
      </c>
      <c r="Q2671" s="37">
        <v>2.4462308191260487</v>
      </c>
      <c r="R2671" t="str">
        <f t="shared" si="68"/>
        <v>mmol/mol</v>
      </c>
      <c r="S2671" s="13" t="s">
        <v>25</v>
      </c>
    </row>
    <row r="2672" spans="1:19">
      <c r="A2672" s="18" t="s">
        <v>2676</v>
      </c>
      <c r="B2672" s="1" t="s">
        <v>2764</v>
      </c>
      <c r="C2672" s="1" t="s">
        <v>2826</v>
      </c>
      <c r="D2672" s="1" t="s">
        <v>2827</v>
      </c>
      <c r="E2672" s="1" t="s">
        <v>25</v>
      </c>
      <c r="F2672">
        <v>659</v>
      </c>
      <c r="G2672">
        <v>659</v>
      </c>
      <c r="H2672">
        <v>67</v>
      </c>
      <c r="I2672" s="1" t="s">
        <v>1528</v>
      </c>
      <c r="J2672" s="1" t="s">
        <v>1336</v>
      </c>
      <c r="K2672" t="s">
        <v>25</v>
      </c>
      <c r="L2672">
        <v>-1.2626896053358871</v>
      </c>
      <c r="M2672" s="1" t="s">
        <v>23</v>
      </c>
      <c r="N2672" t="str">
        <f t="shared" si="67"/>
        <v>SW</v>
      </c>
      <c r="O2672" s="1" t="s">
        <v>25</v>
      </c>
      <c r="P2672" s="3" t="s">
        <v>25</v>
      </c>
      <c r="Q2672" s="37">
        <v>2.18938917017153</v>
      </c>
      <c r="R2672" t="str">
        <f t="shared" si="68"/>
        <v>mmol/mol</v>
      </c>
      <c r="S2672" s="13">
        <f t="shared" si="69"/>
        <v>-1.2626896053358871</v>
      </c>
    </row>
    <row r="2673" spans="1:19">
      <c r="A2673" s="18" t="s">
        <v>2676</v>
      </c>
      <c r="B2673" s="1" t="s">
        <v>2765</v>
      </c>
      <c r="C2673" s="1" t="s">
        <v>2826</v>
      </c>
      <c r="D2673" s="1" t="s">
        <v>2827</v>
      </c>
      <c r="E2673" s="1" t="s">
        <v>25</v>
      </c>
      <c r="F2673">
        <v>659</v>
      </c>
      <c r="G2673">
        <v>659</v>
      </c>
      <c r="H2673">
        <v>70</v>
      </c>
      <c r="I2673" s="1" t="s">
        <v>1528</v>
      </c>
      <c r="J2673" s="1" t="s">
        <v>1336</v>
      </c>
      <c r="K2673" t="s">
        <v>25</v>
      </c>
      <c r="L2673">
        <v>-1.3172199814038774</v>
      </c>
      <c r="M2673" s="1" t="s">
        <v>23</v>
      </c>
      <c r="N2673" t="str">
        <f t="shared" si="67"/>
        <v>SW</v>
      </c>
      <c r="O2673" s="1" t="s">
        <v>25</v>
      </c>
      <c r="P2673" s="3" t="s">
        <v>25</v>
      </c>
      <c r="Q2673" s="37">
        <v>3.1119322722490965</v>
      </c>
      <c r="R2673" t="str">
        <f t="shared" si="68"/>
        <v>mmol/mol</v>
      </c>
      <c r="S2673" s="13">
        <f t="shared" si="69"/>
        <v>-1.3172199814038774</v>
      </c>
    </row>
    <row r="2674" spans="1:19">
      <c r="A2674" s="18" t="s">
        <v>2676</v>
      </c>
      <c r="B2674" s="1" t="s">
        <v>2766</v>
      </c>
      <c r="C2674" s="1" t="s">
        <v>2826</v>
      </c>
      <c r="D2674" s="1" t="s">
        <v>2827</v>
      </c>
      <c r="E2674" s="1" t="s">
        <v>25</v>
      </c>
      <c r="F2674">
        <v>659</v>
      </c>
      <c r="G2674">
        <v>659</v>
      </c>
      <c r="H2674">
        <v>73</v>
      </c>
      <c r="I2674" s="1" t="s">
        <v>1528</v>
      </c>
      <c r="J2674" s="1" t="s">
        <v>1336</v>
      </c>
      <c r="K2674" t="s">
        <v>25</v>
      </c>
      <c r="L2674">
        <v>-1.3886399333779469</v>
      </c>
      <c r="M2674" s="1" t="s">
        <v>23</v>
      </c>
      <c r="N2674" t="str">
        <f t="shared" si="67"/>
        <v>SW</v>
      </c>
      <c r="O2674" s="1" t="s">
        <v>25</v>
      </c>
      <c r="P2674" s="3" t="s">
        <v>25</v>
      </c>
      <c r="Q2674" s="37">
        <v>1.5565490949037479</v>
      </c>
      <c r="R2674" t="str">
        <f t="shared" si="68"/>
        <v>mmol/mol</v>
      </c>
      <c r="S2674" s="13">
        <f t="shared" si="69"/>
        <v>-1.3886399333779469</v>
      </c>
    </row>
    <row r="2675" spans="1:19">
      <c r="A2675" s="18" t="s">
        <v>2676</v>
      </c>
      <c r="B2675" s="1" t="s">
        <v>2767</v>
      </c>
      <c r="C2675" s="1" t="s">
        <v>2826</v>
      </c>
      <c r="D2675" s="1" t="s">
        <v>2827</v>
      </c>
      <c r="E2675" s="1" t="s">
        <v>25</v>
      </c>
      <c r="F2675">
        <v>659</v>
      </c>
      <c r="G2675">
        <v>659</v>
      </c>
      <c r="H2675">
        <v>76</v>
      </c>
      <c r="I2675" s="1" t="s">
        <v>1528</v>
      </c>
      <c r="J2675" s="1" t="s">
        <v>1336</v>
      </c>
      <c r="K2675" t="s">
        <v>25</v>
      </c>
      <c r="L2675">
        <v>-1.1964609297772071</v>
      </c>
      <c r="M2675" s="1" t="s">
        <v>23</v>
      </c>
      <c r="N2675" t="str">
        <f t="shared" si="67"/>
        <v>SW</v>
      </c>
      <c r="O2675" s="1" t="s">
        <v>25</v>
      </c>
      <c r="P2675" s="3" t="s">
        <v>25</v>
      </c>
      <c r="Q2675" s="37">
        <v>1.8110949257869031</v>
      </c>
      <c r="R2675" t="str">
        <f t="shared" si="68"/>
        <v>mmol/mol</v>
      </c>
      <c r="S2675" s="13">
        <f t="shared" si="69"/>
        <v>-1.1964609297772071</v>
      </c>
    </row>
    <row r="2676" spans="1:19">
      <c r="A2676" s="18" t="s">
        <v>2676</v>
      </c>
      <c r="B2676" s="1" t="s">
        <v>2768</v>
      </c>
      <c r="C2676" s="1" t="s">
        <v>2826</v>
      </c>
      <c r="D2676" s="1" t="s">
        <v>2827</v>
      </c>
      <c r="E2676" s="1" t="s">
        <v>25</v>
      </c>
      <c r="F2676">
        <v>659</v>
      </c>
      <c r="G2676">
        <v>659</v>
      </c>
      <c r="H2676">
        <v>79</v>
      </c>
      <c r="I2676" s="1" t="s">
        <v>1528</v>
      </c>
      <c r="J2676" s="1" t="s">
        <v>1336</v>
      </c>
      <c r="K2676" t="s">
        <v>25</v>
      </c>
      <c r="L2676">
        <v>-1.2842902025312768</v>
      </c>
      <c r="M2676" s="1" t="s">
        <v>23</v>
      </c>
      <c r="N2676" t="str">
        <f t="shared" si="67"/>
        <v>SW</v>
      </c>
      <c r="O2676" s="1" t="s">
        <v>25</v>
      </c>
      <c r="P2676" s="3" t="s">
        <v>25</v>
      </c>
      <c r="Q2676" s="37">
        <v>2.806457507422305</v>
      </c>
      <c r="R2676" t="str">
        <f t="shared" si="68"/>
        <v>mmol/mol</v>
      </c>
      <c r="S2676" s="13">
        <f t="shared" si="69"/>
        <v>-1.2842902025312768</v>
      </c>
    </row>
    <row r="2677" spans="1:19">
      <c r="A2677" s="18" t="s">
        <v>2676</v>
      </c>
      <c r="B2677" s="1" t="s">
        <v>2769</v>
      </c>
      <c r="C2677" s="1" t="s">
        <v>2826</v>
      </c>
      <c r="D2677" s="1" t="s">
        <v>2827</v>
      </c>
      <c r="E2677" s="1" t="s">
        <v>25</v>
      </c>
      <c r="F2677">
        <v>659</v>
      </c>
      <c r="G2677">
        <v>659</v>
      </c>
      <c r="H2677">
        <v>1</v>
      </c>
      <c r="I2677" s="1" t="s">
        <v>1528</v>
      </c>
      <c r="J2677" s="1" t="s">
        <v>1336</v>
      </c>
      <c r="K2677" t="s">
        <v>25</v>
      </c>
      <c r="L2677">
        <v>-1.2912452148067408</v>
      </c>
      <c r="M2677" s="1" t="s">
        <v>23</v>
      </c>
      <c r="N2677" t="str">
        <f t="shared" si="67"/>
        <v>SW</v>
      </c>
      <c r="O2677" s="1" t="s">
        <v>25</v>
      </c>
      <c r="P2677" s="3" t="s">
        <v>25</v>
      </c>
      <c r="Q2677" s="37">
        <v>1.3413133097763148</v>
      </c>
      <c r="R2677" t="str">
        <f t="shared" si="68"/>
        <v>mmol/mol</v>
      </c>
      <c r="S2677" s="13">
        <f t="shared" si="69"/>
        <v>-1.2912452148067408</v>
      </c>
    </row>
    <row r="2678" spans="1:19">
      <c r="A2678" s="18" t="s">
        <v>2676</v>
      </c>
      <c r="B2678" s="1" t="s">
        <v>2770</v>
      </c>
      <c r="C2678" s="1" t="s">
        <v>2826</v>
      </c>
      <c r="D2678" s="1" t="s">
        <v>2827</v>
      </c>
      <c r="E2678" s="1" t="s">
        <v>25</v>
      </c>
      <c r="F2678">
        <v>659</v>
      </c>
      <c r="G2678">
        <v>659</v>
      </c>
      <c r="H2678">
        <v>4</v>
      </c>
      <c r="I2678" s="1" t="s">
        <v>1528</v>
      </c>
      <c r="J2678" s="1" t="s">
        <v>1336</v>
      </c>
      <c r="K2678" t="s">
        <v>25</v>
      </c>
      <c r="L2678">
        <v>-1.2238827841567324</v>
      </c>
      <c r="M2678" s="1" t="s">
        <v>23</v>
      </c>
      <c r="N2678" t="str">
        <f t="shared" si="67"/>
        <v>SW</v>
      </c>
      <c r="O2678" s="1" t="s">
        <v>25</v>
      </c>
      <c r="P2678" s="3" t="s">
        <v>25</v>
      </c>
      <c r="Q2678" s="37">
        <v>3.3297168456217592</v>
      </c>
      <c r="R2678" t="str">
        <f t="shared" si="68"/>
        <v>mmol/mol</v>
      </c>
      <c r="S2678" s="13">
        <f t="shared" si="69"/>
        <v>-1.2238827841567324</v>
      </c>
    </row>
    <row r="2679" spans="1:19">
      <c r="A2679" s="18" t="s">
        <v>2676</v>
      </c>
      <c r="B2679" s="1" t="s">
        <v>2771</v>
      </c>
      <c r="C2679" s="1" t="s">
        <v>2826</v>
      </c>
      <c r="D2679" s="1" t="s">
        <v>2827</v>
      </c>
      <c r="E2679" s="1" t="s">
        <v>25</v>
      </c>
      <c r="F2679">
        <v>659</v>
      </c>
      <c r="G2679">
        <v>659</v>
      </c>
      <c r="H2679">
        <v>6</v>
      </c>
      <c r="I2679" s="1" t="s">
        <v>1528</v>
      </c>
      <c r="J2679" s="1" t="s">
        <v>1336</v>
      </c>
      <c r="K2679" t="s">
        <v>25</v>
      </c>
      <c r="L2679">
        <v>-1.1982741622234976</v>
      </c>
      <c r="M2679" s="1" t="s">
        <v>23</v>
      </c>
      <c r="N2679" t="str">
        <f t="shared" si="67"/>
        <v>SW</v>
      </c>
      <c r="O2679" s="1" t="s">
        <v>25</v>
      </c>
      <c r="P2679" s="3" t="s">
        <v>25</v>
      </c>
      <c r="Q2679" s="37">
        <v>2.2899864972318991</v>
      </c>
      <c r="R2679" t="str">
        <f t="shared" si="68"/>
        <v>mmol/mol</v>
      </c>
      <c r="S2679" s="13">
        <f t="shared" si="69"/>
        <v>-1.1982741622234976</v>
      </c>
    </row>
    <row r="2680" spans="1:19">
      <c r="A2680" s="18" t="s">
        <v>2676</v>
      </c>
      <c r="B2680" s="1" t="s">
        <v>2772</v>
      </c>
      <c r="C2680" s="1" t="s">
        <v>2826</v>
      </c>
      <c r="D2680" s="1" t="s">
        <v>2827</v>
      </c>
      <c r="E2680" s="1" t="s">
        <v>25</v>
      </c>
      <c r="F2680">
        <v>659</v>
      </c>
      <c r="G2680">
        <v>659</v>
      </c>
      <c r="H2680">
        <v>7</v>
      </c>
      <c r="I2680" s="1" t="s">
        <v>1528</v>
      </c>
      <c r="J2680" s="1" t="s">
        <v>1336</v>
      </c>
      <c r="K2680" t="s">
        <v>25</v>
      </c>
      <c r="L2680">
        <v>-1.1765097986521282</v>
      </c>
      <c r="M2680" s="1" t="s">
        <v>23</v>
      </c>
      <c r="N2680" t="str">
        <f t="shared" si="67"/>
        <v>SW</v>
      </c>
      <c r="O2680" s="1" t="s">
        <v>25</v>
      </c>
      <c r="P2680" s="3" t="s">
        <v>25</v>
      </c>
      <c r="Q2680" s="37">
        <v>1.1692767747393751</v>
      </c>
      <c r="R2680" t="str">
        <f t="shared" si="68"/>
        <v>mmol/mol</v>
      </c>
      <c r="S2680" s="13">
        <f t="shared" si="69"/>
        <v>-1.1765097986521282</v>
      </c>
    </row>
    <row r="2681" spans="1:19">
      <c r="A2681" s="18" t="s">
        <v>2676</v>
      </c>
      <c r="B2681" s="1" t="s">
        <v>2773</v>
      </c>
      <c r="C2681" s="1" t="s">
        <v>2826</v>
      </c>
      <c r="D2681" s="1" t="s">
        <v>2827</v>
      </c>
      <c r="E2681" s="1" t="s">
        <v>25</v>
      </c>
      <c r="F2681">
        <v>659</v>
      </c>
      <c r="G2681">
        <v>659</v>
      </c>
      <c r="H2681">
        <v>8</v>
      </c>
      <c r="I2681" s="1" t="s">
        <v>1528</v>
      </c>
      <c r="J2681" s="1" t="s">
        <v>1336</v>
      </c>
      <c r="K2681" t="s">
        <v>25</v>
      </c>
      <c r="L2681">
        <v>-1.1817345428191184</v>
      </c>
      <c r="M2681" s="1" t="s">
        <v>23</v>
      </c>
      <c r="N2681" t="str">
        <f t="shared" si="67"/>
        <v>SW</v>
      </c>
      <c r="O2681" s="1" t="s">
        <v>25</v>
      </c>
      <c r="P2681" s="3" t="s">
        <v>25</v>
      </c>
      <c r="Q2681" s="37">
        <v>2.8090680943847595</v>
      </c>
      <c r="R2681" t="str">
        <f t="shared" si="68"/>
        <v>mmol/mol</v>
      </c>
      <c r="S2681" s="13">
        <f t="shared" si="69"/>
        <v>-1.1817345428191184</v>
      </c>
    </row>
    <row r="2682" spans="1:19">
      <c r="A2682" s="18" t="s">
        <v>2676</v>
      </c>
      <c r="B2682" s="1" t="s">
        <v>2774</v>
      </c>
      <c r="C2682" s="1" t="s">
        <v>2826</v>
      </c>
      <c r="D2682" s="1" t="s">
        <v>2827</v>
      </c>
      <c r="E2682" s="1" t="s">
        <v>25</v>
      </c>
      <c r="F2682">
        <v>659</v>
      </c>
      <c r="G2682">
        <v>659</v>
      </c>
      <c r="H2682">
        <v>9.6</v>
      </c>
      <c r="I2682" s="1" t="s">
        <v>1528</v>
      </c>
      <c r="J2682" s="1" t="s">
        <v>1336</v>
      </c>
      <c r="K2682" t="s">
        <v>25</v>
      </c>
      <c r="L2682">
        <v>-1.2393372552434472</v>
      </c>
      <c r="M2682" s="1" t="s">
        <v>23</v>
      </c>
      <c r="N2682" t="str">
        <f t="shared" si="67"/>
        <v>SW</v>
      </c>
      <c r="O2682" s="1" t="s">
        <v>25</v>
      </c>
      <c r="P2682" s="3" t="s">
        <v>25</v>
      </c>
      <c r="Q2682" s="37">
        <v>1.797488204429013</v>
      </c>
      <c r="R2682" t="str">
        <f t="shared" si="68"/>
        <v>mmol/mol</v>
      </c>
      <c r="S2682" s="13">
        <f t="shared" si="69"/>
        <v>-1.2393372552434472</v>
      </c>
    </row>
    <row r="2683" spans="1:19">
      <c r="A2683" s="18" t="s">
        <v>2676</v>
      </c>
      <c r="B2683" s="1" t="s">
        <v>2775</v>
      </c>
      <c r="C2683" s="1" t="s">
        <v>2826</v>
      </c>
      <c r="D2683" s="1" t="s">
        <v>2827</v>
      </c>
      <c r="E2683" s="1" t="s">
        <v>25</v>
      </c>
      <c r="F2683">
        <v>659</v>
      </c>
      <c r="G2683">
        <v>659</v>
      </c>
      <c r="H2683">
        <v>11</v>
      </c>
      <c r="I2683" s="1" t="s">
        <v>1528</v>
      </c>
      <c r="J2683" s="1" t="s">
        <v>1336</v>
      </c>
      <c r="K2683" t="s">
        <v>25</v>
      </c>
      <c r="L2683" t="s">
        <v>25</v>
      </c>
      <c r="M2683" t="s">
        <v>25</v>
      </c>
      <c r="N2683" t="str">
        <f t="shared" si="67"/>
        <v>Na</v>
      </c>
      <c r="O2683" s="1" t="s">
        <v>25</v>
      </c>
      <c r="P2683" s="3" t="s">
        <v>25</v>
      </c>
      <c r="Q2683" s="37">
        <v>1.2687225490039911</v>
      </c>
      <c r="R2683" t="str">
        <f t="shared" si="68"/>
        <v>mmol/mol</v>
      </c>
      <c r="S2683" s="13" t="s">
        <v>25</v>
      </c>
    </row>
    <row r="2684" spans="1:19">
      <c r="A2684" s="18" t="s">
        <v>2676</v>
      </c>
      <c r="B2684" s="1" t="s">
        <v>2776</v>
      </c>
      <c r="C2684" s="1" t="s">
        <v>2826</v>
      </c>
      <c r="D2684" s="1" t="s">
        <v>2827</v>
      </c>
      <c r="E2684" s="1" t="s">
        <v>25</v>
      </c>
      <c r="F2684">
        <v>659</v>
      </c>
      <c r="G2684">
        <v>659</v>
      </c>
      <c r="H2684">
        <v>14</v>
      </c>
      <c r="I2684" s="1" t="s">
        <v>1528</v>
      </c>
      <c r="J2684" s="1" t="s">
        <v>1336</v>
      </c>
      <c r="K2684" t="s">
        <v>25</v>
      </c>
      <c r="L2684">
        <v>-0.92171171862476797</v>
      </c>
      <c r="M2684" s="1" t="s">
        <v>23</v>
      </c>
      <c r="N2684" t="str">
        <f t="shared" si="67"/>
        <v>SW</v>
      </c>
      <c r="O2684" s="1" t="s">
        <v>25</v>
      </c>
      <c r="P2684" s="3" t="s">
        <v>25</v>
      </c>
      <c r="Q2684" s="37">
        <v>1.2103929578498205</v>
      </c>
      <c r="R2684" t="str">
        <f t="shared" si="68"/>
        <v>mmol/mol</v>
      </c>
      <c r="S2684" s="13">
        <f t="shared" si="69"/>
        <v>-0.92171171862476797</v>
      </c>
    </row>
    <row r="2685" spans="1:19">
      <c r="A2685" s="18" t="s">
        <v>2676</v>
      </c>
      <c r="B2685" s="1" t="s">
        <v>2777</v>
      </c>
      <c r="C2685" s="1" t="s">
        <v>2826</v>
      </c>
      <c r="D2685" s="1" t="s">
        <v>2827</v>
      </c>
      <c r="E2685" s="1" t="s">
        <v>25</v>
      </c>
      <c r="F2685">
        <v>659</v>
      </c>
      <c r="G2685">
        <v>659</v>
      </c>
      <c r="H2685">
        <v>17</v>
      </c>
      <c r="I2685" s="1" t="s">
        <v>1528</v>
      </c>
      <c r="J2685" s="1" t="s">
        <v>1336</v>
      </c>
      <c r="K2685" t="s">
        <v>25</v>
      </c>
      <c r="L2685">
        <v>-1.2083561255075537</v>
      </c>
      <c r="M2685" s="1" t="s">
        <v>23</v>
      </c>
      <c r="N2685" t="str">
        <f t="shared" si="67"/>
        <v>SW</v>
      </c>
      <c r="O2685" s="1" t="s">
        <v>25</v>
      </c>
      <c r="P2685" s="3" t="s">
        <v>25</v>
      </c>
      <c r="Q2685" s="37">
        <v>2.1812827166127895</v>
      </c>
      <c r="R2685" t="str">
        <f t="shared" si="68"/>
        <v>mmol/mol</v>
      </c>
      <c r="S2685" s="13">
        <f t="shared" si="69"/>
        <v>-1.2083561255075537</v>
      </c>
    </row>
    <row r="2686" spans="1:19">
      <c r="A2686" s="18" t="s">
        <v>2676</v>
      </c>
      <c r="B2686" s="1" t="s">
        <v>2778</v>
      </c>
      <c r="C2686" s="1" t="s">
        <v>2826</v>
      </c>
      <c r="D2686" s="1" t="s">
        <v>2827</v>
      </c>
      <c r="E2686" s="1" t="s">
        <v>25</v>
      </c>
      <c r="F2686">
        <v>659</v>
      </c>
      <c r="G2686">
        <v>659</v>
      </c>
      <c r="H2686">
        <v>20</v>
      </c>
      <c r="I2686" s="1" t="s">
        <v>1528</v>
      </c>
      <c r="J2686" s="1" t="s">
        <v>1336</v>
      </c>
      <c r="K2686" t="s">
        <v>25</v>
      </c>
      <c r="L2686">
        <v>-1.3017992872168092</v>
      </c>
      <c r="M2686" s="1" t="s">
        <v>23</v>
      </c>
      <c r="N2686" t="str">
        <f t="shared" si="67"/>
        <v>SW</v>
      </c>
      <c r="O2686" s="1" t="s">
        <v>25</v>
      </c>
      <c r="P2686" s="3" t="s">
        <v>25</v>
      </c>
      <c r="Q2686" s="37">
        <v>1.7291841111680615</v>
      </c>
      <c r="R2686" t="str">
        <f t="shared" si="68"/>
        <v>mmol/mol</v>
      </c>
      <c r="S2686" s="13">
        <f t="shared" si="69"/>
        <v>-1.3017992872168092</v>
      </c>
    </row>
    <row r="2687" spans="1:19">
      <c r="A2687" s="18" t="s">
        <v>2676</v>
      </c>
      <c r="B2687" s="1" t="s">
        <v>2779</v>
      </c>
      <c r="C2687" s="1" t="s">
        <v>2826</v>
      </c>
      <c r="D2687" s="1" t="s">
        <v>2827</v>
      </c>
      <c r="E2687" s="1" t="s">
        <v>25</v>
      </c>
      <c r="F2687">
        <v>659</v>
      </c>
      <c r="G2687">
        <v>659</v>
      </c>
      <c r="H2687">
        <v>25</v>
      </c>
      <c r="I2687" s="1" t="s">
        <v>1528</v>
      </c>
      <c r="J2687" s="1" t="s">
        <v>1336</v>
      </c>
      <c r="K2687" t="s">
        <v>25</v>
      </c>
      <c r="L2687" t="s">
        <v>25</v>
      </c>
      <c r="M2687" t="s">
        <v>25</v>
      </c>
      <c r="N2687" t="str">
        <f t="shared" si="67"/>
        <v>Na</v>
      </c>
      <c r="O2687" s="1" t="s">
        <v>25</v>
      </c>
      <c r="P2687" s="3" t="s">
        <v>25</v>
      </c>
      <c r="Q2687" s="37">
        <v>2.6933414863799299</v>
      </c>
      <c r="R2687" t="str">
        <f t="shared" si="68"/>
        <v>mmol/mol</v>
      </c>
      <c r="S2687" s="13" t="s">
        <v>25</v>
      </c>
    </row>
    <row r="2688" spans="1:19">
      <c r="A2688" s="18" t="s">
        <v>2676</v>
      </c>
      <c r="B2688" s="1" t="s">
        <v>2780</v>
      </c>
      <c r="C2688" s="1" t="s">
        <v>2826</v>
      </c>
      <c r="D2688" s="1" t="s">
        <v>2827</v>
      </c>
      <c r="E2688" s="1" t="s">
        <v>25</v>
      </c>
      <c r="F2688">
        <v>659</v>
      </c>
      <c r="G2688">
        <v>659</v>
      </c>
      <c r="H2688">
        <v>32.1</v>
      </c>
      <c r="I2688" s="1" t="s">
        <v>1528</v>
      </c>
      <c r="J2688" s="1" t="s">
        <v>1336</v>
      </c>
      <c r="K2688" t="s">
        <v>25</v>
      </c>
      <c r="L2688">
        <v>-1.2384089611762739</v>
      </c>
      <c r="M2688" s="1" t="s">
        <v>23</v>
      </c>
      <c r="N2688" t="str">
        <f t="shared" si="67"/>
        <v>SW</v>
      </c>
      <c r="O2688" s="1" t="s">
        <v>25</v>
      </c>
      <c r="P2688" s="3" t="s">
        <v>25</v>
      </c>
      <c r="Q2688" s="37">
        <v>3.8873368187432478</v>
      </c>
      <c r="R2688" t="str">
        <f t="shared" si="68"/>
        <v>mmol/mol</v>
      </c>
      <c r="S2688" s="13">
        <f t="shared" si="69"/>
        <v>-1.2384089611762739</v>
      </c>
    </row>
    <row r="2689" spans="1:19">
      <c r="A2689" s="18" t="s">
        <v>2676</v>
      </c>
      <c r="B2689" s="1" t="s">
        <v>2781</v>
      </c>
      <c r="C2689" s="1" t="s">
        <v>2826</v>
      </c>
      <c r="D2689" s="1" t="s">
        <v>2827</v>
      </c>
      <c r="E2689" s="1" t="s">
        <v>25</v>
      </c>
      <c r="F2689">
        <v>659</v>
      </c>
      <c r="G2689">
        <v>659</v>
      </c>
      <c r="H2689">
        <v>35</v>
      </c>
      <c r="I2689" s="1" t="s">
        <v>1528</v>
      </c>
      <c r="J2689" s="1" t="s">
        <v>1336</v>
      </c>
      <c r="K2689" t="s">
        <v>25</v>
      </c>
      <c r="L2689" t="s">
        <v>25</v>
      </c>
      <c r="M2689" t="s">
        <v>25</v>
      </c>
      <c r="N2689" t="str">
        <f t="shared" si="67"/>
        <v>Na</v>
      </c>
      <c r="O2689" s="1" t="s">
        <v>25</v>
      </c>
      <c r="P2689" s="3" t="s">
        <v>25</v>
      </c>
      <c r="Q2689" s="37">
        <v>2.5980564169381544</v>
      </c>
      <c r="R2689" t="str">
        <f t="shared" si="68"/>
        <v>mmol/mol</v>
      </c>
      <c r="S2689" s="13" t="s">
        <v>25</v>
      </c>
    </row>
    <row r="2690" spans="1:19">
      <c r="A2690" s="18" t="s">
        <v>2676</v>
      </c>
      <c r="B2690" s="1" t="s">
        <v>2782</v>
      </c>
      <c r="C2690" s="1" t="s">
        <v>2826</v>
      </c>
      <c r="D2690" s="1" t="s">
        <v>2827</v>
      </c>
      <c r="E2690" s="1" t="s">
        <v>25</v>
      </c>
      <c r="F2690">
        <v>659</v>
      </c>
      <c r="G2690">
        <v>659</v>
      </c>
      <c r="H2690">
        <v>40</v>
      </c>
      <c r="I2690" s="1" t="s">
        <v>1528</v>
      </c>
      <c r="J2690" s="1" t="s">
        <v>1336</v>
      </c>
      <c r="K2690" t="s">
        <v>25</v>
      </c>
      <c r="L2690">
        <v>-1.1657649283638327</v>
      </c>
      <c r="M2690" s="1" t="s">
        <v>23</v>
      </c>
      <c r="N2690" t="str">
        <f t="shared" si="67"/>
        <v>SW</v>
      </c>
      <c r="O2690" s="1" t="s">
        <v>25</v>
      </c>
      <c r="P2690" s="3" t="s">
        <v>25</v>
      </c>
      <c r="Q2690" s="37">
        <v>2.5639194198107056</v>
      </c>
      <c r="R2690" t="str">
        <f t="shared" si="68"/>
        <v>mmol/mol</v>
      </c>
      <c r="S2690" s="13">
        <f t="shared" si="69"/>
        <v>-1.1657649283638327</v>
      </c>
    </row>
    <row r="2691" spans="1:19">
      <c r="A2691" s="18" t="s">
        <v>2676</v>
      </c>
      <c r="B2691" s="1" t="s">
        <v>2783</v>
      </c>
      <c r="C2691" s="1" t="s">
        <v>2826</v>
      </c>
      <c r="D2691" s="1" t="s">
        <v>2827</v>
      </c>
      <c r="E2691" s="1" t="s">
        <v>25</v>
      </c>
      <c r="F2691">
        <v>659</v>
      </c>
      <c r="G2691">
        <v>659</v>
      </c>
      <c r="H2691">
        <v>43</v>
      </c>
      <c r="I2691" s="1" t="s">
        <v>1528</v>
      </c>
      <c r="J2691" s="1" t="s">
        <v>1336</v>
      </c>
      <c r="K2691" t="s">
        <v>25</v>
      </c>
      <c r="L2691">
        <v>-1.1143349825892295</v>
      </c>
      <c r="M2691" s="1" t="s">
        <v>23</v>
      </c>
      <c r="N2691" t="str">
        <f t="shared" si="67"/>
        <v>SW</v>
      </c>
      <c r="O2691" s="1" t="s">
        <v>25</v>
      </c>
      <c r="P2691" s="3" t="s">
        <v>25</v>
      </c>
      <c r="Q2691" s="37">
        <v>1.393268512361368</v>
      </c>
      <c r="R2691" t="str">
        <f t="shared" si="68"/>
        <v>mmol/mol</v>
      </c>
      <c r="S2691" s="13">
        <f t="shared" si="69"/>
        <v>-1.1143349825892295</v>
      </c>
    </row>
    <row r="2692" spans="1:19">
      <c r="A2692" s="18" t="s">
        <v>2676</v>
      </c>
      <c r="B2692" s="1" t="s">
        <v>2784</v>
      </c>
      <c r="C2692" s="1" t="s">
        <v>2826</v>
      </c>
      <c r="D2692" s="1" t="s">
        <v>2827</v>
      </c>
      <c r="E2692" s="1" t="s">
        <v>25</v>
      </c>
      <c r="F2692">
        <v>659</v>
      </c>
      <c r="G2692">
        <v>659</v>
      </c>
      <c r="H2692">
        <v>46</v>
      </c>
      <c r="I2692" s="1" t="s">
        <v>1528</v>
      </c>
      <c r="J2692" s="1" t="s">
        <v>1336</v>
      </c>
      <c r="K2692" t="s">
        <v>25</v>
      </c>
      <c r="L2692">
        <v>-1.1428193119579433</v>
      </c>
      <c r="M2692" s="1" t="s">
        <v>23</v>
      </c>
      <c r="N2692" t="str">
        <f t="shared" si="67"/>
        <v>SW</v>
      </c>
      <c r="O2692" s="1" t="s">
        <v>25</v>
      </c>
      <c r="P2692" s="3" t="s">
        <v>25</v>
      </c>
      <c r="Q2692" s="37">
        <v>2.3618885096725206</v>
      </c>
      <c r="R2692" t="str">
        <f t="shared" si="68"/>
        <v>mmol/mol</v>
      </c>
      <c r="S2692" s="13">
        <f t="shared" si="69"/>
        <v>-1.1428193119579433</v>
      </c>
    </row>
    <row r="2693" spans="1:19">
      <c r="A2693" s="18" t="s">
        <v>2676</v>
      </c>
      <c r="B2693" s="1" t="s">
        <v>2785</v>
      </c>
      <c r="C2693" s="1" t="s">
        <v>2826</v>
      </c>
      <c r="D2693" s="1" t="s">
        <v>2827</v>
      </c>
      <c r="E2693" s="1" t="s">
        <v>25</v>
      </c>
      <c r="F2693">
        <v>659</v>
      </c>
      <c r="G2693">
        <v>659</v>
      </c>
      <c r="H2693">
        <v>0</v>
      </c>
      <c r="I2693" s="1" t="s">
        <v>1528</v>
      </c>
      <c r="J2693" s="1" t="s">
        <v>1336</v>
      </c>
      <c r="K2693" t="s">
        <v>25</v>
      </c>
      <c r="L2693">
        <v>-1.0393997402993127</v>
      </c>
      <c r="M2693" s="1" t="s">
        <v>23</v>
      </c>
      <c r="N2693" t="str">
        <f t="shared" si="67"/>
        <v>SW</v>
      </c>
      <c r="O2693" s="1" t="s">
        <v>25</v>
      </c>
      <c r="P2693" s="3" t="s">
        <v>25</v>
      </c>
      <c r="Q2693" s="37">
        <v>0.36538561800693797</v>
      </c>
      <c r="R2693" t="str">
        <f t="shared" si="68"/>
        <v>mmol/mol</v>
      </c>
      <c r="S2693" s="13">
        <f t="shared" si="69"/>
        <v>-1.0393997402993127</v>
      </c>
    </row>
    <row r="2694" spans="1:19">
      <c r="A2694" s="18" t="s">
        <v>2676</v>
      </c>
      <c r="B2694" s="1" t="s">
        <v>2786</v>
      </c>
      <c r="C2694" s="1" t="s">
        <v>2826</v>
      </c>
      <c r="D2694" s="1" t="s">
        <v>2827</v>
      </c>
      <c r="E2694" s="1" t="s">
        <v>25</v>
      </c>
      <c r="F2694">
        <v>659</v>
      </c>
      <c r="G2694">
        <v>659</v>
      </c>
      <c r="H2694">
        <v>0.7</v>
      </c>
      <c r="I2694" s="1" t="s">
        <v>1528</v>
      </c>
      <c r="J2694" s="1" t="s">
        <v>1336</v>
      </c>
      <c r="K2694" t="s">
        <v>25</v>
      </c>
      <c r="L2694">
        <v>-1.0213055142632737</v>
      </c>
      <c r="M2694" s="1" t="s">
        <v>23</v>
      </c>
      <c r="N2694" t="str">
        <f t="shared" si="67"/>
        <v>SW</v>
      </c>
      <c r="O2694" s="1" t="s">
        <v>25</v>
      </c>
      <c r="P2694" s="3" t="s">
        <v>25</v>
      </c>
      <c r="Q2694" s="37">
        <v>1.2257843437087339</v>
      </c>
      <c r="R2694" t="str">
        <f t="shared" si="68"/>
        <v>mmol/mol</v>
      </c>
      <c r="S2694" s="13">
        <f t="shared" si="69"/>
        <v>-1.0213055142632737</v>
      </c>
    </row>
    <row r="2695" spans="1:19">
      <c r="A2695" s="18" t="s">
        <v>2676</v>
      </c>
      <c r="B2695" s="1" t="s">
        <v>2787</v>
      </c>
      <c r="C2695" s="1" t="s">
        <v>2826</v>
      </c>
      <c r="D2695" s="1" t="s">
        <v>2827</v>
      </c>
      <c r="E2695" s="1" t="s">
        <v>25</v>
      </c>
      <c r="F2695">
        <v>659</v>
      </c>
      <c r="G2695">
        <v>659</v>
      </c>
      <c r="H2695">
        <v>1.7</v>
      </c>
      <c r="I2695" s="1" t="s">
        <v>1528</v>
      </c>
      <c r="J2695" s="1" t="s">
        <v>1336</v>
      </c>
      <c r="K2695" t="s">
        <v>25</v>
      </c>
      <c r="L2695">
        <v>-1.341656142906708</v>
      </c>
      <c r="M2695" s="1" t="s">
        <v>23</v>
      </c>
      <c r="N2695" t="str">
        <f t="shared" si="67"/>
        <v>SW</v>
      </c>
      <c r="O2695" s="1" t="s">
        <v>25</v>
      </c>
      <c r="P2695" s="3" t="s">
        <v>25</v>
      </c>
      <c r="Q2695" s="37">
        <v>1.0047183577407748</v>
      </c>
      <c r="R2695" t="str">
        <f t="shared" si="68"/>
        <v>mmol/mol</v>
      </c>
      <c r="S2695" s="13">
        <f t="shared" si="69"/>
        <v>-1.341656142906708</v>
      </c>
    </row>
    <row r="2696" spans="1:19">
      <c r="A2696" s="18" t="s">
        <v>2676</v>
      </c>
      <c r="B2696" s="1" t="s">
        <v>2788</v>
      </c>
      <c r="C2696" s="1" t="s">
        <v>2826</v>
      </c>
      <c r="D2696" s="1" t="s">
        <v>2827</v>
      </c>
      <c r="E2696" s="1" t="s">
        <v>25</v>
      </c>
      <c r="F2696">
        <v>659</v>
      </c>
      <c r="G2696">
        <v>659</v>
      </c>
      <c r="H2696">
        <v>2.7</v>
      </c>
      <c r="I2696" s="1" t="s">
        <v>1528</v>
      </c>
      <c r="J2696" s="1" t="s">
        <v>1336</v>
      </c>
      <c r="K2696" t="s">
        <v>25</v>
      </c>
      <c r="L2696">
        <v>-1.1460445755570952</v>
      </c>
      <c r="M2696" s="1" t="s">
        <v>23</v>
      </c>
      <c r="N2696" t="str">
        <f t="shared" si="67"/>
        <v>SW</v>
      </c>
      <c r="O2696" s="1" t="s">
        <v>25</v>
      </c>
      <c r="P2696" s="3" t="s">
        <v>25</v>
      </c>
      <c r="Q2696" s="37">
        <v>1.1185720292394872</v>
      </c>
      <c r="R2696" t="str">
        <f t="shared" si="68"/>
        <v>mmol/mol</v>
      </c>
      <c r="S2696" s="13">
        <f t="shared" si="69"/>
        <v>-1.1460445755570952</v>
      </c>
    </row>
    <row r="2697" spans="1:19">
      <c r="A2697" s="18" t="s">
        <v>2676</v>
      </c>
      <c r="B2697" s="1" t="s">
        <v>2789</v>
      </c>
      <c r="C2697" s="1" t="s">
        <v>2826</v>
      </c>
      <c r="D2697" s="1" t="s">
        <v>2827</v>
      </c>
      <c r="E2697" s="1" t="s">
        <v>25</v>
      </c>
      <c r="F2697">
        <v>659</v>
      </c>
      <c r="G2697">
        <v>659</v>
      </c>
      <c r="H2697">
        <v>3.7</v>
      </c>
      <c r="I2697" s="1" t="s">
        <v>1528</v>
      </c>
      <c r="J2697" s="1" t="s">
        <v>1336</v>
      </c>
      <c r="K2697" t="s">
        <v>25</v>
      </c>
      <c r="L2697">
        <v>-1.1368790916798988</v>
      </c>
      <c r="M2697" s="1" t="s">
        <v>23</v>
      </c>
      <c r="N2697" t="str">
        <f t="shared" si="67"/>
        <v>SW</v>
      </c>
      <c r="O2697" s="1" t="s">
        <v>25</v>
      </c>
      <c r="P2697" s="3" t="s">
        <v>25</v>
      </c>
      <c r="Q2697" s="37">
        <v>1.113343650504439</v>
      </c>
      <c r="R2697" t="str">
        <f t="shared" si="68"/>
        <v>mmol/mol</v>
      </c>
      <c r="S2697" s="13">
        <f t="shared" si="69"/>
        <v>-1.1368790916798988</v>
      </c>
    </row>
    <row r="2698" spans="1:19">
      <c r="A2698" s="18" t="s">
        <v>2676</v>
      </c>
      <c r="B2698" s="1" t="s">
        <v>2790</v>
      </c>
      <c r="C2698" s="1" t="s">
        <v>2826</v>
      </c>
      <c r="D2698" s="1" t="s">
        <v>2827</v>
      </c>
      <c r="E2698" s="1" t="s">
        <v>25</v>
      </c>
      <c r="F2698">
        <v>659</v>
      </c>
      <c r="G2698">
        <v>659</v>
      </c>
      <c r="H2698">
        <v>4.2</v>
      </c>
      <c r="I2698" s="1" t="s">
        <v>1528</v>
      </c>
      <c r="J2698" s="1" t="s">
        <v>1336</v>
      </c>
      <c r="K2698" t="s">
        <v>25</v>
      </c>
      <c r="L2698">
        <v>-1.143246093912839</v>
      </c>
      <c r="M2698" s="1" t="s">
        <v>23</v>
      </c>
      <c r="N2698" t="str">
        <f t="shared" si="67"/>
        <v>SW</v>
      </c>
      <c r="O2698" s="1" t="s">
        <v>25</v>
      </c>
      <c r="P2698" s="3" t="s">
        <v>25</v>
      </c>
      <c r="Q2698" s="37">
        <v>1.3828516881197332</v>
      </c>
      <c r="R2698" t="str">
        <f t="shared" si="68"/>
        <v>mmol/mol</v>
      </c>
      <c r="S2698" s="13">
        <f t="shared" si="69"/>
        <v>-1.143246093912839</v>
      </c>
    </row>
    <row r="2699" spans="1:19">
      <c r="A2699" s="18" t="s">
        <v>2676</v>
      </c>
      <c r="B2699" s="1" t="s">
        <v>2791</v>
      </c>
      <c r="C2699" s="1" t="s">
        <v>2826</v>
      </c>
      <c r="D2699" s="1" t="s">
        <v>2827</v>
      </c>
      <c r="E2699" s="1" t="s">
        <v>25</v>
      </c>
      <c r="F2699">
        <v>659</v>
      </c>
      <c r="G2699">
        <v>659</v>
      </c>
      <c r="H2699">
        <v>5.7</v>
      </c>
      <c r="I2699" s="1" t="s">
        <v>1528</v>
      </c>
      <c r="J2699" s="1" t="s">
        <v>1336</v>
      </c>
      <c r="K2699" t="s">
        <v>25</v>
      </c>
      <c r="L2699">
        <v>-1.019973428396123</v>
      </c>
      <c r="M2699" s="1" t="s">
        <v>23</v>
      </c>
      <c r="N2699" t="str">
        <f t="shared" si="67"/>
        <v>SW</v>
      </c>
      <c r="O2699" s="1" t="s">
        <v>25</v>
      </c>
      <c r="P2699" s="3" t="s">
        <v>25</v>
      </c>
      <c r="Q2699" s="37">
        <v>1.128966035270548</v>
      </c>
      <c r="R2699" t="str">
        <f t="shared" si="68"/>
        <v>mmol/mol</v>
      </c>
      <c r="S2699" s="13">
        <f t="shared" si="69"/>
        <v>-1.019973428396123</v>
      </c>
    </row>
    <row r="2700" spans="1:19">
      <c r="A2700" s="18" t="s">
        <v>2676</v>
      </c>
      <c r="B2700" s="1" t="s">
        <v>2792</v>
      </c>
      <c r="C2700" s="1" t="s">
        <v>2826</v>
      </c>
      <c r="D2700" s="1" t="s">
        <v>2827</v>
      </c>
      <c r="E2700" s="1" t="s">
        <v>25</v>
      </c>
      <c r="F2700">
        <v>659</v>
      </c>
      <c r="G2700">
        <v>659</v>
      </c>
      <c r="H2700">
        <v>7.7</v>
      </c>
      <c r="I2700" s="1" t="s">
        <v>1528</v>
      </c>
      <c r="J2700" s="1" t="s">
        <v>1336</v>
      </c>
      <c r="K2700" t="s">
        <v>25</v>
      </c>
      <c r="L2700">
        <v>-1.1554524141226179</v>
      </c>
      <c r="M2700" s="1" t="s">
        <v>23</v>
      </c>
      <c r="N2700" t="str">
        <f t="shared" si="67"/>
        <v>SW</v>
      </c>
      <c r="O2700" s="1" t="s">
        <v>25</v>
      </c>
      <c r="P2700" s="3" t="s">
        <v>25</v>
      </c>
      <c r="Q2700" s="37" t="s">
        <v>25</v>
      </c>
      <c r="R2700" t="str">
        <f t="shared" si="68"/>
        <v>Na</v>
      </c>
      <c r="S2700" s="13">
        <f t="shared" si="69"/>
        <v>-1.1554524141226179</v>
      </c>
    </row>
    <row r="2701" spans="1:19">
      <c r="A2701" s="18" t="s">
        <v>2676</v>
      </c>
      <c r="B2701" s="1" t="s">
        <v>2793</v>
      </c>
      <c r="C2701" s="1" t="s">
        <v>2826</v>
      </c>
      <c r="D2701" s="1" t="s">
        <v>2827</v>
      </c>
      <c r="E2701" s="1" t="s">
        <v>25</v>
      </c>
      <c r="F2701">
        <v>659</v>
      </c>
      <c r="G2701">
        <v>659</v>
      </c>
      <c r="H2701">
        <v>8.6999999999999993</v>
      </c>
      <c r="I2701" s="1" t="s">
        <v>1528</v>
      </c>
      <c r="J2701" s="1" t="s">
        <v>1336</v>
      </c>
      <c r="K2701" t="s">
        <v>25</v>
      </c>
      <c r="L2701">
        <v>-0.98016173092006487</v>
      </c>
      <c r="M2701" s="1" t="s">
        <v>23</v>
      </c>
      <c r="N2701" t="str">
        <f t="shared" si="67"/>
        <v>SW</v>
      </c>
      <c r="O2701" s="1" t="s">
        <v>25</v>
      </c>
      <c r="P2701" s="3" t="s">
        <v>25</v>
      </c>
      <c r="Q2701" s="37" t="s">
        <v>25</v>
      </c>
      <c r="R2701" t="str">
        <f t="shared" si="68"/>
        <v>Na</v>
      </c>
      <c r="S2701" s="13">
        <f t="shared" si="69"/>
        <v>-0.98016173092006487</v>
      </c>
    </row>
    <row r="2702" spans="1:19">
      <c r="A2702" s="18" t="s">
        <v>2676</v>
      </c>
      <c r="B2702" s="1" t="s">
        <v>2794</v>
      </c>
      <c r="C2702" s="1" t="s">
        <v>2826</v>
      </c>
      <c r="D2702" s="1" t="s">
        <v>2827</v>
      </c>
      <c r="E2702" s="1" t="s">
        <v>25</v>
      </c>
      <c r="F2702">
        <v>659</v>
      </c>
      <c r="G2702">
        <v>659</v>
      </c>
      <c r="H2702">
        <v>9.6999999999999993</v>
      </c>
      <c r="I2702" s="1" t="s">
        <v>1528</v>
      </c>
      <c r="J2702" s="1" t="s">
        <v>1336</v>
      </c>
      <c r="K2702" t="s">
        <v>25</v>
      </c>
      <c r="L2702">
        <v>-1.0284459840053854</v>
      </c>
      <c r="M2702" s="1" t="s">
        <v>23</v>
      </c>
      <c r="N2702" t="str">
        <f t="shared" si="67"/>
        <v>SW</v>
      </c>
      <c r="O2702" s="1" t="s">
        <v>25</v>
      </c>
      <c r="P2702" s="3" t="s">
        <v>25</v>
      </c>
      <c r="Q2702" s="37" t="s">
        <v>25</v>
      </c>
      <c r="R2702" t="str">
        <f t="shared" si="68"/>
        <v>Na</v>
      </c>
      <c r="S2702" s="13">
        <f t="shared" si="69"/>
        <v>-1.0284459840053854</v>
      </c>
    </row>
    <row r="2703" spans="1:19">
      <c r="A2703" s="18" t="s">
        <v>2676</v>
      </c>
      <c r="B2703" s="1" t="s">
        <v>2795</v>
      </c>
      <c r="C2703" s="1" t="s">
        <v>2826</v>
      </c>
      <c r="D2703" s="1" t="s">
        <v>2827</v>
      </c>
      <c r="E2703" s="1" t="s">
        <v>25</v>
      </c>
      <c r="F2703">
        <v>659</v>
      </c>
      <c r="G2703">
        <v>659</v>
      </c>
      <c r="H2703">
        <v>10.7</v>
      </c>
      <c r="I2703" s="1" t="s">
        <v>1528</v>
      </c>
      <c r="J2703" s="1" t="s">
        <v>1336</v>
      </c>
      <c r="K2703" t="s">
        <v>25</v>
      </c>
      <c r="L2703">
        <v>-1.0547493914103894</v>
      </c>
      <c r="M2703" s="1" t="s">
        <v>23</v>
      </c>
      <c r="N2703" t="str">
        <f t="shared" si="67"/>
        <v>SW</v>
      </c>
      <c r="O2703" s="1" t="s">
        <v>25</v>
      </c>
      <c r="P2703" s="3" t="s">
        <v>25</v>
      </c>
      <c r="Q2703" s="37" t="s">
        <v>25</v>
      </c>
      <c r="R2703" t="str">
        <f t="shared" si="68"/>
        <v>Na</v>
      </c>
      <c r="S2703" s="13">
        <f t="shared" si="69"/>
        <v>-1.0547493914103894</v>
      </c>
    </row>
    <row r="2704" spans="1:19">
      <c r="A2704" s="18" t="s">
        <v>2676</v>
      </c>
      <c r="B2704" s="1" t="s">
        <v>2796</v>
      </c>
      <c r="C2704" s="1" t="s">
        <v>2826</v>
      </c>
      <c r="D2704" s="1" t="s">
        <v>2827</v>
      </c>
      <c r="E2704" s="1" t="s">
        <v>25</v>
      </c>
      <c r="F2704">
        <v>659</v>
      </c>
      <c r="G2704">
        <v>659</v>
      </c>
      <c r="H2704">
        <v>11.7</v>
      </c>
      <c r="I2704" s="1" t="s">
        <v>1528</v>
      </c>
      <c r="J2704" s="1" t="s">
        <v>1336</v>
      </c>
      <c r="K2704" t="s">
        <v>25</v>
      </c>
      <c r="L2704">
        <v>-1.241015927697378</v>
      </c>
      <c r="M2704" s="1" t="s">
        <v>23</v>
      </c>
      <c r="N2704" t="str">
        <f t="shared" si="67"/>
        <v>SW</v>
      </c>
      <c r="O2704" s="1" t="s">
        <v>25</v>
      </c>
      <c r="P2704" s="3" t="s">
        <v>25</v>
      </c>
      <c r="Q2704" s="37">
        <v>1.1607743633420997</v>
      </c>
      <c r="R2704" t="str">
        <f t="shared" si="68"/>
        <v>mmol/mol</v>
      </c>
      <c r="S2704" s="13">
        <f t="shared" si="69"/>
        <v>-1.241015927697378</v>
      </c>
    </row>
    <row r="2705" spans="1:19">
      <c r="A2705" s="18" t="s">
        <v>2676</v>
      </c>
      <c r="B2705" s="1" t="s">
        <v>2797</v>
      </c>
      <c r="C2705" s="1" t="s">
        <v>2826</v>
      </c>
      <c r="D2705" s="1" t="s">
        <v>2827</v>
      </c>
      <c r="E2705" s="1" t="s">
        <v>25</v>
      </c>
      <c r="F2705">
        <v>659</v>
      </c>
      <c r="G2705">
        <v>659</v>
      </c>
      <c r="H2705">
        <v>12.7</v>
      </c>
      <c r="I2705" s="1" t="s">
        <v>1528</v>
      </c>
      <c r="J2705" s="1" t="s">
        <v>1336</v>
      </c>
      <c r="K2705" t="s">
        <v>25</v>
      </c>
      <c r="L2705">
        <v>-1.0912750205877009</v>
      </c>
      <c r="M2705" s="1" t="s">
        <v>23</v>
      </c>
      <c r="N2705" t="str">
        <f t="shared" si="67"/>
        <v>SW</v>
      </c>
      <c r="O2705" s="1" t="s">
        <v>25</v>
      </c>
      <c r="P2705" s="3" t="s">
        <v>25</v>
      </c>
      <c r="Q2705" s="37">
        <v>0.81665407675966128</v>
      </c>
      <c r="R2705" t="str">
        <f t="shared" si="68"/>
        <v>mmol/mol</v>
      </c>
      <c r="S2705" s="13">
        <f t="shared" si="69"/>
        <v>-1.0912750205877009</v>
      </c>
    </row>
    <row r="2706" spans="1:19">
      <c r="A2706" s="18" t="s">
        <v>2676</v>
      </c>
      <c r="B2706" s="1" t="s">
        <v>2798</v>
      </c>
      <c r="C2706" s="1" t="s">
        <v>2826</v>
      </c>
      <c r="D2706" s="1" t="s">
        <v>2827</v>
      </c>
      <c r="E2706" s="1" t="s">
        <v>25</v>
      </c>
      <c r="F2706">
        <v>659</v>
      </c>
      <c r="G2706">
        <v>659</v>
      </c>
      <c r="H2706">
        <v>13.7</v>
      </c>
      <c r="I2706" s="1" t="s">
        <v>1528</v>
      </c>
      <c r="J2706" s="1" t="s">
        <v>1336</v>
      </c>
      <c r="K2706" t="s">
        <v>25</v>
      </c>
      <c r="L2706" t="s">
        <v>25</v>
      </c>
      <c r="M2706" t="s">
        <v>25</v>
      </c>
      <c r="N2706" t="str">
        <f t="shared" si="67"/>
        <v>Na</v>
      </c>
      <c r="O2706" s="1" t="s">
        <v>25</v>
      </c>
      <c r="P2706" s="3" t="s">
        <v>25</v>
      </c>
      <c r="Q2706" s="37">
        <v>0.44185986703399843</v>
      </c>
      <c r="R2706" t="str">
        <f t="shared" si="68"/>
        <v>mmol/mol</v>
      </c>
      <c r="S2706" s="13" t="s">
        <v>25</v>
      </c>
    </row>
    <row r="2707" spans="1:19">
      <c r="A2707" s="18" t="s">
        <v>2676</v>
      </c>
      <c r="B2707" s="1" t="s">
        <v>2799</v>
      </c>
      <c r="C2707" s="1" t="s">
        <v>2826</v>
      </c>
      <c r="D2707" s="1" t="s">
        <v>2827</v>
      </c>
      <c r="E2707" s="1" t="s">
        <v>25</v>
      </c>
      <c r="F2707">
        <v>659</v>
      </c>
      <c r="G2707">
        <v>659</v>
      </c>
      <c r="H2707">
        <v>14.2</v>
      </c>
      <c r="I2707" s="1" t="s">
        <v>1528</v>
      </c>
      <c r="J2707" s="1" t="s">
        <v>1336</v>
      </c>
      <c r="K2707" t="s">
        <v>25</v>
      </c>
      <c r="L2707">
        <v>-1.1703227485348411</v>
      </c>
      <c r="M2707" s="1" t="s">
        <v>23</v>
      </c>
      <c r="N2707" t="str">
        <f t="shared" si="67"/>
        <v>SW</v>
      </c>
      <c r="O2707" s="1" t="s">
        <v>25</v>
      </c>
      <c r="P2707" s="3" t="s">
        <v>25</v>
      </c>
      <c r="Q2707" s="37">
        <v>1.6780201029071828</v>
      </c>
      <c r="R2707" t="str">
        <f t="shared" si="68"/>
        <v>mmol/mol</v>
      </c>
      <c r="S2707" s="13">
        <f t="shared" si="69"/>
        <v>-1.1703227485348411</v>
      </c>
    </row>
    <row r="2708" spans="1:19">
      <c r="A2708" s="18" t="s">
        <v>2676</v>
      </c>
      <c r="B2708" s="1" t="s">
        <v>2800</v>
      </c>
      <c r="C2708" s="1" t="s">
        <v>2826</v>
      </c>
      <c r="D2708" s="1" t="s">
        <v>2827</v>
      </c>
      <c r="E2708" s="1" t="s">
        <v>25</v>
      </c>
      <c r="F2708">
        <v>659</v>
      </c>
      <c r="G2708">
        <v>659</v>
      </c>
      <c r="H2708">
        <v>14.7</v>
      </c>
      <c r="I2708" s="1" t="s">
        <v>1528</v>
      </c>
      <c r="J2708" s="1" t="s">
        <v>1336</v>
      </c>
      <c r="K2708" t="s">
        <v>25</v>
      </c>
      <c r="L2708">
        <v>-1.1404736207301174</v>
      </c>
      <c r="M2708" s="1" t="s">
        <v>23</v>
      </c>
      <c r="N2708" t="str">
        <f t="shared" si="67"/>
        <v>SW</v>
      </c>
      <c r="O2708" s="1" t="s">
        <v>25</v>
      </c>
      <c r="P2708" s="3" t="s">
        <v>25</v>
      </c>
      <c r="Q2708" s="37">
        <v>1.0854095113996343</v>
      </c>
      <c r="R2708" t="str">
        <f t="shared" si="68"/>
        <v>mmol/mol</v>
      </c>
      <c r="S2708" s="13">
        <f t="shared" si="69"/>
        <v>-1.1404736207301174</v>
      </c>
    </row>
    <row r="2709" spans="1:19">
      <c r="A2709" s="18" t="s">
        <v>2676</v>
      </c>
      <c r="B2709" s="1" t="s">
        <v>2801</v>
      </c>
      <c r="C2709" s="1" t="s">
        <v>2826</v>
      </c>
      <c r="D2709" s="1" t="s">
        <v>2827</v>
      </c>
      <c r="E2709" s="1" t="s">
        <v>25</v>
      </c>
      <c r="F2709">
        <v>659</v>
      </c>
      <c r="G2709">
        <v>659</v>
      </c>
      <c r="H2709">
        <v>15.7</v>
      </c>
      <c r="I2709" s="1" t="s">
        <v>1528</v>
      </c>
      <c r="J2709" s="1" t="s">
        <v>1336</v>
      </c>
      <c r="K2709" t="s">
        <v>25</v>
      </c>
      <c r="L2709">
        <v>-1.0777531914932914</v>
      </c>
      <c r="M2709" s="1" t="s">
        <v>23</v>
      </c>
      <c r="N2709" t="str">
        <f t="shared" si="67"/>
        <v>SW</v>
      </c>
      <c r="O2709" s="1" t="s">
        <v>25</v>
      </c>
      <c r="P2709" s="3" t="s">
        <v>25</v>
      </c>
      <c r="Q2709" s="37">
        <v>1.2126940984552239</v>
      </c>
      <c r="R2709" t="str">
        <f t="shared" si="68"/>
        <v>mmol/mol</v>
      </c>
      <c r="S2709" s="13">
        <f t="shared" si="69"/>
        <v>-1.0777531914932914</v>
      </c>
    </row>
    <row r="2710" spans="1:19">
      <c r="A2710" s="18" t="s">
        <v>2676</v>
      </c>
      <c r="B2710" s="1" t="s">
        <v>2802</v>
      </c>
      <c r="C2710" s="1" t="s">
        <v>2826</v>
      </c>
      <c r="D2710" s="1" t="s">
        <v>2827</v>
      </c>
      <c r="E2710" s="1" t="s">
        <v>25</v>
      </c>
      <c r="F2710">
        <v>659</v>
      </c>
      <c r="G2710">
        <v>659</v>
      </c>
      <c r="H2710">
        <v>16.7</v>
      </c>
      <c r="I2710" s="1" t="s">
        <v>1528</v>
      </c>
      <c r="J2710" s="1" t="s">
        <v>1336</v>
      </c>
      <c r="K2710" t="s">
        <v>25</v>
      </c>
      <c r="L2710" t="s">
        <v>25</v>
      </c>
      <c r="M2710" t="s">
        <v>25</v>
      </c>
      <c r="N2710" t="str">
        <f t="shared" si="67"/>
        <v>Na</v>
      </c>
      <c r="O2710" s="1" t="s">
        <v>25</v>
      </c>
      <c r="P2710" s="3" t="s">
        <v>25</v>
      </c>
      <c r="Q2710" s="37">
        <v>1.5283321338230769</v>
      </c>
      <c r="R2710" t="str">
        <f t="shared" si="68"/>
        <v>mmol/mol</v>
      </c>
      <c r="S2710" s="13" t="s">
        <v>25</v>
      </c>
    </row>
    <row r="2711" spans="1:19">
      <c r="A2711" s="18" t="s">
        <v>2676</v>
      </c>
      <c r="B2711" s="1" t="s">
        <v>2803</v>
      </c>
      <c r="C2711" s="1" t="s">
        <v>2826</v>
      </c>
      <c r="D2711" s="1" t="s">
        <v>2827</v>
      </c>
      <c r="E2711" s="1" t="s">
        <v>25</v>
      </c>
      <c r="F2711">
        <v>659</v>
      </c>
      <c r="G2711">
        <v>659</v>
      </c>
      <c r="H2711">
        <v>17.2</v>
      </c>
      <c r="I2711" s="1" t="s">
        <v>1528</v>
      </c>
      <c r="J2711" s="1" t="s">
        <v>1336</v>
      </c>
      <c r="K2711" t="s">
        <v>25</v>
      </c>
      <c r="L2711">
        <v>-1.1042008983326246</v>
      </c>
      <c r="M2711" s="1" t="s">
        <v>23</v>
      </c>
      <c r="N2711" t="str">
        <f t="shared" si="67"/>
        <v>SW</v>
      </c>
      <c r="O2711" s="1" t="s">
        <v>25</v>
      </c>
      <c r="P2711" s="3" t="s">
        <v>25</v>
      </c>
      <c r="Q2711" s="37">
        <v>0.80283428233647836</v>
      </c>
      <c r="R2711" t="str">
        <f t="shared" si="68"/>
        <v>mmol/mol</v>
      </c>
      <c r="S2711" s="13">
        <f t="shared" si="69"/>
        <v>-1.1042008983326246</v>
      </c>
    </row>
    <row r="2712" spans="1:19">
      <c r="A2712" s="18" t="s">
        <v>2676</v>
      </c>
      <c r="B2712" s="1" t="s">
        <v>2804</v>
      </c>
      <c r="C2712" s="1" t="s">
        <v>2826</v>
      </c>
      <c r="D2712" s="1" t="s">
        <v>2827</v>
      </c>
      <c r="E2712" s="1" t="s">
        <v>25</v>
      </c>
      <c r="F2712">
        <v>659</v>
      </c>
      <c r="G2712">
        <v>659</v>
      </c>
      <c r="H2712">
        <v>18.7</v>
      </c>
      <c r="I2712" s="1" t="s">
        <v>1528</v>
      </c>
      <c r="J2712" s="1" t="s">
        <v>25</v>
      </c>
      <c r="K2712" t="s">
        <v>25</v>
      </c>
      <c r="L2712">
        <v>-1.0868626108570256</v>
      </c>
      <c r="M2712" s="1" t="s">
        <v>23</v>
      </c>
      <c r="N2712" t="str">
        <f t="shared" si="67"/>
        <v>SW</v>
      </c>
      <c r="O2712" s="1" t="s">
        <v>25</v>
      </c>
      <c r="P2712" s="3" t="s">
        <v>25</v>
      </c>
      <c r="Q2712" s="37">
        <v>0.77655509191245709</v>
      </c>
      <c r="R2712" t="str">
        <f t="shared" si="68"/>
        <v>mmol/mol</v>
      </c>
      <c r="S2712" s="13">
        <f t="shared" si="69"/>
        <v>-1.0868626108570256</v>
      </c>
    </row>
    <row r="2713" spans="1:19">
      <c r="A2713" s="18" t="s">
        <v>2676</v>
      </c>
      <c r="B2713" s="1" t="s">
        <v>2805</v>
      </c>
      <c r="C2713" s="1" t="s">
        <v>2826</v>
      </c>
      <c r="D2713" s="1" t="s">
        <v>2827</v>
      </c>
      <c r="E2713" s="1" t="s">
        <v>25</v>
      </c>
      <c r="F2713">
        <v>659</v>
      </c>
      <c r="G2713">
        <v>659</v>
      </c>
      <c r="H2713">
        <v>0</v>
      </c>
      <c r="I2713" s="1" t="s">
        <v>1528</v>
      </c>
      <c r="J2713" s="1" t="s">
        <v>25</v>
      </c>
      <c r="K2713" t="s">
        <v>25</v>
      </c>
      <c r="L2713">
        <v>-1.1917425731067439</v>
      </c>
      <c r="M2713" s="1" t="s">
        <v>23</v>
      </c>
      <c r="N2713" t="str">
        <f t="shared" si="67"/>
        <v>SW</v>
      </c>
      <c r="O2713" s="1" t="s">
        <v>25</v>
      </c>
      <c r="P2713" s="3" t="s">
        <v>25</v>
      </c>
      <c r="Q2713" s="37">
        <v>1.3233559497138356</v>
      </c>
      <c r="R2713" t="str">
        <f t="shared" si="68"/>
        <v>mmol/mol</v>
      </c>
      <c r="S2713" s="13">
        <f t="shared" si="69"/>
        <v>-1.1917425731067439</v>
      </c>
    </row>
    <row r="2714" spans="1:19">
      <c r="A2714" s="18" t="s">
        <v>2676</v>
      </c>
      <c r="B2714" s="1" t="s">
        <v>2806</v>
      </c>
      <c r="C2714" s="1" t="s">
        <v>2826</v>
      </c>
      <c r="D2714" s="1" t="s">
        <v>2827</v>
      </c>
      <c r="E2714" s="1" t="s">
        <v>25</v>
      </c>
      <c r="F2714">
        <v>659</v>
      </c>
      <c r="G2714">
        <v>659</v>
      </c>
      <c r="H2714">
        <v>0.5</v>
      </c>
      <c r="I2714" s="1" t="s">
        <v>1528</v>
      </c>
      <c r="J2714" s="1" t="s">
        <v>25</v>
      </c>
      <c r="K2714" t="s">
        <v>25</v>
      </c>
      <c r="L2714">
        <v>-1.2443085274937178</v>
      </c>
      <c r="M2714" s="1" t="s">
        <v>23</v>
      </c>
      <c r="N2714" t="str">
        <f t="shared" ref="N2714:N2733" si="70">IF(M2714="Na","Na","SW")</f>
        <v>SW</v>
      </c>
      <c r="O2714" s="1" t="s">
        <v>25</v>
      </c>
      <c r="P2714" s="3" t="s">
        <v>25</v>
      </c>
      <c r="Q2714" s="37">
        <v>0.63667597616174809</v>
      </c>
      <c r="R2714" t="str">
        <f t="shared" ref="R2714:R2733" si="71">IF(Q2714="Na","Na","mmol/mol")</f>
        <v>mmol/mol</v>
      </c>
      <c r="S2714" s="13">
        <f t="shared" si="69"/>
        <v>-1.2443085274937178</v>
      </c>
    </row>
    <row r="2715" spans="1:19">
      <c r="A2715" s="18" t="s">
        <v>2676</v>
      </c>
      <c r="B2715" s="1" t="s">
        <v>2807</v>
      </c>
      <c r="C2715" s="1" t="s">
        <v>2826</v>
      </c>
      <c r="D2715" s="1" t="s">
        <v>2827</v>
      </c>
      <c r="E2715" s="1" t="s">
        <v>25</v>
      </c>
      <c r="F2715">
        <v>659</v>
      </c>
      <c r="G2715">
        <v>659</v>
      </c>
      <c r="H2715">
        <v>2.2999999999999998</v>
      </c>
      <c r="I2715" s="1" t="s">
        <v>1528</v>
      </c>
      <c r="J2715" s="1" t="s">
        <v>25</v>
      </c>
      <c r="K2715" t="s">
        <v>25</v>
      </c>
      <c r="L2715">
        <v>-1.3089080402398006</v>
      </c>
      <c r="M2715" s="1" t="s">
        <v>23</v>
      </c>
      <c r="N2715" t="str">
        <f t="shared" si="70"/>
        <v>SW</v>
      </c>
      <c r="O2715" s="1" t="s">
        <v>25</v>
      </c>
      <c r="P2715" s="3" t="s">
        <v>25</v>
      </c>
      <c r="Q2715" s="37">
        <v>1.1244010520327121</v>
      </c>
      <c r="R2715" t="str">
        <f t="shared" si="71"/>
        <v>mmol/mol</v>
      </c>
      <c r="S2715" s="13">
        <f t="shared" si="69"/>
        <v>-1.3089080402398006</v>
      </c>
    </row>
    <row r="2716" spans="1:19">
      <c r="A2716" s="18" t="s">
        <v>2676</v>
      </c>
      <c r="B2716" s="1" t="s">
        <v>2808</v>
      </c>
      <c r="C2716" s="1" t="s">
        <v>2826</v>
      </c>
      <c r="D2716" s="1" t="s">
        <v>2827</v>
      </c>
      <c r="E2716" s="1" t="s">
        <v>25</v>
      </c>
      <c r="F2716">
        <v>659</v>
      </c>
      <c r="G2716">
        <v>659</v>
      </c>
      <c r="H2716">
        <v>3.3</v>
      </c>
      <c r="I2716" s="1" t="s">
        <v>1528</v>
      </c>
      <c r="J2716" s="1" t="s">
        <v>25</v>
      </c>
      <c r="K2716" t="s">
        <v>25</v>
      </c>
      <c r="L2716">
        <v>-1.2332283556427766</v>
      </c>
      <c r="M2716" s="1" t="s">
        <v>23</v>
      </c>
      <c r="N2716" t="str">
        <f t="shared" si="70"/>
        <v>SW</v>
      </c>
      <c r="O2716" s="1" t="s">
        <v>25</v>
      </c>
      <c r="P2716" s="3" t="s">
        <v>25</v>
      </c>
      <c r="Q2716" s="37">
        <v>0.81488533032152644</v>
      </c>
      <c r="R2716" t="str">
        <f t="shared" si="71"/>
        <v>mmol/mol</v>
      </c>
      <c r="S2716" s="13">
        <f t="shared" si="69"/>
        <v>-1.2332283556427766</v>
      </c>
    </row>
    <row r="2717" spans="1:19">
      <c r="A2717" s="18" t="s">
        <v>2676</v>
      </c>
      <c r="B2717" s="1" t="s">
        <v>2809</v>
      </c>
      <c r="C2717" s="1" t="s">
        <v>2826</v>
      </c>
      <c r="D2717" s="1" t="s">
        <v>2827</v>
      </c>
      <c r="E2717" s="1" t="s">
        <v>25</v>
      </c>
      <c r="F2717">
        <v>659</v>
      </c>
      <c r="G2717">
        <v>659</v>
      </c>
      <c r="H2717">
        <v>4.3</v>
      </c>
      <c r="I2717" s="1" t="s">
        <v>1528</v>
      </c>
      <c r="J2717" s="1" t="s">
        <v>25</v>
      </c>
      <c r="K2717" t="s">
        <v>25</v>
      </c>
      <c r="L2717">
        <v>-1.1791736655127893</v>
      </c>
      <c r="M2717" s="1" t="s">
        <v>23</v>
      </c>
      <c r="N2717" t="str">
        <f t="shared" si="70"/>
        <v>SW</v>
      </c>
      <c r="O2717" s="1" t="s">
        <v>25</v>
      </c>
      <c r="P2717" s="3" t="s">
        <v>25</v>
      </c>
      <c r="Q2717" s="37" t="s">
        <v>25</v>
      </c>
      <c r="R2717" t="str">
        <f t="shared" si="71"/>
        <v>Na</v>
      </c>
      <c r="S2717" s="13">
        <f t="shared" si="69"/>
        <v>-1.1791736655127893</v>
      </c>
    </row>
    <row r="2718" spans="1:19">
      <c r="A2718" s="18" t="s">
        <v>2676</v>
      </c>
      <c r="B2718" s="1" t="s">
        <v>2810</v>
      </c>
      <c r="C2718" s="1" t="s">
        <v>2826</v>
      </c>
      <c r="D2718" s="1" t="s">
        <v>2827</v>
      </c>
      <c r="E2718" s="1" t="s">
        <v>25</v>
      </c>
      <c r="F2718">
        <v>659</v>
      </c>
      <c r="G2718">
        <v>659</v>
      </c>
      <c r="H2718">
        <v>5.3</v>
      </c>
      <c r="I2718" s="1" t="s">
        <v>1528</v>
      </c>
      <c r="J2718" s="1" t="s">
        <v>25</v>
      </c>
      <c r="K2718" t="s">
        <v>25</v>
      </c>
      <c r="L2718">
        <v>-1.258982747632603</v>
      </c>
      <c r="M2718" s="1" t="s">
        <v>23</v>
      </c>
      <c r="N2718" t="str">
        <f t="shared" si="70"/>
        <v>SW</v>
      </c>
      <c r="O2718" s="1" t="s">
        <v>25</v>
      </c>
      <c r="P2718" s="3" t="s">
        <v>25</v>
      </c>
      <c r="Q2718" s="37">
        <v>0.57498876764975482</v>
      </c>
      <c r="R2718" t="str">
        <f t="shared" si="71"/>
        <v>mmol/mol</v>
      </c>
      <c r="S2718" s="13">
        <f t="shared" si="69"/>
        <v>-1.258982747632603</v>
      </c>
    </row>
    <row r="2719" spans="1:19">
      <c r="A2719" s="18" t="s">
        <v>2676</v>
      </c>
      <c r="B2719" s="1" t="s">
        <v>2811</v>
      </c>
      <c r="C2719" s="1" t="s">
        <v>2826</v>
      </c>
      <c r="D2719" s="1" t="s">
        <v>2827</v>
      </c>
      <c r="E2719" s="1" t="s">
        <v>25</v>
      </c>
      <c r="F2719">
        <v>659</v>
      </c>
      <c r="G2719">
        <v>659</v>
      </c>
      <c r="H2719">
        <v>6.8</v>
      </c>
      <c r="I2719" s="1" t="s">
        <v>1528</v>
      </c>
      <c r="J2719" s="1" t="s">
        <v>25</v>
      </c>
      <c r="K2719" t="s">
        <v>25</v>
      </c>
      <c r="L2719">
        <v>-1.1071733825346319</v>
      </c>
      <c r="M2719" s="1" t="s">
        <v>23</v>
      </c>
      <c r="N2719" t="str">
        <f t="shared" si="70"/>
        <v>SW</v>
      </c>
      <c r="O2719" s="1" t="s">
        <v>25</v>
      </c>
      <c r="P2719" s="3" t="s">
        <v>25</v>
      </c>
      <c r="Q2719" s="37">
        <v>0.50709731496993371</v>
      </c>
      <c r="R2719" t="str">
        <f t="shared" si="71"/>
        <v>mmol/mol</v>
      </c>
      <c r="S2719" s="13">
        <f t="shared" si="69"/>
        <v>-1.1071733825346319</v>
      </c>
    </row>
    <row r="2720" spans="1:19">
      <c r="A2720" s="18" t="s">
        <v>2676</v>
      </c>
      <c r="B2720" s="1" t="s">
        <v>2812</v>
      </c>
      <c r="C2720" s="1" t="s">
        <v>2826</v>
      </c>
      <c r="D2720" s="1" t="s">
        <v>2827</v>
      </c>
      <c r="E2720" s="1" t="s">
        <v>25</v>
      </c>
      <c r="F2720">
        <v>659</v>
      </c>
      <c r="G2720">
        <v>659</v>
      </c>
      <c r="H2720">
        <v>30.3</v>
      </c>
      <c r="I2720" s="1" t="s">
        <v>1528</v>
      </c>
      <c r="J2720" s="1" t="s">
        <v>25</v>
      </c>
      <c r="K2720" t="s">
        <v>25</v>
      </c>
      <c r="L2720">
        <v>-1.0667918103310359</v>
      </c>
      <c r="M2720" s="1" t="s">
        <v>23</v>
      </c>
      <c r="N2720" t="str">
        <f t="shared" si="70"/>
        <v>SW</v>
      </c>
      <c r="O2720" s="1" t="s">
        <v>25</v>
      </c>
      <c r="P2720" s="3" t="s">
        <v>25</v>
      </c>
      <c r="Q2720" s="37">
        <v>1.1919820346706465</v>
      </c>
      <c r="R2720" t="str">
        <f t="shared" si="71"/>
        <v>mmol/mol</v>
      </c>
      <c r="S2720" s="13">
        <f t="shared" si="69"/>
        <v>-1.0667918103310359</v>
      </c>
    </row>
    <row r="2721" spans="1:19">
      <c r="A2721" s="18" t="s">
        <v>2676</v>
      </c>
      <c r="B2721" s="1" t="s">
        <v>2813</v>
      </c>
      <c r="C2721" s="1" t="s">
        <v>2826</v>
      </c>
      <c r="D2721" s="1" t="s">
        <v>2827</v>
      </c>
      <c r="E2721" s="1" t="s">
        <v>25</v>
      </c>
      <c r="F2721">
        <v>659</v>
      </c>
      <c r="G2721">
        <v>659</v>
      </c>
      <c r="H2721">
        <v>95.3</v>
      </c>
      <c r="I2721" s="1" t="s">
        <v>1528</v>
      </c>
      <c r="J2721" s="1" t="s">
        <v>25</v>
      </c>
      <c r="K2721" t="s">
        <v>25</v>
      </c>
      <c r="L2721">
        <v>-1.1113964972647716</v>
      </c>
      <c r="M2721" s="1" t="s">
        <v>23</v>
      </c>
      <c r="N2721" t="str">
        <f t="shared" si="70"/>
        <v>SW</v>
      </c>
      <c r="O2721" s="1" t="s">
        <v>25</v>
      </c>
      <c r="P2721" s="3" t="s">
        <v>25</v>
      </c>
      <c r="Q2721" s="37">
        <v>0.65332733488880057</v>
      </c>
      <c r="R2721" t="str">
        <f t="shared" si="71"/>
        <v>mmol/mol</v>
      </c>
      <c r="S2721" s="13">
        <f t="shared" si="69"/>
        <v>-1.1113964972647716</v>
      </c>
    </row>
    <row r="2722" spans="1:19">
      <c r="A2722" s="18" t="s">
        <v>2676</v>
      </c>
      <c r="B2722" s="1" t="s">
        <v>2814</v>
      </c>
      <c r="C2722" s="1" t="s">
        <v>2826</v>
      </c>
      <c r="D2722" s="1" t="s">
        <v>2827</v>
      </c>
      <c r="E2722" s="1" t="s">
        <v>25</v>
      </c>
      <c r="F2722">
        <v>659</v>
      </c>
      <c r="G2722">
        <v>659</v>
      </c>
      <c r="H2722">
        <v>107.3</v>
      </c>
      <c r="I2722" s="1" t="s">
        <v>1528</v>
      </c>
      <c r="J2722" s="1" t="s">
        <v>25</v>
      </c>
      <c r="K2722" t="s">
        <v>25</v>
      </c>
      <c r="L2722">
        <v>-1.1655925056668903</v>
      </c>
      <c r="M2722" s="1" t="s">
        <v>23</v>
      </c>
      <c r="N2722" t="str">
        <f t="shared" si="70"/>
        <v>SW</v>
      </c>
      <c r="O2722" s="1" t="s">
        <v>25</v>
      </c>
      <c r="P2722" s="3" t="s">
        <v>25</v>
      </c>
      <c r="Q2722" s="37">
        <v>0.91371887196726964</v>
      </c>
      <c r="R2722" t="str">
        <f t="shared" si="71"/>
        <v>mmol/mol</v>
      </c>
      <c r="S2722" s="13">
        <f t="shared" si="69"/>
        <v>-1.1655925056668903</v>
      </c>
    </row>
    <row r="2723" spans="1:19">
      <c r="A2723" s="18" t="s">
        <v>2676</v>
      </c>
      <c r="B2723" s="1" t="s">
        <v>2815</v>
      </c>
      <c r="C2723" s="1" t="s">
        <v>2826</v>
      </c>
      <c r="D2723" s="1" t="s">
        <v>2827</v>
      </c>
      <c r="E2723" s="1" t="s">
        <v>25</v>
      </c>
      <c r="F2723">
        <v>659</v>
      </c>
      <c r="G2723">
        <v>659</v>
      </c>
      <c r="H2723">
        <v>130.30000000000001</v>
      </c>
      <c r="I2723" s="1" t="s">
        <v>1528</v>
      </c>
      <c r="J2723" s="1" t="s">
        <v>25</v>
      </c>
      <c r="K2723" t="s">
        <v>25</v>
      </c>
      <c r="L2723">
        <v>-1.1208219810421278</v>
      </c>
      <c r="M2723" s="1" t="s">
        <v>23</v>
      </c>
      <c r="N2723" t="str">
        <f t="shared" si="70"/>
        <v>SW</v>
      </c>
      <c r="O2723" s="1" t="s">
        <v>25</v>
      </c>
      <c r="P2723" s="3" t="s">
        <v>25</v>
      </c>
      <c r="Q2723" s="37" t="s">
        <v>25</v>
      </c>
      <c r="R2723" t="str">
        <f t="shared" si="71"/>
        <v>Na</v>
      </c>
      <c r="S2723" s="13">
        <f t="shared" si="69"/>
        <v>-1.1208219810421278</v>
      </c>
    </row>
    <row r="2724" spans="1:19">
      <c r="A2724" s="18" t="s">
        <v>2676</v>
      </c>
      <c r="B2724" s="1" t="s">
        <v>2816</v>
      </c>
      <c r="C2724" s="1" t="s">
        <v>2826</v>
      </c>
      <c r="D2724" s="1" t="s">
        <v>2827</v>
      </c>
      <c r="E2724" s="1" t="s">
        <v>25</v>
      </c>
      <c r="F2724">
        <v>659</v>
      </c>
      <c r="G2724">
        <v>659</v>
      </c>
      <c r="H2724">
        <v>140.30000000000001</v>
      </c>
      <c r="I2724" s="1" t="s">
        <v>1528</v>
      </c>
      <c r="J2724" s="1" t="s">
        <v>25</v>
      </c>
      <c r="K2724" t="s">
        <v>25</v>
      </c>
      <c r="L2724">
        <v>-1.2545285513525115</v>
      </c>
      <c r="M2724" s="1" t="s">
        <v>23</v>
      </c>
      <c r="N2724" t="str">
        <f t="shared" si="70"/>
        <v>SW</v>
      </c>
      <c r="O2724" s="1" t="s">
        <v>25</v>
      </c>
      <c r="P2724" s="3" t="s">
        <v>25</v>
      </c>
      <c r="Q2724" s="37">
        <v>1.3223658035609922</v>
      </c>
      <c r="R2724" t="str">
        <f t="shared" si="71"/>
        <v>mmol/mol</v>
      </c>
      <c r="S2724" s="13">
        <f t="shared" si="69"/>
        <v>-1.2545285513525115</v>
      </c>
    </row>
    <row r="2725" spans="1:19">
      <c r="A2725" s="18" t="s">
        <v>2676</v>
      </c>
      <c r="B2725" s="1" t="s">
        <v>2817</v>
      </c>
      <c r="C2725" s="1" t="s">
        <v>2826</v>
      </c>
      <c r="D2725" s="1" t="s">
        <v>2827</v>
      </c>
      <c r="E2725" s="1" t="s">
        <v>25</v>
      </c>
      <c r="F2725">
        <v>659</v>
      </c>
      <c r="G2725">
        <v>659</v>
      </c>
      <c r="H2725">
        <v>144.30000000000001</v>
      </c>
      <c r="I2725" s="1" t="s">
        <v>1528</v>
      </c>
      <c r="J2725" s="1" t="s">
        <v>25</v>
      </c>
      <c r="K2725" t="s">
        <v>25</v>
      </c>
      <c r="L2725">
        <v>-1.2588558617187633</v>
      </c>
      <c r="M2725" s="1" t="s">
        <v>23</v>
      </c>
      <c r="N2725" t="str">
        <f t="shared" si="70"/>
        <v>SW</v>
      </c>
      <c r="O2725" s="1" t="s">
        <v>25</v>
      </c>
      <c r="P2725" s="3" t="s">
        <v>25</v>
      </c>
      <c r="Q2725" s="37">
        <v>4.503046989158042</v>
      </c>
      <c r="R2725" t="str">
        <f t="shared" si="71"/>
        <v>mmol/mol</v>
      </c>
      <c r="S2725" s="13">
        <f t="shared" si="69"/>
        <v>-1.2588558617187633</v>
      </c>
    </row>
    <row r="2726" spans="1:19">
      <c r="A2726" s="18" t="s">
        <v>2676</v>
      </c>
      <c r="B2726" s="1" t="s">
        <v>2818</v>
      </c>
      <c r="C2726" s="1" t="s">
        <v>2826</v>
      </c>
      <c r="D2726" s="1" t="s">
        <v>2827</v>
      </c>
      <c r="E2726" s="1" t="s">
        <v>25</v>
      </c>
      <c r="F2726">
        <v>659</v>
      </c>
      <c r="G2726">
        <v>659</v>
      </c>
      <c r="H2726">
        <v>150.30000000000001</v>
      </c>
      <c r="I2726" s="1" t="s">
        <v>1528</v>
      </c>
      <c r="J2726" s="1" t="s">
        <v>25</v>
      </c>
      <c r="K2726" t="s">
        <v>25</v>
      </c>
      <c r="L2726">
        <v>-0.93931070541647399</v>
      </c>
      <c r="M2726" s="1" t="s">
        <v>23</v>
      </c>
      <c r="N2726" t="str">
        <f t="shared" si="70"/>
        <v>SW</v>
      </c>
      <c r="O2726" s="1" t="s">
        <v>25</v>
      </c>
      <c r="P2726" s="3" t="s">
        <v>25</v>
      </c>
      <c r="Q2726" s="37">
        <v>2.7050287016155554</v>
      </c>
      <c r="R2726" t="str">
        <f t="shared" si="71"/>
        <v>mmol/mol</v>
      </c>
      <c r="S2726" s="13">
        <f t="shared" si="69"/>
        <v>-0.93931070541647399</v>
      </c>
    </row>
    <row r="2727" spans="1:19">
      <c r="A2727" s="18" t="s">
        <v>2676</v>
      </c>
      <c r="B2727" s="1" t="s">
        <v>2819</v>
      </c>
      <c r="C2727" s="1" t="s">
        <v>2826</v>
      </c>
      <c r="D2727" s="1" t="s">
        <v>2827</v>
      </c>
      <c r="E2727" s="1" t="s">
        <v>25</v>
      </c>
      <c r="F2727">
        <v>659</v>
      </c>
      <c r="G2727">
        <v>659</v>
      </c>
      <c r="H2727">
        <v>156.30000000000001</v>
      </c>
      <c r="I2727" s="1" t="s">
        <v>1528</v>
      </c>
      <c r="J2727" s="1" t="s">
        <v>25</v>
      </c>
      <c r="K2727" t="s">
        <v>25</v>
      </c>
      <c r="L2727">
        <v>-1.0918641312051753</v>
      </c>
      <c r="M2727" s="1" t="s">
        <v>23</v>
      </c>
      <c r="N2727" t="str">
        <f t="shared" si="70"/>
        <v>SW</v>
      </c>
      <c r="O2727" s="1" t="s">
        <v>25</v>
      </c>
      <c r="P2727" s="3" t="s">
        <v>25</v>
      </c>
      <c r="Q2727" s="37">
        <v>0.80585228566320721</v>
      </c>
      <c r="R2727" t="str">
        <f t="shared" si="71"/>
        <v>mmol/mol</v>
      </c>
      <c r="S2727" s="13">
        <f t="shared" si="69"/>
        <v>-1.0918641312051753</v>
      </c>
    </row>
    <row r="2728" spans="1:19">
      <c r="A2728" s="18" t="s">
        <v>2676</v>
      </c>
      <c r="B2728" s="1" t="s">
        <v>2820</v>
      </c>
      <c r="C2728" s="1" t="s">
        <v>2826</v>
      </c>
      <c r="D2728" s="1" t="s">
        <v>2827</v>
      </c>
      <c r="E2728" s="1" t="s">
        <v>25</v>
      </c>
      <c r="F2728">
        <v>659</v>
      </c>
      <c r="G2728">
        <v>659</v>
      </c>
      <c r="H2728">
        <v>160.30000000000001</v>
      </c>
      <c r="I2728" s="1" t="s">
        <v>1528</v>
      </c>
      <c r="J2728" s="1" t="s">
        <v>25</v>
      </c>
      <c r="K2728" t="s">
        <v>25</v>
      </c>
      <c r="L2728">
        <v>-1.1765239751052063</v>
      </c>
      <c r="M2728" s="1" t="s">
        <v>23</v>
      </c>
      <c r="N2728" t="str">
        <f t="shared" si="70"/>
        <v>SW</v>
      </c>
      <c r="O2728" s="1" t="s">
        <v>25</v>
      </c>
      <c r="P2728" s="3" t="s">
        <v>25</v>
      </c>
      <c r="Q2728" s="37">
        <v>0.84663399336449996</v>
      </c>
      <c r="R2728" t="str">
        <f t="shared" si="71"/>
        <v>mmol/mol</v>
      </c>
      <c r="S2728" s="13">
        <f t="shared" si="69"/>
        <v>-1.1765239751052063</v>
      </c>
    </row>
    <row r="2729" spans="1:19">
      <c r="A2729" s="18" t="s">
        <v>2676</v>
      </c>
      <c r="B2729" s="1" t="s">
        <v>2821</v>
      </c>
      <c r="C2729" s="1" t="s">
        <v>2826</v>
      </c>
      <c r="D2729" s="1" t="s">
        <v>2827</v>
      </c>
      <c r="E2729" s="1" t="s">
        <v>25</v>
      </c>
      <c r="F2729">
        <v>659</v>
      </c>
      <c r="G2729">
        <v>659</v>
      </c>
      <c r="H2729">
        <v>168.3</v>
      </c>
      <c r="I2729" s="1" t="s">
        <v>1528</v>
      </c>
      <c r="J2729" s="1" t="s">
        <v>25</v>
      </c>
      <c r="K2729" t="s">
        <v>25</v>
      </c>
      <c r="L2729">
        <v>-1.1281631281233717</v>
      </c>
      <c r="M2729" s="1" t="s">
        <v>23</v>
      </c>
      <c r="N2729" t="str">
        <f t="shared" si="70"/>
        <v>SW</v>
      </c>
      <c r="O2729" s="1" t="s">
        <v>25</v>
      </c>
      <c r="P2729" s="3" t="s">
        <v>25</v>
      </c>
      <c r="Q2729" s="37">
        <v>1.9800812421075313</v>
      </c>
      <c r="R2729" t="str">
        <f t="shared" si="71"/>
        <v>mmol/mol</v>
      </c>
      <c r="S2729" s="13">
        <f t="shared" si="69"/>
        <v>-1.1281631281233717</v>
      </c>
    </row>
    <row r="2730" spans="1:19">
      <c r="A2730" s="18" t="s">
        <v>2676</v>
      </c>
      <c r="B2730" s="1" t="s">
        <v>2822</v>
      </c>
      <c r="C2730" s="1" t="s">
        <v>2826</v>
      </c>
      <c r="D2730" s="1" t="s">
        <v>2827</v>
      </c>
      <c r="E2730" s="1" t="s">
        <v>25</v>
      </c>
      <c r="F2730">
        <v>659</v>
      </c>
      <c r="G2730">
        <v>659</v>
      </c>
      <c r="H2730">
        <v>176.3</v>
      </c>
      <c r="I2730" s="1" t="s">
        <v>1528</v>
      </c>
      <c r="J2730" s="1" t="s">
        <v>25</v>
      </c>
      <c r="K2730" t="s">
        <v>25</v>
      </c>
      <c r="L2730">
        <v>-1.0291033715389419</v>
      </c>
      <c r="M2730" s="1" t="s">
        <v>23</v>
      </c>
      <c r="N2730" t="str">
        <f t="shared" si="70"/>
        <v>SW</v>
      </c>
      <c r="O2730" s="1" t="s">
        <v>25</v>
      </c>
      <c r="P2730" s="3" t="s">
        <v>25</v>
      </c>
      <c r="Q2730" s="37">
        <v>1.0174944326231898</v>
      </c>
      <c r="R2730" t="str">
        <f t="shared" si="71"/>
        <v>mmol/mol</v>
      </c>
      <c r="S2730" s="13">
        <f t="shared" si="69"/>
        <v>-1.0291033715389419</v>
      </c>
    </row>
    <row r="2731" spans="1:19">
      <c r="A2731" s="18" t="s">
        <v>2676</v>
      </c>
      <c r="B2731" s="1" t="s">
        <v>2823</v>
      </c>
      <c r="C2731" s="1" t="s">
        <v>2826</v>
      </c>
      <c r="D2731" s="1" t="s">
        <v>2827</v>
      </c>
      <c r="E2731" s="1" t="s">
        <v>25</v>
      </c>
      <c r="F2731">
        <v>659</v>
      </c>
      <c r="G2731">
        <v>659</v>
      </c>
      <c r="H2731">
        <v>180.3</v>
      </c>
      <c r="I2731" s="1" t="s">
        <v>1528</v>
      </c>
      <c r="J2731" s="1" t="s">
        <v>25</v>
      </c>
      <c r="K2731" t="s">
        <v>25</v>
      </c>
      <c r="L2731">
        <v>-0.94966080518881368</v>
      </c>
      <c r="M2731" s="1" t="s">
        <v>23</v>
      </c>
      <c r="N2731" t="str">
        <f t="shared" si="70"/>
        <v>SW</v>
      </c>
      <c r="O2731" s="1" t="s">
        <v>25</v>
      </c>
      <c r="P2731" s="3" t="s">
        <v>25</v>
      </c>
      <c r="Q2731" s="37">
        <v>1.2556367640516732</v>
      </c>
      <c r="R2731" t="str">
        <f t="shared" si="71"/>
        <v>mmol/mol</v>
      </c>
      <c r="S2731" s="13">
        <f t="shared" si="69"/>
        <v>-0.94966080518881368</v>
      </c>
    </row>
    <row r="2732" spans="1:19">
      <c r="A2732" s="18" t="s">
        <v>2676</v>
      </c>
      <c r="B2732" s="1" t="s">
        <v>2824</v>
      </c>
      <c r="C2732" s="1" t="s">
        <v>2826</v>
      </c>
      <c r="D2732" s="1" t="s">
        <v>2827</v>
      </c>
      <c r="E2732" s="1" t="s">
        <v>25</v>
      </c>
      <c r="F2732">
        <v>659</v>
      </c>
      <c r="G2732">
        <v>659</v>
      </c>
      <c r="H2732">
        <v>186.3</v>
      </c>
      <c r="I2732" s="1" t="s">
        <v>1528</v>
      </c>
      <c r="J2732" s="1" t="s">
        <v>25</v>
      </c>
      <c r="K2732" t="s">
        <v>25</v>
      </c>
      <c r="L2732">
        <v>-0.95398811555506546</v>
      </c>
      <c r="M2732" s="1" t="s">
        <v>23</v>
      </c>
      <c r="N2732" t="str">
        <f t="shared" si="70"/>
        <v>SW</v>
      </c>
      <c r="O2732" s="1" t="s">
        <v>25</v>
      </c>
      <c r="P2732" s="3" t="s">
        <v>25</v>
      </c>
      <c r="Q2732" s="37">
        <v>1.194494754623624</v>
      </c>
      <c r="R2732" t="str">
        <f t="shared" si="71"/>
        <v>mmol/mol</v>
      </c>
      <c r="S2732" s="13">
        <f t="shared" ref="S2732:S2795" si="72">IF(NOT(N2732="SW"),L2732-1.88,L2732)</f>
        <v>-0.95398811555506546</v>
      </c>
    </row>
    <row r="2733" spans="1:19">
      <c r="A2733" s="18" t="s">
        <v>2676</v>
      </c>
      <c r="B2733" s="1" t="s">
        <v>2825</v>
      </c>
      <c r="C2733" s="1" t="s">
        <v>2826</v>
      </c>
      <c r="D2733" s="1" t="s">
        <v>2827</v>
      </c>
      <c r="E2733" s="1" t="s">
        <v>25</v>
      </c>
      <c r="F2733">
        <v>659</v>
      </c>
      <c r="G2733">
        <v>659</v>
      </c>
      <c r="H2733">
        <v>194.3</v>
      </c>
      <c r="I2733" s="1" t="s">
        <v>1528</v>
      </c>
      <c r="J2733" s="1" t="s">
        <v>25</v>
      </c>
      <c r="K2733" t="s">
        <v>25</v>
      </c>
      <c r="L2733">
        <v>-0.96506116735828584</v>
      </c>
      <c r="M2733" s="1" t="s">
        <v>23</v>
      </c>
      <c r="N2733" t="str">
        <f t="shared" si="70"/>
        <v>SW</v>
      </c>
      <c r="O2733" s="1" t="s">
        <v>25</v>
      </c>
      <c r="P2733" s="3" t="s">
        <v>25</v>
      </c>
      <c r="Q2733" s="37">
        <v>1.4313052746108201</v>
      </c>
      <c r="R2733" t="str">
        <f t="shared" si="71"/>
        <v>mmol/mol</v>
      </c>
      <c r="S2733" s="13">
        <f t="shared" si="72"/>
        <v>-0.96506116735828584</v>
      </c>
    </row>
    <row r="2734" spans="1:19" s="4" customFormat="1">
      <c r="B2734" s="5"/>
      <c r="C2734" s="5"/>
      <c r="D2734" s="5"/>
      <c r="E2734" s="5"/>
      <c r="I2734" s="5"/>
      <c r="J2734" s="5"/>
      <c r="M2734" s="5"/>
      <c r="O2734" s="5"/>
      <c r="P2734" s="6"/>
      <c r="Q2734" s="38"/>
      <c r="S2734" s="24"/>
    </row>
    <row r="2735" spans="1:19">
      <c r="A2735" s="18" t="s">
        <v>2828</v>
      </c>
      <c r="B2735" s="1" t="s">
        <v>2829</v>
      </c>
      <c r="C2735" s="1" t="s">
        <v>2985</v>
      </c>
      <c r="D2735" s="1" t="s">
        <v>3629</v>
      </c>
      <c r="E2735" s="1" t="s">
        <v>25</v>
      </c>
      <c r="F2735">
        <v>660</v>
      </c>
      <c r="G2735">
        <v>660</v>
      </c>
      <c r="H2735">
        <v>0.1</v>
      </c>
      <c r="I2735" s="1" t="s">
        <v>1528</v>
      </c>
      <c r="J2735" s="1" t="s">
        <v>25</v>
      </c>
      <c r="K2735" t="s">
        <v>25</v>
      </c>
      <c r="L2735">
        <v>-1.56</v>
      </c>
      <c r="M2735" t="str">
        <f>IF(L2735="Na","Na","44/40")</f>
        <v>44/40</v>
      </c>
      <c r="N2735" t="str">
        <f>IF(M2735="Na","Na","SW")</f>
        <v>SW</v>
      </c>
      <c r="O2735" s="1" t="s">
        <v>25</v>
      </c>
      <c r="P2735" s="3" t="s">
        <v>25</v>
      </c>
      <c r="Q2735" s="37">
        <v>1.99</v>
      </c>
      <c r="R2735" t="str">
        <f>IF(Q2735="Na","Na","mmol/mol")</f>
        <v>mmol/mol</v>
      </c>
      <c r="S2735" s="13">
        <f t="shared" si="72"/>
        <v>-1.56</v>
      </c>
    </row>
    <row r="2736" spans="1:19">
      <c r="A2736" s="18" t="s">
        <v>2828</v>
      </c>
      <c r="B2736" s="1" t="s">
        <v>2830</v>
      </c>
      <c r="C2736" s="1" t="s">
        <v>2985</v>
      </c>
      <c r="D2736" s="1" t="s">
        <v>3629</v>
      </c>
      <c r="E2736" s="1" t="s">
        <v>25</v>
      </c>
      <c r="F2736">
        <v>660</v>
      </c>
      <c r="G2736">
        <v>660</v>
      </c>
      <c r="H2736">
        <v>0.6</v>
      </c>
      <c r="I2736" s="1" t="s">
        <v>1528</v>
      </c>
      <c r="J2736" s="1" t="s">
        <v>25</v>
      </c>
      <c r="K2736" t="s">
        <v>25</v>
      </c>
      <c r="L2736">
        <v>-1.54</v>
      </c>
      <c r="M2736" t="str">
        <f t="shared" ref="M2736:M2799" si="73">IF(L2736="Na","Na","44/40")</f>
        <v>44/40</v>
      </c>
      <c r="N2736" t="str">
        <f t="shared" ref="N2736:N2799" si="74">IF(M2736="Na","Na","SW")</f>
        <v>SW</v>
      </c>
      <c r="O2736" s="1" t="s">
        <v>25</v>
      </c>
      <c r="P2736" s="3" t="s">
        <v>25</v>
      </c>
      <c r="Q2736" s="37">
        <v>3.09</v>
      </c>
      <c r="R2736" t="str">
        <f t="shared" ref="R2736:R2799" si="75">IF(Q2736="Na","Na","mmol/mol")</f>
        <v>mmol/mol</v>
      </c>
      <c r="S2736" s="13">
        <f t="shared" si="72"/>
        <v>-1.54</v>
      </c>
    </row>
    <row r="2737" spans="1:19">
      <c r="A2737" s="18" t="s">
        <v>2828</v>
      </c>
      <c r="B2737" s="1" t="s">
        <v>2831</v>
      </c>
      <c r="C2737" s="1" t="s">
        <v>2985</v>
      </c>
      <c r="D2737" s="1" t="s">
        <v>3629</v>
      </c>
      <c r="E2737" s="1" t="s">
        <v>25</v>
      </c>
      <c r="F2737">
        <v>660</v>
      </c>
      <c r="G2737">
        <v>660</v>
      </c>
      <c r="H2737">
        <v>1.1000000000000001</v>
      </c>
      <c r="I2737" s="1" t="s">
        <v>1528</v>
      </c>
      <c r="J2737" s="1" t="s">
        <v>25</v>
      </c>
      <c r="K2737" t="s">
        <v>25</v>
      </c>
      <c r="L2737" t="s">
        <v>25</v>
      </c>
      <c r="M2737" t="str">
        <f t="shared" si="73"/>
        <v>Na</v>
      </c>
      <c r="N2737" t="str">
        <f t="shared" si="74"/>
        <v>Na</v>
      </c>
      <c r="O2737" s="1" t="s">
        <v>25</v>
      </c>
      <c r="P2737" s="3" t="s">
        <v>25</v>
      </c>
      <c r="Q2737" s="37">
        <v>2.99</v>
      </c>
      <c r="R2737" t="str">
        <f t="shared" si="75"/>
        <v>mmol/mol</v>
      </c>
      <c r="S2737" s="13" t="s">
        <v>25</v>
      </c>
    </row>
    <row r="2738" spans="1:19">
      <c r="A2738" s="18" t="s">
        <v>2828</v>
      </c>
      <c r="B2738" s="1" t="s">
        <v>2832</v>
      </c>
      <c r="C2738" s="1" t="s">
        <v>2985</v>
      </c>
      <c r="D2738" s="1" t="s">
        <v>3629</v>
      </c>
      <c r="E2738" s="1" t="s">
        <v>25</v>
      </c>
      <c r="F2738">
        <v>660</v>
      </c>
      <c r="G2738">
        <v>660</v>
      </c>
      <c r="H2738">
        <v>1.5</v>
      </c>
      <c r="I2738" s="1" t="s">
        <v>1528</v>
      </c>
      <c r="J2738" s="1" t="s">
        <v>25</v>
      </c>
      <c r="K2738" t="s">
        <v>25</v>
      </c>
      <c r="L2738">
        <v>-1.34</v>
      </c>
      <c r="M2738" t="str">
        <f t="shared" si="73"/>
        <v>44/40</v>
      </c>
      <c r="N2738" t="str">
        <f t="shared" si="74"/>
        <v>SW</v>
      </c>
      <c r="O2738" s="1" t="s">
        <v>25</v>
      </c>
      <c r="P2738" s="3" t="s">
        <v>25</v>
      </c>
      <c r="Q2738" s="37">
        <v>2.86</v>
      </c>
      <c r="R2738" t="str">
        <f t="shared" si="75"/>
        <v>mmol/mol</v>
      </c>
      <c r="S2738" s="13">
        <f t="shared" si="72"/>
        <v>-1.34</v>
      </c>
    </row>
    <row r="2739" spans="1:19">
      <c r="A2739" s="18" t="s">
        <v>2828</v>
      </c>
      <c r="B2739" s="1" t="s">
        <v>2833</v>
      </c>
      <c r="C2739" s="1" t="s">
        <v>2985</v>
      </c>
      <c r="D2739" s="1" t="s">
        <v>3629</v>
      </c>
      <c r="E2739" s="1" t="s">
        <v>25</v>
      </c>
      <c r="F2739">
        <v>660</v>
      </c>
      <c r="G2739">
        <v>660</v>
      </c>
      <c r="H2739">
        <v>2</v>
      </c>
      <c r="I2739" s="1" t="s">
        <v>1528</v>
      </c>
      <c r="J2739" s="1" t="s">
        <v>25</v>
      </c>
      <c r="K2739" t="s">
        <v>25</v>
      </c>
      <c r="L2739" t="s">
        <v>25</v>
      </c>
      <c r="M2739" t="str">
        <f t="shared" si="73"/>
        <v>Na</v>
      </c>
      <c r="N2739" t="str">
        <f t="shared" si="74"/>
        <v>Na</v>
      </c>
      <c r="O2739" s="1" t="s">
        <v>25</v>
      </c>
      <c r="P2739" s="3" t="s">
        <v>25</v>
      </c>
      <c r="Q2739" s="37">
        <v>2.44</v>
      </c>
      <c r="R2739" t="str">
        <f t="shared" si="75"/>
        <v>mmol/mol</v>
      </c>
      <c r="S2739" s="13" t="s">
        <v>25</v>
      </c>
    </row>
    <row r="2740" spans="1:19">
      <c r="A2740" s="18" t="s">
        <v>2828</v>
      </c>
      <c r="B2740" s="1" t="s">
        <v>2834</v>
      </c>
      <c r="C2740" s="1" t="s">
        <v>2985</v>
      </c>
      <c r="D2740" s="1" t="s">
        <v>3629</v>
      </c>
      <c r="E2740" s="1" t="s">
        <v>25</v>
      </c>
      <c r="F2740">
        <v>660</v>
      </c>
      <c r="G2740">
        <v>660</v>
      </c>
      <c r="H2740">
        <v>2.6</v>
      </c>
      <c r="I2740" s="1" t="s">
        <v>1528</v>
      </c>
      <c r="J2740" s="1" t="s">
        <v>25</v>
      </c>
      <c r="K2740" t="s">
        <v>25</v>
      </c>
      <c r="L2740">
        <v>-1.46</v>
      </c>
      <c r="M2740" t="str">
        <f t="shared" si="73"/>
        <v>44/40</v>
      </c>
      <c r="N2740" t="str">
        <f t="shared" si="74"/>
        <v>SW</v>
      </c>
      <c r="O2740" s="1" t="s">
        <v>25</v>
      </c>
      <c r="P2740" s="3" t="s">
        <v>25</v>
      </c>
      <c r="Q2740" s="37">
        <v>2.5</v>
      </c>
      <c r="R2740" t="str">
        <f t="shared" si="75"/>
        <v>mmol/mol</v>
      </c>
      <c r="S2740" s="13">
        <f t="shared" si="72"/>
        <v>-1.46</v>
      </c>
    </row>
    <row r="2741" spans="1:19">
      <c r="A2741" s="18" t="s">
        <v>2828</v>
      </c>
      <c r="B2741" s="1" t="s">
        <v>2835</v>
      </c>
      <c r="C2741" s="1" t="s">
        <v>2985</v>
      </c>
      <c r="D2741" s="1" t="s">
        <v>3629</v>
      </c>
      <c r="E2741" s="1" t="s">
        <v>25</v>
      </c>
      <c r="F2741">
        <v>660</v>
      </c>
      <c r="G2741">
        <v>660</v>
      </c>
      <c r="H2741">
        <v>3.3</v>
      </c>
      <c r="I2741" s="1" t="s">
        <v>1528</v>
      </c>
      <c r="J2741" s="1" t="s">
        <v>25</v>
      </c>
      <c r="K2741" t="s">
        <v>25</v>
      </c>
      <c r="L2741">
        <v>-1.07</v>
      </c>
      <c r="M2741" t="str">
        <f t="shared" si="73"/>
        <v>44/40</v>
      </c>
      <c r="N2741" t="str">
        <f t="shared" si="74"/>
        <v>SW</v>
      </c>
      <c r="O2741" s="1" t="s">
        <v>25</v>
      </c>
      <c r="P2741" s="3" t="s">
        <v>25</v>
      </c>
      <c r="Q2741" s="37">
        <v>3.25</v>
      </c>
      <c r="R2741" t="str">
        <f t="shared" si="75"/>
        <v>mmol/mol</v>
      </c>
      <c r="S2741" s="13">
        <f t="shared" si="72"/>
        <v>-1.07</v>
      </c>
    </row>
    <row r="2742" spans="1:19">
      <c r="A2742" s="18" t="s">
        <v>2828</v>
      </c>
      <c r="B2742" s="1" t="s">
        <v>2836</v>
      </c>
      <c r="C2742" s="1" t="s">
        <v>2985</v>
      </c>
      <c r="D2742" s="1" t="s">
        <v>3629</v>
      </c>
      <c r="E2742" s="1" t="s">
        <v>25</v>
      </c>
      <c r="F2742">
        <v>660</v>
      </c>
      <c r="G2742">
        <v>660</v>
      </c>
      <c r="H2742">
        <v>3.9</v>
      </c>
      <c r="I2742" s="1" t="s">
        <v>1528</v>
      </c>
      <c r="J2742" s="1" t="s">
        <v>25</v>
      </c>
      <c r="K2742" t="s">
        <v>25</v>
      </c>
      <c r="L2742">
        <v>-1</v>
      </c>
      <c r="M2742" t="str">
        <f t="shared" si="73"/>
        <v>44/40</v>
      </c>
      <c r="N2742" t="str">
        <f t="shared" si="74"/>
        <v>SW</v>
      </c>
      <c r="O2742" s="1" t="s">
        <v>25</v>
      </c>
      <c r="P2742" s="3" t="s">
        <v>25</v>
      </c>
      <c r="Q2742" s="37">
        <v>0</v>
      </c>
      <c r="R2742" t="str">
        <f t="shared" si="75"/>
        <v>mmol/mol</v>
      </c>
      <c r="S2742" s="13">
        <f t="shared" si="72"/>
        <v>-1</v>
      </c>
    </row>
    <row r="2743" spans="1:19">
      <c r="A2743" s="18" t="s">
        <v>2828</v>
      </c>
      <c r="B2743" s="1" t="s">
        <v>2837</v>
      </c>
      <c r="C2743" s="1" t="s">
        <v>2985</v>
      </c>
      <c r="D2743" s="1" t="s">
        <v>3629</v>
      </c>
      <c r="E2743" s="1" t="s">
        <v>25</v>
      </c>
      <c r="F2743">
        <v>660</v>
      </c>
      <c r="G2743">
        <v>660</v>
      </c>
      <c r="H2743">
        <v>4.5</v>
      </c>
      <c r="I2743" s="1" t="s">
        <v>1528</v>
      </c>
      <c r="J2743" s="1" t="s">
        <v>25</v>
      </c>
      <c r="K2743" t="s">
        <v>25</v>
      </c>
      <c r="L2743" t="s">
        <v>25</v>
      </c>
      <c r="M2743" t="str">
        <f t="shared" si="73"/>
        <v>Na</v>
      </c>
      <c r="N2743" t="str">
        <f t="shared" si="74"/>
        <v>Na</v>
      </c>
      <c r="O2743" s="1" t="s">
        <v>25</v>
      </c>
      <c r="P2743" s="3" t="s">
        <v>25</v>
      </c>
      <c r="Q2743" s="37">
        <v>2.8</v>
      </c>
      <c r="R2743" t="str">
        <f t="shared" si="75"/>
        <v>mmol/mol</v>
      </c>
      <c r="S2743" s="13" t="s">
        <v>25</v>
      </c>
    </row>
    <row r="2744" spans="1:19">
      <c r="A2744" s="18" t="s">
        <v>2828</v>
      </c>
      <c r="B2744" s="1" t="s">
        <v>2838</v>
      </c>
      <c r="C2744" s="1" t="s">
        <v>2985</v>
      </c>
      <c r="D2744" s="1" t="s">
        <v>3629</v>
      </c>
      <c r="E2744" s="1" t="s">
        <v>25</v>
      </c>
      <c r="F2744">
        <v>660</v>
      </c>
      <c r="G2744">
        <v>660</v>
      </c>
      <c r="H2744">
        <v>5</v>
      </c>
      <c r="I2744" s="1" t="s">
        <v>1528</v>
      </c>
      <c r="J2744" s="1" t="s">
        <v>25</v>
      </c>
      <c r="K2744" t="s">
        <v>25</v>
      </c>
      <c r="L2744">
        <v>-1.08</v>
      </c>
      <c r="M2744" t="str">
        <f t="shared" si="73"/>
        <v>44/40</v>
      </c>
      <c r="N2744" t="str">
        <f t="shared" si="74"/>
        <v>SW</v>
      </c>
      <c r="O2744" s="1" t="s">
        <v>25</v>
      </c>
      <c r="P2744" s="3" t="s">
        <v>25</v>
      </c>
      <c r="Q2744" s="37">
        <v>2.64</v>
      </c>
      <c r="R2744" t="str">
        <f t="shared" si="75"/>
        <v>mmol/mol</v>
      </c>
      <c r="S2744" s="13">
        <f t="shared" si="72"/>
        <v>-1.08</v>
      </c>
    </row>
    <row r="2745" spans="1:19">
      <c r="A2745" s="18" t="s">
        <v>2828</v>
      </c>
      <c r="B2745" s="1" t="s">
        <v>2839</v>
      </c>
      <c r="C2745" s="1" t="s">
        <v>2985</v>
      </c>
      <c r="D2745" s="1" t="s">
        <v>3629</v>
      </c>
      <c r="E2745" s="1" t="s">
        <v>25</v>
      </c>
      <c r="F2745">
        <v>660</v>
      </c>
      <c r="G2745">
        <v>660</v>
      </c>
      <c r="H2745">
        <v>5.5</v>
      </c>
      <c r="I2745" s="1" t="s">
        <v>1528</v>
      </c>
      <c r="J2745" s="1" t="s">
        <v>25</v>
      </c>
      <c r="K2745" t="s">
        <v>25</v>
      </c>
      <c r="L2745" t="s">
        <v>25</v>
      </c>
      <c r="M2745" t="str">
        <f t="shared" si="73"/>
        <v>Na</v>
      </c>
      <c r="N2745" t="str">
        <f t="shared" si="74"/>
        <v>Na</v>
      </c>
      <c r="O2745" s="1" t="s">
        <v>25</v>
      </c>
      <c r="P2745" s="3" t="s">
        <v>25</v>
      </c>
      <c r="Q2745" s="37">
        <v>2.5099999999999998</v>
      </c>
      <c r="R2745" t="str">
        <f t="shared" si="75"/>
        <v>mmol/mol</v>
      </c>
      <c r="S2745" s="13" t="s">
        <v>25</v>
      </c>
    </row>
    <row r="2746" spans="1:19">
      <c r="A2746" s="18" t="s">
        <v>2828</v>
      </c>
      <c r="B2746" s="1" t="s">
        <v>2840</v>
      </c>
      <c r="C2746" s="1" t="s">
        <v>2985</v>
      </c>
      <c r="D2746" s="1" t="s">
        <v>3629</v>
      </c>
      <c r="E2746" s="1" t="s">
        <v>25</v>
      </c>
      <c r="F2746">
        <v>660</v>
      </c>
      <c r="G2746">
        <v>660</v>
      </c>
      <c r="H2746">
        <v>6</v>
      </c>
      <c r="I2746" s="1" t="s">
        <v>1528</v>
      </c>
      <c r="J2746" s="1" t="s">
        <v>25</v>
      </c>
      <c r="K2746" t="s">
        <v>25</v>
      </c>
      <c r="L2746" t="s">
        <v>25</v>
      </c>
      <c r="M2746" t="str">
        <f t="shared" si="73"/>
        <v>Na</v>
      </c>
      <c r="N2746" t="str">
        <f t="shared" si="74"/>
        <v>Na</v>
      </c>
      <c r="O2746" s="1" t="s">
        <v>25</v>
      </c>
      <c r="P2746" s="3" t="s">
        <v>25</v>
      </c>
      <c r="Q2746" s="37" t="s">
        <v>25</v>
      </c>
      <c r="R2746" t="str">
        <f t="shared" si="75"/>
        <v>Na</v>
      </c>
      <c r="S2746" s="13" t="s">
        <v>25</v>
      </c>
    </row>
    <row r="2747" spans="1:19">
      <c r="A2747" s="18" t="s">
        <v>2828</v>
      </c>
      <c r="B2747" s="1" t="s">
        <v>2841</v>
      </c>
      <c r="C2747" s="1" t="s">
        <v>2985</v>
      </c>
      <c r="D2747" s="1" t="s">
        <v>3629</v>
      </c>
      <c r="E2747" s="1" t="s">
        <v>25</v>
      </c>
      <c r="F2747">
        <v>660</v>
      </c>
      <c r="G2747">
        <v>660</v>
      </c>
      <c r="H2747">
        <v>7</v>
      </c>
      <c r="I2747" s="1" t="s">
        <v>1528</v>
      </c>
      <c r="J2747" s="1" t="s">
        <v>25</v>
      </c>
      <c r="K2747" t="s">
        <v>25</v>
      </c>
      <c r="L2747" t="s">
        <v>25</v>
      </c>
      <c r="M2747" t="str">
        <f t="shared" si="73"/>
        <v>Na</v>
      </c>
      <c r="N2747" t="str">
        <f t="shared" si="74"/>
        <v>Na</v>
      </c>
      <c r="O2747" s="1" t="s">
        <v>25</v>
      </c>
      <c r="P2747" s="3" t="s">
        <v>25</v>
      </c>
      <c r="Q2747" s="37">
        <v>2.82</v>
      </c>
      <c r="R2747" t="str">
        <f t="shared" si="75"/>
        <v>mmol/mol</v>
      </c>
      <c r="S2747" s="13" t="s">
        <v>25</v>
      </c>
    </row>
    <row r="2748" spans="1:19">
      <c r="A2748" s="18" t="s">
        <v>2828</v>
      </c>
      <c r="B2748" s="1" t="s">
        <v>2842</v>
      </c>
      <c r="C2748" s="1" t="s">
        <v>2985</v>
      </c>
      <c r="D2748" s="1" t="s">
        <v>3629</v>
      </c>
      <c r="E2748" s="1" t="s">
        <v>25</v>
      </c>
      <c r="F2748">
        <v>660</v>
      </c>
      <c r="G2748">
        <v>660</v>
      </c>
      <c r="H2748">
        <v>9</v>
      </c>
      <c r="I2748" s="1" t="s">
        <v>1528</v>
      </c>
      <c r="J2748" s="1" t="s">
        <v>25</v>
      </c>
      <c r="K2748" t="s">
        <v>25</v>
      </c>
      <c r="L2748" t="s">
        <v>25</v>
      </c>
      <c r="M2748" t="str">
        <f t="shared" si="73"/>
        <v>Na</v>
      </c>
      <c r="N2748" t="str">
        <f t="shared" si="74"/>
        <v>Na</v>
      </c>
      <c r="O2748" s="1" t="s">
        <v>25</v>
      </c>
      <c r="P2748" s="3" t="s">
        <v>25</v>
      </c>
      <c r="Q2748" s="37">
        <v>4.28</v>
      </c>
      <c r="R2748" t="str">
        <f t="shared" si="75"/>
        <v>mmol/mol</v>
      </c>
      <c r="S2748" s="13" t="s">
        <v>25</v>
      </c>
    </row>
    <row r="2749" spans="1:19">
      <c r="A2749" s="18" t="s">
        <v>2828</v>
      </c>
      <c r="B2749" s="1" t="s">
        <v>2843</v>
      </c>
      <c r="C2749" s="1" t="s">
        <v>2985</v>
      </c>
      <c r="D2749" s="1" t="s">
        <v>3629</v>
      </c>
      <c r="E2749" s="1" t="s">
        <v>25</v>
      </c>
      <c r="F2749">
        <v>660</v>
      </c>
      <c r="G2749">
        <v>660</v>
      </c>
      <c r="H2749">
        <v>10</v>
      </c>
      <c r="I2749" s="1" t="s">
        <v>1528</v>
      </c>
      <c r="J2749" s="1" t="s">
        <v>25</v>
      </c>
      <c r="K2749" t="s">
        <v>25</v>
      </c>
      <c r="L2749" t="s">
        <v>25</v>
      </c>
      <c r="M2749" t="str">
        <f t="shared" si="73"/>
        <v>Na</v>
      </c>
      <c r="N2749" t="str">
        <f t="shared" si="74"/>
        <v>Na</v>
      </c>
      <c r="O2749" s="1" t="s">
        <v>25</v>
      </c>
      <c r="P2749" s="3" t="s">
        <v>25</v>
      </c>
      <c r="Q2749" s="37">
        <v>3.6</v>
      </c>
      <c r="R2749" t="str">
        <f t="shared" si="75"/>
        <v>mmol/mol</v>
      </c>
      <c r="S2749" s="13" t="s">
        <v>25</v>
      </c>
    </row>
    <row r="2750" spans="1:19">
      <c r="A2750" s="18" t="s">
        <v>2828</v>
      </c>
      <c r="B2750" s="1" t="s">
        <v>2844</v>
      </c>
      <c r="C2750" s="1" t="s">
        <v>2985</v>
      </c>
      <c r="D2750" s="1" t="s">
        <v>3629</v>
      </c>
      <c r="E2750" s="1" t="s">
        <v>25</v>
      </c>
      <c r="F2750">
        <v>660</v>
      </c>
      <c r="G2750">
        <v>660</v>
      </c>
      <c r="H2750">
        <v>11.2</v>
      </c>
      <c r="I2750" s="1" t="s">
        <v>1528</v>
      </c>
      <c r="J2750" s="1" t="s">
        <v>25</v>
      </c>
      <c r="K2750" t="s">
        <v>25</v>
      </c>
      <c r="L2750">
        <v>-1.08</v>
      </c>
      <c r="M2750" t="str">
        <f t="shared" si="73"/>
        <v>44/40</v>
      </c>
      <c r="N2750" t="str">
        <f t="shared" si="74"/>
        <v>SW</v>
      </c>
      <c r="O2750" s="1" t="s">
        <v>25</v>
      </c>
      <c r="P2750" s="3" t="s">
        <v>25</v>
      </c>
      <c r="Q2750" s="37">
        <v>1.91</v>
      </c>
      <c r="R2750" t="str">
        <f t="shared" si="75"/>
        <v>mmol/mol</v>
      </c>
      <c r="S2750" s="13">
        <f t="shared" si="72"/>
        <v>-1.08</v>
      </c>
    </row>
    <row r="2751" spans="1:19">
      <c r="A2751" s="18" t="s">
        <v>2828</v>
      </c>
      <c r="B2751" s="1" t="s">
        <v>2845</v>
      </c>
      <c r="C2751" s="1" t="s">
        <v>2985</v>
      </c>
      <c r="D2751" s="1" t="s">
        <v>3629</v>
      </c>
      <c r="E2751" s="1" t="s">
        <v>25</v>
      </c>
      <c r="F2751">
        <v>660</v>
      </c>
      <c r="G2751">
        <v>660</v>
      </c>
      <c r="H2751">
        <v>11.7</v>
      </c>
      <c r="I2751" s="1" t="s">
        <v>1528</v>
      </c>
      <c r="J2751" s="1" t="s">
        <v>25</v>
      </c>
      <c r="K2751" t="s">
        <v>25</v>
      </c>
      <c r="L2751">
        <v>-1.07</v>
      </c>
      <c r="M2751" t="str">
        <f t="shared" si="73"/>
        <v>44/40</v>
      </c>
      <c r="N2751" t="str">
        <f t="shared" si="74"/>
        <v>SW</v>
      </c>
      <c r="O2751" s="1" t="s">
        <v>25</v>
      </c>
      <c r="P2751" s="3" t="s">
        <v>25</v>
      </c>
      <c r="Q2751" s="37">
        <v>4.07</v>
      </c>
      <c r="R2751" t="str">
        <f t="shared" si="75"/>
        <v>mmol/mol</v>
      </c>
      <c r="S2751" s="13">
        <f t="shared" si="72"/>
        <v>-1.07</v>
      </c>
    </row>
    <row r="2752" spans="1:19">
      <c r="A2752" s="18" t="s">
        <v>2828</v>
      </c>
      <c r="B2752" s="1" t="s">
        <v>2846</v>
      </c>
      <c r="C2752" s="1" t="s">
        <v>2985</v>
      </c>
      <c r="D2752" s="1" t="s">
        <v>3629</v>
      </c>
      <c r="E2752" s="1" t="s">
        <v>25</v>
      </c>
      <c r="F2752">
        <v>660</v>
      </c>
      <c r="G2752">
        <v>660</v>
      </c>
      <c r="H2752">
        <v>12.3</v>
      </c>
      <c r="I2752" s="1" t="s">
        <v>1528</v>
      </c>
      <c r="J2752" s="1" t="s">
        <v>25</v>
      </c>
      <c r="K2752" t="s">
        <v>25</v>
      </c>
      <c r="L2752">
        <v>-1.01</v>
      </c>
      <c r="M2752" t="str">
        <f t="shared" si="73"/>
        <v>44/40</v>
      </c>
      <c r="N2752" t="str">
        <f t="shared" si="74"/>
        <v>SW</v>
      </c>
      <c r="O2752" s="1" t="s">
        <v>25</v>
      </c>
      <c r="P2752" s="3" t="s">
        <v>25</v>
      </c>
      <c r="Q2752" s="37">
        <v>1.29</v>
      </c>
      <c r="R2752" t="str">
        <f t="shared" si="75"/>
        <v>mmol/mol</v>
      </c>
      <c r="S2752" s="13">
        <f t="shared" si="72"/>
        <v>-1.01</v>
      </c>
    </row>
    <row r="2753" spans="1:19">
      <c r="A2753" s="18" t="s">
        <v>2828</v>
      </c>
      <c r="B2753" s="1" t="s">
        <v>2847</v>
      </c>
      <c r="C2753" s="1" t="s">
        <v>2985</v>
      </c>
      <c r="D2753" s="1" t="s">
        <v>3629</v>
      </c>
      <c r="E2753" s="1" t="s">
        <v>25</v>
      </c>
      <c r="F2753">
        <v>660</v>
      </c>
      <c r="G2753">
        <v>660</v>
      </c>
      <c r="H2753">
        <v>12.8</v>
      </c>
      <c r="I2753" s="1" t="s">
        <v>1528</v>
      </c>
      <c r="J2753" s="1" t="s">
        <v>25</v>
      </c>
      <c r="K2753" t="s">
        <v>25</v>
      </c>
      <c r="L2753">
        <v>-0.95</v>
      </c>
      <c r="M2753" t="str">
        <f t="shared" si="73"/>
        <v>44/40</v>
      </c>
      <c r="N2753" t="str">
        <f t="shared" si="74"/>
        <v>SW</v>
      </c>
      <c r="O2753" s="1" t="s">
        <v>25</v>
      </c>
      <c r="P2753" s="3" t="s">
        <v>25</v>
      </c>
      <c r="Q2753" s="37">
        <v>0</v>
      </c>
      <c r="R2753" t="str">
        <f t="shared" si="75"/>
        <v>mmol/mol</v>
      </c>
      <c r="S2753" s="13">
        <f t="shared" si="72"/>
        <v>-0.95</v>
      </c>
    </row>
    <row r="2754" spans="1:19">
      <c r="A2754" s="18" t="s">
        <v>2828</v>
      </c>
      <c r="B2754" s="1" t="s">
        <v>2848</v>
      </c>
      <c r="C2754" s="1" t="s">
        <v>2985</v>
      </c>
      <c r="D2754" s="1" t="s">
        <v>3629</v>
      </c>
      <c r="E2754" s="1" t="s">
        <v>25</v>
      </c>
      <c r="F2754">
        <v>660</v>
      </c>
      <c r="G2754">
        <v>660</v>
      </c>
      <c r="H2754">
        <v>13.3</v>
      </c>
      <c r="I2754" s="1" t="s">
        <v>1528</v>
      </c>
      <c r="J2754" s="1" t="s">
        <v>25</v>
      </c>
      <c r="K2754" t="s">
        <v>25</v>
      </c>
      <c r="L2754">
        <v>-1.02</v>
      </c>
      <c r="M2754" t="str">
        <f t="shared" si="73"/>
        <v>44/40</v>
      </c>
      <c r="N2754" t="str">
        <f t="shared" si="74"/>
        <v>SW</v>
      </c>
      <c r="O2754" s="1" t="s">
        <v>25</v>
      </c>
      <c r="P2754" s="3" t="s">
        <v>25</v>
      </c>
      <c r="Q2754" s="37" t="s">
        <v>25</v>
      </c>
      <c r="R2754" t="str">
        <f t="shared" si="75"/>
        <v>Na</v>
      </c>
      <c r="S2754" s="13">
        <f t="shared" si="72"/>
        <v>-1.02</v>
      </c>
    </row>
    <row r="2755" spans="1:19">
      <c r="A2755" s="18" t="s">
        <v>2828</v>
      </c>
      <c r="B2755" s="1" t="s">
        <v>2849</v>
      </c>
      <c r="C2755" s="1" t="s">
        <v>2985</v>
      </c>
      <c r="D2755" s="1" t="s">
        <v>3629</v>
      </c>
      <c r="E2755" s="1" t="s">
        <v>25</v>
      </c>
      <c r="F2755">
        <v>660</v>
      </c>
      <c r="G2755">
        <v>660</v>
      </c>
      <c r="H2755">
        <v>14</v>
      </c>
      <c r="I2755" s="1" t="s">
        <v>1528</v>
      </c>
      <c r="J2755" s="1" t="s">
        <v>25</v>
      </c>
      <c r="K2755" t="s">
        <v>25</v>
      </c>
      <c r="L2755">
        <v>-1.1100000000000001</v>
      </c>
      <c r="M2755" t="str">
        <f t="shared" si="73"/>
        <v>44/40</v>
      </c>
      <c r="N2755" t="str">
        <f t="shared" si="74"/>
        <v>SW</v>
      </c>
      <c r="O2755" s="1" t="s">
        <v>25</v>
      </c>
      <c r="P2755" s="3" t="s">
        <v>25</v>
      </c>
      <c r="Q2755" s="37">
        <v>1.45</v>
      </c>
      <c r="R2755" t="str">
        <f t="shared" si="75"/>
        <v>mmol/mol</v>
      </c>
      <c r="S2755" s="13">
        <f t="shared" si="72"/>
        <v>-1.1100000000000001</v>
      </c>
    </row>
    <row r="2756" spans="1:19">
      <c r="A2756" s="18" t="s">
        <v>2828</v>
      </c>
      <c r="B2756" s="1" t="s">
        <v>2850</v>
      </c>
      <c r="C2756" s="1" t="s">
        <v>2985</v>
      </c>
      <c r="D2756" s="1" t="s">
        <v>3629</v>
      </c>
      <c r="E2756" s="1" t="s">
        <v>25</v>
      </c>
      <c r="F2756">
        <v>660</v>
      </c>
      <c r="G2756">
        <v>660</v>
      </c>
      <c r="H2756">
        <v>15</v>
      </c>
      <c r="I2756" s="1" t="s">
        <v>1528</v>
      </c>
      <c r="J2756" s="1" t="s">
        <v>25</v>
      </c>
      <c r="K2756" t="s">
        <v>25</v>
      </c>
      <c r="L2756">
        <v>-1.06</v>
      </c>
      <c r="M2756" t="str">
        <f t="shared" si="73"/>
        <v>44/40</v>
      </c>
      <c r="N2756" t="str">
        <f t="shared" si="74"/>
        <v>SW</v>
      </c>
      <c r="O2756" s="1" t="s">
        <v>25</v>
      </c>
      <c r="P2756" s="3" t="s">
        <v>25</v>
      </c>
      <c r="Q2756" s="37">
        <v>0.13</v>
      </c>
      <c r="R2756" t="str">
        <f t="shared" si="75"/>
        <v>mmol/mol</v>
      </c>
      <c r="S2756" s="13">
        <f t="shared" si="72"/>
        <v>-1.06</v>
      </c>
    </row>
    <row r="2757" spans="1:19">
      <c r="A2757" s="18" t="s">
        <v>2828</v>
      </c>
      <c r="B2757" s="1" t="s">
        <v>2851</v>
      </c>
      <c r="C2757" s="1" t="s">
        <v>2985</v>
      </c>
      <c r="D2757" s="1" t="s">
        <v>3629</v>
      </c>
      <c r="E2757" s="1" t="s">
        <v>25</v>
      </c>
      <c r="F2757">
        <v>660</v>
      </c>
      <c r="G2757">
        <v>660</v>
      </c>
      <c r="H2757">
        <v>15.5</v>
      </c>
      <c r="I2757" s="1" t="s">
        <v>1528</v>
      </c>
      <c r="J2757" s="1" t="s">
        <v>25</v>
      </c>
      <c r="K2757" t="s">
        <v>25</v>
      </c>
      <c r="L2757">
        <v>-1.26</v>
      </c>
      <c r="M2757" t="str">
        <f t="shared" si="73"/>
        <v>44/40</v>
      </c>
      <c r="N2757" t="str">
        <f t="shared" si="74"/>
        <v>SW</v>
      </c>
      <c r="O2757" s="1" t="s">
        <v>25</v>
      </c>
      <c r="P2757" s="3" t="s">
        <v>25</v>
      </c>
      <c r="Q2757" s="37">
        <v>2.39</v>
      </c>
      <c r="R2757" t="str">
        <f t="shared" si="75"/>
        <v>mmol/mol</v>
      </c>
      <c r="S2757" s="13">
        <f t="shared" si="72"/>
        <v>-1.26</v>
      </c>
    </row>
    <row r="2758" spans="1:19">
      <c r="A2758" s="18" t="s">
        <v>2828</v>
      </c>
      <c r="B2758" s="1" t="s">
        <v>2852</v>
      </c>
      <c r="C2758" s="1" t="s">
        <v>2985</v>
      </c>
      <c r="D2758" s="1" t="s">
        <v>3629</v>
      </c>
      <c r="E2758" s="1" t="s">
        <v>25</v>
      </c>
      <c r="F2758">
        <v>660</v>
      </c>
      <c r="G2758">
        <v>660</v>
      </c>
      <c r="H2758">
        <v>16</v>
      </c>
      <c r="I2758" s="1" t="s">
        <v>1528</v>
      </c>
      <c r="J2758" s="1" t="s">
        <v>25</v>
      </c>
      <c r="K2758" t="s">
        <v>25</v>
      </c>
      <c r="L2758">
        <v>-1</v>
      </c>
      <c r="M2758" t="str">
        <f t="shared" si="73"/>
        <v>44/40</v>
      </c>
      <c r="N2758" t="str">
        <f t="shared" si="74"/>
        <v>SW</v>
      </c>
      <c r="O2758" s="1" t="s">
        <v>25</v>
      </c>
      <c r="P2758" s="3" t="s">
        <v>25</v>
      </c>
      <c r="Q2758" s="37" t="s">
        <v>25</v>
      </c>
      <c r="R2758" t="str">
        <f t="shared" si="75"/>
        <v>Na</v>
      </c>
      <c r="S2758" s="13">
        <f t="shared" si="72"/>
        <v>-1</v>
      </c>
    </row>
    <row r="2759" spans="1:19">
      <c r="A2759" s="18" t="s">
        <v>2828</v>
      </c>
      <c r="B2759" s="1" t="s">
        <v>2853</v>
      </c>
      <c r="C2759" s="1" t="s">
        <v>2985</v>
      </c>
      <c r="D2759" s="1" t="s">
        <v>3629</v>
      </c>
      <c r="E2759" s="1" t="s">
        <v>25</v>
      </c>
      <c r="F2759">
        <v>660</v>
      </c>
      <c r="G2759">
        <v>660</v>
      </c>
      <c r="H2759">
        <v>16.5</v>
      </c>
      <c r="I2759" s="1" t="s">
        <v>1528</v>
      </c>
      <c r="J2759" s="1" t="s">
        <v>25</v>
      </c>
      <c r="K2759" t="s">
        <v>25</v>
      </c>
      <c r="L2759" t="s">
        <v>25</v>
      </c>
      <c r="M2759" t="str">
        <f t="shared" si="73"/>
        <v>Na</v>
      </c>
      <c r="N2759" t="str">
        <f t="shared" si="74"/>
        <v>Na</v>
      </c>
      <c r="O2759" s="1" t="s">
        <v>25</v>
      </c>
      <c r="P2759" s="3" t="s">
        <v>25</v>
      </c>
      <c r="Q2759" s="37" t="s">
        <v>25</v>
      </c>
      <c r="R2759" t="str">
        <f t="shared" si="75"/>
        <v>Na</v>
      </c>
      <c r="S2759" s="13" t="s">
        <v>25</v>
      </c>
    </row>
    <row r="2760" spans="1:19">
      <c r="A2760" s="18" t="s">
        <v>2828</v>
      </c>
      <c r="B2760" s="1" t="s">
        <v>2854</v>
      </c>
      <c r="C2760" s="1" t="s">
        <v>2985</v>
      </c>
      <c r="D2760" s="1" t="s">
        <v>3629</v>
      </c>
      <c r="E2760" s="1" t="s">
        <v>25</v>
      </c>
      <c r="F2760">
        <v>660</v>
      </c>
      <c r="G2760">
        <v>660</v>
      </c>
      <c r="H2760">
        <v>17</v>
      </c>
      <c r="I2760" s="1" t="s">
        <v>1528</v>
      </c>
      <c r="J2760" s="1" t="s">
        <v>25</v>
      </c>
      <c r="K2760" t="s">
        <v>25</v>
      </c>
      <c r="L2760">
        <v>-0.98</v>
      </c>
      <c r="M2760" t="str">
        <f t="shared" si="73"/>
        <v>44/40</v>
      </c>
      <c r="N2760" t="str">
        <f t="shared" si="74"/>
        <v>SW</v>
      </c>
      <c r="O2760" s="1" t="s">
        <v>25</v>
      </c>
      <c r="P2760" s="3" t="s">
        <v>25</v>
      </c>
      <c r="Q2760" s="37">
        <v>1.45</v>
      </c>
      <c r="R2760" t="str">
        <f t="shared" si="75"/>
        <v>mmol/mol</v>
      </c>
      <c r="S2760" s="13">
        <f t="shared" si="72"/>
        <v>-0.98</v>
      </c>
    </row>
    <row r="2761" spans="1:19">
      <c r="A2761" s="18" t="s">
        <v>2828</v>
      </c>
      <c r="B2761" s="1" t="s">
        <v>2855</v>
      </c>
      <c r="C2761" s="1" t="s">
        <v>2985</v>
      </c>
      <c r="D2761" s="1" t="s">
        <v>3629</v>
      </c>
      <c r="E2761" s="1" t="s">
        <v>25</v>
      </c>
      <c r="F2761">
        <v>660</v>
      </c>
      <c r="G2761">
        <v>660</v>
      </c>
      <c r="H2761">
        <v>17.600000000000001</v>
      </c>
      <c r="I2761" s="1" t="s">
        <v>1528</v>
      </c>
      <c r="J2761" s="1" t="s">
        <v>25</v>
      </c>
      <c r="K2761" t="s">
        <v>25</v>
      </c>
      <c r="L2761" t="s">
        <v>25</v>
      </c>
      <c r="M2761" t="str">
        <f t="shared" si="73"/>
        <v>Na</v>
      </c>
      <c r="N2761" t="str">
        <f t="shared" si="74"/>
        <v>Na</v>
      </c>
      <c r="O2761" s="1" t="s">
        <v>25</v>
      </c>
      <c r="P2761" s="3" t="s">
        <v>25</v>
      </c>
      <c r="Q2761" s="37">
        <v>1.27</v>
      </c>
      <c r="R2761" t="str">
        <f t="shared" si="75"/>
        <v>mmol/mol</v>
      </c>
      <c r="S2761" s="13" t="s">
        <v>25</v>
      </c>
    </row>
    <row r="2762" spans="1:19">
      <c r="A2762" s="18" t="s">
        <v>2828</v>
      </c>
      <c r="B2762" s="1" t="s">
        <v>2856</v>
      </c>
      <c r="C2762" s="1" t="s">
        <v>2985</v>
      </c>
      <c r="D2762" s="1" t="s">
        <v>3629</v>
      </c>
      <c r="E2762" s="1" t="s">
        <v>25</v>
      </c>
      <c r="F2762">
        <v>660</v>
      </c>
      <c r="G2762">
        <v>660</v>
      </c>
      <c r="H2762">
        <v>18</v>
      </c>
      <c r="I2762" s="1" t="s">
        <v>1528</v>
      </c>
      <c r="J2762" s="1" t="s">
        <v>25</v>
      </c>
      <c r="K2762" t="s">
        <v>25</v>
      </c>
      <c r="L2762" t="s">
        <v>25</v>
      </c>
      <c r="M2762" t="str">
        <f t="shared" si="73"/>
        <v>Na</v>
      </c>
      <c r="N2762" t="str">
        <f t="shared" si="74"/>
        <v>Na</v>
      </c>
      <c r="O2762" s="1" t="s">
        <v>25</v>
      </c>
      <c r="P2762" s="3" t="s">
        <v>25</v>
      </c>
      <c r="Q2762" s="37" t="s">
        <v>25</v>
      </c>
      <c r="R2762" t="str">
        <f t="shared" si="75"/>
        <v>Na</v>
      </c>
      <c r="S2762" s="13" t="s">
        <v>25</v>
      </c>
    </row>
    <row r="2763" spans="1:19">
      <c r="A2763" s="18" t="s">
        <v>2828</v>
      </c>
      <c r="B2763" s="1" t="s">
        <v>2857</v>
      </c>
      <c r="C2763" s="1" t="s">
        <v>2985</v>
      </c>
      <c r="D2763" s="1" t="s">
        <v>3629</v>
      </c>
      <c r="E2763" s="1" t="s">
        <v>25</v>
      </c>
      <c r="F2763">
        <v>660</v>
      </c>
      <c r="G2763">
        <v>660</v>
      </c>
      <c r="H2763">
        <v>19</v>
      </c>
      <c r="I2763" s="1" t="s">
        <v>1528</v>
      </c>
      <c r="J2763" s="1" t="s">
        <v>25</v>
      </c>
      <c r="K2763" t="s">
        <v>25</v>
      </c>
      <c r="L2763">
        <v>-1</v>
      </c>
      <c r="M2763" t="str">
        <f t="shared" si="73"/>
        <v>44/40</v>
      </c>
      <c r="N2763" t="str">
        <f t="shared" si="74"/>
        <v>SW</v>
      </c>
      <c r="O2763" s="1" t="s">
        <v>25</v>
      </c>
      <c r="P2763" s="3" t="s">
        <v>25</v>
      </c>
      <c r="Q2763" s="37">
        <v>0.36</v>
      </c>
      <c r="R2763" t="str">
        <f t="shared" si="75"/>
        <v>mmol/mol</v>
      </c>
      <c r="S2763" s="13">
        <f t="shared" si="72"/>
        <v>-1</v>
      </c>
    </row>
    <row r="2764" spans="1:19">
      <c r="A2764" s="18" t="s">
        <v>2828</v>
      </c>
      <c r="B2764" s="1" t="s">
        <v>2858</v>
      </c>
      <c r="C2764" s="1" t="s">
        <v>2985</v>
      </c>
      <c r="D2764" s="1" t="s">
        <v>3629</v>
      </c>
      <c r="E2764" s="1" t="s">
        <v>25</v>
      </c>
      <c r="F2764">
        <v>660</v>
      </c>
      <c r="G2764">
        <v>660</v>
      </c>
      <c r="H2764">
        <v>20</v>
      </c>
      <c r="I2764" s="1" t="s">
        <v>1528</v>
      </c>
      <c r="J2764" s="1" t="s">
        <v>25</v>
      </c>
      <c r="K2764" t="s">
        <v>25</v>
      </c>
      <c r="L2764">
        <v>-1.07</v>
      </c>
      <c r="M2764" t="str">
        <f t="shared" si="73"/>
        <v>44/40</v>
      </c>
      <c r="N2764" t="str">
        <f t="shared" si="74"/>
        <v>SW</v>
      </c>
      <c r="O2764" s="1" t="s">
        <v>25</v>
      </c>
      <c r="P2764" s="3" t="s">
        <v>25</v>
      </c>
      <c r="Q2764" s="37" t="s">
        <v>25</v>
      </c>
      <c r="R2764" t="str">
        <f t="shared" si="75"/>
        <v>Na</v>
      </c>
      <c r="S2764" s="13">
        <f t="shared" si="72"/>
        <v>-1.07</v>
      </c>
    </row>
    <row r="2765" spans="1:19">
      <c r="A2765" s="18" t="s">
        <v>2828</v>
      </c>
      <c r="B2765" s="1" t="s">
        <v>2859</v>
      </c>
      <c r="C2765" s="1" t="s">
        <v>2985</v>
      </c>
      <c r="D2765" s="1" t="s">
        <v>3629</v>
      </c>
      <c r="E2765" s="1" t="s">
        <v>25</v>
      </c>
      <c r="F2765">
        <v>660</v>
      </c>
      <c r="G2765">
        <v>660</v>
      </c>
      <c r="H2765">
        <v>22</v>
      </c>
      <c r="I2765" s="1" t="s">
        <v>1528</v>
      </c>
      <c r="J2765" s="1" t="s">
        <v>25</v>
      </c>
      <c r="K2765" t="s">
        <v>25</v>
      </c>
      <c r="L2765">
        <v>-1.21</v>
      </c>
      <c r="M2765" t="str">
        <f t="shared" si="73"/>
        <v>44/40</v>
      </c>
      <c r="N2765" t="str">
        <f t="shared" si="74"/>
        <v>SW</v>
      </c>
      <c r="O2765" s="1" t="s">
        <v>25</v>
      </c>
      <c r="P2765" s="3" t="s">
        <v>25</v>
      </c>
      <c r="Q2765" s="37" t="s">
        <v>25</v>
      </c>
      <c r="R2765" t="str">
        <f t="shared" si="75"/>
        <v>Na</v>
      </c>
      <c r="S2765" s="13">
        <f t="shared" si="72"/>
        <v>-1.21</v>
      </c>
    </row>
    <row r="2766" spans="1:19">
      <c r="A2766" s="18" t="s">
        <v>2828</v>
      </c>
      <c r="B2766" s="1" t="s">
        <v>2860</v>
      </c>
      <c r="C2766" s="1" t="s">
        <v>2985</v>
      </c>
      <c r="D2766" s="1" t="s">
        <v>3629</v>
      </c>
      <c r="E2766" s="1" t="s">
        <v>25</v>
      </c>
      <c r="F2766">
        <v>660</v>
      </c>
      <c r="G2766">
        <v>660</v>
      </c>
      <c r="H2766">
        <v>23</v>
      </c>
      <c r="I2766" s="1" t="s">
        <v>1528</v>
      </c>
      <c r="J2766" s="1" t="s">
        <v>25</v>
      </c>
      <c r="K2766" t="s">
        <v>25</v>
      </c>
      <c r="L2766">
        <v>-1.1499999999999999</v>
      </c>
      <c r="M2766" t="str">
        <f t="shared" si="73"/>
        <v>44/40</v>
      </c>
      <c r="N2766" t="str">
        <f t="shared" si="74"/>
        <v>SW</v>
      </c>
      <c r="O2766" s="1" t="s">
        <v>25</v>
      </c>
      <c r="P2766" s="3" t="s">
        <v>25</v>
      </c>
      <c r="Q2766" s="37">
        <v>2.69</v>
      </c>
      <c r="R2766" t="str">
        <f t="shared" si="75"/>
        <v>mmol/mol</v>
      </c>
      <c r="S2766" s="13">
        <f t="shared" si="72"/>
        <v>-1.1499999999999999</v>
      </c>
    </row>
    <row r="2767" spans="1:19">
      <c r="A2767" s="18" t="s">
        <v>2828</v>
      </c>
      <c r="B2767" s="1" t="s">
        <v>2861</v>
      </c>
      <c r="C2767" s="1" t="s">
        <v>2985</v>
      </c>
      <c r="D2767" s="1" t="s">
        <v>3629</v>
      </c>
      <c r="E2767" s="1" t="s">
        <v>25</v>
      </c>
      <c r="F2767">
        <v>660</v>
      </c>
      <c r="G2767">
        <v>660</v>
      </c>
      <c r="H2767">
        <v>26</v>
      </c>
      <c r="I2767" s="1" t="s">
        <v>1528</v>
      </c>
      <c r="J2767" s="1" t="s">
        <v>25</v>
      </c>
      <c r="K2767" t="s">
        <v>25</v>
      </c>
      <c r="L2767">
        <v>-1.18</v>
      </c>
      <c r="M2767" t="str">
        <f t="shared" si="73"/>
        <v>44/40</v>
      </c>
      <c r="N2767" t="str">
        <f t="shared" si="74"/>
        <v>SW</v>
      </c>
      <c r="O2767" s="1" t="s">
        <v>25</v>
      </c>
      <c r="P2767" s="3" t="s">
        <v>25</v>
      </c>
      <c r="Q2767" s="37" t="s">
        <v>25</v>
      </c>
      <c r="R2767" t="str">
        <f t="shared" si="75"/>
        <v>Na</v>
      </c>
      <c r="S2767" s="13">
        <f t="shared" si="72"/>
        <v>-1.18</v>
      </c>
    </row>
    <row r="2768" spans="1:19">
      <c r="A2768" s="18" t="s">
        <v>2828</v>
      </c>
      <c r="B2768" s="1" t="s">
        <v>2862</v>
      </c>
      <c r="C2768" s="1" t="s">
        <v>2985</v>
      </c>
      <c r="D2768" s="1" t="s">
        <v>3629</v>
      </c>
      <c r="E2768" s="1" t="s">
        <v>25</v>
      </c>
      <c r="F2768">
        <v>660</v>
      </c>
      <c r="G2768">
        <v>660</v>
      </c>
      <c r="H2768">
        <v>28</v>
      </c>
      <c r="I2768" s="1" t="s">
        <v>1528</v>
      </c>
      <c r="J2768" s="1" t="s">
        <v>25</v>
      </c>
      <c r="K2768" t="s">
        <v>25</v>
      </c>
      <c r="L2768">
        <v>-1.07</v>
      </c>
      <c r="M2768" t="str">
        <f t="shared" si="73"/>
        <v>44/40</v>
      </c>
      <c r="N2768" t="str">
        <f t="shared" si="74"/>
        <v>SW</v>
      </c>
      <c r="O2768" s="1" t="s">
        <v>25</v>
      </c>
      <c r="P2768" s="3" t="s">
        <v>25</v>
      </c>
      <c r="Q2768" s="37">
        <v>2.1800000000000002</v>
      </c>
      <c r="R2768" t="str">
        <f t="shared" si="75"/>
        <v>mmol/mol</v>
      </c>
      <c r="S2768" s="13">
        <f t="shared" si="72"/>
        <v>-1.07</v>
      </c>
    </row>
    <row r="2769" spans="1:19">
      <c r="A2769" s="18" t="s">
        <v>2828</v>
      </c>
      <c r="B2769" s="1" t="s">
        <v>2863</v>
      </c>
      <c r="C2769" s="1" t="s">
        <v>2985</v>
      </c>
      <c r="D2769" s="1" t="s">
        <v>3629</v>
      </c>
      <c r="E2769" s="1" t="s">
        <v>25</v>
      </c>
      <c r="F2769">
        <v>660</v>
      </c>
      <c r="G2769">
        <v>660</v>
      </c>
      <c r="H2769">
        <v>29</v>
      </c>
      <c r="I2769" s="1" t="s">
        <v>1528</v>
      </c>
      <c r="J2769" s="1" t="s">
        <v>25</v>
      </c>
      <c r="K2769" t="s">
        <v>25</v>
      </c>
      <c r="L2769">
        <v>-1.1299999999999999</v>
      </c>
      <c r="M2769" t="str">
        <f t="shared" si="73"/>
        <v>44/40</v>
      </c>
      <c r="N2769" t="str">
        <f t="shared" si="74"/>
        <v>SW</v>
      </c>
      <c r="O2769" s="1" t="s">
        <v>25</v>
      </c>
      <c r="P2769" s="3" t="s">
        <v>25</v>
      </c>
      <c r="Q2769" s="37">
        <v>2.4700000000000002</v>
      </c>
      <c r="R2769" t="str">
        <f t="shared" si="75"/>
        <v>mmol/mol</v>
      </c>
      <c r="S2769" s="13">
        <f t="shared" si="72"/>
        <v>-1.1299999999999999</v>
      </c>
    </row>
    <row r="2770" spans="1:19">
      <c r="A2770" s="18" t="s">
        <v>2828</v>
      </c>
      <c r="B2770" s="1" t="s">
        <v>2864</v>
      </c>
      <c r="C2770" s="1" t="s">
        <v>2985</v>
      </c>
      <c r="D2770" s="1" t="s">
        <v>3629</v>
      </c>
      <c r="E2770" s="1" t="s">
        <v>25</v>
      </c>
      <c r="F2770">
        <v>660</v>
      </c>
      <c r="G2770">
        <v>660</v>
      </c>
      <c r="H2770">
        <v>30</v>
      </c>
      <c r="I2770" s="1" t="s">
        <v>1528</v>
      </c>
      <c r="J2770" s="1" t="s">
        <v>25</v>
      </c>
      <c r="K2770" t="s">
        <v>25</v>
      </c>
      <c r="L2770">
        <v>-1.05</v>
      </c>
      <c r="M2770" t="str">
        <f t="shared" si="73"/>
        <v>44/40</v>
      </c>
      <c r="N2770" t="str">
        <f t="shared" si="74"/>
        <v>SW</v>
      </c>
      <c r="O2770" s="1" t="s">
        <v>25</v>
      </c>
      <c r="P2770" s="3" t="s">
        <v>25</v>
      </c>
      <c r="Q2770" s="37">
        <v>2.58</v>
      </c>
      <c r="R2770" t="str">
        <f t="shared" si="75"/>
        <v>mmol/mol</v>
      </c>
      <c r="S2770" s="13">
        <f t="shared" si="72"/>
        <v>-1.05</v>
      </c>
    </row>
    <row r="2771" spans="1:19">
      <c r="A2771" s="18" t="s">
        <v>2828</v>
      </c>
      <c r="B2771" s="1" t="s">
        <v>2865</v>
      </c>
      <c r="C2771" s="1" t="s">
        <v>2985</v>
      </c>
      <c r="D2771" s="1" t="s">
        <v>3629</v>
      </c>
      <c r="E2771" s="1" t="s">
        <v>25</v>
      </c>
      <c r="F2771">
        <v>660</v>
      </c>
      <c r="G2771">
        <v>660</v>
      </c>
      <c r="H2771">
        <v>31</v>
      </c>
      <c r="I2771" s="1" t="s">
        <v>1528</v>
      </c>
      <c r="J2771" s="1" t="s">
        <v>25</v>
      </c>
      <c r="K2771" t="s">
        <v>25</v>
      </c>
      <c r="L2771" t="s">
        <v>25</v>
      </c>
      <c r="M2771" t="str">
        <f t="shared" si="73"/>
        <v>Na</v>
      </c>
      <c r="N2771" t="str">
        <f t="shared" si="74"/>
        <v>Na</v>
      </c>
      <c r="O2771" s="1" t="s">
        <v>25</v>
      </c>
      <c r="P2771" s="3" t="s">
        <v>25</v>
      </c>
      <c r="Q2771" s="37">
        <v>2.13</v>
      </c>
      <c r="R2771" t="str">
        <f t="shared" si="75"/>
        <v>mmol/mol</v>
      </c>
      <c r="S2771" s="13" t="s">
        <v>25</v>
      </c>
    </row>
    <row r="2772" spans="1:19">
      <c r="A2772" s="18" t="s">
        <v>2828</v>
      </c>
      <c r="B2772" s="1" t="s">
        <v>2866</v>
      </c>
      <c r="C2772" s="1" t="s">
        <v>2985</v>
      </c>
      <c r="D2772" s="1" t="s">
        <v>3629</v>
      </c>
      <c r="E2772" s="1" t="s">
        <v>25</v>
      </c>
      <c r="F2772">
        <v>660</v>
      </c>
      <c r="G2772">
        <v>660</v>
      </c>
      <c r="H2772">
        <v>32</v>
      </c>
      <c r="I2772" s="1" t="s">
        <v>1528</v>
      </c>
      <c r="J2772" s="1" t="s">
        <v>25</v>
      </c>
      <c r="K2772" t="s">
        <v>25</v>
      </c>
      <c r="L2772" t="s">
        <v>25</v>
      </c>
      <c r="M2772" t="str">
        <f t="shared" si="73"/>
        <v>Na</v>
      </c>
      <c r="N2772" t="str">
        <f t="shared" si="74"/>
        <v>Na</v>
      </c>
      <c r="O2772" s="1" t="s">
        <v>25</v>
      </c>
      <c r="P2772" s="3" t="s">
        <v>25</v>
      </c>
      <c r="Q2772" s="37">
        <v>1.75</v>
      </c>
      <c r="R2772" t="str">
        <f t="shared" si="75"/>
        <v>mmol/mol</v>
      </c>
      <c r="S2772" s="13" t="s">
        <v>25</v>
      </c>
    </row>
    <row r="2773" spans="1:19">
      <c r="A2773" s="18" t="s">
        <v>2828</v>
      </c>
      <c r="B2773" s="1" t="s">
        <v>2867</v>
      </c>
      <c r="C2773" s="1" t="s">
        <v>2985</v>
      </c>
      <c r="D2773" s="1" t="s">
        <v>3629</v>
      </c>
      <c r="E2773" s="1" t="s">
        <v>25</v>
      </c>
      <c r="F2773">
        <v>660</v>
      </c>
      <c r="G2773">
        <v>660</v>
      </c>
      <c r="H2773">
        <v>33</v>
      </c>
      <c r="I2773" s="1" t="s">
        <v>1528</v>
      </c>
      <c r="J2773" s="1" t="s">
        <v>25</v>
      </c>
      <c r="K2773" t="s">
        <v>25</v>
      </c>
      <c r="L2773">
        <v>-1.08</v>
      </c>
      <c r="M2773" t="str">
        <f t="shared" si="73"/>
        <v>44/40</v>
      </c>
      <c r="N2773" t="str">
        <f t="shared" si="74"/>
        <v>SW</v>
      </c>
      <c r="O2773" s="1" t="s">
        <v>25</v>
      </c>
      <c r="P2773" s="3" t="s">
        <v>25</v>
      </c>
      <c r="Q2773" s="37">
        <v>2.5</v>
      </c>
      <c r="R2773" t="str">
        <f t="shared" si="75"/>
        <v>mmol/mol</v>
      </c>
      <c r="S2773" s="13">
        <f t="shared" si="72"/>
        <v>-1.08</v>
      </c>
    </row>
    <row r="2774" spans="1:19">
      <c r="A2774" s="18" t="s">
        <v>2828</v>
      </c>
      <c r="B2774" s="1" t="s">
        <v>2868</v>
      </c>
      <c r="C2774" s="1" t="s">
        <v>2985</v>
      </c>
      <c r="D2774" s="1" t="s">
        <v>3629</v>
      </c>
      <c r="E2774" s="1" t="s">
        <v>25</v>
      </c>
      <c r="F2774">
        <v>660</v>
      </c>
      <c r="G2774">
        <v>660</v>
      </c>
      <c r="H2774">
        <v>34</v>
      </c>
      <c r="I2774" s="1" t="s">
        <v>1528</v>
      </c>
      <c r="J2774" s="1" t="s">
        <v>25</v>
      </c>
      <c r="K2774" t="s">
        <v>25</v>
      </c>
      <c r="L2774">
        <v>-0.89</v>
      </c>
      <c r="M2774" t="str">
        <f t="shared" si="73"/>
        <v>44/40</v>
      </c>
      <c r="N2774" t="str">
        <f t="shared" si="74"/>
        <v>SW</v>
      </c>
      <c r="O2774" s="1" t="s">
        <v>25</v>
      </c>
      <c r="P2774" s="3" t="s">
        <v>25</v>
      </c>
      <c r="Q2774" s="37">
        <v>0.68</v>
      </c>
      <c r="R2774" t="str">
        <f t="shared" si="75"/>
        <v>mmol/mol</v>
      </c>
      <c r="S2774" s="13">
        <f t="shared" si="72"/>
        <v>-0.89</v>
      </c>
    </row>
    <row r="2775" spans="1:19">
      <c r="A2775" s="18" t="s">
        <v>2828</v>
      </c>
      <c r="B2775" s="1" t="s">
        <v>2869</v>
      </c>
      <c r="C2775" s="1" t="s">
        <v>2985</v>
      </c>
      <c r="D2775" s="1" t="s">
        <v>3629</v>
      </c>
      <c r="E2775" s="1" t="s">
        <v>25</v>
      </c>
      <c r="F2775">
        <v>660</v>
      </c>
      <c r="G2775">
        <v>660</v>
      </c>
      <c r="H2775">
        <v>44</v>
      </c>
      <c r="I2775" s="1" t="s">
        <v>1528</v>
      </c>
      <c r="J2775" s="1" t="s">
        <v>25</v>
      </c>
      <c r="K2775" t="s">
        <v>25</v>
      </c>
      <c r="L2775">
        <v>-1.1029934046513257</v>
      </c>
      <c r="M2775" t="str">
        <f t="shared" si="73"/>
        <v>44/40</v>
      </c>
      <c r="N2775" t="str">
        <f t="shared" si="74"/>
        <v>SW</v>
      </c>
      <c r="O2775" s="1" t="s">
        <v>25</v>
      </c>
      <c r="P2775" s="3" t="s">
        <v>25</v>
      </c>
      <c r="Q2775" s="37">
        <v>0.46425921890603694</v>
      </c>
      <c r="R2775" t="str">
        <f t="shared" si="75"/>
        <v>mmol/mol</v>
      </c>
      <c r="S2775" s="13">
        <f t="shared" si="72"/>
        <v>-1.1029934046513257</v>
      </c>
    </row>
    <row r="2776" spans="1:19">
      <c r="A2776" s="18" t="s">
        <v>2828</v>
      </c>
      <c r="B2776" s="1" t="s">
        <v>2870</v>
      </c>
      <c r="C2776" s="1" t="s">
        <v>2985</v>
      </c>
      <c r="D2776" s="1" t="s">
        <v>3629</v>
      </c>
      <c r="E2776" s="1" t="s">
        <v>25</v>
      </c>
      <c r="F2776">
        <v>660</v>
      </c>
      <c r="G2776">
        <v>660</v>
      </c>
      <c r="H2776">
        <v>45</v>
      </c>
      <c r="I2776" s="1" t="s">
        <v>1528</v>
      </c>
      <c r="J2776" s="1" t="s">
        <v>25</v>
      </c>
      <c r="K2776" t="s">
        <v>25</v>
      </c>
      <c r="L2776">
        <v>-1.0886450201029159</v>
      </c>
      <c r="M2776" t="str">
        <f t="shared" si="73"/>
        <v>44/40</v>
      </c>
      <c r="N2776" t="str">
        <f t="shared" si="74"/>
        <v>SW</v>
      </c>
      <c r="O2776" s="1" t="s">
        <v>25</v>
      </c>
      <c r="P2776" s="3" t="s">
        <v>25</v>
      </c>
      <c r="Q2776" s="37">
        <v>0.46339399577175788</v>
      </c>
      <c r="R2776" t="str">
        <f t="shared" si="75"/>
        <v>mmol/mol</v>
      </c>
      <c r="S2776" s="13">
        <f t="shared" si="72"/>
        <v>-1.0886450201029159</v>
      </c>
    </row>
    <row r="2777" spans="1:19">
      <c r="A2777" s="18" t="s">
        <v>2828</v>
      </c>
      <c r="B2777" s="1" t="s">
        <v>2871</v>
      </c>
      <c r="C2777" s="1" t="s">
        <v>2985</v>
      </c>
      <c r="D2777" s="1" t="s">
        <v>3629</v>
      </c>
      <c r="E2777" s="1" t="s">
        <v>25</v>
      </c>
      <c r="F2777">
        <v>660</v>
      </c>
      <c r="G2777">
        <v>660</v>
      </c>
      <c r="H2777">
        <v>46</v>
      </c>
      <c r="I2777" s="1" t="s">
        <v>1528</v>
      </c>
      <c r="J2777" s="1" t="s">
        <v>25</v>
      </c>
      <c r="K2777" t="s">
        <v>25</v>
      </c>
      <c r="L2777">
        <v>-1.0229904060548634</v>
      </c>
      <c r="M2777" t="str">
        <f t="shared" si="73"/>
        <v>44/40</v>
      </c>
      <c r="N2777" t="str">
        <f t="shared" si="74"/>
        <v>SW</v>
      </c>
      <c r="O2777" s="1" t="s">
        <v>25</v>
      </c>
      <c r="P2777" s="3" t="s">
        <v>25</v>
      </c>
      <c r="Q2777" s="37">
        <v>0.40673414953720521</v>
      </c>
      <c r="R2777" t="str">
        <f t="shared" si="75"/>
        <v>mmol/mol</v>
      </c>
      <c r="S2777" s="13">
        <f t="shared" si="72"/>
        <v>-1.0229904060548634</v>
      </c>
    </row>
    <row r="2778" spans="1:19">
      <c r="A2778" s="18" t="s">
        <v>2828</v>
      </c>
      <c r="B2778" s="1" t="s">
        <v>2872</v>
      </c>
      <c r="C2778" s="1" t="s">
        <v>2985</v>
      </c>
      <c r="D2778" s="1" t="s">
        <v>3629</v>
      </c>
      <c r="E2778" s="1" t="s">
        <v>25</v>
      </c>
      <c r="F2778">
        <v>660</v>
      </c>
      <c r="G2778">
        <v>660</v>
      </c>
      <c r="H2778">
        <v>47</v>
      </c>
      <c r="I2778" s="1" t="s">
        <v>1528</v>
      </c>
      <c r="J2778" s="1" t="s">
        <v>25</v>
      </c>
      <c r="K2778" t="s">
        <v>25</v>
      </c>
      <c r="L2778">
        <v>-1.0824174143793801</v>
      </c>
      <c r="M2778" t="str">
        <f t="shared" si="73"/>
        <v>44/40</v>
      </c>
      <c r="N2778" t="str">
        <f t="shared" si="74"/>
        <v>SW</v>
      </c>
      <c r="O2778" s="1" t="s">
        <v>25</v>
      </c>
      <c r="P2778" s="3" t="s">
        <v>25</v>
      </c>
      <c r="Q2778" s="37">
        <v>0.40483920104006577</v>
      </c>
      <c r="R2778" t="str">
        <f t="shared" si="75"/>
        <v>mmol/mol</v>
      </c>
      <c r="S2778" s="13">
        <f t="shared" si="72"/>
        <v>-1.0824174143793801</v>
      </c>
    </row>
    <row r="2779" spans="1:19">
      <c r="A2779" s="18" t="s">
        <v>2828</v>
      </c>
      <c r="B2779" s="1" t="s">
        <v>2873</v>
      </c>
      <c r="C2779" s="1" t="s">
        <v>2985</v>
      </c>
      <c r="D2779" s="1" t="s">
        <v>3629</v>
      </c>
      <c r="E2779" s="1" t="s">
        <v>25</v>
      </c>
      <c r="F2779">
        <v>660</v>
      </c>
      <c r="G2779">
        <v>660</v>
      </c>
      <c r="H2779">
        <v>48</v>
      </c>
      <c r="I2779" s="1" t="s">
        <v>1528</v>
      </c>
      <c r="J2779" s="1" t="s">
        <v>25</v>
      </c>
      <c r="K2779" t="s">
        <v>25</v>
      </c>
      <c r="L2779">
        <v>-0.99271218496022318</v>
      </c>
      <c r="M2779" t="str">
        <f t="shared" si="73"/>
        <v>44/40</v>
      </c>
      <c r="N2779" t="str">
        <f t="shared" si="74"/>
        <v>SW</v>
      </c>
      <c r="O2779" s="1" t="s">
        <v>25</v>
      </c>
      <c r="P2779" s="3" t="s">
        <v>25</v>
      </c>
      <c r="Q2779" s="37">
        <v>0.43423249078213799</v>
      </c>
      <c r="R2779" t="str">
        <f t="shared" si="75"/>
        <v>mmol/mol</v>
      </c>
      <c r="S2779" s="13">
        <f t="shared" si="72"/>
        <v>-0.99271218496022318</v>
      </c>
    </row>
    <row r="2780" spans="1:19">
      <c r="A2780" s="18" t="s">
        <v>2828</v>
      </c>
      <c r="B2780" s="1" t="s">
        <v>2874</v>
      </c>
      <c r="C2780" s="1" t="s">
        <v>2985</v>
      </c>
      <c r="D2780" s="1" t="s">
        <v>3629</v>
      </c>
      <c r="E2780" s="1" t="s">
        <v>25</v>
      </c>
      <c r="F2780">
        <v>660</v>
      </c>
      <c r="G2780">
        <v>660</v>
      </c>
      <c r="H2780">
        <v>49</v>
      </c>
      <c r="I2780" s="1" t="s">
        <v>1528</v>
      </c>
      <c r="J2780" s="1" t="s">
        <v>25</v>
      </c>
      <c r="K2780" t="s">
        <v>25</v>
      </c>
      <c r="L2780">
        <v>-1.0755620410541678</v>
      </c>
      <c r="M2780" t="str">
        <f t="shared" si="73"/>
        <v>44/40</v>
      </c>
      <c r="N2780" t="str">
        <f t="shared" si="74"/>
        <v>SW</v>
      </c>
      <c r="O2780" s="1" t="s">
        <v>25</v>
      </c>
      <c r="P2780" s="3" t="s">
        <v>25</v>
      </c>
      <c r="Q2780" s="37">
        <v>0.29145858227684857</v>
      </c>
      <c r="R2780" t="str">
        <f t="shared" si="75"/>
        <v>mmol/mol</v>
      </c>
      <c r="S2780" s="13">
        <f t="shared" si="72"/>
        <v>-1.0755620410541678</v>
      </c>
    </row>
    <row r="2781" spans="1:19">
      <c r="A2781" s="18" t="s">
        <v>2828</v>
      </c>
      <c r="B2781" s="1" t="s">
        <v>2875</v>
      </c>
      <c r="C2781" s="1" t="s">
        <v>2985</v>
      </c>
      <c r="D2781" s="1" t="s">
        <v>3629</v>
      </c>
      <c r="E2781" s="1" t="s">
        <v>25</v>
      </c>
      <c r="F2781">
        <v>660</v>
      </c>
      <c r="G2781">
        <v>660</v>
      </c>
      <c r="H2781">
        <v>50</v>
      </c>
      <c r="I2781" s="1" t="s">
        <v>1528</v>
      </c>
      <c r="J2781" s="1" t="s">
        <v>25</v>
      </c>
      <c r="K2781" t="s">
        <v>25</v>
      </c>
      <c r="L2781">
        <v>-1.0596455779221774</v>
      </c>
      <c r="M2781" t="str">
        <f t="shared" si="73"/>
        <v>44/40</v>
      </c>
      <c r="N2781" t="str">
        <f t="shared" si="74"/>
        <v>SW</v>
      </c>
      <c r="O2781" s="1" t="s">
        <v>25</v>
      </c>
      <c r="P2781" s="3" t="s">
        <v>25</v>
      </c>
      <c r="Q2781" s="37">
        <v>0.2144093851290706</v>
      </c>
      <c r="R2781" t="str">
        <f t="shared" si="75"/>
        <v>mmol/mol</v>
      </c>
      <c r="S2781" s="13">
        <f t="shared" si="72"/>
        <v>-1.0596455779221774</v>
      </c>
    </row>
    <row r="2782" spans="1:19">
      <c r="A2782" s="18" t="s">
        <v>2828</v>
      </c>
      <c r="B2782" s="1" t="s">
        <v>2876</v>
      </c>
      <c r="C2782" s="1" t="s">
        <v>2985</v>
      </c>
      <c r="D2782" s="1" t="s">
        <v>3629</v>
      </c>
      <c r="E2782" s="1" t="s">
        <v>25</v>
      </c>
      <c r="F2782">
        <v>660</v>
      </c>
      <c r="G2782">
        <v>660</v>
      </c>
      <c r="H2782">
        <v>51</v>
      </c>
      <c r="I2782" s="1" t="s">
        <v>1528</v>
      </c>
      <c r="J2782" s="1" t="s">
        <v>25</v>
      </c>
      <c r="K2782" t="s">
        <v>25</v>
      </c>
      <c r="L2782">
        <v>-1.0426222075674341</v>
      </c>
      <c r="M2782" t="str">
        <f t="shared" si="73"/>
        <v>44/40</v>
      </c>
      <c r="N2782" t="str">
        <f t="shared" si="74"/>
        <v>SW</v>
      </c>
      <c r="O2782" s="1" t="s">
        <v>25</v>
      </c>
      <c r="P2782" s="3" t="s">
        <v>25</v>
      </c>
      <c r="Q2782" s="37">
        <v>0.42838690463506796</v>
      </c>
      <c r="R2782" t="str">
        <f t="shared" si="75"/>
        <v>mmol/mol</v>
      </c>
      <c r="S2782" s="13">
        <f t="shared" si="72"/>
        <v>-1.0426222075674341</v>
      </c>
    </row>
    <row r="2783" spans="1:19">
      <c r="A2783" s="18" t="s">
        <v>2828</v>
      </c>
      <c r="B2783" s="1" t="s">
        <v>2877</v>
      </c>
      <c r="C2783" s="1" t="s">
        <v>2985</v>
      </c>
      <c r="D2783" s="1" t="s">
        <v>3629</v>
      </c>
      <c r="E2783" s="1" t="s">
        <v>25</v>
      </c>
      <c r="F2783">
        <v>660</v>
      </c>
      <c r="G2783">
        <v>660</v>
      </c>
      <c r="H2783">
        <v>52</v>
      </c>
      <c r="I2783" s="1" t="s">
        <v>1528</v>
      </c>
      <c r="J2783" s="1" t="s">
        <v>25</v>
      </c>
      <c r="K2783" t="s">
        <v>25</v>
      </c>
      <c r="L2783">
        <v>-1.0428236965034587</v>
      </c>
      <c r="M2783" t="str">
        <f t="shared" si="73"/>
        <v>44/40</v>
      </c>
      <c r="N2783" t="str">
        <f t="shared" si="74"/>
        <v>SW</v>
      </c>
      <c r="O2783" s="1" t="s">
        <v>25</v>
      </c>
      <c r="P2783" s="3" t="s">
        <v>25</v>
      </c>
      <c r="Q2783" s="37">
        <v>0.34069774624553512</v>
      </c>
      <c r="R2783" t="str">
        <f t="shared" si="75"/>
        <v>mmol/mol</v>
      </c>
      <c r="S2783" s="13">
        <f t="shared" si="72"/>
        <v>-1.0428236965034587</v>
      </c>
    </row>
    <row r="2784" spans="1:19">
      <c r="A2784" s="18" t="s">
        <v>2828</v>
      </c>
      <c r="B2784" s="1" t="s">
        <v>2878</v>
      </c>
      <c r="C2784" s="1" t="s">
        <v>2985</v>
      </c>
      <c r="D2784" s="1" t="s">
        <v>3629</v>
      </c>
      <c r="E2784" s="1" t="s">
        <v>25</v>
      </c>
      <c r="F2784">
        <v>660</v>
      </c>
      <c r="G2784">
        <v>660</v>
      </c>
      <c r="H2784">
        <v>53</v>
      </c>
      <c r="I2784" s="1" t="s">
        <v>1528</v>
      </c>
      <c r="J2784" s="1" t="s">
        <v>25</v>
      </c>
      <c r="K2784" t="s">
        <v>25</v>
      </c>
      <c r="L2784">
        <v>-0.93140260125220131</v>
      </c>
      <c r="M2784" t="str">
        <f t="shared" si="73"/>
        <v>44/40</v>
      </c>
      <c r="N2784" t="str">
        <f t="shared" si="74"/>
        <v>SW</v>
      </c>
      <c r="O2784" s="1" t="s">
        <v>25</v>
      </c>
      <c r="P2784" s="3" t="s">
        <v>25</v>
      </c>
      <c r="Q2784" s="37">
        <v>0.22140978164645439</v>
      </c>
      <c r="R2784" t="str">
        <f t="shared" si="75"/>
        <v>mmol/mol</v>
      </c>
      <c r="S2784" s="13">
        <f t="shared" si="72"/>
        <v>-0.93140260125220131</v>
      </c>
    </row>
    <row r="2785" spans="1:19">
      <c r="A2785" s="18" t="s">
        <v>2828</v>
      </c>
      <c r="B2785" s="1" t="s">
        <v>2879</v>
      </c>
      <c r="C2785" s="1" t="s">
        <v>2985</v>
      </c>
      <c r="D2785" s="1" t="s">
        <v>3629</v>
      </c>
      <c r="E2785" s="1" t="s">
        <v>25</v>
      </c>
      <c r="F2785">
        <v>660</v>
      </c>
      <c r="G2785">
        <v>660</v>
      </c>
      <c r="H2785">
        <v>54</v>
      </c>
      <c r="I2785" s="1" t="s">
        <v>1528</v>
      </c>
      <c r="J2785" s="1" t="s">
        <v>25</v>
      </c>
      <c r="K2785" t="s">
        <v>25</v>
      </c>
      <c r="L2785">
        <v>-1.0976493805686494</v>
      </c>
      <c r="M2785" t="str">
        <f t="shared" si="73"/>
        <v>44/40</v>
      </c>
      <c r="N2785" t="str">
        <f t="shared" si="74"/>
        <v>SW</v>
      </c>
      <c r="O2785" s="1" t="s">
        <v>25</v>
      </c>
      <c r="P2785" s="3" t="s">
        <v>25</v>
      </c>
      <c r="Q2785" s="37">
        <v>0.25746636116300137</v>
      </c>
      <c r="R2785" t="str">
        <f t="shared" si="75"/>
        <v>mmol/mol</v>
      </c>
      <c r="S2785" s="13">
        <f t="shared" si="72"/>
        <v>-1.0976493805686494</v>
      </c>
    </row>
    <row r="2786" spans="1:19">
      <c r="A2786" s="18" t="s">
        <v>2828</v>
      </c>
      <c r="B2786" s="1" t="s">
        <v>2880</v>
      </c>
      <c r="C2786" s="1" t="s">
        <v>2985</v>
      </c>
      <c r="D2786" s="1" t="s">
        <v>3629</v>
      </c>
      <c r="E2786" s="1" t="s">
        <v>25</v>
      </c>
      <c r="F2786">
        <v>660</v>
      </c>
      <c r="G2786">
        <v>660</v>
      </c>
      <c r="H2786">
        <v>55</v>
      </c>
      <c r="I2786" s="1" t="s">
        <v>1528</v>
      </c>
      <c r="J2786" s="1" t="s">
        <v>25</v>
      </c>
      <c r="K2786" t="s">
        <v>25</v>
      </c>
      <c r="L2786">
        <v>-1.0539208446357067</v>
      </c>
      <c r="M2786" t="str">
        <f t="shared" si="73"/>
        <v>44/40</v>
      </c>
      <c r="N2786" t="str">
        <f t="shared" si="74"/>
        <v>SW</v>
      </c>
      <c r="O2786" s="1" t="s">
        <v>25</v>
      </c>
      <c r="P2786" s="3" t="s">
        <v>25</v>
      </c>
      <c r="Q2786" s="37">
        <v>0.32348416607512426</v>
      </c>
      <c r="R2786" t="str">
        <f t="shared" si="75"/>
        <v>mmol/mol</v>
      </c>
      <c r="S2786" s="13">
        <f t="shared" si="72"/>
        <v>-1.0539208446357067</v>
      </c>
    </row>
    <row r="2787" spans="1:19">
      <c r="A2787" s="18" t="s">
        <v>2828</v>
      </c>
      <c r="B2787" s="1" t="s">
        <v>2881</v>
      </c>
      <c r="C2787" s="1" t="s">
        <v>2985</v>
      </c>
      <c r="D2787" s="1" t="s">
        <v>3629</v>
      </c>
      <c r="E2787" s="1" t="s">
        <v>25</v>
      </c>
      <c r="F2787">
        <v>660</v>
      </c>
      <c r="G2787">
        <v>660</v>
      </c>
      <c r="H2787">
        <v>57</v>
      </c>
      <c r="I2787" s="1" t="s">
        <v>1528</v>
      </c>
      <c r="J2787" s="1" t="s">
        <v>25</v>
      </c>
      <c r="K2787" t="s">
        <v>25</v>
      </c>
      <c r="L2787">
        <v>-1.2151536105706739</v>
      </c>
      <c r="M2787" t="str">
        <f t="shared" si="73"/>
        <v>44/40</v>
      </c>
      <c r="N2787" t="str">
        <f t="shared" si="74"/>
        <v>SW</v>
      </c>
      <c r="O2787" s="1" t="s">
        <v>25</v>
      </c>
      <c r="P2787" s="3" t="s">
        <v>25</v>
      </c>
      <c r="Q2787" s="37">
        <v>0.30959384701543863</v>
      </c>
      <c r="R2787" t="str">
        <f t="shared" si="75"/>
        <v>mmol/mol</v>
      </c>
      <c r="S2787" s="13">
        <f t="shared" si="72"/>
        <v>-1.2151536105706739</v>
      </c>
    </row>
    <row r="2788" spans="1:19">
      <c r="A2788" s="18" t="s">
        <v>2828</v>
      </c>
      <c r="B2788" s="1" t="s">
        <v>2882</v>
      </c>
      <c r="C2788" s="1" t="s">
        <v>2985</v>
      </c>
      <c r="D2788" s="1" t="s">
        <v>3629</v>
      </c>
      <c r="E2788" s="1" t="s">
        <v>25</v>
      </c>
      <c r="F2788">
        <v>660</v>
      </c>
      <c r="G2788">
        <v>660</v>
      </c>
      <c r="H2788">
        <v>58.5</v>
      </c>
      <c r="I2788" s="1" t="s">
        <v>1528</v>
      </c>
      <c r="J2788" s="1" t="s">
        <v>25</v>
      </c>
      <c r="K2788" t="s">
        <v>25</v>
      </c>
      <c r="L2788">
        <v>-1.1657594069864579</v>
      </c>
      <c r="M2788" t="str">
        <f t="shared" si="73"/>
        <v>44/40</v>
      </c>
      <c r="N2788" t="str">
        <f t="shared" si="74"/>
        <v>SW</v>
      </c>
      <c r="O2788" s="1" t="s">
        <v>25</v>
      </c>
      <c r="P2788" s="3" t="s">
        <v>25</v>
      </c>
      <c r="Q2788" s="37">
        <v>0.21457956263717706</v>
      </c>
      <c r="R2788" t="str">
        <f t="shared" si="75"/>
        <v>mmol/mol</v>
      </c>
      <c r="S2788" s="13">
        <f t="shared" si="72"/>
        <v>-1.1657594069864579</v>
      </c>
    </row>
    <row r="2789" spans="1:19">
      <c r="A2789" s="18" t="s">
        <v>2828</v>
      </c>
      <c r="B2789" s="1" t="s">
        <v>2883</v>
      </c>
      <c r="C2789" s="1" t="s">
        <v>2985</v>
      </c>
      <c r="D2789" s="1" t="s">
        <v>3629</v>
      </c>
      <c r="E2789" s="1" t="s">
        <v>25</v>
      </c>
      <c r="F2789">
        <v>660</v>
      </c>
      <c r="G2789">
        <v>660</v>
      </c>
      <c r="H2789">
        <v>59</v>
      </c>
      <c r="I2789" s="1" t="s">
        <v>1528</v>
      </c>
      <c r="J2789" s="1" t="s">
        <v>25</v>
      </c>
      <c r="K2789" t="s">
        <v>25</v>
      </c>
      <c r="L2789">
        <v>-1.1246315909563513</v>
      </c>
      <c r="M2789" t="str">
        <f t="shared" si="73"/>
        <v>44/40</v>
      </c>
      <c r="N2789" t="str">
        <f t="shared" si="74"/>
        <v>SW</v>
      </c>
      <c r="O2789" s="1" t="s">
        <v>25</v>
      </c>
      <c r="P2789" s="3" t="s">
        <v>25</v>
      </c>
      <c r="Q2789" s="37">
        <v>0.25035818747262573</v>
      </c>
      <c r="R2789" t="str">
        <f t="shared" si="75"/>
        <v>mmol/mol</v>
      </c>
      <c r="S2789" s="13">
        <f t="shared" si="72"/>
        <v>-1.1246315909563513</v>
      </c>
    </row>
    <row r="2790" spans="1:19">
      <c r="A2790" s="18" t="s">
        <v>2828</v>
      </c>
      <c r="B2790" s="1" t="s">
        <v>2884</v>
      </c>
      <c r="C2790" s="1" t="s">
        <v>2985</v>
      </c>
      <c r="D2790" s="1" t="s">
        <v>3629</v>
      </c>
      <c r="E2790" s="1" t="s">
        <v>25</v>
      </c>
      <c r="F2790">
        <v>660</v>
      </c>
      <c r="G2790">
        <v>660</v>
      </c>
      <c r="H2790">
        <v>60</v>
      </c>
      <c r="I2790" s="1" t="s">
        <v>1528</v>
      </c>
      <c r="J2790" s="1" t="s">
        <v>25</v>
      </c>
      <c r="K2790" t="s">
        <v>25</v>
      </c>
      <c r="L2790">
        <v>-1.1591291977074258</v>
      </c>
      <c r="M2790" t="str">
        <f t="shared" si="73"/>
        <v>44/40</v>
      </c>
      <c r="N2790" t="str">
        <f t="shared" si="74"/>
        <v>SW</v>
      </c>
      <c r="O2790" s="1" t="s">
        <v>25</v>
      </c>
      <c r="P2790" s="3" t="s">
        <v>25</v>
      </c>
      <c r="Q2790" s="37">
        <v>0.25126486854893948</v>
      </c>
      <c r="R2790" t="str">
        <f t="shared" si="75"/>
        <v>mmol/mol</v>
      </c>
      <c r="S2790" s="13">
        <f t="shared" si="72"/>
        <v>-1.1591291977074258</v>
      </c>
    </row>
    <row r="2791" spans="1:19">
      <c r="A2791" s="18" t="s">
        <v>2828</v>
      </c>
      <c r="B2791" s="1" t="s">
        <v>2885</v>
      </c>
      <c r="C2791" s="1" t="s">
        <v>2985</v>
      </c>
      <c r="D2791" s="1" t="s">
        <v>3629</v>
      </c>
      <c r="E2791" s="1" t="s">
        <v>25</v>
      </c>
      <c r="F2791">
        <v>660</v>
      </c>
      <c r="G2791">
        <v>660</v>
      </c>
      <c r="H2791">
        <v>61</v>
      </c>
      <c r="I2791" s="1" t="s">
        <v>1528</v>
      </c>
      <c r="J2791" s="1" t="s">
        <v>25</v>
      </c>
      <c r="K2791" t="s">
        <v>25</v>
      </c>
      <c r="L2791">
        <v>-1.0881205914902465</v>
      </c>
      <c r="M2791" t="str">
        <f t="shared" si="73"/>
        <v>44/40</v>
      </c>
      <c r="N2791" t="str">
        <f t="shared" si="74"/>
        <v>SW</v>
      </c>
      <c r="O2791" s="1" t="s">
        <v>25</v>
      </c>
      <c r="P2791" s="3" t="s">
        <v>25</v>
      </c>
      <c r="Q2791" s="37">
        <v>0.21857697915757054</v>
      </c>
      <c r="R2791" t="str">
        <f t="shared" si="75"/>
        <v>mmol/mol</v>
      </c>
      <c r="S2791" s="13">
        <f t="shared" si="72"/>
        <v>-1.0881205914902465</v>
      </c>
    </row>
    <row r="2792" spans="1:19">
      <c r="A2792" s="18" t="s">
        <v>2828</v>
      </c>
      <c r="B2792" s="1" t="s">
        <v>2886</v>
      </c>
      <c r="C2792" s="1" t="s">
        <v>2985</v>
      </c>
      <c r="D2792" s="1" t="s">
        <v>3629</v>
      </c>
      <c r="E2792" s="1" t="s">
        <v>25</v>
      </c>
      <c r="F2792">
        <v>660</v>
      </c>
      <c r="G2792">
        <v>660</v>
      </c>
      <c r="H2792">
        <v>62</v>
      </c>
      <c r="I2792" s="1" t="s">
        <v>1528</v>
      </c>
      <c r="J2792" s="1" t="s">
        <v>25</v>
      </c>
      <c r="K2792" t="s">
        <v>25</v>
      </c>
      <c r="L2792">
        <v>-1.2173302163942412</v>
      </c>
      <c r="M2792" t="str">
        <f t="shared" si="73"/>
        <v>44/40</v>
      </c>
      <c r="N2792" t="str">
        <f t="shared" si="74"/>
        <v>SW</v>
      </c>
      <c r="O2792" s="1" t="s">
        <v>25</v>
      </c>
      <c r="P2792" s="3" t="s">
        <v>25</v>
      </c>
      <c r="Q2792" s="37">
        <v>0.22835599424441774</v>
      </c>
      <c r="R2792" t="str">
        <f t="shared" si="75"/>
        <v>mmol/mol</v>
      </c>
      <c r="S2792" s="13">
        <f t="shared" si="72"/>
        <v>-1.2173302163942412</v>
      </c>
    </row>
    <row r="2793" spans="1:19">
      <c r="A2793" s="18" t="s">
        <v>2828</v>
      </c>
      <c r="B2793" s="1" t="s">
        <v>2887</v>
      </c>
      <c r="C2793" s="1" t="s">
        <v>2985</v>
      </c>
      <c r="D2793" s="1" t="s">
        <v>3629</v>
      </c>
      <c r="E2793" s="1" t="s">
        <v>25</v>
      </c>
      <c r="F2793">
        <v>660</v>
      </c>
      <c r="G2793">
        <v>660</v>
      </c>
      <c r="H2793">
        <v>63</v>
      </c>
      <c r="I2793" s="1" t="s">
        <v>1528</v>
      </c>
      <c r="J2793" s="1" t="s">
        <v>25</v>
      </c>
      <c r="K2793" t="s">
        <v>25</v>
      </c>
      <c r="L2793">
        <v>-1.1043976250501131</v>
      </c>
      <c r="M2793" t="str">
        <f t="shared" si="73"/>
        <v>44/40</v>
      </c>
      <c r="N2793" t="str">
        <f t="shared" si="74"/>
        <v>SW</v>
      </c>
      <c r="O2793" s="1" t="s">
        <v>25</v>
      </c>
      <c r="P2793" s="3" t="s">
        <v>25</v>
      </c>
      <c r="Q2793" s="37">
        <v>0.2029701342924019</v>
      </c>
      <c r="R2793" t="str">
        <f t="shared" si="75"/>
        <v>mmol/mol</v>
      </c>
      <c r="S2793" s="13">
        <f t="shared" si="72"/>
        <v>-1.1043976250501131</v>
      </c>
    </row>
    <row r="2794" spans="1:19">
      <c r="A2794" s="18" t="s">
        <v>2828</v>
      </c>
      <c r="B2794" s="1" t="s">
        <v>2888</v>
      </c>
      <c r="C2794" s="1" t="s">
        <v>2985</v>
      </c>
      <c r="D2794" s="1" t="s">
        <v>3629</v>
      </c>
      <c r="E2794" s="1" t="s">
        <v>25</v>
      </c>
      <c r="F2794">
        <v>660</v>
      </c>
      <c r="G2794">
        <v>660</v>
      </c>
      <c r="H2794">
        <v>64</v>
      </c>
      <c r="I2794" s="1" t="s">
        <v>1528</v>
      </c>
      <c r="J2794" s="1" t="s">
        <v>25</v>
      </c>
      <c r="K2794" t="s">
        <v>25</v>
      </c>
      <c r="L2794">
        <v>-1.1406543433650496</v>
      </c>
      <c r="M2794" t="str">
        <f t="shared" si="73"/>
        <v>44/40</v>
      </c>
      <c r="N2794" t="str">
        <f t="shared" si="74"/>
        <v>SW</v>
      </c>
      <c r="O2794" s="1" t="s">
        <v>25</v>
      </c>
      <c r="P2794" s="3" t="s">
        <v>25</v>
      </c>
      <c r="Q2794" s="37">
        <v>0.22682261385396615</v>
      </c>
      <c r="R2794" t="str">
        <f t="shared" si="75"/>
        <v>mmol/mol</v>
      </c>
      <c r="S2794" s="13">
        <f t="shared" si="72"/>
        <v>-1.1406543433650496</v>
      </c>
    </row>
    <row r="2795" spans="1:19">
      <c r="A2795" s="18" t="s">
        <v>2828</v>
      </c>
      <c r="B2795" s="1" t="s">
        <v>2889</v>
      </c>
      <c r="C2795" s="1" t="s">
        <v>2985</v>
      </c>
      <c r="D2795" s="1" t="s">
        <v>3629</v>
      </c>
      <c r="E2795" s="1" t="s">
        <v>25</v>
      </c>
      <c r="F2795">
        <v>660</v>
      </c>
      <c r="G2795">
        <v>660</v>
      </c>
      <c r="H2795">
        <v>65</v>
      </c>
      <c r="I2795" s="1" t="s">
        <v>1528</v>
      </c>
      <c r="J2795" s="1" t="s">
        <v>25</v>
      </c>
      <c r="K2795" t="s">
        <v>25</v>
      </c>
      <c r="L2795">
        <v>-1.1828257216885714</v>
      </c>
      <c r="M2795" t="str">
        <f t="shared" si="73"/>
        <v>44/40</v>
      </c>
      <c r="N2795" t="str">
        <f t="shared" si="74"/>
        <v>SW</v>
      </c>
      <c r="O2795" s="1" t="s">
        <v>25</v>
      </c>
      <c r="P2795" s="3" t="s">
        <v>25</v>
      </c>
      <c r="Q2795" s="37">
        <v>0.20315432638831085</v>
      </c>
      <c r="R2795" t="str">
        <f t="shared" si="75"/>
        <v>mmol/mol</v>
      </c>
      <c r="S2795" s="13">
        <f t="shared" si="72"/>
        <v>-1.1828257216885714</v>
      </c>
    </row>
    <row r="2796" spans="1:19">
      <c r="A2796" s="18" t="s">
        <v>2828</v>
      </c>
      <c r="B2796" s="1" t="s">
        <v>2890</v>
      </c>
      <c r="C2796" s="1" t="s">
        <v>2985</v>
      </c>
      <c r="D2796" s="1" t="s">
        <v>3629</v>
      </c>
      <c r="E2796" s="1" t="s">
        <v>25</v>
      </c>
      <c r="F2796">
        <v>660</v>
      </c>
      <c r="G2796">
        <v>660</v>
      </c>
      <c r="H2796">
        <v>66</v>
      </c>
      <c r="I2796" s="1" t="s">
        <v>1528</v>
      </c>
      <c r="J2796" s="1" t="s">
        <v>25</v>
      </c>
      <c r="K2796" t="s">
        <v>25</v>
      </c>
      <c r="L2796">
        <v>-1.1673567801995743</v>
      </c>
      <c r="M2796" t="str">
        <f t="shared" si="73"/>
        <v>44/40</v>
      </c>
      <c r="N2796" t="str">
        <f t="shared" si="74"/>
        <v>SW</v>
      </c>
      <c r="O2796" s="1" t="s">
        <v>25</v>
      </c>
      <c r="P2796" s="3" t="s">
        <v>25</v>
      </c>
      <c r="Q2796" s="37">
        <v>0.24582360880066503</v>
      </c>
      <c r="R2796" t="str">
        <f t="shared" si="75"/>
        <v>mmol/mol</v>
      </c>
      <c r="S2796" s="13">
        <f t="shared" ref="S2796:S2859" si="76">IF(NOT(N2796="SW"),L2796-1.88,L2796)</f>
        <v>-1.1673567801995743</v>
      </c>
    </row>
    <row r="2797" spans="1:19">
      <c r="A2797" s="18" t="s">
        <v>2828</v>
      </c>
      <c r="B2797" s="1" t="s">
        <v>2891</v>
      </c>
      <c r="C2797" s="1" t="s">
        <v>2985</v>
      </c>
      <c r="D2797" s="1" t="s">
        <v>3629</v>
      </c>
      <c r="E2797" s="1" t="s">
        <v>25</v>
      </c>
      <c r="F2797">
        <v>660</v>
      </c>
      <c r="G2797">
        <v>660</v>
      </c>
      <c r="H2797">
        <v>67</v>
      </c>
      <c r="I2797" s="1" t="s">
        <v>1528</v>
      </c>
      <c r="J2797" s="1" t="s">
        <v>25</v>
      </c>
      <c r="K2797" t="s">
        <v>25</v>
      </c>
      <c r="L2797">
        <v>-1.179295316924625</v>
      </c>
      <c r="M2797" t="str">
        <f t="shared" si="73"/>
        <v>44/40</v>
      </c>
      <c r="N2797" t="str">
        <f t="shared" si="74"/>
        <v>SW</v>
      </c>
      <c r="O2797" s="1" t="s">
        <v>25</v>
      </c>
      <c r="P2797" s="3" t="s">
        <v>25</v>
      </c>
      <c r="Q2797" s="37">
        <v>0.24194745736571416</v>
      </c>
      <c r="R2797" t="str">
        <f t="shared" si="75"/>
        <v>mmol/mol</v>
      </c>
      <c r="S2797" s="13">
        <f t="shared" si="76"/>
        <v>-1.179295316924625</v>
      </c>
    </row>
    <row r="2798" spans="1:19">
      <c r="A2798" s="18" t="s">
        <v>2828</v>
      </c>
      <c r="B2798" s="1" t="s">
        <v>2892</v>
      </c>
      <c r="C2798" s="1" t="s">
        <v>2985</v>
      </c>
      <c r="D2798" s="1" t="s">
        <v>3629</v>
      </c>
      <c r="E2798" s="1" t="s">
        <v>25</v>
      </c>
      <c r="F2798">
        <v>660</v>
      </c>
      <c r="G2798">
        <v>660</v>
      </c>
      <c r="H2798">
        <v>68</v>
      </c>
      <c r="I2798" s="1" t="s">
        <v>1528</v>
      </c>
      <c r="J2798" s="1" t="s">
        <v>25</v>
      </c>
      <c r="K2798" t="s">
        <v>25</v>
      </c>
      <c r="L2798" t="s">
        <v>25</v>
      </c>
      <c r="M2798" t="str">
        <f t="shared" si="73"/>
        <v>Na</v>
      </c>
      <c r="N2798" t="str">
        <f t="shared" si="74"/>
        <v>Na</v>
      </c>
      <c r="O2798" s="1" t="s">
        <v>25</v>
      </c>
      <c r="P2798" s="3" t="s">
        <v>25</v>
      </c>
      <c r="Q2798" s="37" t="s">
        <v>25</v>
      </c>
      <c r="R2798" t="str">
        <f t="shared" si="75"/>
        <v>Na</v>
      </c>
      <c r="S2798" s="13" t="s">
        <v>25</v>
      </c>
    </row>
    <row r="2799" spans="1:19">
      <c r="A2799" s="18" t="s">
        <v>2828</v>
      </c>
      <c r="B2799" s="1" t="s">
        <v>2893</v>
      </c>
      <c r="C2799" s="1" t="s">
        <v>2985</v>
      </c>
      <c r="D2799" s="1" t="s">
        <v>3629</v>
      </c>
      <c r="E2799" s="1" t="s">
        <v>25</v>
      </c>
      <c r="F2799">
        <v>660</v>
      </c>
      <c r="G2799">
        <v>660</v>
      </c>
      <c r="H2799">
        <v>68.5</v>
      </c>
      <c r="I2799" s="1" t="s">
        <v>1528</v>
      </c>
      <c r="J2799" s="1" t="s">
        <v>25</v>
      </c>
      <c r="K2799" t="s">
        <v>25</v>
      </c>
      <c r="L2799">
        <v>-1.227232745157758</v>
      </c>
      <c r="M2799" t="str">
        <f t="shared" si="73"/>
        <v>44/40</v>
      </c>
      <c r="N2799" t="str">
        <f t="shared" si="74"/>
        <v>SW</v>
      </c>
      <c r="O2799" s="1" t="s">
        <v>25</v>
      </c>
      <c r="P2799" s="3" t="s">
        <v>25</v>
      </c>
      <c r="Q2799" s="37">
        <v>0.23392394823769858</v>
      </c>
      <c r="R2799" t="str">
        <f t="shared" si="75"/>
        <v>mmol/mol</v>
      </c>
      <c r="S2799" s="13">
        <f t="shared" si="76"/>
        <v>-1.227232745157758</v>
      </c>
    </row>
    <row r="2800" spans="1:19">
      <c r="A2800" s="18" t="s">
        <v>2828</v>
      </c>
      <c r="B2800" s="1" t="s">
        <v>2894</v>
      </c>
      <c r="C2800" s="1" t="s">
        <v>2985</v>
      </c>
      <c r="D2800" s="1" t="s">
        <v>3629</v>
      </c>
      <c r="E2800" s="1" t="s">
        <v>25</v>
      </c>
      <c r="F2800">
        <v>660</v>
      </c>
      <c r="G2800">
        <v>660</v>
      </c>
      <c r="H2800">
        <v>69</v>
      </c>
      <c r="I2800" s="1" t="s">
        <v>1528</v>
      </c>
      <c r="J2800" s="1" t="s">
        <v>25</v>
      </c>
      <c r="K2800" t="s">
        <v>25</v>
      </c>
      <c r="L2800">
        <v>-1.0995901746177983</v>
      </c>
      <c r="M2800" t="str">
        <f t="shared" ref="M2800:M2863" si="77">IF(L2800="Na","Na","44/40")</f>
        <v>44/40</v>
      </c>
      <c r="N2800" t="str">
        <f t="shared" ref="N2800:N2863" si="78">IF(M2800="Na","Na","SW")</f>
        <v>SW</v>
      </c>
      <c r="O2800" s="1" t="s">
        <v>25</v>
      </c>
      <c r="P2800" s="3" t="s">
        <v>25</v>
      </c>
      <c r="Q2800" s="37">
        <v>0.24737327731262285</v>
      </c>
      <c r="R2800" t="str">
        <f t="shared" ref="R2800:R2863" si="79">IF(Q2800="Na","Na","mmol/mol")</f>
        <v>mmol/mol</v>
      </c>
      <c r="S2800" s="13">
        <f t="shared" si="76"/>
        <v>-1.0995901746177983</v>
      </c>
    </row>
    <row r="2801" spans="1:19">
      <c r="A2801" s="18" t="s">
        <v>2828</v>
      </c>
      <c r="B2801" s="1" t="s">
        <v>2895</v>
      </c>
      <c r="C2801" s="1" t="s">
        <v>2985</v>
      </c>
      <c r="D2801" s="1" t="s">
        <v>3629</v>
      </c>
      <c r="E2801" s="1" t="s">
        <v>25</v>
      </c>
      <c r="F2801">
        <v>660</v>
      </c>
      <c r="G2801">
        <v>660</v>
      </c>
      <c r="H2801">
        <v>70</v>
      </c>
      <c r="I2801" s="1" t="s">
        <v>1528</v>
      </c>
      <c r="J2801" s="1" t="s">
        <v>25</v>
      </c>
      <c r="K2801" t="s">
        <v>25</v>
      </c>
      <c r="L2801">
        <v>-1.0288492052000193</v>
      </c>
      <c r="M2801" t="str">
        <f t="shared" si="77"/>
        <v>44/40</v>
      </c>
      <c r="N2801" t="str">
        <f t="shared" si="78"/>
        <v>SW</v>
      </c>
      <c r="O2801" s="1" t="s">
        <v>25</v>
      </c>
      <c r="P2801" s="3" t="s">
        <v>25</v>
      </c>
      <c r="Q2801" s="37">
        <v>0.2180641296739366</v>
      </c>
      <c r="R2801" t="str">
        <f t="shared" si="79"/>
        <v>mmol/mol</v>
      </c>
      <c r="S2801" s="13">
        <f t="shared" si="76"/>
        <v>-1.0288492052000193</v>
      </c>
    </row>
    <row r="2802" spans="1:19">
      <c r="A2802" s="18" t="s">
        <v>2828</v>
      </c>
      <c r="B2802" s="1" t="s">
        <v>2896</v>
      </c>
      <c r="C2802" s="1" t="s">
        <v>2985</v>
      </c>
      <c r="D2802" s="1" t="s">
        <v>3629</v>
      </c>
      <c r="E2802" s="1" t="s">
        <v>25</v>
      </c>
      <c r="F2802">
        <v>660</v>
      </c>
      <c r="G2802">
        <v>660</v>
      </c>
      <c r="H2802">
        <v>71</v>
      </c>
      <c r="I2802" s="1" t="s">
        <v>1528</v>
      </c>
      <c r="J2802" s="1" t="s">
        <v>25</v>
      </c>
      <c r="K2802" t="s">
        <v>25</v>
      </c>
      <c r="L2802">
        <v>-1.0039716674547672</v>
      </c>
      <c r="M2802" t="str">
        <f t="shared" si="77"/>
        <v>44/40</v>
      </c>
      <c r="N2802" t="str">
        <f t="shared" si="78"/>
        <v>SW</v>
      </c>
      <c r="O2802" s="1" t="s">
        <v>25</v>
      </c>
      <c r="P2802" s="3" t="s">
        <v>25</v>
      </c>
      <c r="Q2802" s="37">
        <v>0.18166068128657023</v>
      </c>
      <c r="R2802" t="str">
        <f t="shared" si="79"/>
        <v>mmol/mol</v>
      </c>
      <c r="S2802" s="13">
        <f t="shared" si="76"/>
        <v>-1.0039716674547672</v>
      </c>
    </row>
    <row r="2803" spans="1:19">
      <c r="A2803" s="18" t="s">
        <v>2828</v>
      </c>
      <c r="B2803" s="1" t="s">
        <v>2897</v>
      </c>
      <c r="C2803" s="1" t="s">
        <v>2985</v>
      </c>
      <c r="D2803" s="1" t="s">
        <v>3629</v>
      </c>
      <c r="E2803" s="1" t="s">
        <v>25</v>
      </c>
      <c r="F2803">
        <v>660</v>
      </c>
      <c r="G2803">
        <v>660</v>
      </c>
      <c r="H2803">
        <v>72</v>
      </c>
      <c r="I2803" s="1" t="s">
        <v>1528</v>
      </c>
      <c r="J2803" s="1" t="s">
        <v>25</v>
      </c>
      <c r="K2803" t="s">
        <v>25</v>
      </c>
      <c r="L2803">
        <v>-1.0399292128208475</v>
      </c>
      <c r="M2803" t="str">
        <f t="shared" si="77"/>
        <v>44/40</v>
      </c>
      <c r="N2803" t="str">
        <f t="shared" si="78"/>
        <v>SW</v>
      </c>
      <c r="O2803" s="1" t="s">
        <v>25</v>
      </c>
      <c r="P2803" s="3" t="s">
        <v>25</v>
      </c>
      <c r="Q2803" s="37">
        <v>0.19148485195028916</v>
      </c>
      <c r="R2803" t="str">
        <f t="shared" si="79"/>
        <v>mmol/mol</v>
      </c>
      <c r="S2803" s="13">
        <f t="shared" si="76"/>
        <v>-1.0399292128208475</v>
      </c>
    </row>
    <row r="2804" spans="1:19">
      <c r="A2804" s="18" t="s">
        <v>2828</v>
      </c>
      <c r="B2804" s="1" t="s">
        <v>2898</v>
      </c>
      <c r="C2804" s="1" t="s">
        <v>2985</v>
      </c>
      <c r="D2804" s="1" t="s">
        <v>3629</v>
      </c>
      <c r="E2804" s="1" t="s">
        <v>25</v>
      </c>
      <c r="F2804">
        <v>660</v>
      </c>
      <c r="G2804">
        <v>660</v>
      </c>
      <c r="H2804">
        <v>72.5</v>
      </c>
      <c r="I2804" s="1" t="s">
        <v>1528</v>
      </c>
      <c r="J2804" s="1" t="s">
        <v>25</v>
      </c>
      <c r="K2804" t="s">
        <v>25</v>
      </c>
      <c r="L2804">
        <v>-1.0593329262042261</v>
      </c>
      <c r="M2804" t="str">
        <f t="shared" si="77"/>
        <v>44/40</v>
      </c>
      <c r="N2804" t="str">
        <f t="shared" si="78"/>
        <v>SW</v>
      </c>
      <c r="O2804" s="1" t="s">
        <v>25</v>
      </c>
      <c r="P2804" s="3" t="s">
        <v>25</v>
      </c>
      <c r="Q2804" s="37">
        <v>0.19108266686165232</v>
      </c>
      <c r="R2804" t="str">
        <f t="shared" si="79"/>
        <v>mmol/mol</v>
      </c>
      <c r="S2804" s="13">
        <f t="shared" si="76"/>
        <v>-1.0593329262042261</v>
      </c>
    </row>
    <row r="2805" spans="1:19">
      <c r="A2805" s="18" t="s">
        <v>2828</v>
      </c>
      <c r="B2805" s="1" t="s">
        <v>2899</v>
      </c>
      <c r="C2805" s="1" t="s">
        <v>2985</v>
      </c>
      <c r="D2805" s="1" t="s">
        <v>3629</v>
      </c>
      <c r="E2805" s="1" t="s">
        <v>25</v>
      </c>
      <c r="F2805">
        <v>660</v>
      </c>
      <c r="G2805">
        <v>660</v>
      </c>
      <c r="H2805">
        <v>34</v>
      </c>
      <c r="I2805" s="1" t="s">
        <v>1528</v>
      </c>
      <c r="J2805" s="1" t="s">
        <v>25</v>
      </c>
      <c r="K2805" t="s">
        <v>25</v>
      </c>
      <c r="L2805">
        <v>-0.91048591676803337</v>
      </c>
      <c r="M2805" t="str">
        <f t="shared" si="77"/>
        <v>44/40</v>
      </c>
      <c r="N2805" t="str">
        <f t="shared" si="78"/>
        <v>SW</v>
      </c>
      <c r="O2805" s="1" t="s">
        <v>25</v>
      </c>
      <c r="P2805" s="3" t="s">
        <v>25</v>
      </c>
      <c r="Q2805" s="37">
        <v>0.29074177454508121</v>
      </c>
      <c r="R2805" t="str">
        <f t="shared" si="79"/>
        <v>mmol/mol</v>
      </c>
      <c r="S2805" s="13">
        <f t="shared" si="76"/>
        <v>-0.91048591676803337</v>
      </c>
    </row>
    <row r="2806" spans="1:19">
      <c r="A2806" s="18" t="s">
        <v>2828</v>
      </c>
      <c r="B2806" s="1" t="s">
        <v>2900</v>
      </c>
      <c r="C2806" s="1" t="s">
        <v>2985</v>
      </c>
      <c r="D2806" s="1" t="s">
        <v>3629</v>
      </c>
      <c r="E2806" s="1" t="s">
        <v>25</v>
      </c>
      <c r="F2806">
        <v>660</v>
      </c>
      <c r="G2806">
        <v>660</v>
      </c>
      <c r="H2806">
        <v>35</v>
      </c>
      <c r="I2806" s="1" t="s">
        <v>1528</v>
      </c>
      <c r="J2806" s="1" t="s">
        <v>25</v>
      </c>
      <c r="K2806" t="s">
        <v>25</v>
      </c>
      <c r="L2806">
        <v>-1.0424751850091478</v>
      </c>
      <c r="M2806" t="str">
        <f t="shared" si="77"/>
        <v>44/40</v>
      </c>
      <c r="N2806" t="str">
        <f t="shared" si="78"/>
        <v>SW</v>
      </c>
      <c r="O2806" s="1" t="s">
        <v>25</v>
      </c>
      <c r="P2806" s="3" t="s">
        <v>25</v>
      </c>
      <c r="Q2806" s="37">
        <v>0.31365502772996634</v>
      </c>
      <c r="R2806" t="str">
        <f t="shared" si="79"/>
        <v>mmol/mol</v>
      </c>
      <c r="S2806" s="13">
        <f t="shared" si="76"/>
        <v>-1.0424751850091478</v>
      </c>
    </row>
    <row r="2807" spans="1:19">
      <c r="A2807" s="18" t="s">
        <v>2828</v>
      </c>
      <c r="B2807" s="1" t="s">
        <v>2901</v>
      </c>
      <c r="C2807" s="1" t="s">
        <v>2985</v>
      </c>
      <c r="D2807" s="1" t="s">
        <v>3629</v>
      </c>
      <c r="E2807" s="1" t="s">
        <v>25</v>
      </c>
      <c r="F2807">
        <v>660</v>
      </c>
      <c r="G2807">
        <v>660</v>
      </c>
      <c r="H2807">
        <v>39.5</v>
      </c>
      <c r="I2807" s="1" t="s">
        <v>1528</v>
      </c>
      <c r="J2807" s="1" t="s">
        <v>25</v>
      </c>
      <c r="K2807" t="s">
        <v>25</v>
      </c>
      <c r="L2807">
        <v>-1.0528058339740076</v>
      </c>
      <c r="M2807" t="str">
        <f t="shared" si="77"/>
        <v>44/40</v>
      </c>
      <c r="N2807" t="str">
        <f t="shared" si="78"/>
        <v>SW</v>
      </c>
      <c r="O2807" s="1" t="s">
        <v>25</v>
      </c>
      <c r="P2807" s="3" t="s">
        <v>25</v>
      </c>
      <c r="Q2807" s="37">
        <v>0.38044668042588375</v>
      </c>
      <c r="R2807" t="str">
        <f t="shared" si="79"/>
        <v>mmol/mol</v>
      </c>
      <c r="S2807" s="13">
        <f t="shared" si="76"/>
        <v>-1.0528058339740076</v>
      </c>
    </row>
    <row r="2808" spans="1:19">
      <c r="A2808" s="18" t="s">
        <v>2828</v>
      </c>
      <c r="B2808" s="1" t="s">
        <v>2902</v>
      </c>
      <c r="C2808" s="1" t="s">
        <v>2985</v>
      </c>
      <c r="D2808" s="1" t="s">
        <v>3629</v>
      </c>
      <c r="E2808" s="1" t="s">
        <v>25</v>
      </c>
      <c r="F2808">
        <v>660</v>
      </c>
      <c r="G2808">
        <v>660</v>
      </c>
      <c r="H2808">
        <v>40.5</v>
      </c>
      <c r="I2808" s="1" t="s">
        <v>1528</v>
      </c>
      <c r="J2808" s="1" t="s">
        <v>25</v>
      </c>
      <c r="K2808" t="s">
        <v>25</v>
      </c>
      <c r="L2808">
        <v>-1.1014297950123542</v>
      </c>
      <c r="M2808" t="str">
        <f t="shared" si="77"/>
        <v>44/40</v>
      </c>
      <c r="N2808" t="str">
        <f t="shared" si="78"/>
        <v>SW</v>
      </c>
      <c r="O2808" s="1" t="s">
        <v>25</v>
      </c>
      <c r="P2808" s="3" t="s">
        <v>25</v>
      </c>
      <c r="Q2808" s="37">
        <v>0.42004567668548426</v>
      </c>
      <c r="R2808" t="str">
        <f t="shared" si="79"/>
        <v>mmol/mol</v>
      </c>
      <c r="S2808" s="13">
        <f t="shared" si="76"/>
        <v>-1.1014297950123542</v>
      </c>
    </row>
    <row r="2809" spans="1:19">
      <c r="A2809" s="18" t="s">
        <v>2828</v>
      </c>
      <c r="B2809" s="1" t="s">
        <v>2903</v>
      </c>
      <c r="C2809" s="1" t="s">
        <v>2985</v>
      </c>
      <c r="D2809" s="1" t="s">
        <v>3629</v>
      </c>
      <c r="E2809" s="1" t="s">
        <v>25</v>
      </c>
      <c r="F2809">
        <v>660</v>
      </c>
      <c r="G2809">
        <v>660</v>
      </c>
      <c r="H2809">
        <v>41.5</v>
      </c>
      <c r="I2809" s="1" t="s">
        <v>1528</v>
      </c>
      <c r="J2809" s="1" t="s">
        <v>25</v>
      </c>
      <c r="K2809" t="s">
        <v>25</v>
      </c>
      <c r="L2809">
        <v>-1.067811597120899</v>
      </c>
      <c r="M2809" t="str">
        <f t="shared" si="77"/>
        <v>44/40</v>
      </c>
      <c r="N2809" t="str">
        <f t="shared" si="78"/>
        <v>SW</v>
      </c>
      <c r="O2809" s="1" t="s">
        <v>25</v>
      </c>
      <c r="P2809" s="3" t="s">
        <v>25</v>
      </c>
      <c r="Q2809" s="37">
        <v>0.30797436298738362</v>
      </c>
      <c r="R2809" t="str">
        <f t="shared" si="79"/>
        <v>mmol/mol</v>
      </c>
      <c r="S2809" s="13">
        <f t="shared" si="76"/>
        <v>-1.067811597120899</v>
      </c>
    </row>
    <row r="2810" spans="1:19">
      <c r="A2810" s="18" t="s">
        <v>2828</v>
      </c>
      <c r="B2810" s="1" t="s">
        <v>2904</v>
      </c>
      <c r="C2810" s="1" t="s">
        <v>2985</v>
      </c>
      <c r="D2810" s="1" t="s">
        <v>3629</v>
      </c>
      <c r="E2810" s="1" t="s">
        <v>25</v>
      </c>
      <c r="F2810">
        <v>660</v>
      </c>
      <c r="G2810">
        <v>660</v>
      </c>
      <c r="H2810">
        <v>42</v>
      </c>
      <c r="I2810" s="1" t="s">
        <v>1528</v>
      </c>
      <c r="J2810" s="1" t="s">
        <v>25</v>
      </c>
      <c r="K2810" t="s">
        <v>25</v>
      </c>
      <c r="L2810">
        <v>-0.98677406851423644</v>
      </c>
      <c r="M2810" t="str">
        <f t="shared" si="77"/>
        <v>44/40</v>
      </c>
      <c r="N2810" t="str">
        <f t="shared" si="78"/>
        <v>SW</v>
      </c>
      <c r="O2810" s="1" t="s">
        <v>25</v>
      </c>
      <c r="P2810" s="3" t="s">
        <v>25</v>
      </c>
      <c r="Q2810" s="37">
        <v>0.53085856987008539</v>
      </c>
      <c r="R2810" t="str">
        <f t="shared" si="79"/>
        <v>mmol/mol</v>
      </c>
      <c r="S2810" s="13">
        <f t="shared" si="76"/>
        <v>-0.98677406851423644</v>
      </c>
    </row>
    <row r="2811" spans="1:19">
      <c r="A2811" s="18" t="s">
        <v>2828</v>
      </c>
      <c r="B2811" s="1" t="s">
        <v>2905</v>
      </c>
      <c r="C2811" s="1" t="s">
        <v>2985</v>
      </c>
      <c r="D2811" s="1" t="s">
        <v>3629</v>
      </c>
      <c r="E2811" s="1" t="s">
        <v>25</v>
      </c>
      <c r="F2811">
        <v>660</v>
      </c>
      <c r="G2811">
        <v>660</v>
      </c>
      <c r="H2811">
        <v>43</v>
      </c>
      <c r="I2811" s="1" t="s">
        <v>1528</v>
      </c>
      <c r="J2811" s="1" t="s">
        <v>25</v>
      </c>
      <c r="K2811" t="s">
        <v>25</v>
      </c>
      <c r="L2811">
        <v>-1.1230460686733168</v>
      </c>
      <c r="M2811" t="str">
        <f t="shared" si="77"/>
        <v>44/40</v>
      </c>
      <c r="N2811" t="str">
        <f t="shared" si="78"/>
        <v>SW</v>
      </c>
      <c r="O2811" s="1" t="s">
        <v>25</v>
      </c>
      <c r="P2811" s="3" t="s">
        <v>25</v>
      </c>
      <c r="Q2811" s="37">
        <v>0.34300205837034842</v>
      </c>
      <c r="R2811" t="str">
        <f t="shared" si="79"/>
        <v>mmol/mol</v>
      </c>
      <c r="S2811" s="13">
        <f t="shared" si="76"/>
        <v>-1.1230460686733168</v>
      </c>
    </row>
    <row r="2812" spans="1:19">
      <c r="A2812" s="18" t="s">
        <v>2828</v>
      </c>
      <c r="B2812" s="1" t="s">
        <v>2906</v>
      </c>
      <c r="C2812" s="1" t="s">
        <v>2985</v>
      </c>
      <c r="D2812" s="1" t="s">
        <v>3629</v>
      </c>
      <c r="E2812" s="1" t="s">
        <v>25</v>
      </c>
      <c r="F2812">
        <v>660</v>
      </c>
      <c r="G2812">
        <v>660</v>
      </c>
      <c r="H2812">
        <v>230</v>
      </c>
      <c r="I2812" s="1" t="s">
        <v>1528</v>
      </c>
      <c r="J2812" s="1" t="s">
        <v>25</v>
      </c>
      <c r="K2812" t="s">
        <v>25</v>
      </c>
      <c r="L2812">
        <v>-0.89382603700448682</v>
      </c>
      <c r="M2812" t="str">
        <f t="shared" si="77"/>
        <v>44/40</v>
      </c>
      <c r="N2812" t="str">
        <f t="shared" si="78"/>
        <v>SW</v>
      </c>
      <c r="O2812" s="1" t="s">
        <v>25</v>
      </c>
      <c r="P2812" s="3" t="s">
        <v>25</v>
      </c>
      <c r="Q2812" s="37">
        <v>0.87311867364973295</v>
      </c>
      <c r="R2812" t="str">
        <f t="shared" si="79"/>
        <v>mmol/mol</v>
      </c>
      <c r="S2812" s="13">
        <f t="shared" si="76"/>
        <v>-0.89382603700448682</v>
      </c>
    </row>
    <row r="2813" spans="1:19">
      <c r="A2813" s="18" t="s">
        <v>2828</v>
      </c>
      <c r="B2813" s="1" t="s">
        <v>2907</v>
      </c>
      <c r="C2813" s="1" t="s">
        <v>2985</v>
      </c>
      <c r="D2813" s="1" t="s">
        <v>3629</v>
      </c>
      <c r="E2813" s="1" t="s">
        <v>25</v>
      </c>
      <c r="F2813">
        <v>660</v>
      </c>
      <c r="G2813">
        <v>660</v>
      </c>
      <c r="H2813">
        <v>231</v>
      </c>
      <c r="I2813" s="1" t="s">
        <v>1528</v>
      </c>
      <c r="J2813" s="1" t="s">
        <v>25</v>
      </c>
      <c r="K2813" t="s">
        <v>25</v>
      </c>
      <c r="L2813">
        <v>-1.0260637451438903</v>
      </c>
      <c r="M2813" t="str">
        <f t="shared" si="77"/>
        <v>44/40</v>
      </c>
      <c r="N2813" t="str">
        <f t="shared" si="78"/>
        <v>SW</v>
      </c>
      <c r="O2813" s="1" t="s">
        <v>25</v>
      </c>
      <c r="P2813" s="3" t="s">
        <v>25</v>
      </c>
      <c r="Q2813" s="37">
        <v>0.60671312133256305</v>
      </c>
      <c r="R2813" t="str">
        <f t="shared" si="79"/>
        <v>mmol/mol</v>
      </c>
      <c r="S2813" s="13">
        <f t="shared" si="76"/>
        <v>-1.0260637451438903</v>
      </c>
    </row>
    <row r="2814" spans="1:19">
      <c r="A2814" s="18" t="s">
        <v>2828</v>
      </c>
      <c r="B2814" s="1" t="s">
        <v>2908</v>
      </c>
      <c r="C2814" s="1" t="s">
        <v>2985</v>
      </c>
      <c r="D2814" s="1" t="s">
        <v>3629</v>
      </c>
      <c r="E2814" s="1" t="s">
        <v>25</v>
      </c>
      <c r="F2814">
        <v>660</v>
      </c>
      <c r="G2814">
        <v>660</v>
      </c>
      <c r="H2814">
        <v>232</v>
      </c>
      <c r="I2814" s="1" t="s">
        <v>1528</v>
      </c>
      <c r="J2814" s="1" t="s">
        <v>25</v>
      </c>
      <c r="K2814" t="s">
        <v>25</v>
      </c>
      <c r="L2814">
        <v>-1.0758897201771449</v>
      </c>
      <c r="M2814" t="str">
        <f t="shared" si="77"/>
        <v>44/40</v>
      </c>
      <c r="N2814" t="str">
        <f t="shared" si="78"/>
        <v>SW</v>
      </c>
      <c r="O2814" s="1" t="s">
        <v>25</v>
      </c>
      <c r="P2814" s="3" t="s">
        <v>25</v>
      </c>
      <c r="Q2814" s="37">
        <v>0.59989997574379983</v>
      </c>
      <c r="R2814" t="str">
        <f t="shared" si="79"/>
        <v>mmol/mol</v>
      </c>
      <c r="S2814" s="13">
        <f t="shared" si="76"/>
        <v>-1.0758897201771449</v>
      </c>
    </row>
    <row r="2815" spans="1:19">
      <c r="A2815" s="18" t="s">
        <v>2828</v>
      </c>
      <c r="B2815" s="1" t="s">
        <v>2909</v>
      </c>
      <c r="C2815" s="1" t="s">
        <v>2985</v>
      </c>
      <c r="D2815" s="1" t="s">
        <v>3629</v>
      </c>
      <c r="E2815" s="1" t="s">
        <v>25</v>
      </c>
      <c r="F2815">
        <v>660</v>
      </c>
      <c r="G2815">
        <v>660</v>
      </c>
      <c r="H2815">
        <v>233</v>
      </c>
      <c r="I2815" s="1" t="s">
        <v>1528</v>
      </c>
      <c r="J2815" s="1" t="s">
        <v>25</v>
      </c>
      <c r="K2815" t="s">
        <v>25</v>
      </c>
      <c r="L2815">
        <v>-0.96330529524709518</v>
      </c>
      <c r="M2815" t="str">
        <f t="shared" si="77"/>
        <v>44/40</v>
      </c>
      <c r="N2815" t="str">
        <f t="shared" si="78"/>
        <v>SW</v>
      </c>
      <c r="O2815" s="1" t="s">
        <v>25</v>
      </c>
      <c r="P2815" s="3" t="s">
        <v>25</v>
      </c>
      <c r="Q2815" s="37">
        <v>0.60595267460542679</v>
      </c>
      <c r="R2815" t="str">
        <f t="shared" si="79"/>
        <v>mmol/mol</v>
      </c>
      <c r="S2815" s="13">
        <f t="shared" si="76"/>
        <v>-0.96330529524709518</v>
      </c>
    </row>
    <row r="2816" spans="1:19">
      <c r="A2816" s="18" t="s">
        <v>2828</v>
      </c>
      <c r="B2816" s="1" t="s">
        <v>2910</v>
      </c>
      <c r="C2816" s="1" t="s">
        <v>2985</v>
      </c>
      <c r="D2816" s="1" t="s">
        <v>3629</v>
      </c>
      <c r="E2816" s="1" t="s">
        <v>25</v>
      </c>
      <c r="F2816">
        <v>660</v>
      </c>
      <c r="G2816">
        <v>660</v>
      </c>
      <c r="H2816">
        <v>234</v>
      </c>
      <c r="I2816" s="1" t="s">
        <v>1528</v>
      </c>
      <c r="J2816" s="1" t="s">
        <v>25</v>
      </c>
      <c r="K2816" t="s">
        <v>25</v>
      </c>
      <c r="L2816">
        <v>-1.0801600571852363</v>
      </c>
      <c r="M2816" t="str">
        <f t="shared" si="77"/>
        <v>44/40</v>
      </c>
      <c r="N2816" t="str">
        <f t="shared" si="78"/>
        <v>SW</v>
      </c>
      <c r="O2816" s="1" t="s">
        <v>25</v>
      </c>
      <c r="P2816" s="3" t="s">
        <v>25</v>
      </c>
      <c r="Q2816" s="37">
        <v>1.1132161679101025</v>
      </c>
      <c r="R2816" t="str">
        <f t="shared" si="79"/>
        <v>mmol/mol</v>
      </c>
      <c r="S2816" s="13">
        <f t="shared" si="76"/>
        <v>-1.0801600571852363</v>
      </c>
    </row>
    <row r="2817" spans="1:19">
      <c r="A2817" s="18" t="s">
        <v>2828</v>
      </c>
      <c r="B2817" s="1" t="s">
        <v>2911</v>
      </c>
      <c r="C2817" s="1" t="s">
        <v>2985</v>
      </c>
      <c r="D2817" s="1" t="s">
        <v>3629</v>
      </c>
      <c r="E2817" s="1" t="s">
        <v>25</v>
      </c>
      <c r="F2817">
        <v>660</v>
      </c>
      <c r="G2817">
        <v>660</v>
      </c>
      <c r="H2817">
        <v>235</v>
      </c>
      <c r="I2817" s="1" t="s">
        <v>1528</v>
      </c>
      <c r="J2817" s="1" t="s">
        <v>25</v>
      </c>
      <c r="K2817" t="s">
        <v>25</v>
      </c>
      <c r="L2817">
        <v>-1.0693808110628837</v>
      </c>
      <c r="M2817" t="str">
        <f t="shared" si="77"/>
        <v>44/40</v>
      </c>
      <c r="N2817" t="str">
        <f t="shared" si="78"/>
        <v>SW</v>
      </c>
      <c r="O2817" s="1" t="s">
        <v>25</v>
      </c>
      <c r="P2817" s="3" t="s">
        <v>25</v>
      </c>
      <c r="Q2817" s="37">
        <v>1.2458383416848242</v>
      </c>
      <c r="R2817" t="str">
        <f t="shared" si="79"/>
        <v>mmol/mol</v>
      </c>
      <c r="S2817" s="13">
        <f t="shared" si="76"/>
        <v>-1.0693808110628837</v>
      </c>
    </row>
    <row r="2818" spans="1:19">
      <c r="A2818" s="18" t="s">
        <v>2828</v>
      </c>
      <c r="B2818" s="1" t="s">
        <v>2912</v>
      </c>
      <c r="C2818" s="1" t="s">
        <v>2985</v>
      </c>
      <c r="D2818" s="1" t="s">
        <v>3629</v>
      </c>
      <c r="E2818" s="1" t="s">
        <v>25</v>
      </c>
      <c r="F2818">
        <v>660</v>
      </c>
      <c r="G2818">
        <v>660</v>
      </c>
      <c r="H2818">
        <v>235.7</v>
      </c>
      <c r="I2818" s="1" t="s">
        <v>1528</v>
      </c>
      <c r="J2818" s="1" t="s">
        <v>25</v>
      </c>
      <c r="K2818" t="s">
        <v>25</v>
      </c>
      <c r="L2818" t="s">
        <v>25</v>
      </c>
      <c r="M2818" t="str">
        <f t="shared" si="77"/>
        <v>Na</v>
      </c>
      <c r="N2818" t="str">
        <f t="shared" si="78"/>
        <v>Na</v>
      </c>
      <c r="O2818" s="1" t="s">
        <v>25</v>
      </c>
      <c r="P2818" s="3" t="s">
        <v>25</v>
      </c>
      <c r="Q2818" s="37">
        <v>1.0885272338820937</v>
      </c>
      <c r="R2818" t="str">
        <f t="shared" si="79"/>
        <v>mmol/mol</v>
      </c>
      <c r="S2818" s="13" t="s">
        <v>25</v>
      </c>
    </row>
    <row r="2819" spans="1:19">
      <c r="A2819" s="18" t="s">
        <v>2828</v>
      </c>
      <c r="B2819" s="1" t="s">
        <v>2913</v>
      </c>
      <c r="C2819" s="1" t="s">
        <v>2985</v>
      </c>
      <c r="D2819" s="1" t="s">
        <v>3629</v>
      </c>
      <c r="E2819" s="1" t="s">
        <v>25</v>
      </c>
      <c r="F2819">
        <v>660</v>
      </c>
      <c r="G2819">
        <v>660</v>
      </c>
      <c r="H2819">
        <v>237</v>
      </c>
      <c r="I2819" s="1" t="s">
        <v>1528</v>
      </c>
      <c r="J2819" s="1" t="s">
        <v>25</v>
      </c>
      <c r="K2819" t="s">
        <v>25</v>
      </c>
      <c r="L2819" t="s">
        <v>25</v>
      </c>
      <c r="M2819" t="str">
        <f t="shared" si="77"/>
        <v>Na</v>
      </c>
      <c r="N2819" t="str">
        <f t="shared" si="78"/>
        <v>Na</v>
      </c>
      <c r="O2819" s="1" t="s">
        <v>25</v>
      </c>
      <c r="P2819" s="3" t="s">
        <v>25</v>
      </c>
      <c r="Q2819" s="37" t="s">
        <v>25</v>
      </c>
      <c r="R2819" t="str">
        <f t="shared" si="79"/>
        <v>Na</v>
      </c>
      <c r="S2819" s="13" t="s">
        <v>25</v>
      </c>
    </row>
    <row r="2820" spans="1:19">
      <c r="A2820" s="18" t="s">
        <v>2828</v>
      </c>
      <c r="B2820" s="1" t="s">
        <v>2914</v>
      </c>
      <c r="C2820" s="1" t="s">
        <v>2985</v>
      </c>
      <c r="D2820" s="1" t="s">
        <v>3629</v>
      </c>
      <c r="E2820" s="1" t="s">
        <v>25</v>
      </c>
      <c r="F2820">
        <v>660</v>
      </c>
      <c r="G2820">
        <v>660</v>
      </c>
      <c r="H2820">
        <v>238.2</v>
      </c>
      <c r="I2820" s="1" t="s">
        <v>1528</v>
      </c>
      <c r="J2820" s="1" t="s">
        <v>25</v>
      </c>
      <c r="K2820" t="s">
        <v>25</v>
      </c>
      <c r="L2820">
        <v>-1.2572062806437283</v>
      </c>
      <c r="M2820" t="str">
        <f t="shared" si="77"/>
        <v>44/40</v>
      </c>
      <c r="N2820" t="str">
        <f t="shared" si="78"/>
        <v>SW</v>
      </c>
      <c r="O2820" s="1" t="s">
        <v>25</v>
      </c>
      <c r="P2820" s="3" t="s">
        <v>25</v>
      </c>
      <c r="Q2820" s="37">
        <v>0.70506275829842235</v>
      </c>
      <c r="R2820" t="str">
        <f t="shared" si="79"/>
        <v>mmol/mol</v>
      </c>
      <c r="S2820" s="13">
        <f t="shared" si="76"/>
        <v>-1.2572062806437283</v>
      </c>
    </row>
    <row r="2821" spans="1:19">
      <c r="A2821" s="18" t="s">
        <v>2828</v>
      </c>
      <c r="B2821" s="1" t="s">
        <v>2915</v>
      </c>
      <c r="C2821" s="1" t="s">
        <v>2985</v>
      </c>
      <c r="D2821" s="1" t="s">
        <v>3629</v>
      </c>
      <c r="E2821" s="1" t="s">
        <v>25</v>
      </c>
      <c r="F2821">
        <v>660</v>
      </c>
      <c r="G2821">
        <v>660</v>
      </c>
      <c r="H2821">
        <v>239</v>
      </c>
      <c r="I2821" s="1" t="s">
        <v>1528</v>
      </c>
      <c r="J2821" s="1" t="s">
        <v>25</v>
      </c>
      <c r="K2821" t="s">
        <v>25</v>
      </c>
      <c r="L2821" t="s">
        <v>25</v>
      </c>
      <c r="M2821" t="str">
        <f t="shared" si="77"/>
        <v>Na</v>
      </c>
      <c r="N2821" t="str">
        <f t="shared" si="78"/>
        <v>Na</v>
      </c>
      <c r="O2821" s="1" t="s">
        <v>25</v>
      </c>
      <c r="P2821" s="3" t="s">
        <v>25</v>
      </c>
      <c r="Q2821" s="37" t="s">
        <v>25</v>
      </c>
      <c r="R2821" t="str">
        <f t="shared" si="79"/>
        <v>Na</v>
      </c>
      <c r="S2821" s="13" t="s">
        <v>25</v>
      </c>
    </row>
    <row r="2822" spans="1:19">
      <c r="A2822" s="18" t="s">
        <v>2828</v>
      </c>
      <c r="B2822" s="1" t="s">
        <v>2916</v>
      </c>
      <c r="C2822" s="1" t="s">
        <v>2985</v>
      </c>
      <c r="D2822" s="1" t="s">
        <v>3629</v>
      </c>
      <c r="E2822" s="1" t="s">
        <v>25</v>
      </c>
      <c r="F2822">
        <v>660</v>
      </c>
      <c r="G2822">
        <v>660</v>
      </c>
      <c r="H2822">
        <v>242</v>
      </c>
      <c r="I2822" s="1" t="s">
        <v>1528</v>
      </c>
      <c r="J2822" s="1" t="s">
        <v>25</v>
      </c>
      <c r="K2822" t="s">
        <v>25</v>
      </c>
      <c r="L2822" t="s">
        <v>25</v>
      </c>
      <c r="M2822" t="str">
        <f t="shared" si="77"/>
        <v>Na</v>
      </c>
      <c r="N2822" t="str">
        <f t="shared" si="78"/>
        <v>Na</v>
      </c>
      <c r="O2822" s="1" t="s">
        <v>25</v>
      </c>
      <c r="P2822" s="3" t="s">
        <v>25</v>
      </c>
      <c r="Q2822" s="37">
        <v>0.64806632933023012</v>
      </c>
      <c r="R2822" t="str">
        <f t="shared" si="79"/>
        <v>mmol/mol</v>
      </c>
      <c r="S2822" s="13" t="s">
        <v>25</v>
      </c>
    </row>
    <row r="2823" spans="1:19">
      <c r="A2823" s="18" t="s">
        <v>2828</v>
      </c>
      <c r="B2823" s="1" t="s">
        <v>2917</v>
      </c>
      <c r="C2823" s="1" t="s">
        <v>2985</v>
      </c>
      <c r="D2823" s="1" t="s">
        <v>3629</v>
      </c>
      <c r="E2823" s="1" t="s">
        <v>25</v>
      </c>
      <c r="F2823">
        <v>660</v>
      </c>
      <c r="G2823">
        <v>660</v>
      </c>
      <c r="H2823">
        <v>245</v>
      </c>
      <c r="I2823" s="1" t="s">
        <v>1528</v>
      </c>
      <c r="J2823" s="1" t="s">
        <v>25</v>
      </c>
      <c r="K2823" t="s">
        <v>25</v>
      </c>
      <c r="L2823">
        <v>-1.1897699848594288</v>
      </c>
      <c r="M2823" t="str">
        <f t="shared" si="77"/>
        <v>44/40</v>
      </c>
      <c r="N2823" t="str">
        <f t="shared" si="78"/>
        <v>SW</v>
      </c>
      <c r="O2823" s="1" t="s">
        <v>25</v>
      </c>
      <c r="P2823" s="3" t="s">
        <v>25</v>
      </c>
      <c r="Q2823" s="37">
        <v>0</v>
      </c>
      <c r="R2823" t="str">
        <f t="shared" si="79"/>
        <v>mmol/mol</v>
      </c>
      <c r="S2823" s="13">
        <f t="shared" si="76"/>
        <v>-1.1897699848594288</v>
      </c>
    </row>
    <row r="2824" spans="1:19">
      <c r="A2824" s="18" t="s">
        <v>2828</v>
      </c>
      <c r="B2824" s="1" t="s">
        <v>2918</v>
      </c>
      <c r="C2824" s="1" t="s">
        <v>2985</v>
      </c>
      <c r="D2824" s="1" t="s">
        <v>3629</v>
      </c>
      <c r="E2824" s="1" t="s">
        <v>25</v>
      </c>
      <c r="F2824">
        <v>660</v>
      </c>
      <c r="G2824">
        <v>660</v>
      </c>
      <c r="H2824">
        <v>245.5</v>
      </c>
      <c r="I2824" s="1" t="s">
        <v>1528</v>
      </c>
      <c r="J2824" s="1" t="s">
        <v>25</v>
      </c>
      <c r="K2824" t="s">
        <v>25</v>
      </c>
      <c r="L2824">
        <v>-1.1694750925672679</v>
      </c>
      <c r="M2824" t="str">
        <f t="shared" si="77"/>
        <v>44/40</v>
      </c>
      <c r="N2824" t="str">
        <f t="shared" si="78"/>
        <v>SW</v>
      </c>
      <c r="O2824" s="1" t="s">
        <v>25</v>
      </c>
      <c r="P2824" s="3" t="s">
        <v>25</v>
      </c>
      <c r="Q2824" s="37">
        <v>0.60667272226609203</v>
      </c>
      <c r="R2824" t="str">
        <f t="shared" si="79"/>
        <v>mmol/mol</v>
      </c>
      <c r="S2824" s="13">
        <f t="shared" si="76"/>
        <v>-1.1694750925672679</v>
      </c>
    </row>
    <row r="2825" spans="1:19">
      <c r="A2825" s="18" t="s">
        <v>2828</v>
      </c>
      <c r="B2825" s="1" t="s">
        <v>2919</v>
      </c>
      <c r="C2825" s="1" t="s">
        <v>2985</v>
      </c>
      <c r="D2825" s="1" t="s">
        <v>3629</v>
      </c>
      <c r="E2825" s="1" t="s">
        <v>25</v>
      </c>
      <c r="F2825">
        <v>660</v>
      </c>
      <c r="G2825">
        <v>660</v>
      </c>
      <c r="H2825">
        <v>248</v>
      </c>
      <c r="I2825" s="1" t="s">
        <v>1528</v>
      </c>
      <c r="J2825" s="1" t="s">
        <v>25</v>
      </c>
      <c r="K2825" t="s">
        <v>25</v>
      </c>
      <c r="L2825">
        <v>-1.2543736975611117</v>
      </c>
      <c r="M2825" t="str">
        <f t="shared" si="77"/>
        <v>44/40</v>
      </c>
      <c r="N2825" t="str">
        <f t="shared" si="78"/>
        <v>SW</v>
      </c>
      <c r="O2825" s="1" t="s">
        <v>25</v>
      </c>
      <c r="P2825" s="3" t="s">
        <v>25</v>
      </c>
      <c r="Q2825" s="37">
        <v>0.74576419199627353</v>
      </c>
      <c r="R2825" t="str">
        <f t="shared" si="79"/>
        <v>mmol/mol</v>
      </c>
      <c r="S2825" s="13">
        <f t="shared" si="76"/>
        <v>-1.2543736975611117</v>
      </c>
    </row>
    <row r="2826" spans="1:19">
      <c r="A2826" s="18" t="s">
        <v>2828</v>
      </c>
      <c r="B2826" s="1" t="s">
        <v>2920</v>
      </c>
      <c r="C2826" s="1" t="s">
        <v>2985</v>
      </c>
      <c r="D2826" s="1" t="s">
        <v>3629</v>
      </c>
      <c r="E2826" s="1" t="s">
        <v>25</v>
      </c>
      <c r="F2826">
        <v>660</v>
      </c>
      <c r="G2826">
        <v>660</v>
      </c>
      <c r="H2826">
        <v>249.5</v>
      </c>
      <c r="I2826" s="1" t="s">
        <v>1528</v>
      </c>
      <c r="J2826" s="1" t="s">
        <v>25</v>
      </c>
      <c r="K2826" t="s">
        <v>25</v>
      </c>
      <c r="L2826">
        <v>-1.2153534493429345</v>
      </c>
      <c r="M2826" t="str">
        <f t="shared" si="77"/>
        <v>44/40</v>
      </c>
      <c r="N2826" t="str">
        <f t="shared" si="78"/>
        <v>SW</v>
      </c>
      <c r="O2826" s="1" t="s">
        <v>25</v>
      </c>
      <c r="P2826" s="3" t="s">
        <v>25</v>
      </c>
      <c r="Q2826" s="37">
        <v>0.72238833315359996</v>
      </c>
      <c r="R2826" t="str">
        <f t="shared" si="79"/>
        <v>mmol/mol</v>
      </c>
      <c r="S2826" s="13">
        <f t="shared" si="76"/>
        <v>-1.2153534493429345</v>
      </c>
    </row>
    <row r="2827" spans="1:19">
      <c r="A2827" s="18" t="s">
        <v>2828</v>
      </c>
      <c r="B2827" s="1" t="s">
        <v>2921</v>
      </c>
      <c r="C2827" s="1" t="s">
        <v>2985</v>
      </c>
      <c r="D2827" s="1" t="s">
        <v>3629</v>
      </c>
      <c r="E2827" s="1" t="s">
        <v>25</v>
      </c>
      <c r="F2827">
        <v>660</v>
      </c>
      <c r="G2827">
        <v>660</v>
      </c>
      <c r="H2827">
        <v>250.2</v>
      </c>
      <c r="I2827" s="1" t="s">
        <v>1528</v>
      </c>
      <c r="J2827" s="1" t="s">
        <v>25</v>
      </c>
      <c r="K2827" t="s">
        <v>25</v>
      </c>
      <c r="L2827">
        <v>-1.2016187986658582</v>
      </c>
      <c r="M2827" t="str">
        <f t="shared" si="77"/>
        <v>44/40</v>
      </c>
      <c r="N2827" t="str">
        <f t="shared" si="78"/>
        <v>SW</v>
      </c>
      <c r="O2827" s="1" t="s">
        <v>25</v>
      </c>
      <c r="P2827" s="3" t="s">
        <v>25</v>
      </c>
      <c r="Q2827" s="37">
        <v>0.51198857339072112</v>
      </c>
      <c r="R2827" t="str">
        <f t="shared" si="79"/>
        <v>mmol/mol</v>
      </c>
      <c r="S2827" s="13">
        <f t="shared" si="76"/>
        <v>-1.2016187986658582</v>
      </c>
    </row>
    <row r="2828" spans="1:19">
      <c r="A2828" s="18" t="s">
        <v>2828</v>
      </c>
      <c r="B2828" s="1" t="s">
        <v>2922</v>
      </c>
      <c r="C2828" s="1" t="s">
        <v>2985</v>
      </c>
      <c r="D2828" s="1" t="s">
        <v>3629</v>
      </c>
      <c r="E2828" s="1" t="s">
        <v>25</v>
      </c>
      <c r="F2828">
        <v>660</v>
      </c>
      <c r="G2828">
        <v>660</v>
      </c>
      <c r="H2828">
        <v>251.2</v>
      </c>
      <c r="I2828" s="1" t="s">
        <v>1528</v>
      </c>
      <c r="J2828" s="1" t="s">
        <v>25</v>
      </c>
      <c r="K2828" t="s">
        <v>25</v>
      </c>
      <c r="L2828" t="s">
        <v>25</v>
      </c>
      <c r="M2828" t="str">
        <f t="shared" si="77"/>
        <v>Na</v>
      </c>
      <c r="N2828" t="str">
        <f t="shared" si="78"/>
        <v>Na</v>
      </c>
      <c r="O2828" s="1" t="s">
        <v>25</v>
      </c>
      <c r="P2828" s="3" t="s">
        <v>25</v>
      </c>
      <c r="Q2828" s="37" t="s">
        <v>25</v>
      </c>
      <c r="R2828" t="str">
        <f t="shared" si="79"/>
        <v>Na</v>
      </c>
      <c r="S2828" s="13" t="s">
        <v>25</v>
      </c>
    </row>
    <row r="2829" spans="1:19">
      <c r="A2829" s="18" t="s">
        <v>2828</v>
      </c>
      <c r="B2829" s="1" t="s">
        <v>2923</v>
      </c>
      <c r="C2829" s="1" t="s">
        <v>2985</v>
      </c>
      <c r="D2829" s="1" t="s">
        <v>3629</v>
      </c>
      <c r="E2829" s="1" t="s">
        <v>25</v>
      </c>
      <c r="F2829">
        <v>660</v>
      </c>
      <c r="G2829">
        <v>660</v>
      </c>
      <c r="H2829">
        <v>254</v>
      </c>
      <c r="I2829" s="1" t="s">
        <v>1528</v>
      </c>
      <c r="J2829" s="1" t="s">
        <v>25</v>
      </c>
      <c r="K2829" t="s">
        <v>25</v>
      </c>
      <c r="L2829" t="s">
        <v>25</v>
      </c>
      <c r="M2829" t="str">
        <f t="shared" si="77"/>
        <v>Na</v>
      </c>
      <c r="N2829" t="str">
        <f t="shared" si="78"/>
        <v>Na</v>
      </c>
      <c r="O2829" s="1" t="s">
        <v>25</v>
      </c>
      <c r="P2829" s="3" t="s">
        <v>25</v>
      </c>
      <c r="Q2829" s="37">
        <v>0.15543227033127899</v>
      </c>
      <c r="R2829" t="str">
        <f t="shared" si="79"/>
        <v>mmol/mol</v>
      </c>
      <c r="S2829" s="13" t="s">
        <v>25</v>
      </c>
    </row>
    <row r="2830" spans="1:19">
      <c r="A2830" s="18" t="s">
        <v>2828</v>
      </c>
      <c r="B2830" s="1" t="s">
        <v>2924</v>
      </c>
      <c r="C2830" s="1" t="s">
        <v>2985</v>
      </c>
      <c r="D2830" s="1" t="s">
        <v>3629</v>
      </c>
      <c r="E2830" s="1" t="s">
        <v>25</v>
      </c>
      <c r="F2830">
        <v>660</v>
      </c>
      <c r="G2830">
        <v>660</v>
      </c>
      <c r="H2830">
        <v>256</v>
      </c>
      <c r="I2830" s="1" t="s">
        <v>1528</v>
      </c>
      <c r="J2830" s="1" t="s">
        <v>25</v>
      </c>
      <c r="K2830" t="s">
        <v>25</v>
      </c>
      <c r="L2830" t="s">
        <v>25</v>
      </c>
      <c r="M2830" t="str">
        <f t="shared" si="77"/>
        <v>Na</v>
      </c>
      <c r="N2830" t="str">
        <f t="shared" si="78"/>
        <v>Na</v>
      </c>
      <c r="O2830" s="1" t="s">
        <v>25</v>
      </c>
      <c r="P2830" s="3" t="s">
        <v>25</v>
      </c>
      <c r="Q2830" s="37">
        <v>6.3559292166800771E-2</v>
      </c>
      <c r="R2830" t="str">
        <f t="shared" si="79"/>
        <v>mmol/mol</v>
      </c>
      <c r="S2830" s="13" t="s">
        <v>25</v>
      </c>
    </row>
    <row r="2831" spans="1:19">
      <c r="A2831" s="18" t="s">
        <v>2828</v>
      </c>
      <c r="B2831" s="1" t="s">
        <v>2925</v>
      </c>
      <c r="C2831" s="1" t="s">
        <v>2985</v>
      </c>
      <c r="D2831" s="1" t="s">
        <v>3629</v>
      </c>
      <c r="E2831" s="1" t="s">
        <v>25</v>
      </c>
      <c r="F2831">
        <v>660</v>
      </c>
      <c r="G2831">
        <v>660</v>
      </c>
      <c r="H2831">
        <v>257</v>
      </c>
      <c r="I2831" s="1" t="s">
        <v>1528</v>
      </c>
      <c r="J2831" s="1" t="s">
        <v>25</v>
      </c>
      <c r="K2831" t="s">
        <v>25</v>
      </c>
      <c r="L2831" t="s">
        <v>25</v>
      </c>
      <c r="M2831" t="str">
        <f t="shared" si="77"/>
        <v>Na</v>
      </c>
      <c r="N2831" t="str">
        <f t="shared" si="78"/>
        <v>Na</v>
      </c>
      <c r="O2831" s="1" t="s">
        <v>25</v>
      </c>
      <c r="P2831" s="3" t="s">
        <v>25</v>
      </c>
      <c r="Q2831" s="37">
        <v>0.21125657417753543</v>
      </c>
      <c r="R2831" t="str">
        <f t="shared" si="79"/>
        <v>mmol/mol</v>
      </c>
      <c r="S2831" s="13" t="s">
        <v>25</v>
      </c>
    </row>
    <row r="2832" spans="1:19">
      <c r="A2832" s="18" t="s">
        <v>2828</v>
      </c>
      <c r="B2832" s="1" t="s">
        <v>2926</v>
      </c>
      <c r="C2832" s="1" t="s">
        <v>2985</v>
      </c>
      <c r="D2832" s="1" t="s">
        <v>3629</v>
      </c>
      <c r="E2832" s="1" t="s">
        <v>25</v>
      </c>
      <c r="F2832">
        <v>660</v>
      </c>
      <c r="G2832">
        <v>660</v>
      </c>
      <c r="H2832">
        <v>258</v>
      </c>
      <c r="I2832" s="1" t="s">
        <v>1528</v>
      </c>
      <c r="J2832" s="1" t="s">
        <v>25</v>
      </c>
      <c r="K2832" t="s">
        <v>25</v>
      </c>
      <c r="L2832" t="s">
        <v>25</v>
      </c>
      <c r="M2832" t="str">
        <f t="shared" si="77"/>
        <v>Na</v>
      </c>
      <c r="N2832" t="str">
        <f t="shared" si="78"/>
        <v>Na</v>
      </c>
      <c r="O2832" s="1" t="s">
        <v>25</v>
      </c>
      <c r="P2832" s="3" t="s">
        <v>25</v>
      </c>
      <c r="Q2832" s="37">
        <v>0.16303394010071517</v>
      </c>
      <c r="R2832" t="str">
        <f t="shared" si="79"/>
        <v>mmol/mol</v>
      </c>
      <c r="S2832" s="13" t="s">
        <v>25</v>
      </c>
    </row>
    <row r="2833" spans="1:19">
      <c r="A2833" s="18" t="s">
        <v>2828</v>
      </c>
      <c r="B2833" s="1" t="s">
        <v>2927</v>
      </c>
      <c r="C2833" s="1" t="s">
        <v>2985</v>
      </c>
      <c r="D2833" s="1" t="s">
        <v>3629</v>
      </c>
      <c r="E2833" s="1" t="s">
        <v>25</v>
      </c>
      <c r="F2833">
        <v>660</v>
      </c>
      <c r="G2833">
        <v>660</v>
      </c>
      <c r="H2833">
        <v>259</v>
      </c>
      <c r="I2833" s="1" t="s">
        <v>1528</v>
      </c>
      <c r="J2833" s="1" t="s">
        <v>25</v>
      </c>
      <c r="K2833" t="s">
        <v>25</v>
      </c>
      <c r="L2833">
        <v>-1.0494830153531503</v>
      </c>
      <c r="M2833" t="str">
        <f t="shared" si="77"/>
        <v>44/40</v>
      </c>
      <c r="N2833" t="str">
        <f t="shared" si="78"/>
        <v>SW</v>
      </c>
      <c r="O2833" s="1" t="s">
        <v>25</v>
      </c>
      <c r="P2833" s="3" t="s">
        <v>25</v>
      </c>
      <c r="Q2833" s="37">
        <v>0.13927664837195824</v>
      </c>
      <c r="R2833" t="str">
        <f t="shared" si="79"/>
        <v>mmol/mol</v>
      </c>
      <c r="S2833" s="13">
        <f t="shared" si="76"/>
        <v>-1.0494830153531503</v>
      </c>
    </row>
    <row r="2834" spans="1:19">
      <c r="A2834" s="18" t="s">
        <v>2828</v>
      </c>
      <c r="B2834" s="1" t="s">
        <v>2928</v>
      </c>
      <c r="C2834" s="1" t="s">
        <v>2985</v>
      </c>
      <c r="D2834" s="1" t="s">
        <v>3629</v>
      </c>
      <c r="E2834" s="1" t="s">
        <v>25</v>
      </c>
      <c r="F2834">
        <v>660</v>
      </c>
      <c r="G2834">
        <v>660</v>
      </c>
      <c r="H2834">
        <v>260.2</v>
      </c>
      <c r="I2834" s="1" t="s">
        <v>1528</v>
      </c>
      <c r="J2834" s="1" t="s">
        <v>25</v>
      </c>
      <c r="K2834" t="s">
        <v>25</v>
      </c>
      <c r="L2834" t="s">
        <v>25</v>
      </c>
      <c r="M2834" t="str">
        <f t="shared" si="77"/>
        <v>Na</v>
      </c>
      <c r="N2834" t="str">
        <f t="shared" si="78"/>
        <v>Na</v>
      </c>
      <c r="O2834" s="1" t="s">
        <v>25</v>
      </c>
      <c r="P2834" s="3" t="s">
        <v>25</v>
      </c>
      <c r="Q2834" s="37" t="s">
        <v>25</v>
      </c>
      <c r="R2834" t="str">
        <f t="shared" si="79"/>
        <v>Na</v>
      </c>
      <c r="S2834" s="13" t="s">
        <v>25</v>
      </c>
    </row>
    <row r="2835" spans="1:19">
      <c r="A2835" s="18" t="s">
        <v>2828</v>
      </c>
      <c r="B2835" s="1" t="s">
        <v>2929</v>
      </c>
      <c r="C2835" s="1" t="s">
        <v>2985</v>
      </c>
      <c r="D2835" s="1" t="s">
        <v>3629</v>
      </c>
      <c r="E2835" s="1" t="s">
        <v>25</v>
      </c>
      <c r="F2835">
        <v>660</v>
      </c>
      <c r="G2835">
        <v>660</v>
      </c>
      <c r="H2835">
        <v>261</v>
      </c>
      <c r="I2835" s="1" t="s">
        <v>1528</v>
      </c>
      <c r="J2835" s="1" t="s">
        <v>25</v>
      </c>
      <c r="K2835" t="s">
        <v>25</v>
      </c>
      <c r="L2835" t="s">
        <v>25</v>
      </c>
      <c r="M2835" t="str">
        <f t="shared" si="77"/>
        <v>Na</v>
      </c>
      <c r="N2835" t="str">
        <f t="shared" si="78"/>
        <v>Na</v>
      </c>
      <c r="O2835" s="1" t="s">
        <v>25</v>
      </c>
      <c r="P2835" s="3" t="s">
        <v>25</v>
      </c>
      <c r="Q2835" s="37" t="s">
        <v>25</v>
      </c>
      <c r="R2835" t="str">
        <f t="shared" si="79"/>
        <v>Na</v>
      </c>
      <c r="S2835" s="13" t="s">
        <v>25</v>
      </c>
    </row>
    <row r="2836" spans="1:19">
      <c r="A2836" s="18" t="s">
        <v>2828</v>
      </c>
      <c r="B2836" s="1" t="s">
        <v>2930</v>
      </c>
      <c r="C2836" s="1" t="s">
        <v>2985</v>
      </c>
      <c r="D2836" s="1" t="s">
        <v>3629</v>
      </c>
      <c r="E2836" s="1" t="s">
        <v>25</v>
      </c>
      <c r="F2836">
        <v>660</v>
      </c>
      <c r="G2836">
        <v>660</v>
      </c>
      <c r="H2836">
        <v>263</v>
      </c>
      <c r="I2836" s="1" t="s">
        <v>1528</v>
      </c>
      <c r="J2836" s="1" t="s">
        <v>25</v>
      </c>
      <c r="K2836" t="s">
        <v>25</v>
      </c>
      <c r="L2836">
        <v>-0.98646627479863169</v>
      </c>
      <c r="M2836" t="str">
        <f t="shared" si="77"/>
        <v>44/40</v>
      </c>
      <c r="N2836" t="str">
        <f t="shared" si="78"/>
        <v>SW</v>
      </c>
      <c r="O2836" s="1" t="s">
        <v>25</v>
      </c>
      <c r="P2836" s="3" t="s">
        <v>25</v>
      </c>
      <c r="Q2836" s="37">
        <v>0.10980849829592396</v>
      </c>
      <c r="R2836" t="str">
        <f t="shared" si="79"/>
        <v>mmol/mol</v>
      </c>
      <c r="S2836" s="13">
        <f t="shared" si="76"/>
        <v>-0.98646627479863169</v>
      </c>
    </row>
    <row r="2837" spans="1:19">
      <c r="A2837" s="18" t="s">
        <v>2828</v>
      </c>
      <c r="B2837" s="1" t="s">
        <v>2931</v>
      </c>
      <c r="C2837" s="1" t="s">
        <v>2985</v>
      </c>
      <c r="D2837" s="1" t="s">
        <v>3629</v>
      </c>
      <c r="E2837" s="1" t="s">
        <v>25</v>
      </c>
      <c r="F2837">
        <v>660</v>
      </c>
      <c r="G2837">
        <v>660</v>
      </c>
      <c r="H2837">
        <v>264</v>
      </c>
      <c r="I2837" s="1" t="s">
        <v>1528</v>
      </c>
      <c r="J2837" s="1" t="s">
        <v>25</v>
      </c>
      <c r="K2837" t="s">
        <v>25</v>
      </c>
      <c r="L2837">
        <v>-1.1544545465609968</v>
      </c>
      <c r="M2837" t="str">
        <f t="shared" si="77"/>
        <v>44/40</v>
      </c>
      <c r="N2837" t="str">
        <f t="shared" si="78"/>
        <v>SW</v>
      </c>
      <c r="O2837" s="1" t="s">
        <v>25</v>
      </c>
      <c r="P2837" s="3" t="s">
        <v>25</v>
      </c>
      <c r="Q2837" s="37">
        <v>0.19206587877486545</v>
      </c>
      <c r="R2837" t="str">
        <f t="shared" si="79"/>
        <v>mmol/mol</v>
      </c>
      <c r="S2837" s="13">
        <f t="shared" si="76"/>
        <v>-1.1544545465609968</v>
      </c>
    </row>
    <row r="2838" spans="1:19">
      <c r="A2838" s="18" t="s">
        <v>2828</v>
      </c>
      <c r="B2838" s="1" t="s">
        <v>2932</v>
      </c>
      <c r="C2838" s="1" t="s">
        <v>2985</v>
      </c>
      <c r="D2838" s="1" t="s">
        <v>3629</v>
      </c>
      <c r="E2838" s="1" t="s">
        <v>25</v>
      </c>
      <c r="F2838">
        <v>660</v>
      </c>
      <c r="G2838">
        <v>660</v>
      </c>
      <c r="H2838">
        <v>264.5</v>
      </c>
      <c r="I2838" s="1" t="s">
        <v>1528</v>
      </c>
      <c r="J2838" s="1" t="s">
        <v>25</v>
      </c>
      <c r="K2838" t="s">
        <v>25</v>
      </c>
      <c r="L2838">
        <v>-1.0896095890826349</v>
      </c>
      <c r="M2838" t="str">
        <f t="shared" si="77"/>
        <v>44/40</v>
      </c>
      <c r="N2838" t="str">
        <f t="shared" si="78"/>
        <v>SW</v>
      </c>
      <c r="O2838" s="1" t="s">
        <v>25</v>
      </c>
      <c r="P2838" s="3" t="s">
        <v>25</v>
      </c>
      <c r="Q2838" s="37">
        <v>0.10079220396670534</v>
      </c>
      <c r="R2838" t="str">
        <f t="shared" si="79"/>
        <v>mmol/mol</v>
      </c>
      <c r="S2838" s="13">
        <f t="shared" si="76"/>
        <v>-1.0896095890826349</v>
      </c>
    </row>
    <row r="2839" spans="1:19">
      <c r="A2839" s="18" t="s">
        <v>2828</v>
      </c>
      <c r="B2839" s="1" t="s">
        <v>2933</v>
      </c>
      <c r="C2839" s="1" t="s">
        <v>2985</v>
      </c>
      <c r="D2839" s="1" t="s">
        <v>3629</v>
      </c>
      <c r="E2839" s="1" t="s">
        <v>25</v>
      </c>
      <c r="F2839">
        <v>660</v>
      </c>
      <c r="G2839">
        <v>660</v>
      </c>
      <c r="H2839">
        <v>265</v>
      </c>
      <c r="I2839" s="1" t="s">
        <v>1528</v>
      </c>
      <c r="J2839" s="1" t="s">
        <v>25</v>
      </c>
      <c r="K2839" t="s">
        <v>25</v>
      </c>
      <c r="L2839" t="s">
        <v>25</v>
      </c>
      <c r="M2839" t="str">
        <f t="shared" si="77"/>
        <v>Na</v>
      </c>
      <c r="N2839" t="str">
        <f t="shared" si="78"/>
        <v>Na</v>
      </c>
      <c r="O2839" s="1" t="s">
        <v>25</v>
      </c>
      <c r="P2839" s="3" t="s">
        <v>25</v>
      </c>
      <c r="Q2839" s="37" t="s">
        <v>25</v>
      </c>
      <c r="R2839" t="str">
        <f t="shared" si="79"/>
        <v>Na</v>
      </c>
      <c r="S2839" s="13" t="s">
        <v>25</v>
      </c>
    </row>
    <row r="2840" spans="1:19">
      <c r="A2840" s="18" t="s">
        <v>2828</v>
      </c>
      <c r="B2840" s="1" t="s">
        <v>2934</v>
      </c>
      <c r="C2840" s="1" t="s">
        <v>2985</v>
      </c>
      <c r="D2840" s="1" t="s">
        <v>3629</v>
      </c>
      <c r="E2840" s="1" t="s">
        <v>25</v>
      </c>
      <c r="F2840">
        <v>660</v>
      </c>
      <c r="G2840">
        <v>660</v>
      </c>
      <c r="H2840">
        <v>266</v>
      </c>
      <c r="I2840" s="1" t="s">
        <v>1528</v>
      </c>
      <c r="J2840" s="1" t="s">
        <v>25</v>
      </c>
      <c r="K2840" t="s">
        <v>25</v>
      </c>
      <c r="L2840">
        <v>-0.97307437068793179</v>
      </c>
      <c r="M2840" t="str">
        <f t="shared" si="77"/>
        <v>44/40</v>
      </c>
      <c r="N2840" t="str">
        <f t="shared" si="78"/>
        <v>SW</v>
      </c>
      <c r="O2840" s="1" t="s">
        <v>25</v>
      </c>
      <c r="P2840" s="3" t="s">
        <v>25</v>
      </c>
      <c r="Q2840" s="37">
        <v>0.11713232425094294</v>
      </c>
      <c r="R2840" t="str">
        <f t="shared" si="79"/>
        <v>mmol/mol</v>
      </c>
      <c r="S2840" s="13">
        <f t="shared" si="76"/>
        <v>-0.97307437068793179</v>
      </c>
    </row>
    <row r="2841" spans="1:19">
      <c r="A2841" s="18" t="s">
        <v>2828</v>
      </c>
      <c r="B2841" s="1" t="s">
        <v>2935</v>
      </c>
      <c r="C2841" s="1" t="s">
        <v>2985</v>
      </c>
      <c r="D2841" s="1" t="s">
        <v>3629</v>
      </c>
      <c r="E2841" s="1" t="s">
        <v>25</v>
      </c>
      <c r="F2841">
        <v>660</v>
      </c>
      <c r="G2841">
        <v>660</v>
      </c>
      <c r="H2841">
        <v>228</v>
      </c>
      <c r="I2841" s="1" t="s">
        <v>1528</v>
      </c>
      <c r="J2841" s="1" t="s">
        <v>25</v>
      </c>
      <c r="K2841" t="s">
        <v>25</v>
      </c>
      <c r="L2841">
        <v>-1.1719991562731691</v>
      </c>
      <c r="M2841" t="str">
        <f t="shared" si="77"/>
        <v>44/40</v>
      </c>
      <c r="N2841" t="str">
        <f t="shared" si="78"/>
        <v>SW</v>
      </c>
      <c r="O2841" s="1" t="s">
        <v>25</v>
      </c>
      <c r="P2841" s="3" t="s">
        <v>25</v>
      </c>
      <c r="Q2841" s="37">
        <v>0.56115724338687922</v>
      </c>
      <c r="R2841" t="str">
        <f t="shared" si="79"/>
        <v>mmol/mol</v>
      </c>
      <c r="S2841" s="13">
        <f t="shared" si="76"/>
        <v>-1.1719991562731691</v>
      </c>
    </row>
    <row r="2842" spans="1:19">
      <c r="A2842" s="18" t="s">
        <v>2828</v>
      </c>
      <c r="B2842" s="1" t="s">
        <v>2936</v>
      </c>
      <c r="C2842" s="1" t="s">
        <v>2985</v>
      </c>
      <c r="D2842" s="1" t="s">
        <v>3629</v>
      </c>
      <c r="E2842" s="1" t="s">
        <v>25</v>
      </c>
      <c r="F2842">
        <v>660</v>
      </c>
      <c r="G2842">
        <v>660</v>
      </c>
      <c r="H2842">
        <v>229</v>
      </c>
      <c r="I2842" s="1" t="s">
        <v>1528</v>
      </c>
      <c r="J2842" s="1" t="s">
        <v>25</v>
      </c>
      <c r="K2842" t="s">
        <v>25</v>
      </c>
      <c r="L2842" t="s">
        <v>25</v>
      </c>
      <c r="M2842" t="str">
        <f t="shared" si="77"/>
        <v>Na</v>
      </c>
      <c r="N2842" t="str">
        <f t="shared" si="78"/>
        <v>Na</v>
      </c>
      <c r="O2842" s="1" t="s">
        <v>25</v>
      </c>
      <c r="P2842" s="3" t="s">
        <v>25</v>
      </c>
      <c r="Q2842" s="37">
        <v>0.73915393234453119</v>
      </c>
      <c r="R2842" t="str">
        <f t="shared" si="79"/>
        <v>mmol/mol</v>
      </c>
      <c r="S2842" s="13" t="s">
        <v>25</v>
      </c>
    </row>
    <row r="2843" spans="1:19">
      <c r="A2843" s="18" t="s">
        <v>2828</v>
      </c>
      <c r="B2843" s="1" t="s">
        <v>2937</v>
      </c>
      <c r="C2843" s="1" t="s">
        <v>2985</v>
      </c>
      <c r="D2843" s="1" t="s">
        <v>3629</v>
      </c>
      <c r="E2843" s="1" t="s">
        <v>25</v>
      </c>
      <c r="F2843">
        <v>660</v>
      </c>
      <c r="G2843">
        <v>660</v>
      </c>
      <c r="H2843">
        <v>0.3</v>
      </c>
      <c r="I2843" s="1" t="s">
        <v>1528</v>
      </c>
      <c r="J2843" s="1" t="s">
        <v>25</v>
      </c>
      <c r="K2843" t="s">
        <v>25</v>
      </c>
      <c r="L2843" t="s">
        <v>25</v>
      </c>
      <c r="M2843" t="str">
        <f t="shared" si="77"/>
        <v>Na</v>
      </c>
      <c r="N2843" t="str">
        <f t="shared" si="78"/>
        <v>Na</v>
      </c>
      <c r="O2843" s="1" t="s">
        <v>25</v>
      </c>
      <c r="P2843" s="3" t="s">
        <v>25</v>
      </c>
      <c r="Q2843" s="37" t="s">
        <v>25</v>
      </c>
      <c r="R2843" t="str">
        <f t="shared" si="79"/>
        <v>Na</v>
      </c>
      <c r="S2843" s="13" t="s">
        <v>25</v>
      </c>
    </row>
    <row r="2844" spans="1:19">
      <c r="A2844" s="18" t="s">
        <v>2828</v>
      </c>
      <c r="B2844" s="1" t="s">
        <v>2938</v>
      </c>
      <c r="C2844" s="1" t="s">
        <v>2985</v>
      </c>
      <c r="D2844" s="1" t="s">
        <v>3629</v>
      </c>
      <c r="E2844" s="1" t="s">
        <v>25</v>
      </c>
      <c r="F2844">
        <v>660</v>
      </c>
      <c r="G2844">
        <v>660</v>
      </c>
      <c r="H2844">
        <v>1</v>
      </c>
      <c r="I2844" s="1" t="s">
        <v>1528</v>
      </c>
      <c r="J2844" s="1" t="s">
        <v>25</v>
      </c>
      <c r="K2844" t="s">
        <v>25</v>
      </c>
      <c r="L2844">
        <v>-0.96021590477647756</v>
      </c>
      <c r="M2844" t="str">
        <f t="shared" si="77"/>
        <v>44/40</v>
      </c>
      <c r="N2844" t="str">
        <f t="shared" si="78"/>
        <v>SW</v>
      </c>
      <c r="O2844" s="1" t="s">
        <v>25</v>
      </c>
      <c r="P2844" s="3" t="s">
        <v>25</v>
      </c>
      <c r="Q2844" s="37">
        <v>0.71785561819205412</v>
      </c>
      <c r="R2844" t="str">
        <f t="shared" si="79"/>
        <v>mmol/mol</v>
      </c>
      <c r="S2844" s="13">
        <f t="shared" si="76"/>
        <v>-0.96021590477647756</v>
      </c>
    </row>
    <row r="2845" spans="1:19">
      <c r="A2845" s="18" t="s">
        <v>2828</v>
      </c>
      <c r="B2845" s="1" t="s">
        <v>2939</v>
      </c>
      <c r="C2845" s="1" t="s">
        <v>2985</v>
      </c>
      <c r="D2845" s="1" t="s">
        <v>3629</v>
      </c>
      <c r="E2845" s="1" t="s">
        <v>25</v>
      </c>
      <c r="F2845">
        <v>660</v>
      </c>
      <c r="G2845">
        <v>660</v>
      </c>
      <c r="H2845">
        <v>2</v>
      </c>
      <c r="I2845" s="1" t="s">
        <v>1528</v>
      </c>
      <c r="J2845" s="1" t="s">
        <v>25</v>
      </c>
      <c r="K2845" t="s">
        <v>25</v>
      </c>
      <c r="L2845">
        <v>-1.00997776004499</v>
      </c>
      <c r="M2845" t="str">
        <f t="shared" si="77"/>
        <v>44/40</v>
      </c>
      <c r="N2845" t="str">
        <f t="shared" si="78"/>
        <v>SW</v>
      </c>
      <c r="O2845" s="1" t="s">
        <v>25</v>
      </c>
      <c r="P2845" s="3" t="s">
        <v>25</v>
      </c>
      <c r="Q2845" s="37">
        <v>0.50438454191660953</v>
      </c>
      <c r="R2845" t="str">
        <f t="shared" si="79"/>
        <v>mmol/mol</v>
      </c>
      <c r="S2845" s="13">
        <f t="shared" si="76"/>
        <v>-1.00997776004499</v>
      </c>
    </row>
    <row r="2846" spans="1:19">
      <c r="A2846" s="18" t="s">
        <v>2828</v>
      </c>
      <c r="B2846" s="1" t="s">
        <v>2940</v>
      </c>
      <c r="C2846" s="1" t="s">
        <v>2985</v>
      </c>
      <c r="D2846" s="1" t="s">
        <v>3629</v>
      </c>
      <c r="E2846" s="1" t="s">
        <v>25</v>
      </c>
      <c r="F2846">
        <v>660</v>
      </c>
      <c r="G2846">
        <v>660</v>
      </c>
      <c r="H2846">
        <v>3</v>
      </c>
      <c r="I2846" s="1" t="s">
        <v>1528</v>
      </c>
      <c r="J2846" s="1" t="s">
        <v>25</v>
      </c>
      <c r="K2846" t="s">
        <v>25</v>
      </c>
      <c r="L2846">
        <v>-0.97749118207674279</v>
      </c>
      <c r="M2846" t="str">
        <f t="shared" si="77"/>
        <v>44/40</v>
      </c>
      <c r="N2846" t="str">
        <f t="shared" si="78"/>
        <v>SW</v>
      </c>
      <c r="O2846" s="1" t="s">
        <v>25</v>
      </c>
      <c r="P2846" s="3" t="s">
        <v>25</v>
      </c>
      <c r="Q2846" s="37">
        <v>0.20669260469731079</v>
      </c>
      <c r="R2846" t="str">
        <f t="shared" si="79"/>
        <v>mmol/mol</v>
      </c>
      <c r="S2846" s="13">
        <f t="shared" si="76"/>
        <v>-0.97749118207674279</v>
      </c>
    </row>
    <row r="2847" spans="1:19">
      <c r="A2847" s="18" t="s">
        <v>2828</v>
      </c>
      <c r="B2847" s="1" t="s">
        <v>2941</v>
      </c>
      <c r="C2847" s="1" t="s">
        <v>2985</v>
      </c>
      <c r="D2847" s="1" t="s">
        <v>3629</v>
      </c>
      <c r="E2847" s="1" t="s">
        <v>25</v>
      </c>
      <c r="F2847">
        <v>660</v>
      </c>
      <c r="G2847">
        <v>660</v>
      </c>
      <c r="H2847">
        <v>4</v>
      </c>
      <c r="I2847" s="1" t="s">
        <v>1528</v>
      </c>
      <c r="J2847" s="1" t="s">
        <v>25</v>
      </c>
      <c r="K2847" t="s">
        <v>25</v>
      </c>
      <c r="L2847" t="s">
        <v>25</v>
      </c>
      <c r="M2847" t="str">
        <f t="shared" si="77"/>
        <v>Na</v>
      </c>
      <c r="N2847" t="str">
        <f t="shared" si="78"/>
        <v>Na</v>
      </c>
      <c r="O2847" s="1" t="s">
        <v>25</v>
      </c>
      <c r="P2847" s="3" t="s">
        <v>25</v>
      </c>
      <c r="Q2847" s="37" t="s">
        <v>25</v>
      </c>
      <c r="R2847" t="str">
        <f t="shared" si="79"/>
        <v>Na</v>
      </c>
      <c r="S2847" s="13" t="s">
        <v>25</v>
      </c>
    </row>
    <row r="2848" spans="1:19">
      <c r="A2848" s="18" t="s">
        <v>2828</v>
      </c>
      <c r="B2848" s="1" t="s">
        <v>2942</v>
      </c>
      <c r="C2848" s="1" t="s">
        <v>2985</v>
      </c>
      <c r="D2848" s="1" t="s">
        <v>3629</v>
      </c>
      <c r="E2848" s="1" t="s">
        <v>25</v>
      </c>
      <c r="F2848">
        <v>660</v>
      </c>
      <c r="G2848">
        <v>660</v>
      </c>
      <c r="H2848">
        <v>5</v>
      </c>
      <c r="I2848" s="1" t="s">
        <v>1528</v>
      </c>
      <c r="J2848" s="1" t="s">
        <v>25</v>
      </c>
      <c r="K2848" t="s">
        <v>25</v>
      </c>
      <c r="L2848" t="s">
        <v>25</v>
      </c>
      <c r="M2848" t="str">
        <f t="shared" si="77"/>
        <v>Na</v>
      </c>
      <c r="N2848" t="str">
        <f t="shared" si="78"/>
        <v>Na</v>
      </c>
      <c r="O2848" s="1" t="s">
        <v>25</v>
      </c>
      <c r="P2848" s="3" t="s">
        <v>25</v>
      </c>
      <c r="Q2848" s="37" t="s">
        <v>25</v>
      </c>
      <c r="R2848" t="str">
        <f t="shared" si="79"/>
        <v>Na</v>
      </c>
      <c r="S2848" s="13" t="s">
        <v>25</v>
      </c>
    </row>
    <row r="2849" spans="1:19">
      <c r="A2849" s="18" t="s">
        <v>2828</v>
      </c>
      <c r="B2849" s="1" t="s">
        <v>2943</v>
      </c>
      <c r="C2849" s="1" t="s">
        <v>2985</v>
      </c>
      <c r="D2849" s="1" t="s">
        <v>3629</v>
      </c>
      <c r="E2849" s="1" t="s">
        <v>25</v>
      </c>
      <c r="F2849">
        <v>660</v>
      </c>
      <c r="G2849">
        <v>660</v>
      </c>
      <c r="H2849">
        <v>7</v>
      </c>
      <c r="I2849" s="1" t="s">
        <v>1528</v>
      </c>
      <c r="J2849" s="1" t="s">
        <v>25</v>
      </c>
      <c r="K2849" t="s">
        <v>25</v>
      </c>
      <c r="L2849">
        <v>-1.0315025935256905</v>
      </c>
      <c r="M2849" t="str">
        <f t="shared" si="77"/>
        <v>44/40</v>
      </c>
      <c r="N2849" t="str">
        <f t="shared" si="78"/>
        <v>SW</v>
      </c>
      <c r="O2849" s="1" t="s">
        <v>25</v>
      </c>
      <c r="P2849" s="3" t="s">
        <v>25</v>
      </c>
      <c r="Q2849" s="37">
        <v>0.22426029968110059</v>
      </c>
      <c r="R2849" t="str">
        <f t="shared" si="79"/>
        <v>mmol/mol</v>
      </c>
      <c r="S2849" s="13">
        <f t="shared" si="76"/>
        <v>-1.0315025935256905</v>
      </c>
    </row>
    <row r="2850" spans="1:19">
      <c r="A2850" s="18" t="s">
        <v>2828</v>
      </c>
      <c r="B2850" s="1" t="s">
        <v>2944</v>
      </c>
      <c r="C2850" s="1" t="s">
        <v>2985</v>
      </c>
      <c r="D2850" s="1" t="s">
        <v>3629</v>
      </c>
      <c r="E2850" s="1" t="s">
        <v>25</v>
      </c>
      <c r="F2850">
        <v>660</v>
      </c>
      <c r="G2850">
        <v>660</v>
      </c>
      <c r="H2850">
        <v>8</v>
      </c>
      <c r="I2850" s="1" t="s">
        <v>1528</v>
      </c>
      <c r="J2850" s="1" t="s">
        <v>25</v>
      </c>
      <c r="K2850" t="s">
        <v>25</v>
      </c>
      <c r="L2850">
        <v>-1.2582789050162035</v>
      </c>
      <c r="M2850" t="str">
        <f t="shared" si="77"/>
        <v>44/40</v>
      </c>
      <c r="N2850" t="str">
        <f t="shared" si="78"/>
        <v>SW</v>
      </c>
      <c r="O2850" s="1" t="s">
        <v>25</v>
      </c>
      <c r="P2850" s="3" t="s">
        <v>25</v>
      </c>
      <c r="Q2850" s="37">
        <v>0.14002441115811987</v>
      </c>
      <c r="R2850" t="str">
        <f t="shared" si="79"/>
        <v>mmol/mol</v>
      </c>
      <c r="S2850" s="13">
        <f t="shared" si="76"/>
        <v>-1.2582789050162035</v>
      </c>
    </row>
    <row r="2851" spans="1:19">
      <c r="A2851" s="18" t="s">
        <v>2828</v>
      </c>
      <c r="B2851" s="1" t="s">
        <v>2945</v>
      </c>
      <c r="C2851" s="1" t="s">
        <v>2985</v>
      </c>
      <c r="D2851" s="1" t="s">
        <v>3629</v>
      </c>
      <c r="E2851" s="1" t="s">
        <v>25</v>
      </c>
      <c r="F2851">
        <v>660</v>
      </c>
      <c r="G2851">
        <v>660</v>
      </c>
      <c r="H2851">
        <v>9</v>
      </c>
      <c r="I2851" s="1" t="s">
        <v>1528</v>
      </c>
      <c r="J2851" s="1" t="s">
        <v>25</v>
      </c>
      <c r="K2851" t="s">
        <v>25</v>
      </c>
      <c r="L2851">
        <v>-0.99035239963027866</v>
      </c>
      <c r="M2851" t="str">
        <f t="shared" si="77"/>
        <v>44/40</v>
      </c>
      <c r="N2851" t="str">
        <f t="shared" si="78"/>
        <v>SW</v>
      </c>
      <c r="O2851" s="1" t="s">
        <v>25</v>
      </c>
      <c r="P2851" s="3" t="s">
        <v>25</v>
      </c>
      <c r="Q2851" s="37">
        <v>0.13597722659499875</v>
      </c>
      <c r="R2851" t="str">
        <f t="shared" si="79"/>
        <v>mmol/mol</v>
      </c>
      <c r="S2851" s="13">
        <f t="shared" si="76"/>
        <v>-0.99035239963027866</v>
      </c>
    </row>
    <row r="2852" spans="1:19">
      <c r="A2852" s="18" t="s">
        <v>2828</v>
      </c>
      <c r="B2852" s="1" t="s">
        <v>2946</v>
      </c>
      <c r="C2852" s="1" t="s">
        <v>2985</v>
      </c>
      <c r="D2852" s="1" t="s">
        <v>3629</v>
      </c>
      <c r="E2852" s="1" t="s">
        <v>25</v>
      </c>
      <c r="F2852">
        <v>660</v>
      </c>
      <c r="G2852">
        <v>660</v>
      </c>
      <c r="H2852">
        <v>10</v>
      </c>
      <c r="I2852" s="1" t="s">
        <v>1528</v>
      </c>
      <c r="J2852" s="1" t="s">
        <v>25</v>
      </c>
      <c r="K2852" t="s">
        <v>25</v>
      </c>
      <c r="L2852">
        <v>-0.95428036057392374</v>
      </c>
      <c r="M2852" t="str">
        <f t="shared" si="77"/>
        <v>44/40</v>
      </c>
      <c r="N2852" t="str">
        <f t="shared" si="78"/>
        <v>SW</v>
      </c>
      <c r="O2852" s="1" t="s">
        <v>25</v>
      </c>
      <c r="P2852" s="3" t="s">
        <v>25</v>
      </c>
      <c r="Q2852" s="37">
        <v>0.17798312889781218</v>
      </c>
      <c r="R2852" t="str">
        <f t="shared" si="79"/>
        <v>mmol/mol</v>
      </c>
      <c r="S2852" s="13">
        <f t="shared" si="76"/>
        <v>-0.95428036057392374</v>
      </c>
    </row>
    <row r="2853" spans="1:19">
      <c r="A2853" s="18" t="s">
        <v>2828</v>
      </c>
      <c r="B2853" s="1" t="s">
        <v>2947</v>
      </c>
      <c r="C2853" s="1" t="s">
        <v>2985</v>
      </c>
      <c r="D2853" s="1" t="s">
        <v>3629</v>
      </c>
      <c r="E2853" s="1" t="s">
        <v>25</v>
      </c>
      <c r="F2853">
        <v>660</v>
      </c>
      <c r="G2853">
        <v>660</v>
      </c>
      <c r="H2853">
        <v>11</v>
      </c>
      <c r="I2853" s="1" t="s">
        <v>1528</v>
      </c>
      <c r="J2853" s="1" t="s">
        <v>25</v>
      </c>
      <c r="K2853" t="s">
        <v>25</v>
      </c>
      <c r="L2853">
        <v>-1.0405121390504894</v>
      </c>
      <c r="M2853" t="str">
        <f t="shared" si="77"/>
        <v>44/40</v>
      </c>
      <c r="N2853" t="str">
        <f t="shared" si="78"/>
        <v>SW</v>
      </c>
      <c r="O2853" s="1" t="s">
        <v>25</v>
      </c>
      <c r="P2853" s="3" t="s">
        <v>25</v>
      </c>
      <c r="Q2853" s="37">
        <v>0.17978966104247998</v>
      </c>
      <c r="R2853" t="str">
        <f t="shared" si="79"/>
        <v>mmol/mol</v>
      </c>
      <c r="S2853" s="13">
        <f t="shared" si="76"/>
        <v>-1.0405121390504894</v>
      </c>
    </row>
    <row r="2854" spans="1:19">
      <c r="A2854" s="18" t="s">
        <v>2828</v>
      </c>
      <c r="B2854" s="1" t="s">
        <v>2948</v>
      </c>
      <c r="C2854" s="1" t="s">
        <v>2985</v>
      </c>
      <c r="D2854" s="1" t="s">
        <v>3629</v>
      </c>
      <c r="E2854" s="1" t="s">
        <v>25</v>
      </c>
      <c r="F2854">
        <v>660</v>
      </c>
      <c r="G2854">
        <v>660</v>
      </c>
      <c r="H2854">
        <v>12.5</v>
      </c>
      <c r="I2854" s="1" t="s">
        <v>1528</v>
      </c>
      <c r="J2854" s="1" t="s">
        <v>25</v>
      </c>
      <c r="K2854" t="s">
        <v>25</v>
      </c>
      <c r="L2854">
        <v>-0.8909281879297416</v>
      </c>
      <c r="M2854" t="str">
        <f t="shared" si="77"/>
        <v>44/40</v>
      </c>
      <c r="N2854" t="str">
        <f t="shared" si="78"/>
        <v>SW</v>
      </c>
      <c r="O2854" s="1" t="s">
        <v>25</v>
      </c>
      <c r="P2854" s="3" t="s">
        <v>25</v>
      </c>
      <c r="Q2854" s="37">
        <v>0.28688296402186853</v>
      </c>
      <c r="R2854" t="str">
        <f t="shared" si="79"/>
        <v>mmol/mol</v>
      </c>
      <c r="S2854" s="13">
        <f t="shared" si="76"/>
        <v>-0.8909281879297416</v>
      </c>
    </row>
    <row r="2855" spans="1:19">
      <c r="A2855" s="18" t="s">
        <v>2828</v>
      </c>
      <c r="B2855" s="1" t="s">
        <v>2949</v>
      </c>
      <c r="C2855" s="1" t="s">
        <v>2985</v>
      </c>
      <c r="D2855" s="1" t="s">
        <v>3629</v>
      </c>
      <c r="E2855" s="1" t="s">
        <v>25</v>
      </c>
      <c r="F2855">
        <v>660</v>
      </c>
      <c r="G2855">
        <v>660</v>
      </c>
      <c r="H2855">
        <v>13</v>
      </c>
      <c r="I2855" s="1" t="s">
        <v>1528</v>
      </c>
      <c r="J2855" s="1" t="s">
        <v>25</v>
      </c>
      <c r="K2855" t="s">
        <v>25</v>
      </c>
      <c r="L2855">
        <v>-0.96639068554806984</v>
      </c>
      <c r="M2855" t="str">
        <f t="shared" si="77"/>
        <v>44/40</v>
      </c>
      <c r="N2855" t="str">
        <f t="shared" si="78"/>
        <v>SW</v>
      </c>
      <c r="O2855" s="1" t="s">
        <v>25</v>
      </c>
      <c r="P2855" s="3" t="s">
        <v>25</v>
      </c>
      <c r="Q2855" s="37">
        <v>0.25485310564703761</v>
      </c>
      <c r="R2855" t="str">
        <f t="shared" si="79"/>
        <v>mmol/mol</v>
      </c>
      <c r="S2855" s="13">
        <f t="shared" si="76"/>
        <v>-0.96639068554806984</v>
      </c>
    </row>
    <row r="2856" spans="1:19">
      <c r="A2856" s="18" t="s">
        <v>2828</v>
      </c>
      <c r="B2856" s="1" t="s">
        <v>2950</v>
      </c>
      <c r="C2856" s="1" t="s">
        <v>2985</v>
      </c>
      <c r="D2856" s="1" t="s">
        <v>3629</v>
      </c>
      <c r="E2856" s="1" t="s">
        <v>25</v>
      </c>
      <c r="F2856">
        <v>660</v>
      </c>
      <c r="G2856">
        <v>660</v>
      </c>
      <c r="H2856">
        <v>14</v>
      </c>
      <c r="I2856" s="1" t="s">
        <v>1528</v>
      </c>
      <c r="J2856" s="1" t="s">
        <v>25</v>
      </c>
      <c r="K2856" t="s">
        <v>25</v>
      </c>
      <c r="L2856">
        <v>-0.94874562077040936</v>
      </c>
      <c r="M2856" t="str">
        <f t="shared" si="77"/>
        <v>44/40</v>
      </c>
      <c r="N2856" t="str">
        <f t="shared" si="78"/>
        <v>SW</v>
      </c>
      <c r="O2856" s="1" t="s">
        <v>25</v>
      </c>
      <c r="P2856" s="3" t="s">
        <v>25</v>
      </c>
      <c r="Q2856" s="37">
        <v>0.22983408119526361</v>
      </c>
      <c r="R2856" t="str">
        <f t="shared" si="79"/>
        <v>mmol/mol</v>
      </c>
      <c r="S2856" s="13">
        <f t="shared" si="76"/>
        <v>-0.94874562077040936</v>
      </c>
    </row>
    <row r="2857" spans="1:19">
      <c r="A2857" s="18" t="s">
        <v>2828</v>
      </c>
      <c r="B2857" s="1" t="s">
        <v>2951</v>
      </c>
      <c r="C2857" s="1" t="s">
        <v>2985</v>
      </c>
      <c r="D2857" s="1" t="s">
        <v>3629</v>
      </c>
      <c r="E2857" s="1" t="s">
        <v>25</v>
      </c>
      <c r="F2857">
        <v>660</v>
      </c>
      <c r="G2857">
        <v>660</v>
      </c>
      <c r="H2857">
        <v>15</v>
      </c>
      <c r="I2857" s="1" t="s">
        <v>1528</v>
      </c>
      <c r="J2857" s="1" t="s">
        <v>25</v>
      </c>
      <c r="K2857" t="s">
        <v>25</v>
      </c>
      <c r="L2857">
        <v>-0.90748631462456275</v>
      </c>
      <c r="M2857" t="str">
        <f t="shared" si="77"/>
        <v>44/40</v>
      </c>
      <c r="N2857" t="str">
        <f t="shared" si="78"/>
        <v>SW</v>
      </c>
      <c r="O2857" s="1" t="s">
        <v>25</v>
      </c>
      <c r="P2857" s="3" t="s">
        <v>25</v>
      </c>
      <c r="Q2857" s="37">
        <v>0.22853402267192488</v>
      </c>
      <c r="R2857" t="str">
        <f t="shared" si="79"/>
        <v>mmol/mol</v>
      </c>
      <c r="S2857" s="13">
        <f t="shared" si="76"/>
        <v>-0.90748631462456275</v>
      </c>
    </row>
    <row r="2858" spans="1:19">
      <c r="A2858" s="18" t="s">
        <v>2828</v>
      </c>
      <c r="B2858" s="1" t="s">
        <v>2952</v>
      </c>
      <c r="C2858" s="1" t="s">
        <v>2985</v>
      </c>
      <c r="D2858" s="1" t="s">
        <v>3629</v>
      </c>
      <c r="E2858" s="1" t="s">
        <v>25</v>
      </c>
      <c r="F2858">
        <v>660</v>
      </c>
      <c r="G2858">
        <v>660</v>
      </c>
      <c r="H2858">
        <v>17</v>
      </c>
      <c r="I2858" s="1" t="s">
        <v>1528</v>
      </c>
      <c r="J2858" s="1" t="s">
        <v>25</v>
      </c>
      <c r="K2858" t="s">
        <v>25</v>
      </c>
      <c r="L2858">
        <v>-1.0378021378704498</v>
      </c>
      <c r="M2858" t="str">
        <f t="shared" si="77"/>
        <v>44/40</v>
      </c>
      <c r="N2858" t="str">
        <f t="shared" si="78"/>
        <v>SW</v>
      </c>
      <c r="O2858" s="1" t="s">
        <v>25</v>
      </c>
      <c r="P2858" s="3" t="s">
        <v>25</v>
      </c>
      <c r="Q2858" s="37">
        <v>0.23650614592983218</v>
      </c>
      <c r="R2858" t="str">
        <f t="shared" si="79"/>
        <v>mmol/mol</v>
      </c>
      <c r="S2858" s="13">
        <f t="shared" si="76"/>
        <v>-1.0378021378704498</v>
      </c>
    </row>
    <row r="2859" spans="1:19">
      <c r="A2859" s="18" t="s">
        <v>2828</v>
      </c>
      <c r="B2859" s="1" t="s">
        <v>2953</v>
      </c>
      <c r="C2859" s="1" t="s">
        <v>2985</v>
      </c>
      <c r="D2859" s="1" t="s">
        <v>3629</v>
      </c>
      <c r="E2859" s="1" t="s">
        <v>25</v>
      </c>
      <c r="F2859">
        <v>660</v>
      </c>
      <c r="G2859">
        <v>660</v>
      </c>
      <c r="H2859">
        <v>18</v>
      </c>
      <c r="I2859" s="1" t="s">
        <v>1528</v>
      </c>
      <c r="J2859" s="1" t="s">
        <v>25</v>
      </c>
      <c r="K2859" t="s">
        <v>25</v>
      </c>
      <c r="L2859">
        <v>-0.8459464640239901</v>
      </c>
      <c r="M2859" t="str">
        <f t="shared" si="77"/>
        <v>44/40</v>
      </c>
      <c r="N2859" t="str">
        <f t="shared" si="78"/>
        <v>SW</v>
      </c>
      <c r="O2859" s="1" t="s">
        <v>25</v>
      </c>
      <c r="P2859" s="3" t="s">
        <v>25</v>
      </c>
      <c r="Q2859" s="37">
        <v>0.14884900593597827</v>
      </c>
      <c r="R2859" t="str">
        <f t="shared" si="79"/>
        <v>mmol/mol</v>
      </c>
      <c r="S2859" s="13">
        <f t="shared" si="76"/>
        <v>-0.8459464640239901</v>
      </c>
    </row>
    <row r="2860" spans="1:19">
      <c r="A2860" s="18" t="s">
        <v>2828</v>
      </c>
      <c r="B2860" s="1" t="s">
        <v>2954</v>
      </c>
      <c r="C2860" s="1" t="s">
        <v>2985</v>
      </c>
      <c r="D2860" s="1" t="s">
        <v>3629</v>
      </c>
      <c r="E2860" s="1" t="s">
        <v>25</v>
      </c>
      <c r="F2860">
        <v>660</v>
      </c>
      <c r="G2860">
        <v>660</v>
      </c>
      <c r="H2860">
        <v>19</v>
      </c>
      <c r="I2860" s="1" t="s">
        <v>1528</v>
      </c>
      <c r="J2860" s="1" t="s">
        <v>25</v>
      </c>
      <c r="K2860" t="s">
        <v>25</v>
      </c>
      <c r="L2860">
        <v>-1.0262029845391902</v>
      </c>
      <c r="M2860" t="str">
        <f t="shared" si="77"/>
        <v>44/40</v>
      </c>
      <c r="N2860" t="str">
        <f t="shared" si="78"/>
        <v>SW</v>
      </c>
      <c r="O2860" s="1" t="s">
        <v>25</v>
      </c>
      <c r="P2860" s="3" t="s">
        <v>25</v>
      </c>
      <c r="Q2860" s="37">
        <v>0.14766791008140176</v>
      </c>
      <c r="R2860" t="str">
        <f t="shared" si="79"/>
        <v>mmol/mol</v>
      </c>
      <c r="S2860" s="13">
        <f t="shared" ref="S2860:S2923" si="80">IF(NOT(N2860="SW"),L2860-1.88,L2860)</f>
        <v>-1.0262029845391902</v>
      </c>
    </row>
    <row r="2861" spans="1:19">
      <c r="A2861" s="18" t="s">
        <v>2828</v>
      </c>
      <c r="B2861" s="1" t="s">
        <v>2955</v>
      </c>
      <c r="C2861" s="1" t="s">
        <v>2985</v>
      </c>
      <c r="D2861" s="1" t="s">
        <v>3629</v>
      </c>
      <c r="E2861" s="1" t="s">
        <v>25</v>
      </c>
      <c r="F2861">
        <v>660</v>
      </c>
      <c r="G2861">
        <v>660</v>
      </c>
      <c r="H2861">
        <v>21</v>
      </c>
      <c r="I2861" s="1" t="s">
        <v>1528</v>
      </c>
      <c r="J2861" s="1" t="s">
        <v>25</v>
      </c>
      <c r="K2861" t="s">
        <v>25</v>
      </c>
      <c r="L2861">
        <v>-1.0199657726991702</v>
      </c>
      <c r="M2861" t="str">
        <f t="shared" si="77"/>
        <v>44/40</v>
      </c>
      <c r="N2861" t="str">
        <f t="shared" si="78"/>
        <v>SW</v>
      </c>
      <c r="O2861" s="1" t="s">
        <v>25</v>
      </c>
      <c r="P2861" s="3" t="s">
        <v>25</v>
      </c>
      <c r="Q2861" s="37">
        <v>0.25329379556287962</v>
      </c>
      <c r="R2861" t="str">
        <f t="shared" si="79"/>
        <v>mmol/mol</v>
      </c>
      <c r="S2861" s="13">
        <f t="shared" si="80"/>
        <v>-1.0199657726991702</v>
      </c>
    </row>
    <row r="2862" spans="1:19">
      <c r="A2862" s="18" t="s">
        <v>2828</v>
      </c>
      <c r="B2862" s="1" t="s">
        <v>2956</v>
      </c>
      <c r="C2862" s="1" t="s">
        <v>2985</v>
      </c>
      <c r="D2862" s="1" t="s">
        <v>3629</v>
      </c>
      <c r="E2862" s="1" t="s">
        <v>25</v>
      </c>
      <c r="F2862">
        <v>660</v>
      </c>
      <c r="G2862">
        <v>660</v>
      </c>
      <c r="H2862">
        <v>22</v>
      </c>
      <c r="I2862" s="1" t="s">
        <v>1528</v>
      </c>
      <c r="J2862" s="1" t="s">
        <v>25</v>
      </c>
      <c r="K2862" t="s">
        <v>25</v>
      </c>
      <c r="L2862">
        <v>-0.95683617399288645</v>
      </c>
      <c r="M2862" t="str">
        <f t="shared" si="77"/>
        <v>44/40</v>
      </c>
      <c r="N2862" t="str">
        <f t="shared" si="78"/>
        <v>SW</v>
      </c>
      <c r="O2862" s="1" t="s">
        <v>25</v>
      </c>
      <c r="P2862" s="3" t="s">
        <v>25</v>
      </c>
      <c r="Q2862" s="37">
        <v>0.17739363367968231</v>
      </c>
      <c r="R2862" t="str">
        <f t="shared" si="79"/>
        <v>mmol/mol</v>
      </c>
      <c r="S2862" s="13">
        <f t="shared" si="80"/>
        <v>-0.95683617399288645</v>
      </c>
    </row>
    <row r="2863" spans="1:19">
      <c r="A2863" s="18" t="s">
        <v>2828</v>
      </c>
      <c r="B2863" s="1" t="s">
        <v>2957</v>
      </c>
      <c r="C2863" s="1" t="s">
        <v>2985</v>
      </c>
      <c r="D2863" s="1" t="s">
        <v>3629</v>
      </c>
      <c r="E2863" s="1" t="s">
        <v>25</v>
      </c>
      <c r="F2863">
        <v>660</v>
      </c>
      <c r="G2863">
        <v>660</v>
      </c>
      <c r="H2863">
        <v>23</v>
      </c>
      <c r="I2863" s="1" t="s">
        <v>1528</v>
      </c>
      <c r="J2863" s="1" t="s">
        <v>25</v>
      </c>
      <c r="K2863" t="s">
        <v>25</v>
      </c>
      <c r="L2863">
        <v>-0.84813491752313408</v>
      </c>
      <c r="M2863" t="str">
        <f t="shared" si="77"/>
        <v>44/40</v>
      </c>
      <c r="N2863" t="str">
        <f t="shared" si="78"/>
        <v>SW</v>
      </c>
      <c r="O2863" s="1" t="s">
        <v>25</v>
      </c>
      <c r="P2863" s="3" t="s">
        <v>25</v>
      </c>
      <c r="Q2863" s="37">
        <v>0.10207211308355266</v>
      </c>
      <c r="R2863" t="str">
        <f t="shared" si="79"/>
        <v>mmol/mol</v>
      </c>
      <c r="S2863" s="13">
        <f t="shared" si="80"/>
        <v>-0.84813491752313408</v>
      </c>
    </row>
    <row r="2864" spans="1:19">
      <c r="A2864" s="18" t="s">
        <v>2828</v>
      </c>
      <c r="B2864" s="1" t="s">
        <v>2958</v>
      </c>
      <c r="C2864" s="1" t="s">
        <v>2985</v>
      </c>
      <c r="D2864" s="1" t="s">
        <v>3629</v>
      </c>
      <c r="E2864" s="1" t="s">
        <v>25</v>
      </c>
      <c r="F2864">
        <v>660</v>
      </c>
      <c r="G2864">
        <v>660</v>
      </c>
      <c r="H2864">
        <v>24</v>
      </c>
      <c r="I2864" s="1" t="s">
        <v>1528</v>
      </c>
      <c r="J2864" s="1" t="s">
        <v>25</v>
      </c>
      <c r="K2864" t="s">
        <v>25</v>
      </c>
      <c r="L2864">
        <v>-0.96837944886070515</v>
      </c>
      <c r="M2864" t="str">
        <f t="shared" ref="M2864:M2927" si="81">IF(L2864="Na","Na","44/40")</f>
        <v>44/40</v>
      </c>
      <c r="N2864" t="str">
        <f t="shared" ref="N2864:N2927" si="82">IF(M2864="Na","Na","SW")</f>
        <v>SW</v>
      </c>
      <c r="O2864" s="1" t="s">
        <v>25</v>
      </c>
      <c r="P2864" s="3" t="s">
        <v>25</v>
      </c>
      <c r="Q2864" s="37">
        <v>0.12921791488976581</v>
      </c>
      <c r="R2864" t="str">
        <f t="shared" ref="R2864:R2927" si="83">IF(Q2864="Na","Na","mmol/mol")</f>
        <v>mmol/mol</v>
      </c>
      <c r="S2864" s="13">
        <f t="shared" si="80"/>
        <v>-0.96837944886070515</v>
      </c>
    </row>
    <row r="2865" spans="1:19">
      <c r="A2865" s="18" t="s">
        <v>2828</v>
      </c>
      <c r="B2865" s="1" t="s">
        <v>2959</v>
      </c>
      <c r="C2865" s="1" t="s">
        <v>2985</v>
      </c>
      <c r="D2865" s="1" t="s">
        <v>3629</v>
      </c>
      <c r="E2865" s="1" t="s">
        <v>25</v>
      </c>
      <c r="F2865">
        <v>660</v>
      </c>
      <c r="G2865">
        <v>660</v>
      </c>
      <c r="H2865">
        <v>25</v>
      </c>
      <c r="I2865" s="1" t="s">
        <v>1528</v>
      </c>
      <c r="J2865" s="1" t="s">
        <v>25</v>
      </c>
      <c r="K2865" t="s">
        <v>25</v>
      </c>
      <c r="L2865">
        <v>-1.002087350635128</v>
      </c>
      <c r="M2865" t="str">
        <f t="shared" si="81"/>
        <v>44/40</v>
      </c>
      <c r="N2865" t="str">
        <f t="shared" si="82"/>
        <v>SW</v>
      </c>
      <c r="O2865" s="1" t="s">
        <v>25</v>
      </c>
      <c r="P2865" s="3" t="s">
        <v>25</v>
      </c>
      <c r="Q2865" s="37">
        <v>0.23030862013984285</v>
      </c>
      <c r="R2865" t="str">
        <f t="shared" si="83"/>
        <v>mmol/mol</v>
      </c>
      <c r="S2865" s="13">
        <f t="shared" si="80"/>
        <v>-1.002087350635128</v>
      </c>
    </row>
    <row r="2866" spans="1:19">
      <c r="A2866" s="18" t="s">
        <v>2828</v>
      </c>
      <c r="B2866" s="1" t="s">
        <v>2960</v>
      </c>
      <c r="C2866" s="1" t="s">
        <v>2985</v>
      </c>
      <c r="D2866" s="1" t="s">
        <v>3629</v>
      </c>
      <c r="E2866" s="1" t="s">
        <v>25</v>
      </c>
      <c r="F2866">
        <v>660</v>
      </c>
      <c r="G2866">
        <v>660</v>
      </c>
      <c r="H2866">
        <v>27</v>
      </c>
      <c r="I2866" s="1" t="s">
        <v>1528</v>
      </c>
      <c r="J2866" s="1" t="s">
        <v>25</v>
      </c>
      <c r="K2866" t="s">
        <v>25</v>
      </c>
      <c r="L2866">
        <v>-1.0162538669003713</v>
      </c>
      <c r="M2866" t="str">
        <f t="shared" si="81"/>
        <v>44/40</v>
      </c>
      <c r="N2866" t="str">
        <f t="shared" si="82"/>
        <v>SW</v>
      </c>
      <c r="O2866" s="1" t="s">
        <v>25</v>
      </c>
      <c r="P2866" s="3" t="s">
        <v>25</v>
      </c>
      <c r="Q2866" s="37">
        <v>0.13304010376669992</v>
      </c>
      <c r="R2866" t="str">
        <f t="shared" si="83"/>
        <v>mmol/mol</v>
      </c>
      <c r="S2866" s="13">
        <f t="shared" si="80"/>
        <v>-1.0162538669003713</v>
      </c>
    </row>
    <row r="2867" spans="1:19">
      <c r="A2867" s="18" t="s">
        <v>2828</v>
      </c>
      <c r="B2867" s="1" t="s">
        <v>2961</v>
      </c>
      <c r="C2867" s="1" t="s">
        <v>2985</v>
      </c>
      <c r="D2867" s="1" t="s">
        <v>3629</v>
      </c>
      <c r="E2867" s="1" t="s">
        <v>25</v>
      </c>
      <c r="F2867">
        <v>660</v>
      </c>
      <c r="G2867">
        <v>660</v>
      </c>
      <c r="H2867">
        <v>28</v>
      </c>
      <c r="I2867" s="1" t="s">
        <v>1528</v>
      </c>
      <c r="J2867" s="1" t="s">
        <v>25</v>
      </c>
      <c r="K2867" t="s">
        <v>25</v>
      </c>
      <c r="L2867">
        <v>-0.9977929021308436</v>
      </c>
      <c r="M2867" t="str">
        <f t="shared" si="81"/>
        <v>44/40</v>
      </c>
      <c r="N2867" t="str">
        <f t="shared" si="82"/>
        <v>SW</v>
      </c>
      <c r="O2867" s="1" t="s">
        <v>25</v>
      </c>
      <c r="P2867" s="3" t="s">
        <v>25</v>
      </c>
      <c r="Q2867" s="37">
        <v>0.16483021291965813</v>
      </c>
      <c r="R2867" t="str">
        <f t="shared" si="83"/>
        <v>mmol/mol</v>
      </c>
      <c r="S2867" s="13">
        <f t="shared" si="80"/>
        <v>-0.9977929021308436</v>
      </c>
    </row>
    <row r="2868" spans="1:19">
      <c r="A2868" s="18" t="s">
        <v>2828</v>
      </c>
      <c r="B2868" s="1" t="s">
        <v>2962</v>
      </c>
      <c r="C2868" s="1" t="s">
        <v>2985</v>
      </c>
      <c r="D2868" s="1" t="s">
        <v>3629</v>
      </c>
      <c r="E2868" s="1" t="s">
        <v>25</v>
      </c>
      <c r="F2868">
        <v>660</v>
      </c>
      <c r="G2868">
        <v>660</v>
      </c>
      <c r="H2868">
        <v>29</v>
      </c>
      <c r="I2868" s="1" t="s">
        <v>1528</v>
      </c>
      <c r="J2868" s="1" t="s">
        <v>25</v>
      </c>
      <c r="K2868" t="s">
        <v>25</v>
      </c>
      <c r="L2868">
        <v>-1.1366266035127914</v>
      </c>
      <c r="M2868" t="str">
        <f t="shared" si="81"/>
        <v>44/40</v>
      </c>
      <c r="N2868" t="str">
        <f t="shared" si="82"/>
        <v>SW</v>
      </c>
      <c r="O2868" s="1" t="s">
        <v>25</v>
      </c>
      <c r="P2868" s="3" t="s">
        <v>25</v>
      </c>
      <c r="Q2868" s="37">
        <v>9.667997485988844E-2</v>
      </c>
      <c r="R2868" t="str">
        <f t="shared" si="83"/>
        <v>mmol/mol</v>
      </c>
      <c r="S2868" s="13">
        <f t="shared" si="80"/>
        <v>-1.1366266035127914</v>
      </c>
    </row>
    <row r="2869" spans="1:19">
      <c r="A2869" s="18" t="s">
        <v>2828</v>
      </c>
      <c r="B2869" s="1" t="s">
        <v>2963</v>
      </c>
      <c r="C2869" s="1" t="s">
        <v>2985</v>
      </c>
      <c r="D2869" s="1" t="s">
        <v>3629</v>
      </c>
      <c r="E2869" s="1" t="s">
        <v>25</v>
      </c>
      <c r="F2869">
        <v>660</v>
      </c>
      <c r="G2869">
        <v>660</v>
      </c>
      <c r="H2869">
        <v>30</v>
      </c>
      <c r="I2869" s="1" t="s">
        <v>1528</v>
      </c>
      <c r="J2869" s="1" t="s">
        <v>25</v>
      </c>
      <c r="K2869" t="s">
        <v>25</v>
      </c>
      <c r="L2869">
        <v>-0.85487622586973</v>
      </c>
      <c r="M2869" t="str">
        <f t="shared" si="81"/>
        <v>44/40</v>
      </c>
      <c r="N2869" t="str">
        <f t="shared" si="82"/>
        <v>SW</v>
      </c>
      <c r="O2869" s="1" t="s">
        <v>25</v>
      </c>
      <c r="P2869" s="3" t="s">
        <v>25</v>
      </c>
      <c r="Q2869" s="37">
        <v>0.18469005495171731</v>
      </c>
      <c r="R2869" t="str">
        <f t="shared" si="83"/>
        <v>mmol/mol</v>
      </c>
      <c r="S2869" s="13">
        <f t="shared" si="80"/>
        <v>-0.85487622586973</v>
      </c>
    </row>
    <row r="2870" spans="1:19">
      <c r="A2870" s="18" t="s">
        <v>2828</v>
      </c>
      <c r="B2870" s="1" t="s">
        <v>2964</v>
      </c>
      <c r="C2870" s="1" t="s">
        <v>2985</v>
      </c>
      <c r="D2870" s="1" t="s">
        <v>3629</v>
      </c>
      <c r="E2870" s="1" t="s">
        <v>25</v>
      </c>
      <c r="F2870">
        <v>660</v>
      </c>
      <c r="G2870">
        <v>660</v>
      </c>
      <c r="H2870">
        <v>31</v>
      </c>
      <c r="I2870" s="1" t="s">
        <v>1528</v>
      </c>
      <c r="J2870" s="1" t="s">
        <v>25</v>
      </c>
      <c r="K2870" t="s">
        <v>25</v>
      </c>
      <c r="L2870">
        <v>-0.97735193533245157</v>
      </c>
      <c r="M2870" t="str">
        <f t="shared" si="81"/>
        <v>44/40</v>
      </c>
      <c r="N2870" t="str">
        <f t="shared" si="82"/>
        <v>SW</v>
      </c>
      <c r="O2870" s="1" t="s">
        <v>25</v>
      </c>
      <c r="P2870" s="3" t="s">
        <v>25</v>
      </c>
      <c r="Q2870" s="37">
        <v>0.26922188328239499</v>
      </c>
      <c r="R2870" t="str">
        <f t="shared" si="83"/>
        <v>mmol/mol</v>
      </c>
      <c r="S2870" s="13">
        <f t="shared" si="80"/>
        <v>-0.97735193533245157</v>
      </c>
    </row>
    <row r="2871" spans="1:19">
      <c r="A2871" s="18" t="s">
        <v>2828</v>
      </c>
      <c r="B2871" s="1" t="s">
        <v>2965</v>
      </c>
      <c r="C2871" s="1" t="s">
        <v>2985</v>
      </c>
      <c r="D2871" s="1" t="s">
        <v>3629</v>
      </c>
      <c r="E2871" s="1" t="s">
        <v>25</v>
      </c>
      <c r="F2871">
        <v>660</v>
      </c>
      <c r="G2871">
        <v>660</v>
      </c>
      <c r="H2871">
        <v>33</v>
      </c>
      <c r="I2871" s="1" t="s">
        <v>1528</v>
      </c>
      <c r="J2871" s="1" t="s">
        <v>25</v>
      </c>
      <c r="K2871" t="s">
        <v>25</v>
      </c>
      <c r="L2871">
        <v>-0.89145336098434125</v>
      </c>
      <c r="M2871" t="str">
        <f t="shared" si="81"/>
        <v>44/40</v>
      </c>
      <c r="N2871" t="str">
        <f t="shared" si="82"/>
        <v>SW</v>
      </c>
      <c r="O2871" s="1" t="s">
        <v>25</v>
      </c>
      <c r="P2871" s="3" t="s">
        <v>25</v>
      </c>
      <c r="Q2871" s="37">
        <v>0.18946356291166755</v>
      </c>
      <c r="R2871" t="str">
        <f t="shared" si="83"/>
        <v>mmol/mol</v>
      </c>
      <c r="S2871" s="13">
        <f t="shared" si="80"/>
        <v>-0.89145336098434125</v>
      </c>
    </row>
    <row r="2872" spans="1:19">
      <c r="A2872" s="18" t="s">
        <v>2828</v>
      </c>
      <c r="B2872" s="1" t="s">
        <v>2966</v>
      </c>
      <c r="C2872" s="1" t="s">
        <v>2985</v>
      </c>
      <c r="D2872" s="1" t="s">
        <v>3629</v>
      </c>
      <c r="E2872" s="1" t="s">
        <v>25</v>
      </c>
      <c r="F2872">
        <v>660</v>
      </c>
      <c r="G2872">
        <v>660</v>
      </c>
      <c r="H2872">
        <v>34</v>
      </c>
      <c r="I2872" s="1" t="s">
        <v>1528</v>
      </c>
      <c r="J2872" s="1" t="s">
        <v>25</v>
      </c>
      <c r="K2872" t="s">
        <v>25</v>
      </c>
      <c r="L2872">
        <v>-1.0770004133800497</v>
      </c>
      <c r="M2872" t="str">
        <f t="shared" si="81"/>
        <v>44/40</v>
      </c>
      <c r="N2872" t="str">
        <f t="shared" si="82"/>
        <v>SW</v>
      </c>
      <c r="O2872" s="1" t="s">
        <v>25</v>
      </c>
      <c r="P2872" s="3" t="s">
        <v>25</v>
      </c>
      <c r="Q2872" s="37">
        <v>8.4328396366663352E-2</v>
      </c>
      <c r="R2872" t="str">
        <f t="shared" si="83"/>
        <v>mmol/mol</v>
      </c>
      <c r="S2872" s="13">
        <f t="shared" si="80"/>
        <v>-1.0770004133800497</v>
      </c>
    </row>
    <row r="2873" spans="1:19">
      <c r="A2873" s="18" t="s">
        <v>2828</v>
      </c>
      <c r="B2873" s="1" t="s">
        <v>2967</v>
      </c>
      <c r="C2873" s="1" t="s">
        <v>2985</v>
      </c>
      <c r="D2873" s="1" t="s">
        <v>3629</v>
      </c>
      <c r="E2873" s="1" t="s">
        <v>25</v>
      </c>
      <c r="F2873">
        <v>660</v>
      </c>
      <c r="G2873">
        <v>660</v>
      </c>
      <c r="H2873">
        <v>36</v>
      </c>
      <c r="I2873" s="1" t="s">
        <v>1528</v>
      </c>
      <c r="J2873" s="1" t="s">
        <v>25</v>
      </c>
      <c r="K2873" t="s">
        <v>25</v>
      </c>
      <c r="L2873">
        <v>-1.1182206189489519</v>
      </c>
      <c r="M2873" t="str">
        <f t="shared" si="81"/>
        <v>44/40</v>
      </c>
      <c r="N2873" t="str">
        <f t="shared" si="82"/>
        <v>SW</v>
      </c>
      <c r="O2873" s="1" t="s">
        <v>25</v>
      </c>
      <c r="P2873" s="3" t="s">
        <v>25</v>
      </c>
      <c r="Q2873" s="37">
        <v>0.14472961488840355</v>
      </c>
      <c r="R2873" t="str">
        <f t="shared" si="83"/>
        <v>mmol/mol</v>
      </c>
      <c r="S2873" s="13">
        <f t="shared" si="80"/>
        <v>-1.1182206189489519</v>
      </c>
    </row>
    <row r="2874" spans="1:19">
      <c r="A2874" s="18" t="s">
        <v>2828</v>
      </c>
      <c r="B2874" s="1" t="s">
        <v>2968</v>
      </c>
      <c r="C2874" s="1" t="s">
        <v>2985</v>
      </c>
      <c r="D2874" s="1" t="s">
        <v>3629</v>
      </c>
      <c r="E2874" s="1" t="s">
        <v>25</v>
      </c>
      <c r="F2874">
        <v>660</v>
      </c>
      <c r="G2874">
        <v>660</v>
      </c>
      <c r="H2874">
        <v>38</v>
      </c>
      <c r="I2874" s="1" t="s">
        <v>1528</v>
      </c>
      <c r="J2874" s="1" t="s">
        <v>25</v>
      </c>
      <c r="K2874" t="s">
        <v>25</v>
      </c>
      <c r="L2874">
        <v>-1.1691847746038402</v>
      </c>
      <c r="M2874" t="str">
        <f t="shared" si="81"/>
        <v>44/40</v>
      </c>
      <c r="N2874" t="str">
        <f t="shared" si="82"/>
        <v>SW</v>
      </c>
      <c r="O2874" s="1" t="s">
        <v>25</v>
      </c>
      <c r="P2874" s="3" t="s">
        <v>25</v>
      </c>
      <c r="Q2874" s="37">
        <v>0.17462635142892707</v>
      </c>
      <c r="R2874" t="str">
        <f t="shared" si="83"/>
        <v>mmol/mol</v>
      </c>
      <c r="S2874" s="13">
        <f t="shared" si="80"/>
        <v>-1.1691847746038402</v>
      </c>
    </row>
    <row r="2875" spans="1:19">
      <c r="A2875" s="18" t="s">
        <v>2828</v>
      </c>
      <c r="B2875" s="1" t="s">
        <v>2969</v>
      </c>
      <c r="C2875" s="1" t="s">
        <v>2985</v>
      </c>
      <c r="D2875" s="1" t="s">
        <v>3629</v>
      </c>
      <c r="E2875" s="1" t="s">
        <v>25</v>
      </c>
      <c r="F2875">
        <v>660</v>
      </c>
      <c r="G2875">
        <v>660</v>
      </c>
      <c r="H2875">
        <v>39</v>
      </c>
      <c r="I2875" s="1" t="s">
        <v>1528</v>
      </c>
      <c r="J2875" s="1" t="s">
        <v>25</v>
      </c>
      <c r="K2875" t="s">
        <v>25</v>
      </c>
      <c r="L2875">
        <v>-1.077061186265063</v>
      </c>
      <c r="M2875" t="str">
        <f t="shared" si="81"/>
        <v>44/40</v>
      </c>
      <c r="N2875" t="str">
        <f t="shared" si="82"/>
        <v>SW</v>
      </c>
      <c r="O2875" s="1" t="s">
        <v>25</v>
      </c>
      <c r="P2875" s="3" t="s">
        <v>25</v>
      </c>
      <c r="Q2875" s="37">
        <v>0.10884631799592522</v>
      </c>
      <c r="R2875" t="str">
        <f t="shared" si="83"/>
        <v>mmol/mol</v>
      </c>
      <c r="S2875" s="13">
        <f t="shared" si="80"/>
        <v>-1.077061186265063</v>
      </c>
    </row>
    <row r="2876" spans="1:19">
      <c r="A2876" s="18" t="s">
        <v>2828</v>
      </c>
      <c r="B2876" s="1" t="s">
        <v>2970</v>
      </c>
      <c r="C2876" s="1" t="s">
        <v>2985</v>
      </c>
      <c r="D2876" s="1" t="s">
        <v>3629</v>
      </c>
      <c r="E2876" s="1" t="s">
        <v>25</v>
      </c>
      <c r="F2876">
        <v>660</v>
      </c>
      <c r="G2876">
        <v>660</v>
      </c>
      <c r="H2876">
        <v>40</v>
      </c>
      <c r="I2876" s="1" t="s">
        <v>1528</v>
      </c>
      <c r="J2876" s="1" t="s">
        <v>25</v>
      </c>
      <c r="K2876" t="s">
        <v>25</v>
      </c>
      <c r="L2876">
        <v>-1.0552000339989194</v>
      </c>
      <c r="M2876" t="str">
        <f t="shared" si="81"/>
        <v>44/40</v>
      </c>
      <c r="N2876" t="str">
        <f t="shared" si="82"/>
        <v>SW</v>
      </c>
      <c r="O2876" s="1" t="s">
        <v>25</v>
      </c>
      <c r="P2876" s="3" t="s">
        <v>25</v>
      </c>
      <c r="Q2876" s="37">
        <v>0.11887594386638781</v>
      </c>
      <c r="R2876" t="str">
        <f t="shared" si="83"/>
        <v>mmol/mol</v>
      </c>
      <c r="S2876" s="13">
        <f t="shared" si="80"/>
        <v>-1.0552000339989194</v>
      </c>
    </row>
    <row r="2877" spans="1:19">
      <c r="A2877" s="18" t="s">
        <v>2828</v>
      </c>
      <c r="B2877" s="1" t="s">
        <v>2971</v>
      </c>
      <c r="C2877" s="1" t="s">
        <v>2985</v>
      </c>
      <c r="D2877" s="1" t="s">
        <v>3629</v>
      </c>
      <c r="E2877" s="1" t="s">
        <v>25</v>
      </c>
      <c r="F2877">
        <v>660</v>
      </c>
      <c r="G2877">
        <v>660</v>
      </c>
      <c r="H2877">
        <v>42</v>
      </c>
      <c r="I2877" s="1" t="s">
        <v>1528</v>
      </c>
      <c r="J2877" s="1" t="s">
        <v>25</v>
      </c>
      <c r="K2877" t="s">
        <v>25</v>
      </c>
      <c r="L2877">
        <v>-1.0498860843854441</v>
      </c>
      <c r="M2877" t="str">
        <f t="shared" si="81"/>
        <v>44/40</v>
      </c>
      <c r="N2877" t="str">
        <f t="shared" si="82"/>
        <v>SW</v>
      </c>
      <c r="O2877" s="1" t="s">
        <v>25</v>
      </c>
      <c r="P2877" s="3" t="s">
        <v>25</v>
      </c>
      <c r="Q2877" s="37">
        <v>8.9348092311488436E-2</v>
      </c>
      <c r="R2877" t="str">
        <f t="shared" si="83"/>
        <v>mmol/mol</v>
      </c>
      <c r="S2877" s="13">
        <f t="shared" si="80"/>
        <v>-1.0498860843854441</v>
      </c>
    </row>
    <row r="2878" spans="1:19">
      <c r="A2878" s="18" t="s">
        <v>2828</v>
      </c>
      <c r="B2878" s="1" t="s">
        <v>2972</v>
      </c>
      <c r="C2878" s="1" t="s">
        <v>2985</v>
      </c>
      <c r="D2878" s="1" t="s">
        <v>3629</v>
      </c>
      <c r="E2878" s="1" t="s">
        <v>25</v>
      </c>
      <c r="F2878">
        <v>660</v>
      </c>
      <c r="G2878">
        <v>660</v>
      </c>
      <c r="H2878">
        <v>43.5</v>
      </c>
      <c r="I2878" s="1" t="s">
        <v>1528</v>
      </c>
      <c r="J2878" s="1" t="s">
        <v>25</v>
      </c>
      <c r="K2878" t="s">
        <v>25</v>
      </c>
      <c r="L2878">
        <v>-1.1055166343155647</v>
      </c>
      <c r="M2878" t="str">
        <f t="shared" si="81"/>
        <v>44/40</v>
      </c>
      <c r="N2878" t="str">
        <f t="shared" si="82"/>
        <v>SW</v>
      </c>
      <c r="O2878" s="1" t="s">
        <v>25</v>
      </c>
      <c r="P2878" s="3" t="s">
        <v>25</v>
      </c>
      <c r="Q2878" s="37">
        <v>8.2530684144161634E-2</v>
      </c>
      <c r="R2878" t="str">
        <f t="shared" si="83"/>
        <v>mmol/mol</v>
      </c>
      <c r="S2878" s="13">
        <f t="shared" si="80"/>
        <v>-1.1055166343155647</v>
      </c>
    </row>
    <row r="2879" spans="1:19">
      <c r="A2879" s="18" t="s">
        <v>2828</v>
      </c>
      <c r="B2879" s="1" t="s">
        <v>2973</v>
      </c>
      <c r="C2879" s="1" t="s">
        <v>2985</v>
      </c>
      <c r="D2879" s="1" t="s">
        <v>3629</v>
      </c>
      <c r="E2879" s="1" t="s">
        <v>25</v>
      </c>
      <c r="F2879">
        <v>660</v>
      </c>
      <c r="G2879">
        <v>660</v>
      </c>
      <c r="H2879">
        <v>45</v>
      </c>
      <c r="I2879" s="1" t="s">
        <v>1528</v>
      </c>
      <c r="J2879" s="1" t="s">
        <v>25</v>
      </c>
      <c r="K2879" t="s">
        <v>25</v>
      </c>
      <c r="L2879">
        <v>-1.0537877709660759</v>
      </c>
      <c r="M2879" t="str">
        <f t="shared" si="81"/>
        <v>44/40</v>
      </c>
      <c r="N2879" t="str">
        <f t="shared" si="82"/>
        <v>SW</v>
      </c>
      <c r="O2879" s="1" t="s">
        <v>25</v>
      </c>
      <c r="P2879" s="3" t="s">
        <v>25</v>
      </c>
      <c r="Q2879" s="37">
        <v>0.22101431231937627</v>
      </c>
      <c r="R2879" t="str">
        <f t="shared" si="83"/>
        <v>mmol/mol</v>
      </c>
      <c r="S2879" s="13">
        <f t="shared" si="80"/>
        <v>-1.0537877709660759</v>
      </c>
    </row>
    <row r="2880" spans="1:19">
      <c r="A2880" s="18" t="s">
        <v>2828</v>
      </c>
      <c r="B2880" s="1" t="s">
        <v>2974</v>
      </c>
      <c r="C2880" s="1" t="s">
        <v>2985</v>
      </c>
      <c r="D2880" s="1" t="s">
        <v>3629</v>
      </c>
      <c r="E2880" s="1" t="s">
        <v>25</v>
      </c>
      <c r="F2880">
        <v>660</v>
      </c>
      <c r="G2880">
        <v>660</v>
      </c>
      <c r="H2880">
        <v>46</v>
      </c>
      <c r="I2880" s="1" t="s">
        <v>1528</v>
      </c>
      <c r="J2880" s="1" t="s">
        <v>25</v>
      </c>
      <c r="K2880" t="s">
        <v>25</v>
      </c>
      <c r="L2880">
        <v>-0.97546400576930525</v>
      </c>
      <c r="M2880" t="str">
        <f t="shared" si="81"/>
        <v>44/40</v>
      </c>
      <c r="N2880" t="str">
        <f t="shared" si="82"/>
        <v>SW</v>
      </c>
      <c r="O2880" s="1" t="s">
        <v>25</v>
      </c>
      <c r="P2880" s="3" t="s">
        <v>25</v>
      </c>
      <c r="Q2880" s="37">
        <v>0.57071697981697811</v>
      </c>
      <c r="R2880" t="str">
        <f t="shared" si="83"/>
        <v>mmol/mol</v>
      </c>
      <c r="S2880" s="13">
        <f t="shared" si="80"/>
        <v>-0.97546400576930525</v>
      </c>
    </row>
    <row r="2881" spans="1:19">
      <c r="A2881" s="18" t="s">
        <v>2828</v>
      </c>
      <c r="B2881" s="1" t="s">
        <v>2975</v>
      </c>
      <c r="C2881" s="1" t="s">
        <v>2985</v>
      </c>
      <c r="D2881" s="1" t="s">
        <v>3629</v>
      </c>
      <c r="E2881" s="1" t="s">
        <v>25</v>
      </c>
      <c r="F2881">
        <v>660</v>
      </c>
      <c r="G2881">
        <v>660</v>
      </c>
      <c r="H2881">
        <v>46.5</v>
      </c>
      <c r="I2881" s="1" t="s">
        <v>1528</v>
      </c>
      <c r="J2881" s="1" t="s">
        <v>25</v>
      </c>
      <c r="K2881" t="s">
        <v>25</v>
      </c>
      <c r="L2881" t="s">
        <v>25</v>
      </c>
      <c r="M2881" t="str">
        <f t="shared" si="81"/>
        <v>Na</v>
      </c>
      <c r="N2881" t="str">
        <f t="shared" si="82"/>
        <v>Na</v>
      </c>
      <c r="O2881" s="1" t="s">
        <v>25</v>
      </c>
      <c r="P2881" s="3" t="s">
        <v>25</v>
      </c>
      <c r="Q2881" s="37" t="s">
        <v>25</v>
      </c>
      <c r="R2881" t="str">
        <f t="shared" si="83"/>
        <v>Na</v>
      </c>
      <c r="S2881" s="13" t="s">
        <v>25</v>
      </c>
    </row>
    <row r="2882" spans="1:19">
      <c r="A2882" s="18" t="s">
        <v>2828</v>
      </c>
      <c r="B2882" s="1" t="s">
        <v>2976</v>
      </c>
      <c r="C2882" s="1" t="s">
        <v>2985</v>
      </c>
      <c r="D2882" s="1" t="s">
        <v>3629</v>
      </c>
      <c r="E2882" s="1" t="s">
        <v>25</v>
      </c>
      <c r="F2882">
        <v>660</v>
      </c>
      <c r="G2882">
        <v>660</v>
      </c>
      <c r="H2882">
        <v>46.5</v>
      </c>
      <c r="I2882" s="1" t="s">
        <v>1528</v>
      </c>
      <c r="J2882" s="1" t="s">
        <v>25</v>
      </c>
      <c r="K2882" t="s">
        <v>25</v>
      </c>
      <c r="L2882">
        <v>-1.1627758653740967</v>
      </c>
      <c r="M2882" t="str">
        <f t="shared" si="81"/>
        <v>44/40</v>
      </c>
      <c r="N2882" t="str">
        <f t="shared" si="82"/>
        <v>SW</v>
      </c>
      <c r="O2882" s="1" t="s">
        <v>25</v>
      </c>
      <c r="P2882" s="3" t="s">
        <v>25</v>
      </c>
      <c r="Q2882" s="37">
        <v>0.3264714169566828</v>
      </c>
      <c r="R2882" t="str">
        <f t="shared" si="83"/>
        <v>mmol/mol</v>
      </c>
      <c r="S2882" s="13">
        <f t="shared" si="80"/>
        <v>-1.1627758653740967</v>
      </c>
    </row>
    <row r="2883" spans="1:19">
      <c r="A2883" s="18" t="s">
        <v>2828</v>
      </c>
      <c r="B2883" s="1" t="s">
        <v>2977</v>
      </c>
      <c r="C2883" s="1" t="s">
        <v>2985</v>
      </c>
      <c r="D2883" s="1" t="s">
        <v>3629</v>
      </c>
      <c r="E2883" s="1" t="s">
        <v>25</v>
      </c>
      <c r="F2883">
        <v>660</v>
      </c>
      <c r="G2883">
        <v>660</v>
      </c>
      <c r="H2883">
        <v>49.5</v>
      </c>
      <c r="I2883" s="1" t="s">
        <v>1528</v>
      </c>
      <c r="J2883" s="1" t="s">
        <v>25</v>
      </c>
      <c r="K2883" t="s">
        <v>25</v>
      </c>
      <c r="L2883">
        <v>-1.0755712225335872</v>
      </c>
      <c r="M2883" t="str">
        <f t="shared" si="81"/>
        <v>44/40</v>
      </c>
      <c r="N2883" t="str">
        <f t="shared" si="82"/>
        <v>SW</v>
      </c>
      <c r="O2883" s="1" t="s">
        <v>25</v>
      </c>
      <c r="P2883" s="3" t="s">
        <v>25</v>
      </c>
      <c r="Q2883" s="37">
        <v>0.33485586445018883</v>
      </c>
      <c r="R2883" t="str">
        <f t="shared" si="83"/>
        <v>mmol/mol</v>
      </c>
      <c r="S2883" s="13">
        <f t="shared" si="80"/>
        <v>-1.0755712225335872</v>
      </c>
    </row>
    <row r="2884" spans="1:19">
      <c r="A2884" s="18" t="s">
        <v>2828</v>
      </c>
      <c r="B2884" s="1" t="s">
        <v>2978</v>
      </c>
      <c r="C2884" s="1" t="s">
        <v>2985</v>
      </c>
      <c r="D2884" s="1" t="s">
        <v>3629</v>
      </c>
      <c r="E2884" s="1" t="s">
        <v>25</v>
      </c>
      <c r="F2884">
        <v>660</v>
      </c>
      <c r="G2884">
        <v>660</v>
      </c>
      <c r="H2884">
        <v>51</v>
      </c>
      <c r="I2884" s="1" t="s">
        <v>1528</v>
      </c>
      <c r="J2884" s="1" t="s">
        <v>25</v>
      </c>
      <c r="K2884" t="s">
        <v>25</v>
      </c>
      <c r="L2884">
        <v>-1.1055166343155647</v>
      </c>
      <c r="M2884" t="str">
        <f t="shared" si="81"/>
        <v>44/40</v>
      </c>
      <c r="N2884" t="str">
        <f t="shared" si="82"/>
        <v>SW</v>
      </c>
      <c r="O2884" s="1" t="s">
        <v>25</v>
      </c>
      <c r="P2884" s="3" t="s">
        <v>25</v>
      </c>
      <c r="Q2884" s="37">
        <v>0.45007716912284629</v>
      </c>
      <c r="R2884" t="str">
        <f t="shared" si="83"/>
        <v>mmol/mol</v>
      </c>
      <c r="S2884" s="13">
        <f t="shared" si="80"/>
        <v>-1.1055166343155647</v>
      </c>
    </row>
    <row r="2885" spans="1:19">
      <c r="A2885" s="18" t="s">
        <v>2828</v>
      </c>
      <c r="B2885" s="1" t="s">
        <v>2979</v>
      </c>
      <c r="C2885" s="1" t="s">
        <v>2985</v>
      </c>
      <c r="D2885" s="1" t="s">
        <v>3629</v>
      </c>
      <c r="E2885" s="1" t="s">
        <v>25</v>
      </c>
      <c r="F2885">
        <v>660</v>
      </c>
      <c r="G2885">
        <v>660</v>
      </c>
      <c r="H2885">
        <v>52</v>
      </c>
      <c r="I2885" s="1" t="s">
        <v>1528</v>
      </c>
      <c r="J2885" s="1" t="s">
        <v>25</v>
      </c>
      <c r="K2885" t="s">
        <v>25</v>
      </c>
      <c r="L2885">
        <v>-1.0713184772968258</v>
      </c>
      <c r="M2885" t="str">
        <f t="shared" si="81"/>
        <v>44/40</v>
      </c>
      <c r="N2885" t="str">
        <f t="shared" si="82"/>
        <v>SW</v>
      </c>
      <c r="O2885" s="1" t="s">
        <v>25</v>
      </c>
      <c r="P2885" s="3" t="s">
        <v>25</v>
      </c>
      <c r="Q2885" s="37">
        <v>0.21175144039036875</v>
      </c>
      <c r="R2885" t="str">
        <f t="shared" si="83"/>
        <v>mmol/mol</v>
      </c>
      <c r="S2885" s="13">
        <f t="shared" si="80"/>
        <v>-1.0713184772968258</v>
      </c>
    </row>
    <row r="2886" spans="1:19">
      <c r="A2886" s="18" t="s">
        <v>2828</v>
      </c>
      <c r="B2886" s="1" t="s">
        <v>2980</v>
      </c>
      <c r="C2886" s="1" t="s">
        <v>2985</v>
      </c>
      <c r="D2886" s="1" t="s">
        <v>3629</v>
      </c>
      <c r="E2886" s="1" t="s">
        <v>25</v>
      </c>
      <c r="F2886">
        <v>660</v>
      </c>
      <c r="G2886">
        <v>660</v>
      </c>
      <c r="H2886">
        <v>53</v>
      </c>
      <c r="I2886" s="1" t="s">
        <v>1528</v>
      </c>
      <c r="J2886" s="1" t="s">
        <v>25</v>
      </c>
      <c r="K2886" t="s">
        <v>25</v>
      </c>
      <c r="L2886">
        <v>-1.1006425749582855</v>
      </c>
      <c r="M2886" t="str">
        <f t="shared" si="81"/>
        <v>44/40</v>
      </c>
      <c r="N2886" t="str">
        <f t="shared" si="82"/>
        <v>SW</v>
      </c>
      <c r="O2886" s="1" t="s">
        <v>25</v>
      </c>
      <c r="P2886" s="3" t="s">
        <v>25</v>
      </c>
      <c r="Q2886" s="37">
        <v>0.50789477245112025</v>
      </c>
      <c r="R2886" t="str">
        <f t="shared" si="83"/>
        <v>mmol/mol</v>
      </c>
      <c r="S2886" s="13">
        <f t="shared" si="80"/>
        <v>-1.1006425749582855</v>
      </c>
    </row>
    <row r="2887" spans="1:19">
      <c r="A2887" s="18" t="s">
        <v>2828</v>
      </c>
      <c r="B2887" s="1" t="s">
        <v>2981</v>
      </c>
      <c r="C2887" s="1" t="s">
        <v>2985</v>
      </c>
      <c r="D2887" s="1" t="s">
        <v>3629</v>
      </c>
      <c r="E2887" s="1" t="s">
        <v>25</v>
      </c>
      <c r="F2887">
        <v>660</v>
      </c>
      <c r="G2887">
        <v>660</v>
      </c>
      <c r="H2887">
        <v>54</v>
      </c>
      <c r="I2887" s="1" t="s">
        <v>1528</v>
      </c>
      <c r="J2887" s="1" t="s">
        <v>25</v>
      </c>
      <c r="K2887" t="s">
        <v>25</v>
      </c>
      <c r="L2887">
        <v>-1.1433353910518362</v>
      </c>
      <c r="M2887" t="str">
        <f t="shared" si="81"/>
        <v>44/40</v>
      </c>
      <c r="N2887" t="str">
        <f t="shared" si="82"/>
        <v>SW</v>
      </c>
      <c r="O2887" s="1" t="s">
        <v>25</v>
      </c>
      <c r="P2887" s="3" t="s">
        <v>25</v>
      </c>
      <c r="Q2887" s="37">
        <v>0.18161784332014808</v>
      </c>
      <c r="R2887" t="str">
        <f t="shared" si="83"/>
        <v>mmol/mol</v>
      </c>
      <c r="S2887" s="13">
        <f t="shared" si="80"/>
        <v>-1.1433353910518362</v>
      </c>
    </row>
    <row r="2888" spans="1:19">
      <c r="A2888" s="18" t="s">
        <v>2828</v>
      </c>
      <c r="B2888" s="1" t="s">
        <v>2982</v>
      </c>
      <c r="C2888" s="1" t="s">
        <v>2985</v>
      </c>
      <c r="D2888" s="1" t="s">
        <v>3629</v>
      </c>
      <c r="E2888" s="1" t="s">
        <v>25</v>
      </c>
      <c r="F2888">
        <v>660</v>
      </c>
      <c r="G2888">
        <v>660</v>
      </c>
      <c r="H2888">
        <v>55</v>
      </c>
      <c r="I2888" s="1" t="s">
        <v>1528</v>
      </c>
      <c r="J2888" s="1" t="s">
        <v>25</v>
      </c>
      <c r="K2888" t="s">
        <v>25</v>
      </c>
      <c r="L2888">
        <v>-1.0372928327330873</v>
      </c>
      <c r="M2888" t="str">
        <f t="shared" si="81"/>
        <v>44/40</v>
      </c>
      <c r="N2888" t="str">
        <f t="shared" si="82"/>
        <v>SW</v>
      </c>
      <c r="O2888" s="1" t="s">
        <v>25</v>
      </c>
      <c r="P2888" s="3" t="s">
        <v>25</v>
      </c>
      <c r="Q2888" s="37">
        <v>0.3036848562461269</v>
      </c>
      <c r="R2888" t="str">
        <f t="shared" si="83"/>
        <v>mmol/mol</v>
      </c>
      <c r="S2888" s="13">
        <f t="shared" si="80"/>
        <v>-1.0372928327330873</v>
      </c>
    </row>
    <row r="2889" spans="1:19">
      <c r="A2889" s="18" t="s">
        <v>2828</v>
      </c>
      <c r="B2889" s="1" t="s">
        <v>2983</v>
      </c>
      <c r="C2889" s="1" t="s">
        <v>2985</v>
      </c>
      <c r="D2889" s="1" t="s">
        <v>3629</v>
      </c>
      <c r="E2889" s="1" t="s">
        <v>25</v>
      </c>
      <c r="F2889">
        <v>660</v>
      </c>
      <c r="G2889">
        <v>660</v>
      </c>
      <c r="H2889">
        <v>56</v>
      </c>
      <c r="I2889" s="1" t="s">
        <v>1528</v>
      </c>
      <c r="J2889" s="1" t="s">
        <v>25</v>
      </c>
      <c r="K2889" t="s">
        <v>25</v>
      </c>
      <c r="L2889">
        <v>-1.1017909135078729</v>
      </c>
      <c r="M2889" t="str">
        <f t="shared" si="81"/>
        <v>44/40</v>
      </c>
      <c r="N2889" t="str">
        <f t="shared" si="82"/>
        <v>SW</v>
      </c>
      <c r="O2889" s="1" t="s">
        <v>25</v>
      </c>
      <c r="P2889" s="3" t="s">
        <v>25</v>
      </c>
      <c r="Q2889" s="37">
        <v>0.52567198933823012</v>
      </c>
      <c r="R2889" t="str">
        <f t="shared" si="83"/>
        <v>mmol/mol</v>
      </c>
      <c r="S2889" s="13">
        <f t="shared" si="80"/>
        <v>-1.1017909135078729</v>
      </c>
    </row>
    <row r="2890" spans="1:19">
      <c r="A2890" s="18" t="s">
        <v>2828</v>
      </c>
      <c r="B2890" s="1" t="s">
        <v>2984</v>
      </c>
      <c r="C2890" s="1" t="s">
        <v>2985</v>
      </c>
      <c r="D2890" s="1" t="s">
        <v>3629</v>
      </c>
      <c r="E2890" s="1" t="s">
        <v>25</v>
      </c>
      <c r="F2890">
        <v>660</v>
      </c>
      <c r="G2890">
        <v>660</v>
      </c>
      <c r="H2890">
        <v>57</v>
      </c>
      <c r="I2890" s="1" t="s">
        <v>1528</v>
      </c>
      <c r="J2890" s="1" t="s">
        <v>25</v>
      </c>
      <c r="K2890" t="s">
        <v>25</v>
      </c>
      <c r="L2890">
        <v>-0.95577050832697363</v>
      </c>
      <c r="M2890" t="str">
        <f t="shared" si="81"/>
        <v>44/40</v>
      </c>
      <c r="N2890" t="str">
        <f t="shared" si="82"/>
        <v>SW</v>
      </c>
      <c r="O2890" s="1" t="s">
        <v>25</v>
      </c>
      <c r="P2890" s="3" t="s">
        <v>25</v>
      </c>
      <c r="Q2890" s="37">
        <v>0.57257969136583486</v>
      </c>
      <c r="R2890" t="str">
        <f t="shared" si="83"/>
        <v>mmol/mol</v>
      </c>
      <c r="S2890" s="13">
        <f t="shared" si="80"/>
        <v>-0.95577050832697363</v>
      </c>
    </row>
    <row r="2891" spans="1:19" s="4" customFormat="1">
      <c r="B2891" s="5"/>
      <c r="C2891" s="5"/>
      <c r="D2891" s="5"/>
      <c r="E2891" s="5"/>
      <c r="I2891" s="5"/>
      <c r="J2891" s="5"/>
      <c r="M2891" s="5"/>
      <c r="O2891" s="5"/>
      <c r="P2891" s="6"/>
      <c r="Q2891" s="38"/>
      <c r="S2891" s="24"/>
    </row>
    <row r="2892" spans="1:19">
      <c r="A2892" s="18" t="s">
        <v>3504</v>
      </c>
      <c r="B2892" s="1" t="s">
        <v>2986</v>
      </c>
      <c r="C2892" s="1" t="s">
        <v>3506</v>
      </c>
      <c r="D2892" s="1" t="s">
        <v>3558</v>
      </c>
      <c r="E2892" s="1" t="s">
        <v>25</v>
      </c>
      <c r="F2892">
        <v>650</v>
      </c>
      <c r="G2892">
        <v>650</v>
      </c>
      <c r="H2892">
        <v>0.3</v>
      </c>
      <c r="I2892" s="1" t="s">
        <v>1528</v>
      </c>
      <c r="J2892" s="1" t="s">
        <v>3517</v>
      </c>
      <c r="K2892" s="1" t="s">
        <v>25</v>
      </c>
      <c r="L2892">
        <v>-1.8423670986102301</v>
      </c>
      <c r="M2892" t="str">
        <f t="shared" si="81"/>
        <v>44/40</v>
      </c>
      <c r="N2892" t="str">
        <f t="shared" si="82"/>
        <v>SW</v>
      </c>
      <c r="O2892" s="1" t="s">
        <v>25</v>
      </c>
      <c r="P2892" s="3" t="s">
        <v>25</v>
      </c>
      <c r="Q2892" s="37">
        <v>2.2838403574857802</v>
      </c>
      <c r="R2892" t="str">
        <f t="shared" si="83"/>
        <v>mmol/mol</v>
      </c>
      <c r="S2892" s="13">
        <f t="shared" si="80"/>
        <v>-1.8423670986102301</v>
      </c>
    </row>
    <row r="2893" spans="1:19">
      <c r="A2893" s="18" t="s">
        <v>3504</v>
      </c>
      <c r="B2893" s="1" t="s">
        <v>2987</v>
      </c>
      <c r="C2893" s="1" t="s">
        <v>3506</v>
      </c>
      <c r="D2893" s="1" t="s">
        <v>3558</v>
      </c>
      <c r="E2893" s="1" t="s">
        <v>25</v>
      </c>
      <c r="F2893">
        <v>650</v>
      </c>
      <c r="G2893">
        <v>650</v>
      </c>
      <c r="H2893">
        <v>2</v>
      </c>
      <c r="I2893" s="1" t="s">
        <v>1528</v>
      </c>
      <c r="J2893" s="1" t="s">
        <v>3517</v>
      </c>
      <c r="K2893" s="1" t="s">
        <v>25</v>
      </c>
      <c r="L2893" t="s">
        <v>25</v>
      </c>
      <c r="M2893" t="str">
        <f t="shared" si="81"/>
        <v>Na</v>
      </c>
      <c r="N2893" t="str">
        <f t="shared" si="82"/>
        <v>Na</v>
      </c>
      <c r="O2893" s="1" t="s">
        <v>25</v>
      </c>
      <c r="P2893" s="3" t="s">
        <v>25</v>
      </c>
      <c r="Q2893" s="37">
        <v>2.6158062086281699</v>
      </c>
      <c r="R2893" t="str">
        <f t="shared" si="83"/>
        <v>mmol/mol</v>
      </c>
      <c r="S2893" s="13" t="s">
        <v>25</v>
      </c>
    </row>
    <row r="2894" spans="1:19">
      <c r="A2894" s="18" t="s">
        <v>3504</v>
      </c>
      <c r="B2894" s="1" t="s">
        <v>2988</v>
      </c>
      <c r="C2894" s="1" t="s">
        <v>3506</v>
      </c>
      <c r="D2894" s="1" t="s">
        <v>3558</v>
      </c>
      <c r="E2894" s="1" t="s">
        <v>25</v>
      </c>
      <c r="F2894">
        <v>650</v>
      </c>
      <c r="G2894">
        <v>650</v>
      </c>
      <c r="H2894">
        <v>5</v>
      </c>
      <c r="I2894" s="1" t="s">
        <v>1528</v>
      </c>
      <c r="J2894" s="1" t="s">
        <v>3517</v>
      </c>
      <c r="K2894" s="1" t="s">
        <v>25</v>
      </c>
      <c r="L2894">
        <v>-1.84426401989365</v>
      </c>
      <c r="M2894" t="str">
        <f t="shared" si="81"/>
        <v>44/40</v>
      </c>
      <c r="N2894" t="str">
        <f t="shared" si="82"/>
        <v>SW</v>
      </c>
      <c r="O2894" s="1" t="s">
        <v>25</v>
      </c>
      <c r="P2894" s="3" t="s">
        <v>25</v>
      </c>
      <c r="Q2894" s="37">
        <v>3.9162736544237</v>
      </c>
      <c r="R2894" t="str">
        <f t="shared" si="83"/>
        <v>mmol/mol</v>
      </c>
      <c r="S2894" s="13">
        <f t="shared" si="80"/>
        <v>-1.84426401989365</v>
      </c>
    </row>
    <row r="2895" spans="1:19">
      <c r="A2895" s="18" t="s">
        <v>3504</v>
      </c>
      <c r="B2895" s="1" t="s">
        <v>2989</v>
      </c>
      <c r="C2895" s="1" t="s">
        <v>3506</v>
      </c>
      <c r="D2895" s="1" t="s">
        <v>3558</v>
      </c>
      <c r="E2895" s="1" t="s">
        <v>25</v>
      </c>
      <c r="F2895">
        <v>650</v>
      </c>
      <c r="G2895">
        <v>650</v>
      </c>
      <c r="H2895">
        <v>11</v>
      </c>
      <c r="I2895" s="1" t="s">
        <v>1528</v>
      </c>
      <c r="J2895" s="1" t="s">
        <v>3517</v>
      </c>
      <c r="K2895" s="1" t="s">
        <v>25</v>
      </c>
      <c r="L2895" t="s">
        <v>25</v>
      </c>
      <c r="M2895" t="str">
        <f t="shared" si="81"/>
        <v>Na</v>
      </c>
      <c r="N2895" t="str">
        <f t="shared" si="82"/>
        <v>Na</v>
      </c>
      <c r="O2895" s="1" t="s">
        <v>25</v>
      </c>
      <c r="P2895" s="3" t="s">
        <v>25</v>
      </c>
      <c r="Q2895" s="37">
        <v>1.63345103857567</v>
      </c>
      <c r="R2895" t="str">
        <f t="shared" si="83"/>
        <v>mmol/mol</v>
      </c>
      <c r="S2895" s="13" t="s">
        <v>25</v>
      </c>
    </row>
    <row r="2896" spans="1:19">
      <c r="A2896" s="18" t="s">
        <v>3504</v>
      </c>
      <c r="B2896" s="1" t="s">
        <v>2990</v>
      </c>
      <c r="C2896" s="1" t="s">
        <v>3506</v>
      </c>
      <c r="D2896" s="1" t="s">
        <v>3558</v>
      </c>
      <c r="E2896" s="1" t="s">
        <v>25</v>
      </c>
      <c r="F2896">
        <v>650</v>
      </c>
      <c r="G2896">
        <v>650</v>
      </c>
      <c r="H2896">
        <v>12</v>
      </c>
      <c r="I2896" s="1" t="s">
        <v>1528</v>
      </c>
      <c r="J2896" s="1" t="s">
        <v>3517</v>
      </c>
      <c r="K2896" s="1" t="s">
        <v>25</v>
      </c>
      <c r="L2896">
        <v>-1.8126407771061299</v>
      </c>
      <c r="M2896" t="str">
        <f t="shared" si="81"/>
        <v>44/40</v>
      </c>
      <c r="N2896" t="str">
        <f t="shared" si="82"/>
        <v>SW</v>
      </c>
      <c r="O2896" s="1" t="s">
        <v>25</v>
      </c>
      <c r="P2896" s="3" t="s">
        <v>25</v>
      </c>
      <c r="Q2896" s="37">
        <v>2.7960866619502398</v>
      </c>
      <c r="R2896" t="str">
        <f t="shared" si="83"/>
        <v>mmol/mol</v>
      </c>
      <c r="S2896" s="13">
        <f t="shared" si="80"/>
        <v>-1.8126407771061299</v>
      </c>
    </row>
    <row r="2897" spans="1:19">
      <c r="A2897" s="18" t="s">
        <v>3504</v>
      </c>
      <c r="B2897" s="1" t="s">
        <v>2991</v>
      </c>
      <c r="C2897" s="1" t="s">
        <v>3506</v>
      </c>
      <c r="D2897" s="1" t="s">
        <v>3558</v>
      </c>
      <c r="E2897" s="1" t="s">
        <v>25</v>
      </c>
      <c r="F2897">
        <v>650</v>
      </c>
      <c r="G2897">
        <v>650</v>
      </c>
      <c r="H2897">
        <v>20.399999999999999</v>
      </c>
      <c r="I2897" s="1" t="s">
        <v>1528</v>
      </c>
      <c r="J2897" s="1" t="s">
        <v>3517</v>
      </c>
      <c r="K2897" s="1" t="s">
        <v>25</v>
      </c>
      <c r="L2897">
        <v>-1.6927931329329899</v>
      </c>
      <c r="M2897" t="str">
        <f t="shared" si="81"/>
        <v>44/40</v>
      </c>
      <c r="N2897" t="str">
        <f t="shared" si="82"/>
        <v>SW</v>
      </c>
      <c r="O2897" s="1" t="s">
        <v>25</v>
      </c>
      <c r="P2897" s="3" t="s">
        <v>25</v>
      </c>
      <c r="Q2897" s="37">
        <v>3.1634735167137902</v>
      </c>
      <c r="R2897" t="str">
        <f t="shared" si="83"/>
        <v>mmol/mol</v>
      </c>
      <c r="S2897" s="13">
        <f t="shared" si="80"/>
        <v>-1.6927931329329899</v>
      </c>
    </row>
    <row r="2898" spans="1:19">
      <c r="A2898" s="18" t="s">
        <v>3504</v>
      </c>
      <c r="B2898" s="1" t="s">
        <v>2992</v>
      </c>
      <c r="C2898" s="1" t="s">
        <v>3506</v>
      </c>
      <c r="D2898" s="1" t="s">
        <v>3558</v>
      </c>
      <c r="E2898" s="1" t="s">
        <v>25</v>
      </c>
      <c r="F2898">
        <v>650</v>
      </c>
      <c r="G2898">
        <v>650</v>
      </c>
      <c r="H2898">
        <v>21.8</v>
      </c>
      <c r="I2898" s="1" t="s">
        <v>1528</v>
      </c>
      <c r="J2898" s="1" t="s">
        <v>3517</v>
      </c>
      <c r="K2898" s="1" t="s">
        <v>25</v>
      </c>
      <c r="L2898">
        <v>-1.77581067607512</v>
      </c>
      <c r="M2898" t="str">
        <f t="shared" si="81"/>
        <v>44/40</v>
      </c>
      <c r="N2898" t="str">
        <f t="shared" si="82"/>
        <v>SW</v>
      </c>
      <c r="O2898" s="1" t="s">
        <v>25</v>
      </c>
      <c r="P2898" s="3" t="s">
        <v>25</v>
      </c>
      <c r="Q2898" s="37">
        <v>1.79326838618985</v>
      </c>
      <c r="R2898" t="str">
        <f t="shared" si="83"/>
        <v>mmol/mol</v>
      </c>
      <c r="S2898" s="13">
        <f t="shared" si="80"/>
        <v>-1.77581067607512</v>
      </c>
    </row>
    <row r="2899" spans="1:19">
      <c r="A2899" s="18" t="s">
        <v>3504</v>
      </c>
      <c r="B2899" s="1" t="s">
        <v>2993</v>
      </c>
      <c r="C2899" s="1" t="s">
        <v>3506</v>
      </c>
      <c r="D2899" s="1" t="s">
        <v>3558</v>
      </c>
      <c r="E2899" s="1" t="s">
        <v>25</v>
      </c>
      <c r="F2899">
        <v>650</v>
      </c>
      <c r="G2899">
        <v>650</v>
      </c>
      <c r="H2899">
        <v>24.4</v>
      </c>
      <c r="I2899" s="1" t="s">
        <v>1528</v>
      </c>
      <c r="J2899" s="1" t="s">
        <v>3517</v>
      </c>
      <c r="K2899" s="1" t="s">
        <v>25</v>
      </c>
      <c r="L2899" t="s">
        <v>25</v>
      </c>
      <c r="M2899" t="str">
        <f t="shared" si="81"/>
        <v>Na</v>
      </c>
      <c r="N2899" t="str">
        <f t="shared" si="82"/>
        <v>Na</v>
      </c>
      <c r="O2899" s="1" t="s">
        <v>25</v>
      </c>
      <c r="P2899" s="3" t="s">
        <v>25</v>
      </c>
      <c r="Q2899" s="37">
        <v>1.93044213649852</v>
      </c>
      <c r="R2899" t="str">
        <f t="shared" si="83"/>
        <v>mmol/mol</v>
      </c>
      <c r="S2899" s="13" t="s">
        <v>25</v>
      </c>
    </row>
    <row r="2900" spans="1:19">
      <c r="A2900" s="18" t="s">
        <v>3504</v>
      </c>
      <c r="B2900" s="1" t="s">
        <v>2994</v>
      </c>
      <c r="C2900" s="1" t="s">
        <v>3506</v>
      </c>
      <c r="D2900" s="1" t="s">
        <v>3558</v>
      </c>
      <c r="E2900" s="1" t="s">
        <v>25</v>
      </c>
      <c r="F2900">
        <v>650</v>
      </c>
      <c r="G2900">
        <v>650</v>
      </c>
      <c r="H2900">
        <v>25.6</v>
      </c>
      <c r="I2900" s="1" t="s">
        <v>1528</v>
      </c>
      <c r="J2900" s="1" t="s">
        <v>3517</v>
      </c>
      <c r="K2900" s="1" t="s">
        <v>25</v>
      </c>
      <c r="L2900" t="s">
        <v>25</v>
      </c>
      <c r="M2900" t="str">
        <f t="shared" si="81"/>
        <v>Na</v>
      </c>
      <c r="N2900" t="str">
        <f t="shared" si="82"/>
        <v>Na</v>
      </c>
      <c r="O2900" s="1" t="s">
        <v>25</v>
      </c>
      <c r="P2900" s="3" t="s">
        <v>25</v>
      </c>
      <c r="Q2900" s="37">
        <v>2.6957653503766301</v>
      </c>
      <c r="R2900" t="str">
        <f t="shared" si="83"/>
        <v>mmol/mol</v>
      </c>
      <c r="S2900" s="13" t="s">
        <v>25</v>
      </c>
    </row>
    <row r="2901" spans="1:19">
      <c r="A2901" s="18" t="s">
        <v>3504</v>
      </c>
      <c r="B2901" s="1" t="s">
        <v>2995</v>
      </c>
      <c r="C2901" s="1" t="s">
        <v>3506</v>
      </c>
      <c r="D2901" s="1" t="s">
        <v>3558</v>
      </c>
      <c r="E2901" s="1" t="s">
        <v>25</v>
      </c>
      <c r="F2901">
        <v>650</v>
      </c>
      <c r="G2901">
        <v>650</v>
      </c>
      <c r="H2901">
        <v>26</v>
      </c>
      <c r="I2901" s="1" t="s">
        <v>1528</v>
      </c>
      <c r="J2901" s="1" t="s">
        <v>3517</v>
      </c>
      <c r="K2901" s="1" t="s">
        <v>25</v>
      </c>
      <c r="L2901">
        <v>-1.7917249965626301</v>
      </c>
      <c r="M2901" t="str">
        <f t="shared" si="81"/>
        <v>44/40</v>
      </c>
      <c r="N2901" t="str">
        <f t="shared" si="82"/>
        <v>SW</v>
      </c>
      <c r="O2901" s="1" t="s">
        <v>25</v>
      </c>
      <c r="P2901" s="3" t="s">
        <v>25</v>
      </c>
      <c r="Q2901" s="37">
        <v>1.6996156097217501</v>
      </c>
      <c r="R2901" t="str">
        <f t="shared" si="83"/>
        <v>mmol/mol</v>
      </c>
      <c r="S2901" s="13">
        <f t="shared" si="80"/>
        <v>-1.7917249965626301</v>
      </c>
    </row>
    <row r="2902" spans="1:19">
      <c r="A2902" s="18" t="s">
        <v>3504</v>
      </c>
      <c r="B2902" s="1" t="s">
        <v>2996</v>
      </c>
      <c r="C2902" s="1" t="s">
        <v>3506</v>
      </c>
      <c r="D2902" s="1" t="s">
        <v>3558</v>
      </c>
      <c r="E2902" s="1" t="s">
        <v>25</v>
      </c>
      <c r="F2902">
        <v>650</v>
      </c>
      <c r="G2902">
        <v>650</v>
      </c>
      <c r="H2902">
        <v>30.4</v>
      </c>
      <c r="I2902" s="1" t="s">
        <v>1528</v>
      </c>
      <c r="J2902" s="1" t="s">
        <v>3517</v>
      </c>
      <c r="K2902" s="1" t="s">
        <v>25</v>
      </c>
      <c r="L2902">
        <v>-1.87659311521913</v>
      </c>
      <c r="M2902" t="str">
        <f t="shared" si="81"/>
        <v>44/40</v>
      </c>
      <c r="N2902" t="str">
        <f t="shared" si="82"/>
        <v>SW</v>
      </c>
      <c r="O2902" s="1" t="s">
        <v>25</v>
      </c>
      <c r="P2902" s="3" t="s">
        <v>25</v>
      </c>
      <c r="Q2902" s="37">
        <v>1.7982906973457999</v>
      </c>
      <c r="R2902" t="str">
        <f t="shared" si="83"/>
        <v>mmol/mol</v>
      </c>
      <c r="S2902" s="13">
        <f t="shared" si="80"/>
        <v>-1.87659311521913</v>
      </c>
    </row>
    <row r="2903" spans="1:19">
      <c r="A2903" s="18" t="s">
        <v>3504</v>
      </c>
      <c r="B2903" s="1" t="s">
        <v>2997</v>
      </c>
      <c r="C2903" s="1" t="s">
        <v>3506</v>
      </c>
      <c r="D2903" s="1" t="s">
        <v>3558</v>
      </c>
      <c r="E2903" s="1" t="s">
        <v>25</v>
      </c>
      <c r="F2903">
        <v>650</v>
      </c>
      <c r="G2903">
        <v>650</v>
      </c>
      <c r="H2903">
        <v>33</v>
      </c>
      <c r="I2903" s="1" t="s">
        <v>1528</v>
      </c>
      <c r="J2903" s="1" t="s">
        <v>3517</v>
      </c>
      <c r="K2903" s="1" t="s">
        <v>25</v>
      </c>
      <c r="L2903">
        <v>-1.6828537749429999</v>
      </c>
      <c r="M2903" t="str">
        <f t="shared" si="81"/>
        <v>44/40</v>
      </c>
      <c r="N2903" t="str">
        <f t="shared" si="82"/>
        <v>SW</v>
      </c>
      <c r="O2903" s="1" t="s">
        <v>25</v>
      </c>
      <c r="P2903" s="3" t="s">
        <v>25</v>
      </c>
      <c r="Q2903" s="37">
        <v>2.0401915157379502</v>
      </c>
      <c r="R2903" t="str">
        <f t="shared" si="83"/>
        <v>mmol/mol</v>
      </c>
      <c r="S2903" s="13">
        <f t="shared" si="80"/>
        <v>-1.6828537749429999</v>
      </c>
    </row>
    <row r="2904" spans="1:19">
      <c r="A2904" s="18" t="s">
        <v>3504</v>
      </c>
      <c r="B2904" s="1" t="s">
        <v>2998</v>
      </c>
      <c r="C2904" s="1" t="s">
        <v>3506</v>
      </c>
      <c r="D2904" s="1" t="s">
        <v>3558</v>
      </c>
      <c r="E2904" s="1" t="s">
        <v>25</v>
      </c>
      <c r="F2904">
        <v>650</v>
      </c>
      <c r="G2904">
        <v>650</v>
      </c>
      <c r="H2904">
        <v>33.799999999999997</v>
      </c>
      <c r="I2904" s="1" t="s">
        <v>1528</v>
      </c>
      <c r="J2904" s="1" t="s">
        <v>3517</v>
      </c>
      <c r="K2904" s="1" t="s">
        <v>25</v>
      </c>
      <c r="L2904" t="s">
        <v>25</v>
      </c>
      <c r="M2904" t="str">
        <f t="shared" si="81"/>
        <v>Na</v>
      </c>
      <c r="N2904" t="str">
        <f t="shared" si="82"/>
        <v>Na</v>
      </c>
      <c r="O2904" s="1" t="s">
        <v>25</v>
      </c>
      <c r="P2904" s="3" t="s">
        <v>25</v>
      </c>
      <c r="Q2904" s="37">
        <v>2.01040127824698</v>
      </c>
      <c r="R2904" t="str">
        <f t="shared" si="83"/>
        <v>mmol/mol</v>
      </c>
      <c r="S2904" s="13" t="s">
        <v>25</v>
      </c>
    </row>
    <row r="2905" spans="1:19">
      <c r="A2905" s="18" t="s">
        <v>3504</v>
      </c>
      <c r="B2905" s="1" t="s">
        <v>2999</v>
      </c>
      <c r="C2905" s="1" t="s">
        <v>3506</v>
      </c>
      <c r="D2905" s="1" t="s">
        <v>3558</v>
      </c>
      <c r="E2905" s="1" t="s">
        <v>25</v>
      </c>
      <c r="F2905">
        <v>650</v>
      </c>
      <c r="G2905">
        <v>650</v>
      </c>
      <c r="H2905">
        <v>35</v>
      </c>
      <c r="I2905" s="1" t="s">
        <v>1528</v>
      </c>
      <c r="J2905" s="1" t="s">
        <v>3517</v>
      </c>
      <c r="K2905" s="1" t="s">
        <v>25</v>
      </c>
      <c r="L2905" t="s">
        <v>25</v>
      </c>
      <c r="M2905" t="str">
        <f t="shared" si="81"/>
        <v>Na</v>
      </c>
      <c r="N2905" t="str">
        <f t="shared" si="82"/>
        <v>Na</v>
      </c>
      <c r="O2905" s="1" t="s">
        <v>25</v>
      </c>
      <c r="P2905" s="3" t="s">
        <v>25</v>
      </c>
      <c r="Q2905" s="37">
        <v>1.4049963478657801</v>
      </c>
      <c r="R2905" t="str">
        <f t="shared" si="83"/>
        <v>mmol/mol</v>
      </c>
      <c r="S2905" s="13" t="s">
        <v>25</v>
      </c>
    </row>
    <row r="2906" spans="1:19">
      <c r="A2906" s="18" t="s">
        <v>3504</v>
      </c>
      <c r="B2906" s="1" t="s">
        <v>3000</v>
      </c>
      <c r="C2906" s="1" t="s">
        <v>3506</v>
      </c>
      <c r="D2906" s="1" t="s">
        <v>3558</v>
      </c>
      <c r="E2906" s="1" t="s">
        <v>25</v>
      </c>
      <c r="F2906">
        <v>650</v>
      </c>
      <c r="G2906">
        <v>650</v>
      </c>
      <c r="H2906">
        <v>36</v>
      </c>
      <c r="I2906" s="1" t="s">
        <v>1528</v>
      </c>
      <c r="J2906" s="1" t="s">
        <v>3517</v>
      </c>
      <c r="K2906" s="1" t="s">
        <v>25</v>
      </c>
      <c r="L2906">
        <v>-1.62711036287013</v>
      </c>
      <c r="M2906" t="str">
        <f t="shared" si="81"/>
        <v>44/40</v>
      </c>
      <c r="N2906" t="str">
        <f t="shared" si="82"/>
        <v>SW</v>
      </c>
      <c r="O2906" s="1" t="s">
        <v>25</v>
      </c>
      <c r="P2906" s="3" t="s">
        <v>25</v>
      </c>
      <c r="Q2906" s="37">
        <v>1.4687443991401601</v>
      </c>
      <c r="R2906" t="str">
        <f t="shared" si="83"/>
        <v>mmol/mol</v>
      </c>
      <c r="S2906" s="13">
        <f t="shared" si="80"/>
        <v>-1.62711036287013</v>
      </c>
    </row>
    <row r="2907" spans="1:19">
      <c r="A2907" s="18" t="s">
        <v>3504</v>
      </c>
      <c r="B2907" s="1" t="s">
        <v>3001</v>
      </c>
      <c r="C2907" s="1" t="s">
        <v>3506</v>
      </c>
      <c r="D2907" s="1" t="s">
        <v>3558</v>
      </c>
      <c r="E2907" s="1" t="s">
        <v>25</v>
      </c>
      <c r="F2907">
        <v>650</v>
      </c>
      <c r="G2907">
        <v>650</v>
      </c>
      <c r="H2907">
        <v>36.700000000000003</v>
      </c>
      <c r="I2907" s="1" t="s">
        <v>1528</v>
      </c>
      <c r="J2907" s="1" t="s">
        <v>3517</v>
      </c>
      <c r="K2907" s="1" t="s">
        <v>25</v>
      </c>
      <c r="L2907">
        <v>-1.5999012061923199</v>
      </c>
      <c r="M2907" t="str">
        <f t="shared" si="81"/>
        <v>44/40</v>
      </c>
      <c r="N2907" t="str">
        <f t="shared" si="82"/>
        <v>SW</v>
      </c>
      <c r="O2907" s="1" t="s">
        <v>25</v>
      </c>
      <c r="P2907" s="3" t="s">
        <v>25</v>
      </c>
      <c r="Q2907" s="37">
        <v>2.2292794870580401</v>
      </c>
      <c r="R2907" t="str">
        <f t="shared" si="83"/>
        <v>mmol/mol</v>
      </c>
      <c r="S2907" s="13">
        <f t="shared" si="80"/>
        <v>-1.5999012061923199</v>
      </c>
    </row>
    <row r="2908" spans="1:19">
      <c r="A2908" s="18" t="s">
        <v>3504</v>
      </c>
      <c r="B2908" s="1" t="s">
        <v>3002</v>
      </c>
      <c r="C2908" s="1" t="s">
        <v>3506</v>
      </c>
      <c r="D2908" s="1" t="s">
        <v>3558</v>
      </c>
      <c r="E2908" s="1" t="s">
        <v>25</v>
      </c>
      <c r="F2908">
        <v>650</v>
      </c>
      <c r="G2908">
        <v>650</v>
      </c>
      <c r="H2908">
        <v>43</v>
      </c>
      <c r="I2908" s="1" t="s">
        <v>1528</v>
      </c>
      <c r="J2908" s="1" t="s">
        <v>3517</v>
      </c>
      <c r="K2908" s="1" t="s">
        <v>25</v>
      </c>
      <c r="L2908">
        <v>-1.5022682850586899</v>
      </c>
      <c r="M2908" t="str">
        <f t="shared" si="81"/>
        <v>44/40</v>
      </c>
      <c r="N2908" t="str">
        <f t="shared" si="82"/>
        <v>SW</v>
      </c>
      <c r="O2908" s="1" t="s">
        <v>25</v>
      </c>
      <c r="P2908" s="3" t="s">
        <v>25</v>
      </c>
      <c r="Q2908" s="37">
        <v>1.04745610596343</v>
      </c>
      <c r="R2908" t="str">
        <f t="shared" si="83"/>
        <v>mmol/mol</v>
      </c>
      <c r="S2908" s="13">
        <f t="shared" si="80"/>
        <v>-1.5022682850586899</v>
      </c>
    </row>
    <row r="2909" spans="1:19">
      <c r="A2909" s="18" t="s">
        <v>3504</v>
      </c>
      <c r="B2909" s="1" t="s">
        <v>3003</v>
      </c>
      <c r="C2909" s="1" t="s">
        <v>3506</v>
      </c>
      <c r="D2909" s="1" t="s">
        <v>3558</v>
      </c>
      <c r="E2909" s="1" t="s">
        <v>25</v>
      </c>
      <c r="F2909">
        <v>650</v>
      </c>
      <c r="G2909">
        <v>650</v>
      </c>
      <c r="H2909">
        <v>44</v>
      </c>
      <c r="I2909" s="1" t="s">
        <v>1528</v>
      </c>
      <c r="J2909" s="1" t="s">
        <v>3517</v>
      </c>
      <c r="K2909" s="1" t="s">
        <v>25</v>
      </c>
      <c r="L2909" t="s">
        <v>25</v>
      </c>
      <c r="M2909" t="str">
        <f t="shared" si="81"/>
        <v>Na</v>
      </c>
      <c r="N2909" t="str">
        <f t="shared" si="82"/>
        <v>Na</v>
      </c>
      <c r="O2909" s="1" t="s">
        <v>25</v>
      </c>
      <c r="P2909" s="3" t="s">
        <v>25</v>
      </c>
      <c r="Q2909" s="37">
        <v>3.1412519972609001</v>
      </c>
      <c r="R2909" t="str">
        <f t="shared" si="83"/>
        <v>mmol/mol</v>
      </c>
      <c r="S2909" s="13" t="s">
        <v>25</v>
      </c>
    </row>
    <row r="2910" spans="1:19">
      <c r="A2910" s="18" t="s">
        <v>3504</v>
      </c>
      <c r="B2910" s="1" t="s">
        <v>3004</v>
      </c>
      <c r="C2910" s="1" t="s">
        <v>3506</v>
      </c>
      <c r="D2910" s="1" t="s">
        <v>3558</v>
      </c>
      <c r="E2910" s="1" t="s">
        <v>25</v>
      </c>
      <c r="F2910">
        <v>650</v>
      </c>
      <c r="G2910">
        <v>650</v>
      </c>
      <c r="H2910">
        <v>47</v>
      </c>
      <c r="I2910" s="1" t="s">
        <v>1528</v>
      </c>
      <c r="J2910" s="1" t="s">
        <v>3517</v>
      </c>
      <c r="K2910" s="1" t="s">
        <v>25</v>
      </c>
      <c r="L2910">
        <v>-1.0432979730433101</v>
      </c>
      <c r="M2910" t="str">
        <f t="shared" si="81"/>
        <v>44/40</v>
      </c>
      <c r="N2910" t="str">
        <f t="shared" si="82"/>
        <v>SW</v>
      </c>
      <c r="O2910" s="1" t="s">
        <v>25</v>
      </c>
      <c r="P2910" s="3" t="s">
        <v>25</v>
      </c>
      <c r="Q2910" s="37">
        <v>0.39314355914237697</v>
      </c>
      <c r="R2910" t="str">
        <f t="shared" si="83"/>
        <v>mmol/mol</v>
      </c>
      <c r="S2910" s="13">
        <f t="shared" si="80"/>
        <v>-1.0432979730433101</v>
      </c>
    </row>
    <row r="2911" spans="1:19">
      <c r="A2911" s="18" t="s">
        <v>3504</v>
      </c>
      <c r="B2911" s="1" t="s">
        <v>3005</v>
      </c>
      <c r="C2911" s="1" t="s">
        <v>3506</v>
      </c>
      <c r="D2911" s="1" t="s">
        <v>3558</v>
      </c>
      <c r="E2911" s="1" t="s">
        <v>25</v>
      </c>
      <c r="F2911">
        <v>650</v>
      </c>
      <c r="G2911">
        <v>650</v>
      </c>
      <c r="H2911">
        <v>7</v>
      </c>
      <c r="I2911" s="1" t="s">
        <v>1528</v>
      </c>
      <c r="J2911" s="1" t="s">
        <v>3518</v>
      </c>
      <c r="K2911" s="1" t="s">
        <v>25</v>
      </c>
      <c r="L2911" t="s">
        <v>25</v>
      </c>
      <c r="M2911" t="str">
        <f t="shared" si="81"/>
        <v>Na</v>
      </c>
      <c r="N2911" t="str">
        <f t="shared" si="82"/>
        <v>Na</v>
      </c>
      <c r="O2911" s="1" t="s">
        <v>25</v>
      </c>
      <c r="P2911" s="3" t="s">
        <v>25</v>
      </c>
      <c r="Q2911" s="37" t="s">
        <v>25</v>
      </c>
      <c r="R2911" t="str">
        <f t="shared" si="83"/>
        <v>Na</v>
      </c>
      <c r="S2911" s="13" t="s">
        <v>25</v>
      </c>
    </row>
    <row r="2912" spans="1:19">
      <c r="A2912" s="18" t="s">
        <v>3504</v>
      </c>
      <c r="B2912" s="1" t="s">
        <v>3006</v>
      </c>
      <c r="C2912" s="1" t="s">
        <v>3506</v>
      </c>
      <c r="D2912" s="1" t="s">
        <v>3558</v>
      </c>
      <c r="E2912" s="1" t="s">
        <v>25</v>
      </c>
      <c r="F2912">
        <v>650</v>
      </c>
      <c r="G2912">
        <v>650</v>
      </c>
      <c r="H2912">
        <v>15</v>
      </c>
      <c r="I2912" s="1" t="s">
        <v>1528</v>
      </c>
      <c r="J2912" s="1" t="s">
        <v>3519</v>
      </c>
      <c r="K2912" s="1" t="s">
        <v>25</v>
      </c>
      <c r="L2912" t="s">
        <v>25</v>
      </c>
      <c r="M2912" t="str">
        <f t="shared" si="81"/>
        <v>Na</v>
      </c>
      <c r="N2912" t="str">
        <f t="shared" si="82"/>
        <v>Na</v>
      </c>
      <c r="O2912" s="1" t="s">
        <v>25</v>
      </c>
      <c r="P2912" s="3" t="s">
        <v>25</v>
      </c>
      <c r="Q2912" s="37">
        <v>1.19040574374108</v>
      </c>
      <c r="R2912" t="str">
        <f t="shared" si="83"/>
        <v>mmol/mol</v>
      </c>
      <c r="S2912" s="13" t="s">
        <v>25</v>
      </c>
    </row>
    <row r="2913" spans="1:19">
      <c r="A2913" s="18" t="s">
        <v>3504</v>
      </c>
      <c r="B2913" s="1" t="s">
        <v>3007</v>
      </c>
      <c r="C2913" s="1" t="s">
        <v>3506</v>
      </c>
      <c r="D2913" s="1" t="s">
        <v>3558</v>
      </c>
      <c r="E2913" s="1" t="s">
        <v>25</v>
      </c>
      <c r="F2913">
        <v>650</v>
      </c>
      <c r="G2913">
        <v>650</v>
      </c>
      <c r="H2913">
        <v>19</v>
      </c>
      <c r="I2913" s="1" t="s">
        <v>1528</v>
      </c>
      <c r="J2913" s="1" t="s">
        <v>3519</v>
      </c>
      <c r="K2913" s="1" t="s">
        <v>25</v>
      </c>
      <c r="L2913" t="s">
        <v>25</v>
      </c>
      <c r="M2913" t="str">
        <f t="shared" si="81"/>
        <v>Na</v>
      </c>
      <c r="N2913" t="str">
        <f t="shared" si="82"/>
        <v>Na</v>
      </c>
      <c r="O2913" s="1" t="s">
        <v>25</v>
      </c>
      <c r="P2913" s="3" t="s">
        <v>25</v>
      </c>
      <c r="Q2913" s="37">
        <v>0.97919051839132998</v>
      </c>
      <c r="R2913" t="str">
        <f t="shared" si="83"/>
        <v>mmol/mol</v>
      </c>
      <c r="S2913" s="13" t="s">
        <v>25</v>
      </c>
    </row>
    <row r="2914" spans="1:19">
      <c r="A2914" s="18" t="s">
        <v>3504</v>
      </c>
      <c r="B2914" s="1" t="s">
        <v>3008</v>
      </c>
      <c r="C2914" s="1" t="s">
        <v>3506</v>
      </c>
      <c r="D2914" s="1" t="s">
        <v>3558</v>
      </c>
      <c r="E2914" s="1" t="s">
        <v>25</v>
      </c>
      <c r="F2914">
        <v>650</v>
      </c>
      <c r="G2914">
        <v>650</v>
      </c>
      <c r="H2914">
        <v>21</v>
      </c>
      <c r="I2914" s="1" t="s">
        <v>1528</v>
      </c>
      <c r="J2914" s="1" t="s">
        <v>3519</v>
      </c>
      <c r="K2914" s="1" t="s">
        <v>25</v>
      </c>
      <c r="L2914">
        <v>-1.0201605790349599</v>
      </c>
      <c r="M2914" t="str">
        <f t="shared" si="81"/>
        <v>44/40</v>
      </c>
      <c r="N2914" t="str">
        <f t="shared" si="82"/>
        <v>SW</v>
      </c>
      <c r="O2914" s="1" t="s">
        <v>25</v>
      </c>
      <c r="P2914" s="3" t="s">
        <v>25</v>
      </c>
      <c r="Q2914" s="37">
        <v>0.95507611455251495</v>
      </c>
      <c r="R2914" t="str">
        <f t="shared" si="83"/>
        <v>mmol/mol</v>
      </c>
      <c r="S2914" s="13">
        <f t="shared" si="80"/>
        <v>-1.0201605790349599</v>
      </c>
    </row>
    <row r="2915" spans="1:19">
      <c r="A2915" s="18" t="s">
        <v>3504</v>
      </c>
      <c r="B2915" s="1" t="s">
        <v>3009</v>
      </c>
      <c r="C2915" s="1" t="s">
        <v>3506</v>
      </c>
      <c r="D2915" s="1" t="s">
        <v>3558</v>
      </c>
      <c r="E2915" s="1" t="s">
        <v>25</v>
      </c>
      <c r="F2915">
        <v>650</v>
      </c>
      <c r="G2915">
        <v>650</v>
      </c>
      <c r="H2915">
        <v>23.8</v>
      </c>
      <c r="I2915" s="1" t="s">
        <v>1528</v>
      </c>
      <c r="J2915" s="1" t="s">
        <v>3520</v>
      </c>
      <c r="K2915" s="1" t="s">
        <v>25</v>
      </c>
      <c r="L2915">
        <v>-1.0883322297536799</v>
      </c>
      <c r="M2915" t="str">
        <f t="shared" si="81"/>
        <v>44/40</v>
      </c>
      <c r="N2915" t="str">
        <f t="shared" si="82"/>
        <v>SW</v>
      </c>
      <c r="O2915" s="1" t="s">
        <v>25</v>
      </c>
      <c r="P2915" s="3" t="s">
        <v>25</v>
      </c>
      <c r="Q2915" s="37">
        <v>1.37262252686288</v>
      </c>
      <c r="R2915" t="str">
        <f t="shared" si="83"/>
        <v>mmol/mol</v>
      </c>
      <c r="S2915" s="13">
        <f t="shared" si="80"/>
        <v>-1.0883322297536799</v>
      </c>
    </row>
    <row r="2916" spans="1:19">
      <c r="A2916" s="18" t="s">
        <v>3504</v>
      </c>
      <c r="B2916" s="1" t="s">
        <v>3010</v>
      </c>
      <c r="C2916" s="1" t="s">
        <v>3506</v>
      </c>
      <c r="D2916" s="1" t="s">
        <v>3558</v>
      </c>
      <c r="E2916" s="1" t="s">
        <v>25</v>
      </c>
      <c r="F2916">
        <v>650</v>
      </c>
      <c r="G2916">
        <v>650</v>
      </c>
      <c r="H2916">
        <v>27.6</v>
      </c>
      <c r="I2916" s="1" t="s">
        <v>1528</v>
      </c>
      <c r="J2916" s="1" t="s">
        <v>3520</v>
      </c>
      <c r="K2916" s="1" t="s">
        <v>25</v>
      </c>
      <c r="L2916">
        <v>-1.1466697085419</v>
      </c>
      <c r="M2916" t="str">
        <f t="shared" si="81"/>
        <v>44/40</v>
      </c>
      <c r="N2916" t="str">
        <f t="shared" si="82"/>
        <v>SW</v>
      </c>
      <c r="O2916" s="1" t="s">
        <v>25</v>
      </c>
      <c r="P2916" s="3" t="s">
        <v>25</v>
      </c>
      <c r="Q2916" s="37">
        <v>1.93309845300661</v>
      </c>
      <c r="R2916" t="str">
        <f t="shared" si="83"/>
        <v>mmol/mol</v>
      </c>
      <c r="S2916" s="13">
        <f t="shared" si="80"/>
        <v>-1.1466697085419</v>
      </c>
    </row>
    <row r="2917" spans="1:19">
      <c r="A2917" s="18" t="s">
        <v>3504</v>
      </c>
      <c r="B2917" s="1" t="s">
        <v>3011</v>
      </c>
      <c r="C2917" s="1" t="s">
        <v>3506</v>
      </c>
      <c r="D2917" s="1" t="s">
        <v>3558</v>
      </c>
      <c r="E2917" s="1" t="s">
        <v>25</v>
      </c>
      <c r="F2917">
        <v>650</v>
      </c>
      <c r="G2917">
        <v>650</v>
      </c>
      <c r="H2917">
        <v>30.5</v>
      </c>
      <c r="I2917" s="1" t="s">
        <v>1528</v>
      </c>
      <c r="J2917" s="1" t="s">
        <v>3521</v>
      </c>
      <c r="K2917" s="1" t="s">
        <v>25</v>
      </c>
      <c r="L2917">
        <v>-1.07677798225651</v>
      </c>
      <c r="M2917" t="str">
        <f t="shared" si="81"/>
        <v>44/40</v>
      </c>
      <c r="N2917" t="str">
        <f t="shared" si="82"/>
        <v>SW</v>
      </c>
      <c r="O2917" s="1" t="s">
        <v>25</v>
      </c>
      <c r="P2917" s="3" t="s">
        <v>25</v>
      </c>
      <c r="Q2917" s="37">
        <v>0.98931580371899897</v>
      </c>
      <c r="R2917" t="str">
        <f t="shared" si="83"/>
        <v>mmol/mol</v>
      </c>
      <c r="S2917" s="13">
        <f t="shared" si="80"/>
        <v>-1.07677798225651</v>
      </c>
    </row>
    <row r="2918" spans="1:19">
      <c r="A2918" s="18" t="s">
        <v>3504</v>
      </c>
      <c r="B2918" s="1" t="s">
        <v>3012</v>
      </c>
      <c r="C2918" s="1" t="s">
        <v>3506</v>
      </c>
      <c r="D2918" s="1" t="s">
        <v>3558</v>
      </c>
      <c r="E2918" s="1" t="s">
        <v>25</v>
      </c>
      <c r="F2918">
        <v>650</v>
      </c>
      <c r="G2918">
        <v>650</v>
      </c>
      <c r="H2918">
        <v>32.200000000000003</v>
      </c>
      <c r="I2918" s="1" t="s">
        <v>1528</v>
      </c>
      <c r="J2918" s="1" t="s">
        <v>3521</v>
      </c>
      <c r="K2918" s="1" t="s">
        <v>25</v>
      </c>
      <c r="L2918">
        <v>-0.91574774673914305</v>
      </c>
      <c r="M2918" t="str">
        <f t="shared" si="81"/>
        <v>44/40</v>
      </c>
      <c r="N2918" t="str">
        <f t="shared" si="82"/>
        <v>SW</v>
      </c>
      <c r="O2918" s="1" t="s">
        <v>25</v>
      </c>
      <c r="P2918" s="3" t="s">
        <v>25</v>
      </c>
      <c r="Q2918" s="37">
        <v>0.54194621729937698</v>
      </c>
      <c r="R2918" t="str">
        <f t="shared" si="83"/>
        <v>mmol/mol</v>
      </c>
      <c r="S2918" s="13">
        <f t="shared" si="80"/>
        <v>-0.91574774673914305</v>
      </c>
    </row>
    <row r="2919" spans="1:19">
      <c r="A2919" s="18" t="s">
        <v>3504</v>
      </c>
      <c r="B2919" s="1" t="s">
        <v>3013</v>
      </c>
      <c r="C2919" s="1" t="s">
        <v>3506</v>
      </c>
      <c r="D2919" s="1" t="s">
        <v>3558</v>
      </c>
      <c r="E2919" s="1" t="s">
        <v>25</v>
      </c>
      <c r="F2919">
        <v>650</v>
      </c>
      <c r="G2919">
        <v>650</v>
      </c>
      <c r="H2919">
        <v>35</v>
      </c>
      <c r="I2919" s="1" t="s">
        <v>1528</v>
      </c>
      <c r="J2919" s="1" t="s">
        <v>3522</v>
      </c>
      <c r="K2919" s="1" t="s">
        <v>25</v>
      </c>
      <c r="L2919" t="s">
        <v>25</v>
      </c>
      <c r="M2919" t="str">
        <f t="shared" si="81"/>
        <v>Na</v>
      </c>
      <c r="N2919" t="str">
        <f t="shared" si="82"/>
        <v>Na</v>
      </c>
      <c r="O2919" s="1" t="s">
        <v>25</v>
      </c>
      <c r="P2919" s="3" t="s">
        <v>25</v>
      </c>
      <c r="Q2919" s="37" t="s">
        <v>25</v>
      </c>
      <c r="R2919" t="str">
        <f t="shared" si="83"/>
        <v>Na</v>
      </c>
      <c r="S2919" s="13" t="s">
        <v>25</v>
      </c>
    </row>
    <row r="2920" spans="1:19">
      <c r="A2920" s="18" t="s">
        <v>3504</v>
      </c>
      <c r="B2920" s="1" t="s">
        <v>3014</v>
      </c>
      <c r="C2920" s="1" t="s">
        <v>3506</v>
      </c>
      <c r="D2920" s="1" t="s">
        <v>3558</v>
      </c>
      <c r="E2920" s="1" t="s">
        <v>25</v>
      </c>
      <c r="F2920">
        <v>650</v>
      </c>
      <c r="G2920">
        <v>650</v>
      </c>
      <c r="H2920">
        <v>39</v>
      </c>
      <c r="I2920" s="1" t="s">
        <v>1528</v>
      </c>
      <c r="J2920" s="1" t="s">
        <v>3522</v>
      </c>
      <c r="K2920" s="1" t="s">
        <v>25</v>
      </c>
      <c r="L2920">
        <v>-1.0761775921311301</v>
      </c>
      <c r="M2920" t="str">
        <f t="shared" si="81"/>
        <v>44/40</v>
      </c>
      <c r="N2920" t="str">
        <f t="shared" si="82"/>
        <v>SW</v>
      </c>
      <c r="O2920" s="1" t="s">
        <v>25</v>
      </c>
      <c r="P2920" s="3" t="s">
        <v>25</v>
      </c>
      <c r="Q2920" s="37">
        <v>0.87773463991296796</v>
      </c>
      <c r="R2920" t="str">
        <f t="shared" si="83"/>
        <v>mmol/mol</v>
      </c>
      <c r="S2920" s="13">
        <f t="shared" si="80"/>
        <v>-1.0761775921311301</v>
      </c>
    </row>
    <row r="2921" spans="1:19">
      <c r="A2921" s="18" t="s">
        <v>3504</v>
      </c>
      <c r="B2921" s="1" t="s">
        <v>3015</v>
      </c>
      <c r="C2921" s="1" t="s">
        <v>3506</v>
      </c>
      <c r="D2921" s="1" t="s">
        <v>3558</v>
      </c>
      <c r="E2921" s="1" t="s">
        <v>25</v>
      </c>
      <c r="F2921">
        <v>650</v>
      </c>
      <c r="G2921">
        <v>650</v>
      </c>
      <c r="H2921">
        <v>43</v>
      </c>
      <c r="I2921" s="1" t="s">
        <v>1528</v>
      </c>
      <c r="J2921" s="1" t="s">
        <v>3523</v>
      </c>
      <c r="K2921" s="1" t="s">
        <v>25</v>
      </c>
      <c r="L2921">
        <v>-1.1591734027734899</v>
      </c>
      <c r="M2921" t="str">
        <f t="shared" si="81"/>
        <v>44/40</v>
      </c>
      <c r="N2921" t="str">
        <f t="shared" si="82"/>
        <v>SW</v>
      </c>
      <c r="O2921" s="1" t="s">
        <v>25</v>
      </c>
      <c r="P2921" s="3" t="s">
        <v>25</v>
      </c>
      <c r="Q2921" s="37">
        <v>0.91641735248481604</v>
      </c>
      <c r="R2921" t="str">
        <f t="shared" si="83"/>
        <v>mmol/mol</v>
      </c>
      <c r="S2921" s="13">
        <f t="shared" si="80"/>
        <v>-1.1591734027734899</v>
      </c>
    </row>
    <row r="2922" spans="1:19">
      <c r="A2922" s="18" t="s">
        <v>3504</v>
      </c>
      <c r="B2922" s="1" t="s">
        <v>3016</v>
      </c>
      <c r="C2922" s="1" t="s">
        <v>3506</v>
      </c>
      <c r="D2922" s="1" t="s">
        <v>3558</v>
      </c>
      <c r="E2922" s="1" t="s">
        <v>25</v>
      </c>
      <c r="F2922">
        <v>650</v>
      </c>
      <c r="G2922">
        <v>650</v>
      </c>
      <c r="H2922">
        <v>44</v>
      </c>
      <c r="I2922" s="1" t="s">
        <v>1528</v>
      </c>
      <c r="J2922" s="1" t="s">
        <v>3523</v>
      </c>
      <c r="K2922" s="1" t="s">
        <v>25</v>
      </c>
      <c r="L2922">
        <v>-1.0619422553584901</v>
      </c>
      <c r="M2922" t="str">
        <f t="shared" si="81"/>
        <v>44/40</v>
      </c>
      <c r="N2922" t="str">
        <f t="shared" si="82"/>
        <v>SW</v>
      </c>
      <c r="O2922" s="1" t="s">
        <v>25</v>
      </c>
      <c r="P2922" s="3" t="s">
        <v>25</v>
      </c>
      <c r="Q2922" s="37">
        <v>0.57044382431199403</v>
      </c>
      <c r="R2922" t="str">
        <f t="shared" si="83"/>
        <v>mmol/mol</v>
      </c>
      <c r="S2922" s="13">
        <f t="shared" si="80"/>
        <v>-1.0619422553584901</v>
      </c>
    </row>
    <row r="2923" spans="1:19">
      <c r="A2923" s="18" t="s">
        <v>3504</v>
      </c>
      <c r="B2923" s="1" t="s">
        <v>3017</v>
      </c>
      <c r="C2923" s="1" t="s">
        <v>3506</v>
      </c>
      <c r="D2923" s="1" t="s">
        <v>3558</v>
      </c>
      <c r="E2923" s="1" t="s">
        <v>25</v>
      </c>
      <c r="F2923">
        <v>650</v>
      </c>
      <c r="G2923">
        <v>650</v>
      </c>
      <c r="H2923">
        <v>46</v>
      </c>
      <c r="I2923" s="1" t="s">
        <v>1528</v>
      </c>
      <c r="J2923" s="1" t="s">
        <v>3520</v>
      </c>
      <c r="K2923" s="1" t="s">
        <v>25</v>
      </c>
      <c r="L2923">
        <v>-1.05894791034435</v>
      </c>
      <c r="M2923" t="str">
        <f t="shared" si="81"/>
        <v>44/40</v>
      </c>
      <c r="N2923" t="str">
        <f t="shared" si="82"/>
        <v>SW</v>
      </c>
      <c r="O2923" s="1" t="s">
        <v>25</v>
      </c>
      <c r="P2923" s="3" t="s">
        <v>25</v>
      </c>
      <c r="Q2923" s="37">
        <v>0.91071208802570003</v>
      </c>
      <c r="R2923" t="str">
        <f t="shared" si="83"/>
        <v>mmol/mol</v>
      </c>
      <c r="S2923" s="13">
        <f t="shared" si="80"/>
        <v>-1.05894791034435</v>
      </c>
    </row>
    <row r="2924" spans="1:19">
      <c r="A2924" s="18" t="s">
        <v>3504</v>
      </c>
      <c r="B2924" s="1" t="s">
        <v>3018</v>
      </c>
      <c r="C2924" s="1" t="s">
        <v>3506</v>
      </c>
      <c r="D2924" s="1" t="s">
        <v>3558</v>
      </c>
      <c r="E2924" s="1" t="s">
        <v>25</v>
      </c>
      <c r="F2924">
        <v>650</v>
      </c>
      <c r="G2924">
        <v>650</v>
      </c>
      <c r="H2924">
        <v>66.900000000000006</v>
      </c>
      <c r="I2924" s="1" t="s">
        <v>1528</v>
      </c>
      <c r="J2924" s="1" t="s">
        <v>3524</v>
      </c>
      <c r="K2924" s="1" t="s">
        <v>25</v>
      </c>
      <c r="L2924">
        <v>-0.83945008419401002</v>
      </c>
      <c r="M2924" t="str">
        <f t="shared" si="81"/>
        <v>44/40</v>
      </c>
      <c r="N2924" t="str">
        <f t="shared" si="82"/>
        <v>SW</v>
      </c>
      <c r="O2924" s="1" t="s">
        <v>25</v>
      </c>
      <c r="P2924" s="3" t="s">
        <v>25</v>
      </c>
      <c r="Q2924" s="37">
        <v>0.56653944376086696</v>
      </c>
      <c r="R2924" t="str">
        <f t="shared" si="83"/>
        <v>mmol/mol</v>
      </c>
      <c r="S2924" s="13">
        <f t="shared" ref="S2924:S2987" si="84">IF(NOT(N2924="SW"),L2924-1.88,L2924)</f>
        <v>-0.83945008419401002</v>
      </c>
    </row>
    <row r="2925" spans="1:19">
      <c r="A2925" s="18" t="s">
        <v>3504</v>
      </c>
      <c r="B2925" s="1" t="s">
        <v>3019</v>
      </c>
      <c r="C2925" s="1" t="s">
        <v>3506</v>
      </c>
      <c r="D2925" s="1" t="s">
        <v>3558</v>
      </c>
      <c r="E2925" s="1" t="s">
        <v>25</v>
      </c>
      <c r="F2925">
        <v>650</v>
      </c>
      <c r="G2925">
        <v>650</v>
      </c>
      <c r="H2925">
        <v>71.099999999999994</v>
      </c>
      <c r="I2925" s="1" t="s">
        <v>1528</v>
      </c>
      <c r="J2925" s="1" t="s">
        <v>3524</v>
      </c>
      <c r="K2925" s="1" t="s">
        <v>25</v>
      </c>
      <c r="L2925">
        <v>-1.0044573021949901</v>
      </c>
      <c r="M2925" t="str">
        <f t="shared" si="81"/>
        <v>44/40</v>
      </c>
      <c r="N2925" t="str">
        <f t="shared" si="82"/>
        <v>SW</v>
      </c>
      <c r="O2925" s="1" t="s">
        <v>25</v>
      </c>
      <c r="P2925" s="3" t="s">
        <v>25</v>
      </c>
      <c r="Q2925" s="37">
        <v>0.61796038446409596</v>
      </c>
      <c r="R2925" t="str">
        <f t="shared" si="83"/>
        <v>mmol/mol</v>
      </c>
      <c r="S2925" s="13">
        <f t="shared" si="84"/>
        <v>-1.0044573021949901</v>
      </c>
    </row>
    <row r="2926" spans="1:19">
      <c r="A2926" s="18" t="s">
        <v>3504</v>
      </c>
      <c r="B2926" s="1" t="s">
        <v>3020</v>
      </c>
      <c r="C2926" s="1" t="s">
        <v>3506</v>
      </c>
      <c r="D2926" s="1" t="s">
        <v>3558</v>
      </c>
      <c r="E2926" s="1" t="s">
        <v>25</v>
      </c>
      <c r="F2926">
        <v>650</v>
      </c>
      <c r="G2926">
        <v>650</v>
      </c>
      <c r="H2926">
        <v>72.3</v>
      </c>
      <c r="I2926" s="1" t="s">
        <v>1528</v>
      </c>
      <c r="J2926" s="1" t="s">
        <v>3524</v>
      </c>
      <c r="K2926" s="1" t="s">
        <v>25</v>
      </c>
      <c r="L2926">
        <v>-1.0255184125468899</v>
      </c>
      <c r="M2926" t="str">
        <f t="shared" si="81"/>
        <v>44/40</v>
      </c>
      <c r="N2926" t="str">
        <f t="shared" si="82"/>
        <v>SW</v>
      </c>
      <c r="O2926" s="1" t="s">
        <v>25</v>
      </c>
      <c r="P2926" s="3" t="s">
        <v>25</v>
      </c>
      <c r="Q2926" s="37">
        <v>0.61191998582285201</v>
      </c>
      <c r="R2926" t="str">
        <f t="shared" si="83"/>
        <v>mmol/mol</v>
      </c>
      <c r="S2926" s="13">
        <f t="shared" si="84"/>
        <v>-1.0255184125468899</v>
      </c>
    </row>
    <row r="2927" spans="1:19">
      <c r="A2927" s="18" t="s">
        <v>3504</v>
      </c>
      <c r="B2927" s="1" t="s">
        <v>3021</v>
      </c>
      <c r="C2927" s="1" t="s">
        <v>3506</v>
      </c>
      <c r="D2927" s="1" t="s">
        <v>3558</v>
      </c>
      <c r="E2927" s="1" t="s">
        <v>25</v>
      </c>
      <c r="F2927">
        <v>650</v>
      </c>
      <c r="G2927">
        <v>650</v>
      </c>
      <c r="H2927">
        <v>308</v>
      </c>
      <c r="I2927" s="1" t="s">
        <v>1528</v>
      </c>
      <c r="J2927" s="1" t="s">
        <v>3525</v>
      </c>
      <c r="K2927" s="1" t="s">
        <v>25</v>
      </c>
      <c r="L2927">
        <v>-0.92128718758357098</v>
      </c>
      <c r="M2927" t="str">
        <f t="shared" si="81"/>
        <v>44/40</v>
      </c>
      <c r="N2927" t="str">
        <f t="shared" si="82"/>
        <v>SW</v>
      </c>
      <c r="O2927" s="1" t="s">
        <v>25</v>
      </c>
      <c r="P2927" s="3" t="s">
        <v>25</v>
      </c>
      <c r="Q2927" s="37">
        <v>0.18813455199947901</v>
      </c>
      <c r="R2927" t="str">
        <f t="shared" si="83"/>
        <v>mmol/mol</v>
      </c>
      <c r="S2927" s="13">
        <f t="shared" si="84"/>
        <v>-0.92128718758357098</v>
      </c>
    </row>
    <row r="2928" spans="1:19">
      <c r="A2928" s="18" t="s">
        <v>3504</v>
      </c>
      <c r="B2928" s="1" t="s">
        <v>3022</v>
      </c>
      <c r="C2928" s="1" t="s">
        <v>3506</v>
      </c>
      <c r="D2928" s="1" t="s">
        <v>3558</v>
      </c>
      <c r="E2928" s="1" t="s">
        <v>25</v>
      </c>
      <c r="F2928">
        <v>650</v>
      </c>
      <c r="G2928">
        <v>650</v>
      </c>
      <c r="H2928">
        <v>312</v>
      </c>
      <c r="I2928" s="1" t="s">
        <v>1528</v>
      </c>
      <c r="J2928" s="1" t="s">
        <v>3526</v>
      </c>
      <c r="K2928" s="1" t="s">
        <v>25</v>
      </c>
      <c r="L2928">
        <v>-0.99500173889402699</v>
      </c>
      <c r="M2928" t="str">
        <f t="shared" ref="M2928:M2991" si="85">IF(L2928="Na","Na","44/40")</f>
        <v>44/40</v>
      </c>
      <c r="N2928" t="str">
        <f t="shared" ref="N2928:N2991" si="86">IF(M2928="Na","Na","SW")</f>
        <v>SW</v>
      </c>
      <c r="O2928" s="1" t="s">
        <v>25</v>
      </c>
      <c r="P2928" s="3" t="s">
        <v>25</v>
      </c>
      <c r="Q2928" s="37" t="s">
        <v>25</v>
      </c>
      <c r="R2928" t="str">
        <f t="shared" ref="R2928:R2991" si="87">IF(Q2928="Na","Na","mmol/mol")</f>
        <v>Na</v>
      </c>
      <c r="S2928" s="13">
        <f t="shared" si="84"/>
        <v>-0.99500173889402699</v>
      </c>
    </row>
    <row r="2929" spans="1:19">
      <c r="A2929" s="18" t="s">
        <v>3504</v>
      </c>
      <c r="B2929" s="1" t="s">
        <v>3023</v>
      </c>
      <c r="C2929" s="1" t="s">
        <v>3506</v>
      </c>
      <c r="D2929" s="1" t="s">
        <v>3558</v>
      </c>
      <c r="E2929" s="1" t="s">
        <v>25</v>
      </c>
      <c r="F2929">
        <v>650</v>
      </c>
      <c r="G2929">
        <v>650</v>
      </c>
      <c r="H2929">
        <v>316</v>
      </c>
      <c r="I2929" s="1" t="s">
        <v>1528</v>
      </c>
      <c r="J2929" s="1" t="s">
        <v>3518</v>
      </c>
      <c r="K2929" s="1" t="s">
        <v>25</v>
      </c>
      <c r="L2929">
        <v>-0.81899783201287102</v>
      </c>
      <c r="M2929" t="str">
        <f t="shared" si="85"/>
        <v>44/40</v>
      </c>
      <c r="N2929" t="str">
        <f t="shared" si="86"/>
        <v>SW</v>
      </c>
      <c r="O2929" s="1" t="s">
        <v>25</v>
      </c>
      <c r="P2929" s="3" t="s">
        <v>25</v>
      </c>
      <c r="Q2929" s="37">
        <v>1.1691890373656499</v>
      </c>
      <c r="R2929" t="str">
        <f t="shared" si="87"/>
        <v>mmol/mol</v>
      </c>
      <c r="S2929" s="13">
        <f t="shared" si="84"/>
        <v>-0.81899783201287102</v>
      </c>
    </row>
    <row r="2930" spans="1:19">
      <c r="A2930" s="18" t="s">
        <v>3504</v>
      </c>
      <c r="B2930" s="1" t="s">
        <v>3024</v>
      </c>
      <c r="C2930" s="1" t="s">
        <v>3506</v>
      </c>
      <c r="D2930" s="1" t="s">
        <v>3558</v>
      </c>
      <c r="E2930" s="1" t="s">
        <v>25</v>
      </c>
      <c r="F2930">
        <v>650</v>
      </c>
      <c r="G2930">
        <v>650</v>
      </c>
      <c r="H2930">
        <v>331</v>
      </c>
      <c r="I2930" s="1" t="s">
        <v>1528</v>
      </c>
      <c r="J2930" s="1" t="s">
        <v>3527</v>
      </c>
      <c r="K2930" s="1" t="s">
        <v>25</v>
      </c>
      <c r="L2930" t="s">
        <v>25</v>
      </c>
      <c r="M2930" t="str">
        <f t="shared" si="85"/>
        <v>Na</v>
      </c>
      <c r="N2930" t="str">
        <f t="shared" si="86"/>
        <v>Na</v>
      </c>
      <c r="O2930" s="1" t="s">
        <v>25</v>
      </c>
      <c r="P2930" s="3" t="s">
        <v>25</v>
      </c>
      <c r="Q2930" s="37" t="s">
        <v>25</v>
      </c>
      <c r="R2930" t="str">
        <f t="shared" si="87"/>
        <v>Na</v>
      </c>
      <c r="S2930" s="13" t="s">
        <v>25</v>
      </c>
    </row>
    <row r="2931" spans="1:19">
      <c r="A2931" s="18" t="s">
        <v>3504</v>
      </c>
      <c r="B2931" s="1" t="s">
        <v>3025</v>
      </c>
      <c r="C2931" s="1" t="s">
        <v>3506</v>
      </c>
      <c r="D2931" s="1" t="s">
        <v>3558</v>
      </c>
      <c r="E2931" s="1" t="s">
        <v>25</v>
      </c>
      <c r="F2931">
        <v>650</v>
      </c>
      <c r="G2931">
        <v>650</v>
      </c>
      <c r="H2931">
        <v>333</v>
      </c>
      <c r="I2931" s="1" t="s">
        <v>1528</v>
      </c>
      <c r="J2931" s="1" t="s">
        <v>3527</v>
      </c>
      <c r="K2931" s="1" t="s">
        <v>25</v>
      </c>
      <c r="L2931">
        <v>-1.04855121719997</v>
      </c>
      <c r="M2931" t="str">
        <f t="shared" si="85"/>
        <v>44/40</v>
      </c>
      <c r="N2931" t="str">
        <f t="shared" si="86"/>
        <v>SW</v>
      </c>
      <c r="O2931" s="1" t="s">
        <v>25</v>
      </c>
      <c r="P2931" s="3" t="s">
        <v>25</v>
      </c>
      <c r="Q2931" s="37">
        <v>1.59401615355802</v>
      </c>
      <c r="R2931" t="str">
        <f t="shared" si="87"/>
        <v>mmol/mol</v>
      </c>
      <c r="S2931" s="13">
        <f t="shared" si="84"/>
        <v>-1.04855121719997</v>
      </c>
    </row>
    <row r="2932" spans="1:19">
      <c r="A2932" s="18" t="s">
        <v>3504</v>
      </c>
      <c r="B2932" s="1" t="s">
        <v>3026</v>
      </c>
      <c r="C2932" s="1" t="s">
        <v>3506</v>
      </c>
      <c r="D2932" s="1" t="s">
        <v>3558</v>
      </c>
      <c r="E2932" s="1" t="s">
        <v>25</v>
      </c>
      <c r="F2932">
        <v>650</v>
      </c>
      <c r="G2932">
        <v>650</v>
      </c>
      <c r="H2932">
        <v>335</v>
      </c>
      <c r="I2932" s="1" t="s">
        <v>1528</v>
      </c>
      <c r="J2932" s="1" t="s">
        <v>3527</v>
      </c>
      <c r="K2932" s="1" t="s">
        <v>25</v>
      </c>
      <c r="L2932" t="s">
        <v>25</v>
      </c>
      <c r="M2932" t="str">
        <f t="shared" si="85"/>
        <v>Na</v>
      </c>
      <c r="N2932" t="str">
        <f t="shared" si="86"/>
        <v>Na</v>
      </c>
      <c r="O2932" s="1" t="s">
        <v>25</v>
      </c>
      <c r="P2932" s="3" t="s">
        <v>25</v>
      </c>
      <c r="Q2932" s="37" t="s">
        <v>25</v>
      </c>
      <c r="R2932" t="str">
        <f t="shared" si="87"/>
        <v>Na</v>
      </c>
      <c r="S2932" s="13" t="s">
        <v>25</v>
      </c>
    </row>
    <row r="2933" spans="1:19">
      <c r="A2933" s="18" t="s">
        <v>3504</v>
      </c>
      <c r="B2933" s="1" t="s">
        <v>3027</v>
      </c>
      <c r="C2933" s="1" t="s">
        <v>3506</v>
      </c>
      <c r="D2933" s="1" t="s">
        <v>3558</v>
      </c>
      <c r="E2933" s="1" t="s">
        <v>25</v>
      </c>
      <c r="F2933">
        <v>650</v>
      </c>
      <c r="G2933">
        <v>650</v>
      </c>
      <c r="H2933">
        <v>337</v>
      </c>
      <c r="I2933" s="1" t="s">
        <v>1528</v>
      </c>
      <c r="J2933" s="1" t="s">
        <v>3527</v>
      </c>
      <c r="K2933" s="1" t="s">
        <v>25</v>
      </c>
      <c r="L2933" t="s">
        <v>25</v>
      </c>
      <c r="M2933" t="str">
        <f t="shared" si="85"/>
        <v>Na</v>
      </c>
      <c r="N2933" t="str">
        <f t="shared" si="86"/>
        <v>Na</v>
      </c>
      <c r="O2933" s="1" t="s">
        <v>25</v>
      </c>
      <c r="P2933" s="3" t="s">
        <v>25</v>
      </c>
      <c r="Q2933" s="37" t="s">
        <v>25</v>
      </c>
      <c r="R2933" t="str">
        <f t="shared" si="87"/>
        <v>Na</v>
      </c>
      <c r="S2933" s="13" t="s">
        <v>25</v>
      </c>
    </row>
    <row r="2934" spans="1:19">
      <c r="A2934" s="18" t="s">
        <v>3504</v>
      </c>
      <c r="B2934" s="1" t="s">
        <v>3028</v>
      </c>
      <c r="C2934" s="1" t="s">
        <v>3506</v>
      </c>
      <c r="D2934" s="1" t="s">
        <v>3558</v>
      </c>
      <c r="E2934" s="1" t="s">
        <v>25</v>
      </c>
      <c r="F2934">
        <v>650</v>
      </c>
      <c r="G2934">
        <v>650</v>
      </c>
      <c r="H2934">
        <v>341</v>
      </c>
      <c r="I2934" s="1" t="s">
        <v>1528</v>
      </c>
      <c r="J2934" s="1" t="s">
        <v>3528</v>
      </c>
      <c r="K2934" s="1" t="s">
        <v>25</v>
      </c>
      <c r="L2934" t="s">
        <v>25</v>
      </c>
      <c r="M2934" t="str">
        <f t="shared" si="85"/>
        <v>Na</v>
      </c>
      <c r="N2934" t="str">
        <f t="shared" si="86"/>
        <v>Na</v>
      </c>
      <c r="O2934" s="1" t="s">
        <v>25</v>
      </c>
      <c r="P2934" s="3" t="s">
        <v>25</v>
      </c>
      <c r="Q2934" s="37" t="s">
        <v>25</v>
      </c>
      <c r="R2934" t="str">
        <f t="shared" si="87"/>
        <v>Na</v>
      </c>
      <c r="S2934" s="13" t="s">
        <v>25</v>
      </c>
    </row>
    <row r="2935" spans="1:19">
      <c r="A2935" s="18" t="s">
        <v>3504</v>
      </c>
      <c r="B2935" s="1" t="s">
        <v>3029</v>
      </c>
      <c r="C2935" s="1" t="s">
        <v>3506</v>
      </c>
      <c r="D2935" s="1" t="s">
        <v>3558</v>
      </c>
      <c r="E2935" s="1" t="s">
        <v>25</v>
      </c>
      <c r="F2935">
        <v>650</v>
      </c>
      <c r="G2935">
        <v>650</v>
      </c>
      <c r="H2935">
        <v>342</v>
      </c>
      <c r="I2935" s="1" t="s">
        <v>1528</v>
      </c>
      <c r="J2935" s="1" t="s">
        <v>3528</v>
      </c>
      <c r="K2935" s="1" t="s">
        <v>25</v>
      </c>
      <c r="L2935" t="s">
        <v>25</v>
      </c>
      <c r="M2935" t="str">
        <f t="shared" si="85"/>
        <v>Na</v>
      </c>
      <c r="N2935" t="str">
        <f t="shared" si="86"/>
        <v>Na</v>
      </c>
      <c r="O2935" s="1" t="s">
        <v>25</v>
      </c>
      <c r="P2935" s="3" t="s">
        <v>25</v>
      </c>
      <c r="Q2935" s="37" t="s">
        <v>25</v>
      </c>
      <c r="R2935" t="str">
        <f t="shared" si="87"/>
        <v>Na</v>
      </c>
      <c r="S2935" s="13" t="s">
        <v>25</v>
      </c>
    </row>
    <row r="2936" spans="1:19">
      <c r="A2936" s="18" t="s">
        <v>3504</v>
      </c>
      <c r="B2936" s="1" t="s">
        <v>3030</v>
      </c>
      <c r="C2936" s="1" t="s">
        <v>3506</v>
      </c>
      <c r="D2936" s="1" t="s">
        <v>3558</v>
      </c>
      <c r="E2936" s="1" t="s">
        <v>25</v>
      </c>
      <c r="F2936">
        <v>650</v>
      </c>
      <c r="G2936">
        <v>650</v>
      </c>
      <c r="H2936">
        <v>346</v>
      </c>
      <c r="I2936" s="1" t="s">
        <v>1528</v>
      </c>
      <c r="J2936" s="1" t="s">
        <v>3529</v>
      </c>
      <c r="K2936" s="1" t="s">
        <v>25</v>
      </c>
      <c r="L2936" t="s">
        <v>25</v>
      </c>
      <c r="M2936" t="str">
        <f t="shared" si="85"/>
        <v>Na</v>
      </c>
      <c r="N2936" t="str">
        <f t="shared" si="86"/>
        <v>Na</v>
      </c>
      <c r="O2936" s="1" t="s">
        <v>25</v>
      </c>
      <c r="P2936" s="3" t="s">
        <v>25</v>
      </c>
      <c r="Q2936" s="37" t="s">
        <v>25</v>
      </c>
      <c r="R2936" t="str">
        <f t="shared" si="87"/>
        <v>Na</v>
      </c>
      <c r="S2936" s="13" t="s">
        <v>25</v>
      </c>
    </row>
    <row r="2937" spans="1:19">
      <c r="A2937" s="18" t="s">
        <v>3504</v>
      </c>
      <c r="B2937" s="1" t="s">
        <v>3031</v>
      </c>
      <c r="C2937" s="1" t="s">
        <v>3506</v>
      </c>
      <c r="D2937" s="1" t="s">
        <v>3558</v>
      </c>
      <c r="E2937" s="1" t="s">
        <v>25</v>
      </c>
      <c r="F2937">
        <v>650</v>
      </c>
      <c r="G2937">
        <v>650</v>
      </c>
      <c r="H2937">
        <v>355</v>
      </c>
      <c r="I2937" s="1" t="s">
        <v>1528</v>
      </c>
      <c r="J2937" s="1" t="s">
        <v>3529</v>
      </c>
      <c r="K2937" s="1" t="s">
        <v>25</v>
      </c>
      <c r="L2937">
        <v>-0.89335878079382902</v>
      </c>
      <c r="M2937" t="str">
        <f t="shared" si="85"/>
        <v>44/40</v>
      </c>
      <c r="N2937" t="str">
        <f t="shared" si="86"/>
        <v>SW</v>
      </c>
      <c r="O2937" s="1" t="s">
        <v>25</v>
      </c>
      <c r="P2937" s="3" t="s">
        <v>25</v>
      </c>
      <c r="Q2937" s="37">
        <v>0.92732728259739095</v>
      </c>
      <c r="R2937" t="str">
        <f t="shared" si="87"/>
        <v>mmol/mol</v>
      </c>
      <c r="S2937" s="13">
        <f t="shared" si="84"/>
        <v>-0.89335878079382902</v>
      </c>
    </row>
    <row r="2938" spans="1:19">
      <c r="A2938" s="18" t="s">
        <v>3504</v>
      </c>
      <c r="B2938" s="1" t="s">
        <v>3032</v>
      </c>
      <c r="C2938" s="1" t="s">
        <v>3506</v>
      </c>
      <c r="D2938" s="1" t="s">
        <v>3558</v>
      </c>
      <c r="E2938" s="1" t="s">
        <v>25</v>
      </c>
      <c r="F2938">
        <v>650</v>
      </c>
      <c r="G2938">
        <v>650</v>
      </c>
      <c r="H2938">
        <v>365</v>
      </c>
      <c r="I2938" s="1" t="s">
        <v>1528</v>
      </c>
      <c r="J2938" s="1" t="s">
        <v>3530</v>
      </c>
      <c r="K2938" s="1" t="s">
        <v>25</v>
      </c>
      <c r="L2938">
        <v>-1.0892459905518499</v>
      </c>
      <c r="M2938" t="str">
        <f t="shared" si="85"/>
        <v>44/40</v>
      </c>
      <c r="N2938" t="str">
        <f t="shared" si="86"/>
        <v>SW</v>
      </c>
      <c r="O2938" s="1" t="s">
        <v>25</v>
      </c>
      <c r="P2938" s="3" t="s">
        <v>25</v>
      </c>
      <c r="Q2938" s="37">
        <v>0.542903877755471</v>
      </c>
      <c r="R2938" t="str">
        <f t="shared" si="87"/>
        <v>mmol/mol</v>
      </c>
      <c r="S2938" s="13">
        <f t="shared" si="84"/>
        <v>-1.0892459905518499</v>
      </c>
    </row>
    <row r="2939" spans="1:19">
      <c r="A2939" s="18" t="s">
        <v>3504</v>
      </c>
      <c r="B2939" s="1" t="s">
        <v>3033</v>
      </c>
      <c r="C2939" s="1" t="s">
        <v>3506</v>
      </c>
      <c r="D2939" s="1" t="s">
        <v>3558</v>
      </c>
      <c r="E2939" s="1" t="s">
        <v>25</v>
      </c>
      <c r="F2939">
        <v>650</v>
      </c>
      <c r="G2939">
        <v>650</v>
      </c>
      <c r="H2939">
        <v>376.5</v>
      </c>
      <c r="I2939" s="1" t="s">
        <v>1528</v>
      </c>
      <c r="J2939" s="1" t="s">
        <v>3531</v>
      </c>
      <c r="K2939" s="1" t="s">
        <v>25</v>
      </c>
      <c r="L2939">
        <v>-1.1121716179449701</v>
      </c>
      <c r="M2939" t="str">
        <f t="shared" si="85"/>
        <v>44/40</v>
      </c>
      <c r="N2939" t="str">
        <f t="shared" si="86"/>
        <v>SW</v>
      </c>
      <c r="O2939" s="1" t="s">
        <v>25</v>
      </c>
      <c r="P2939" s="3" t="s">
        <v>25</v>
      </c>
      <c r="Q2939" s="37" t="s">
        <v>25</v>
      </c>
      <c r="R2939" t="str">
        <f t="shared" si="87"/>
        <v>Na</v>
      </c>
      <c r="S2939" s="13">
        <f t="shared" si="84"/>
        <v>-1.1121716179449701</v>
      </c>
    </row>
    <row r="2940" spans="1:19">
      <c r="A2940" s="18" t="s">
        <v>3504</v>
      </c>
      <c r="B2940" s="1" t="s">
        <v>3034</v>
      </c>
      <c r="C2940" s="1" t="s">
        <v>3506</v>
      </c>
      <c r="D2940" s="1" t="s">
        <v>3558</v>
      </c>
      <c r="E2940" s="1" t="s">
        <v>25</v>
      </c>
      <c r="F2940">
        <v>650</v>
      </c>
      <c r="G2940">
        <v>650</v>
      </c>
      <c r="H2940">
        <v>388</v>
      </c>
      <c r="I2940" s="1" t="s">
        <v>1528</v>
      </c>
      <c r="J2940" s="1" t="s">
        <v>3532</v>
      </c>
      <c r="K2940" s="1" t="s">
        <v>25</v>
      </c>
      <c r="L2940">
        <v>-1.0106497086975501</v>
      </c>
      <c r="M2940" t="str">
        <f t="shared" si="85"/>
        <v>44/40</v>
      </c>
      <c r="N2940" t="str">
        <f t="shared" si="86"/>
        <v>SW</v>
      </c>
      <c r="O2940" s="1" t="s">
        <v>25</v>
      </c>
      <c r="P2940" s="3" t="s">
        <v>25</v>
      </c>
      <c r="Q2940" s="37">
        <v>5.4237304313964001E-2</v>
      </c>
      <c r="R2940" t="str">
        <f t="shared" si="87"/>
        <v>mmol/mol</v>
      </c>
      <c r="S2940" s="13">
        <f t="shared" si="84"/>
        <v>-1.0106497086975501</v>
      </c>
    </row>
    <row r="2941" spans="1:19">
      <c r="A2941" s="18" t="s">
        <v>3504</v>
      </c>
      <c r="B2941" s="1" t="s">
        <v>3035</v>
      </c>
      <c r="C2941" s="1" t="s">
        <v>3506</v>
      </c>
      <c r="D2941" s="1" t="s">
        <v>3558</v>
      </c>
      <c r="E2941" s="1" t="s">
        <v>25</v>
      </c>
      <c r="F2941">
        <v>650</v>
      </c>
      <c r="G2941">
        <v>650</v>
      </c>
      <c r="H2941">
        <v>394</v>
      </c>
      <c r="I2941" s="1" t="s">
        <v>1528</v>
      </c>
      <c r="J2941" s="1" t="s">
        <v>3532</v>
      </c>
      <c r="K2941" s="1" t="s">
        <v>25</v>
      </c>
      <c r="L2941">
        <v>-0.98965316667278203</v>
      </c>
      <c r="M2941" t="str">
        <f t="shared" si="85"/>
        <v>44/40</v>
      </c>
      <c r="N2941" t="str">
        <f t="shared" si="86"/>
        <v>SW</v>
      </c>
      <c r="O2941" s="1" t="s">
        <v>25</v>
      </c>
      <c r="P2941" s="3" t="s">
        <v>25</v>
      </c>
      <c r="Q2941" s="37">
        <v>6.2451302264516603E-2</v>
      </c>
      <c r="R2941" t="str">
        <f t="shared" si="87"/>
        <v>mmol/mol</v>
      </c>
      <c r="S2941" s="13">
        <f t="shared" si="84"/>
        <v>-0.98965316667278203</v>
      </c>
    </row>
    <row r="2942" spans="1:19">
      <c r="A2942" s="18" t="s">
        <v>3504</v>
      </c>
      <c r="B2942" s="1" t="s">
        <v>3036</v>
      </c>
      <c r="C2942" s="1" t="s">
        <v>3506</v>
      </c>
      <c r="D2942" s="1" t="s">
        <v>3558</v>
      </c>
      <c r="E2942" s="1" t="s">
        <v>25</v>
      </c>
      <c r="F2942">
        <v>650</v>
      </c>
      <c r="G2942">
        <v>650</v>
      </c>
      <c r="H2942">
        <v>402</v>
      </c>
      <c r="I2942" s="1" t="s">
        <v>1528</v>
      </c>
      <c r="J2942" s="1" t="s">
        <v>3532</v>
      </c>
      <c r="K2942" s="1" t="s">
        <v>25</v>
      </c>
      <c r="L2942">
        <v>-1.05301111718707</v>
      </c>
      <c r="M2942" t="str">
        <f t="shared" si="85"/>
        <v>44/40</v>
      </c>
      <c r="N2942" t="str">
        <f t="shared" si="86"/>
        <v>SW</v>
      </c>
      <c r="O2942" s="1" t="s">
        <v>25</v>
      </c>
      <c r="P2942" s="3" t="s">
        <v>25</v>
      </c>
      <c r="Q2942" s="37" t="s">
        <v>25</v>
      </c>
      <c r="R2942" t="str">
        <f t="shared" si="87"/>
        <v>Na</v>
      </c>
      <c r="S2942" s="13">
        <f t="shared" si="84"/>
        <v>-1.05301111718707</v>
      </c>
    </row>
    <row r="2943" spans="1:19">
      <c r="A2943" s="18" t="s">
        <v>3504</v>
      </c>
      <c r="B2943" s="1" t="s">
        <v>3037</v>
      </c>
      <c r="C2943" s="1" t="s">
        <v>3506</v>
      </c>
      <c r="D2943" s="1" t="s">
        <v>3558</v>
      </c>
      <c r="E2943" s="1" t="s">
        <v>25</v>
      </c>
      <c r="F2943">
        <v>650</v>
      </c>
      <c r="G2943">
        <v>650</v>
      </c>
      <c r="H2943">
        <v>409</v>
      </c>
      <c r="I2943" s="1" t="s">
        <v>1528</v>
      </c>
      <c r="J2943" s="1" t="s">
        <v>3532</v>
      </c>
      <c r="K2943" s="1" t="s">
        <v>25</v>
      </c>
      <c r="L2943">
        <v>-1.0565601174383299</v>
      </c>
      <c r="M2943" t="str">
        <f t="shared" si="85"/>
        <v>44/40</v>
      </c>
      <c r="N2943" t="str">
        <f t="shared" si="86"/>
        <v>SW</v>
      </c>
      <c r="O2943" s="1" t="s">
        <v>25</v>
      </c>
      <c r="P2943" s="3" t="s">
        <v>25</v>
      </c>
      <c r="Q2943" s="37">
        <v>5.7060253011946498E-2</v>
      </c>
      <c r="R2943" t="str">
        <f t="shared" si="87"/>
        <v>mmol/mol</v>
      </c>
      <c r="S2943" s="13">
        <f t="shared" si="84"/>
        <v>-1.0565601174383299</v>
      </c>
    </row>
    <row r="2944" spans="1:19">
      <c r="A2944" s="18" t="s">
        <v>3504</v>
      </c>
      <c r="B2944" s="1" t="s">
        <v>3038</v>
      </c>
      <c r="C2944" s="1" t="s">
        <v>3506</v>
      </c>
      <c r="D2944" s="1" t="s">
        <v>3558</v>
      </c>
      <c r="E2944" s="1" t="s">
        <v>25</v>
      </c>
      <c r="F2944">
        <v>650</v>
      </c>
      <c r="G2944">
        <v>650</v>
      </c>
      <c r="H2944">
        <v>415</v>
      </c>
      <c r="I2944" s="1" t="s">
        <v>1528</v>
      </c>
      <c r="J2944" s="1" t="s">
        <v>3533</v>
      </c>
      <c r="K2944" s="1" t="s">
        <v>25</v>
      </c>
      <c r="L2944">
        <v>-1.02029975492513</v>
      </c>
      <c r="M2944" t="str">
        <f t="shared" si="85"/>
        <v>44/40</v>
      </c>
      <c r="N2944" t="str">
        <f t="shared" si="86"/>
        <v>SW</v>
      </c>
      <c r="O2944" s="1" t="s">
        <v>25</v>
      </c>
      <c r="P2944" s="3" t="s">
        <v>25</v>
      </c>
      <c r="Q2944" s="37">
        <v>6.2993900289100194E-2</v>
      </c>
      <c r="R2944" t="str">
        <f t="shared" si="87"/>
        <v>mmol/mol</v>
      </c>
      <c r="S2944" s="13">
        <f t="shared" si="84"/>
        <v>-1.02029975492513</v>
      </c>
    </row>
    <row r="2945" spans="1:19">
      <c r="A2945" s="18" t="s">
        <v>3504</v>
      </c>
      <c r="B2945" s="1" t="s">
        <v>3039</v>
      </c>
      <c r="C2945" s="1" t="s">
        <v>3506</v>
      </c>
      <c r="D2945" s="1" t="s">
        <v>3558</v>
      </c>
      <c r="E2945" s="1" t="s">
        <v>25</v>
      </c>
      <c r="F2945">
        <v>650</v>
      </c>
      <c r="G2945">
        <v>650</v>
      </c>
      <c r="H2945">
        <v>421</v>
      </c>
      <c r="I2945" s="1" t="s">
        <v>1528</v>
      </c>
      <c r="J2945" s="1" t="s">
        <v>3530</v>
      </c>
      <c r="K2945" s="1" t="s">
        <v>25</v>
      </c>
      <c r="L2945">
        <v>-0.94508298046598505</v>
      </c>
      <c r="M2945" t="str">
        <f t="shared" si="85"/>
        <v>44/40</v>
      </c>
      <c r="N2945" t="str">
        <f t="shared" si="86"/>
        <v>SW</v>
      </c>
      <c r="O2945" s="1" t="s">
        <v>25</v>
      </c>
      <c r="P2945" s="3" t="s">
        <v>25</v>
      </c>
      <c r="Q2945" s="37">
        <v>6.3269667849174593E-2</v>
      </c>
      <c r="R2945" t="str">
        <f t="shared" si="87"/>
        <v>mmol/mol</v>
      </c>
      <c r="S2945" s="13">
        <f t="shared" si="84"/>
        <v>-0.94508298046598505</v>
      </c>
    </row>
    <row r="2946" spans="1:19">
      <c r="A2946" s="18" t="s">
        <v>3504</v>
      </c>
      <c r="B2946" s="1" t="s">
        <v>3040</v>
      </c>
      <c r="C2946" s="1" t="s">
        <v>3506</v>
      </c>
      <c r="D2946" s="1" t="s">
        <v>3558</v>
      </c>
      <c r="E2946" s="1" t="s">
        <v>25</v>
      </c>
      <c r="F2946">
        <v>650</v>
      </c>
      <c r="G2946">
        <v>650</v>
      </c>
      <c r="H2946">
        <v>425</v>
      </c>
      <c r="I2946" s="1" t="s">
        <v>1528</v>
      </c>
      <c r="J2946" s="1" t="s">
        <v>3530</v>
      </c>
      <c r="K2946" s="1" t="s">
        <v>25</v>
      </c>
      <c r="L2946">
        <v>-1.0134927005714001</v>
      </c>
      <c r="M2946" t="str">
        <f t="shared" si="85"/>
        <v>44/40</v>
      </c>
      <c r="N2946" t="str">
        <f t="shared" si="86"/>
        <v>SW</v>
      </c>
      <c r="O2946" s="1" t="s">
        <v>25</v>
      </c>
      <c r="P2946" s="3" t="s">
        <v>25</v>
      </c>
      <c r="Q2946" s="37">
        <v>3.5824627448285302E-2</v>
      </c>
      <c r="R2946" t="str">
        <f t="shared" si="87"/>
        <v>mmol/mol</v>
      </c>
      <c r="S2946" s="13">
        <f t="shared" si="84"/>
        <v>-1.0134927005714001</v>
      </c>
    </row>
    <row r="2947" spans="1:19">
      <c r="A2947" s="18" t="s">
        <v>3504</v>
      </c>
      <c r="B2947" s="1" t="s">
        <v>3041</v>
      </c>
      <c r="C2947" s="1" t="s">
        <v>3506</v>
      </c>
      <c r="D2947" s="1" t="s">
        <v>3558</v>
      </c>
      <c r="E2947" s="1" t="s">
        <v>25</v>
      </c>
      <c r="F2947">
        <v>650</v>
      </c>
      <c r="G2947">
        <v>650</v>
      </c>
      <c r="H2947">
        <v>438</v>
      </c>
      <c r="I2947" s="1" t="s">
        <v>1528</v>
      </c>
      <c r="J2947" s="1" t="s">
        <v>3530</v>
      </c>
      <c r="K2947" s="1" t="s">
        <v>25</v>
      </c>
      <c r="L2947">
        <v>-1.04</v>
      </c>
      <c r="M2947" t="str">
        <f t="shared" si="85"/>
        <v>44/40</v>
      </c>
      <c r="N2947" t="str">
        <f t="shared" si="86"/>
        <v>SW</v>
      </c>
      <c r="O2947" s="1" t="s">
        <v>25</v>
      </c>
      <c r="P2947" s="3" t="s">
        <v>25</v>
      </c>
      <c r="Q2947" s="37">
        <v>5.1804090448707298E-2</v>
      </c>
      <c r="R2947" t="str">
        <f t="shared" si="87"/>
        <v>mmol/mol</v>
      </c>
      <c r="S2947" s="13">
        <f t="shared" si="84"/>
        <v>-1.04</v>
      </c>
    </row>
    <row r="2948" spans="1:19">
      <c r="A2948" s="18" t="s">
        <v>3504</v>
      </c>
      <c r="B2948" s="1" t="s">
        <v>3042</v>
      </c>
      <c r="C2948" s="1" t="s">
        <v>3507</v>
      </c>
      <c r="D2948" s="1" t="s">
        <v>3558</v>
      </c>
      <c r="E2948" s="1" t="s">
        <v>25</v>
      </c>
      <c r="F2948">
        <v>650</v>
      </c>
      <c r="G2948">
        <v>650</v>
      </c>
      <c r="H2948">
        <v>0</v>
      </c>
      <c r="I2948" s="1" t="s">
        <v>1528</v>
      </c>
      <c r="J2948" s="1" t="s">
        <v>3534</v>
      </c>
      <c r="K2948" s="1" t="s">
        <v>25</v>
      </c>
      <c r="L2948">
        <v>-1.0096494748704901</v>
      </c>
      <c r="M2948" t="str">
        <f t="shared" si="85"/>
        <v>44/40</v>
      </c>
      <c r="N2948" t="str">
        <f t="shared" si="86"/>
        <v>SW</v>
      </c>
      <c r="O2948" s="1" t="s">
        <v>25</v>
      </c>
      <c r="P2948" s="3" t="s">
        <v>25</v>
      </c>
      <c r="Q2948" s="37">
        <v>0.93458379999999996</v>
      </c>
      <c r="R2948" t="str">
        <f t="shared" si="87"/>
        <v>mmol/mol</v>
      </c>
      <c r="S2948" s="13">
        <f t="shared" si="84"/>
        <v>-1.0096494748704901</v>
      </c>
    </row>
    <row r="2949" spans="1:19">
      <c r="A2949" s="18" t="s">
        <v>3504</v>
      </c>
      <c r="B2949" s="1" t="s">
        <v>3043</v>
      </c>
      <c r="C2949" s="1" t="s">
        <v>3507</v>
      </c>
      <c r="D2949" s="1" t="s">
        <v>3558</v>
      </c>
      <c r="E2949" s="1" t="s">
        <v>25</v>
      </c>
      <c r="F2949">
        <v>650</v>
      </c>
      <c r="G2949">
        <v>650</v>
      </c>
      <c r="H2949">
        <v>9</v>
      </c>
      <c r="I2949" s="1" t="s">
        <v>1528</v>
      </c>
      <c r="J2949" s="1" t="s">
        <v>3534</v>
      </c>
      <c r="K2949" s="1" t="s">
        <v>25</v>
      </c>
      <c r="L2949">
        <v>-1.02473685591041</v>
      </c>
      <c r="M2949" t="str">
        <f t="shared" si="85"/>
        <v>44/40</v>
      </c>
      <c r="N2949" t="str">
        <f t="shared" si="86"/>
        <v>SW</v>
      </c>
      <c r="O2949" s="1" t="s">
        <v>25</v>
      </c>
      <c r="P2949" s="3" t="s">
        <v>25</v>
      </c>
      <c r="Q2949" s="37">
        <v>0.53644480000000005</v>
      </c>
      <c r="R2949" t="str">
        <f t="shared" si="87"/>
        <v>mmol/mol</v>
      </c>
      <c r="S2949" s="13">
        <f t="shared" si="84"/>
        <v>-1.02473685591041</v>
      </c>
    </row>
    <row r="2950" spans="1:19">
      <c r="A2950" s="18" t="s">
        <v>3504</v>
      </c>
      <c r="B2950" s="1" t="s">
        <v>3044</v>
      </c>
      <c r="C2950" s="1" t="s">
        <v>3507</v>
      </c>
      <c r="D2950" s="1" t="s">
        <v>3558</v>
      </c>
      <c r="E2950" s="1" t="s">
        <v>25</v>
      </c>
      <c r="F2950">
        <v>650</v>
      </c>
      <c r="G2950">
        <v>650</v>
      </c>
      <c r="H2950">
        <v>12</v>
      </c>
      <c r="I2950" s="1" t="s">
        <v>1528</v>
      </c>
      <c r="J2950" s="1" t="s">
        <v>3517</v>
      </c>
      <c r="K2950" s="1" t="s">
        <v>25</v>
      </c>
      <c r="L2950">
        <v>-1.26324245226811</v>
      </c>
      <c r="M2950" t="str">
        <f t="shared" si="85"/>
        <v>44/40</v>
      </c>
      <c r="N2950" t="str">
        <f t="shared" si="86"/>
        <v>SW</v>
      </c>
      <c r="O2950" s="1" t="s">
        <v>25</v>
      </c>
      <c r="P2950" s="3" t="s">
        <v>25</v>
      </c>
      <c r="Q2950" s="37">
        <v>1.3729515000000001</v>
      </c>
      <c r="R2950" t="str">
        <f t="shared" si="87"/>
        <v>mmol/mol</v>
      </c>
      <c r="S2950" s="13">
        <f t="shared" si="84"/>
        <v>-1.26324245226811</v>
      </c>
    </row>
    <row r="2951" spans="1:19">
      <c r="A2951" s="18" t="s">
        <v>3504</v>
      </c>
      <c r="B2951" s="1" t="s">
        <v>3045</v>
      </c>
      <c r="C2951" s="1" t="s">
        <v>3507</v>
      </c>
      <c r="D2951" s="1" t="s">
        <v>3558</v>
      </c>
      <c r="E2951" s="1" t="s">
        <v>25</v>
      </c>
      <c r="F2951">
        <v>650</v>
      </c>
      <c r="G2951">
        <v>650</v>
      </c>
      <c r="H2951">
        <v>20</v>
      </c>
      <c r="I2951" s="1" t="s">
        <v>1528</v>
      </c>
      <c r="J2951" s="1" t="s">
        <v>3530</v>
      </c>
      <c r="K2951" s="1" t="s">
        <v>25</v>
      </c>
      <c r="L2951" t="s">
        <v>25</v>
      </c>
      <c r="M2951" t="str">
        <f t="shared" si="85"/>
        <v>Na</v>
      </c>
      <c r="N2951" t="str">
        <f t="shared" si="86"/>
        <v>Na</v>
      </c>
      <c r="O2951" s="1" t="s">
        <v>25</v>
      </c>
      <c r="P2951" s="3" t="s">
        <v>25</v>
      </c>
      <c r="Q2951" s="37">
        <v>0.730293528059477</v>
      </c>
      <c r="R2951" t="str">
        <f t="shared" si="87"/>
        <v>mmol/mol</v>
      </c>
      <c r="S2951" s="13" t="s">
        <v>25</v>
      </c>
    </row>
    <row r="2952" spans="1:19">
      <c r="A2952" s="18" t="s">
        <v>3504</v>
      </c>
      <c r="B2952" s="1" t="s">
        <v>3046</v>
      </c>
      <c r="C2952" s="1" t="s">
        <v>3507</v>
      </c>
      <c r="D2952" s="1" t="s">
        <v>3558</v>
      </c>
      <c r="E2952" s="1" t="s">
        <v>25</v>
      </c>
      <c r="F2952">
        <v>650</v>
      </c>
      <c r="G2952">
        <v>650</v>
      </c>
      <c r="H2952">
        <v>22</v>
      </c>
      <c r="I2952" s="1" t="s">
        <v>1528</v>
      </c>
      <c r="J2952" s="1" t="s">
        <v>3530</v>
      </c>
      <c r="K2952" s="1" t="s">
        <v>25</v>
      </c>
      <c r="L2952">
        <v>-1.1341887462140701</v>
      </c>
      <c r="M2952" t="str">
        <f t="shared" si="85"/>
        <v>44/40</v>
      </c>
      <c r="N2952" t="str">
        <f t="shared" si="86"/>
        <v>SW</v>
      </c>
      <c r="O2952" s="1" t="s">
        <v>25</v>
      </c>
      <c r="P2952" s="3" t="s">
        <v>25</v>
      </c>
      <c r="Q2952" s="37">
        <v>0.60003289999999998</v>
      </c>
      <c r="R2952" t="str">
        <f t="shared" si="87"/>
        <v>mmol/mol</v>
      </c>
      <c r="S2952" s="13">
        <f t="shared" si="84"/>
        <v>-1.1341887462140701</v>
      </c>
    </row>
    <row r="2953" spans="1:19">
      <c r="A2953" s="18" t="s">
        <v>3504</v>
      </c>
      <c r="B2953" s="1" t="s">
        <v>3047</v>
      </c>
      <c r="C2953" s="1" t="s">
        <v>3507</v>
      </c>
      <c r="D2953" s="1" t="s">
        <v>3558</v>
      </c>
      <c r="E2953" s="1" t="s">
        <v>25</v>
      </c>
      <c r="F2953">
        <v>650</v>
      </c>
      <c r="G2953">
        <v>650</v>
      </c>
      <c r="H2953">
        <v>28</v>
      </c>
      <c r="I2953" s="1" t="s">
        <v>1528</v>
      </c>
      <c r="J2953" s="1" t="s">
        <v>3522</v>
      </c>
      <c r="K2953" s="1" t="s">
        <v>25</v>
      </c>
      <c r="L2953" t="s">
        <v>25</v>
      </c>
      <c r="M2953" t="str">
        <f t="shared" si="85"/>
        <v>Na</v>
      </c>
      <c r="N2953" t="str">
        <f t="shared" si="86"/>
        <v>Na</v>
      </c>
      <c r="O2953" s="1" t="s">
        <v>25</v>
      </c>
      <c r="P2953" s="3" t="s">
        <v>25</v>
      </c>
      <c r="Q2953" s="37">
        <v>0.77943691101183699</v>
      </c>
      <c r="R2953" t="str">
        <f t="shared" si="87"/>
        <v>mmol/mol</v>
      </c>
      <c r="S2953" s="13" t="s">
        <v>25</v>
      </c>
    </row>
    <row r="2954" spans="1:19">
      <c r="A2954" s="18" t="s">
        <v>3504</v>
      </c>
      <c r="B2954" s="1" t="s">
        <v>3048</v>
      </c>
      <c r="C2954" s="1" t="s">
        <v>3507</v>
      </c>
      <c r="D2954" s="1" t="s">
        <v>3558</v>
      </c>
      <c r="E2954" s="1" t="s">
        <v>25</v>
      </c>
      <c r="F2954">
        <v>650</v>
      </c>
      <c r="G2954">
        <v>650</v>
      </c>
      <c r="H2954">
        <v>30</v>
      </c>
      <c r="I2954" s="1" t="s">
        <v>1528</v>
      </c>
      <c r="J2954" s="1" t="s">
        <v>3535</v>
      </c>
      <c r="K2954" s="1" t="s">
        <v>25</v>
      </c>
      <c r="L2954">
        <v>-1.4215819871284101</v>
      </c>
      <c r="M2954" t="str">
        <f t="shared" si="85"/>
        <v>44/40</v>
      </c>
      <c r="N2954" t="str">
        <f t="shared" si="86"/>
        <v>SW</v>
      </c>
      <c r="O2954" s="1" t="s">
        <v>25</v>
      </c>
      <c r="P2954" s="3" t="s">
        <v>25</v>
      </c>
      <c r="Q2954" s="37">
        <v>1.0934250000000001</v>
      </c>
      <c r="R2954" t="str">
        <f t="shared" si="87"/>
        <v>mmol/mol</v>
      </c>
      <c r="S2954" s="13">
        <f t="shared" si="84"/>
        <v>-1.4215819871284101</v>
      </c>
    </row>
    <row r="2955" spans="1:19">
      <c r="A2955" s="18" t="s">
        <v>3504</v>
      </c>
      <c r="B2955" s="1" t="s">
        <v>3049</v>
      </c>
      <c r="C2955" s="1" t="s">
        <v>3507</v>
      </c>
      <c r="D2955" s="1" t="s">
        <v>3558</v>
      </c>
      <c r="E2955" s="1" t="s">
        <v>25</v>
      </c>
      <c r="F2955">
        <v>650</v>
      </c>
      <c r="G2955">
        <v>650</v>
      </c>
      <c r="H2955">
        <v>36</v>
      </c>
      <c r="I2955" s="1" t="s">
        <v>1528</v>
      </c>
      <c r="J2955" s="1" t="s">
        <v>3535</v>
      </c>
      <c r="K2955" s="1" t="s">
        <v>25</v>
      </c>
      <c r="L2955" t="s">
        <v>25</v>
      </c>
      <c r="M2955" t="str">
        <f t="shared" si="85"/>
        <v>Na</v>
      </c>
      <c r="N2955" t="str">
        <f t="shared" si="86"/>
        <v>Na</v>
      </c>
      <c r="O2955" s="1" t="s">
        <v>25</v>
      </c>
      <c r="P2955" s="3" t="s">
        <v>25</v>
      </c>
      <c r="Q2955" s="37">
        <v>1.4171580200215199</v>
      </c>
      <c r="R2955" t="str">
        <f t="shared" si="87"/>
        <v>mmol/mol</v>
      </c>
      <c r="S2955" s="13" t="s">
        <v>25</v>
      </c>
    </row>
    <row r="2956" spans="1:19">
      <c r="A2956" s="18" t="s">
        <v>3504</v>
      </c>
      <c r="B2956" s="1" t="s">
        <v>3050</v>
      </c>
      <c r="C2956" s="1" t="s">
        <v>3507</v>
      </c>
      <c r="D2956" s="1" t="s">
        <v>3558</v>
      </c>
      <c r="E2956" s="1" t="s">
        <v>25</v>
      </c>
      <c r="F2956">
        <v>650</v>
      </c>
      <c r="G2956">
        <v>650</v>
      </c>
      <c r="H2956">
        <v>40</v>
      </c>
      <c r="I2956" s="1" t="s">
        <v>1528</v>
      </c>
      <c r="J2956" s="1" t="s">
        <v>3517</v>
      </c>
      <c r="K2956" s="1" t="s">
        <v>25</v>
      </c>
      <c r="L2956">
        <v>-1.4637191295429299</v>
      </c>
      <c r="M2956" t="str">
        <f t="shared" si="85"/>
        <v>44/40</v>
      </c>
      <c r="N2956" t="str">
        <f t="shared" si="86"/>
        <v>SW</v>
      </c>
      <c r="O2956" s="1" t="s">
        <v>25</v>
      </c>
      <c r="P2956" s="3" t="s">
        <v>25</v>
      </c>
      <c r="Q2956" s="37">
        <v>1.4935076</v>
      </c>
      <c r="R2956" t="str">
        <f t="shared" si="87"/>
        <v>mmol/mol</v>
      </c>
      <c r="S2956" s="13">
        <f t="shared" si="84"/>
        <v>-1.4637191295429299</v>
      </c>
    </row>
    <row r="2957" spans="1:19">
      <c r="A2957" s="18" t="s">
        <v>3504</v>
      </c>
      <c r="B2957" s="1" t="s">
        <v>3051</v>
      </c>
      <c r="C2957" s="1" t="s">
        <v>3507</v>
      </c>
      <c r="D2957" s="1" t="s">
        <v>3558</v>
      </c>
      <c r="E2957" s="1" t="s">
        <v>25</v>
      </c>
      <c r="F2957">
        <v>650</v>
      </c>
      <c r="G2957">
        <v>650</v>
      </c>
      <c r="H2957">
        <v>42.5</v>
      </c>
      <c r="I2957" s="1" t="s">
        <v>1528</v>
      </c>
      <c r="J2957" s="1" t="s">
        <v>3517</v>
      </c>
      <c r="K2957" s="1" t="s">
        <v>25</v>
      </c>
      <c r="L2957" t="s">
        <v>25</v>
      </c>
      <c r="M2957" t="str">
        <f t="shared" si="85"/>
        <v>Na</v>
      </c>
      <c r="N2957" t="str">
        <f t="shared" si="86"/>
        <v>Na</v>
      </c>
      <c r="O2957" s="1" t="s">
        <v>25</v>
      </c>
      <c r="P2957" s="3" t="s">
        <v>25</v>
      </c>
      <c r="Q2957" s="37">
        <v>1.0525826906772799</v>
      </c>
      <c r="R2957" t="str">
        <f t="shared" si="87"/>
        <v>mmol/mol</v>
      </c>
      <c r="S2957" s="13" t="s">
        <v>25</v>
      </c>
    </row>
    <row r="2958" spans="1:19">
      <c r="A2958" s="18" t="s">
        <v>3504</v>
      </c>
      <c r="B2958" s="1" t="s">
        <v>3052</v>
      </c>
      <c r="C2958" s="1" t="s">
        <v>3507</v>
      </c>
      <c r="D2958" s="1" t="s">
        <v>3558</v>
      </c>
      <c r="E2958" s="1" t="s">
        <v>25</v>
      </c>
      <c r="F2958">
        <v>650</v>
      </c>
      <c r="G2958">
        <v>650</v>
      </c>
      <c r="H2958">
        <v>51</v>
      </c>
      <c r="I2958" s="1" t="s">
        <v>1528</v>
      </c>
      <c r="J2958" s="1" t="s">
        <v>3522</v>
      </c>
      <c r="K2958" s="1" t="s">
        <v>25</v>
      </c>
      <c r="L2958">
        <v>-0.97099762336312001</v>
      </c>
      <c r="M2958" t="str">
        <f t="shared" si="85"/>
        <v>44/40</v>
      </c>
      <c r="N2958" t="str">
        <f t="shared" si="86"/>
        <v>SW</v>
      </c>
      <c r="O2958" s="1" t="s">
        <v>25</v>
      </c>
      <c r="P2958" s="3" t="s">
        <v>25</v>
      </c>
      <c r="Q2958" s="37" t="s">
        <v>25</v>
      </c>
      <c r="R2958" t="str">
        <f t="shared" si="87"/>
        <v>Na</v>
      </c>
      <c r="S2958" s="13">
        <f t="shared" si="84"/>
        <v>-0.97099762336312001</v>
      </c>
    </row>
    <row r="2959" spans="1:19">
      <c r="A2959" s="18" t="s">
        <v>3504</v>
      </c>
      <c r="B2959" s="1" t="s">
        <v>3053</v>
      </c>
      <c r="C2959" s="1" t="s">
        <v>3507</v>
      </c>
      <c r="D2959" s="1" t="s">
        <v>3558</v>
      </c>
      <c r="E2959" s="1" t="s">
        <v>25</v>
      </c>
      <c r="F2959">
        <v>650</v>
      </c>
      <c r="G2959">
        <v>650</v>
      </c>
      <c r="H2959">
        <v>62</v>
      </c>
      <c r="I2959" s="1" t="s">
        <v>1528</v>
      </c>
      <c r="J2959" s="1" t="s">
        <v>3522</v>
      </c>
      <c r="K2959" s="1" t="s">
        <v>25</v>
      </c>
      <c r="L2959">
        <v>-1.16646683155468</v>
      </c>
      <c r="M2959" t="str">
        <f t="shared" si="85"/>
        <v>44/40</v>
      </c>
      <c r="N2959" t="str">
        <f t="shared" si="86"/>
        <v>SW</v>
      </c>
      <c r="O2959" s="1" t="s">
        <v>25</v>
      </c>
      <c r="P2959" s="3" t="s">
        <v>25</v>
      </c>
      <c r="Q2959" s="37">
        <v>0.54726169999999996</v>
      </c>
      <c r="R2959" t="str">
        <f t="shared" si="87"/>
        <v>mmol/mol</v>
      </c>
      <c r="S2959" s="13">
        <f t="shared" si="84"/>
        <v>-1.16646683155468</v>
      </c>
    </row>
    <row r="2960" spans="1:19">
      <c r="A2960" s="18" t="s">
        <v>3504</v>
      </c>
      <c r="B2960" s="1" t="s">
        <v>3054</v>
      </c>
      <c r="C2960" s="1" t="s">
        <v>3507</v>
      </c>
      <c r="D2960" s="1" t="s">
        <v>3558</v>
      </c>
      <c r="E2960" s="1" t="s">
        <v>25</v>
      </c>
      <c r="F2960">
        <v>650</v>
      </c>
      <c r="G2960">
        <v>650</v>
      </c>
      <c r="H2960">
        <v>69</v>
      </c>
      <c r="I2960" s="1" t="s">
        <v>1528</v>
      </c>
      <c r="J2960" s="1" t="s">
        <v>3517</v>
      </c>
      <c r="K2960" s="1" t="s">
        <v>25</v>
      </c>
      <c r="L2960">
        <v>-1.2625419380645899</v>
      </c>
      <c r="M2960" t="str">
        <f t="shared" si="85"/>
        <v>44/40</v>
      </c>
      <c r="N2960" t="str">
        <f t="shared" si="86"/>
        <v>SW</v>
      </c>
      <c r="O2960" s="1" t="s">
        <v>25</v>
      </c>
      <c r="P2960" s="3" t="s">
        <v>25</v>
      </c>
      <c r="Q2960" s="37">
        <v>1.2393793</v>
      </c>
      <c r="R2960" t="str">
        <f t="shared" si="87"/>
        <v>mmol/mol</v>
      </c>
      <c r="S2960" s="13">
        <f t="shared" si="84"/>
        <v>-1.2625419380645899</v>
      </c>
    </row>
    <row r="2961" spans="1:19">
      <c r="A2961" s="18" t="s">
        <v>3504</v>
      </c>
      <c r="B2961" s="1" t="s">
        <v>3055</v>
      </c>
      <c r="C2961" s="1" t="s">
        <v>3507</v>
      </c>
      <c r="D2961" s="1" t="s">
        <v>3558</v>
      </c>
      <c r="E2961" s="1" t="s">
        <v>25</v>
      </c>
      <c r="F2961">
        <v>650</v>
      </c>
      <c r="G2961">
        <v>650</v>
      </c>
      <c r="H2961">
        <v>71</v>
      </c>
      <c r="I2961" s="1" t="s">
        <v>1528</v>
      </c>
      <c r="J2961" s="1" t="s">
        <v>3530</v>
      </c>
      <c r="K2961" s="1" t="s">
        <v>25</v>
      </c>
      <c r="L2961" t="s">
        <v>25</v>
      </c>
      <c r="M2961" t="str">
        <f t="shared" si="85"/>
        <v>Na</v>
      </c>
      <c r="N2961" t="str">
        <f t="shared" si="86"/>
        <v>Na</v>
      </c>
      <c r="O2961" s="1" t="s">
        <v>25</v>
      </c>
      <c r="P2961" s="3" t="s">
        <v>25</v>
      </c>
      <c r="Q2961" s="37">
        <v>0.92066589786009501</v>
      </c>
      <c r="R2961" t="str">
        <f t="shared" si="87"/>
        <v>mmol/mol</v>
      </c>
      <c r="S2961" s="13" t="s">
        <v>25</v>
      </c>
    </row>
    <row r="2962" spans="1:19">
      <c r="A2962" s="18" t="s">
        <v>3504</v>
      </c>
      <c r="B2962" s="1" t="s">
        <v>3056</v>
      </c>
      <c r="C2962" s="1" t="s">
        <v>3507</v>
      </c>
      <c r="D2962" s="1" t="s">
        <v>3558</v>
      </c>
      <c r="E2962" s="1" t="s">
        <v>25</v>
      </c>
      <c r="F2962">
        <v>650</v>
      </c>
      <c r="G2962">
        <v>650</v>
      </c>
      <c r="H2962">
        <v>76</v>
      </c>
      <c r="I2962" s="1" t="s">
        <v>1528</v>
      </c>
      <c r="J2962" s="1" t="s">
        <v>3520</v>
      </c>
      <c r="K2962" s="1" t="s">
        <v>25</v>
      </c>
      <c r="L2962">
        <v>-1.27466647711612</v>
      </c>
      <c r="M2962" t="str">
        <f t="shared" si="85"/>
        <v>44/40</v>
      </c>
      <c r="N2962" t="str">
        <f t="shared" si="86"/>
        <v>SW</v>
      </c>
      <c r="O2962" s="1" t="s">
        <v>25</v>
      </c>
      <c r="P2962" s="3" t="s">
        <v>25</v>
      </c>
      <c r="Q2962" s="37">
        <v>0.82292889999999996</v>
      </c>
      <c r="R2962" t="str">
        <f t="shared" si="87"/>
        <v>mmol/mol</v>
      </c>
      <c r="S2962" s="13">
        <f t="shared" si="84"/>
        <v>-1.27466647711612</v>
      </c>
    </row>
    <row r="2963" spans="1:19">
      <c r="A2963" s="18" t="s">
        <v>3504</v>
      </c>
      <c r="B2963" s="1" t="s">
        <v>3057</v>
      </c>
      <c r="C2963" s="1" t="s">
        <v>3507</v>
      </c>
      <c r="D2963" s="1" t="s">
        <v>3558</v>
      </c>
      <c r="E2963" s="1" t="s">
        <v>25</v>
      </c>
      <c r="F2963">
        <v>650</v>
      </c>
      <c r="G2963">
        <v>650</v>
      </c>
      <c r="H2963">
        <v>80.5</v>
      </c>
      <c r="I2963" s="1" t="s">
        <v>1528</v>
      </c>
      <c r="J2963" s="1" t="s">
        <v>3520</v>
      </c>
      <c r="K2963" s="1" t="s">
        <v>25</v>
      </c>
      <c r="L2963" t="s">
        <v>25</v>
      </c>
      <c r="M2963" t="str">
        <f t="shared" si="85"/>
        <v>Na</v>
      </c>
      <c r="N2963" t="str">
        <f t="shared" si="86"/>
        <v>Na</v>
      </c>
      <c r="O2963" s="1" t="s">
        <v>25</v>
      </c>
      <c r="P2963" s="3" t="s">
        <v>25</v>
      </c>
      <c r="Q2963" s="37">
        <v>0.70057892441386505</v>
      </c>
      <c r="R2963" t="str">
        <f t="shared" si="87"/>
        <v>mmol/mol</v>
      </c>
      <c r="S2963" s="13" t="s">
        <v>25</v>
      </c>
    </row>
    <row r="2964" spans="1:19">
      <c r="A2964" s="18" t="s">
        <v>3504</v>
      </c>
      <c r="B2964" s="1" t="s">
        <v>3058</v>
      </c>
      <c r="C2964" s="1" t="s">
        <v>3507</v>
      </c>
      <c r="D2964" s="1" t="s">
        <v>3558</v>
      </c>
      <c r="E2964" s="1" t="s">
        <v>25</v>
      </c>
      <c r="F2964">
        <v>650</v>
      </c>
      <c r="G2964">
        <v>650</v>
      </c>
      <c r="H2964">
        <v>86</v>
      </c>
      <c r="I2964" s="1" t="s">
        <v>1528</v>
      </c>
      <c r="J2964" s="1" t="s">
        <v>3522</v>
      </c>
      <c r="K2964" s="1" t="s">
        <v>25</v>
      </c>
      <c r="L2964">
        <v>-0.92543913893871299</v>
      </c>
      <c r="M2964" t="str">
        <f t="shared" si="85"/>
        <v>44/40</v>
      </c>
      <c r="N2964" t="str">
        <f t="shared" si="86"/>
        <v>SW</v>
      </c>
      <c r="O2964" s="1" t="s">
        <v>25</v>
      </c>
      <c r="P2964" s="3" t="s">
        <v>25</v>
      </c>
      <c r="Q2964" s="37">
        <v>0.55448489999999995</v>
      </c>
      <c r="R2964" t="str">
        <f t="shared" si="87"/>
        <v>mmol/mol</v>
      </c>
      <c r="S2964" s="13">
        <f t="shared" si="84"/>
        <v>-0.92543913893871299</v>
      </c>
    </row>
    <row r="2965" spans="1:19">
      <c r="A2965" s="18" t="s">
        <v>3504</v>
      </c>
      <c r="B2965" s="1" t="s">
        <v>3059</v>
      </c>
      <c r="C2965" s="1" t="s">
        <v>3507</v>
      </c>
      <c r="D2965" s="1" t="s">
        <v>3558</v>
      </c>
      <c r="E2965" s="1" t="s">
        <v>25</v>
      </c>
      <c r="F2965">
        <v>650</v>
      </c>
      <c r="G2965">
        <v>650</v>
      </c>
      <c r="H2965">
        <v>173</v>
      </c>
      <c r="I2965" s="1" t="s">
        <v>1528</v>
      </c>
      <c r="J2965" s="1" t="s">
        <v>3536</v>
      </c>
      <c r="K2965" s="1" t="s">
        <v>25</v>
      </c>
      <c r="L2965">
        <v>-1.1134379315382401</v>
      </c>
      <c r="M2965" t="str">
        <f t="shared" si="85"/>
        <v>44/40</v>
      </c>
      <c r="N2965" t="str">
        <f t="shared" si="86"/>
        <v>SW</v>
      </c>
      <c r="O2965" s="1" t="s">
        <v>25</v>
      </c>
      <c r="P2965" s="3" t="s">
        <v>25</v>
      </c>
      <c r="Q2965" s="37">
        <v>0.63069090000000005</v>
      </c>
      <c r="R2965" t="str">
        <f t="shared" si="87"/>
        <v>mmol/mol</v>
      </c>
      <c r="S2965" s="13">
        <f t="shared" si="84"/>
        <v>-1.1134379315382401</v>
      </c>
    </row>
    <row r="2966" spans="1:19">
      <c r="A2966" s="18" t="s">
        <v>3504</v>
      </c>
      <c r="B2966" s="1" t="s">
        <v>3060</v>
      </c>
      <c r="C2966" s="1" t="s">
        <v>3507</v>
      </c>
      <c r="D2966" s="1" t="s">
        <v>3558</v>
      </c>
      <c r="E2966" s="1" t="s">
        <v>25</v>
      </c>
      <c r="F2966">
        <v>650</v>
      </c>
      <c r="G2966">
        <v>650</v>
      </c>
      <c r="H2966">
        <v>246.5</v>
      </c>
      <c r="I2966" s="1" t="s">
        <v>1528</v>
      </c>
      <c r="J2966" s="1" t="s">
        <v>3536</v>
      </c>
      <c r="K2966" s="1" t="s">
        <v>25</v>
      </c>
      <c r="L2966">
        <v>-1.5492750310541099</v>
      </c>
      <c r="M2966" t="str">
        <f t="shared" si="85"/>
        <v>44/40</v>
      </c>
      <c r="N2966" t="str">
        <f t="shared" si="86"/>
        <v>SW</v>
      </c>
      <c r="O2966" s="1" t="s">
        <v>25</v>
      </c>
      <c r="P2966" s="3" t="s">
        <v>25</v>
      </c>
      <c r="Q2966" s="37">
        <v>1.0447238000000001</v>
      </c>
      <c r="R2966" t="str">
        <f t="shared" si="87"/>
        <v>mmol/mol</v>
      </c>
      <c r="S2966" s="13">
        <f t="shared" si="84"/>
        <v>-1.5492750310541099</v>
      </c>
    </row>
    <row r="2967" spans="1:19">
      <c r="A2967" s="18" t="s">
        <v>3504</v>
      </c>
      <c r="B2967" s="1" t="s">
        <v>3061</v>
      </c>
      <c r="C2967" s="1" t="s">
        <v>3507</v>
      </c>
      <c r="D2967" s="1" t="s">
        <v>3558</v>
      </c>
      <c r="E2967" s="1" t="s">
        <v>25</v>
      </c>
      <c r="F2967">
        <v>650</v>
      </c>
      <c r="G2967">
        <v>650</v>
      </c>
      <c r="H2967">
        <v>256</v>
      </c>
      <c r="I2967" s="1" t="s">
        <v>1528</v>
      </c>
      <c r="J2967" s="1" t="s">
        <v>3524</v>
      </c>
      <c r="K2967" s="1" t="s">
        <v>25</v>
      </c>
      <c r="L2967">
        <v>-1.77539706666675</v>
      </c>
      <c r="M2967" t="str">
        <f t="shared" si="85"/>
        <v>44/40</v>
      </c>
      <c r="N2967" t="str">
        <f t="shared" si="86"/>
        <v>SW</v>
      </c>
      <c r="O2967" s="1" t="s">
        <v>25</v>
      </c>
      <c r="P2967" s="3" t="s">
        <v>25</v>
      </c>
      <c r="Q2967" s="37">
        <v>1.1218363</v>
      </c>
      <c r="R2967" t="str">
        <f t="shared" si="87"/>
        <v>mmol/mol</v>
      </c>
      <c r="S2967" s="13">
        <f t="shared" si="84"/>
        <v>-1.77539706666675</v>
      </c>
    </row>
    <row r="2968" spans="1:19">
      <c r="A2968" s="18" t="s">
        <v>3504</v>
      </c>
      <c r="B2968" s="1" t="s">
        <v>3062</v>
      </c>
      <c r="C2968" s="1" t="s">
        <v>3507</v>
      </c>
      <c r="D2968" s="1" t="s">
        <v>3558</v>
      </c>
      <c r="E2968" s="1" t="s">
        <v>25</v>
      </c>
      <c r="F2968">
        <v>650</v>
      </c>
      <c r="G2968">
        <v>650</v>
      </c>
      <c r="H2968">
        <v>259</v>
      </c>
      <c r="I2968" s="1" t="s">
        <v>1528</v>
      </c>
      <c r="J2968" s="1" t="s">
        <v>3537</v>
      </c>
      <c r="K2968" s="1" t="s">
        <v>25</v>
      </c>
      <c r="L2968">
        <v>-1.65691150334653</v>
      </c>
      <c r="M2968" t="str">
        <f t="shared" si="85"/>
        <v>44/40</v>
      </c>
      <c r="N2968" t="str">
        <f t="shared" si="86"/>
        <v>SW</v>
      </c>
      <c r="O2968" s="1" t="s">
        <v>25</v>
      </c>
      <c r="P2968" s="3" t="s">
        <v>25</v>
      </c>
      <c r="Q2968" s="37">
        <v>1.2738065999999999</v>
      </c>
      <c r="R2968" t="str">
        <f t="shared" si="87"/>
        <v>mmol/mol</v>
      </c>
      <c r="S2968" s="13">
        <f t="shared" si="84"/>
        <v>-1.65691150334653</v>
      </c>
    </row>
    <row r="2969" spans="1:19">
      <c r="A2969" s="18" t="s">
        <v>3504</v>
      </c>
      <c r="B2969" s="1" t="s">
        <v>3063</v>
      </c>
      <c r="C2969" s="1" t="s">
        <v>3507</v>
      </c>
      <c r="D2969" s="1" t="s">
        <v>3558</v>
      </c>
      <c r="E2969" s="1" t="s">
        <v>25</v>
      </c>
      <c r="F2969">
        <v>650</v>
      </c>
      <c r="G2969">
        <v>650</v>
      </c>
      <c r="H2969">
        <v>260</v>
      </c>
      <c r="I2969" s="1" t="s">
        <v>1528</v>
      </c>
      <c r="J2969" s="1" t="s">
        <v>3537</v>
      </c>
      <c r="K2969" s="1" t="s">
        <v>25</v>
      </c>
      <c r="L2969" t="s">
        <v>25</v>
      </c>
      <c r="M2969" t="str">
        <f t="shared" si="85"/>
        <v>Na</v>
      </c>
      <c r="N2969" t="str">
        <f t="shared" si="86"/>
        <v>Na</v>
      </c>
      <c r="O2969" s="1" t="s">
        <v>25</v>
      </c>
      <c r="P2969" s="3" t="s">
        <v>25</v>
      </c>
      <c r="Q2969" s="37">
        <v>1.1222160176095299</v>
      </c>
      <c r="R2969" t="str">
        <f t="shared" si="87"/>
        <v>mmol/mol</v>
      </c>
      <c r="S2969" s="13" t="s">
        <v>25</v>
      </c>
    </row>
    <row r="2970" spans="1:19">
      <c r="A2970" s="18" t="s">
        <v>3504</v>
      </c>
      <c r="B2970" s="1" t="s">
        <v>3064</v>
      </c>
      <c r="C2970" s="1" t="s">
        <v>3507</v>
      </c>
      <c r="D2970" s="1" t="s">
        <v>3558</v>
      </c>
      <c r="E2970" s="1" t="s">
        <v>25</v>
      </c>
      <c r="F2970">
        <v>650</v>
      </c>
      <c r="G2970">
        <v>650</v>
      </c>
      <c r="H2970">
        <v>261</v>
      </c>
      <c r="I2970" s="1" t="s">
        <v>1528</v>
      </c>
      <c r="J2970" s="1" t="s">
        <v>3537</v>
      </c>
      <c r="K2970" s="1" t="s">
        <v>25</v>
      </c>
      <c r="L2970">
        <v>-1.5750803739480299</v>
      </c>
      <c r="M2970" t="str">
        <f t="shared" si="85"/>
        <v>44/40</v>
      </c>
      <c r="N2970" t="str">
        <f t="shared" si="86"/>
        <v>SW</v>
      </c>
      <c r="O2970" s="1" t="s">
        <v>25</v>
      </c>
      <c r="P2970" s="3" t="s">
        <v>25</v>
      </c>
      <c r="Q2970" s="37">
        <v>1.5961288</v>
      </c>
      <c r="R2970" t="str">
        <f t="shared" si="87"/>
        <v>mmol/mol</v>
      </c>
      <c r="S2970" s="13">
        <f t="shared" si="84"/>
        <v>-1.5750803739480299</v>
      </c>
    </row>
    <row r="2971" spans="1:19">
      <c r="A2971" s="18" t="s">
        <v>3504</v>
      </c>
      <c r="B2971" s="1" t="s">
        <v>3065</v>
      </c>
      <c r="C2971" s="1" t="s">
        <v>3507</v>
      </c>
      <c r="D2971" s="1" t="s">
        <v>3558</v>
      </c>
      <c r="E2971" s="1" t="s">
        <v>25</v>
      </c>
      <c r="F2971">
        <v>650</v>
      </c>
      <c r="G2971">
        <v>650</v>
      </c>
      <c r="H2971">
        <v>263</v>
      </c>
      <c r="I2971" s="1" t="s">
        <v>1528</v>
      </c>
      <c r="J2971" s="1" t="s">
        <v>3537</v>
      </c>
      <c r="K2971" s="1" t="s">
        <v>25</v>
      </c>
      <c r="L2971">
        <v>-1.6287798434095699</v>
      </c>
      <c r="M2971" t="str">
        <f t="shared" si="85"/>
        <v>44/40</v>
      </c>
      <c r="N2971" t="str">
        <f t="shared" si="86"/>
        <v>SW</v>
      </c>
      <c r="O2971" s="1" t="s">
        <v>25</v>
      </c>
      <c r="P2971" s="3" t="s">
        <v>25</v>
      </c>
      <c r="Q2971" s="37">
        <v>0.90783829999999999</v>
      </c>
      <c r="R2971" t="str">
        <f t="shared" si="87"/>
        <v>mmol/mol</v>
      </c>
      <c r="S2971" s="13">
        <f t="shared" si="84"/>
        <v>-1.6287798434095699</v>
      </c>
    </row>
    <row r="2972" spans="1:19">
      <c r="A2972" s="18" t="s">
        <v>3504</v>
      </c>
      <c r="B2972" s="1" t="s">
        <v>3066</v>
      </c>
      <c r="C2972" s="1" t="s">
        <v>3507</v>
      </c>
      <c r="D2972" s="1" t="s">
        <v>3558</v>
      </c>
      <c r="E2972" s="1" t="s">
        <v>25</v>
      </c>
      <c r="F2972">
        <v>650</v>
      </c>
      <c r="G2972">
        <v>650</v>
      </c>
      <c r="H2972">
        <v>264</v>
      </c>
      <c r="I2972" s="1" t="s">
        <v>1528</v>
      </c>
      <c r="J2972" s="1" t="s">
        <v>3537</v>
      </c>
      <c r="K2972" s="1" t="s">
        <v>25</v>
      </c>
      <c r="L2972" t="s">
        <v>25</v>
      </c>
      <c r="M2972" t="str">
        <f t="shared" si="85"/>
        <v>Na</v>
      </c>
      <c r="N2972" t="str">
        <f t="shared" si="86"/>
        <v>Na</v>
      </c>
      <c r="O2972" s="1" t="s">
        <v>25</v>
      </c>
      <c r="P2972" s="3" t="s">
        <v>25</v>
      </c>
      <c r="Q2972" s="37">
        <v>0.81715160025434497</v>
      </c>
      <c r="R2972" t="str">
        <f t="shared" si="87"/>
        <v>mmol/mol</v>
      </c>
      <c r="S2972" s="13" t="s">
        <v>25</v>
      </c>
    </row>
    <row r="2973" spans="1:19">
      <c r="A2973" s="18" t="s">
        <v>3504</v>
      </c>
      <c r="B2973" s="1" t="s">
        <v>3067</v>
      </c>
      <c r="C2973" s="1" t="s">
        <v>3507</v>
      </c>
      <c r="D2973" s="1" t="s">
        <v>3558</v>
      </c>
      <c r="E2973" s="1" t="s">
        <v>25</v>
      </c>
      <c r="F2973">
        <v>650</v>
      </c>
      <c r="G2973">
        <v>650</v>
      </c>
      <c r="H2973">
        <v>266</v>
      </c>
      <c r="I2973" s="1" t="s">
        <v>1528</v>
      </c>
      <c r="J2973" s="1" t="s">
        <v>3537</v>
      </c>
      <c r="K2973" s="1" t="s">
        <v>25</v>
      </c>
      <c r="L2973">
        <v>-1.62279875171334</v>
      </c>
      <c r="M2973" t="str">
        <f t="shared" si="85"/>
        <v>44/40</v>
      </c>
      <c r="N2973" t="str">
        <f t="shared" si="86"/>
        <v>SW</v>
      </c>
      <c r="O2973" s="1" t="s">
        <v>25</v>
      </c>
      <c r="P2973" s="3" t="s">
        <v>25</v>
      </c>
      <c r="Q2973" s="37">
        <v>1.7831132999999999</v>
      </c>
      <c r="R2973" t="str">
        <f t="shared" si="87"/>
        <v>mmol/mol</v>
      </c>
      <c r="S2973" s="13">
        <f t="shared" si="84"/>
        <v>-1.62279875171334</v>
      </c>
    </row>
    <row r="2974" spans="1:19">
      <c r="A2974" s="18" t="s">
        <v>3504</v>
      </c>
      <c r="B2974" s="1" t="s">
        <v>3068</v>
      </c>
      <c r="C2974" s="1" t="s">
        <v>3507</v>
      </c>
      <c r="D2974" s="1" t="s">
        <v>3558</v>
      </c>
      <c r="E2974" s="1" t="s">
        <v>25</v>
      </c>
      <c r="F2974">
        <v>650</v>
      </c>
      <c r="G2974">
        <v>650</v>
      </c>
      <c r="H2974">
        <v>266</v>
      </c>
      <c r="I2974" s="1" t="s">
        <v>1528</v>
      </c>
      <c r="J2974" s="1" t="s">
        <v>3537</v>
      </c>
      <c r="K2974" s="1" t="s">
        <v>25</v>
      </c>
      <c r="L2974" t="s">
        <v>25</v>
      </c>
      <c r="M2974" t="str">
        <f t="shared" si="85"/>
        <v>Na</v>
      </c>
      <c r="N2974" t="str">
        <f t="shared" si="86"/>
        <v>Na</v>
      </c>
      <c r="O2974" s="1" t="s">
        <v>25</v>
      </c>
      <c r="P2974" s="3" t="s">
        <v>25</v>
      </c>
      <c r="Q2974" s="37" t="s">
        <v>25</v>
      </c>
      <c r="R2974" t="str">
        <f t="shared" si="87"/>
        <v>Na</v>
      </c>
      <c r="S2974" s="13" t="s">
        <v>25</v>
      </c>
    </row>
    <row r="2975" spans="1:19">
      <c r="A2975" s="18" t="s">
        <v>3504</v>
      </c>
      <c r="B2975" s="1" t="s">
        <v>3069</v>
      </c>
      <c r="C2975" s="1" t="s">
        <v>3507</v>
      </c>
      <c r="D2975" s="1" t="s">
        <v>3558</v>
      </c>
      <c r="E2975" s="1" t="s">
        <v>25</v>
      </c>
      <c r="F2975">
        <v>650</v>
      </c>
      <c r="G2975">
        <v>650</v>
      </c>
      <c r="H2975">
        <v>269</v>
      </c>
      <c r="I2975" s="1" t="s">
        <v>1528</v>
      </c>
      <c r="J2975" s="1" t="s">
        <v>3537</v>
      </c>
      <c r="K2975" s="1" t="s">
        <v>25</v>
      </c>
      <c r="L2975">
        <v>-1.37108731140016</v>
      </c>
      <c r="M2975" t="str">
        <f t="shared" si="85"/>
        <v>44/40</v>
      </c>
      <c r="N2975" t="str">
        <f t="shared" si="86"/>
        <v>SW</v>
      </c>
      <c r="O2975" s="1" t="s">
        <v>25</v>
      </c>
      <c r="P2975" s="3" t="s">
        <v>25</v>
      </c>
      <c r="Q2975" s="37">
        <v>1.1970369999999999</v>
      </c>
      <c r="R2975" t="str">
        <f t="shared" si="87"/>
        <v>mmol/mol</v>
      </c>
      <c r="S2975" s="13">
        <f t="shared" si="84"/>
        <v>-1.37108731140016</v>
      </c>
    </row>
    <row r="2976" spans="1:19">
      <c r="A2976" s="18" t="s">
        <v>3504</v>
      </c>
      <c r="B2976" s="1" t="s">
        <v>3070</v>
      </c>
      <c r="C2976" s="1" t="s">
        <v>3507</v>
      </c>
      <c r="D2976" s="1" t="s">
        <v>3558</v>
      </c>
      <c r="E2976" s="1" t="s">
        <v>25</v>
      </c>
      <c r="F2976">
        <v>650</v>
      </c>
      <c r="G2976">
        <v>650</v>
      </c>
      <c r="H2976">
        <v>271</v>
      </c>
      <c r="I2976" s="1" t="s">
        <v>1528</v>
      </c>
      <c r="J2976" s="1" t="s">
        <v>3537</v>
      </c>
      <c r="K2976" s="1" t="s">
        <v>25</v>
      </c>
      <c r="L2976">
        <v>-1.61962630594558</v>
      </c>
      <c r="M2976" t="str">
        <f t="shared" si="85"/>
        <v>44/40</v>
      </c>
      <c r="N2976" t="str">
        <f t="shared" si="86"/>
        <v>SW</v>
      </c>
      <c r="O2976" s="1" t="s">
        <v>25</v>
      </c>
      <c r="P2976" s="3" t="s">
        <v>25</v>
      </c>
      <c r="Q2976" s="37">
        <v>2.4865553999999999</v>
      </c>
      <c r="R2976" t="str">
        <f t="shared" si="87"/>
        <v>mmol/mol</v>
      </c>
      <c r="S2976" s="13">
        <f t="shared" si="84"/>
        <v>-1.61962630594558</v>
      </c>
    </row>
    <row r="2977" spans="1:19">
      <c r="A2977" s="18" t="s">
        <v>3504</v>
      </c>
      <c r="B2977" s="1" t="s">
        <v>3071</v>
      </c>
      <c r="C2977" s="1" t="s">
        <v>3507</v>
      </c>
      <c r="D2977" s="1" t="s">
        <v>3558</v>
      </c>
      <c r="E2977" s="1" t="s">
        <v>25</v>
      </c>
      <c r="F2977">
        <v>650</v>
      </c>
      <c r="G2977">
        <v>650</v>
      </c>
      <c r="H2977">
        <v>273</v>
      </c>
      <c r="I2977" s="1" t="s">
        <v>1528</v>
      </c>
      <c r="J2977" s="1" t="s">
        <v>3522</v>
      </c>
      <c r="K2977" s="1" t="s">
        <v>25</v>
      </c>
      <c r="L2977">
        <v>-1.1865148208481999</v>
      </c>
      <c r="M2977" t="str">
        <f t="shared" si="85"/>
        <v>44/40</v>
      </c>
      <c r="N2977" t="str">
        <f t="shared" si="86"/>
        <v>SW</v>
      </c>
      <c r="O2977" s="1" t="s">
        <v>25</v>
      </c>
      <c r="P2977" s="3" t="s">
        <v>25</v>
      </c>
      <c r="Q2977" s="37">
        <v>0.52055510000000005</v>
      </c>
      <c r="R2977" t="str">
        <f t="shared" si="87"/>
        <v>mmol/mol</v>
      </c>
      <c r="S2977" s="13">
        <f t="shared" si="84"/>
        <v>-1.1865148208481999</v>
      </c>
    </row>
    <row r="2978" spans="1:19">
      <c r="A2978" s="18" t="s">
        <v>3504</v>
      </c>
      <c r="B2978" s="1" t="s">
        <v>3072</v>
      </c>
      <c r="C2978" s="1" t="s">
        <v>3507</v>
      </c>
      <c r="D2978" s="1" t="s">
        <v>3558</v>
      </c>
      <c r="E2978" s="1" t="s">
        <v>25</v>
      </c>
      <c r="F2978">
        <v>650</v>
      </c>
      <c r="G2978">
        <v>650</v>
      </c>
      <c r="H2978">
        <v>281.3</v>
      </c>
      <c r="I2978" s="1" t="s">
        <v>1528</v>
      </c>
      <c r="J2978" s="1" t="s">
        <v>3537</v>
      </c>
      <c r="K2978" s="1" t="s">
        <v>25</v>
      </c>
      <c r="L2978" t="s">
        <v>25</v>
      </c>
      <c r="M2978" t="str">
        <f t="shared" si="85"/>
        <v>Na</v>
      </c>
      <c r="N2978" t="str">
        <f t="shared" si="86"/>
        <v>Na</v>
      </c>
      <c r="O2978" s="1" t="s">
        <v>25</v>
      </c>
      <c r="P2978" s="3" t="s">
        <v>25</v>
      </c>
      <c r="Q2978" s="37">
        <v>0.88000941565852497</v>
      </c>
      <c r="R2978" t="str">
        <f t="shared" si="87"/>
        <v>mmol/mol</v>
      </c>
      <c r="S2978" s="13" t="s">
        <v>25</v>
      </c>
    </row>
    <row r="2979" spans="1:19">
      <c r="A2979" s="18" t="s">
        <v>3504</v>
      </c>
      <c r="B2979" s="1" t="s">
        <v>3073</v>
      </c>
      <c r="C2979" s="1" t="s">
        <v>3507</v>
      </c>
      <c r="D2979" s="1" t="s">
        <v>3558</v>
      </c>
      <c r="E2979" s="1" t="s">
        <v>25</v>
      </c>
      <c r="F2979">
        <v>650</v>
      </c>
      <c r="G2979">
        <v>650</v>
      </c>
      <c r="H2979">
        <v>294</v>
      </c>
      <c r="I2979" s="1" t="s">
        <v>1528</v>
      </c>
      <c r="J2979" s="1" t="s">
        <v>3530</v>
      </c>
      <c r="K2979" s="1" t="s">
        <v>25</v>
      </c>
      <c r="L2979">
        <v>-1.3585421813718299</v>
      </c>
      <c r="M2979" t="str">
        <f t="shared" si="85"/>
        <v>44/40</v>
      </c>
      <c r="N2979" t="str">
        <f t="shared" si="86"/>
        <v>SW</v>
      </c>
      <c r="O2979" s="1" t="s">
        <v>25</v>
      </c>
      <c r="P2979" s="3" t="s">
        <v>25</v>
      </c>
      <c r="Q2979" s="37">
        <v>0.86257070000000002</v>
      </c>
      <c r="R2979" t="str">
        <f t="shared" si="87"/>
        <v>mmol/mol</v>
      </c>
      <c r="S2979" s="13">
        <f t="shared" si="84"/>
        <v>-1.3585421813718299</v>
      </c>
    </row>
    <row r="2980" spans="1:19">
      <c r="A2980" s="18" t="s">
        <v>3504</v>
      </c>
      <c r="B2980" s="1" t="s">
        <v>3074</v>
      </c>
      <c r="C2980" s="1" t="s">
        <v>3507</v>
      </c>
      <c r="D2980" s="1" t="s">
        <v>3558</v>
      </c>
      <c r="E2980" s="1" t="s">
        <v>25</v>
      </c>
      <c r="F2980">
        <v>650</v>
      </c>
      <c r="G2980">
        <v>650</v>
      </c>
      <c r="H2980">
        <v>297</v>
      </c>
      <c r="I2980" s="1" t="s">
        <v>1528</v>
      </c>
      <c r="J2980" s="1" t="s">
        <v>3530</v>
      </c>
      <c r="K2980" s="1" t="s">
        <v>25</v>
      </c>
      <c r="L2980">
        <v>-1.2898236240679499</v>
      </c>
      <c r="M2980" t="str">
        <f t="shared" si="85"/>
        <v>44/40</v>
      </c>
      <c r="N2980" t="str">
        <f t="shared" si="86"/>
        <v>SW</v>
      </c>
      <c r="O2980" s="1" t="s">
        <v>25</v>
      </c>
      <c r="P2980" s="3" t="s">
        <v>25</v>
      </c>
      <c r="Q2980" s="37">
        <v>0.74107540000000005</v>
      </c>
      <c r="R2980" t="str">
        <f t="shared" si="87"/>
        <v>mmol/mol</v>
      </c>
      <c r="S2980" s="13">
        <f t="shared" si="84"/>
        <v>-1.2898236240679499</v>
      </c>
    </row>
    <row r="2981" spans="1:19">
      <c r="A2981" s="18" t="s">
        <v>3504</v>
      </c>
      <c r="B2981" s="1" t="s">
        <v>3075</v>
      </c>
      <c r="C2981" s="1" t="s">
        <v>3507</v>
      </c>
      <c r="D2981" s="1" t="s">
        <v>3558</v>
      </c>
      <c r="E2981" s="1" t="s">
        <v>25</v>
      </c>
      <c r="F2981">
        <v>650</v>
      </c>
      <c r="G2981">
        <v>650</v>
      </c>
      <c r="H2981">
        <v>303</v>
      </c>
      <c r="I2981" s="1" t="s">
        <v>1528</v>
      </c>
      <c r="J2981" s="1" t="s">
        <v>3522</v>
      </c>
      <c r="K2981" s="1" t="s">
        <v>25</v>
      </c>
      <c r="L2981">
        <v>-1.1995564083635999</v>
      </c>
      <c r="M2981" t="str">
        <f t="shared" si="85"/>
        <v>44/40</v>
      </c>
      <c r="N2981" t="str">
        <f t="shared" si="86"/>
        <v>SW</v>
      </c>
      <c r="O2981" s="1" t="s">
        <v>25</v>
      </c>
      <c r="P2981" s="3" t="s">
        <v>25</v>
      </c>
      <c r="Q2981" s="37">
        <v>0.52015940000000005</v>
      </c>
      <c r="R2981" t="str">
        <f t="shared" si="87"/>
        <v>mmol/mol</v>
      </c>
      <c r="S2981" s="13">
        <f t="shared" si="84"/>
        <v>-1.1995564083635999</v>
      </c>
    </row>
    <row r="2982" spans="1:19">
      <c r="A2982" s="18" t="s">
        <v>3504</v>
      </c>
      <c r="B2982" s="1" t="s">
        <v>3076</v>
      </c>
      <c r="C2982" s="1" t="s">
        <v>3507</v>
      </c>
      <c r="D2982" s="1" t="s">
        <v>3558</v>
      </c>
      <c r="E2982" s="1" t="s">
        <v>25</v>
      </c>
      <c r="F2982">
        <v>650</v>
      </c>
      <c r="G2982">
        <v>650</v>
      </c>
      <c r="H2982">
        <v>314</v>
      </c>
      <c r="I2982" s="1" t="s">
        <v>1528</v>
      </c>
      <c r="J2982" s="1" t="s">
        <v>3531</v>
      </c>
      <c r="K2982" s="1" t="s">
        <v>25</v>
      </c>
      <c r="L2982">
        <v>-1.4202279928953101</v>
      </c>
      <c r="M2982" t="str">
        <f t="shared" si="85"/>
        <v>44/40</v>
      </c>
      <c r="N2982" t="str">
        <f t="shared" si="86"/>
        <v>SW</v>
      </c>
      <c r="O2982" s="1" t="s">
        <v>25</v>
      </c>
      <c r="P2982" s="3" t="s">
        <v>25</v>
      </c>
      <c r="Q2982" s="37">
        <v>0.52119769999999999</v>
      </c>
      <c r="R2982" t="str">
        <f t="shared" si="87"/>
        <v>mmol/mol</v>
      </c>
      <c r="S2982" s="13">
        <f t="shared" si="84"/>
        <v>-1.4202279928953101</v>
      </c>
    </row>
    <row r="2983" spans="1:19">
      <c r="A2983" s="18" t="s">
        <v>3504</v>
      </c>
      <c r="B2983" s="1" t="s">
        <v>3077</v>
      </c>
      <c r="C2983" s="1" t="s">
        <v>3507</v>
      </c>
      <c r="D2983" s="1" t="s">
        <v>3558</v>
      </c>
      <c r="E2983" s="1" t="s">
        <v>25</v>
      </c>
      <c r="F2983">
        <v>650</v>
      </c>
      <c r="G2983">
        <v>650</v>
      </c>
      <c r="H2983">
        <v>317</v>
      </c>
      <c r="I2983" s="1" t="s">
        <v>1528</v>
      </c>
      <c r="J2983" s="1" t="s">
        <v>3531</v>
      </c>
      <c r="K2983" s="1" t="s">
        <v>25</v>
      </c>
      <c r="L2983">
        <v>-1.2099211187763601</v>
      </c>
      <c r="M2983" t="str">
        <f t="shared" si="85"/>
        <v>44/40</v>
      </c>
      <c r="N2983" t="str">
        <f t="shared" si="86"/>
        <v>SW</v>
      </c>
      <c r="O2983" s="1" t="s">
        <v>25</v>
      </c>
      <c r="P2983" s="3" t="s">
        <v>25</v>
      </c>
      <c r="Q2983" s="37">
        <v>0.94731969999999999</v>
      </c>
      <c r="R2983" t="str">
        <f t="shared" si="87"/>
        <v>mmol/mol</v>
      </c>
      <c r="S2983" s="13">
        <f t="shared" si="84"/>
        <v>-1.2099211187763601</v>
      </c>
    </row>
    <row r="2984" spans="1:19">
      <c r="A2984" s="18" t="s">
        <v>3504</v>
      </c>
      <c r="B2984" s="1" t="s">
        <v>3078</v>
      </c>
      <c r="C2984" s="1" t="s">
        <v>3507</v>
      </c>
      <c r="D2984" s="1" t="s">
        <v>3558</v>
      </c>
      <c r="E2984" s="1" t="s">
        <v>25</v>
      </c>
      <c r="F2984">
        <v>650</v>
      </c>
      <c r="G2984">
        <v>650</v>
      </c>
      <c r="H2984">
        <v>321</v>
      </c>
      <c r="I2984" s="1" t="s">
        <v>1528</v>
      </c>
      <c r="J2984" s="1" t="s">
        <v>3522</v>
      </c>
      <c r="K2984" s="1" t="s">
        <v>25</v>
      </c>
      <c r="L2984">
        <v>-1.26431641304521</v>
      </c>
      <c r="M2984" t="str">
        <f t="shared" si="85"/>
        <v>44/40</v>
      </c>
      <c r="N2984" t="str">
        <f t="shared" si="86"/>
        <v>SW</v>
      </c>
      <c r="O2984" s="1" t="s">
        <v>25</v>
      </c>
      <c r="P2984" s="3" t="s">
        <v>25</v>
      </c>
      <c r="Q2984" s="37">
        <v>1.0691305</v>
      </c>
      <c r="R2984" t="str">
        <f t="shared" si="87"/>
        <v>mmol/mol</v>
      </c>
      <c r="S2984" s="13">
        <f t="shared" si="84"/>
        <v>-1.26431641304521</v>
      </c>
    </row>
    <row r="2985" spans="1:19">
      <c r="A2985" s="18" t="s">
        <v>3504</v>
      </c>
      <c r="B2985" s="1" t="s">
        <v>3079</v>
      </c>
      <c r="C2985" s="1" t="s">
        <v>3507</v>
      </c>
      <c r="D2985" s="1" t="s">
        <v>3558</v>
      </c>
      <c r="E2985" s="1" t="s">
        <v>25</v>
      </c>
      <c r="F2985">
        <v>650</v>
      </c>
      <c r="G2985">
        <v>650</v>
      </c>
      <c r="H2985">
        <v>340</v>
      </c>
      <c r="I2985" s="1" t="s">
        <v>1528</v>
      </c>
      <c r="J2985" s="1" t="s">
        <v>3522</v>
      </c>
      <c r="K2985" s="1" t="s">
        <v>25</v>
      </c>
      <c r="L2985">
        <v>-1.4991919342200799</v>
      </c>
      <c r="M2985" t="str">
        <f t="shared" si="85"/>
        <v>44/40</v>
      </c>
      <c r="N2985" t="str">
        <f t="shared" si="86"/>
        <v>SW</v>
      </c>
      <c r="O2985" s="1" t="s">
        <v>25</v>
      </c>
      <c r="P2985" s="3" t="s">
        <v>25</v>
      </c>
      <c r="Q2985" s="37">
        <v>0.7208523</v>
      </c>
      <c r="R2985" t="str">
        <f t="shared" si="87"/>
        <v>mmol/mol</v>
      </c>
      <c r="S2985" s="13">
        <f t="shared" si="84"/>
        <v>-1.4991919342200799</v>
      </c>
    </row>
    <row r="2986" spans="1:19">
      <c r="A2986" s="18" t="s">
        <v>3504</v>
      </c>
      <c r="B2986" s="1" t="s">
        <v>3080</v>
      </c>
      <c r="C2986" s="1" t="s">
        <v>3507</v>
      </c>
      <c r="D2986" s="1" t="s">
        <v>3558</v>
      </c>
      <c r="E2986" s="1" t="s">
        <v>25</v>
      </c>
      <c r="F2986">
        <v>650</v>
      </c>
      <c r="G2986">
        <v>650</v>
      </c>
      <c r="H2986">
        <v>341</v>
      </c>
      <c r="I2986" s="1" t="s">
        <v>1528</v>
      </c>
      <c r="J2986" s="1" t="s">
        <v>3537</v>
      </c>
      <c r="K2986" s="1" t="s">
        <v>25</v>
      </c>
      <c r="L2986" t="s">
        <v>25</v>
      </c>
      <c r="M2986" t="str">
        <f t="shared" si="85"/>
        <v>Na</v>
      </c>
      <c r="N2986" t="str">
        <f t="shared" si="86"/>
        <v>Na</v>
      </c>
      <c r="O2986" s="1" t="s">
        <v>25</v>
      </c>
      <c r="P2986" s="3" t="s">
        <v>25</v>
      </c>
      <c r="Q2986" s="37">
        <v>1.5540068</v>
      </c>
      <c r="R2986" t="str">
        <f t="shared" si="87"/>
        <v>mmol/mol</v>
      </c>
      <c r="S2986" s="13" t="s">
        <v>25</v>
      </c>
    </row>
    <row r="2987" spans="1:19">
      <c r="A2987" s="18" t="s">
        <v>3504</v>
      </c>
      <c r="B2987" s="1" t="s">
        <v>3081</v>
      </c>
      <c r="C2987" s="1" t="s">
        <v>3507</v>
      </c>
      <c r="D2987" s="1" t="s">
        <v>3558</v>
      </c>
      <c r="E2987" s="1" t="s">
        <v>25</v>
      </c>
      <c r="F2987">
        <v>650</v>
      </c>
      <c r="G2987">
        <v>650</v>
      </c>
      <c r="H2987">
        <v>344</v>
      </c>
      <c r="I2987" s="1" t="s">
        <v>1528</v>
      </c>
      <c r="J2987" s="1" t="s">
        <v>3537</v>
      </c>
      <c r="K2987" s="1" t="s">
        <v>25</v>
      </c>
      <c r="L2987">
        <v>-1.3744718801762199</v>
      </c>
      <c r="M2987" t="str">
        <f t="shared" si="85"/>
        <v>44/40</v>
      </c>
      <c r="N2987" t="str">
        <f t="shared" si="86"/>
        <v>SW</v>
      </c>
      <c r="O2987" s="1" t="s">
        <v>25</v>
      </c>
      <c r="P2987" s="3" t="s">
        <v>25</v>
      </c>
      <c r="Q2987" s="37">
        <v>0.86134409999999995</v>
      </c>
      <c r="R2987" t="str">
        <f t="shared" si="87"/>
        <v>mmol/mol</v>
      </c>
      <c r="S2987" s="13">
        <f t="shared" si="84"/>
        <v>-1.3744718801762199</v>
      </c>
    </row>
    <row r="2988" spans="1:19">
      <c r="A2988" s="18" t="s">
        <v>3504</v>
      </c>
      <c r="B2988" s="1" t="s">
        <v>3082</v>
      </c>
      <c r="C2988" s="1" t="s">
        <v>3507</v>
      </c>
      <c r="D2988" s="1" t="s">
        <v>3558</v>
      </c>
      <c r="E2988" s="1" t="s">
        <v>25</v>
      </c>
      <c r="F2988">
        <v>650</v>
      </c>
      <c r="G2988">
        <v>650</v>
      </c>
      <c r="H2988">
        <v>346</v>
      </c>
      <c r="I2988" s="1" t="s">
        <v>1528</v>
      </c>
      <c r="J2988" s="1" t="s">
        <v>3537</v>
      </c>
      <c r="K2988" s="1" t="s">
        <v>25</v>
      </c>
      <c r="L2988">
        <v>-1.46292631235557</v>
      </c>
      <c r="M2988" t="str">
        <f t="shared" si="85"/>
        <v>44/40</v>
      </c>
      <c r="N2988" t="str">
        <f t="shared" si="86"/>
        <v>SW</v>
      </c>
      <c r="O2988" s="1" t="s">
        <v>25</v>
      </c>
      <c r="P2988" s="3" t="s">
        <v>25</v>
      </c>
      <c r="Q2988" s="37">
        <v>1.6633739000000001</v>
      </c>
      <c r="R2988" t="str">
        <f t="shared" si="87"/>
        <v>mmol/mol</v>
      </c>
      <c r="S2988" s="13">
        <f t="shared" ref="S2988:S3051" si="88">IF(NOT(N2988="SW"),L2988-1.88,L2988)</f>
        <v>-1.46292631235557</v>
      </c>
    </row>
    <row r="2989" spans="1:19">
      <c r="A2989" s="18" t="s">
        <v>3504</v>
      </c>
      <c r="B2989" s="1" t="s">
        <v>3083</v>
      </c>
      <c r="C2989" s="1" t="s">
        <v>3507</v>
      </c>
      <c r="D2989" s="1" t="s">
        <v>3558</v>
      </c>
      <c r="E2989" s="1" t="s">
        <v>25</v>
      </c>
      <c r="F2989">
        <v>650</v>
      </c>
      <c r="G2989">
        <v>650</v>
      </c>
      <c r="H2989">
        <v>348</v>
      </c>
      <c r="I2989" s="1" t="s">
        <v>1528</v>
      </c>
      <c r="J2989" s="1" t="s">
        <v>3537</v>
      </c>
      <c r="K2989" s="1" t="s">
        <v>25</v>
      </c>
      <c r="L2989" t="s">
        <v>25</v>
      </c>
      <c r="M2989" t="str">
        <f t="shared" si="85"/>
        <v>Na</v>
      </c>
      <c r="N2989" t="str">
        <f t="shared" si="86"/>
        <v>Na</v>
      </c>
      <c r="O2989" s="1" t="s">
        <v>25</v>
      </c>
      <c r="P2989" s="3" t="s">
        <v>25</v>
      </c>
      <c r="Q2989" s="37">
        <v>2.1485944174519802</v>
      </c>
      <c r="R2989" t="str">
        <f t="shared" si="87"/>
        <v>mmol/mol</v>
      </c>
      <c r="S2989" s="13" t="s">
        <v>25</v>
      </c>
    </row>
    <row r="2990" spans="1:19">
      <c r="A2990" s="18" t="s">
        <v>3504</v>
      </c>
      <c r="B2990" s="1" t="s">
        <v>3084</v>
      </c>
      <c r="C2990" s="1" t="s">
        <v>3507</v>
      </c>
      <c r="D2990" s="1" t="s">
        <v>3558</v>
      </c>
      <c r="E2990" s="1" t="s">
        <v>25</v>
      </c>
      <c r="F2990">
        <v>650</v>
      </c>
      <c r="G2990">
        <v>650</v>
      </c>
      <c r="H2990">
        <v>349</v>
      </c>
      <c r="I2990" s="1" t="s">
        <v>1528</v>
      </c>
      <c r="J2990" s="1" t="s">
        <v>3537</v>
      </c>
      <c r="K2990" s="1" t="s">
        <v>25</v>
      </c>
      <c r="L2990">
        <v>-1.4440115679092</v>
      </c>
      <c r="M2990" t="str">
        <f t="shared" si="85"/>
        <v>44/40</v>
      </c>
      <c r="N2990" t="str">
        <f t="shared" si="86"/>
        <v>SW</v>
      </c>
      <c r="O2990" s="1" t="s">
        <v>25</v>
      </c>
      <c r="P2990" s="3" t="s">
        <v>25</v>
      </c>
      <c r="Q2990" s="37">
        <v>0.55080090000000004</v>
      </c>
      <c r="R2990" t="str">
        <f t="shared" si="87"/>
        <v>mmol/mol</v>
      </c>
      <c r="S2990" s="13">
        <f t="shared" si="88"/>
        <v>-1.4440115679092</v>
      </c>
    </row>
    <row r="2991" spans="1:19">
      <c r="A2991" s="18" t="s">
        <v>3504</v>
      </c>
      <c r="B2991" s="1" t="s">
        <v>3085</v>
      </c>
      <c r="C2991" s="1" t="s">
        <v>3507</v>
      </c>
      <c r="D2991" s="1" t="s">
        <v>3558</v>
      </c>
      <c r="E2991" s="1" t="s">
        <v>25</v>
      </c>
      <c r="F2991">
        <v>650</v>
      </c>
      <c r="G2991">
        <v>650</v>
      </c>
      <c r="H2991">
        <v>349</v>
      </c>
      <c r="I2991" s="1" t="s">
        <v>1528</v>
      </c>
      <c r="J2991" s="1" t="s">
        <v>3537</v>
      </c>
      <c r="K2991" s="1" t="s">
        <v>25</v>
      </c>
      <c r="L2991">
        <v>-1.53563323758846</v>
      </c>
      <c r="M2991" t="str">
        <f t="shared" si="85"/>
        <v>44/40</v>
      </c>
      <c r="N2991" t="str">
        <f t="shared" si="86"/>
        <v>SW</v>
      </c>
      <c r="O2991" s="1" t="s">
        <v>25</v>
      </c>
      <c r="P2991" s="3" t="s">
        <v>25</v>
      </c>
      <c r="Q2991" s="37">
        <v>2.1655319</v>
      </c>
      <c r="R2991" t="str">
        <f t="shared" si="87"/>
        <v>mmol/mol</v>
      </c>
      <c r="S2991" s="13">
        <f t="shared" si="88"/>
        <v>-1.53563323758846</v>
      </c>
    </row>
    <row r="2992" spans="1:19">
      <c r="A2992" s="18" t="s">
        <v>3504</v>
      </c>
      <c r="B2992" s="1" t="s">
        <v>3086</v>
      </c>
      <c r="C2992" s="1" t="s">
        <v>3507</v>
      </c>
      <c r="D2992" s="1" t="s">
        <v>3558</v>
      </c>
      <c r="E2992" s="1" t="s">
        <v>25</v>
      </c>
      <c r="F2992">
        <v>650</v>
      </c>
      <c r="G2992">
        <v>650</v>
      </c>
      <c r="H2992">
        <v>350</v>
      </c>
      <c r="I2992" s="1" t="s">
        <v>1528</v>
      </c>
      <c r="J2992" s="1" t="s">
        <v>3537</v>
      </c>
      <c r="K2992" s="1" t="s">
        <v>25</v>
      </c>
      <c r="L2992">
        <v>-1.5427616379089399</v>
      </c>
      <c r="M2992" t="str">
        <f t="shared" ref="M2992:M3055" si="89">IF(L2992="Na","Na","44/40")</f>
        <v>44/40</v>
      </c>
      <c r="N2992" t="str">
        <f t="shared" ref="N2992:N3055" si="90">IF(M2992="Na","Na","SW")</f>
        <v>SW</v>
      </c>
      <c r="O2992" s="1" t="s">
        <v>25</v>
      </c>
      <c r="P2992" s="3" t="s">
        <v>25</v>
      </c>
      <c r="Q2992" s="37">
        <v>2.6635534000000001</v>
      </c>
      <c r="R2992" t="str">
        <f t="shared" ref="R2992:R3055" si="91">IF(Q2992="Na","Na","mmol/mol")</f>
        <v>mmol/mol</v>
      </c>
      <c r="S2992" s="13">
        <f t="shared" si="88"/>
        <v>-1.5427616379089399</v>
      </c>
    </row>
    <row r="2993" spans="1:19">
      <c r="A2993" s="18" t="s">
        <v>3504</v>
      </c>
      <c r="B2993" s="1" t="s">
        <v>3087</v>
      </c>
      <c r="C2993" s="1" t="s">
        <v>3507</v>
      </c>
      <c r="D2993" s="1" t="s">
        <v>3558</v>
      </c>
      <c r="E2993" s="1" t="s">
        <v>25</v>
      </c>
      <c r="F2993">
        <v>650</v>
      </c>
      <c r="G2993">
        <v>650</v>
      </c>
      <c r="H2993">
        <v>352</v>
      </c>
      <c r="I2993" s="1" t="s">
        <v>1528</v>
      </c>
      <c r="J2993" s="1" t="s">
        <v>3537</v>
      </c>
      <c r="K2993" s="1" t="s">
        <v>25</v>
      </c>
      <c r="L2993">
        <v>-0.99508971782649402</v>
      </c>
      <c r="M2993" t="str">
        <f t="shared" si="89"/>
        <v>44/40</v>
      </c>
      <c r="N2993" t="str">
        <f t="shared" si="90"/>
        <v>SW</v>
      </c>
      <c r="O2993" s="1" t="s">
        <v>25</v>
      </c>
      <c r="P2993" s="3" t="s">
        <v>25</v>
      </c>
      <c r="Q2993" s="37">
        <v>0.66183250000000005</v>
      </c>
      <c r="R2993" t="str">
        <f t="shared" si="91"/>
        <v>mmol/mol</v>
      </c>
      <c r="S2993" s="13">
        <f t="shared" si="88"/>
        <v>-0.99508971782649402</v>
      </c>
    </row>
    <row r="2994" spans="1:19">
      <c r="A2994" s="18" t="s">
        <v>3504</v>
      </c>
      <c r="B2994" s="1" t="s">
        <v>3088</v>
      </c>
      <c r="C2994" s="1" t="s">
        <v>3508</v>
      </c>
      <c r="D2994" s="1" t="s">
        <v>3559</v>
      </c>
      <c r="E2994" s="1" t="s">
        <v>25</v>
      </c>
      <c r="F2994">
        <v>650</v>
      </c>
      <c r="G2994">
        <v>650</v>
      </c>
      <c r="H2994">
        <v>48.8</v>
      </c>
      <c r="I2994" s="1" t="s">
        <v>1528</v>
      </c>
      <c r="J2994" s="1" t="s">
        <v>3538</v>
      </c>
      <c r="K2994" s="1" t="s">
        <v>25</v>
      </c>
      <c r="L2994">
        <v>-1.2459878160139599</v>
      </c>
      <c r="M2994" t="str">
        <f t="shared" si="89"/>
        <v>44/40</v>
      </c>
      <c r="N2994" t="str">
        <f t="shared" si="90"/>
        <v>SW</v>
      </c>
      <c r="O2994" s="1" t="s">
        <v>25</v>
      </c>
      <c r="P2994" s="3" t="s">
        <v>25</v>
      </c>
      <c r="Q2994" s="37">
        <v>0.26673657701060299</v>
      </c>
      <c r="R2994" t="str">
        <f t="shared" si="91"/>
        <v>mmol/mol</v>
      </c>
      <c r="S2994" s="13">
        <f t="shared" si="88"/>
        <v>-1.2459878160139599</v>
      </c>
    </row>
    <row r="2995" spans="1:19">
      <c r="A2995" s="18" t="s">
        <v>3504</v>
      </c>
      <c r="B2995" s="1" t="s">
        <v>3089</v>
      </c>
      <c r="C2995" s="1" t="s">
        <v>3508</v>
      </c>
      <c r="D2995" s="1" t="s">
        <v>3559</v>
      </c>
      <c r="E2995" s="1" t="s">
        <v>25</v>
      </c>
      <c r="F2995">
        <v>650</v>
      </c>
      <c r="G2995">
        <v>650</v>
      </c>
      <c r="H2995">
        <v>49</v>
      </c>
      <c r="I2995" s="1" t="s">
        <v>1528</v>
      </c>
      <c r="J2995" s="1" t="s">
        <v>3538</v>
      </c>
      <c r="K2995" s="1" t="s">
        <v>25</v>
      </c>
      <c r="L2995">
        <v>-1.0997118626262501</v>
      </c>
      <c r="M2995" t="str">
        <f t="shared" si="89"/>
        <v>44/40</v>
      </c>
      <c r="N2995" t="str">
        <f t="shared" si="90"/>
        <v>SW</v>
      </c>
      <c r="O2995" s="1" t="s">
        <v>25</v>
      </c>
      <c r="P2995" s="3" t="s">
        <v>25</v>
      </c>
      <c r="Q2995" s="37" t="s">
        <v>25</v>
      </c>
      <c r="R2995" t="str">
        <f t="shared" si="91"/>
        <v>Na</v>
      </c>
      <c r="S2995" s="13">
        <f t="shared" si="88"/>
        <v>-1.0997118626262501</v>
      </c>
    </row>
    <row r="2996" spans="1:19">
      <c r="A2996" s="18" t="s">
        <v>3504</v>
      </c>
      <c r="B2996" s="1" t="s">
        <v>3090</v>
      </c>
      <c r="C2996" s="1" t="s">
        <v>3508</v>
      </c>
      <c r="D2996" s="1" t="s">
        <v>3559</v>
      </c>
      <c r="E2996" s="1" t="s">
        <v>25</v>
      </c>
      <c r="F2996">
        <v>650</v>
      </c>
      <c r="G2996">
        <v>650</v>
      </c>
      <c r="H2996">
        <v>55.1</v>
      </c>
      <c r="I2996" s="1" t="s">
        <v>1528</v>
      </c>
      <c r="J2996" s="1" t="s">
        <v>3538</v>
      </c>
      <c r="K2996" s="1" t="s">
        <v>25</v>
      </c>
      <c r="L2996">
        <v>-1.2622279713001701</v>
      </c>
      <c r="M2996" t="str">
        <f t="shared" si="89"/>
        <v>44/40</v>
      </c>
      <c r="N2996" t="str">
        <f t="shared" si="90"/>
        <v>SW</v>
      </c>
      <c r="O2996" s="1" t="s">
        <v>25</v>
      </c>
      <c r="P2996" s="3" t="s">
        <v>25</v>
      </c>
      <c r="Q2996" s="37">
        <v>0.56799757259886396</v>
      </c>
      <c r="R2996" t="str">
        <f t="shared" si="91"/>
        <v>mmol/mol</v>
      </c>
      <c r="S2996" s="13">
        <f t="shared" si="88"/>
        <v>-1.2622279713001701</v>
      </c>
    </row>
    <row r="2997" spans="1:19">
      <c r="A2997" s="18" t="s">
        <v>3504</v>
      </c>
      <c r="B2997" s="1" t="s">
        <v>3091</v>
      </c>
      <c r="C2997" s="1" t="s">
        <v>3508</v>
      </c>
      <c r="D2997" s="1" t="s">
        <v>3559</v>
      </c>
      <c r="E2997" s="1" t="s">
        <v>25</v>
      </c>
      <c r="F2997">
        <v>650</v>
      </c>
      <c r="G2997">
        <v>650</v>
      </c>
      <c r="H2997">
        <v>57.8</v>
      </c>
      <c r="I2997" s="1" t="s">
        <v>1528</v>
      </c>
      <c r="J2997" s="1" t="s">
        <v>3539</v>
      </c>
      <c r="K2997" s="1" t="s">
        <v>25</v>
      </c>
      <c r="L2997">
        <v>-1.3365218996935599</v>
      </c>
      <c r="M2997" t="str">
        <f t="shared" si="89"/>
        <v>44/40</v>
      </c>
      <c r="N2997" t="str">
        <f t="shared" si="90"/>
        <v>SW</v>
      </c>
      <c r="O2997" s="1" t="s">
        <v>25</v>
      </c>
      <c r="P2997" s="3" t="s">
        <v>25</v>
      </c>
      <c r="Q2997" s="37">
        <v>0.84762067268393804</v>
      </c>
      <c r="R2997" t="str">
        <f t="shared" si="91"/>
        <v>mmol/mol</v>
      </c>
      <c r="S2997" s="13">
        <f t="shared" si="88"/>
        <v>-1.3365218996935599</v>
      </c>
    </row>
    <row r="2998" spans="1:19">
      <c r="A2998" s="18" t="s">
        <v>3504</v>
      </c>
      <c r="B2998" s="1" t="s">
        <v>3092</v>
      </c>
      <c r="C2998" s="1" t="s">
        <v>3508</v>
      </c>
      <c r="D2998" s="1" t="s">
        <v>3559</v>
      </c>
      <c r="E2998" s="1" t="s">
        <v>25</v>
      </c>
      <c r="F2998">
        <v>650</v>
      </c>
      <c r="G2998">
        <v>650</v>
      </c>
      <c r="H2998">
        <v>72.8</v>
      </c>
      <c r="I2998" s="1" t="s">
        <v>1528</v>
      </c>
      <c r="J2998" s="1" t="s">
        <v>3539</v>
      </c>
      <c r="K2998" s="1" t="s">
        <v>25</v>
      </c>
      <c r="L2998">
        <v>-1.14584436243617</v>
      </c>
      <c r="M2998" t="str">
        <f t="shared" si="89"/>
        <v>44/40</v>
      </c>
      <c r="N2998" t="str">
        <f t="shared" si="90"/>
        <v>SW</v>
      </c>
      <c r="O2998" s="1" t="s">
        <v>25</v>
      </c>
      <c r="P2998" s="3" t="s">
        <v>25</v>
      </c>
      <c r="Q2998" s="37">
        <v>0.69271192223286504</v>
      </c>
      <c r="R2998" t="str">
        <f t="shared" si="91"/>
        <v>mmol/mol</v>
      </c>
      <c r="S2998" s="13">
        <f t="shared" si="88"/>
        <v>-1.14584436243617</v>
      </c>
    </row>
    <row r="2999" spans="1:19">
      <c r="A2999" s="18" t="s">
        <v>3504</v>
      </c>
      <c r="B2999" s="1" t="s">
        <v>3093</v>
      </c>
      <c r="C2999" s="1" t="s">
        <v>3508</v>
      </c>
      <c r="D2999" s="1" t="s">
        <v>3559</v>
      </c>
      <c r="E2999" s="1" t="s">
        <v>25</v>
      </c>
      <c r="F2999">
        <v>650</v>
      </c>
      <c r="G2999">
        <v>650</v>
      </c>
      <c r="H2999">
        <v>81.8</v>
      </c>
      <c r="I2999" s="1" t="s">
        <v>1528</v>
      </c>
      <c r="J2999" s="1" t="s">
        <v>3539</v>
      </c>
      <c r="K2999" s="1" t="s">
        <v>25</v>
      </c>
      <c r="L2999">
        <v>-1.1781237572087</v>
      </c>
      <c r="M2999" t="str">
        <f t="shared" si="89"/>
        <v>44/40</v>
      </c>
      <c r="N2999" t="str">
        <f t="shared" si="90"/>
        <v>SW</v>
      </c>
      <c r="O2999" s="1" t="s">
        <v>25</v>
      </c>
      <c r="P2999" s="3" t="s">
        <v>25</v>
      </c>
      <c r="Q2999" s="37">
        <v>0.77029946371133695</v>
      </c>
      <c r="R2999" t="str">
        <f t="shared" si="91"/>
        <v>mmol/mol</v>
      </c>
      <c r="S2999" s="13">
        <f t="shared" si="88"/>
        <v>-1.1781237572087</v>
      </c>
    </row>
    <row r="3000" spans="1:19">
      <c r="A3000" s="18" t="s">
        <v>3504</v>
      </c>
      <c r="B3000" s="1" t="s">
        <v>3094</v>
      </c>
      <c r="C3000" s="1" t="s">
        <v>3508</v>
      </c>
      <c r="D3000" s="1" t="s">
        <v>3559</v>
      </c>
      <c r="E3000" s="1" t="s">
        <v>25</v>
      </c>
      <c r="F3000">
        <v>650</v>
      </c>
      <c r="G3000">
        <v>650</v>
      </c>
      <c r="H3000">
        <v>96.2</v>
      </c>
      <c r="I3000" s="1" t="s">
        <v>1528</v>
      </c>
      <c r="J3000" s="1" t="s">
        <v>3540</v>
      </c>
      <c r="K3000" s="1" t="s">
        <v>25</v>
      </c>
      <c r="L3000">
        <v>-1.22211687952746</v>
      </c>
      <c r="M3000" t="str">
        <f t="shared" si="89"/>
        <v>44/40</v>
      </c>
      <c r="N3000" t="str">
        <f t="shared" si="90"/>
        <v>SW</v>
      </c>
      <c r="O3000" s="1" t="s">
        <v>25</v>
      </c>
      <c r="P3000" s="3" t="s">
        <v>25</v>
      </c>
      <c r="Q3000" s="37">
        <v>9.5473888211946301E-2</v>
      </c>
      <c r="R3000" t="str">
        <f t="shared" si="91"/>
        <v>mmol/mol</v>
      </c>
      <c r="S3000" s="13">
        <f t="shared" si="88"/>
        <v>-1.22211687952746</v>
      </c>
    </row>
    <row r="3001" spans="1:19">
      <c r="A3001" s="18" t="s">
        <v>3504</v>
      </c>
      <c r="B3001" s="1" t="s">
        <v>3095</v>
      </c>
      <c r="C3001" s="1" t="s">
        <v>3508</v>
      </c>
      <c r="D3001" s="1" t="s">
        <v>3559</v>
      </c>
      <c r="E3001" s="1" t="s">
        <v>25</v>
      </c>
      <c r="F3001">
        <v>650</v>
      </c>
      <c r="G3001">
        <v>650</v>
      </c>
      <c r="H3001">
        <v>98.8</v>
      </c>
      <c r="I3001" s="1" t="s">
        <v>1528</v>
      </c>
      <c r="J3001" s="1" t="s">
        <v>3541</v>
      </c>
      <c r="K3001" s="1" t="s">
        <v>25</v>
      </c>
      <c r="L3001">
        <v>-1.23044949350848</v>
      </c>
      <c r="M3001" t="str">
        <f t="shared" si="89"/>
        <v>44/40</v>
      </c>
      <c r="N3001" t="str">
        <f t="shared" si="90"/>
        <v>SW</v>
      </c>
      <c r="O3001" s="1" t="s">
        <v>25</v>
      </c>
      <c r="P3001" s="3" t="s">
        <v>25</v>
      </c>
      <c r="Q3001" s="37">
        <v>0.100625688700994</v>
      </c>
      <c r="R3001" t="str">
        <f t="shared" si="91"/>
        <v>mmol/mol</v>
      </c>
      <c r="S3001" s="13">
        <f t="shared" si="88"/>
        <v>-1.23044949350848</v>
      </c>
    </row>
    <row r="3002" spans="1:19">
      <c r="A3002" s="18" t="s">
        <v>3504</v>
      </c>
      <c r="B3002" s="1" t="s">
        <v>3096</v>
      </c>
      <c r="C3002" s="1" t="s">
        <v>3508</v>
      </c>
      <c r="D3002" s="1" t="s">
        <v>3559</v>
      </c>
      <c r="E3002" s="1" t="s">
        <v>25</v>
      </c>
      <c r="F3002">
        <v>650</v>
      </c>
      <c r="G3002">
        <v>650</v>
      </c>
      <c r="H3002">
        <v>101.8</v>
      </c>
      <c r="I3002" s="1" t="s">
        <v>1528</v>
      </c>
      <c r="J3002" s="1" t="s">
        <v>3540</v>
      </c>
      <c r="K3002" s="1" t="s">
        <v>25</v>
      </c>
      <c r="L3002">
        <v>-1.0929327542426499</v>
      </c>
      <c r="M3002" t="str">
        <f t="shared" si="89"/>
        <v>44/40</v>
      </c>
      <c r="N3002" t="str">
        <f t="shared" si="90"/>
        <v>SW</v>
      </c>
      <c r="O3002" s="1" t="s">
        <v>25</v>
      </c>
      <c r="P3002" s="3" t="s">
        <v>25</v>
      </c>
      <c r="Q3002" s="37">
        <v>0.113512198779541</v>
      </c>
      <c r="R3002" t="str">
        <f t="shared" si="91"/>
        <v>mmol/mol</v>
      </c>
      <c r="S3002" s="13">
        <f t="shared" si="88"/>
        <v>-1.0929327542426499</v>
      </c>
    </row>
    <row r="3003" spans="1:19">
      <c r="A3003" s="18" t="s">
        <v>3504</v>
      </c>
      <c r="B3003" s="1" t="s">
        <v>3097</v>
      </c>
      <c r="C3003" s="1" t="s">
        <v>3508</v>
      </c>
      <c r="D3003" s="1" t="s">
        <v>3559</v>
      </c>
      <c r="E3003" s="1" t="s">
        <v>25</v>
      </c>
      <c r="F3003">
        <v>650</v>
      </c>
      <c r="G3003">
        <v>650</v>
      </c>
      <c r="H3003">
        <v>104.8</v>
      </c>
      <c r="I3003" s="1" t="s">
        <v>1528</v>
      </c>
      <c r="J3003" s="1" t="s">
        <v>3540</v>
      </c>
      <c r="K3003" s="1" t="s">
        <v>25</v>
      </c>
      <c r="L3003">
        <v>-1.0318967900920799</v>
      </c>
      <c r="M3003" t="str">
        <f t="shared" si="89"/>
        <v>44/40</v>
      </c>
      <c r="N3003" t="str">
        <f t="shared" si="90"/>
        <v>SW</v>
      </c>
      <c r="O3003" s="1" t="s">
        <v>25</v>
      </c>
      <c r="P3003" s="3" t="s">
        <v>25</v>
      </c>
      <c r="Q3003" s="37">
        <v>0.127018903969221</v>
      </c>
      <c r="R3003" t="str">
        <f t="shared" si="91"/>
        <v>mmol/mol</v>
      </c>
      <c r="S3003" s="13">
        <f t="shared" si="88"/>
        <v>-1.0318967900920799</v>
      </c>
    </row>
    <row r="3004" spans="1:19">
      <c r="A3004" s="18" t="s">
        <v>3504</v>
      </c>
      <c r="B3004" s="1" t="s">
        <v>3098</v>
      </c>
      <c r="C3004" s="1" t="s">
        <v>3508</v>
      </c>
      <c r="D3004" s="1" t="s">
        <v>3559</v>
      </c>
      <c r="E3004" s="1" t="s">
        <v>25</v>
      </c>
      <c r="F3004">
        <v>650</v>
      </c>
      <c r="G3004">
        <v>650</v>
      </c>
      <c r="H3004">
        <v>107.8</v>
      </c>
      <c r="I3004" s="1" t="s">
        <v>1528</v>
      </c>
      <c r="J3004" s="1" t="s">
        <v>3540</v>
      </c>
      <c r="K3004" s="1" t="s">
        <v>25</v>
      </c>
      <c r="L3004">
        <v>-1.1729201277024299</v>
      </c>
      <c r="M3004" t="str">
        <f t="shared" si="89"/>
        <v>44/40</v>
      </c>
      <c r="N3004" t="str">
        <f t="shared" si="90"/>
        <v>SW</v>
      </c>
      <c r="O3004" s="1" t="s">
        <v>25</v>
      </c>
      <c r="P3004" s="3" t="s">
        <v>25</v>
      </c>
      <c r="Q3004" s="37">
        <v>2.7339800000000001E-2</v>
      </c>
      <c r="R3004" t="str">
        <f t="shared" si="91"/>
        <v>mmol/mol</v>
      </c>
      <c r="S3004" s="13">
        <f t="shared" si="88"/>
        <v>-1.1729201277024299</v>
      </c>
    </row>
    <row r="3005" spans="1:19">
      <c r="A3005" s="18" t="s">
        <v>3504</v>
      </c>
      <c r="B3005" s="1" t="s">
        <v>3099</v>
      </c>
      <c r="C3005" s="1" t="s">
        <v>3508</v>
      </c>
      <c r="D3005" s="1" t="s">
        <v>3559</v>
      </c>
      <c r="E3005" s="1" t="s">
        <v>25</v>
      </c>
      <c r="F3005">
        <v>650</v>
      </c>
      <c r="G3005">
        <v>650</v>
      </c>
      <c r="H3005">
        <v>111.8</v>
      </c>
      <c r="I3005" s="1" t="s">
        <v>1528</v>
      </c>
      <c r="J3005" s="1" t="s">
        <v>3540</v>
      </c>
      <c r="K3005" s="1" t="s">
        <v>25</v>
      </c>
      <c r="L3005">
        <v>-1.1947015153354501</v>
      </c>
      <c r="M3005" t="str">
        <f t="shared" si="89"/>
        <v>44/40</v>
      </c>
      <c r="N3005" t="str">
        <f t="shared" si="90"/>
        <v>SW</v>
      </c>
      <c r="O3005" s="1" t="s">
        <v>25</v>
      </c>
      <c r="P3005" s="3" t="s">
        <v>25</v>
      </c>
      <c r="Q3005" s="37">
        <v>0.1423276</v>
      </c>
      <c r="R3005" t="str">
        <f t="shared" si="91"/>
        <v>mmol/mol</v>
      </c>
      <c r="S3005" s="13">
        <f t="shared" si="88"/>
        <v>-1.1947015153354501</v>
      </c>
    </row>
    <row r="3006" spans="1:19">
      <c r="A3006" s="18" t="s">
        <v>3504</v>
      </c>
      <c r="B3006" s="1" t="s">
        <v>3100</v>
      </c>
      <c r="C3006" s="1" t="s">
        <v>3508</v>
      </c>
      <c r="D3006" s="1" t="s">
        <v>3559</v>
      </c>
      <c r="E3006" s="1" t="s">
        <v>25</v>
      </c>
      <c r="F3006">
        <v>650</v>
      </c>
      <c r="G3006">
        <v>650</v>
      </c>
      <c r="H3006">
        <v>113.8</v>
      </c>
      <c r="I3006" s="1" t="s">
        <v>1528</v>
      </c>
      <c r="J3006" s="1" t="s">
        <v>3540</v>
      </c>
      <c r="K3006" s="1" t="s">
        <v>25</v>
      </c>
      <c r="L3006">
        <v>-1.1181415642966801</v>
      </c>
      <c r="M3006" t="str">
        <f t="shared" si="89"/>
        <v>44/40</v>
      </c>
      <c r="N3006" t="str">
        <f t="shared" si="90"/>
        <v>SW</v>
      </c>
      <c r="O3006" s="1" t="s">
        <v>25</v>
      </c>
      <c r="P3006" s="3" t="s">
        <v>25</v>
      </c>
      <c r="Q3006" s="37">
        <v>0.2027167</v>
      </c>
      <c r="R3006" t="str">
        <f t="shared" si="91"/>
        <v>mmol/mol</v>
      </c>
      <c r="S3006" s="13">
        <f t="shared" si="88"/>
        <v>-1.1181415642966801</v>
      </c>
    </row>
    <row r="3007" spans="1:19">
      <c r="A3007" s="18" t="s">
        <v>3504</v>
      </c>
      <c r="B3007" s="1" t="s">
        <v>3101</v>
      </c>
      <c r="C3007" s="1" t="s">
        <v>3508</v>
      </c>
      <c r="D3007" s="1" t="s">
        <v>3559</v>
      </c>
      <c r="E3007" s="1" t="s">
        <v>25</v>
      </c>
      <c r="F3007">
        <v>650</v>
      </c>
      <c r="G3007">
        <v>650</v>
      </c>
      <c r="H3007">
        <v>115.8</v>
      </c>
      <c r="I3007" s="1" t="s">
        <v>1528</v>
      </c>
      <c r="J3007" s="1" t="s">
        <v>3540</v>
      </c>
      <c r="K3007" s="1" t="s">
        <v>25</v>
      </c>
      <c r="L3007">
        <v>-1.1657832316669401</v>
      </c>
      <c r="M3007" t="str">
        <f t="shared" si="89"/>
        <v>44/40</v>
      </c>
      <c r="N3007" t="str">
        <f t="shared" si="90"/>
        <v>SW</v>
      </c>
      <c r="O3007" s="1" t="s">
        <v>25</v>
      </c>
      <c r="P3007" s="3" t="s">
        <v>25</v>
      </c>
      <c r="Q3007" s="37" t="s">
        <v>25</v>
      </c>
      <c r="R3007" t="str">
        <f t="shared" si="91"/>
        <v>Na</v>
      </c>
      <c r="S3007" s="13">
        <f t="shared" si="88"/>
        <v>-1.1657832316669401</v>
      </c>
    </row>
    <row r="3008" spans="1:19">
      <c r="A3008" s="18" t="s">
        <v>3504</v>
      </c>
      <c r="B3008" s="1" t="s">
        <v>3102</v>
      </c>
      <c r="C3008" s="1" t="s">
        <v>3508</v>
      </c>
      <c r="D3008" s="1" t="s">
        <v>3559</v>
      </c>
      <c r="E3008" s="1" t="s">
        <v>25</v>
      </c>
      <c r="F3008">
        <v>650</v>
      </c>
      <c r="G3008">
        <v>650</v>
      </c>
      <c r="H3008">
        <v>117.9</v>
      </c>
      <c r="I3008" s="1" t="s">
        <v>1528</v>
      </c>
      <c r="J3008" s="1" t="s">
        <v>3540</v>
      </c>
      <c r="K3008" s="1" t="s">
        <v>25</v>
      </c>
      <c r="L3008">
        <v>-1.12539245074518</v>
      </c>
      <c r="M3008" t="str">
        <f t="shared" si="89"/>
        <v>44/40</v>
      </c>
      <c r="N3008" t="str">
        <f t="shared" si="90"/>
        <v>SW</v>
      </c>
      <c r="O3008" s="1" t="s">
        <v>25</v>
      </c>
      <c r="P3008" s="3" t="s">
        <v>25</v>
      </c>
      <c r="Q3008" s="37">
        <v>0.12396219999999999</v>
      </c>
      <c r="R3008" t="str">
        <f t="shared" si="91"/>
        <v>mmol/mol</v>
      </c>
      <c r="S3008" s="13">
        <f t="shared" si="88"/>
        <v>-1.12539245074518</v>
      </c>
    </row>
    <row r="3009" spans="1:19">
      <c r="A3009" s="18" t="s">
        <v>3504</v>
      </c>
      <c r="B3009" s="1" t="s">
        <v>3103</v>
      </c>
      <c r="C3009" s="1" t="s">
        <v>3508</v>
      </c>
      <c r="D3009" s="1" t="s">
        <v>3559</v>
      </c>
      <c r="E3009" s="1" t="s">
        <v>25</v>
      </c>
      <c r="F3009">
        <v>650</v>
      </c>
      <c r="G3009">
        <v>650</v>
      </c>
      <c r="H3009">
        <v>119.9</v>
      </c>
      <c r="I3009" s="1" t="s">
        <v>1528</v>
      </c>
      <c r="J3009" s="1" t="s">
        <v>3540</v>
      </c>
      <c r="K3009" s="1" t="s">
        <v>25</v>
      </c>
      <c r="L3009">
        <v>-1.12356027663439</v>
      </c>
      <c r="M3009" t="str">
        <f t="shared" si="89"/>
        <v>44/40</v>
      </c>
      <c r="N3009" t="str">
        <f t="shared" si="90"/>
        <v>SW</v>
      </c>
      <c r="O3009" s="1" t="s">
        <v>25</v>
      </c>
      <c r="P3009" s="3" t="s">
        <v>25</v>
      </c>
      <c r="Q3009" s="37">
        <v>2.3574100000000001E-2</v>
      </c>
      <c r="R3009" t="str">
        <f t="shared" si="91"/>
        <v>mmol/mol</v>
      </c>
      <c r="S3009" s="13">
        <f t="shared" si="88"/>
        <v>-1.12356027663439</v>
      </c>
    </row>
    <row r="3010" spans="1:19">
      <c r="A3010" s="18" t="s">
        <v>3504</v>
      </c>
      <c r="B3010" s="1" t="s">
        <v>3104</v>
      </c>
      <c r="C3010" s="1" t="s">
        <v>3508</v>
      </c>
      <c r="D3010" s="1" t="s">
        <v>3559</v>
      </c>
      <c r="E3010" s="1" t="s">
        <v>25</v>
      </c>
      <c r="F3010">
        <v>650</v>
      </c>
      <c r="G3010">
        <v>650</v>
      </c>
      <c r="H3010">
        <v>124</v>
      </c>
      <c r="I3010" s="1" t="s">
        <v>1528</v>
      </c>
      <c r="J3010" s="1" t="s">
        <v>3540</v>
      </c>
      <c r="K3010" s="1" t="s">
        <v>25</v>
      </c>
      <c r="L3010">
        <v>-1.0732904363033999</v>
      </c>
      <c r="M3010" t="str">
        <f t="shared" si="89"/>
        <v>44/40</v>
      </c>
      <c r="N3010" t="str">
        <f t="shared" si="90"/>
        <v>SW</v>
      </c>
      <c r="O3010" s="1" t="s">
        <v>25</v>
      </c>
      <c r="P3010" s="3" t="s">
        <v>25</v>
      </c>
      <c r="Q3010" s="37">
        <v>0.18053691881744299</v>
      </c>
      <c r="R3010" t="str">
        <f t="shared" si="91"/>
        <v>mmol/mol</v>
      </c>
      <c r="S3010" s="13">
        <f t="shared" si="88"/>
        <v>-1.0732904363033999</v>
      </c>
    </row>
    <row r="3011" spans="1:19">
      <c r="A3011" s="18" t="s">
        <v>3504</v>
      </c>
      <c r="B3011" s="1" t="s">
        <v>3105</v>
      </c>
      <c r="C3011" s="1" t="s">
        <v>3508</v>
      </c>
      <c r="D3011" s="1" t="s">
        <v>3559</v>
      </c>
      <c r="E3011" s="1" t="s">
        <v>25</v>
      </c>
      <c r="F3011">
        <v>650</v>
      </c>
      <c r="G3011">
        <v>650</v>
      </c>
      <c r="H3011">
        <v>125.2</v>
      </c>
      <c r="I3011" s="1" t="s">
        <v>1528</v>
      </c>
      <c r="J3011" s="1" t="s">
        <v>3540</v>
      </c>
      <c r="K3011" s="1" t="s">
        <v>25</v>
      </c>
      <c r="L3011">
        <v>-0.790197918012708</v>
      </c>
      <c r="M3011" t="str">
        <f t="shared" si="89"/>
        <v>44/40</v>
      </c>
      <c r="N3011" t="str">
        <f t="shared" si="90"/>
        <v>SW</v>
      </c>
      <c r="O3011" s="1" t="s">
        <v>25</v>
      </c>
      <c r="P3011" s="3" t="s">
        <v>25</v>
      </c>
      <c r="Q3011" s="37">
        <v>8.9765300000000006E-2</v>
      </c>
      <c r="R3011" t="str">
        <f t="shared" si="91"/>
        <v>mmol/mol</v>
      </c>
      <c r="S3011" s="13">
        <f t="shared" si="88"/>
        <v>-0.790197918012708</v>
      </c>
    </row>
    <row r="3012" spans="1:19">
      <c r="A3012" s="18" t="s">
        <v>3504</v>
      </c>
      <c r="B3012" s="1" t="s">
        <v>3106</v>
      </c>
      <c r="C3012" s="1" t="s">
        <v>3508</v>
      </c>
      <c r="D3012" s="1" t="s">
        <v>3559</v>
      </c>
      <c r="E3012" s="1" t="s">
        <v>25</v>
      </c>
      <c r="F3012">
        <v>650</v>
      </c>
      <c r="G3012">
        <v>650</v>
      </c>
      <c r="H3012">
        <v>125.8</v>
      </c>
      <c r="I3012" s="1" t="s">
        <v>1528</v>
      </c>
      <c r="J3012" s="1" t="s">
        <v>3540</v>
      </c>
      <c r="K3012" s="1" t="s">
        <v>25</v>
      </c>
      <c r="L3012">
        <v>-1.2124187976772201</v>
      </c>
      <c r="M3012" t="str">
        <f t="shared" si="89"/>
        <v>44/40</v>
      </c>
      <c r="N3012" t="str">
        <f t="shared" si="90"/>
        <v>SW</v>
      </c>
      <c r="O3012" s="1" t="s">
        <v>25</v>
      </c>
      <c r="P3012" s="3" t="s">
        <v>25</v>
      </c>
      <c r="Q3012" s="37">
        <v>0.18748351573437899</v>
      </c>
      <c r="R3012" t="str">
        <f t="shared" si="91"/>
        <v>mmol/mol</v>
      </c>
      <c r="S3012" s="13">
        <f t="shared" si="88"/>
        <v>-1.2124187976772201</v>
      </c>
    </row>
    <row r="3013" spans="1:19">
      <c r="A3013" s="18" t="s">
        <v>3504</v>
      </c>
      <c r="B3013" s="1" t="s">
        <v>3107</v>
      </c>
      <c r="C3013" s="1" t="s">
        <v>3508</v>
      </c>
      <c r="D3013" s="1" t="s">
        <v>3559</v>
      </c>
      <c r="E3013" s="1" t="s">
        <v>25</v>
      </c>
      <c r="F3013">
        <v>650</v>
      </c>
      <c r="G3013">
        <v>650</v>
      </c>
      <c r="H3013">
        <v>126.8</v>
      </c>
      <c r="I3013" s="1" t="s">
        <v>1528</v>
      </c>
      <c r="J3013" s="1" t="s">
        <v>3540</v>
      </c>
      <c r="K3013" s="1" t="s">
        <v>25</v>
      </c>
      <c r="L3013">
        <v>-1.1405058956792899</v>
      </c>
      <c r="M3013" t="str">
        <f t="shared" si="89"/>
        <v>44/40</v>
      </c>
      <c r="N3013" t="str">
        <f t="shared" si="90"/>
        <v>SW</v>
      </c>
      <c r="O3013" s="1" t="s">
        <v>25</v>
      </c>
      <c r="P3013" s="3" t="s">
        <v>25</v>
      </c>
      <c r="Q3013" s="37">
        <v>0.13135930000000001</v>
      </c>
      <c r="R3013" t="str">
        <f t="shared" si="91"/>
        <v>mmol/mol</v>
      </c>
      <c r="S3013" s="13">
        <f t="shared" si="88"/>
        <v>-1.1405058956792899</v>
      </c>
    </row>
    <row r="3014" spans="1:19">
      <c r="A3014" s="18" t="s">
        <v>3504</v>
      </c>
      <c r="B3014" s="1" t="s">
        <v>3108</v>
      </c>
      <c r="C3014" s="1" t="s">
        <v>3508</v>
      </c>
      <c r="D3014" s="1" t="s">
        <v>3559</v>
      </c>
      <c r="E3014" s="1" t="s">
        <v>25</v>
      </c>
      <c r="F3014">
        <v>650</v>
      </c>
      <c r="G3014">
        <v>650</v>
      </c>
      <c r="H3014">
        <v>128.80000000000001</v>
      </c>
      <c r="I3014" s="1" t="s">
        <v>1528</v>
      </c>
      <c r="J3014" s="1" t="s">
        <v>3540</v>
      </c>
      <c r="K3014" s="1" t="s">
        <v>25</v>
      </c>
      <c r="L3014">
        <v>-1.09480415177778</v>
      </c>
      <c r="M3014" t="str">
        <f t="shared" si="89"/>
        <v>44/40</v>
      </c>
      <c r="N3014" t="str">
        <f t="shared" si="90"/>
        <v>SW</v>
      </c>
      <c r="O3014" s="1" t="s">
        <v>25</v>
      </c>
      <c r="P3014" s="3" t="s">
        <v>25</v>
      </c>
      <c r="Q3014" s="37">
        <v>0.1262692</v>
      </c>
      <c r="R3014" t="str">
        <f t="shared" si="91"/>
        <v>mmol/mol</v>
      </c>
      <c r="S3014" s="13">
        <f t="shared" si="88"/>
        <v>-1.09480415177778</v>
      </c>
    </row>
    <row r="3015" spans="1:19">
      <c r="A3015" s="18" t="s">
        <v>3504</v>
      </c>
      <c r="B3015" s="1" t="s">
        <v>3109</v>
      </c>
      <c r="C3015" s="1" t="s">
        <v>3508</v>
      </c>
      <c r="D3015" s="1" t="s">
        <v>3559</v>
      </c>
      <c r="E3015" s="1" t="s">
        <v>25</v>
      </c>
      <c r="F3015">
        <v>650</v>
      </c>
      <c r="G3015">
        <v>650</v>
      </c>
      <c r="H3015">
        <v>129.4</v>
      </c>
      <c r="I3015" s="1" t="s">
        <v>1528</v>
      </c>
      <c r="J3015" s="1" t="s">
        <v>3540</v>
      </c>
      <c r="K3015" s="1" t="s">
        <v>25</v>
      </c>
      <c r="L3015">
        <v>-1.1034105676453201</v>
      </c>
      <c r="M3015" t="str">
        <f t="shared" si="89"/>
        <v>44/40</v>
      </c>
      <c r="N3015" t="str">
        <f t="shared" si="90"/>
        <v>SW</v>
      </c>
      <c r="O3015" s="1" t="s">
        <v>25</v>
      </c>
      <c r="P3015" s="3" t="s">
        <v>25</v>
      </c>
      <c r="Q3015" s="37" t="s">
        <v>25</v>
      </c>
      <c r="R3015" t="str">
        <f t="shared" si="91"/>
        <v>Na</v>
      </c>
      <c r="S3015" s="13">
        <f t="shared" si="88"/>
        <v>-1.1034105676453201</v>
      </c>
    </row>
    <row r="3016" spans="1:19">
      <c r="A3016" s="18" t="s">
        <v>3504</v>
      </c>
      <c r="B3016" s="1" t="s">
        <v>3110</v>
      </c>
      <c r="C3016" s="1" t="s">
        <v>3508</v>
      </c>
      <c r="D3016" s="1" t="s">
        <v>3559</v>
      </c>
      <c r="E3016" s="1" t="s">
        <v>25</v>
      </c>
      <c r="F3016">
        <v>650</v>
      </c>
      <c r="G3016">
        <v>650</v>
      </c>
      <c r="H3016">
        <v>130.80000000000001</v>
      </c>
      <c r="I3016" s="1" t="s">
        <v>1528</v>
      </c>
      <c r="J3016" s="1" t="s">
        <v>3540</v>
      </c>
      <c r="K3016" s="1" t="s">
        <v>25</v>
      </c>
      <c r="L3016">
        <v>-1.1169529746181099</v>
      </c>
      <c r="M3016" t="str">
        <f t="shared" si="89"/>
        <v>44/40</v>
      </c>
      <c r="N3016" t="str">
        <f t="shared" si="90"/>
        <v>SW</v>
      </c>
      <c r="O3016" s="1" t="s">
        <v>25</v>
      </c>
      <c r="P3016" s="3" t="s">
        <v>25</v>
      </c>
      <c r="Q3016" s="37">
        <v>0.1311467</v>
      </c>
      <c r="R3016" t="str">
        <f t="shared" si="91"/>
        <v>mmol/mol</v>
      </c>
      <c r="S3016" s="13">
        <f t="shared" si="88"/>
        <v>-1.1169529746181099</v>
      </c>
    </row>
    <row r="3017" spans="1:19">
      <c r="A3017" s="18" t="s">
        <v>3504</v>
      </c>
      <c r="B3017" s="1" t="s">
        <v>3111</v>
      </c>
      <c r="C3017" s="1" t="s">
        <v>3508</v>
      </c>
      <c r="D3017" s="1" t="s">
        <v>3559</v>
      </c>
      <c r="E3017" s="1" t="s">
        <v>25</v>
      </c>
      <c r="F3017">
        <v>650</v>
      </c>
      <c r="G3017">
        <v>650</v>
      </c>
      <c r="H3017">
        <v>132.80000000000001</v>
      </c>
      <c r="I3017" s="1" t="s">
        <v>1528</v>
      </c>
      <c r="J3017" s="1" t="s">
        <v>3540</v>
      </c>
      <c r="K3017" s="1" t="s">
        <v>25</v>
      </c>
      <c r="L3017">
        <v>-1.09370126644508</v>
      </c>
      <c r="M3017" t="str">
        <f t="shared" si="89"/>
        <v>44/40</v>
      </c>
      <c r="N3017" t="str">
        <f t="shared" si="90"/>
        <v>SW</v>
      </c>
      <c r="O3017" s="1" t="s">
        <v>25</v>
      </c>
      <c r="P3017" s="3" t="s">
        <v>25</v>
      </c>
      <c r="Q3017" s="37">
        <v>0.1273117</v>
      </c>
      <c r="R3017" t="str">
        <f t="shared" si="91"/>
        <v>mmol/mol</v>
      </c>
      <c r="S3017" s="13">
        <f t="shared" si="88"/>
        <v>-1.09370126644508</v>
      </c>
    </row>
    <row r="3018" spans="1:19">
      <c r="A3018" s="18" t="s">
        <v>3504</v>
      </c>
      <c r="B3018" s="1" t="s">
        <v>3112</v>
      </c>
      <c r="C3018" s="1" t="s">
        <v>3508</v>
      </c>
      <c r="D3018" s="1" t="s">
        <v>3559</v>
      </c>
      <c r="E3018" s="1" t="s">
        <v>25</v>
      </c>
      <c r="F3018">
        <v>650</v>
      </c>
      <c r="G3018">
        <v>650</v>
      </c>
      <c r="H3018">
        <v>133.30000000000001</v>
      </c>
      <c r="I3018" s="1" t="s">
        <v>1528</v>
      </c>
      <c r="J3018" s="1" t="s">
        <v>3540</v>
      </c>
      <c r="K3018" s="1" t="s">
        <v>25</v>
      </c>
      <c r="L3018">
        <v>-0.87710936507399395</v>
      </c>
      <c r="M3018" t="str">
        <f t="shared" si="89"/>
        <v>44/40</v>
      </c>
      <c r="N3018" t="str">
        <f t="shared" si="90"/>
        <v>SW</v>
      </c>
      <c r="O3018" s="1" t="s">
        <v>25</v>
      </c>
      <c r="P3018" s="3" t="s">
        <v>25</v>
      </c>
      <c r="Q3018" s="37">
        <v>0.1379725</v>
      </c>
      <c r="R3018" t="str">
        <f t="shared" si="91"/>
        <v>mmol/mol</v>
      </c>
      <c r="S3018" s="13">
        <f t="shared" si="88"/>
        <v>-0.87710936507399395</v>
      </c>
    </row>
    <row r="3019" spans="1:19">
      <c r="A3019" s="18" t="s">
        <v>3504</v>
      </c>
      <c r="B3019" s="1" t="s">
        <v>3113</v>
      </c>
      <c r="C3019" s="1" t="s">
        <v>3508</v>
      </c>
      <c r="D3019" s="1" t="s">
        <v>3559</v>
      </c>
      <c r="E3019" s="1" t="s">
        <v>25</v>
      </c>
      <c r="F3019">
        <v>650</v>
      </c>
      <c r="G3019">
        <v>650</v>
      </c>
      <c r="H3019">
        <v>137.6</v>
      </c>
      <c r="I3019" s="1" t="s">
        <v>1528</v>
      </c>
      <c r="J3019" s="1" t="s">
        <v>3542</v>
      </c>
      <c r="K3019" s="1" t="s">
        <v>25</v>
      </c>
      <c r="L3019">
        <v>-0.79425814316493304</v>
      </c>
      <c r="M3019" t="str">
        <f t="shared" si="89"/>
        <v>44/40</v>
      </c>
      <c r="N3019" t="str">
        <f t="shared" si="90"/>
        <v>SW</v>
      </c>
      <c r="O3019" s="1" t="s">
        <v>25</v>
      </c>
      <c r="P3019" s="3" t="s">
        <v>25</v>
      </c>
      <c r="Q3019" s="37">
        <v>0.19811400000000001</v>
      </c>
      <c r="R3019" t="str">
        <f t="shared" si="91"/>
        <v>mmol/mol</v>
      </c>
      <c r="S3019" s="13">
        <f t="shared" si="88"/>
        <v>-0.79425814316493304</v>
      </c>
    </row>
    <row r="3020" spans="1:19">
      <c r="A3020" s="18" t="s">
        <v>3504</v>
      </c>
      <c r="B3020" s="1" t="s">
        <v>3114</v>
      </c>
      <c r="C3020" s="1" t="s">
        <v>3508</v>
      </c>
      <c r="D3020" s="1" t="s">
        <v>3559</v>
      </c>
      <c r="E3020" s="1" t="s">
        <v>25</v>
      </c>
      <c r="F3020">
        <v>650</v>
      </c>
      <c r="G3020">
        <v>650</v>
      </c>
      <c r="H3020">
        <v>139.80000000000001</v>
      </c>
      <c r="I3020" s="1" t="s">
        <v>1528</v>
      </c>
      <c r="J3020" s="1" t="s">
        <v>3540</v>
      </c>
      <c r="K3020" s="1" t="s">
        <v>25</v>
      </c>
      <c r="L3020">
        <v>-0.86719503666066999</v>
      </c>
      <c r="M3020" t="str">
        <f t="shared" si="89"/>
        <v>44/40</v>
      </c>
      <c r="N3020" t="str">
        <f t="shared" si="90"/>
        <v>SW</v>
      </c>
      <c r="O3020" s="1" t="s">
        <v>25</v>
      </c>
      <c r="P3020" s="3" t="s">
        <v>25</v>
      </c>
      <c r="Q3020" s="37">
        <v>0.1265539</v>
      </c>
      <c r="R3020" t="str">
        <f t="shared" si="91"/>
        <v>mmol/mol</v>
      </c>
      <c r="S3020" s="13">
        <f t="shared" si="88"/>
        <v>-0.86719503666066999</v>
      </c>
    </row>
    <row r="3021" spans="1:19">
      <c r="A3021" s="18" t="s">
        <v>3504</v>
      </c>
      <c r="B3021" s="1" t="s">
        <v>3115</v>
      </c>
      <c r="C3021" s="1" t="s">
        <v>3508</v>
      </c>
      <c r="D3021" s="1" t="s">
        <v>3559</v>
      </c>
      <c r="E3021" s="1" t="s">
        <v>25</v>
      </c>
      <c r="F3021">
        <v>650</v>
      </c>
      <c r="G3021">
        <v>650</v>
      </c>
      <c r="H3021">
        <v>153.6</v>
      </c>
      <c r="I3021" s="1" t="s">
        <v>1528</v>
      </c>
      <c r="J3021" s="1" t="s">
        <v>3541</v>
      </c>
      <c r="K3021" s="1" t="s">
        <v>25</v>
      </c>
      <c r="L3021">
        <v>-0.84758092061816304</v>
      </c>
      <c r="M3021" t="str">
        <f t="shared" si="89"/>
        <v>44/40</v>
      </c>
      <c r="N3021" t="str">
        <f t="shared" si="90"/>
        <v>SW</v>
      </c>
      <c r="O3021" s="1" t="s">
        <v>25</v>
      </c>
      <c r="P3021" s="3" t="s">
        <v>25</v>
      </c>
      <c r="Q3021" s="37">
        <v>0.1252722</v>
      </c>
      <c r="R3021" t="str">
        <f t="shared" si="91"/>
        <v>mmol/mol</v>
      </c>
      <c r="S3021" s="13">
        <f t="shared" si="88"/>
        <v>-0.84758092061816304</v>
      </c>
    </row>
    <row r="3022" spans="1:19">
      <c r="A3022" s="18" t="s">
        <v>3504</v>
      </c>
      <c r="B3022" s="1" t="s">
        <v>3116</v>
      </c>
      <c r="C3022" s="1" t="s">
        <v>3508</v>
      </c>
      <c r="D3022" s="1" t="s">
        <v>3559</v>
      </c>
      <c r="E3022" s="1" t="s">
        <v>25</v>
      </c>
      <c r="F3022">
        <v>650</v>
      </c>
      <c r="G3022">
        <v>650</v>
      </c>
      <c r="H3022">
        <v>157.6</v>
      </c>
      <c r="I3022" s="1" t="s">
        <v>1528</v>
      </c>
      <c r="J3022" s="1" t="s">
        <v>3543</v>
      </c>
      <c r="K3022" s="1" t="s">
        <v>25</v>
      </c>
      <c r="L3022">
        <v>-0.78712235068317504</v>
      </c>
      <c r="M3022" t="str">
        <f t="shared" si="89"/>
        <v>44/40</v>
      </c>
      <c r="N3022" t="str">
        <f t="shared" si="90"/>
        <v>SW</v>
      </c>
      <c r="O3022" s="1" t="s">
        <v>25</v>
      </c>
      <c r="P3022" s="3" t="s">
        <v>25</v>
      </c>
      <c r="Q3022" s="37">
        <v>0.1365799</v>
      </c>
      <c r="R3022" t="str">
        <f t="shared" si="91"/>
        <v>mmol/mol</v>
      </c>
      <c r="S3022" s="13">
        <f t="shared" si="88"/>
        <v>-0.78712235068317504</v>
      </c>
    </row>
    <row r="3023" spans="1:19">
      <c r="A3023" s="18" t="s">
        <v>3504</v>
      </c>
      <c r="B3023" s="1" t="s">
        <v>3117</v>
      </c>
      <c r="C3023" s="1" t="s">
        <v>3508</v>
      </c>
      <c r="D3023" s="1" t="s">
        <v>3559</v>
      </c>
      <c r="E3023" s="1" t="s">
        <v>25</v>
      </c>
      <c r="F3023">
        <v>650</v>
      </c>
      <c r="G3023">
        <v>650</v>
      </c>
      <c r="H3023">
        <v>161.30000000000001</v>
      </c>
      <c r="I3023" s="1" t="s">
        <v>1528</v>
      </c>
      <c r="J3023" s="1" t="s">
        <v>3544</v>
      </c>
      <c r="K3023" s="1" t="s">
        <v>25</v>
      </c>
      <c r="L3023">
        <v>-0.74739436198458797</v>
      </c>
      <c r="M3023" t="str">
        <f t="shared" si="89"/>
        <v>44/40</v>
      </c>
      <c r="N3023" t="str">
        <f t="shared" si="90"/>
        <v>SW</v>
      </c>
      <c r="O3023" s="1" t="s">
        <v>25</v>
      </c>
      <c r="P3023" s="3" t="s">
        <v>25</v>
      </c>
      <c r="Q3023" s="37">
        <v>0.16322</v>
      </c>
      <c r="R3023" t="str">
        <f t="shared" si="91"/>
        <v>mmol/mol</v>
      </c>
      <c r="S3023" s="13">
        <f t="shared" si="88"/>
        <v>-0.74739436198458797</v>
      </c>
    </row>
    <row r="3024" spans="1:19">
      <c r="A3024" s="18" t="s">
        <v>3504</v>
      </c>
      <c r="B3024" s="1" t="s">
        <v>3118</v>
      </c>
      <c r="C3024" s="1" t="s">
        <v>3508</v>
      </c>
      <c r="D3024" s="1" t="s">
        <v>3559</v>
      </c>
      <c r="E3024" s="1" t="s">
        <v>25</v>
      </c>
      <c r="F3024">
        <v>650</v>
      </c>
      <c r="G3024">
        <v>650</v>
      </c>
      <c r="H3024">
        <v>166.3</v>
      </c>
      <c r="I3024" s="1" t="s">
        <v>1528</v>
      </c>
      <c r="J3024" s="1" t="s">
        <v>3541</v>
      </c>
      <c r="K3024" s="1" t="s">
        <v>25</v>
      </c>
      <c r="L3024">
        <v>-0.80985323157891898</v>
      </c>
      <c r="M3024" t="str">
        <f t="shared" si="89"/>
        <v>44/40</v>
      </c>
      <c r="N3024" t="str">
        <f t="shared" si="90"/>
        <v>SW</v>
      </c>
      <c r="O3024" s="1" t="s">
        <v>25</v>
      </c>
      <c r="P3024" s="3" t="s">
        <v>25</v>
      </c>
      <c r="Q3024" s="37">
        <v>0.13982149999999999</v>
      </c>
      <c r="R3024" t="str">
        <f t="shared" si="91"/>
        <v>mmol/mol</v>
      </c>
      <c r="S3024" s="13">
        <f t="shared" si="88"/>
        <v>-0.80985323157891898</v>
      </c>
    </row>
    <row r="3025" spans="1:19">
      <c r="A3025" s="18" t="s">
        <v>3504</v>
      </c>
      <c r="B3025" s="1" t="s">
        <v>3119</v>
      </c>
      <c r="C3025" s="1" t="s">
        <v>3508</v>
      </c>
      <c r="D3025" s="1" t="s">
        <v>3559</v>
      </c>
      <c r="E3025" s="1" t="s">
        <v>25</v>
      </c>
      <c r="F3025">
        <v>650</v>
      </c>
      <c r="G3025">
        <v>650</v>
      </c>
      <c r="H3025">
        <v>172.6</v>
      </c>
      <c r="I3025" s="1" t="s">
        <v>1528</v>
      </c>
      <c r="J3025" s="1" t="s">
        <v>3543</v>
      </c>
      <c r="K3025" s="1" t="s">
        <v>25</v>
      </c>
      <c r="L3025">
        <v>-0.81180476832175796</v>
      </c>
      <c r="M3025" t="str">
        <f t="shared" si="89"/>
        <v>44/40</v>
      </c>
      <c r="N3025" t="str">
        <f t="shared" si="90"/>
        <v>SW</v>
      </c>
      <c r="O3025" s="1" t="s">
        <v>25</v>
      </c>
      <c r="P3025" s="3" t="s">
        <v>25</v>
      </c>
      <c r="Q3025" s="37">
        <v>0.13902880000000001</v>
      </c>
      <c r="R3025" t="str">
        <f t="shared" si="91"/>
        <v>mmol/mol</v>
      </c>
      <c r="S3025" s="13">
        <f t="shared" si="88"/>
        <v>-0.81180476832175796</v>
      </c>
    </row>
    <row r="3026" spans="1:19">
      <c r="A3026" s="18" t="s">
        <v>3504</v>
      </c>
      <c r="B3026" s="1" t="s">
        <v>3120</v>
      </c>
      <c r="C3026" s="1" t="s">
        <v>3508</v>
      </c>
      <c r="D3026" s="1" t="s">
        <v>3559</v>
      </c>
      <c r="E3026" s="1" t="s">
        <v>25</v>
      </c>
      <c r="F3026">
        <v>650</v>
      </c>
      <c r="G3026">
        <v>650</v>
      </c>
      <c r="H3026">
        <v>175.4</v>
      </c>
      <c r="I3026" s="1" t="s">
        <v>1528</v>
      </c>
      <c r="J3026" s="1" t="s">
        <v>3541</v>
      </c>
      <c r="K3026" s="1" t="s">
        <v>25</v>
      </c>
      <c r="L3026">
        <v>-0.95915513115705198</v>
      </c>
      <c r="M3026" t="str">
        <f t="shared" si="89"/>
        <v>44/40</v>
      </c>
      <c r="N3026" t="str">
        <f t="shared" si="90"/>
        <v>SW</v>
      </c>
      <c r="O3026" s="1" t="s">
        <v>25</v>
      </c>
      <c r="P3026" s="3" t="s">
        <v>25</v>
      </c>
      <c r="Q3026" s="37">
        <v>0.13524430000000001</v>
      </c>
      <c r="R3026" t="str">
        <f t="shared" si="91"/>
        <v>mmol/mol</v>
      </c>
      <c r="S3026" s="13">
        <f t="shared" si="88"/>
        <v>-0.95915513115705198</v>
      </c>
    </row>
    <row r="3027" spans="1:19">
      <c r="A3027" s="18" t="s">
        <v>3504</v>
      </c>
      <c r="B3027" s="1" t="s">
        <v>3121</v>
      </c>
      <c r="C3027" s="1" t="s">
        <v>3508</v>
      </c>
      <c r="D3027" s="1" t="s">
        <v>3559</v>
      </c>
      <c r="E3027" s="1" t="s">
        <v>25</v>
      </c>
      <c r="F3027">
        <v>650</v>
      </c>
      <c r="G3027">
        <v>650</v>
      </c>
      <c r="H3027">
        <v>179.6</v>
      </c>
      <c r="I3027" s="1" t="s">
        <v>1528</v>
      </c>
      <c r="J3027" s="1" t="s">
        <v>3544</v>
      </c>
      <c r="K3027" s="1" t="s">
        <v>25</v>
      </c>
      <c r="L3027">
        <v>-0.69858970999881598</v>
      </c>
      <c r="M3027" t="str">
        <f t="shared" si="89"/>
        <v>44/40</v>
      </c>
      <c r="N3027" t="str">
        <f t="shared" si="90"/>
        <v>SW</v>
      </c>
      <c r="O3027" s="1" t="s">
        <v>25</v>
      </c>
      <c r="P3027" s="3" t="s">
        <v>25</v>
      </c>
      <c r="Q3027" s="37">
        <v>0.1453845</v>
      </c>
      <c r="R3027" t="str">
        <f t="shared" si="91"/>
        <v>mmol/mol</v>
      </c>
      <c r="S3027" s="13">
        <f t="shared" si="88"/>
        <v>-0.69858970999881598</v>
      </c>
    </row>
    <row r="3028" spans="1:19">
      <c r="A3028" s="18" t="s">
        <v>3504</v>
      </c>
      <c r="B3028" s="1" t="s">
        <v>3122</v>
      </c>
      <c r="C3028" s="1" t="s">
        <v>3508</v>
      </c>
      <c r="D3028" s="1" t="s">
        <v>3559</v>
      </c>
      <c r="E3028" s="1" t="s">
        <v>25</v>
      </c>
      <c r="F3028">
        <v>650</v>
      </c>
      <c r="G3028">
        <v>650</v>
      </c>
      <c r="H3028">
        <v>181.1</v>
      </c>
      <c r="I3028" s="1" t="s">
        <v>1528</v>
      </c>
      <c r="J3028" s="1" t="s">
        <v>3543</v>
      </c>
      <c r="K3028" s="1" t="s">
        <v>25</v>
      </c>
      <c r="L3028">
        <v>-0.85167585165590598</v>
      </c>
      <c r="M3028" t="str">
        <f t="shared" si="89"/>
        <v>44/40</v>
      </c>
      <c r="N3028" t="str">
        <f t="shared" si="90"/>
        <v>SW</v>
      </c>
      <c r="O3028" s="1" t="s">
        <v>25</v>
      </c>
      <c r="P3028" s="3" t="s">
        <v>25</v>
      </c>
      <c r="Q3028" s="37">
        <v>0.1383943</v>
      </c>
      <c r="R3028" t="str">
        <f t="shared" si="91"/>
        <v>mmol/mol</v>
      </c>
      <c r="S3028" s="13">
        <f t="shared" si="88"/>
        <v>-0.85167585165590598</v>
      </c>
    </row>
    <row r="3029" spans="1:19">
      <c r="A3029" s="18" t="s">
        <v>3504</v>
      </c>
      <c r="B3029" s="1" t="s">
        <v>3123</v>
      </c>
      <c r="C3029" s="1" t="s">
        <v>3508</v>
      </c>
      <c r="D3029" s="1" t="s">
        <v>3559</v>
      </c>
      <c r="E3029" s="1" t="s">
        <v>25</v>
      </c>
      <c r="F3029">
        <v>650</v>
      </c>
      <c r="G3029">
        <v>650</v>
      </c>
      <c r="H3029">
        <v>183</v>
      </c>
      <c r="I3029" s="1" t="s">
        <v>1528</v>
      </c>
      <c r="J3029" s="1" t="s">
        <v>3543</v>
      </c>
      <c r="K3029" s="1" t="s">
        <v>25</v>
      </c>
      <c r="L3029">
        <v>-0.70998286558134904</v>
      </c>
      <c r="M3029" t="str">
        <f t="shared" si="89"/>
        <v>44/40</v>
      </c>
      <c r="N3029" t="str">
        <f t="shared" si="90"/>
        <v>SW</v>
      </c>
      <c r="O3029" s="1" t="s">
        <v>25</v>
      </c>
      <c r="P3029" s="3" t="s">
        <v>25</v>
      </c>
      <c r="Q3029" s="37">
        <v>3.58775E-2</v>
      </c>
      <c r="R3029" t="str">
        <f t="shared" si="91"/>
        <v>mmol/mol</v>
      </c>
      <c r="S3029" s="13">
        <f t="shared" si="88"/>
        <v>-0.70998286558134904</v>
      </c>
    </row>
    <row r="3030" spans="1:19">
      <c r="A3030" s="18" t="s">
        <v>3504</v>
      </c>
      <c r="B3030" s="1" t="s">
        <v>3124</v>
      </c>
      <c r="C3030" s="1" t="s">
        <v>3508</v>
      </c>
      <c r="D3030" s="1" t="s">
        <v>3559</v>
      </c>
      <c r="E3030" s="1" t="s">
        <v>25</v>
      </c>
      <c r="F3030">
        <v>650</v>
      </c>
      <c r="G3030">
        <v>650</v>
      </c>
      <c r="H3030">
        <v>185.8</v>
      </c>
      <c r="I3030" s="1" t="s">
        <v>1528</v>
      </c>
      <c r="J3030" s="1" t="s">
        <v>3541</v>
      </c>
      <c r="K3030" s="1" t="s">
        <v>25</v>
      </c>
      <c r="L3030">
        <v>-0.61107723033603201</v>
      </c>
      <c r="M3030" t="str">
        <f t="shared" si="89"/>
        <v>44/40</v>
      </c>
      <c r="N3030" t="str">
        <f t="shared" si="90"/>
        <v>SW</v>
      </c>
      <c r="O3030" s="1" t="s">
        <v>25</v>
      </c>
      <c r="P3030" s="3" t="s">
        <v>25</v>
      </c>
      <c r="Q3030" s="37">
        <v>0.13583334627688901</v>
      </c>
      <c r="R3030" t="str">
        <f t="shared" si="91"/>
        <v>mmol/mol</v>
      </c>
      <c r="S3030" s="13">
        <f t="shared" si="88"/>
        <v>-0.61107723033603201</v>
      </c>
    </row>
    <row r="3031" spans="1:19">
      <c r="A3031" s="18" t="s">
        <v>3504</v>
      </c>
      <c r="B3031" s="1" t="s">
        <v>3125</v>
      </c>
      <c r="C3031" s="1" t="s">
        <v>3508</v>
      </c>
      <c r="D3031" s="1" t="s">
        <v>3559</v>
      </c>
      <c r="E3031" s="1" t="s">
        <v>25</v>
      </c>
      <c r="F3031">
        <v>650</v>
      </c>
      <c r="G3031">
        <v>650</v>
      </c>
      <c r="H3031">
        <v>188.8</v>
      </c>
      <c r="I3031" s="1" t="s">
        <v>1528</v>
      </c>
      <c r="J3031" s="1" t="s">
        <v>3541</v>
      </c>
      <c r="K3031" s="1" t="s">
        <v>25</v>
      </c>
      <c r="L3031">
        <v>-0.82864158731347204</v>
      </c>
      <c r="M3031" t="str">
        <f t="shared" si="89"/>
        <v>44/40</v>
      </c>
      <c r="N3031" t="str">
        <f t="shared" si="90"/>
        <v>SW</v>
      </c>
      <c r="O3031" s="1" t="s">
        <v>25</v>
      </c>
      <c r="P3031" s="3" t="s">
        <v>25</v>
      </c>
      <c r="Q3031" s="37">
        <v>0.13711380000000001</v>
      </c>
      <c r="R3031" t="str">
        <f t="shared" si="91"/>
        <v>mmol/mol</v>
      </c>
      <c r="S3031" s="13">
        <f t="shared" si="88"/>
        <v>-0.82864158731347204</v>
      </c>
    </row>
    <row r="3032" spans="1:19">
      <c r="A3032" s="18" t="s">
        <v>3504</v>
      </c>
      <c r="B3032" s="1" t="s">
        <v>3126</v>
      </c>
      <c r="C3032" s="1" t="s">
        <v>3508</v>
      </c>
      <c r="D3032" s="1" t="s">
        <v>3559</v>
      </c>
      <c r="E3032" s="1" t="s">
        <v>25</v>
      </c>
      <c r="F3032">
        <v>650</v>
      </c>
      <c r="G3032">
        <v>650</v>
      </c>
      <c r="H3032">
        <v>190.8</v>
      </c>
      <c r="I3032" s="1" t="s">
        <v>1528</v>
      </c>
      <c r="J3032" s="1" t="s">
        <v>3543</v>
      </c>
      <c r="K3032" s="1" t="s">
        <v>25</v>
      </c>
      <c r="L3032">
        <v>-0.78075072117342903</v>
      </c>
      <c r="M3032" t="str">
        <f t="shared" si="89"/>
        <v>44/40</v>
      </c>
      <c r="N3032" t="str">
        <f t="shared" si="90"/>
        <v>SW</v>
      </c>
      <c r="O3032" s="1" t="s">
        <v>25</v>
      </c>
      <c r="P3032" s="3" t="s">
        <v>25</v>
      </c>
      <c r="Q3032" s="37">
        <v>0.13306979999999999</v>
      </c>
      <c r="R3032" t="str">
        <f t="shared" si="91"/>
        <v>mmol/mol</v>
      </c>
      <c r="S3032" s="13">
        <f t="shared" si="88"/>
        <v>-0.78075072117342903</v>
      </c>
    </row>
    <row r="3033" spans="1:19">
      <c r="A3033" s="18" t="s">
        <v>3504</v>
      </c>
      <c r="B3033" s="1" t="s">
        <v>3127</v>
      </c>
      <c r="C3033" s="1" t="s">
        <v>3508</v>
      </c>
      <c r="D3033" s="1" t="s">
        <v>3559</v>
      </c>
      <c r="E3033" s="1" t="s">
        <v>25</v>
      </c>
      <c r="F3033">
        <v>650</v>
      </c>
      <c r="G3033">
        <v>650</v>
      </c>
      <c r="H3033">
        <v>192.8</v>
      </c>
      <c r="I3033" s="1" t="s">
        <v>1528</v>
      </c>
      <c r="J3033" s="1" t="s">
        <v>3543</v>
      </c>
      <c r="K3033" s="1" t="s">
        <v>25</v>
      </c>
      <c r="L3033">
        <v>-0.82054939951563799</v>
      </c>
      <c r="M3033" t="str">
        <f t="shared" si="89"/>
        <v>44/40</v>
      </c>
      <c r="N3033" t="str">
        <f t="shared" si="90"/>
        <v>SW</v>
      </c>
      <c r="O3033" s="1" t="s">
        <v>25</v>
      </c>
      <c r="P3033" s="3" t="s">
        <v>25</v>
      </c>
      <c r="Q3033" s="37">
        <v>0.15100350000000001</v>
      </c>
      <c r="R3033" t="str">
        <f t="shared" si="91"/>
        <v>mmol/mol</v>
      </c>
      <c r="S3033" s="13">
        <f t="shared" si="88"/>
        <v>-0.82054939951563799</v>
      </c>
    </row>
    <row r="3034" spans="1:19">
      <c r="A3034" s="18" t="s">
        <v>3504</v>
      </c>
      <c r="B3034" s="1" t="s">
        <v>3128</v>
      </c>
      <c r="C3034" s="1" t="s">
        <v>3508</v>
      </c>
      <c r="D3034" s="1" t="s">
        <v>3559</v>
      </c>
      <c r="E3034" s="1" t="s">
        <v>25</v>
      </c>
      <c r="F3034">
        <v>650</v>
      </c>
      <c r="G3034">
        <v>650</v>
      </c>
      <c r="H3034">
        <v>195.9</v>
      </c>
      <c r="I3034" s="1" t="s">
        <v>1528</v>
      </c>
      <c r="J3034" s="1" t="s">
        <v>3543</v>
      </c>
      <c r="K3034" s="1" t="s">
        <v>25</v>
      </c>
      <c r="L3034">
        <v>-0.90142755395001495</v>
      </c>
      <c r="M3034" t="str">
        <f t="shared" si="89"/>
        <v>44/40</v>
      </c>
      <c r="N3034" t="str">
        <f t="shared" si="90"/>
        <v>SW</v>
      </c>
      <c r="O3034" s="1" t="s">
        <v>25</v>
      </c>
      <c r="P3034" s="3" t="s">
        <v>25</v>
      </c>
      <c r="Q3034" s="37">
        <v>8.0808699999999997E-2</v>
      </c>
      <c r="R3034" t="str">
        <f t="shared" si="91"/>
        <v>mmol/mol</v>
      </c>
      <c r="S3034" s="13">
        <f t="shared" si="88"/>
        <v>-0.90142755395001495</v>
      </c>
    </row>
    <row r="3035" spans="1:19">
      <c r="A3035" s="18" t="s">
        <v>3504</v>
      </c>
      <c r="B3035" s="1" t="s">
        <v>3129</v>
      </c>
      <c r="C3035" s="1" t="s">
        <v>3508</v>
      </c>
      <c r="D3035" s="1" t="s">
        <v>3559</v>
      </c>
      <c r="E3035" s="1" t="s">
        <v>25</v>
      </c>
      <c r="F3035">
        <v>650</v>
      </c>
      <c r="G3035">
        <v>650</v>
      </c>
      <c r="H3035">
        <v>199.8</v>
      </c>
      <c r="I3035" s="1" t="s">
        <v>1528</v>
      </c>
      <c r="J3035" s="1" t="s">
        <v>3541</v>
      </c>
      <c r="K3035" s="1" t="s">
        <v>25</v>
      </c>
      <c r="L3035">
        <v>-0.90820524436420302</v>
      </c>
      <c r="M3035" t="str">
        <f t="shared" si="89"/>
        <v>44/40</v>
      </c>
      <c r="N3035" t="str">
        <f t="shared" si="90"/>
        <v>SW</v>
      </c>
      <c r="O3035" s="1" t="s">
        <v>25</v>
      </c>
      <c r="P3035" s="3" t="s">
        <v>25</v>
      </c>
      <c r="Q3035" s="37">
        <v>6.8154400000000004E-2</v>
      </c>
      <c r="R3035" t="str">
        <f t="shared" si="91"/>
        <v>mmol/mol</v>
      </c>
      <c r="S3035" s="13">
        <f t="shared" si="88"/>
        <v>-0.90820524436420302</v>
      </c>
    </row>
    <row r="3036" spans="1:19">
      <c r="A3036" s="18" t="s">
        <v>3504</v>
      </c>
      <c r="B3036" s="1" t="s">
        <v>3130</v>
      </c>
      <c r="C3036" s="1" t="s">
        <v>3508</v>
      </c>
      <c r="D3036" s="1" t="s">
        <v>3559</v>
      </c>
      <c r="E3036" s="1" t="s">
        <v>25</v>
      </c>
      <c r="F3036">
        <v>650</v>
      </c>
      <c r="G3036">
        <v>650</v>
      </c>
      <c r="H3036">
        <v>203.6</v>
      </c>
      <c r="I3036" s="1" t="s">
        <v>1528</v>
      </c>
      <c r="J3036" s="1" t="s">
        <v>3541</v>
      </c>
      <c r="K3036" s="1" t="s">
        <v>25</v>
      </c>
      <c r="L3036">
        <v>-0.83355081813073995</v>
      </c>
      <c r="M3036" t="str">
        <f t="shared" si="89"/>
        <v>44/40</v>
      </c>
      <c r="N3036" t="str">
        <f t="shared" si="90"/>
        <v>SW</v>
      </c>
      <c r="O3036" s="1" t="s">
        <v>25</v>
      </c>
      <c r="P3036" s="3" t="s">
        <v>25</v>
      </c>
      <c r="Q3036" s="37">
        <v>0.1897412</v>
      </c>
      <c r="R3036" t="str">
        <f t="shared" si="91"/>
        <v>mmol/mol</v>
      </c>
      <c r="S3036" s="13">
        <f t="shared" si="88"/>
        <v>-0.83355081813073995</v>
      </c>
    </row>
    <row r="3037" spans="1:19">
      <c r="A3037" s="18" t="s">
        <v>3504</v>
      </c>
      <c r="B3037" s="1" t="s">
        <v>3131</v>
      </c>
      <c r="C3037" s="1" t="s">
        <v>3508</v>
      </c>
      <c r="D3037" s="1" t="s">
        <v>3559</v>
      </c>
      <c r="E3037" s="1" t="s">
        <v>25</v>
      </c>
      <c r="F3037">
        <v>650</v>
      </c>
      <c r="G3037">
        <v>650</v>
      </c>
      <c r="H3037">
        <v>205.8</v>
      </c>
      <c r="I3037" s="1" t="s">
        <v>1528</v>
      </c>
      <c r="J3037" s="1" t="s">
        <v>3543</v>
      </c>
      <c r="K3037" s="1" t="s">
        <v>25</v>
      </c>
      <c r="L3037">
        <v>-0.80935263882748998</v>
      </c>
      <c r="M3037" t="str">
        <f t="shared" si="89"/>
        <v>44/40</v>
      </c>
      <c r="N3037" t="str">
        <f t="shared" si="90"/>
        <v>SW</v>
      </c>
      <c r="O3037" s="1" t="s">
        <v>25</v>
      </c>
      <c r="P3037" s="3" t="s">
        <v>25</v>
      </c>
      <c r="Q3037" s="37">
        <v>0.13754364986266099</v>
      </c>
      <c r="R3037" t="str">
        <f t="shared" si="91"/>
        <v>mmol/mol</v>
      </c>
      <c r="S3037" s="13">
        <f t="shared" si="88"/>
        <v>-0.80935263882748998</v>
      </c>
    </row>
    <row r="3038" spans="1:19">
      <c r="A3038" s="18" t="s">
        <v>3504</v>
      </c>
      <c r="B3038" s="1" t="s">
        <v>3132</v>
      </c>
      <c r="C3038" s="1" t="s">
        <v>3508</v>
      </c>
      <c r="D3038" s="1" t="s">
        <v>3559</v>
      </c>
      <c r="E3038" s="1" t="s">
        <v>25</v>
      </c>
      <c r="F3038">
        <v>650</v>
      </c>
      <c r="G3038">
        <v>650</v>
      </c>
      <c r="H3038">
        <v>206.8</v>
      </c>
      <c r="I3038" s="1" t="s">
        <v>1528</v>
      </c>
      <c r="J3038" s="1" t="s">
        <v>3543</v>
      </c>
      <c r="K3038" s="1" t="s">
        <v>25</v>
      </c>
      <c r="L3038">
        <v>-0.87961050035204602</v>
      </c>
      <c r="M3038" t="str">
        <f t="shared" si="89"/>
        <v>44/40</v>
      </c>
      <c r="N3038" t="str">
        <f t="shared" si="90"/>
        <v>SW</v>
      </c>
      <c r="O3038" s="1" t="s">
        <v>25</v>
      </c>
      <c r="P3038" s="3" t="s">
        <v>25</v>
      </c>
      <c r="Q3038" s="37" t="s">
        <v>25</v>
      </c>
      <c r="R3038" t="str">
        <f t="shared" si="91"/>
        <v>Na</v>
      </c>
      <c r="S3038" s="13">
        <f t="shared" si="88"/>
        <v>-0.87961050035204602</v>
      </c>
    </row>
    <row r="3039" spans="1:19">
      <c r="A3039" s="18" t="s">
        <v>3504</v>
      </c>
      <c r="B3039" s="1" t="s">
        <v>3133</v>
      </c>
      <c r="C3039" s="1" t="s">
        <v>3508</v>
      </c>
      <c r="D3039" s="1" t="s">
        <v>3559</v>
      </c>
      <c r="E3039" s="1" t="s">
        <v>25</v>
      </c>
      <c r="F3039">
        <v>650</v>
      </c>
      <c r="G3039">
        <v>650</v>
      </c>
      <c r="H3039">
        <v>208.9</v>
      </c>
      <c r="I3039" s="1" t="s">
        <v>1528</v>
      </c>
      <c r="J3039" s="1" t="s">
        <v>3543</v>
      </c>
      <c r="K3039" s="1" t="s">
        <v>25</v>
      </c>
      <c r="L3039">
        <v>-0.90921199907822803</v>
      </c>
      <c r="M3039" t="str">
        <f t="shared" si="89"/>
        <v>44/40</v>
      </c>
      <c r="N3039" t="str">
        <f t="shared" si="90"/>
        <v>SW</v>
      </c>
      <c r="O3039" s="1" t="s">
        <v>25</v>
      </c>
      <c r="P3039" s="3" t="s">
        <v>25</v>
      </c>
      <c r="Q3039" s="37">
        <v>0.16722629999999999</v>
      </c>
      <c r="R3039" t="str">
        <f t="shared" si="91"/>
        <v>mmol/mol</v>
      </c>
      <c r="S3039" s="13">
        <f t="shared" si="88"/>
        <v>-0.90921199907822803</v>
      </c>
    </row>
    <row r="3040" spans="1:19">
      <c r="A3040" s="18" t="s">
        <v>3504</v>
      </c>
      <c r="B3040" s="1" t="s">
        <v>3134</v>
      </c>
      <c r="C3040" s="1" t="s">
        <v>3508</v>
      </c>
      <c r="D3040" s="1" t="s">
        <v>3559</v>
      </c>
      <c r="E3040" s="1" t="s">
        <v>25</v>
      </c>
      <c r="F3040">
        <v>650</v>
      </c>
      <c r="G3040">
        <v>650</v>
      </c>
      <c r="H3040">
        <v>211.8</v>
      </c>
      <c r="I3040" s="1" t="s">
        <v>1528</v>
      </c>
      <c r="J3040" s="1" t="s">
        <v>3541</v>
      </c>
      <c r="K3040" s="1" t="s">
        <v>25</v>
      </c>
      <c r="L3040">
        <v>-1.0478160538711301</v>
      </c>
      <c r="M3040" t="str">
        <f t="shared" si="89"/>
        <v>44/40</v>
      </c>
      <c r="N3040" t="str">
        <f t="shared" si="90"/>
        <v>SW</v>
      </c>
      <c r="O3040" s="1" t="s">
        <v>25</v>
      </c>
      <c r="P3040" s="3" t="s">
        <v>25</v>
      </c>
      <c r="Q3040" s="37">
        <v>0.119722750220635</v>
      </c>
      <c r="R3040" t="str">
        <f t="shared" si="91"/>
        <v>mmol/mol</v>
      </c>
      <c r="S3040" s="13">
        <f t="shared" si="88"/>
        <v>-1.0478160538711301</v>
      </c>
    </row>
    <row r="3041" spans="1:19">
      <c r="A3041" s="18" t="s">
        <v>3504</v>
      </c>
      <c r="B3041" s="1" t="s">
        <v>3135</v>
      </c>
      <c r="C3041" s="1" t="s">
        <v>3508</v>
      </c>
      <c r="D3041" s="1" t="s">
        <v>3559</v>
      </c>
      <c r="E3041" s="1" t="s">
        <v>25</v>
      </c>
      <c r="F3041">
        <v>650</v>
      </c>
      <c r="G3041">
        <v>650</v>
      </c>
      <c r="H3041">
        <v>213.8</v>
      </c>
      <c r="I3041" s="1" t="s">
        <v>1528</v>
      </c>
      <c r="J3041" s="1" t="s">
        <v>3541</v>
      </c>
      <c r="K3041" s="1" t="s">
        <v>25</v>
      </c>
      <c r="L3041" t="s">
        <v>25</v>
      </c>
      <c r="M3041" t="str">
        <f t="shared" si="89"/>
        <v>Na</v>
      </c>
      <c r="N3041" t="str">
        <f t="shared" si="90"/>
        <v>Na</v>
      </c>
      <c r="O3041" s="1" t="s">
        <v>25</v>
      </c>
      <c r="P3041" s="3" t="s">
        <v>25</v>
      </c>
      <c r="Q3041" s="37" t="s">
        <v>25</v>
      </c>
      <c r="R3041" t="str">
        <f t="shared" si="91"/>
        <v>Na</v>
      </c>
      <c r="S3041" s="13" t="s">
        <v>25</v>
      </c>
    </row>
    <row r="3042" spans="1:19">
      <c r="A3042" s="18" t="s">
        <v>3504</v>
      </c>
      <c r="B3042" s="1" t="s">
        <v>3136</v>
      </c>
      <c r="C3042" s="1" t="s">
        <v>3508</v>
      </c>
      <c r="D3042" s="1" t="s">
        <v>3559</v>
      </c>
      <c r="E3042" s="1" t="s">
        <v>25</v>
      </c>
      <c r="F3042">
        <v>650</v>
      </c>
      <c r="G3042">
        <v>650</v>
      </c>
      <c r="H3042">
        <v>214.8</v>
      </c>
      <c r="I3042" s="1" t="s">
        <v>1528</v>
      </c>
      <c r="J3042" s="1" t="s">
        <v>3542</v>
      </c>
      <c r="K3042" s="1" t="s">
        <v>25</v>
      </c>
      <c r="L3042">
        <v>-1.09138050906045</v>
      </c>
      <c r="M3042" t="str">
        <f t="shared" si="89"/>
        <v>44/40</v>
      </c>
      <c r="N3042" t="str">
        <f t="shared" si="90"/>
        <v>SW</v>
      </c>
      <c r="O3042" s="1" t="s">
        <v>25</v>
      </c>
      <c r="P3042" s="3" t="s">
        <v>25</v>
      </c>
      <c r="Q3042" s="37">
        <v>0.19647000000000001</v>
      </c>
      <c r="R3042" t="str">
        <f t="shared" si="91"/>
        <v>mmol/mol</v>
      </c>
      <c r="S3042" s="13">
        <f t="shared" si="88"/>
        <v>-1.09138050906045</v>
      </c>
    </row>
    <row r="3043" spans="1:19">
      <c r="A3043" s="18" t="s">
        <v>3504</v>
      </c>
      <c r="B3043" s="1" t="s">
        <v>3137</v>
      </c>
      <c r="C3043" s="1" t="s">
        <v>3508</v>
      </c>
      <c r="D3043" s="1" t="s">
        <v>3559</v>
      </c>
      <c r="E3043" s="1" t="s">
        <v>25</v>
      </c>
      <c r="F3043">
        <v>650</v>
      </c>
      <c r="G3043">
        <v>650</v>
      </c>
      <c r="H3043">
        <v>216.8</v>
      </c>
      <c r="I3043" s="1" t="s">
        <v>1528</v>
      </c>
      <c r="J3043" s="1" t="s">
        <v>3542</v>
      </c>
      <c r="K3043" s="1" t="s">
        <v>25</v>
      </c>
      <c r="L3043">
        <v>-1.30150649608449</v>
      </c>
      <c r="M3043" t="str">
        <f t="shared" si="89"/>
        <v>44/40</v>
      </c>
      <c r="N3043" t="str">
        <f t="shared" si="90"/>
        <v>SW</v>
      </c>
      <c r="O3043" s="1" t="s">
        <v>25</v>
      </c>
      <c r="P3043" s="3" t="s">
        <v>25</v>
      </c>
      <c r="Q3043" s="37">
        <v>0.2419383</v>
      </c>
      <c r="R3043" t="str">
        <f t="shared" si="91"/>
        <v>mmol/mol</v>
      </c>
      <c r="S3043" s="13">
        <f t="shared" si="88"/>
        <v>-1.30150649608449</v>
      </c>
    </row>
    <row r="3044" spans="1:19">
      <c r="A3044" s="18" t="s">
        <v>3504</v>
      </c>
      <c r="B3044" s="1" t="s">
        <v>3138</v>
      </c>
      <c r="C3044" s="1" t="s">
        <v>3508</v>
      </c>
      <c r="D3044" s="1" t="s">
        <v>3559</v>
      </c>
      <c r="E3044" s="1" t="s">
        <v>25</v>
      </c>
      <c r="F3044">
        <v>650</v>
      </c>
      <c r="G3044">
        <v>650</v>
      </c>
      <c r="H3044">
        <v>218.8</v>
      </c>
      <c r="I3044" s="1" t="s">
        <v>1528</v>
      </c>
      <c r="J3044" s="1" t="s">
        <v>3542</v>
      </c>
      <c r="K3044" s="1" t="s">
        <v>25</v>
      </c>
      <c r="L3044">
        <v>-1.15981888555922</v>
      </c>
      <c r="M3044" t="str">
        <f t="shared" si="89"/>
        <v>44/40</v>
      </c>
      <c r="N3044" t="str">
        <f t="shared" si="90"/>
        <v>SW</v>
      </c>
      <c r="O3044" s="1" t="s">
        <v>25</v>
      </c>
      <c r="P3044" s="3" t="s">
        <v>25</v>
      </c>
      <c r="Q3044" s="37">
        <v>0.1111576</v>
      </c>
      <c r="R3044" t="str">
        <f t="shared" si="91"/>
        <v>mmol/mol</v>
      </c>
      <c r="S3044" s="13">
        <f t="shared" si="88"/>
        <v>-1.15981888555922</v>
      </c>
    </row>
    <row r="3045" spans="1:19">
      <c r="A3045" s="18" t="s">
        <v>3504</v>
      </c>
      <c r="B3045" s="1" t="s">
        <v>3139</v>
      </c>
      <c r="C3045" s="1" t="s">
        <v>3508</v>
      </c>
      <c r="D3045" s="1" t="s">
        <v>3559</v>
      </c>
      <c r="E3045" s="1" t="s">
        <v>25</v>
      </c>
      <c r="F3045">
        <v>650</v>
      </c>
      <c r="G3045">
        <v>650</v>
      </c>
      <c r="H3045">
        <v>226.2</v>
      </c>
      <c r="I3045" s="1" t="s">
        <v>1528</v>
      </c>
      <c r="J3045" s="1" t="s">
        <v>3545</v>
      </c>
      <c r="K3045" s="1" t="s">
        <v>25</v>
      </c>
      <c r="L3045">
        <v>-1.04288805756962</v>
      </c>
      <c r="M3045" t="str">
        <f t="shared" si="89"/>
        <v>44/40</v>
      </c>
      <c r="N3045" t="str">
        <f t="shared" si="90"/>
        <v>SW</v>
      </c>
      <c r="O3045" s="1" t="s">
        <v>25</v>
      </c>
      <c r="P3045" s="3" t="s">
        <v>25</v>
      </c>
      <c r="Q3045" s="37">
        <v>0.1603077</v>
      </c>
      <c r="R3045" t="str">
        <f t="shared" si="91"/>
        <v>mmol/mol</v>
      </c>
      <c r="S3045" s="13">
        <f t="shared" si="88"/>
        <v>-1.04288805756962</v>
      </c>
    </row>
    <row r="3046" spans="1:19">
      <c r="A3046" s="18" t="s">
        <v>3504</v>
      </c>
      <c r="B3046" s="1" t="s">
        <v>3140</v>
      </c>
      <c r="C3046" s="1" t="s">
        <v>3508</v>
      </c>
      <c r="D3046" s="1" t="s">
        <v>3559</v>
      </c>
      <c r="E3046" s="1" t="s">
        <v>25</v>
      </c>
      <c r="F3046">
        <v>650</v>
      </c>
      <c r="G3046">
        <v>650</v>
      </c>
      <c r="H3046">
        <v>229.3</v>
      </c>
      <c r="I3046" s="1" t="s">
        <v>1528</v>
      </c>
      <c r="J3046" s="1" t="s">
        <v>3545</v>
      </c>
      <c r="K3046" s="1" t="s">
        <v>25</v>
      </c>
      <c r="L3046">
        <v>-1.0535944026289901</v>
      </c>
      <c r="M3046" t="str">
        <f t="shared" si="89"/>
        <v>44/40</v>
      </c>
      <c r="N3046" t="str">
        <f t="shared" si="90"/>
        <v>SW</v>
      </c>
      <c r="O3046" s="1" t="s">
        <v>25</v>
      </c>
      <c r="P3046" s="3" t="s">
        <v>25</v>
      </c>
      <c r="Q3046" s="37">
        <v>5.2470999999999997E-2</v>
      </c>
      <c r="R3046" t="str">
        <f t="shared" si="91"/>
        <v>mmol/mol</v>
      </c>
      <c r="S3046" s="13">
        <f t="shared" si="88"/>
        <v>-1.0535944026289901</v>
      </c>
    </row>
    <row r="3047" spans="1:19">
      <c r="A3047" s="18" t="s">
        <v>3504</v>
      </c>
      <c r="B3047" s="1" t="s">
        <v>3141</v>
      </c>
      <c r="C3047" s="1" t="s">
        <v>3508</v>
      </c>
      <c r="D3047" s="1" t="s">
        <v>3559</v>
      </c>
      <c r="E3047" s="1" t="s">
        <v>25</v>
      </c>
      <c r="F3047">
        <v>650</v>
      </c>
      <c r="G3047">
        <v>650</v>
      </c>
      <c r="H3047">
        <v>231</v>
      </c>
      <c r="I3047" s="1" t="s">
        <v>1528</v>
      </c>
      <c r="J3047" s="1" t="s">
        <v>3545</v>
      </c>
      <c r="K3047" s="1" t="s">
        <v>25</v>
      </c>
      <c r="L3047">
        <v>-1.21016353915893</v>
      </c>
      <c r="M3047" t="str">
        <f t="shared" si="89"/>
        <v>44/40</v>
      </c>
      <c r="N3047" t="str">
        <f t="shared" si="90"/>
        <v>SW</v>
      </c>
      <c r="O3047" s="1" t="s">
        <v>25</v>
      </c>
      <c r="P3047" s="3" t="s">
        <v>25</v>
      </c>
      <c r="Q3047" s="37">
        <v>0.136934442965301</v>
      </c>
      <c r="R3047" t="str">
        <f t="shared" si="91"/>
        <v>mmol/mol</v>
      </c>
      <c r="S3047" s="13">
        <f t="shared" si="88"/>
        <v>-1.21016353915893</v>
      </c>
    </row>
    <row r="3048" spans="1:19">
      <c r="A3048" s="18" t="s">
        <v>3504</v>
      </c>
      <c r="B3048" s="1" t="s">
        <v>3142</v>
      </c>
      <c r="C3048" s="1" t="s">
        <v>3508</v>
      </c>
      <c r="D3048" s="1" t="s">
        <v>3559</v>
      </c>
      <c r="E3048" s="1" t="s">
        <v>25</v>
      </c>
      <c r="F3048">
        <v>650</v>
      </c>
      <c r="G3048">
        <v>650</v>
      </c>
      <c r="H3048">
        <v>233.8</v>
      </c>
      <c r="I3048" s="1" t="s">
        <v>1528</v>
      </c>
      <c r="J3048" s="1" t="s">
        <v>3542</v>
      </c>
      <c r="K3048" s="1" t="s">
        <v>25</v>
      </c>
      <c r="L3048">
        <v>-1.01353333688605</v>
      </c>
      <c r="M3048" t="str">
        <f t="shared" si="89"/>
        <v>44/40</v>
      </c>
      <c r="N3048" t="str">
        <f t="shared" si="90"/>
        <v>SW</v>
      </c>
      <c r="O3048" s="1" t="s">
        <v>25</v>
      </c>
      <c r="P3048" s="3" t="s">
        <v>25</v>
      </c>
      <c r="Q3048" s="37">
        <v>0.175646</v>
      </c>
      <c r="R3048" t="str">
        <f t="shared" si="91"/>
        <v>mmol/mol</v>
      </c>
      <c r="S3048" s="13">
        <f t="shared" si="88"/>
        <v>-1.01353333688605</v>
      </c>
    </row>
    <row r="3049" spans="1:19">
      <c r="A3049" s="18" t="s">
        <v>3504</v>
      </c>
      <c r="B3049" s="1" t="s">
        <v>3143</v>
      </c>
      <c r="C3049" s="1" t="s">
        <v>3508</v>
      </c>
      <c r="D3049" s="1" t="s">
        <v>3559</v>
      </c>
      <c r="E3049" s="1" t="s">
        <v>25</v>
      </c>
      <c r="F3049">
        <v>650</v>
      </c>
      <c r="G3049">
        <v>650</v>
      </c>
      <c r="H3049">
        <v>235.8</v>
      </c>
      <c r="I3049" s="1" t="s">
        <v>1528</v>
      </c>
      <c r="J3049" s="1" t="s">
        <v>3542</v>
      </c>
      <c r="K3049" s="1" t="s">
        <v>25</v>
      </c>
      <c r="L3049">
        <v>-1.2736654745110001</v>
      </c>
      <c r="M3049" t="str">
        <f t="shared" si="89"/>
        <v>44/40</v>
      </c>
      <c r="N3049" t="str">
        <f t="shared" si="90"/>
        <v>SW</v>
      </c>
      <c r="O3049" s="1" t="s">
        <v>25</v>
      </c>
      <c r="P3049" s="3" t="s">
        <v>25</v>
      </c>
      <c r="Q3049" s="37">
        <v>0.146255604274378</v>
      </c>
      <c r="R3049" t="str">
        <f t="shared" si="91"/>
        <v>mmol/mol</v>
      </c>
      <c r="S3049" s="13">
        <f t="shared" si="88"/>
        <v>-1.2736654745110001</v>
      </c>
    </row>
    <row r="3050" spans="1:19">
      <c r="A3050" s="18" t="s">
        <v>3504</v>
      </c>
      <c r="B3050" s="1" t="s">
        <v>3144</v>
      </c>
      <c r="C3050" s="1" t="s">
        <v>3508</v>
      </c>
      <c r="D3050" s="1" t="s">
        <v>3559</v>
      </c>
      <c r="E3050" s="1" t="s">
        <v>25</v>
      </c>
      <c r="F3050">
        <v>650</v>
      </c>
      <c r="G3050">
        <v>650</v>
      </c>
      <c r="H3050">
        <v>237.8</v>
      </c>
      <c r="I3050" s="1" t="s">
        <v>1528</v>
      </c>
      <c r="J3050" s="1" t="s">
        <v>3542</v>
      </c>
      <c r="K3050" s="1" t="s">
        <v>25</v>
      </c>
      <c r="L3050">
        <v>-1.17986001926135</v>
      </c>
      <c r="M3050" t="str">
        <f t="shared" si="89"/>
        <v>44/40</v>
      </c>
      <c r="N3050" t="str">
        <f t="shared" si="90"/>
        <v>SW</v>
      </c>
      <c r="O3050" s="1" t="s">
        <v>25</v>
      </c>
      <c r="P3050" s="3" t="s">
        <v>25</v>
      </c>
      <c r="Q3050" s="37">
        <v>0.18692929999999999</v>
      </c>
      <c r="R3050" t="str">
        <f t="shared" si="91"/>
        <v>mmol/mol</v>
      </c>
      <c r="S3050" s="13">
        <f t="shared" si="88"/>
        <v>-1.17986001926135</v>
      </c>
    </row>
    <row r="3051" spans="1:19">
      <c r="A3051" s="18" t="s">
        <v>3504</v>
      </c>
      <c r="B3051" s="1" t="s">
        <v>3145</v>
      </c>
      <c r="C3051" s="1" t="s">
        <v>3508</v>
      </c>
      <c r="D3051" s="1" t="s">
        <v>3559</v>
      </c>
      <c r="E3051" s="1" t="s">
        <v>25</v>
      </c>
      <c r="F3051">
        <v>650</v>
      </c>
      <c r="G3051">
        <v>650</v>
      </c>
      <c r="H3051">
        <v>239.1</v>
      </c>
      <c r="I3051" s="1" t="s">
        <v>1528</v>
      </c>
      <c r="J3051" s="1" t="s">
        <v>3542</v>
      </c>
      <c r="K3051" s="1" t="s">
        <v>25</v>
      </c>
      <c r="L3051">
        <v>-1.3317339152076499</v>
      </c>
      <c r="M3051" t="str">
        <f t="shared" si="89"/>
        <v>44/40</v>
      </c>
      <c r="N3051" t="str">
        <f t="shared" si="90"/>
        <v>SW</v>
      </c>
      <c r="O3051" s="1" t="s">
        <v>25</v>
      </c>
      <c r="P3051" s="3" t="s">
        <v>25</v>
      </c>
      <c r="Q3051" s="37">
        <v>0.2373962</v>
      </c>
      <c r="R3051" t="str">
        <f t="shared" si="91"/>
        <v>mmol/mol</v>
      </c>
      <c r="S3051" s="13">
        <f t="shared" si="88"/>
        <v>-1.3317339152076499</v>
      </c>
    </row>
    <row r="3052" spans="1:19">
      <c r="A3052" s="18" t="s">
        <v>3504</v>
      </c>
      <c r="B3052" s="1" t="s">
        <v>3146</v>
      </c>
      <c r="C3052" s="1" t="s">
        <v>3509</v>
      </c>
      <c r="D3052" s="1" t="s">
        <v>3559</v>
      </c>
      <c r="E3052" s="1" t="s">
        <v>25</v>
      </c>
      <c r="F3052">
        <v>650</v>
      </c>
      <c r="G3052">
        <v>650</v>
      </c>
      <c r="H3052">
        <v>8</v>
      </c>
      <c r="I3052" s="1" t="s">
        <v>1528</v>
      </c>
      <c r="J3052" s="1" t="s">
        <v>3539</v>
      </c>
      <c r="K3052" s="1" t="s">
        <v>25</v>
      </c>
      <c r="L3052">
        <v>-1.2890625013289301</v>
      </c>
      <c r="M3052" t="str">
        <f t="shared" si="89"/>
        <v>44/40</v>
      </c>
      <c r="N3052" t="str">
        <f t="shared" si="90"/>
        <v>SW</v>
      </c>
      <c r="O3052" s="1" t="s">
        <v>25</v>
      </c>
      <c r="P3052" s="3" t="s">
        <v>25</v>
      </c>
      <c r="Q3052" s="37">
        <v>0.92753526927729402</v>
      </c>
      <c r="R3052" t="str">
        <f t="shared" si="91"/>
        <v>mmol/mol</v>
      </c>
      <c r="S3052" s="13">
        <f t="shared" ref="S3052:S3115" si="92">IF(NOT(N3052="SW"),L3052-1.88,L3052)</f>
        <v>-1.2890625013289301</v>
      </c>
    </row>
    <row r="3053" spans="1:19">
      <c r="A3053" s="18" t="s">
        <v>3504</v>
      </c>
      <c r="B3053" s="1" t="s">
        <v>3147</v>
      </c>
      <c r="C3053" s="1" t="s">
        <v>3509</v>
      </c>
      <c r="D3053" s="1" t="s">
        <v>3559</v>
      </c>
      <c r="E3053" s="1" t="s">
        <v>25</v>
      </c>
      <c r="F3053">
        <v>650</v>
      </c>
      <c r="G3053">
        <v>650</v>
      </c>
      <c r="H3053">
        <v>9.8000000000000007</v>
      </c>
      <c r="I3053" s="1" t="s">
        <v>1528</v>
      </c>
      <c r="J3053" s="1" t="s">
        <v>3539</v>
      </c>
      <c r="K3053" s="1" t="s">
        <v>25</v>
      </c>
      <c r="L3053">
        <v>-1.35319664017492</v>
      </c>
      <c r="M3053" t="str">
        <f t="shared" si="89"/>
        <v>44/40</v>
      </c>
      <c r="N3053" t="str">
        <f t="shared" si="90"/>
        <v>SW</v>
      </c>
      <c r="O3053" s="1" t="s">
        <v>25</v>
      </c>
      <c r="P3053" s="3" t="s">
        <v>25</v>
      </c>
      <c r="Q3053" s="37">
        <v>0.53353873641820104</v>
      </c>
      <c r="R3053" t="str">
        <f t="shared" si="91"/>
        <v>mmol/mol</v>
      </c>
      <c r="S3053" s="13">
        <f t="shared" si="92"/>
        <v>-1.35319664017492</v>
      </c>
    </row>
    <row r="3054" spans="1:19">
      <c r="A3054" s="18" t="s">
        <v>3504</v>
      </c>
      <c r="B3054" s="1" t="s">
        <v>3148</v>
      </c>
      <c r="C3054" s="1" t="s">
        <v>3509</v>
      </c>
      <c r="D3054" s="1" t="s">
        <v>3559</v>
      </c>
      <c r="E3054" s="1" t="s">
        <v>25</v>
      </c>
      <c r="F3054">
        <v>650</v>
      </c>
      <c r="G3054">
        <v>650</v>
      </c>
      <c r="H3054">
        <v>12</v>
      </c>
      <c r="I3054" s="1" t="s">
        <v>1528</v>
      </c>
      <c r="J3054" s="1" t="s">
        <v>3539</v>
      </c>
      <c r="K3054" s="1" t="s">
        <v>25</v>
      </c>
      <c r="L3054">
        <v>-1.3767005384431901</v>
      </c>
      <c r="M3054" t="str">
        <f t="shared" si="89"/>
        <v>44/40</v>
      </c>
      <c r="N3054" t="str">
        <f t="shared" si="90"/>
        <v>SW</v>
      </c>
      <c r="O3054" s="1" t="s">
        <v>25</v>
      </c>
      <c r="P3054" s="3" t="s">
        <v>25</v>
      </c>
      <c r="Q3054" s="37">
        <v>1.3416259758067</v>
      </c>
      <c r="R3054" t="str">
        <f t="shared" si="91"/>
        <v>mmol/mol</v>
      </c>
      <c r="S3054" s="13">
        <f t="shared" si="92"/>
        <v>-1.3767005384431901</v>
      </c>
    </row>
    <row r="3055" spans="1:19">
      <c r="A3055" s="18" t="s">
        <v>3504</v>
      </c>
      <c r="B3055" s="1" t="s">
        <v>3149</v>
      </c>
      <c r="C3055" s="1" t="s">
        <v>3509</v>
      </c>
      <c r="D3055" s="1" t="s">
        <v>3559</v>
      </c>
      <c r="E3055" s="1" t="s">
        <v>25</v>
      </c>
      <c r="F3055">
        <v>650</v>
      </c>
      <c r="G3055">
        <v>650</v>
      </c>
      <c r="H3055">
        <v>14</v>
      </c>
      <c r="I3055" s="1" t="s">
        <v>1528</v>
      </c>
      <c r="J3055" s="1" t="s">
        <v>3539</v>
      </c>
      <c r="K3055" s="1" t="s">
        <v>25</v>
      </c>
      <c r="L3055">
        <v>-1.5585651818475701</v>
      </c>
      <c r="M3055" t="str">
        <f t="shared" si="89"/>
        <v>44/40</v>
      </c>
      <c r="N3055" t="str">
        <f t="shared" si="90"/>
        <v>SW</v>
      </c>
      <c r="O3055" s="1" t="s">
        <v>25</v>
      </c>
      <c r="P3055" s="3" t="s">
        <v>25</v>
      </c>
      <c r="Q3055" s="37">
        <v>0.59943931028455399</v>
      </c>
      <c r="R3055" t="str">
        <f t="shared" si="91"/>
        <v>mmol/mol</v>
      </c>
      <c r="S3055" s="13">
        <f t="shared" si="92"/>
        <v>-1.5585651818475701</v>
      </c>
    </row>
    <row r="3056" spans="1:19">
      <c r="A3056" s="18" t="s">
        <v>3504</v>
      </c>
      <c r="B3056" s="1" t="s">
        <v>3150</v>
      </c>
      <c r="C3056" s="1" t="s">
        <v>3509</v>
      </c>
      <c r="D3056" s="1" t="s">
        <v>3559</v>
      </c>
      <c r="E3056" s="1" t="s">
        <v>25</v>
      </c>
      <c r="F3056">
        <v>650</v>
      </c>
      <c r="G3056">
        <v>650</v>
      </c>
      <c r="H3056">
        <v>15.5</v>
      </c>
      <c r="I3056" s="1" t="s">
        <v>1528</v>
      </c>
      <c r="J3056" s="1" t="s">
        <v>3539</v>
      </c>
      <c r="K3056" s="1" t="s">
        <v>25</v>
      </c>
      <c r="L3056">
        <v>-1.22638363989516</v>
      </c>
      <c r="M3056" t="str">
        <f t="shared" ref="M3056:M3119" si="93">IF(L3056="Na","Na","44/40")</f>
        <v>44/40</v>
      </c>
      <c r="N3056" t="str">
        <f t="shared" ref="N3056:N3119" si="94">IF(M3056="Na","Na","SW")</f>
        <v>SW</v>
      </c>
      <c r="O3056" s="1" t="s">
        <v>25</v>
      </c>
      <c r="P3056" s="3" t="s">
        <v>25</v>
      </c>
      <c r="Q3056" s="37">
        <v>1.3916787518601199</v>
      </c>
      <c r="R3056" t="str">
        <f t="shared" ref="R3056:R3119" si="95">IF(Q3056="Na","Na","mmol/mol")</f>
        <v>mmol/mol</v>
      </c>
      <c r="S3056" s="13">
        <f t="shared" si="92"/>
        <v>-1.22638363989516</v>
      </c>
    </row>
    <row r="3057" spans="1:19">
      <c r="A3057" s="18" t="s">
        <v>3504</v>
      </c>
      <c r="B3057" s="1" t="s">
        <v>3151</v>
      </c>
      <c r="C3057" s="1" t="s">
        <v>3509</v>
      </c>
      <c r="D3057" s="1" t="s">
        <v>3559</v>
      </c>
      <c r="E3057" s="1" t="s">
        <v>25</v>
      </c>
      <c r="F3057">
        <v>650</v>
      </c>
      <c r="G3057">
        <v>650</v>
      </c>
      <c r="H3057">
        <v>17</v>
      </c>
      <c r="I3057" s="1" t="s">
        <v>1528</v>
      </c>
      <c r="J3057" s="1" t="s">
        <v>3541</v>
      </c>
      <c r="K3057" s="1" t="s">
        <v>25</v>
      </c>
      <c r="L3057">
        <v>-1.2732483827965799</v>
      </c>
      <c r="M3057" t="str">
        <f t="shared" si="93"/>
        <v>44/40</v>
      </c>
      <c r="N3057" t="str">
        <f t="shared" si="94"/>
        <v>SW</v>
      </c>
      <c r="O3057" s="1" t="s">
        <v>25</v>
      </c>
      <c r="P3057" s="3" t="s">
        <v>25</v>
      </c>
      <c r="Q3057" s="37">
        <v>0.59055024817081503</v>
      </c>
      <c r="R3057" t="str">
        <f t="shared" si="95"/>
        <v>mmol/mol</v>
      </c>
      <c r="S3057" s="13">
        <f t="shared" si="92"/>
        <v>-1.2732483827965799</v>
      </c>
    </row>
    <row r="3058" spans="1:19">
      <c r="A3058" s="18" t="s">
        <v>3504</v>
      </c>
      <c r="B3058" s="1" t="s">
        <v>3152</v>
      </c>
      <c r="C3058" s="1" t="s">
        <v>3509</v>
      </c>
      <c r="D3058" s="1" t="s">
        <v>3559</v>
      </c>
      <c r="E3058" s="1" t="s">
        <v>25</v>
      </c>
      <c r="F3058">
        <v>650</v>
      </c>
      <c r="G3058">
        <v>650</v>
      </c>
      <c r="H3058">
        <v>18</v>
      </c>
      <c r="I3058" s="1" t="s">
        <v>1528</v>
      </c>
      <c r="J3058" s="1" t="s">
        <v>3539</v>
      </c>
      <c r="K3058" s="1" t="s">
        <v>25</v>
      </c>
      <c r="L3058">
        <v>-1.20330376883705</v>
      </c>
      <c r="M3058" t="str">
        <f t="shared" si="93"/>
        <v>44/40</v>
      </c>
      <c r="N3058" t="str">
        <f t="shared" si="94"/>
        <v>SW</v>
      </c>
      <c r="O3058" s="1" t="s">
        <v>25</v>
      </c>
      <c r="P3058" s="3" t="s">
        <v>25</v>
      </c>
      <c r="Q3058" s="37">
        <v>0.48671395974880399</v>
      </c>
      <c r="R3058" t="str">
        <f t="shared" si="95"/>
        <v>mmol/mol</v>
      </c>
      <c r="S3058" s="13">
        <f t="shared" si="92"/>
        <v>-1.20330376883705</v>
      </c>
    </row>
    <row r="3059" spans="1:19">
      <c r="A3059" s="18" t="s">
        <v>3504</v>
      </c>
      <c r="B3059" s="1" t="s">
        <v>3153</v>
      </c>
      <c r="C3059" s="1" t="s">
        <v>3509</v>
      </c>
      <c r="D3059" s="1" t="s">
        <v>3559</v>
      </c>
      <c r="E3059" s="1" t="s">
        <v>25</v>
      </c>
      <c r="F3059">
        <v>650</v>
      </c>
      <c r="G3059">
        <v>650</v>
      </c>
      <c r="H3059">
        <v>20</v>
      </c>
      <c r="I3059" s="1" t="s">
        <v>1528</v>
      </c>
      <c r="J3059" s="1" t="s">
        <v>3538</v>
      </c>
      <c r="K3059" s="1" t="s">
        <v>25</v>
      </c>
      <c r="L3059">
        <v>-1.1939956314932201</v>
      </c>
      <c r="M3059" t="str">
        <f t="shared" si="93"/>
        <v>44/40</v>
      </c>
      <c r="N3059" t="str">
        <f t="shared" si="94"/>
        <v>SW</v>
      </c>
      <c r="O3059" s="1" t="s">
        <v>25</v>
      </c>
      <c r="P3059" s="3" t="s">
        <v>25</v>
      </c>
      <c r="Q3059" s="37">
        <v>0.86002244297144803</v>
      </c>
      <c r="R3059" t="str">
        <f t="shared" si="95"/>
        <v>mmol/mol</v>
      </c>
      <c r="S3059" s="13">
        <f t="shared" si="92"/>
        <v>-1.1939956314932201</v>
      </c>
    </row>
    <row r="3060" spans="1:19">
      <c r="A3060" s="18" t="s">
        <v>3504</v>
      </c>
      <c r="B3060" s="1" t="s">
        <v>3154</v>
      </c>
      <c r="C3060" s="1" t="s">
        <v>3509</v>
      </c>
      <c r="D3060" s="1" t="s">
        <v>3559</v>
      </c>
      <c r="E3060" s="1" t="s">
        <v>25</v>
      </c>
      <c r="F3060">
        <v>650</v>
      </c>
      <c r="G3060">
        <v>650</v>
      </c>
      <c r="H3060">
        <v>22.2</v>
      </c>
      <c r="I3060" s="1" t="s">
        <v>1528</v>
      </c>
      <c r="J3060" s="1" t="s">
        <v>3540</v>
      </c>
      <c r="K3060" s="1" t="s">
        <v>25</v>
      </c>
      <c r="L3060">
        <v>-1.1399999999999999</v>
      </c>
      <c r="M3060" t="str">
        <f t="shared" si="93"/>
        <v>44/40</v>
      </c>
      <c r="N3060" t="str">
        <f t="shared" si="94"/>
        <v>SW</v>
      </c>
      <c r="O3060" s="1" t="s">
        <v>25</v>
      </c>
      <c r="P3060" s="3" t="s">
        <v>25</v>
      </c>
      <c r="Q3060" s="37">
        <v>0.17346591202107201</v>
      </c>
      <c r="R3060" t="str">
        <f t="shared" si="95"/>
        <v>mmol/mol</v>
      </c>
      <c r="S3060" s="13">
        <f t="shared" si="92"/>
        <v>-1.1399999999999999</v>
      </c>
    </row>
    <row r="3061" spans="1:19">
      <c r="A3061" s="18" t="s">
        <v>3504</v>
      </c>
      <c r="B3061" s="1" t="s">
        <v>3155</v>
      </c>
      <c r="C3061" s="1" t="s">
        <v>3509</v>
      </c>
      <c r="D3061" s="1" t="s">
        <v>3559</v>
      </c>
      <c r="E3061" s="1" t="s">
        <v>25</v>
      </c>
      <c r="F3061">
        <v>650</v>
      </c>
      <c r="G3061">
        <v>650</v>
      </c>
      <c r="H3061">
        <v>26</v>
      </c>
      <c r="I3061" s="1" t="s">
        <v>1528</v>
      </c>
      <c r="J3061" s="1" t="s">
        <v>3540</v>
      </c>
      <c r="K3061" s="1" t="s">
        <v>25</v>
      </c>
      <c r="L3061">
        <v>-1.0008783275572899</v>
      </c>
      <c r="M3061" t="str">
        <f t="shared" si="93"/>
        <v>44/40</v>
      </c>
      <c r="N3061" t="str">
        <f t="shared" si="94"/>
        <v>SW</v>
      </c>
      <c r="O3061" s="1" t="s">
        <v>25</v>
      </c>
      <c r="P3061" s="3" t="s">
        <v>25</v>
      </c>
      <c r="Q3061" s="37">
        <v>0.230384922368427</v>
      </c>
      <c r="R3061" t="str">
        <f t="shared" si="95"/>
        <v>mmol/mol</v>
      </c>
      <c r="S3061" s="13">
        <f t="shared" si="92"/>
        <v>-1.0008783275572899</v>
      </c>
    </row>
    <row r="3062" spans="1:19">
      <c r="A3062" s="18" t="s">
        <v>3504</v>
      </c>
      <c r="B3062" s="1" t="s">
        <v>3156</v>
      </c>
      <c r="C3062" s="1" t="s">
        <v>3509</v>
      </c>
      <c r="D3062" s="1" t="s">
        <v>3559</v>
      </c>
      <c r="E3062" s="1" t="s">
        <v>25</v>
      </c>
      <c r="F3062">
        <v>650</v>
      </c>
      <c r="G3062">
        <v>650</v>
      </c>
      <c r="H3062">
        <v>28</v>
      </c>
      <c r="I3062" s="1" t="s">
        <v>1528</v>
      </c>
      <c r="J3062" s="1" t="s">
        <v>3540</v>
      </c>
      <c r="K3062" s="1" t="s">
        <v>25</v>
      </c>
      <c r="L3062">
        <v>-1.18670071957929</v>
      </c>
      <c r="M3062" t="str">
        <f t="shared" si="93"/>
        <v>44/40</v>
      </c>
      <c r="N3062" t="str">
        <f t="shared" si="94"/>
        <v>SW</v>
      </c>
      <c r="O3062" s="1" t="s">
        <v>25</v>
      </c>
      <c r="P3062" s="3" t="s">
        <v>25</v>
      </c>
      <c r="Q3062" s="37">
        <v>0.25452873928422298</v>
      </c>
      <c r="R3062" t="str">
        <f t="shared" si="95"/>
        <v>mmol/mol</v>
      </c>
      <c r="S3062" s="13">
        <f t="shared" si="92"/>
        <v>-1.18670071957929</v>
      </c>
    </row>
    <row r="3063" spans="1:19">
      <c r="A3063" s="18" t="s">
        <v>3504</v>
      </c>
      <c r="B3063" s="1" t="s">
        <v>3157</v>
      </c>
      <c r="C3063" s="1" t="s">
        <v>3509</v>
      </c>
      <c r="D3063" s="1" t="s">
        <v>3559</v>
      </c>
      <c r="E3063" s="1" t="s">
        <v>25</v>
      </c>
      <c r="F3063">
        <v>650</v>
      </c>
      <c r="G3063">
        <v>650</v>
      </c>
      <c r="H3063">
        <v>30</v>
      </c>
      <c r="I3063" s="1" t="s">
        <v>1528</v>
      </c>
      <c r="J3063" s="1" t="s">
        <v>3540</v>
      </c>
      <c r="K3063" s="1" t="s">
        <v>25</v>
      </c>
      <c r="L3063">
        <v>-1.0679117292249101</v>
      </c>
      <c r="M3063" t="str">
        <f t="shared" si="93"/>
        <v>44/40</v>
      </c>
      <c r="N3063" t="str">
        <f t="shared" si="94"/>
        <v>SW</v>
      </c>
      <c r="O3063" s="1" t="s">
        <v>25</v>
      </c>
      <c r="P3063" s="3" t="s">
        <v>25</v>
      </c>
      <c r="Q3063" s="37">
        <v>0.19215112364134701</v>
      </c>
      <c r="R3063" t="str">
        <f t="shared" si="95"/>
        <v>mmol/mol</v>
      </c>
      <c r="S3063" s="13">
        <f t="shared" si="92"/>
        <v>-1.0679117292249101</v>
      </c>
    </row>
    <row r="3064" spans="1:19">
      <c r="A3064" s="18" t="s">
        <v>3504</v>
      </c>
      <c r="B3064" s="1" t="s">
        <v>3158</v>
      </c>
      <c r="C3064" s="1" t="s">
        <v>3509</v>
      </c>
      <c r="D3064" s="1" t="s">
        <v>3559</v>
      </c>
      <c r="E3064" s="1" t="s">
        <v>25</v>
      </c>
      <c r="F3064">
        <v>650</v>
      </c>
      <c r="G3064">
        <v>650</v>
      </c>
      <c r="H3064">
        <v>32</v>
      </c>
      <c r="I3064" s="1" t="s">
        <v>1528</v>
      </c>
      <c r="J3064" s="1" t="s">
        <v>3540</v>
      </c>
      <c r="K3064" s="1" t="s">
        <v>25</v>
      </c>
      <c r="L3064">
        <v>-0.93222556142262403</v>
      </c>
      <c r="M3064" t="str">
        <f t="shared" si="93"/>
        <v>44/40</v>
      </c>
      <c r="N3064" t="str">
        <f t="shared" si="94"/>
        <v>SW</v>
      </c>
      <c r="O3064" s="1" t="s">
        <v>25</v>
      </c>
      <c r="P3064" s="3" t="s">
        <v>25</v>
      </c>
      <c r="Q3064" s="37">
        <v>0.211678415902113</v>
      </c>
      <c r="R3064" t="str">
        <f t="shared" si="95"/>
        <v>mmol/mol</v>
      </c>
      <c r="S3064" s="13">
        <f t="shared" si="92"/>
        <v>-0.93222556142262403</v>
      </c>
    </row>
    <row r="3065" spans="1:19">
      <c r="A3065" s="18" t="s">
        <v>3504</v>
      </c>
      <c r="B3065" s="1" t="s">
        <v>3159</v>
      </c>
      <c r="C3065" s="1" t="s">
        <v>3509</v>
      </c>
      <c r="D3065" s="1" t="s">
        <v>3559</v>
      </c>
      <c r="E3065" s="1" t="s">
        <v>25</v>
      </c>
      <c r="F3065">
        <v>650</v>
      </c>
      <c r="G3065">
        <v>650</v>
      </c>
      <c r="H3065">
        <v>34</v>
      </c>
      <c r="I3065" s="1" t="s">
        <v>1528</v>
      </c>
      <c r="J3065" s="1" t="s">
        <v>3540</v>
      </c>
      <c r="K3065" s="1" t="s">
        <v>25</v>
      </c>
      <c r="L3065">
        <v>-0.97443224386291805</v>
      </c>
      <c r="M3065" t="str">
        <f t="shared" si="93"/>
        <v>44/40</v>
      </c>
      <c r="N3065" t="str">
        <f t="shared" si="94"/>
        <v>SW</v>
      </c>
      <c r="O3065" s="1" t="s">
        <v>25</v>
      </c>
      <c r="P3065" s="3" t="s">
        <v>25</v>
      </c>
      <c r="Q3065" s="37">
        <v>0.19948352376603901</v>
      </c>
      <c r="R3065" t="str">
        <f t="shared" si="95"/>
        <v>mmol/mol</v>
      </c>
      <c r="S3065" s="13">
        <f t="shared" si="92"/>
        <v>-0.97443224386291805</v>
      </c>
    </row>
    <row r="3066" spans="1:19">
      <c r="A3066" s="18" t="s">
        <v>3504</v>
      </c>
      <c r="B3066" s="1" t="s">
        <v>3160</v>
      </c>
      <c r="C3066" s="1" t="s">
        <v>3509</v>
      </c>
      <c r="D3066" s="1" t="s">
        <v>3559</v>
      </c>
      <c r="E3066" s="1" t="s">
        <v>25</v>
      </c>
      <c r="F3066">
        <v>650</v>
      </c>
      <c r="G3066">
        <v>650</v>
      </c>
      <c r="H3066">
        <v>36</v>
      </c>
      <c r="I3066" s="1" t="s">
        <v>1528</v>
      </c>
      <c r="J3066" s="1" t="s">
        <v>3543</v>
      </c>
      <c r="K3066" s="1" t="s">
        <v>25</v>
      </c>
      <c r="L3066">
        <v>-1.0701300219368901</v>
      </c>
      <c r="M3066" t="str">
        <f t="shared" si="93"/>
        <v>44/40</v>
      </c>
      <c r="N3066" t="str">
        <f t="shared" si="94"/>
        <v>SW</v>
      </c>
      <c r="O3066" s="1" t="s">
        <v>25</v>
      </c>
      <c r="P3066" s="3" t="s">
        <v>25</v>
      </c>
      <c r="Q3066" s="37">
        <v>0.20622926301146799</v>
      </c>
      <c r="R3066" t="str">
        <f t="shared" si="95"/>
        <v>mmol/mol</v>
      </c>
      <c r="S3066" s="13">
        <f t="shared" si="92"/>
        <v>-1.0701300219368901</v>
      </c>
    </row>
    <row r="3067" spans="1:19">
      <c r="A3067" s="18" t="s">
        <v>3504</v>
      </c>
      <c r="B3067" s="1" t="s">
        <v>3161</v>
      </c>
      <c r="C3067" s="1" t="s">
        <v>3509</v>
      </c>
      <c r="D3067" s="1" t="s">
        <v>3559</v>
      </c>
      <c r="E3067" s="1" t="s">
        <v>25</v>
      </c>
      <c r="F3067">
        <v>650</v>
      </c>
      <c r="G3067">
        <v>650</v>
      </c>
      <c r="H3067">
        <v>38</v>
      </c>
      <c r="I3067" s="1" t="s">
        <v>1528</v>
      </c>
      <c r="J3067" s="1" t="s">
        <v>3543</v>
      </c>
      <c r="K3067" s="1" t="s">
        <v>25</v>
      </c>
      <c r="L3067">
        <v>-0.89649028778228801</v>
      </c>
      <c r="M3067" t="str">
        <f t="shared" si="93"/>
        <v>44/40</v>
      </c>
      <c r="N3067" t="str">
        <f t="shared" si="94"/>
        <v>SW</v>
      </c>
      <c r="O3067" s="1" t="s">
        <v>25</v>
      </c>
      <c r="P3067" s="3" t="s">
        <v>25</v>
      </c>
      <c r="Q3067" s="37">
        <v>0.20262190090111001</v>
      </c>
      <c r="R3067" t="str">
        <f t="shared" si="95"/>
        <v>mmol/mol</v>
      </c>
      <c r="S3067" s="13">
        <f t="shared" si="92"/>
        <v>-0.89649028778228801</v>
      </c>
    </row>
    <row r="3068" spans="1:19">
      <c r="A3068" s="18" t="s">
        <v>3504</v>
      </c>
      <c r="B3068" s="1" t="s">
        <v>3162</v>
      </c>
      <c r="C3068" s="1" t="s">
        <v>3509</v>
      </c>
      <c r="D3068" s="1" t="s">
        <v>3559</v>
      </c>
      <c r="E3068" s="1" t="s">
        <v>25</v>
      </c>
      <c r="F3068">
        <v>650</v>
      </c>
      <c r="G3068">
        <v>650</v>
      </c>
      <c r="H3068">
        <v>40</v>
      </c>
      <c r="I3068" s="1" t="s">
        <v>1528</v>
      </c>
      <c r="J3068" s="1" t="s">
        <v>3543</v>
      </c>
      <c r="K3068" s="1" t="s">
        <v>25</v>
      </c>
      <c r="L3068">
        <v>-0.95978016959373702</v>
      </c>
      <c r="M3068" t="str">
        <f t="shared" si="93"/>
        <v>44/40</v>
      </c>
      <c r="N3068" t="str">
        <f t="shared" si="94"/>
        <v>SW</v>
      </c>
      <c r="O3068" s="1" t="s">
        <v>25</v>
      </c>
      <c r="P3068" s="3" t="s">
        <v>25</v>
      </c>
      <c r="Q3068" s="37">
        <v>0.18611936382493599</v>
      </c>
      <c r="R3068" t="str">
        <f t="shared" si="95"/>
        <v>mmol/mol</v>
      </c>
      <c r="S3068" s="13">
        <f t="shared" si="92"/>
        <v>-0.95978016959373702</v>
      </c>
    </row>
    <row r="3069" spans="1:19">
      <c r="A3069" s="18" t="s">
        <v>3504</v>
      </c>
      <c r="B3069" s="1" t="s">
        <v>3163</v>
      </c>
      <c r="C3069" s="1" t="s">
        <v>3509</v>
      </c>
      <c r="D3069" s="1" t="s">
        <v>3559</v>
      </c>
      <c r="E3069" s="1" t="s">
        <v>25</v>
      </c>
      <c r="F3069">
        <v>650</v>
      </c>
      <c r="G3069">
        <v>650</v>
      </c>
      <c r="H3069">
        <v>42</v>
      </c>
      <c r="I3069" s="1" t="s">
        <v>1528</v>
      </c>
      <c r="J3069" s="1" t="s">
        <v>3543</v>
      </c>
      <c r="K3069" s="1" t="s">
        <v>25</v>
      </c>
      <c r="L3069">
        <v>-0.91403017577248602</v>
      </c>
      <c r="M3069" t="str">
        <f t="shared" si="93"/>
        <v>44/40</v>
      </c>
      <c r="N3069" t="str">
        <f t="shared" si="94"/>
        <v>SW</v>
      </c>
      <c r="O3069" s="1" t="s">
        <v>25</v>
      </c>
      <c r="P3069" s="3" t="s">
        <v>25</v>
      </c>
      <c r="Q3069" s="37">
        <v>0.19831671534300899</v>
      </c>
      <c r="R3069" t="str">
        <f t="shared" si="95"/>
        <v>mmol/mol</v>
      </c>
      <c r="S3069" s="13">
        <f t="shared" si="92"/>
        <v>-0.91403017577248602</v>
      </c>
    </row>
    <row r="3070" spans="1:19">
      <c r="A3070" s="18" t="s">
        <v>3504</v>
      </c>
      <c r="B3070" s="1" t="s">
        <v>3164</v>
      </c>
      <c r="C3070" s="1" t="s">
        <v>3509</v>
      </c>
      <c r="D3070" s="1" t="s">
        <v>3559</v>
      </c>
      <c r="E3070" s="1" t="s">
        <v>25</v>
      </c>
      <c r="F3070">
        <v>650</v>
      </c>
      <c r="G3070">
        <v>650</v>
      </c>
      <c r="H3070">
        <v>44</v>
      </c>
      <c r="I3070" s="1" t="s">
        <v>1528</v>
      </c>
      <c r="J3070" s="1" t="s">
        <v>3539</v>
      </c>
      <c r="K3070" s="1" t="s">
        <v>25</v>
      </c>
      <c r="L3070">
        <v>-1.07012974427239</v>
      </c>
      <c r="M3070" t="str">
        <f t="shared" si="93"/>
        <v>44/40</v>
      </c>
      <c r="N3070" t="str">
        <f t="shared" si="94"/>
        <v>SW</v>
      </c>
      <c r="O3070" s="1" t="s">
        <v>25</v>
      </c>
      <c r="P3070" s="3" t="s">
        <v>25</v>
      </c>
      <c r="Q3070" s="37">
        <v>0.17253073605782199</v>
      </c>
      <c r="R3070" t="str">
        <f t="shared" si="95"/>
        <v>mmol/mol</v>
      </c>
      <c r="S3070" s="13">
        <f t="shared" si="92"/>
        <v>-1.07012974427239</v>
      </c>
    </row>
    <row r="3071" spans="1:19">
      <c r="A3071" s="18" t="s">
        <v>3504</v>
      </c>
      <c r="B3071" s="1" t="s">
        <v>3165</v>
      </c>
      <c r="C3071" s="1" t="s">
        <v>3509</v>
      </c>
      <c r="D3071" s="1" t="s">
        <v>3559</v>
      </c>
      <c r="E3071" s="1" t="s">
        <v>25</v>
      </c>
      <c r="F3071">
        <v>650</v>
      </c>
      <c r="G3071">
        <v>650</v>
      </c>
      <c r="H3071">
        <v>46</v>
      </c>
      <c r="I3071" s="1" t="s">
        <v>1528</v>
      </c>
      <c r="J3071" s="1" t="s">
        <v>3539</v>
      </c>
      <c r="K3071" s="1" t="s">
        <v>25</v>
      </c>
      <c r="L3071">
        <v>-0.77952120990337703</v>
      </c>
      <c r="M3071" t="str">
        <f t="shared" si="93"/>
        <v>44/40</v>
      </c>
      <c r="N3071" t="str">
        <f t="shared" si="94"/>
        <v>SW</v>
      </c>
      <c r="O3071" s="1" t="s">
        <v>25</v>
      </c>
      <c r="P3071" s="3" t="s">
        <v>25</v>
      </c>
      <c r="Q3071" s="37">
        <v>0.19312922532194499</v>
      </c>
      <c r="R3071" t="str">
        <f t="shared" si="95"/>
        <v>mmol/mol</v>
      </c>
      <c r="S3071" s="13">
        <f t="shared" si="92"/>
        <v>-0.77952120990337703</v>
      </c>
    </row>
    <row r="3072" spans="1:19">
      <c r="A3072" s="18" t="s">
        <v>3504</v>
      </c>
      <c r="B3072" s="1" t="s">
        <v>3166</v>
      </c>
      <c r="C3072" s="1" t="s">
        <v>3509</v>
      </c>
      <c r="D3072" s="1" t="s">
        <v>3559</v>
      </c>
      <c r="E3072" s="1" t="s">
        <v>25</v>
      </c>
      <c r="F3072">
        <v>650</v>
      </c>
      <c r="G3072">
        <v>650</v>
      </c>
      <c r="H3072">
        <v>48</v>
      </c>
      <c r="I3072" s="1" t="s">
        <v>1528</v>
      </c>
      <c r="J3072" s="1" t="s">
        <v>3546</v>
      </c>
      <c r="K3072" s="1" t="s">
        <v>25</v>
      </c>
      <c r="L3072">
        <v>-1.08644350471224</v>
      </c>
      <c r="M3072" t="str">
        <f t="shared" si="93"/>
        <v>44/40</v>
      </c>
      <c r="N3072" t="str">
        <f t="shared" si="94"/>
        <v>SW</v>
      </c>
      <c r="O3072" s="1" t="s">
        <v>25</v>
      </c>
      <c r="P3072" s="3" t="s">
        <v>25</v>
      </c>
      <c r="Q3072" s="37">
        <v>0.27056236636411601</v>
      </c>
      <c r="R3072" t="str">
        <f t="shared" si="95"/>
        <v>mmol/mol</v>
      </c>
      <c r="S3072" s="13">
        <f t="shared" si="92"/>
        <v>-1.08644350471224</v>
      </c>
    </row>
    <row r="3073" spans="1:19">
      <c r="A3073" s="18" t="s">
        <v>3504</v>
      </c>
      <c r="B3073" s="1" t="s">
        <v>3167</v>
      </c>
      <c r="C3073" s="1" t="s">
        <v>3509</v>
      </c>
      <c r="D3073" s="1" t="s">
        <v>3559</v>
      </c>
      <c r="E3073" s="1" t="s">
        <v>25</v>
      </c>
      <c r="F3073">
        <v>650</v>
      </c>
      <c r="G3073">
        <v>650</v>
      </c>
      <c r="H3073">
        <v>50</v>
      </c>
      <c r="I3073" s="1" t="s">
        <v>1528</v>
      </c>
      <c r="J3073" s="1" t="s">
        <v>3546</v>
      </c>
      <c r="K3073" s="1" t="s">
        <v>25</v>
      </c>
      <c r="L3073">
        <v>-1.12939766465795</v>
      </c>
      <c r="M3073" t="str">
        <f t="shared" si="93"/>
        <v>44/40</v>
      </c>
      <c r="N3073" t="str">
        <f t="shared" si="94"/>
        <v>SW</v>
      </c>
      <c r="O3073" s="1" t="s">
        <v>25</v>
      </c>
      <c r="P3073" s="3" t="s">
        <v>25</v>
      </c>
      <c r="Q3073" s="37">
        <v>0.260922354328397</v>
      </c>
      <c r="R3073" t="str">
        <f t="shared" si="95"/>
        <v>mmol/mol</v>
      </c>
      <c r="S3073" s="13">
        <f t="shared" si="92"/>
        <v>-1.12939766465795</v>
      </c>
    </row>
    <row r="3074" spans="1:19">
      <c r="A3074" s="18" t="s">
        <v>3504</v>
      </c>
      <c r="B3074" s="1" t="s">
        <v>3168</v>
      </c>
      <c r="C3074" s="1" t="s">
        <v>3509</v>
      </c>
      <c r="D3074" s="1" t="s">
        <v>3559</v>
      </c>
      <c r="E3074" s="1" t="s">
        <v>25</v>
      </c>
      <c r="F3074">
        <v>650</v>
      </c>
      <c r="G3074">
        <v>650</v>
      </c>
      <c r="H3074">
        <v>106</v>
      </c>
      <c r="I3074" s="1" t="s">
        <v>1528</v>
      </c>
      <c r="J3074" s="1" t="s">
        <v>3540</v>
      </c>
      <c r="K3074" s="1" t="s">
        <v>25</v>
      </c>
      <c r="L3074">
        <v>-1.0529890475797199</v>
      </c>
      <c r="M3074" t="str">
        <f t="shared" si="93"/>
        <v>44/40</v>
      </c>
      <c r="N3074" t="str">
        <f t="shared" si="94"/>
        <v>SW</v>
      </c>
      <c r="O3074" s="1" t="s">
        <v>25</v>
      </c>
      <c r="P3074" s="3" t="s">
        <v>25</v>
      </c>
      <c r="Q3074" s="37">
        <v>0.221797103518763</v>
      </c>
      <c r="R3074" t="str">
        <f t="shared" si="95"/>
        <v>mmol/mol</v>
      </c>
      <c r="S3074" s="13">
        <f t="shared" si="92"/>
        <v>-1.0529890475797199</v>
      </c>
    </row>
    <row r="3075" spans="1:19">
      <c r="A3075" s="18" t="s">
        <v>3504</v>
      </c>
      <c r="B3075" s="1" t="s">
        <v>3169</v>
      </c>
      <c r="C3075" s="1" t="s">
        <v>3509</v>
      </c>
      <c r="D3075" s="1" t="s">
        <v>3559</v>
      </c>
      <c r="E3075" s="1" t="s">
        <v>25</v>
      </c>
      <c r="F3075">
        <v>650</v>
      </c>
      <c r="G3075">
        <v>650</v>
      </c>
      <c r="H3075">
        <v>111</v>
      </c>
      <c r="I3075" s="1" t="s">
        <v>1528</v>
      </c>
      <c r="J3075" s="1" t="s">
        <v>3540</v>
      </c>
      <c r="K3075" s="1" t="s">
        <v>25</v>
      </c>
      <c r="L3075">
        <v>-1.0680316766765701</v>
      </c>
      <c r="M3075" t="str">
        <f t="shared" si="93"/>
        <v>44/40</v>
      </c>
      <c r="N3075" t="str">
        <f t="shared" si="94"/>
        <v>SW</v>
      </c>
      <c r="O3075" s="1" t="s">
        <v>25</v>
      </c>
      <c r="P3075" s="3" t="s">
        <v>25</v>
      </c>
      <c r="Q3075" s="37">
        <v>0.205547546003743</v>
      </c>
      <c r="R3075" t="str">
        <f t="shared" si="95"/>
        <v>mmol/mol</v>
      </c>
      <c r="S3075" s="13">
        <f t="shared" si="92"/>
        <v>-1.0680316766765701</v>
      </c>
    </row>
    <row r="3076" spans="1:19">
      <c r="A3076" s="18" t="s">
        <v>3504</v>
      </c>
      <c r="B3076" s="1" t="s">
        <v>3170</v>
      </c>
      <c r="C3076" s="1" t="s">
        <v>3509</v>
      </c>
      <c r="D3076" s="1" t="s">
        <v>3559</v>
      </c>
      <c r="E3076" s="1" t="s">
        <v>25</v>
      </c>
      <c r="F3076">
        <v>650</v>
      </c>
      <c r="G3076">
        <v>650</v>
      </c>
      <c r="H3076">
        <v>113</v>
      </c>
      <c r="I3076" s="1" t="s">
        <v>1528</v>
      </c>
      <c r="J3076" s="1" t="s">
        <v>3540</v>
      </c>
      <c r="K3076" s="1" t="s">
        <v>25</v>
      </c>
      <c r="L3076">
        <v>-1.2402103662558499</v>
      </c>
      <c r="M3076" t="str">
        <f t="shared" si="93"/>
        <v>44/40</v>
      </c>
      <c r="N3076" t="str">
        <f t="shared" si="94"/>
        <v>SW</v>
      </c>
      <c r="O3076" s="1" t="s">
        <v>25</v>
      </c>
      <c r="P3076" s="3" t="s">
        <v>25</v>
      </c>
      <c r="Q3076" s="37">
        <v>0.214463669069898</v>
      </c>
      <c r="R3076" t="str">
        <f t="shared" si="95"/>
        <v>mmol/mol</v>
      </c>
      <c r="S3076" s="13">
        <f t="shared" si="92"/>
        <v>-1.2402103662558499</v>
      </c>
    </row>
    <row r="3077" spans="1:19">
      <c r="A3077" s="18" t="s">
        <v>3504</v>
      </c>
      <c r="B3077" s="1" t="s">
        <v>3171</v>
      </c>
      <c r="C3077" s="1" t="s">
        <v>3509</v>
      </c>
      <c r="D3077" s="1" t="s">
        <v>3559</v>
      </c>
      <c r="E3077" s="1" t="s">
        <v>25</v>
      </c>
      <c r="F3077">
        <v>650</v>
      </c>
      <c r="G3077">
        <v>650</v>
      </c>
      <c r="H3077">
        <v>121.4</v>
      </c>
      <c r="I3077" s="1" t="s">
        <v>1528</v>
      </c>
      <c r="J3077" s="1" t="s">
        <v>3547</v>
      </c>
      <c r="K3077" s="1" t="s">
        <v>25</v>
      </c>
      <c r="L3077">
        <v>-0.94467490270415599</v>
      </c>
      <c r="M3077" t="str">
        <f t="shared" si="93"/>
        <v>44/40</v>
      </c>
      <c r="N3077" t="str">
        <f t="shared" si="94"/>
        <v>SW</v>
      </c>
      <c r="O3077" s="1" t="s">
        <v>25</v>
      </c>
      <c r="P3077" s="3" t="s">
        <v>25</v>
      </c>
      <c r="Q3077" s="37">
        <v>0.12155874052282301</v>
      </c>
      <c r="R3077" t="str">
        <f t="shared" si="95"/>
        <v>mmol/mol</v>
      </c>
      <c r="S3077" s="13">
        <f t="shared" si="92"/>
        <v>-0.94467490270415599</v>
      </c>
    </row>
    <row r="3078" spans="1:19">
      <c r="A3078" s="18" t="s">
        <v>3504</v>
      </c>
      <c r="B3078" s="1" t="s">
        <v>3172</v>
      </c>
      <c r="C3078" s="1" t="s">
        <v>3510</v>
      </c>
      <c r="D3078" s="1" t="s">
        <v>3559</v>
      </c>
      <c r="E3078" s="1" t="s">
        <v>25</v>
      </c>
      <c r="F3078">
        <v>650</v>
      </c>
      <c r="G3078">
        <v>650</v>
      </c>
      <c r="H3078">
        <v>230.2</v>
      </c>
      <c r="I3078" s="1" t="s">
        <v>1528</v>
      </c>
      <c r="J3078" s="1" t="s">
        <v>3541</v>
      </c>
      <c r="K3078" s="1" t="s">
        <v>25</v>
      </c>
      <c r="L3078">
        <v>-1.13354290649247</v>
      </c>
      <c r="M3078" t="str">
        <f t="shared" si="93"/>
        <v>44/40</v>
      </c>
      <c r="N3078" t="str">
        <f t="shared" si="94"/>
        <v>SW</v>
      </c>
      <c r="O3078" s="1" t="s">
        <v>25</v>
      </c>
      <c r="P3078" s="3" t="s">
        <v>25</v>
      </c>
      <c r="Q3078" s="37" t="s">
        <v>25</v>
      </c>
      <c r="R3078" t="str">
        <f t="shared" si="95"/>
        <v>Na</v>
      </c>
      <c r="S3078" s="13">
        <f t="shared" si="92"/>
        <v>-1.13354290649247</v>
      </c>
    </row>
    <row r="3079" spans="1:19">
      <c r="A3079" s="18" t="s">
        <v>3504</v>
      </c>
      <c r="B3079" s="1" t="s">
        <v>3173</v>
      </c>
      <c r="C3079" s="1" t="s">
        <v>3510</v>
      </c>
      <c r="D3079" s="1" t="s">
        <v>3559</v>
      </c>
      <c r="E3079" s="1" t="s">
        <v>25</v>
      </c>
      <c r="F3079">
        <v>650</v>
      </c>
      <c r="G3079">
        <v>650</v>
      </c>
      <c r="H3079">
        <v>239.5</v>
      </c>
      <c r="I3079" s="1" t="s">
        <v>1528</v>
      </c>
      <c r="J3079" s="1" t="s">
        <v>3543</v>
      </c>
      <c r="K3079" s="1" t="s">
        <v>25</v>
      </c>
      <c r="L3079">
        <v>-0.61328538296181301</v>
      </c>
      <c r="M3079" t="str">
        <f t="shared" si="93"/>
        <v>44/40</v>
      </c>
      <c r="N3079" t="str">
        <f t="shared" si="94"/>
        <v>SW</v>
      </c>
      <c r="O3079" s="1" t="s">
        <v>25</v>
      </c>
      <c r="P3079" s="3" t="s">
        <v>25</v>
      </c>
      <c r="Q3079" s="37" t="s">
        <v>25</v>
      </c>
      <c r="R3079" t="str">
        <f t="shared" si="95"/>
        <v>Na</v>
      </c>
      <c r="S3079" s="13">
        <f t="shared" si="92"/>
        <v>-0.61328538296181301</v>
      </c>
    </row>
    <row r="3080" spans="1:19">
      <c r="A3080" s="18" t="s">
        <v>3504</v>
      </c>
      <c r="B3080" s="1" t="s">
        <v>3174</v>
      </c>
      <c r="C3080" s="1" t="s">
        <v>3510</v>
      </c>
      <c r="D3080" s="1" t="s">
        <v>3559</v>
      </c>
      <c r="E3080" s="1" t="s">
        <v>25</v>
      </c>
      <c r="F3080">
        <v>650</v>
      </c>
      <c r="G3080">
        <v>650</v>
      </c>
      <c r="H3080">
        <v>264.8</v>
      </c>
      <c r="I3080" s="1" t="s">
        <v>1528</v>
      </c>
      <c r="J3080" s="1" t="s">
        <v>3542</v>
      </c>
      <c r="K3080" s="1" t="s">
        <v>25</v>
      </c>
      <c r="L3080">
        <v>-0.83712940437707095</v>
      </c>
      <c r="M3080" t="str">
        <f t="shared" si="93"/>
        <v>44/40</v>
      </c>
      <c r="N3080" t="str">
        <f t="shared" si="94"/>
        <v>SW</v>
      </c>
      <c r="O3080" s="1" t="s">
        <v>25</v>
      </c>
      <c r="P3080" s="3" t="s">
        <v>25</v>
      </c>
      <c r="Q3080" s="37" t="s">
        <v>25</v>
      </c>
      <c r="R3080" t="str">
        <f t="shared" si="95"/>
        <v>Na</v>
      </c>
      <c r="S3080" s="13">
        <f t="shared" si="92"/>
        <v>-0.83712940437707095</v>
      </c>
    </row>
    <row r="3081" spans="1:19">
      <c r="A3081" s="18" t="s">
        <v>3504</v>
      </c>
      <c r="B3081" s="1" t="s">
        <v>3175</v>
      </c>
      <c r="C3081" s="1" t="s">
        <v>3510</v>
      </c>
      <c r="D3081" s="1" t="s">
        <v>3559</v>
      </c>
      <c r="E3081" s="1" t="s">
        <v>25</v>
      </c>
      <c r="F3081">
        <v>650</v>
      </c>
      <c r="G3081">
        <v>650</v>
      </c>
      <c r="H3081">
        <v>266</v>
      </c>
      <c r="I3081" s="1" t="s">
        <v>1528</v>
      </c>
      <c r="J3081" s="1" t="s">
        <v>3542</v>
      </c>
      <c r="K3081" s="1" t="s">
        <v>25</v>
      </c>
      <c r="L3081">
        <v>-1.02992969962887</v>
      </c>
      <c r="M3081" t="str">
        <f t="shared" si="93"/>
        <v>44/40</v>
      </c>
      <c r="N3081" t="str">
        <f t="shared" si="94"/>
        <v>SW</v>
      </c>
      <c r="O3081" s="1" t="s">
        <v>25</v>
      </c>
      <c r="P3081" s="3" t="s">
        <v>25</v>
      </c>
      <c r="Q3081" s="37">
        <v>0.13903740000000001</v>
      </c>
      <c r="R3081" t="str">
        <f t="shared" si="95"/>
        <v>mmol/mol</v>
      </c>
      <c r="S3081" s="13">
        <f t="shared" si="92"/>
        <v>-1.02992969962887</v>
      </c>
    </row>
    <row r="3082" spans="1:19">
      <c r="A3082" s="18" t="s">
        <v>3504</v>
      </c>
      <c r="B3082" s="1" t="s">
        <v>3176</v>
      </c>
      <c r="C3082" s="1" t="s">
        <v>3510</v>
      </c>
      <c r="D3082" s="1" t="s">
        <v>3559</v>
      </c>
      <c r="E3082" s="1" t="s">
        <v>25</v>
      </c>
      <c r="F3082">
        <v>650</v>
      </c>
      <c r="G3082">
        <v>650</v>
      </c>
      <c r="H3082">
        <v>266.3</v>
      </c>
      <c r="I3082" s="1" t="s">
        <v>1528</v>
      </c>
      <c r="J3082" s="1" t="s">
        <v>3542</v>
      </c>
      <c r="K3082" s="1" t="s">
        <v>25</v>
      </c>
      <c r="L3082">
        <v>-0.86250440960716201</v>
      </c>
      <c r="M3082" t="str">
        <f t="shared" si="93"/>
        <v>44/40</v>
      </c>
      <c r="N3082" t="str">
        <f t="shared" si="94"/>
        <v>SW</v>
      </c>
      <c r="O3082" s="1" t="s">
        <v>25</v>
      </c>
      <c r="P3082" s="3" t="s">
        <v>25</v>
      </c>
      <c r="Q3082" s="37" t="s">
        <v>25</v>
      </c>
      <c r="R3082" t="str">
        <f t="shared" si="95"/>
        <v>Na</v>
      </c>
      <c r="S3082" s="13">
        <f t="shared" si="92"/>
        <v>-0.86250440960716201</v>
      </c>
    </row>
    <row r="3083" spans="1:19">
      <c r="A3083" s="18" t="s">
        <v>3504</v>
      </c>
      <c r="B3083" s="1" t="s">
        <v>3177</v>
      </c>
      <c r="C3083" s="1" t="s">
        <v>3510</v>
      </c>
      <c r="D3083" s="1" t="s">
        <v>3559</v>
      </c>
      <c r="E3083" s="1" t="s">
        <v>25</v>
      </c>
      <c r="F3083">
        <v>650</v>
      </c>
      <c r="G3083">
        <v>650</v>
      </c>
      <c r="H3083">
        <v>267.7</v>
      </c>
      <c r="I3083" s="1" t="s">
        <v>1528</v>
      </c>
      <c r="J3083" s="1" t="s">
        <v>3542</v>
      </c>
      <c r="K3083" s="1" t="s">
        <v>25</v>
      </c>
      <c r="L3083">
        <v>-0.685440519700109</v>
      </c>
      <c r="M3083" t="str">
        <f t="shared" si="93"/>
        <v>44/40</v>
      </c>
      <c r="N3083" t="str">
        <f t="shared" si="94"/>
        <v>SW</v>
      </c>
      <c r="O3083" s="1" t="s">
        <v>25</v>
      </c>
      <c r="P3083" s="3" t="s">
        <v>25</v>
      </c>
      <c r="Q3083" s="37" t="s">
        <v>25</v>
      </c>
      <c r="R3083" t="str">
        <f t="shared" si="95"/>
        <v>Na</v>
      </c>
      <c r="S3083" s="13">
        <f t="shared" si="92"/>
        <v>-0.685440519700109</v>
      </c>
    </row>
    <row r="3084" spans="1:19">
      <c r="A3084" s="18" t="s">
        <v>3504</v>
      </c>
      <c r="B3084" s="1" t="s">
        <v>3178</v>
      </c>
      <c r="C3084" s="1" t="s">
        <v>3510</v>
      </c>
      <c r="D3084" s="1" t="s">
        <v>3559</v>
      </c>
      <c r="E3084" s="1" t="s">
        <v>25</v>
      </c>
      <c r="F3084">
        <v>650</v>
      </c>
      <c r="G3084">
        <v>650</v>
      </c>
      <c r="H3084">
        <v>268</v>
      </c>
      <c r="I3084" s="1" t="s">
        <v>1528</v>
      </c>
      <c r="J3084" s="1" t="s">
        <v>3542</v>
      </c>
      <c r="K3084" s="1" t="s">
        <v>25</v>
      </c>
      <c r="L3084">
        <v>-0.86205704611272305</v>
      </c>
      <c r="M3084" t="str">
        <f t="shared" si="93"/>
        <v>44/40</v>
      </c>
      <c r="N3084" t="str">
        <f t="shared" si="94"/>
        <v>SW</v>
      </c>
      <c r="O3084" s="1" t="s">
        <v>25</v>
      </c>
      <c r="P3084" s="3" t="s">
        <v>25</v>
      </c>
      <c r="Q3084" s="37">
        <v>0.12923319999999999</v>
      </c>
      <c r="R3084" t="str">
        <f t="shared" si="95"/>
        <v>mmol/mol</v>
      </c>
      <c r="S3084" s="13">
        <f t="shared" si="92"/>
        <v>-0.86205704611272305</v>
      </c>
    </row>
    <row r="3085" spans="1:19">
      <c r="A3085" s="18" t="s">
        <v>3504</v>
      </c>
      <c r="B3085" s="1" t="s">
        <v>3179</v>
      </c>
      <c r="C3085" s="1" t="s">
        <v>3510</v>
      </c>
      <c r="D3085" s="1" t="s">
        <v>3559</v>
      </c>
      <c r="E3085" s="1" t="s">
        <v>25</v>
      </c>
      <c r="F3085">
        <v>650</v>
      </c>
      <c r="G3085">
        <v>650</v>
      </c>
      <c r="H3085">
        <v>274.39999999999998</v>
      </c>
      <c r="I3085" s="1" t="s">
        <v>1528</v>
      </c>
      <c r="J3085" s="1" t="s">
        <v>3541</v>
      </c>
      <c r="K3085" s="1" t="s">
        <v>25</v>
      </c>
      <c r="L3085">
        <v>-0.84121502953897498</v>
      </c>
      <c r="M3085" t="str">
        <f t="shared" si="93"/>
        <v>44/40</v>
      </c>
      <c r="N3085" t="str">
        <f t="shared" si="94"/>
        <v>SW</v>
      </c>
      <c r="O3085" s="1" t="s">
        <v>25</v>
      </c>
      <c r="P3085" s="3" t="s">
        <v>25</v>
      </c>
      <c r="Q3085" s="37">
        <v>0.2031394</v>
      </c>
      <c r="R3085" t="str">
        <f t="shared" si="95"/>
        <v>mmol/mol</v>
      </c>
      <c r="S3085" s="13">
        <f t="shared" si="92"/>
        <v>-0.84121502953897498</v>
      </c>
    </row>
    <row r="3086" spans="1:19">
      <c r="A3086" s="18" t="s">
        <v>3504</v>
      </c>
      <c r="B3086" s="1" t="s">
        <v>3180</v>
      </c>
      <c r="C3086" s="1" t="s">
        <v>3510</v>
      </c>
      <c r="D3086" s="1" t="s">
        <v>3559</v>
      </c>
      <c r="E3086" s="1" t="s">
        <v>25</v>
      </c>
      <c r="F3086">
        <v>650</v>
      </c>
      <c r="G3086">
        <v>650</v>
      </c>
      <c r="H3086">
        <v>276.5</v>
      </c>
      <c r="I3086" s="1" t="s">
        <v>1528</v>
      </c>
      <c r="J3086" s="1" t="s">
        <v>3541</v>
      </c>
      <c r="K3086" s="1" t="s">
        <v>25</v>
      </c>
      <c r="L3086">
        <v>-0.79009405809313704</v>
      </c>
      <c r="M3086" t="str">
        <f t="shared" si="93"/>
        <v>44/40</v>
      </c>
      <c r="N3086" t="str">
        <f t="shared" si="94"/>
        <v>SW</v>
      </c>
      <c r="O3086" s="1" t="s">
        <v>25</v>
      </c>
      <c r="P3086" s="3" t="s">
        <v>25</v>
      </c>
      <c r="Q3086" s="37">
        <v>0.1607151</v>
      </c>
      <c r="R3086" t="str">
        <f t="shared" si="95"/>
        <v>mmol/mol</v>
      </c>
      <c r="S3086" s="13">
        <f t="shared" si="92"/>
        <v>-0.79009405809313704</v>
      </c>
    </row>
    <row r="3087" spans="1:19">
      <c r="A3087" s="18" t="s">
        <v>3504</v>
      </c>
      <c r="B3087" s="1" t="s">
        <v>3181</v>
      </c>
      <c r="C3087" s="1" t="s">
        <v>3510</v>
      </c>
      <c r="D3087" s="1" t="s">
        <v>3559</v>
      </c>
      <c r="E3087" s="1" t="s">
        <v>25</v>
      </c>
      <c r="F3087">
        <v>650</v>
      </c>
      <c r="G3087">
        <v>650</v>
      </c>
      <c r="H3087">
        <v>277.3</v>
      </c>
      <c r="I3087" s="1" t="s">
        <v>1528</v>
      </c>
      <c r="J3087" s="1" t="s">
        <v>3541</v>
      </c>
      <c r="K3087" s="1" t="s">
        <v>25</v>
      </c>
      <c r="L3087">
        <v>-0.81398145926131105</v>
      </c>
      <c r="M3087" t="str">
        <f t="shared" si="93"/>
        <v>44/40</v>
      </c>
      <c r="N3087" t="str">
        <f t="shared" si="94"/>
        <v>SW</v>
      </c>
      <c r="O3087" s="1" t="s">
        <v>25</v>
      </c>
      <c r="P3087" s="3" t="s">
        <v>25</v>
      </c>
      <c r="Q3087" s="37">
        <v>0.1830676</v>
      </c>
      <c r="R3087" t="str">
        <f t="shared" si="95"/>
        <v>mmol/mol</v>
      </c>
      <c r="S3087" s="13">
        <f t="shared" si="92"/>
        <v>-0.81398145926131105</v>
      </c>
    </row>
    <row r="3088" spans="1:19">
      <c r="A3088" s="18" t="s">
        <v>3504</v>
      </c>
      <c r="B3088" s="1" t="s">
        <v>3182</v>
      </c>
      <c r="C3088" s="1" t="s">
        <v>3510</v>
      </c>
      <c r="D3088" s="1" t="s">
        <v>3559</v>
      </c>
      <c r="E3088" s="1" t="s">
        <v>25</v>
      </c>
      <c r="F3088">
        <v>650</v>
      </c>
      <c r="G3088">
        <v>650</v>
      </c>
      <c r="H3088">
        <v>292.8</v>
      </c>
      <c r="I3088" s="1" t="s">
        <v>1528</v>
      </c>
      <c r="J3088" s="1" t="s">
        <v>3541</v>
      </c>
      <c r="K3088" s="1" t="s">
        <v>25</v>
      </c>
      <c r="L3088">
        <v>-0.904550133424739</v>
      </c>
      <c r="M3088" t="str">
        <f t="shared" si="93"/>
        <v>44/40</v>
      </c>
      <c r="N3088" t="str">
        <f t="shared" si="94"/>
        <v>SW</v>
      </c>
      <c r="O3088" s="1" t="s">
        <v>25</v>
      </c>
      <c r="P3088" s="3" t="s">
        <v>25</v>
      </c>
      <c r="Q3088" s="37">
        <v>0.20545679999999999</v>
      </c>
      <c r="R3088" t="str">
        <f t="shared" si="95"/>
        <v>mmol/mol</v>
      </c>
      <c r="S3088" s="13">
        <f t="shared" si="92"/>
        <v>-0.904550133424739</v>
      </c>
    </row>
    <row r="3089" spans="1:19">
      <c r="A3089" s="18" t="s">
        <v>3504</v>
      </c>
      <c r="B3089" s="1" t="s">
        <v>3183</v>
      </c>
      <c r="C3089" s="1" t="s">
        <v>3510</v>
      </c>
      <c r="D3089" s="1" t="s">
        <v>3559</v>
      </c>
      <c r="E3089" s="1" t="s">
        <v>25</v>
      </c>
      <c r="F3089">
        <v>650</v>
      </c>
      <c r="G3089">
        <v>650</v>
      </c>
      <c r="H3089">
        <v>295.39999999999998</v>
      </c>
      <c r="I3089" s="1" t="s">
        <v>1528</v>
      </c>
      <c r="J3089" s="1" t="s">
        <v>3541</v>
      </c>
      <c r="K3089" s="1" t="s">
        <v>25</v>
      </c>
      <c r="L3089">
        <v>-1.1316909379789499</v>
      </c>
      <c r="M3089" t="str">
        <f t="shared" si="93"/>
        <v>44/40</v>
      </c>
      <c r="N3089" t="str">
        <f t="shared" si="94"/>
        <v>SW</v>
      </c>
      <c r="O3089" s="1" t="s">
        <v>25</v>
      </c>
      <c r="P3089" s="3" t="s">
        <v>25</v>
      </c>
      <c r="Q3089" s="37" t="s">
        <v>25</v>
      </c>
      <c r="R3089" t="str">
        <f t="shared" si="95"/>
        <v>Na</v>
      </c>
      <c r="S3089" s="13">
        <f t="shared" si="92"/>
        <v>-1.1316909379789499</v>
      </c>
    </row>
    <row r="3090" spans="1:19">
      <c r="A3090" s="18" t="s">
        <v>3504</v>
      </c>
      <c r="B3090" s="1" t="s">
        <v>3184</v>
      </c>
      <c r="C3090" s="1" t="s">
        <v>3510</v>
      </c>
      <c r="D3090" s="1" t="s">
        <v>3559</v>
      </c>
      <c r="E3090" s="1" t="s">
        <v>25</v>
      </c>
      <c r="F3090">
        <v>650</v>
      </c>
      <c r="G3090">
        <v>650</v>
      </c>
      <c r="H3090">
        <v>295.8</v>
      </c>
      <c r="I3090" s="1" t="s">
        <v>1528</v>
      </c>
      <c r="J3090" s="1" t="s">
        <v>3541</v>
      </c>
      <c r="K3090" s="1" t="s">
        <v>25</v>
      </c>
      <c r="L3090">
        <v>-0.80796339918191995</v>
      </c>
      <c r="M3090" t="str">
        <f t="shared" si="93"/>
        <v>44/40</v>
      </c>
      <c r="N3090" t="str">
        <f t="shared" si="94"/>
        <v>SW</v>
      </c>
      <c r="O3090" s="1" t="s">
        <v>25</v>
      </c>
      <c r="P3090" s="3" t="s">
        <v>25</v>
      </c>
      <c r="Q3090" s="37">
        <v>0.13518289999999999</v>
      </c>
      <c r="R3090" t="str">
        <f t="shared" si="95"/>
        <v>mmol/mol</v>
      </c>
      <c r="S3090" s="13">
        <f t="shared" si="92"/>
        <v>-0.80796339918191995</v>
      </c>
    </row>
    <row r="3091" spans="1:19">
      <c r="A3091" s="18" t="s">
        <v>3504</v>
      </c>
      <c r="B3091" s="1" t="s">
        <v>3185</v>
      </c>
      <c r="C3091" s="1" t="s">
        <v>3510</v>
      </c>
      <c r="D3091" s="1" t="s">
        <v>3559</v>
      </c>
      <c r="E3091" s="1" t="s">
        <v>25</v>
      </c>
      <c r="F3091">
        <v>650</v>
      </c>
      <c r="G3091">
        <v>650</v>
      </c>
      <c r="H3091">
        <v>297.5</v>
      </c>
      <c r="I3091" s="1" t="s">
        <v>1528</v>
      </c>
      <c r="J3091" s="1" t="s">
        <v>3543</v>
      </c>
      <c r="K3091" s="1" t="s">
        <v>25</v>
      </c>
      <c r="L3091">
        <v>-1.12037943374264</v>
      </c>
      <c r="M3091" t="str">
        <f t="shared" si="93"/>
        <v>44/40</v>
      </c>
      <c r="N3091" t="str">
        <f t="shared" si="94"/>
        <v>SW</v>
      </c>
      <c r="O3091" s="1" t="s">
        <v>25</v>
      </c>
      <c r="P3091" s="3" t="s">
        <v>25</v>
      </c>
      <c r="Q3091" s="37">
        <v>0.13300680000000001</v>
      </c>
      <c r="R3091" t="str">
        <f t="shared" si="95"/>
        <v>mmol/mol</v>
      </c>
      <c r="S3091" s="13">
        <f t="shared" si="92"/>
        <v>-1.12037943374264</v>
      </c>
    </row>
    <row r="3092" spans="1:19">
      <c r="A3092" s="18" t="s">
        <v>3504</v>
      </c>
      <c r="B3092" s="1" t="s">
        <v>3186</v>
      </c>
      <c r="C3092" s="1" t="s">
        <v>3510</v>
      </c>
      <c r="D3092" s="1" t="s">
        <v>3559</v>
      </c>
      <c r="E3092" s="1" t="s">
        <v>25</v>
      </c>
      <c r="F3092">
        <v>650</v>
      </c>
      <c r="G3092">
        <v>650</v>
      </c>
      <c r="H3092">
        <v>298</v>
      </c>
      <c r="I3092" s="1" t="s">
        <v>1528</v>
      </c>
      <c r="J3092" s="1" t="s">
        <v>3543</v>
      </c>
      <c r="K3092" s="1" t="s">
        <v>25</v>
      </c>
      <c r="L3092">
        <v>-0.95444639117420305</v>
      </c>
      <c r="M3092" t="str">
        <f t="shared" si="93"/>
        <v>44/40</v>
      </c>
      <c r="N3092" t="str">
        <f t="shared" si="94"/>
        <v>SW</v>
      </c>
      <c r="O3092" s="1" t="s">
        <v>25</v>
      </c>
      <c r="P3092" s="3" t="s">
        <v>25</v>
      </c>
      <c r="Q3092" s="37">
        <v>0.17289270000000001</v>
      </c>
      <c r="R3092" t="str">
        <f t="shared" si="95"/>
        <v>mmol/mol</v>
      </c>
      <c r="S3092" s="13">
        <f t="shared" si="92"/>
        <v>-0.95444639117420305</v>
      </c>
    </row>
    <row r="3093" spans="1:19">
      <c r="A3093" s="18" t="s">
        <v>3504</v>
      </c>
      <c r="B3093" s="1" t="s">
        <v>3187</v>
      </c>
      <c r="C3093" s="1" t="s">
        <v>3510</v>
      </c>
      <c r="D3093" s="1" t="s">
        <v>3559</v>
      </c>
      <c r="E3093" s="1" t="s">
        <v>25</v>
      </c>
      <c r="F3093">
        <v>650</v>
      </c>
      <c r="G3093">
        <v>650</v>
      </c>
      <c r="H3093">
        <v>328</v>
      </c>
      <c r="I3093" s="1" t="s">
        <v>1528</v>
      </c>
      <c r="J3093" s="1" t="s">
        <v>3541</v>
      </c>
      <c r="K3093" s="1" t="s">
        <v>25</v>
      </c>
      <c r="L3093">
        <v>-1.17438361061005</v>
      </c>
      <c r="M3093" t="str">
        <f t="shared" si="93"/>
        <v>44/40</v>
      </c>
      <c r="N3093" t="str">
        <f t="shared" si="94"/>
        <v>SW</v>
      </c>
      <c r="O3093" s="1" t="s">
        <v>25</v>
      </c>
      <c r="P3093" s="3" t="s">
        <v>25</v>
      </c>
      <c r="Q3093" s="37">
        <v>0.54246609999999995</v>
      </c>
      <c r="R3093" t="str">
        <f t="shared" si="95"/>
        <v>mmol/mol</v>
      </c>
      <c r="S3093" s="13">
        <f t="shared" si="92"/>
        <v>-1.17438361061005</v>
      </c>
    </row>
    <row r="3094" spans="1:19">
      <c r="A3094" s="18" t="s">
        <v>3504</v>
      </c>
      <c r="B3094" s="1" t="s">
        <v>3188</v>
      </c>
      <c r="C3094" s="1" t="s">
        <v>3510</v>
      </c>
      <c r="D3094" s="1" t="s">
        <v>3559</v>
      </c>
      <c r="E3094" s="1" t="s">
        <v>25</v>
      </c>
      <c r="F3094">
        <v>650</v>
      </c>
      <c r="G3094">
        <v>650</v>
      </c>
      <c r="H3094">
        <v>331</v>
      </c>
      <c r="I3094" s="1" t="s">
        <v>1528</v>
      </c>
      <c r="J3094" s="1" t="s">
        <v>3548</v>
      </c>
      <c r="K3094" s="1" t="s">
        <v>25</v>
      </c>
      <c r="L3094">
        <v>-0.60436271488017801</v>
      </c>
      <c r="M3094" t="str">
        <f t="shared" si="93"/>
        <v>44/40</v>
      </c>
      <c r="N3094" t="str">
        <f t="shared" si="94"/>
        <v>SW</v>
      </c>
      <c r="O3094" s="1" t="s">
        <v>25</v>
      </c>
      <c r="P3094" s="3" t="s">
        <v>25</v>
      </c>
      <c r="Q3094" s="37">
        <v>0.18973509999999999</v>
      </c>
      <c r="R3094" t="str">
        <f t="shared" si="95"/>
        <v>mmol/mol</v>
      </c>
      <c r="S3094" s="13">
        <f t="shared" si="92"/>
        <v>-0.60436271488017801</v>
      </c>
    </row>
    <row r="3095" spans="1:19">
      <c r="A3095" s="18" t="s">
        <v>3504</v>
      </c>
      <c r="B3095" s="1" t="s">
        <v>3189</v>
      </c>
      <c r="C3095" s="1" t="s">
        <v>3510</v>
      </c>
      <c r="D3095" s="1" t="s">
        <v>3559</v>
      </c>
      <c r="E3095" s="1" t="s">
        <v>25</v>
      </c>
      <c r="F3095">
        <v>650</v>
      </c>
      <c r="G3095">
        <v>650</v>
      </c>
      <c r="H3095">
        <v>332</v>
      </c>
      <c r="I3095" s="1" t="s">
        <v>1528</v>
      </c>
      <c r="J3095" s="1" t="s">
        <v>3548</v>
      </c>
      <c r="K3095" s="1" t="s">
        <v>25</v>
      </c>
      <c r="L3095">
        <v>-0.51499080270568698</v>
      </c>
      <c r="M3095" t="str">
        <f t="shared" si="93"/>
        <v>44/40</v>
      </c>
      <c r="N3095" t="str">
        <f t="shared" si="94"/>
        <v>SW</v>
      </c>
      <c r="O3095" s="1" t="s">
        <v>25</v>
      </c>
      <c r="P3095" s="3" t="s">
        <v>25</v>
      </c>
      <c r="Q3095" s="37">
        <v>0.35364299999999999</v>
      </c>
      <c r="R3095" t="str">
        <f t="shared" si="95"/>
        <v>mmol/mol</v>
      </c>
      <c r="S3095" s="13">
        <f t="shared" si="92"/>
        <v>-0.51499080270568698</v>
      </c>
    </row>
    <row r="3096" spans="1:19">
      <c r="A3096" s="18" t="s">
        <v>3504</v>
      </c>
      <c r="B3096" s="1" t="s">
        <v>3190</v>
      </c>
      <c r="C3096" s="1" t="s">
        <v>3510</v>
      </c>
      <c r="D3096" s="1" t="s">
        <v>3559</v>
      </c>
      <c r="E3096" s="1" t="s">
        <v>25</v>
      </c>
      <c r="F3096">
        <v>650</v>
      </c>
      <c r="G3096">
        <v>650</v>
      </c>
      <c r="H3096">
        <v>335.8</v>
      </c>
      <c r="I3096" s="1" t="s">
        <v>1528</v>
      </c>
      <c r="J3096" s="1" t="s">
        <v>3548</v>
      </c>
      <c r="K3096" s="1" t="s">
        <v>25</v>
      </c>
      <c r="L3096">
        <v>-1.4189182479654701</v>
      </c>
      <c r="M3096" t="str">
        <f t="shared" si="93"/>
        <v>44/40</v>
      </c>
      <c r="N3096" t="str">
        <f t="shared" si="94"/>
        <v>SW</v>
      </c>
      <c r="O3096" s="1" t="s">
        <v>25</v>
      </c>
      <c r="P3096" s="3" t="s">
        <v>25</v>
      </c>
      <c r="Q3096" s="37">
        <v>0.41418120000000003</v>
      </c>
      <c r="R3096" t="str">
        <f t="shared" si="95"/>
        <v>mmol/mol</v>
      </c>
      <c r="S3096" s="13">
        <f t="shared" si="92"/>
        <v>-1.4189182479654701</v>
      </c>
    </row>
    <row r="3097" spans="1:19">
      <c r="A3097" s="18" t="s">
        <v>3504</v>
      </c>
      <c r="B3097" s="1" t="s">
        <v>3191</v>
      </c>
      <c r="C3097" s="1" t="s">
        <v>3510</v>
      </c>
      <c r="D3097" s="1" t="s">
        <v>3559</v>
      </c>
      <c r="E3097" s="1" t="s">
        <v>25</v>
      </c>
      <c r="F3097">
        <v>650</v>
      </c>
      <c r="G3097">
        <v>650</v>
      </c>
      <c r="H3097">
        <v>336.1</v>
      </c>
      <c r="I3097" s="1" t="s">
        <v>1528</v>
      </c>
      <c r="J3097" s="1" t="s">
        <v>3548</v>
      </c>
      <c r="K3097" s="1" t="s">
        <v>25</v>
      </c>
      <c r="L3097">
        <v>-1.5409108237298099</v>
      </c>
      <c r="M3097" t="str">
        <f t="shared" si="93"/>
        <v>44/40</v>
      </c>
      <c r="N3097" t="str">
        <f t="shared" si="94"/>
        <v>SW</v>
      </c>
      <c r="O3097" s="1" t="s">
        <v>25</v>
      </c>
      <c r="P3097" s="3" t="s">
        <v>25</v>
      </c>
      <c r="Q3097" s="37">
        <v>0.8135732</v>
      </c>
      <c r="R3097" t="str">
        <f t="shared" si="95"/>
        <v>mmol/mol</v>
      </c>
      <c r="S3097" s="13">
        <f t="shared" si="92"/>
        <v>-1.5409108237298099</v>
      </c>
    </row>
    <row r="3098" spans="1:19">
      <c r="A3098" s="18" t="s">
        <v>3504</v>
      </c>
      <c r="B3098" s="1" t="s">
        <v>3192</v>
      </c>
      <c r="C3098" s="1" t="s">
        <v>3510</v>
      </c>
      <c r="D3098" s="1" t="s">
        <v>3559</v>
      </c>
      <c r="E3098" s="1" t="s">
        <v>25</v>
      </c>
      <c r="F3098">
        <v>650</v>
      </c>
      <c r="G3098">
        <v>650</v>
      </c>
      <c r="H3098">
        <v>337.7</v>
      </c>
      <c r="I3098" s="1" t="s">
        <v>1528</v>
      </c>
      <c r="J3098" s="1" t="s">
        <v>3548</v>
      </c>
      <c r="K3098" s="1" t="s">
        <v>25</v>
      </c>
      <c r="L3098">
        <v>-1.56966062167855</v>
      </c>
      <c r="M3098" t="str">
        <f t="shared" si="93"/>
        <v>44/40</v>
      </c>
      <c r="N3098" t="str">
        <f t="shared" si="94"/>
        <v>SW</v>
      </c>
      <c r="O3098" s="1" t="s">
        <v>25</v>
      </c>
      <c r="P3098" s="3" t="s">
        <v>25</v>
      </c>
      <c r="Q3098" s="37">
        <v>1.0198468000000001</v>
      </c>
      <c r="R3098" t="str">
        <f t="shared" si="95"/>
        <v>mmol/mol</v>
      </c>
      <c r="S3098" s="13">
        <f t="shared" si="92"/>
        <v>-1.56966062167855</v>
      </c>
    </row>
    <row r="3099" spans="1:19">
      <c r="A3099" s="18" t="s">
        <v>3504</v>
      </c>
      <c r="B3099" s="1" t="s">
        <v>3193</v>
      </c>
      <c r="C3099" s="1" t="s">
        <v>3510</v>
      </c>
      <c r="D3099" s="1" t="s">
        <v>3559</v>
      </c>
      <c r="E3099" s="1" t="s">
        <v>25</v>
      </c>
      <c r="F3099">
        <v>650</v>
      </c>
      <c r="G3099">
        <v>650</v>
      </c>
      <c r="H3099">
        <v>338.9</v>
      </c>
      <c r="I3099" s="1" t="s">
        <v>1528</v>
      </c>
      <c r="J3099" s="1" t="s">
        <v>3548</v>
      </c>
      <c r="K3099" s="1" t="s">
        <v>25</v>
      </c>
      <c r="L3099">
        <v>-1.61751669877085</v>
      </c>
      <c r="M3099" t="str">
        <f t="shared" si="93"/>
        <v>44/40</v>
      </c>
      <c r="N3099" t="str">
        <f t="shared" si="94"/>
        <v>SW</v>
      </c>
      <c r="O3099" s="1" t="s">
        <v>25</v>
      </c>
      <c r="P3099" s="3" t="s">
        <v>25</v>
      </c>
      <c r="Q3099" s="37">
        <v>1.2240200999999999</v>
      </c>
      <c r="R3099" t="str">
        <f t="shared" si="95"/>
        <v>mmol/mol</v>
      </c>
      <c r="S3099" s="13">
        <f t="shared" si="92"/>
        <v>-1.61751669877085</v>
      </c>
    </row>
    <row r="3100" spans="1:19">
      <c r="A3100" s="18" t="s">
        <v>3504</v>
      </c>
      <c r="B3100" s="1" t="s">
        <v>3194</v>
      </c>
      <c r="C3100" s="1" t="s">
        <v>3510</v>
      </c>
      <c r="D3100" s="1" t="s">
        <v>3559</v>
      </c>
      <c r="E3100" s="1" t="s">
        <v>25</v>
      </c>
      <c r="F3100">
        <v>650</v>
      </c>
      <c r="G3100">
        <v>650</v>
      </c>
      <c r="H3100">
        <v>340</v>
      </c>
      <c r="I3100" s="1" t="s">
        <v>1528</v>
      </c>
      <c r="J3100" s="1" t="s">
        <v>3548</v>
      </c>
      <c r="K3100" s="1" t="s">
        <v>25</v>
      </c>
      <c r="L3100">
        <v>-1.5575948881906401</v>
      </c>
      <c r="M3100" t="str">
        <f t="shared" si="93"/>
        <v>44/40</v>
      </c>
      <c r="N3100" t="str">
        <f t="shared" si="94"/>
        <v>SW</v>
      </c>
      <c r="O3100" s="1" t="s">
        <v>25</v>
      </c>
      <c r="P3100" s="3" t="s">
        <v>25</v>
      </c>
      <c r="Q3100" s="37">
        <v>0.62118819999999997</v>
      </c>
      <c r="R3100" t="str">
        <f t="shared" si="95"/>
        <v>mmol/mol</v>
      </c>
      <c r="S3100" s="13">
        <f t="shared" si="92"/>
        <v>-1.5575948881906401</v>
      </c>
    </row>
    <row r="3101" spans="1:19">
      <c r="A3101" s="18" t="s">
        <v>3504</v>
      </c>
      <c r="B3101" s="1" t="s">
        <v>3195</v>
      </c>
      <c r="C3101" s="1" t="s">
        <v>3510</v>
      </c>
      <c r="D3101" s="1" t="s">
        <v>3559</v>
      </c>
      <c r="E3101" s="1" t="s">
        <v>25</v>
      </c>
      <c r="F3101">
        <v>650</v>
      </c>
      <c r="G3101">
        <v>650</v>
      </c>
      <c r="H3101">
        <v>341.5</v>
      </c>
      <c r="I3101" s="1" t="s">
        <v>1528</v>
      </c>
      <c r="J3101" s="1" t="s">
        <v>3548</v>
      </c>
      <c r="K3101" s="1" t="s">
        <v>25</v>
      </c>
      <c r="L3101">
        <v>-1.5924039532616401</v>
      </c>
      <c r="M3101" t="str">
        <f t="shared" si="93"/>
        <v>44/40</v>
      </c>
      <c r="N3101" t="str">
        <f t="shared" si="94"/>
        <v>SW</v>
      </c>
      <c r="O3101" s="1" t="s">
        <v>25</v>
      </c>
      <c r="P3101" s="3" t="s">
        <v>25</v>
      </c>
      <c r="Q3101" s="37">
        <v>1.2897204</v>
      </c>
      <c r="R3101" t="str">
        <f t="shared" si="95"/>
        <v>mmol/mol</v>
      </c>
      <c r="S3101" s="13">
        <f t="shared" si="92"/>
        <v>-1.5924039532616401</v>
      </c>
    </row>
    <row r="3102" spans="1:19">
      <c r="A3102" s="18" t="s">
        <v>3504</v>
      </c>
      <c r="B3102" s="1" t="s">
        <v>3196</v>
      </c>
      <c r="C3102" s="1" t="s">
        <v>3510</v>
      </c>
      <c r="D3102" s="1" t="s">
        <v>3559</v>
      </c>
      <c r="E3102" s="1" t="s">
        <v>25</v>
      </c>
      <c r="F3102">
        <v>650</v>
      </c>
      <c r="G3102">
        <v>650</v>
      </c>
      <c r="H3102">
        <v>343.6</v>
      </c>
      <c r="I3102" s="1" t="s">
        <v>1528</v>
      </c>
      <c r="J3102" s="1" t="s">
        <v>3548</v>
      </c>
      <c r="K3102" s="1" t="s">
        <v>25</v>
      </c>
      <c r="L3102">
        <v>-1.5544181975890701</v>
      </c>
      <c r="M3102" t="str">
        <f t="shared" si="93"/>
        <v>44/40</v>
      </c>
      <c r="N3102" t="str">
        <f t="shared" si="94"/>
        <v>SW</v>
      </c>
      <c r="O3102" s="1" t="s">
        <v>25</v>
      </c>
      <c r="P3102" s="3" t="s">
        <v>25</v>
      </c>
      <c r="Q3102" s="37">
        <v>0.68867780000000001</v>
      </c>
      <c r="R3102" t="str">
        <f t="shared" si="95"/>
        <v>mmol/mol</v>
      </c>
      <c r="S3102" s="13">
        <f t="shared" si="92"/>
        <v>-1.5544181975890701</v>
      </c>
    </row>
    <row r="3103" spans="1:19">
      <c r="A3103" s="18" t="s">
        <v>3504</v>
      </c>
      <c r="B3103" s="1" t="s">
        <v>3197</v>
      </c>
      <c r="C3103" s="1" t="s">
        <v>3510</v>
      </c>
      <c r="D3103" s="1" t="s">
        <v>3559</v>
      </c>
      <c r="E3103" s="1" t="s">
        <v>25</v>
      </c>
      <c r="F3103">
        <v>650</v>
      </c>
      <c r="G3103">
        <v>650</v>
      </c>
      <c r="H3103">
        <v>344.2</v>
      </c>
      <c r="I3103" s="1" t="s">
        <v>1528</v>
      </c>
      <c r="J3103" s="1" t="s">
        <v>3548</v>
      </c>
      <c r="K3103" s="1" t="s">
        <v>25</v>
      </c>
      <c r="L3103">
        <v>-1.3829198251639401</v>
      </c>
      <c r="M3103" t="str">
        <f t="shared" si="93"/>
        <v>44/40</v>
      </c>
      <c r="N3103" t="str">
        <f t="shared" si="94"/>
        <v>SW</v>
      </c>
      <c r="O3103" s="1" t="s">
        <v>25</v>
      </c>
      <c r="P3103" s="3" t="s">
        <v>25</v>
      </c>
      <c r="Q3103" s="37">
        <v>0.50350760000000006</v>
      </c>
      <c r="R3103" t="str">
        <f t="shared" si="95"/>
        <v>mmol/mol</v>
      </c>
      <c r="S3103" s="13">
        <f t="shared" si="92"/>
        <v>-1.3829198251639401</v>
      </c>
    </row>
    <row r="3104" spans="1:19">
      <c r="A3104" s="18" t="s">
        <v>3504</v>
      </c>
      <c r="B3104" s="1" t="s">
        <v>3198</v>
      </c>
      <c r="C3104" s="1" t="s">
        <v>3510</v>
      </c>
      <c r="D3104" s="1" t="s">
        <v>3559</v>
      </c>
      <c r="E3104" s="1" t="s">
        <v>25</v>
      </c>
      <c r="F3104">
        <v>650</v>
      </c>
      <c r="G3104">
        <v>650</v>
      </c>
      <c r="H3104">
        <v>345.6</v>
      </c>
      <c r="I3104" s="1" t="s">
        <v>1528</v>
      </c>
      <c r="J3104" s="1" t="s">
        <v>3548</v>
      </c>
      <c r="K3104" s="1" t="s">
        <v>25</v>
      </c>
      <c r="L3104">
        <v>-1.46173077317949</v>
      </c>
      <c r="M3104" t="str">
        <f t="shared" si="93"/>
        <v>44/40</v>
      </c>
      <c r="N3104" t="str">
        <f t="shared" si="94"/>
        <v>SW</v>
      </c>
      <c r="O3104" s="1" t="s">
        <v>25</v>
      </c>
      <c r="P3104" s="3" t="s">
        <v>25</v>
      </c>
      <c r="Q3104" s="37">
        <v>1.3888526999999999</v>
      </c>
      <c r="R3104" t="str">
        <f t="shared" si="95"/>
        <v>mmol/mol</v>
      </c>
      <c r="S3104" s="13">
        <f t="shared" si="92"/>
        <v>-1.46173077317949</v>
      </c>
    </row>
    <row r="3105" spans="1:19">
      <c r="A3105" s="18" t="s">
        <v>3504</v>
      </c>
      <c r="B3105" s="1" t="s">
        <v>3199</v>
      </c>
      <c r="C3105" s="1" t="s">
        <v>3510</v>
      </c>
      <c r="D3105" s="1" t="s">
        <v>3559</v>
      </c>
      <c r="E3105" s="1" t="s">
        <v>25</v>
      </c>
      <c r="F3105">
        <v>650</v>
      </c>
      <c r="G3105">
        <v>650</v>
      </c>
      <c r="H3105">
        <v>346.6</v>
      </c>
      <c r="I3105" s="1" t="s">
        <v>1528</v>
      </c>
      <c r="J3105" s="1" t="s">
        <v>3548</v>
      </c>
      <c r="K3105" s="1" t="s">
        <v>25</v>
      </c>
      <c r="L3105">
        <v>-1.56101346500398</v>
      </c>
      <c r="M3105" t="str">
        <f t="shared" si="93"/>
        <v>44/40</v>
      </c>
      <c r="N3105" t="str">
        <f t="shared" si="94"/>
        <v>SW</v>
      </c>
      <c r="O3105" s="1" t="s">
        <v>25</v>
      </c>
      <c r="P3105" s="3" t="s">
        <v>25</v>
      </c>
      <c r="Q3105" s="37">
        <v>1.6870902999999999</v>
      </c>
      <c r="R3105" t="str">
        <f t="shared" si="95"/>
        <v>mmol/mol</v>
      </c>
      <c r="S3105" s="13">
        <f t="shared" si="92"/>
        <v>-1.56101346500398</v>
      </c>
    </row>
    <row r="3106" spans="1:19">
      <c r="A3106" s="18" t="s">
        <v>3504</v>
      </c>
      <c r="B3106" s="1" t="s">
        <v>3200</v>
      </c>
      <c r="C3106" s="1" t="s">
        <v>3510</v>
      </c>
      <c r="D3106" s="1" t="s">
        <v>3559</v>
      </c>
      <c r="E3106" s="1" t="s">
        <v>25</v>
      </c>
      <c r="F3106">
        <v>650</v>
      </c>
      <c r="G3106">
        <v>650</v>
      </c>
      <c r="H3106">
        <v>348.7</v>
      </c>
      <c r="I3106" s="1" t="s">
        <v>1528</v>
      </c>
      <c r="J3106" s="1" t="s">
        <v>3538</v>
      </c>
      <c r="K3106" s="1" t="s">
        <v>25</v>
      </c>
      <c r="L3106">
        <v>-1.06603643265038</v>
      </c>
      <c r="M3106" t="str">
        <f t="shared" si="93"/>
        <v>44/40</v>
      </c>
      <c r="N3106" t="str">
        <f t="shared" si="94"/>
        <v>SW</v>
      </c>
      <c r="O3106" s="1" t="s">
        <v>25</v>
      </c>
      <c r="P3106" s="3" t="s">
        <v>25</v>
      </c>
      <c r="Q3106" s="37">
        <v>0.1209765</v>
      </c>
      <c r="R3106" t="str">
        <f t="shared" si="95"/>
        <v>mmol/mol</v>
      </c>
      <c r="S3106" s="13">
        <f t="shared" si="92"/>
        <v>-1.06603643265038</v>
      </c>
    </row>
    <row r="3107" spans="1:19">
      <c r="A3107" s="18" t="s">
        <v>3504</v>
      </c>
      <c r="B3107" s="1" t="s">
        <v>3201</v>
      </c>
      <c r="C3107" s="1" t="s">
        <v>3510</v>
      </c>
      <c r="D3107" s="1" t="s">
        <v>3559</v>
      </c>
      <c r="E3107" s="1" t="s">
        <v>25</v>
      </c>
      <c r="F3107">
        <v>650</v>
      </c>
      <c r="G3107">
        <v>650</v>
      </c>
      <c r="H3107">
        <v>351.6</v>
      </c>
      <c r="I3107" s="1" t="s">
        <v>1528</v>
      </c>
      <c r="J3107" s="1" t="s">
        <v>3541</v>
      </c>
      <c r="K3107" s="1" t="s">
        <v>25</v>
      </c>
      <c r="L3107">
        <v>-0.92086714127470704</v>
      </c>
      <c r="M3107" t="str">
        <f t="shared" si="93"/>
        <v>44/40</v>
      </c>
      <c r="N3107" t="str">
        <f t="shared" si="94"/>
        <v>SW</v>
      </c>
      <c r="O3107" s="1" t="s">
        <v>25</v>
      </c>
      <c r="P3107" s="3" t="s">
        <v>25</v>
      </c>
      <c r="Q3107" s="37">
        <v>0.11419940000000001</v>
      </c>
      <c r="R3107" t="str">
        <f t="shared" si="95"/>
        <v>mmol/mol</v>
      </c>
      <c r="S3107" s="13">
        <f t="shared" si="92"/>
        <v>-0.92086714127470704</v>
      </c>
    </row>
    <row r="3108" spans="1:19">
      <c r="A3108" s="18" t="s">
        <v>3504</v>
      </c>
      <c r="B3108" s="1" t="s">
        <v>3202</v>
      </c>
      <c r="C3108" s="1" t="s">
        <v>3510</v>
      </c>
      <c r="D3108" s="1" t="s">
        <v>3559</v>
      </c>
      <c r="E3108" s="1" t="s">
        <v>25</v>
      </c>
      <c r="F3108">
        <v>650</v>
      </c>
      <c r="G3108">
        <v>650</v>
      </c>
      <c r="H3108">
        <v>352.6</v>
      </c>
      <c r="I3108" s="1" t="s">
        <v>1528</v>
      </c>
      <c r="J3108" s="1" t="s">
        <v>3541</v>
      </c>
      <c r="K3108" s="1" t="s">
        <v>25</v>
      </c>
      <c r="L3108">
        <v>-0.93880389260533903</v>
      </c>
      <c r="M3108" t="str">
        <f t="shared" si="93"/>
        <v>44/40</v>
      </c>
      <c r="N3108" t="str">
        <f t="shared" si="94"/>
        <v>SW</v>
      </c>
      <c r="O3108" s="1" t="s">
        <v>25</v>
      </c>
      <c r="P3108" s="3" t="s">
        <v>25</v>
      </c>
      <c r="Q3108" s="37">
        <v>0.15913330000000001</v>
      </c>
      <c r="R3108" t="str">
        <f t="shared" si="95"/>
        <v>mmol/mol</v>
      </c>
      <c r="S3108" s="13">
        <f t="shared" si="92"/>
        <v>-0.93880389260533903</v>
      </c>
    </row>
    <row r="3109" spans="1:19">
      <c r="A3109" s="18" t="s">
        <v>3504</v>
      </c>
      <c r="B3109" s="1" t="s">
        <v>3203</v>
      </c>
      <c r="C3109" s="1" t="s">
        <v>3510</v>
      </c>
      <c r="D3109" s="1" t="s">
        <v>3559</v>
      </c>
      <c r="E3109" s="1" t="s">
        <v>25</v>
      </c>
      <c r="F3109">
        <v>650</v>
      </c>
      <c r="G3109">
        <v>650</v>
      </c>
      <c r="H3109">
        <v>353</v>
      </c>
      <c r="I3109" s="1" t="s">
        <v>1528</v>
      </c>
      <c r="J3109" s="1" t="s">
        <v>3541</v>
      </c>
      <c r="K3109" s="1" t="s">
        <v>25</v>
      </c>
      <c r="L3109">
        <v>-1.1395908844727001</v>
      </c>
      <c r="M3109" t="str">
        <f t="shared" si="93"/>
        <v>44/40</v>
      </c>
      <c r="N3109" t="str">
        <f t="shared" si="94"/>
        <v>SW</v>
      </c>
      <c r="O3109" s="1" t="s">
        <v>25</v>
      </c>
      <c r="P3109" s="3" t="s">
        <v>25</v>
      </c>
      <c r="Q3109" s="37">
        <v>0.1183873</v>
      </c>
      <c r="R3109" t="str">
        <f t="shared" si="95"/>
        <v>mmol/mol</v>
      </c>
      <c r="S3109" s="13">
        <f t="shared" si="92"/>
        <v>-1.1395908844727001</v>
      </c>
    </row>
    <row r="3110" spans="1:19">
      <c r="A3110" s="18" t="s">
        <v>3504</v>
      </c>
      <c r="B3110" s="1" t="s">
        <v>3204</v>
      </c>
      <c r="C3110" s="1" t="s">
        <v>3510</v>
      </c>
      <c r="D3110" s="1" t="s">
        <v>3559</v>
      </c>
      <c r="E3110" s="1" t="s">
        <v>25</v>
      </c>
      <c r="F3110">
        <v>650</v>
      </c>
      <c r="G3110">
        <v>650</v>
      </c>
      <c r="H3110">
        <v>358.7</v>
      </c>
      <c r="I3110" s="1" t="s">
        <v>1528</v>
      </c>
      <c r="J3110" s="1" t="s">
        <v>3547</v>
      </c>
      <c r="K3110" s="1" t="s">
        <v>25</v>
      </c>
      <c r="L3110" t="s">
        <v>25</v>
      </c>
      <c r="M3110" t="str">
        <f t="shared" si="93"/>
        <v>Na</v>
      </c>
      <c r="N3110" t="str">
        <f t="shared" si="94"/>
        <v>Na</v>
      </c>
      <c r="O3110" s="1" t="s">
        <v>25</v>
      </c>
      <c r="P3110" s="3" t="s">
        <v>25</v>
      </c>
      <c r="Q3110" s="37" t="s">
        <v>25</v>
      </c>
      <c r="R3110" t="str">
        <f t="shared" si="95"/>
        <v>Na</v>
      </c>
      <c r="S3110" s="13" t="s">
        <v>25</v>
      </c>
    </row>
    <row r="3111" spans="1:19">
      <c r="A3111" s="18" t="s">
        <v>3504</v>
      </c>
      <c r="B3111" s="1" t="s">
        <v>3205</v>
      </c>
      <c r="C3111" s="1" t="s">
        <v>3511</v>
      </c>
      <c r="D3111" s="1" t="s">
        <v>3559</v>
      </c>
      <c r="E3111" s="1" t="s">
        <v>25</v>
      </c>
      <c r="F3111">
        <v>650</v>
      </c>
      <c r="G3111">
        <v>650</v>
      </c>
      <c r="H3111">
        <v>113</v>
      </c>
      <c r="I3111" s="1" t="s">
        <v>1528</v>
      </c>
      <c r="J3111" s="1" t="s">
        <v>3549</v>
      </c>
      <c r="K3111" s="1" t="s">
        <v>25</v>
      </c>
      <c r="L3111">
        <v>-1.1259787009557101</v>
      </c>
      <c r="M3111" t="str">
        <f t="shared" si="93"/>
        <v>44/40</v>
      </c>
      <c r="N3111" t="str">
        <f t="shared" si="94"/>
        <v>SW</v>
      </c>
      <c r="O3111" s="1" t="s">
        <v>25</v>
      </c>
      <c r="P3111" s="3" t="s">
        <v>25</v>
      </c>
      <c r="Q3111" s="37">
        <v>0.66100449999999999</v>
      </c>
      <c r="R3111" t="str">
        <f t="shared" si="95"/>
        <v>mmol/mol</v>
      </c>
      <c r="S3111" s="13">
        <f t="shared" si="92"/>
        <v>-1.1259787009557101</v>
      </c>
    </row>
    <row r="3112" spans="1:19">
      <c r="A3112" s="18" t="s">
        <v>3504</v>
      </c>
      <c r="B3112" s="1" t="s">
        <v>3206</v>
      </c>
      <c r="C3112" s="1" t="s">
        <v>3511</v>
      </c>
      <c r="D3112" s="1" t="s">
        <v>3559</v>
      </c>
      <c r="E3112" s="1" t="s">
        <v>25</v>
      </c>
      <c r="F3112">
        <v>650</v>
      </c>
      <c r="G3112">
        <v>650</v>
      </c>
      <c r="H3112">
        <v>116</v>
      </c>
      <c r="I3112" s="1" t="s">
        <v>1528</v>
      </c>
      <c r="J3112" s="1" t="s">
        <v>3549</v>
      </c>
      <c r="K3112" s="1" t="s">
        <v>25</v>
      </c>
      <c r="L3112">
        <v>-1.3531456801391399</v>
      </c>
      <c r="M3112" t="str">
        <f t="shared" si="93"/>
        <v>44/40</v>
      </c>
      <c r="N3112" t="str">
        <f t="shared" si="94"/>
        <v>SW</v>
      </c>
      <c r="O3112" s="1" t="s">
        <v>25</v>
      </c>
      <c r="P3112" s="3" t="s">
        <v>25</v>
      </c>
      <c r="Q3112" s="37">
        <v>0.60662179999999999</v>
      </c>
      <c r="R3112" t="str">
        <f t="shared" si="95"/>
        <v>mmol/mol</v>
      </c>
      <c r="S3112" s="13">
        <f t="shared" si="92"/>
        <v>-1.3531456801391399</v>
      </c>
    </row>
    <row r="3113" spans="1:19">
      <c r="A3113" s="18" t="s">
        <v>3504</v>
      </c>
      <c r="B3113" s="1" t="s">
        <v>3207</v>
      </c>
      <c r="C3113" s="1" t="s">
        <v>3511</v>
      </c>
      <c r="D3113" s="1" t="s">
        <v>3559</v>
      </c>
      <c r="E3113" s="1" t="s">
        <v>25</v>
      </c>
      <c r="F3113">
        <v>650</v>
      </c>
      <c r="G3113">
        <v>650</v>
      </c>
      <c r="H3113">
        <v>117.5</v>
      </c>
      <c r="I3113" s="1" t="s">
        <v>1528</v>
      </c>
      <c r="J3113" s="1" t="s">
        <v>3549</v>
      </c>
      <c r="K3113" s="1" t="s">
        <v>25</v>
      </c>
      <c r="L3113">
        <v>-1.2609542224941701</v>
      </c>
      <c r="M3113" t="str">
        <f t="shared" si="93"/>
        <v>44/40</v>
      </c>
      <c r="N3113" t="str">
        <f t="shared" si="94"/>
        <v>SW</v>
      </c>
      <c r="O3113" s="1" t="s">
        <v>25</v>
      </c>
      <c r="P3113" s="3" t="s">
        <v>25</v>
      </c>
      <c r="Q3113" s="37">
        <v>0.90767580000000003</v>
      </c>
      <c r="R3113" t="str">
        <f t="shared" si="95"/>
        <v>mmol/mol</v>
      </c>
      <c r="S3113" s="13">
        <f t="shared" si="92"/>
        <v>-1.2609542224941701</v>
      </c>
    </row>
    <row r="3114" spans="1:19">
      <c r="A3114" s="18" t="s">
        <v>3504</v>
      </c>
      <c r="B3114" s="1" t="s">
        <v>3208</v>
      </c>
      <c r="C3114" s="1" t="s">
        <v>3511</v>
      </c>
      <c r="D3114" s="1" t="s">
        <v>3559</v>
      </c>
      <c r="E3114" s="1" t="s">
        <v>25</v>
      </c>
      <c r="F3114">
        <v>650</v>
      </c>
      <c r="G3114">
        <v>650</v>
      </c>
      <c r="H3114">
        <v>119.5</v>
      </c>
      <c r="I3114" s="1" t="s">
        <v>1528</v>
      </c>
      <c r="J3114" s="1" t="s">
        <v>3549</v>
      </c>
      <c r="K3114" s="1" t="s">
        <v>25</v>
      </c>
      <c r="L3114">
        <v>-1.1654336675660999</v>
      </c>
      <c r="M3114" t="str">
        <f t="shared" si="93"/>
        <v>44/40</v>
      </c>
      <c r="N3114" t="str">
        <f t="shared" si="94"/>
        <v>SW</v>
      </c>
      <c r="O3114" s="1" t="s">
        <v>25</v>
      </c>
      <c r="P3114" s="3" t="s">
        <v>25</v>
      </c>
      <c r="Q3114" s="37">
        <v>0.6840463</v>
      </c>
      <c r="R3114" t="str">
        <f t="shared" si="95"/>
        <v>mmol/mol</v>
      </c>
      <c r="S3114" s="13">
        <f t="shared" si="92"/>
        <v>-1.1654336675660999</v>
      </c>
    </row>
    <row r="3115" spans="1:19">
      <c r="A3115" s="18" t="s">
        <v>3504</v>
      </c>
      <c r="B3115" s="1" t="s">
        <v>3209</v>
      </c>
      <c r="C3115" s="1" t="s">
        <v>3511</v>
      </c>
      <c r="D3115" s="1" t="s">
        <v>3559</v>
      </c>
      <c r="E3115" s="1" t="s">
        <v>25</v>
      </c>
      <c r="F3115">
        <v>650</v>
      </c>
      <c r="G3115">
        <v>650</v>
      </c>
      <c r="H3115">
        <v>119.7</v>
      </c>
      <c r="I3115" s="1" t="s">
        <v>1528</v>
      </c>
      <c r="J3115" s="1" t="s">
        <v>3549</v>
      </c>
      <c r="K3115" s="1" t="s">
        <v>25</v>
      </c>
      <c r="L3115">
        <v>-1.4793158258619601</v>
      </c>
      <c r="M3115" t="str">
        <f t="shared" si="93"/>
        <v>44/40</v>
      </c>
      <c r="N3115" t="str">
        <f t="shared" si="94"/>
        <v>SW</v>
      </c>
      <c r="O3115" s="1" t="s">
        <v>25</v>
      </c>
      <c r="P3115" s="3" t="s">
        <v>25</v>
      </c>
      <c r="Q3115" s="37">
        <v>0.43569770000000002</v>
      </c>
      <c r="R3115" t="str">
        <f t="shared" si="95"/>
        <v>mmol/mol</v>
      </c>
      <c r="S3115" s="13">
        <f t="shared" si="92"/>
        <v>-1.4793158258619601</v>
      </c>
    </row>
    <row r="3116" spans="1:19">
      <c r="A3116" s="18" t="s">
        <v>3504</v>
      </c>
      <c r="B3116" s="1" t="s">
        <v>3210</v>
      </c>
      <c r="C3116" s="1" t="s">
        <v>3511</v>
      </c>
      <c r="D3116" s="1" t="s">
        <v>3559</v>
      </c>
      <c r="E3116" s="1" t="s">
        <v>25</v>
      </c>
      <c r="F3116">
        <v>650</v>
      </c>
      <c r="G3116">
        <v>650</v>
      </c>
      <c r="H3116">
        <v>120.3</v>
      </c>
      <c r="I3116" s="1" t="s">
        <v>1528</v>
      </c>
      <c r="J3116" s="1" t="s">
        <v>3550</v>
      </c>
      <c r="K3116" s="1" t="s">
        <v>25</v>
      </c>
      <c r="L3116">
        <v>-1.2522072123610499</v>
      </c>
      <c r="M3116" t="str">
        <f t="shared" si="93"/>
        <v>44/40</v>
      </c>
      <c r="N3116" t="str">
        <f t="shared" si="94"/>
        <v>SW</v>
      </c>
      <c r="O3116" s="1" t="s">
        <v>25</v>
      </c>
      <c r="P3116" s="3" t="s">
        <v>25</v>
      </c>
      <c r="Q3116" s="37">
        <v>0.49388680000000001</v>
      </c>
      <c r="R3116" t="str">
        <f t="shared" si="95"/>
        <v>mmol/mol</v>
      </c>
      <c r="S3116" s="13">
        <f t="shared" ref="S3116:S3179" si="96">IF(NOT(N3116="SW"),L3116-1.88,L3116)</f>
        <v>-1.2522072123610499</v>
      </c>
    </row>
    <row r="3117" spans="1:19">
      <c r="A3117" s="18" t="s">
        <v>3504</v>
      </c>
      <c r="B3117" s="1" t="s">
        <v>3211</v>
      </c>
      <c r="C3117" s="1" t="s">
        <v>3511</v>
      </c>
      <c r="D3117" s="1" t="s">
        <v>3559</v>
      </c>
      <c r="E3117" s="1" t="s">
        <v>25</v>
      </c>
      <c r="F3117">
        <v>650</v>
      </c>
      <c r="G3117">
        <v>650</v>
      </c>
      <c r="H3117">
        <v>121.4</v>
      </c>
      <c r="I3117" s="1" t="s">
        <v>1528</v>
      </c>
      <c r="J3117" s="1" t="s">
        <v>3550</v>
      </c>
      <c r="K3117" s="1" t="s">
        <v>25</v>
      </c>
      <c r="L3117">
        <v>-1.59081024806719</v>
      </c>
      <c r="M3117" t="str">
        <f t="shared" si="93"/>
        <v>44/40</v>
      </c>
      <c r="N3117" t="str">
        <f t="shared" si="94"/>
        <v>SW</v>
      </c>
      <c r="O3117" s="1" t="s">
        <v>25</v>
      </c>
      <c r="P3117" s="3" t="s">
        <v>25</v>
      </c>
      <c r="Q3117" s="37">
        <v>2.1217090999999999</v>
      </c>
      <c r="R3117" t="str">
        <f t="shared" si="95"/>
        <v>mmol/mol</v>
      </c>
      <c r="S3117" s="13">
        <f t="shared" si="96"/>
        <v>-1.59081024806719</v>
      </c>
    </row>
    <row r="3118" spans="1:19">
      <c r="A3118" s="18" t="s">
        <v>3504</v>
      </c>
      <c r="B3118" s="1" t="s">
        <v>3212</v>
      </c>
      <c r="C3118" s="1" t="s">
        <v>3511</v>
      </c>
      <c r="D3118" s="1" t="s">
        <v>3559</v>
      </c>
      <c r="E3118" s="1" t="s">
        <v>25</v>
      </c>
      <c r="F3118">
        <v>650</v>
      </c>
      <c r="G3118">
        <v>650</v>
      </c>
      <c r="H3118">
        <v>122.1</v>
      </c>
      <c r="I3118" s="1" t="s">
        <v>1528</v>
      </c>
      <c r="J3118" s="1" t="s">
        <v>3550</v>
      </c>
      <c r="K3118" s="1" t="s">
        <v>25</v>
      </c>
      <c r="L3118">
        <v>-1.56984668935447</v>
      </c>
      <c r="M3118" t="str">
        <f t="shared" si="93"/>
        <v>44/40</v>
      </c>
      <c r="N3118" t="str">
        <f t="shared" si="94"/>
        <v>SW</v>
      </c>
      <c r="O3118" s="1" t="s">
        <v>25</v>
      </c>
      <c r="P3118" s="3" t="s">
        <v>25</v>
      </c>
      <c r="Q3118" s="37">
        <v>1.7809862999999999</v>
      </c>
      <c r="R3118" t="str">
        <f t="shared" si="95"/>
        <v>mmol/mol</v>
      </c>
      <c r="S3118" s="13">
        <f t="shared" si="96"/>
        <v>-1.56984668935447</v>
      </c>
    </row>
    <row r="3119" spans="1:19">
      <c r="A3119" s="18" t="s">
        <v>3504</v>
      </c>
      <c r="B3119" s="1" t="s">
        <v>3213</v>
      </c>
      <c r="C3119" s="1" t="s">
        <v>3511</v>
      </c>
      <c r="D3119" s="1" t="s">
        <v>3559</v>
      </c>
      <c r="E3119" s="1" t="s">
        <v>25</v>
      </c>
      <c r="F3119">
        <v>650</v>
      </c>
      <c r="G3119">
        <v>650</v>
      </c>
      <c r="H3119">
        <v>122.8</v>
      </c>
      <c r="I3119" s="1" t="s">
        <v>1528</v>
      </c>
      <c r="J3119" s="1" t="s">
        <v>3550</v>
      </c>
      <c r="K3119" s="1" t="s">
        <v>25</v>
      </c>
      <c r="L3119">
        <v>-1.58567863697308</v>
      </c>
      <c r="M3119" t="str">
        <f t="shared" si="93"/>
        <v>44/40</v>
      </c>
      <c r="N3119" t="str">
        <f t="shared" si="94"/>
        <v>SW</v>
      </c>
      <c r="O3119" s="1" t="s">
        <v>25</v>
      </c>
      <c r="P3119" s="3" t="s">
        <v>25</v>
      </c>
      <c r="Q3119" s="37">
        <v>1.5945404000000001</v>
      </c>
      <c r="R3119" t="str">
        <f t="shared" si="95"/>
        <v>mmol/mol</v>
      </c>
      <c r="S3119" s="13">
        <f t="shared" si="96"/>
        <v>-1.58567863697308</v>
      </c>
    </row>
    <row r="3120" spans="1:19">
      <c r="A3120" s="18" t="s">
        <v>3504</v>
      </c>
      <c r="B3120" s="1" t="s">
        <v>3214</v>
      </c>
      <c r="C3120" s="1" t="s">
        <v>3511</v>
      </c>
      <c r="D3120" s="1" t="s">
        <v>3559</v>
      </c>
      <c r="E3120" s="1" t="s">
        <v>25</v>
      </c>
      <c r="F3120">
        <v>650</v>
      </c>
      <c r="G3120">
        <v>650</v>
      </c>
      <c r="H3120">
        <v>123.7</v>
      </c>
      <c r="I3120" s="1" t="s">
        <v>1528</v>
      </c>
      <c r="J3120" s="1" t="s">
        <v>3550</v>
      </c>
      <c r="K3120" s="1" t="s">
        <v>25</v>
      </c>
      <c r="L3120">
        <v>-1.6618830788208101</v>
      </c>
      <c r="M3120" t="str">
        <f t="shared" ref="M3120:M3183" si="97">IF(L3120="Na","Na","44/40")</f>
        <v>44/40</v>
      </c>
      <c r="N3120" t="str">
        <f t="shared" ref="N3120:N3183" si="98">IF(M3120="Na","Na","SW")</f>
        <v>SW</v>
      </c>
      <c r="O3120" s="1" t="s">
        <v>25</v>
      </c>
      <c r="P3120" s="3" t="s">
        <v>25</v>
      </c>
      <c r="Q3120" s="37">
        <v>1.5885427000000001</v>
      </c>
      <c r="R3120" t="str">
        <f t="shared" ref="R3120:R3183" si="99">IF(Q3120="Na","Na","mmol/mol")</f>
        <v>mmol/mol</v>
      </c>
      <c r="S3120" s="13">
        <f t="shared" si="96"/>
        <v>-1.6618830788208101</v>
      </c>
    </row>
    <row r="3121" spans="1:19">
      <c r="A3121" s="18" t="s">
        <v>3504</v>
      </c>
      <c r="B3121" s="1" t="s">
        <v>3215</v>
      </c>
      <c r="C3121" s="1" t="s">
        <v>3511</v>
      </c>
      <c r="D3121" s="1" t="s">
        <v>3559</v>
      </c>
      <c r="E3121" s="1" t="s">
        <v>25</v>
      </c>
      <c r="F3121">
        <v>650</v>
      </c>
      <c r="G3121">
        <v>650</v>
      </c>
      <c r="H3121">
        <v>124.2</v>
      </c>
      <c r="I3121" s="1" t="s">
        <v>1528</v>
      </c>
      <c r="J3121" s="1" t="s">
        <v>3550</v>
      </c>
      <c r="K3121" s="1" t="s">
        <v>25</v>
      </c>
      <c r="L3121">
        <v>-1.46974440379669</v>
      </c>
      <c r="M3121" t="str">
        <f t="shared" si="97"/>
        <v>44/40</v>
      </c>
      <c r="N3121" t="str">
        <f t="shared" si="98"/>
        <v>SW</v>
      </c>
      <c r="O3121" s="1" t="s">
        <v>25</v>
      </c>
      <c r="P3121" s="3" t="s">
        <v>25</v>
      </c>
      <c r="Q3121" s="37">
        <v>1.5074863999999999</v>
      </c>
      <c r="R3121" t="str">
        <f t="shared" si="99"/>
        <v>mmol/mol</v>
      </c>
      <c r="S3121" s="13">
        <f t="shared" si="96"/>
        <v>-1.46974440379669</v>
      </c>
    </row>
    <row r="3122" spans="1:19">
      <c r="A3122" s="18" t="s">
        <v>3504</v>
      </c>
      <c r="B3122" s="1" t="s">
        <v>3216</v>
      </c>
      <c r="C3122" s="1" t="s">
        <v>3511</v>
      </c>
      <c r="D3122" s="1" t="s">
        <v>3559</v>
      </c>
      <c r="E3122" s="1" t="s">
        <v>25</v>
      </c>
      <c r="F3122">
        <v>650</v>
      </c>
      <c r="G3122">
        <v>650</v>
      </c>
      <c r="H3122">
        <v>126.7</v>
      </c>
      <c r="I3122" s="1" t="s">
        <v>1528</v>
      </c>
      <c r="J3122" s="1" t="s">
        <v>3550</v>
      </c>
      <c r="K3122" s="1" t="s">
        <v>25</v>
      </c>
      <c r="L3122">
        <v>-1.5662480241446799</v>
      </c>
      <c r="M3122" t="str">
        <f t="shared" si="97"/>
        <v>44/40</v>
      </c>
      <c r="N3122" t="str">
        <f t="shared" si="98"/>
        <v>SW</v>
      </c>
      <c r="O3122" s="1" t="s">
        <v>25</v>
      </c>
      <c r="P3122" s="3" t="s">
        <v>25</v>
      </c>
      <c r="Q3122" s="37">
        <v>1.9513692</v>
      </c>
      <c r="R3122" t="str">
        <f t="shared" si="99"/>
        <v>mmol/mol</v>
      </c>
      <c r="S3122" s="13">
        <f t="shared" si="96"/>
        <v>-1.5662480241446799</v>
      </c>
    </row>
    <row r="3123" spans="1:19">
      <c r="A3123" s="18" t="s">
        <v>3504</v>
      </c>
      <c r="B3123" s="1" t="s">
        <v>3217</v>
      </c>
      <c r="C3123" s="1" t="s">
        <v>3511</v>
      </c>
      <c r="D3123" s="1" t="s">
        <v>3559</v>
      </c>
      <c r="E3123" s="1" t="s">
        <v>25</v>
      </c>
      <c r="F3123">
        <v>650</v>
      </c>
      <c r="G3123">
        <v>650</v>
      </c>
      <c r="H3123">
        <v>127.2</v>
      </c>
      <c r="I3123" s="1" t="s">
        <v>1528</v>
      </c>
      <c r="J3123" s="1" t="s">
        <v>3550</v>
      </c>
      <c r="K3123" s="1" t="s">
        <v>25</v>
      </c>
      <c r="L3123">
        <v>-1.60251431294711</v>
      </c>
      <c r="M3123" t="str">
        <f t="shared" si="97"/>
        <v>44/40</v>
      </c>
      <c r="N3123" t="str">
        <f t="shared" si="98"/>
        <v>SW</v>
      </c>
      <c r="O3123" s="1" t="s">
        <v>25</v>
      </c>
      <c r="P3123" s="3" t="s">
        <v>25</v>
      </c>
      <c r="Q3123" s="37">
        <v>2.2724245999999999</v>
      </c>
      <c r="R3123" t="str">
        <f t="shared" si="99"/>
        <v>mmol/mol</v>
      </c>
      <c r="S3123" s="13">
        <f t="shared" si="96"/>
        <v>-1.60251431294711</v>
      </c>
    </row>
    <row r="3124" spans="1:19">
      <c r="A3124" s="18" t="s">
        <v>3504</v>
      </c>
      <c r="B3124" s="1" t="s">
        <v>3218</v>
      </c>
      <c r="C3124" s="1" t="s">
        <v>3511</v>
      </c>
      <c r="D3124" s="1" t="s">
        <v>3559</v>
      </c>
      <c r="E3124" s="1" t="s">
        <v>25</v>
      </c>
      <c r="F3124">
        <v>650</v>
      </c>
      <c r="G3124">
        <v>650</v>
      </c>
      <c r="H3124">
        <v>128</v>
      </c>
      <c r="I3124" s="1" t="s">
        <v>1528</v>
      </c>
      <c r="J3124" s="1" t="s">
        <v>3550</v>
      </c>
      <c r="K3124" s="1" t="s">
        <v>25</v>
      </c>
      <c r="L3124">
        <v>-1.5808226854688701</v>
      </c>
      <c r="M3124" t="str">
        <f t="shared" si="97"/>
        <v>44/40</v>
      </c>
      <c r="N3124" t="str">
        <f t="shared" si="98"/>
        <v>SW</v>
      </c>
      <c r="O3124" s="1" t="s">
        <v>25</v>
      </c>
      <c r="P3124" s="3" t="s">
        <v>25</v>
      </c>
      <c r="Q3124" s="37">
        <v>2.3608775</v>
      </c>
      <c r="R3124" t="str">
        <f t="shared" si="99"/>
        <v>mmol/mol</v>
      </c>
      <c r="S3124" s="13">
        <f t="shared" si="96"/>
        <v>-1.5808226854688701</v>
      </c>
    </row>
    <row r="3125" spans="1:19">
      <c r="A3125" s="18" t="s">
        <v>3504</v>
      </c>
      <c r="B3125" s="1" t="s">
        <v>3219</v>
      </c>
      <c r="C3125" s="1" t="s">
        <v>3511</v>
      </c>
      <c r="D3125" s="1" t="s">
        <v>3559</v>
      </c>
      <c r="E3125" s="1" t="s">
        <v>25</v>
      </c>
      <c r="F3125">
        <v>650</v>
      </c>
      <c r="G3125">
        <v>650</v>
      </c>
      <c r="H3125">
        <v>128.9</v>
      </c>
      <c r="I3125" s="1" t="s">
        <v>1528</v>
      </c>
      <c r="J3125" s="1" t="s">
        <v>3550</v>
      </c>
      <c r="K3125" s="1" t="s">
        <v>25</v>
      </c>
      <c r="L3125">
        <v>-1.5563051851713099</v>
      </c>
      <c r="M3125" t="str">
        <f t="shared" si="97"/>
        <v>44/40</v>
      </c>
      <c r="N3125" t="str">
        <f t="shared" si="98"/>
        <v>SW</v>
      </c>
      <c r="O3125" s="1" t="s">
        <v>25</v>
      </c>
      <c r="P3125" s="3" t="s">
        <v>25</v>
      </c>
      <c r="Q3125" s="37">
        <v>1.4320495</v>
      </c>
      <c r="R3125" t="str">
        <f t="shared" si="99"/>
        <v>mmol/mol</v>
      </c>
      <c r="S3125" s="13">
        <f t="shared" si="96"/>
        <v>-1.5563051851713099</v>
      </c>
    </row>
    <row r="3126" spans="1:19">
      <c r="A3126" s="18" t="s">
        <v>3504</v>
      </c>
      <c r="B3126" s="1" t="s">
        <v>3220</v>
      </c>
      <c r="C3126" s="1" t="s">
        <v>3511</v>
      </c>
      <c r="D3126" s="1" t="s">
        <v>3559</v>
      </c>
      <c r="E3126" s="1" t="s">
        <v>25</v>
      </c>
      <c r="F3126">
        <v>650</v>
      </c>
      <c r="G3126">
        <v>650</v>
      </c>
      <c r="H3126">
        <v>129.6</v>
      </c>
      <c r="I3126" s="1" t="s">
        <v>1528</v>
      </c>
      <c r="J3126" s="1" t="s">
        <v>3550</v>
      </c>
      <c r="K3126" s="1" t="s">
        <v>25</v>
      </c>
      <c r="L3126">
        <v>-1.4745655856278299</v>
      </c>
      <c r="M3126" t="str">
        <f t="shared" si="97"/>
        <v>44/40</v>
      </c>
      <c r="N3126" t="str">
        <f t="shared" si="98"/>
        <v>SW</v>
      </c>
      <c r="O3126" s="1" t="s">
        <v>25</v>
      </c>
      <c r="P3126" s="3" t="s">
        <v>25</v>
      </c>
      <c r="Q3126" s="37">
        <v>1.9664356000000001</v>
      </c>
      <c r="R3126" t="str">
        <f t="shared" si="99"/>
        <v>mmol/mol</v>
      </c>
      <c r="S3126" s="13">
        <f t="shared" si="96"/>
        <v>-1.4745655856278299</v>
      </c>
    </row>
    <row r="3127" spans="1:19">
      <c r="A3127" s="18" t="s">
        <v>3504</v>
      </c>
      <c r="B3127" s="1" t="s">
        <v>3221</v>
      </c>
      <c r="C3127" s="1" t="s">
        <v>3511</v>
      </c>
      <c r="D3127" s="1" t="s">
        <v>3559</v>
      </c>
      <c r="E3127" s="1" t="s">
        <v>25</v>
      </c>
      <c r="F3127">
        <v>650</v>
      </c>
      <c r="G3127">
        <v>650</v>
      </c>
      <c r="H3127">
        <v>130</v>
      </c>
      <c r="I3127" s="1" t="s">
        <v>1528</v>
      </c>
      <c r="J3127" s="1" t="s">
        <v>3550</v>
      </c>
      <c r="K3127" s="1" t="s">
        <v>25</v>
      </c>
      <c r="L3127">
        <v>-1.64724067332746</v>
      </c>
      <c r="M3127" t="str">
        <f t="shared" si="97"/>
        <v>44/40</v>
      </c>
      <c r="N3127" t="str">
        <f t="shared" si="98"/>
        <v>SW</v>
      </c>
      <c r="O3127" s="1" t="s">
        <v>25</v>
      </c>
      <c r="P3127" s="3" t="s">
        <v>25</v>
      </c>
      <c r="Q3127" s="37">
        <v>3.3343075</v>
      </c>
      <c r="R3127" t="str">
        <f t="shared" si="99"/>
        <v>mmol/mol</v>
      </c>
      <c r="S3127" s="13">
        <f t="shared" si="96"/>
        <v>-1.64724067332746</v>
      </c>
    </row>
    <row r="3128" spans="1:19">
      <c r="A3128" s="18" t="s">
        <v>3504</v>
      </c>
      <c r="B3128" s="1" t="s">
        <v>3222</v>
      </c>
      <c r="C3128" s="1" t="s">
        <v>3511</v>
      </c>
      <c r="D3128" s="1" t="s">
        <v>3559</v>
      </c>
      <c r="E3128" s="1" t="s">
        <v>25</v>
      </c>
      <c r="F3128">
        <v>650</v>
      </c>
      <c r="G3128">
        <v>650</v>
      </c>
      <c r="H3128">
        <v>130.69999999999999</v>
      </c>
      <c r="I3128" s="1" t="s">
        <v>1528</v>
      </c>
      <c r="J3128" s="1" t="s">
        <v>3550</v>
      </c>
      <c r="K3128" s="1" t="s">
        <v>25</v>
      </c>
      <c r="L3128">
        <v>-1.48084000545042</v>
      </c>
      <c r="M3128" t="str">
        <f t="shared" si="97"/>
        <v>44/40</v>
      </c>
      <c r="N3128" t="str">
        <f t="shared" si="98"/>
        <v>SW</v>
      </c>
      <c r="O3128" s="1" t="s">
        <v>25</v>
      </c>
      <c r="P3128" s="3" t="s">
        <v>25</v>
      </c>
      <c r="Q3128" s="37">
        <v>2.0047172999999998</v>
      </c>
      <c r="R3128" t="str">
        <f t="shared" si="99"/>
        <v>mmol/mol</v>
      </c>
      <c r="S3128" s="13">
        <f t="shared" si="96"/>
        <v>-1.48084000545042</v>
      </c>
    </row>
    <row r="3129" spans="1:19">
      <c r="A3129" s="18" t="s">
        <v>3504</v>
      </c>
      <c r="B3129" s="1" t="s">
        <v>3223</v>
      </c>
      <c r="C3129" s="1" t="s">
        <v>3511</v>
      </c>
      <c r="D3129" s="1" t="s">
        <v>3559</v>
      </c>
      <c r="E3129" s="1" t="s">
        <v>25</v>
      </c>
      <c r="F3129">
        <v>650</v>
      </c>
      <c r="G3129">
        <v>650</v>
      </c>
      <c r="H3129">
        <v>131.19999999999999</v>
      </c>
      <c r="I3129" s="1" t="s">
        <v>1528</v>
      </c>
      <c r="J3129" s="1" t="s">
        <v>3550</v>
      </c>
      <c r="K3129" s="1" t="s">
        <v>25</v>
      </c>
      <c r="L3129">
        <v>-1.5210549012093399</v>
      </c>
      <c r="M3129" t="str">
        <f t="shared" si="97"/>
        <v>44/40</v>
      </c>
      <c r="N3129" t="str">
        <f t="shared" si="98"/>
        <v>SW</v>
      </c>
      <c r="O3129" s="1" t="s">
        <v>25</v>
      </c>
      <c r="P3129" s="3" t="s">
        <v>25</v>
      </c>
      <c r="Q3129" s="37">
        <v>2.0954226</v>
      </c>
      <c r="R3129" t="str">
        <f t="shared" si="99"/>
        <v>mmol/mol</v>
      </c>
      <c r="S3129" s="13">
        <f t="shared" si="96"/>
        <v>-1.5210549012093399</v>
      </c>
    </row>
    <row r="3130" spans="1:19">
      <c r="A3130" s="18" t="s">
        <v>3504</v>
      </c>
      <c r="B3130" s="1" t="s">
        <v>3224</v>
      </c>
      <c r="C3130" s="1" t="s">
        <v>3511</v>
      </c>
      <c r="D3130" s="1" t="s">
        <v>3559</v>
      </c>
      <c r="E3130" s="1" t="s">
        <v>25</v>
      </c>
      <c r="F3130">
        <v>650</v>
      </c>
      <c r="G3130">
        <v>650</v>
      </c>
      <c r="H3130">
        <v>132.19999999999999</v>
      </c>
      <c r="I3130" s="1" t="s">
        <v>1528</v>
      </c>
      <c r="J3130" s="1" t="s">
        <v>3550</v>
      </c>
      <c r="K3130" s="1" t="s">
        <v>25</v>
      </c>
      <c r="L3130">
        <v>-1.5471990020930499</v>
      </c>
      <c r="M3130" t="str">
        <f t="shared" si="97"/>
        <v>44/40</v>
      </c>
      <c r="N3130" t="str">
        <f t="shared" si="98"/>
        <v>SW</v>
      </c>
      <c r="O3130" s="1" t="s">
        <v>25</v>
      </c>
      <c r="P3130" s="3" t="s">
        <v>25</v>
      </c>
      <c r="Q3130" s="37">
        <v>1.7671958000000001</v>
      </c>
      <c r="R3130" t="str">
        <f t="shared" si="99"/>
        <v>mmol/mol</v>
      </c>
      <c r="S3130" s="13">
        <f t="shared" si="96"/>
        <v>-1.5471990020930499</v>
      </c>
    </row>
    <row r="3131" spans="1:19">
      <c r="A3131" s="18" t="s">
        <v>3504</v>
      </c>
      <c r="B3131" s="1" t="s">
        <v>3225</v>
      </c>
      <c r="C3131" s="1" t="s">
        <v>3511</v>
      </c>
      <c r="D3131" s="1" t="s">
        <v>3559</v>
      </c>
      <c r="E3131" s="1" t="s">
        <v>25</v>
      </c>
      <c r="F3131">
        <v>650</v>
      </c>
      <c r="G3131">
        <v>650</v>
      </c>
      <c r="H3131">
        <v>133.4</v>
      </c>
      <c r="I3131" s="1" t="s">
        <v>1528</v>
      </c>
      <c r="J3131" s="1" t="s">
        <v>3550</v>
      </c>
      <c r="K3131" s="1" t="s">
        <v>25</v>
      </c>
      <c r="L3131">
        <v>-1.4730153239478601</v>
      </c>
      <c r="M3131" t="str">
        <f t="shared" si="97"/>
        <v>44/40</v>
      </c>
      <c r="N3131" t="str">
        <f t="shared" si="98"/>
        <v>SW</v>
      </c>
      <c r="O3131" s="1" t="s">
        <v>25</v>
      </c>
      <c r="P3131" s="3" t="s">
        <v>25</v>
      </c>
      <c r="Q3131" s="37">
        <v>1.8685898000000001</v>
      </c>
      <c r="R3131" t="str">
        <f t="shared" si="99"/>
        <v>mmol/mol</v>
      </c>
      <c r="S3131" s="13">
        <f t="shared" si="96"/>
        <v>-1.4730153239478601</v>
      </c>
    </row>
    <row r="3132" spans="1:19">
      <c r="A3132" s="18" t="s">
        <v>3504</v>
      </c>
      <c r="B3132" s="1" t="s">
        <v>3226</v>
      </c>
      <c r="C3132" s="1" t="s">
        <v>3511</v>
      </c>
      <c r="D3132" s="1" t="s">
        <v>3559</v>
      </c>
      <c r="E3132" s="1" t="s">
        <v>25</v>
      </c>
      <c r="F3132">
        <v>650</v>
      </c>
      <c r="G3132">
        <v>650</v>
      </c>
      <c r="H3132">
        <v>133.80000000000001</v>
      </c>
      <c r="I3132" s="1" t="s">
        <v>1528</v>
      </c>
      <c r="J3132" s="1" t="s">
        <v>3550</v>
      </c>
      <c r="K3132" s="1" t="s">
        <v>25</v>
      </c>
      <c r="L3132">
        <v>-1.3373289278976199</v>
      </c>
      <c r="M3132" t="str">
        <f t="shared" si="97"/>
        <v>44/40</v>
      </c>
      <c r="N3132" t="str">
        <f t="shared" si="98"/>
        <v>SW</v>
      </c>
      <c r="O3132" s="1" t="s">
        <v>25</v>
      </c>
      <c r="P3132" s="3" t="s">
        <v>25</v>
      </c>
      <c r="Q3132" s="37">
        <v>0.87274200000000002</v>
      </c>
      <c r="R3132" t="str">
        <f t="shared" si="99"/>
        <v>mmol/mol</v>
      </c>
      <c r="S3132" s="13">
        <f t="shared" si="96"/>
        <v>-1.3373289278976199</v>
      </c>
    </row>
    <row r="3133" spans="1:19">
      <c r="A3133" s="18" t="s">
        <v>3504</v>
      </c>
      <c r="B3133" s="1" t="s">
        <v>3227</v>
      </c>
      <c r="C3133" s="1" t="s">
        <v>3511</v>
      </c>
      <c r="D3133" s="1" t="s">
        <v>3559</v>
      </c>
      <c r="E3133" s="1" t="s">
        <v>25</v>
      </c>
      <c r="F3133">
        <v>650</v>
      </c>
      <c r="G3133">
        <v>650</v>
      </c>
      <c r="H3133">
        <v>136.30000000000001</v>
      </c>
      <c r="I3133" s="1" t="s">
        <v>1528</v>
      </c>
      <c r="J3133" s="1" t="s">
        <v>3549</v>
      </c>
      <c r="K3133" s="1" t="s">
        <v>25</v>
      </c>
      <c r="L3133">
        <v>-1.36584973462482</v>
      </c>
      <c r="M3133" t="str">
        <f t="shared" si="97"/>
        <v>44/40</v>
      </c>
      <c r="N3133" t="str">
        <f t="shared" si="98"/>
        <v>SW</v>
      </c>
      <c r="O3133" s="1" t="s">
        <v>25</v>
      </c>
      <c r="P3133" s="3" t="s">
        <v>25</v>
      </c>
      <c r="Q3133" s="37">
        <v>0.99302809999999997</v>
      </c>
      <c r="R3133" t="str">
        <f t="shared" si="99"/>
        <v>mmol/mol</v>
      </c>
      <c r="S3133" s="13">
        <f t="shared" si="96"/>
        <v>-1.36584973462482</v>
      </c>
    </row>
    <row r="3134" spans="1:19">
      <c r="A3134" s="18" t="s">
        <v>3504</v>
      </c>
      <c r="B3134" s="1" t="s">
        <v>3228</v>
      </c>
      <c r="C3134" s="1" t="s">
        <v>3511</v>
      </c>
      <c r="D3134" s="1" t="s">
        <v>3559</v>
      </c>
      <c r="E3134" s="1" t="s">
        <v>25</v>
      </c>
      <c r="F3134">
        <v>650</v>
      </c>
      <c r="G3134">
        <v>650</v>
      </c>
      <c r="H3134">
        <v>140.30000000000001</v>
      </c>
      <c r="I3134" s="1" t="s">
        <v>1528</v>
      </c>
      <c r="J3134" s="1" t="s">
        <v>3549</v>
      </c>
      <c r="K3134" s="1" t="s">
        <v>25</v>
      </c>
      <c r="L3134">
        <v>-1.5851838806427101</v>
      </c>
      <c r="M3134" t="str">
        <f t="shared" si="97"/>
        <v>44/40</v>
      </c>
      <c r="N3134" t="str">
        <f t="shared" si="98"/>
        <v>SW</v>
      </c>
      <c r="O3134" s="1" t="s">
        <v>25</v>
      </c>
      <c r="P3134" s="3" t="s">
        <v>25</v>
      </c>
      <c r="Q3134" s="37">
        <v>0.94601519999999995</v>
      </c>
      <c r="R3134" t="str">
        <f t="shared" si="99"/>
        <v>mmol/mol</v>
      </c>
      <c r="S3134" s="13">
        <f t="shared" si="96"/>
        <v>-1.5851838806427101</v>
      </c>
    </row>
    <row r="3135" spans="1:19">
      <c r="A3135" s="18" t="s">
        <v>3504</v>
      </c>
      <c r="B3135" s="1" t="s">
        <v>3229</v>
      </c>
      <c r="C3135" s="1" t="s">
        <v>3511</v>
      </c>
      <c r="D3135" s="1" t="s">
        <v>3559</v>
      </c>
      <c r="E3135" s="1" t="s">
        <v>25</v>
      </c>
      <c r="F3135">
        <v>650</v>
      </c>
      <c r="G3135">
        <v>650</v>
      </c>
      <c r="H3135">
        <v>140.5</v>
      </c>
      <c r="I3135" s="1" t="s">
        <v>1528</v>
      </c>
      <c r="J3135" s="1" t="s">
        <v>3549</v>
      </c>
      <c r="K3135" s="1" t="s">
        <v>25</v>
      </c>
      <c r="L3135">
        <v>-1.50496926897949</v>
      </c>
      <c r="M3135" t="str">
        <f t="shared" si="97"/>
        <v>44/40</v>
      </c>
      <c r="N3135" t="str">
        <f t="shared" si="98"/>
        <v>SW</v>
      </c>
      <c r="O3135" s="1" t="s">
        <v>25</v>
      </c>
      <c r="P3135" s="3" t="s">
        <v>25</v>
      </c>
      <c r="Q3135" s="37">
        <v>1.4662520999999999</v>
      </c>
      <c r="R3135" t="str">
        <f t="shared" si="99"/>
        <v>mmol/mol</v>
      </c>
      <c r="S3135" s="13">
        <f t="shared" si="96"/>
        <v>-1.50496926897949</v>
      </c>
    </row>
    <row r="3136" spans="1:19">
      <c r="A3136" s="18" t="s">
        <v>3504</v>
      </c>
      <c r="B3136" s="1" t="s">
        <v>3230</v>
      </c>
      <c r="C3136" s="1" t="s">
        <v>3511</v>
      </c>
      <c r="D3136" s="1" t="s">
        <v>3559</v>
      </c>
      <c r="E3136" s="1" t="s">
        <v>25</v>
      </c>
      <c r="F3136">
        <v>650</v>
      </c>
      <c r="G3136">
        <v>650</v>
      </c>
      <c r="H3136">
        <v>141.80000000000001</v>
      </c>
      <c r="I3136" s="1" t="s">
        <v>1528</v>
      </c>
      <c r="J3136" s="1" t="s">
        <v>3550</v>
      </c>
      <c r="K3136" s="1" t="s">
        <v>25</v>
      </c>
      <c r="L3136">
        <v>-1.5723640148709099</v>
      </c>
      <c r="M3136" t="str">
        <f t="shared" si="97"/>
        <v>44/40</v>
      </c>
      <c r="N3136" t="str">
        <f t="shared" si="98"/>
        <v>SW</v>
      </c>
      <c r="O3136" s="1" t="s">
        <v>25</v>
      </c>
      <c r="P3136" s="3" t="s">
        <v>25</v>
      </c>
      <c r="Q3136" s="37">
        <v>1.8511948</v>
      </c>
      <c r="R3136" t="str">
        <f t="shared" si="99"/>
        <v>mmol/mol</v>
      </c>
      <c r="S3136" s="13">
        <f t="shared" si="96"/>
        <v>-1.5723640148709099</v>
      </c>
    </row>
    <row r="3137" spans="1:19">
      <c r="A3137" s="18" t="s">
        <v>3504</v>
      </c>
      <c r="B3137" s="1" t="s">
        <v>3231</v>
      </c>
      <c r="C3137" s="1" t="s">
        <v>3511</v>
      </c>
      <c r="D3137" s="1" t="s">
        <v>3559</v>
      </c>
      <c r="E3137" s="1" t="s">
        <v>25</v>
      </c>
      <c r="F3137">
        <v>650</v>
      </c>
      <c r="G3137">
        <v>650</v>
      </c>
      <c r="H3137">
        <v>142.5</v>
      </c>
      <c r="I3137" s="1" t="s">
        <v>1528</v>
      </c>
      <c r="J3137" s="1" t="s">
        <v>3550</v>
      </c>
      <c r="K3137" s="1" t="s">
        <v>25</v>
      </c>
      <c r="L3137">
        <v>-1.67324565858582</v>
      </c>
      <c r="M3137" t="str">
        <f t="shared" si="97"/>
        <v>44/40</v>
      </c>
      <c r="N3137" t="str">
        <f t="shared" si="98"/>
        <v>SW</v>
      </c>
      <c r="O3137" s="1" t="s">
        <v>25</v>
      </c>
      <c r="P3137" s="3" t="s">
        <v>25</v>
      </c>
      <c r="Q3137" s="37">
        <v>2.0723120000000002</v>
      </c>
      <c r="R3137" t="str">
        <f t="shared" si="99"/>
        <v>mmol/mol</v>
      </c>
      <c r="S3137" s="13">
        <f t="shared" si="96"/>
        <v>-1.67324565858582</v>
      </c>
    </row>
    <row r="3138" spans="1:19">
      <c r="A3138" s="18" t="s">
        <v>3504</v>
      </c>
      <c r="B3138" s="1" t="s">
        <v>3232</v>
      </c>
      <c r="C3138" s="1" t="s">
        <v>3511</v>
      </c>
      <c r="D3138" s="1" t="s">
        <v>3559</v>
      </c>
      <c r="E3138" s="1" t="s">
        <v>25</v>
      </c>
      <c r="F3138">
        <v>650</v>
      </c>
      <c r="G3138">
        <v>650</v>
      </c>
      <c r="H3138">
        <v>143.1</v>
      </c>
      <c r="I3138" s="1" t="s">
        <v>1528</v>
      </c>
      <c r="J3138" s="1" t="s">
        <v>3550</v>
      </c>
      <c r="K3138" s="1" t="s">
        <v>25</v>
      </c>
      <c r="L3138">
        <v>-1.5565825678487499</v>
      </c>
      <c r="M3138" t="str">
        <f t="shared" si="97"/>
        <v>44/40</v>
      </c>
      <c r="N3138" t="str">
        <f t="shared" si="98"/>
        <v>SW</v>
      </c>
      <c r="O3138" s="1" t="s">
        <v>25</v>
      </c>
      <c r="P3138" s="3" t="s">
        <v>25</v>
      </c>
      <c r="Q3138" s="37">
        <v>1.4571791999999999</v>
      </c>
      <c r="R3138" t="str">
        <f t="shared" si="99"/>
        <v>mmol/mol</v>
      </c>
      <c r="S3138" s="13">
        <f t="shared" si="96"/>
        <v>-1.5565825678487499</v>
      </c>
    </row>
    <row r="3139" spans="1:19">
      <c r="A3139" s="18" t="s">
        <v>3504</v>
      </c>
      <c r="B3139" s="1" t="s">
        <v>3233</v>
      </c>
      <c r="C3139" s="1" t="s">
        <v>3511</v>
      </c>
      <c r="D3139" s="1" t="s">
        <v>3559</v>
      </c>
      <c r="E3139" s="1" t="s">
        <v>25</v>
      </c>
      <c r="F3139">
        <v>650</v>
      </c>
      <c r="G3139">
        <v>650</v>
      </c>
      <c r="H3139">
        <v>143.69999999999999</v>
      </c>
      <c r="I3139" s="1" t="s">
        <v>1528</v>
      </c>
      <c r="J3139" s="1" t="s">
        <v>3550</v>
      </c>
      <c r="K3139" s="1" t="s">
        <v>25</v>
      </c>
      <c r="L3139">
        <v>-1.44151711995426</v>
      </c>
      <c r="M3139" t="str">
        <f t="shared" si="97"/>
        <v>44/40</v>
      </c>
      <c r="N3139" t="str">
        <f t="shared" si="98"/>
        <v>SW</v>
      </c>
      <c r="O3139" s="1" t="s">
        <v>25</v>
      </c>
      <c r="P3139" s="3" t="s">
        <v>25</v>
      </c>
      <c r="Q3139" s="37">
        <v>2.2356424000000001</v>
      </c>
      <c r="R3139" t="str">
        <f t="shared" si="99"/>
        <v>mmol/mol</v>
      </c>
      <c r="S3139" s="13">
        <f t="shared" si="96"/>
        <v>-1.44151711995426</v>
      </c>
    </row>
    <row r="3140" spans="1:19">
      <c r="A3140" s="18" t="s">
        <v>3504</v>
      </c>
      <c r="B3140" s="1" t="s">
        <v>3234</v>
      </c>
      <c r="C3140" s="1" t="s">
        <v>3511</v>
      </c>
      <c r="D3140" s="1" t="s">
        <v>3559</v>
      </c>
      <c r="E3140" s="1" t="s">
        <v>25</v>
      </c>
      <c r="F3140">
        <v>650</v>
      </c>
      <c r="G3140">
        <v>650</v>
      </c>
      <c r="H3140">
        <v>142.5</v>
      </c>
      <c r="I3140" s="1" t="s">
        <v>1528</v>
      </c>
      <c r="J3140" s="1" t="s">
        <v>3550</v>
      </c>
      <c r="K3140" s="1" t="s">
        <v>25</v>
      </c>
      <c r="L3140">
        <v>-1.55304038976782</v>
      </c>
      <c r="M3140" t="str">
        <f t="shared" si="97"/>
        <v>44/40</v>
      </c>
      <c r="N3140" t="str">
        <f t="shared" si="98"/>
        <v>SW</v>
      </c>
      <c r="O3140" s="1" t="s">
        <v>25</v>
      </c>
      <c r="P3140" s="3" t="s">
        <v>25</v>
      </c>
      <c r="Q3140" s="37">
        <v>2.2202582</v>
      </c>
      <c r="R3140" t="str">
        <f t="shared" si="99"/>
        <v>mmol/mol</v>
      </c>
      <c r="S3140" s="13">
        <f t="shared" si="96"/>
        <v>-1.55304038976782</v>
      </c>
    </row>
    <row r="3141" spans="1:19">
      <c r="A3141" s="18" t="s">
        <v>3504</v>
      </c>
      <c r="B3141" s="1" t="s">
        <v>3235</v>
      </c>
      <c r="C3141" s="1" t="s">
        <v>3511</v>
      </c>
      <c r="D3141" s="1" t="s">
        <v>3559</v>
      </c>
      <c r="E3141" s="1" t="s">
        <v>25</v>
      </c>
      <c r="F3141">
        <v>650</v>
      </c>
      <c r="G3141">
        <v>650</v>
      </c>
      <c r="H3141">
        <v>145</v>
      </c>
      <c r="I3141" s="1" t="s">
        <v>1528</v>
      </c>
      <c r="J3141" s="1" t="s">
        <v>3550</v>
      </c>
      <c r="K3141" s="1" t="s">
        <v>25</v>
      </c>
      <c r="L3141">
        <v>-1.5568361875160599</v>
      </c>
      <c r="M3141" t="str">
        <f t="shared" si="97"/>
        <v>44/40</v>
      </c>
      <c r="N3141" t="str">
        <f t="shared" si="98"/>
        <v>SW</v>
      </c>
      <c r="O3141" s="1" t="s">
        <v>25</v>
      </c>
      <c r="P3141" s="3" t="s">
        <v>25</v>
      </c>
      <c r="Q3141" s="37">
        <v>1.9136195</v>
      </c>
      <c r="R3141" t="str">
        <f t="shared" si="99"/>
        <v>mmol/mol</v>
      </c>
      <c r="S3141" s="13">
        <f t="shared" si="96"/>
        <v>-1.5568361875160599</v>
      </c>
    </row>
    <row r="3142" spans="1:19">
      <c r="A3142" s="18" t="s">
        <v>3504</v>
      </c>
      <c r="B3142" s="1" t="s">
        <v>3236</v>
      </c>
      <c r="C3142" s="1" t="s">
        <v>3511</v>
      </c>
      <c r="D3142" s="1" t="s">
        <v>3559</v>
      </c>
      <c r="E3142" s="1" t="s">
        <v>25</v>
      </c>
      <c r="F3142">
        <v>650</v>
      </c>
      <c r="G3142">
        <v>650</v>
      </c>
      <c r="H3142">
        <v>145.80000000000001</v>
      </c>
      <c r="I3142" s="1" t="s">
        <v>1528</v>
      </c>
      <c r="J3142" s="1" t="s">
        <v>3550</v>
      </c>
      <c r="K3142" s="1" t="s">
        <v>25</v>
      </c>
      <c r="L3142">
        <v>-1.4615937498609901</v>
      </c>
      <c r="M3142" t="str">
        <f t="shared" si="97"/>
        <v>44/40</v>
      </c>
      <c r="N3142" t="str">
        <f t="shared" si="98"/>
        <v>SW</v>
      </c>
      <c r="O3142" s="1" t="s">
        <v>25</v>
      </c>
      <c r="P3142" s="3" t="s">
        <v>25</v>
      </c>
      <c r="Q3142" s="37">
        <v>1.0803894999999999</v>
      </c>
      <c r="R3142" t="str">
        <f t="shared" si="99"/>
        <v>mmol/mol</v>
      </c>
      <c r="S3142" s="13">
        <f t="shared" si="96"/>
        <v>-1.4615937498609901</v>
      </c>
    </row>
    <row r="3143" spans="1:19">
      <c r="A3143" s="18" t="s">
        <v>3504</v>
      </c>
      <c r="B3143" s="1" t="s">
        <v>3237</v>
      </c>
      <c r="C3143" s="1" t="s">
        <v>3511</v>
      </c>
      <c r="D3143" s="1" t="s">
        <v>3559</v>
      </c>
      <c r="E3143" s="1" t="s">
        <v>25</v>
      </c>
      <c r="F3143">
        <v>650</v>
      </c>
      <c r="G3143">
        <v>650</v>
      </c>
      <c r="H3143">
        <v>146.69999999999999</v>
      </c>
      <c r="I3143" s="1" t="s">
        <v>1528</v>
      </c>
      <c r="J3143" s="1" t="s">
        <v>3550</v>
      </c>
      <c r="K3143" s="1" t="s">
        <v>25</v>
      </c>
      <c r="L3143">
        <v>-1.4044267861083299</v>
      </c>
      <c r="M3143" t="str">
        <f t="shared" si="97"/>
        <v>44/40</v>
      </c>
      <c r="N3143" t="str">
        <f t="shared" si="98"/>
        <v>SW</v>
      </c>
      <c r="O3143" s="1" t="s">
        <v>25</v>
      </c>
      <c r="P3143" s="3" t="s">
        <v>25</v>
      </c>
      <c r="Q3143" s="37">
        <v>0.89674799999999999</v>
      </c>
      <c r="R3143" t="str">
        <f t="shared" si="99"/>
        <v>mmol/mol</v>
      </c>
      <c r="S3143" s="13">
        <f t="shared" si="96"/>
        <v>-1.4044267861083299</v>
      </c>
    </row>
    <row r="3144" spans="1:19">
      <c r="A3144" s="18" t="s">
        <v>3504</v>
      </c>
      <c r="B3144" s="1" t="s">
        <v>3238</v>
      </c>
      <c r="C3144" s="1" t="s">
        <v>3511</v>
      </c>
      <c r="D3144" s="1" t="s">
        <v>3559</v>
      </c>
      <c r="E3144" s="1" t="s">
        <v>25</v>
      </c>
      <c r="F3144">
        <v>650</v>
      </c>
      <c r="G3144">
        <v>650</v>
      </c>
      <c r="H3144">
        <v>147.30000000000001</v>
      </c>
      <c r="I3144" s="1" t="s">
        <v>1528</v>
      </c>
      <c r="J3144" s="1" t="s">
        <v>3550</v>
      </c>
      <c r="K3144" s="1" t="s">
        <v>25</v>
      </c>
      <c r="L3144">
        <v>-1.4393593751050799</v>
      </c>
      <c r="M3144" t="str">
        <f t="shared" si="97"/>
        <v>44/40</v>
      </c>
      <c r="N3144" t="str">
        <f t="shared" si="98"/>
        <v>SW</v>
      </c>
      <c r="O3144" s="1" t="s">
        <v>25</v>
      </c>
      <c r="P3144" s="3" t="s">
        <v>25</v>
      </c>
      <c r="Q3144" s="37">
        <v>1.6082288</v>
      </c>
      <c r="R3144" t="str">
        <f t="shared" si="99"/>
        <v>mmol/mol</v>
      </c>
      <c r="S3144" s="13">
        <f t="shared" si="96"/>
        <v>-1.4393593751050799</v>
      </c>
    </row>
    <row r="3145" spans="1:19">
      <c r="A3145" s="18" t="s">
        <v>3504</v>
      </c>
      <c r="B3145" s="1" t="s">
        <v>3239</v>
      </c>
      <c r="C3145" s="1" t="s">
        <v>3511</v>
      </c>
      <c r="D3145" s="1" t="s">
        <v>3559</v>
      </c>
      <c r="E3145" s="1" t="s">
        <v>25</v>
      </c>
      <c r="F3145">
        <v>650</v>
      </c>
      <c r="G3145">
        <v>650</v>
      </c>
      <c r="H3145">
        <v>147.9</v>
      </c>
      <c r="I3145" s="1" t="s">
        <v>1528</v>
      </c>
      <c r="J3145" s="1" t="s">
        <v>3550</v>
      </c>
      <c r="K3145" s="1" t="s">
        <v>25</v>
      </c>
      <c r="L3145">
        <v>-1.4953817499444999</v>
      </c>
      <c r="M3145" t="str">
        <f t="shared" si="97"/>
        <v>44/40</v>
      </c>
      <c r="N3145" t="str">
        <f t="shared" si="98"/>
        <v>SW</v>
      </c>
      <c r="O3145" s="1" t="s">
        <v>25</v>
      </c>
      <c r="P3145" s="3" t="s">
        <v>25</v>
      </c>
      <c r="Q3145" s="37">
        <v>1.2589788</v>
      </c>
      <c r="R3145" t="str">
        <f t="shared" si="99"/>
        <v>mmol/mol</v>
      </c>
      <c r="S3145" s="13">
        <f t="shared" si="96"/>
        <v>-1.4953817499444999</v>
      </c>
    </row>
    <row r="3146" spans="1:19">
      <c r="A3146" s="18" t="s">
        <v>3504</v>
      </c>
      <c r="B3146" s="1" t="s">
        <v>3240</v>
      </c>
      <c r="C3146" s="1" t="s">
        <v>3511</v>
      </c>
      <c r="D3146" s="1" t="s">
        <v>3559</v>
      </c>
      <c r="E3146" s="1" t="s">
        <v>25</v>
      </c>
      <c r="F3146">
        <v>650</v>
      </c>
      <c r="G3146">
        <v>650</v>
      </c>
      <c r="H3146">
        <v>148.5</v>
      </c>
      <c r="I3146" s="1" t="s">
        <v>1528</v>
      </c>
      <c r="J3146" s="1" t="s">
        <v>3550</v>
      </c>
      <c r="K3146" s="1" t="s">
        <v>25</v>
      </c>
      <c r="L3146">
        <v>-1.00518426579398</v>
      </c>
      <c r="M3146" t="str">
        <f t="shared" si="97"/>
        <v>44/40</v>
      </c>
      <c r="N3146" t="str">
        <f t="shared" si="98"/>
        <v>SW</v>
      </c>
      <c r="O3146" s="1" t="s">
        <v>25</v>
      </c>
      <c r="P3146" s="3" t="s">
        <v>25</v>
      </c>
      <c r="Q3146" s="37">
        <v>0.34833120000000001</v>
      </c>
      <c r="R3146" t="str">
        <f t="shared" si="99"/>
        <v>mmol/mol</v>
      </c>
      <c r="S3146" s="13">
        <f t="shared" si="96"/>
        <v>-1.00518426579398</v>
      </c>
    </row>
    <row r="3147" spans="1:19">
      <c r="A3147" s="18" t="s">
        <v>3504</v>
      </c>
      <c r="B3147" s="1" t="s">
        <v>3241</v>
      </c>
      <c r="C3147" s="1" t="s">
        <v>3511</v>
      </c>
      <c r="D3147" s="1" t="s">
        <v>3559</v>
      </c>
      <c r="E3147" s="1" t="s">
        <v>25</v>
      </c>
      <c r="F3147">
        <v>650</v>
      </c>
      <c r="G3147">
        <v>650</v>
      </c>
      <c r="H3147">
        <v>148.9</v>
      </c>
      <c r="I3147" s="1" t="s">
        <v>1528</v>
      </c>
      <c r="J3147" s="1" t="s">
        <v>3550</v>
      </c>
      <c r="K3147" s="1" t="s">
        <v>25</v>
      </c>
      <c r="L3147">
        <v>-1.0103069328729799</v>
      </c>
      <c r="M3147" t="str">
        <f t="shared" si="97"/>
        <v>44/40</v>
      </c>
      <c r="N3147" t="str">
        <f t="shared" si="98"/>
        <v>SW</v>
      </c>
      <c r="O3147" s="1" t="s">
        <v>25</v>
      </c>
      <c r="P3147" s="3" t="s">
        <v>25</v>
      </c>
      <c r="Q3147" s="37">
        <v>0.3527112</v>
      </c>
      <c r="R3147" t="str">
        <f t="shared" si="99"/>
        <v>mmol/mol</v>
      </c>
      <c r="S3147" s="13">
        <f t="shared" si="96"/>
        <v>-1.0103069328729799</v>
      </c>
    </row>
    <row r="3148" spans="1:19">
      <c r="A3148" s="18" t="s">
        <v>3504</v>
      </c>
      <c r="B3148" s="1" t="s">
        <v>3242</v>
      </c>
      <c r="C3148" s="1" t="s">
        <v>3511</v>
      </c>
      <c r="D3148" s="1" t="s">
        <v>3559</v>
      </c>
      <c r="E3148" s="1" t="s">
        <v>25</v>
      </c>
      <c r="F3148">
        <v>650</v>
      </c>
      <c r="G3148">
        <v>650</v>
      </c>
      <c r="H3148">
        <v>150</v>
      </c>
      <c r="I3148" s="1" t="s">
        <v>1528</v>
      </c>
      <c r="J3148" s="1" t="s">
        <v>3544</v>
      </c>
      <c r="K3148" s="1" t="s">
        <v>25</v>
      </c>
      <c r="L3148">
        <v>-1.04360544270259</v>
      </c>
      <c r="M3148" t="str">
        <f t="shared" si="97"/>
        <v>44/40</v>
      </c>
      <c r="N3148" t="str">
        <f t="shared" si="98"/>
        <v>SW</v>
      </c>
      <c r="O3148" s="1" t="s">
        <v>25</v>
      </c>
      <c r="P3148" s="3" t="s">
        <v>25</v>
      </c>
      <c r="Q3148" s="37">
        <v>0.30183070000000001</v>
      </c>
      <c r="R3148" t="str">
        <f t="shared" si="99"/>
        <v>mmol/mol</v>
      </c>
      <c r="S3148" s="13">
        <f t="shared" si="96"/>
        <v>-1.04360544270259</v>
      </c>
    </row>
    <row r="3149" spans="1:19">
      <c r="A3149" s="18" t="s">
        <v>3504</v>
      </c>
      <c r="B3149" s="1" t="s">
        <v>3243</v>
      </c>
      <c r="C3149" s="1" t="s">
        <v>3511</v>
      </c>
      <c r="D3149" s="1" t="s">
        <v>3559</v>
      </c>
      <c r="E3149" s="1" t="s">
        <v>25</v>
      </c>
      <c r="F3149">
        <v>650</v>
      </c>
      <c r="G3149">
        <v>650</v>
      </c>
      <c r="H3149">
        <v>151.1</v>
      </c>
      <c r="I3149" s="1" t="s">
        <v>1528</v>
      </c>
      <c r="J3149" s="1" t="s">
        <v>3544</v>
      </c>
      <c r="K3149" s="1" t="s">
        <v>25</v>
      </c>
      <c r="L3149">
        <v>-1.0971284939453301</v>
      </c>
      <c r="M3149" t="str">
        <f t="shared" si="97"/>
        <v>44/40</v>
      </c>
      <c r="N3149" t="str">
        <f t="shared" si="98"/>
        <v>SW</v>
      </c>
      <c r="O3149" s="1" t="s">
        <v>25</v>
      </c>
      <c r="P3149" s="3" t="s">
        <v>25</v>
      </c>
      <c r="Q3149" s="37">
        <v>0.52320120000000003</v>
      </c>
      <c r="R3149" t="str">
        <f t="shared" si="99"/>
        <v>mmol/mol</v>
      </c>
      <c r="S3149" s="13">
        <f t="shared" si="96"/>
        <v>-1.0971284939453301</v>
      </c>
    </row>
    <row r="3150" spans="1:19">
      <c r="A3150" s="18" t="s">
        <v>3504</v>
      </c>
      <c r="B3150" s="1" t="s">
        <v>3244</v>
      </c>
      <c r="C3150" s="1" t="s">
        <v>3511</v>
      </c>
      <c r="D3150" s="1" t="s">
        <v>3559</v>
      </c>
      <c r="E3150" s="1" t="s">
        <v>25</v>
      </c>
      <c r="F3150">
        <v>650</v>
      </c>
      <c r="G3150">
        <v>650</v>
      </c>
      <c r="H3150">
        <v>156.1</v>
      </c>
      <c r="I3150" s="1" t="s">
        <v>1528</v>
      </c>
      <c r="J3150" s="1" t="s">
        <v>3551</v>
      </c>
      <c r="K3150" s="1" t="s">
        <v>25</v>
      </c>
      <c r="L3150">
        <v>-1.1939478440548901</v>
      </c>
      <c r="M3150" t="str">
        <f t="shared" si="97"/>
        <v>44/40</v>
      </c>
      <c r="N3150" t="str">
        <f t="shared" si="98"/>
        <v>SW</v>
      </c>
      <c r="O3150" s="1" t="s">
        <v>25</v>
      </c>
      <c r="P3150" s="3" t="s">
        <v>25</v>
      </c>
      <c r="Q3150" s="37">
        <v>0.1682353</v>
      </c>
      <c r="R3150" t="str">
        <f t="shared" si="99"/>
        <v>mmol/mol</v>
      </c>
      <c r="S3150" s="13">
        <f t="shared" si="96"/>
        <v>-1.1939478440548901</v>
      </c>
    </row>
    <row r="3151" spans="1:19">
      <c r="A3151" s="18" t="s">
        <v>3504</v>
      </c>
      <c r="B3151" s="1" t="s">
        <v>3245</v>
      </c>
      <c r="C3151" s="1" t="s">
        <v>3511</v>
      </c>
      <c r="D3151" s="1" t="s">
        <v>3559</v>
      </c>
      <c r="E3151" s="1" t="s">
        <v>25</v>
      </c>
      <c r="F3151">
        <v>650</v>
      </c>
      <c r="G3151">
        <v>650</v>
      </c>
      <c r="H3151">
        <v>157.6</v>
      </c>
      <c r="I3151" s="1" t="s">
        <v>1528</v>
      </c>
      <c r="J3151" s="1" t="s">
        <v>3544</v>
      </c>
      <c r="K3151" s="1" t="s">
        <v>25</v>
      </c>
      <c r="L3151">
        <v>-1.43032337813606</v>
      </c>
      <c r="M3151" t="str">
        <f t="shared" si="97"/>
        <v>44/40</v>
      </c>
      <c r="N3151" t="str">
        <f t="shared" si="98"/>
        <v>SW</v>
      </c>
      <c r="O3151" s="1" t="s">
        <v>25</v>
      </c>
      <c r="P3151" s="3" t="s">
        <v>25</v>
      </c>
      <c r="Q3151" s="37">
        <v>1.6712511000000001</v>
      </c>
      <c r="R3151" t="str">
        <f t="shared" si="99"/>
        <v>mmol/mol</v>
      </c>
      <c r="S3151" s="13">
        <f t="shared" si="96"/>
        <v>-1.43032337813606</v>
      </c>
    </row>
    <row r="3152" spans="1:19">
      <c r="A3152" s="18" t="s">
        <v>3504</v>
      </c>
      <c r="B3152" s="1" t="s">
        <v>3246</v>
      </c>
      <c r="C3152" s="1" t="s">
        <v>3511</v>
      </c>
      <c r="D3152" s="1" t="s">
        <v>3559</v>
      </c>
      <c r="E3152" s="1" t="s">
        <v>25</v>
      </c>
      <c r="F3152">
        <v>650</v>
      </c>
      <c r="G3152">
        <v>650</v>
      </c>
      <c r="H3152">
        <v>159.1</v>
      </c>
      <c r="I3152" s="1" t="s">
        <v>1528</v>
      </c>
      <c r="J3152" s="1" t="s">
        <v>3544</v>
      </c>
      <c r="K3152" s="1" t="s">
        <v>25</v>
      </c>
      <c r="L3152">
        <v>-1.40833968204418</v>
      </c>
      <c r="M3152" t="str">
        <f t="shared" si="97"/>
        <v>44/40</v>
      </c>
      <c r="N3152" t="str">
        <f t="shared" si="98"/>
        <v>SW</v>
      </c>
      <c r="O3152" s="1" t="s">
        <v>25</v>
      </c>
      <c r="P3152" s="3" t="s">
        <v>25</v>
      </c>
      <c r="Q3152" s="37">
        <v>1.1254077</v>
      </c>
      <c r="R3152" t="str">
        <f t="shared" si="99"/>
        <v>mmol/mol</v>
      </c>
      <c r="S3152" s="13">
        <f t="shared" si="96"/>
        <v>-1.40833968204418</v>
      </c>
    </row>
    <row r="3153" spans="1:19">
      <c r="A3153" s="18" t="s">
        <v>3504</v>
      </c>
      <c r="B3153" s="1" t="s">
        <v>3247</v>
      </c>
      <c r="C3153" s="1" t="s">
        <v>3511</v>
      </c>
      <c r="D3153" s="1" t="s">
        <v>3559</v>
      </c>
      <c r="E3153" s="1" t="s">
        <v>25</v>
      </c>
      <c r="F3153">
        <v>650</v>
      </c>
      <c r="G3153">
        <v>650</v>
      </c>
      <c r="H3153">
        <v>161.19999999999999</v>
      </c>
      <c r="I3153" s="1" t="s">
        <v>1528</v>
      </c>
      <c r="J3153" s="1" t="s">
        <v>3544</v>
      </c>
      <c r="K3153" s="1" t="s">
        <v>25</v>
      </c>
      <c r="L3153">
        <v>-1.05988908265813</v>
      </c>
      <c r="M3153" t="str">
        <f t="shared" si="97"/>
        <v>44/40</v>
      </c>
      <c r="N3153" t="str">
        <f t="shared" si="98"/>
        <v>SW</v>
      </c>
      <c r="O3153" s="1" t="s">
        <v>25</v>
      </c>
      <c r="P3153" s="3" t="s">
        <v>25</v>
      </c>
      <c r="Q3153" s="37">
        <v>0.16508819999999999</v>
      </c>
      <c r="R3153" t="str">
        <f t="shared" si="99"/>
        <v>mmol/mol</v>
      </c>
      <c r="S3153" s="13">
        <f t="shared" si="96"/>
        <v>-1.05988908265813</v>
      </c>
    </row>
    <row r="3154" spans="1:19">
      <c r="A3154" s="18" t="s">
        <v>3504</v>
      </c>
      <c r="B3154" s="1" t="s">
        <v>3248</v>
      </c>
      <c r="C3154" s="1" t="s">
        <v>3511</v>
      </c>
      <c r="D3154" s="1" t="s">
        <v>3559</v>
      </c>
      <c r="E3154" s="1" t="s">
        <v>25</v>
      </c>
      <c r="F3154">
        <v>650</v>
      </c>
      <c r="G3154">
        <v>650</v>
      </c>
      <c r="H3154">
        <v>174.2</v>
      </c>
      <c r="I3154" s="1" t="s">
        <v>1528</v>
      </c>
      <c r="J3154" s="1" t="s">
        <v>3551</v>
      </c>
      <c r="K3154" s="1" t="s">
        <v>25</v>
      </c>
      <c r="L3154">
        <v>-1.07056041767344</v>
      </c>
      <c r="M3154" t="str">
        <f t="shared" si="97"/>
        <v>44/40</v>
      </c>
      <c r="N3154" t="str">
        <f t="shared" si="98"/>
        <v>SW</v>
      </c>
      <c r="O3154" s="1" t="s">
        <v>25</v>
      </c>
      <c r="P3154" s="3" t="s">
        <v>25</v>
      </c>
      <c r="Q3154" s="37">
        <v>0.1596959</v>
      </c>
      <c r="R3154" t="str">
        <f t="shared" si="99"/>
        <v>mmol/mol</v>
      </c>
      <c r="S3154" s="13">
        <f t="shared" si="96"/>
        <v>-1.07056041767344</v>
      </c>
    </row>
    <row r="3155" spans="1:19">
      <c r="A3155" s="18" t="s">
        <v>3504</v>
      </c>
      <c r="B3155" s="1" t="s">
        <v>3249</v>
      </c>
      <c r="C3155" s="1" t="s">
        <v>3511</v>
      </c>
      <c r="D3155" s="1" t="s">
        <v>3559</v>
      </c>
      <c r="E3155" s="1" t="s">
        <v>25</v>
      </c>
      <c r="F3155">
        <v>650</v>
      </c>
      <c r="G3155">
        <v>650</v>
      </c>
      <c r="H3155">
        <v>174.4</v>
      </c>
      <c r="I3155" s="1" t="s">
        <v>1528</v>
      </c>
      <c r="J3155" s="1" t="s">
        <v>3551</v>
      </c>
      <c r="K3155" s="1" t="s">
        <v>25</v>
      </c>
      <c r="L3155">
        <v>-1.04433465277851</v>
      </c>
      <c r="M3155" t="str">
        <f t="shared" si="97"/>
        <v>44/40</v>
      </c>
      <c r="N3155" t="str">
        <f t="shared" si="98"/>
        <v>SW</v>
      </c>
      <c r="O3155" s="1" t="s">
        <v>25</v>
      </c>
      <c r="P3155" s="3" t="s">
        <v>25</v>
      </c>
      <c r="Q3155" s="37">
        <v>0.1420699</v>
      </c>
      <c r="R3155" t="str">
        <f t="shared" si="99"/>
        <v>mmol/mol</v>
      </c>
      <c r="S3155" s="13">
        <f t="shared" si="96"/>
        <v>-1.04433465277851</v>
      </c>
    </row>
    <row r="3156" spans="1:19">
      <c r="A3156" s="18" t="s">
        <v>3504</v>
      </c>
      <c r="B3156" s="1" t="s">
        <v>3250</v>
      </c>
      <c r="C3156" s="1" t="s">
        <v>3511</v>
      </c>
      <c r="D3156" s="1" t="s">
        <v>3559</v>
      </c>
      <c r="E3156" s="1" t="s">
        <v>25</v>
      </c>
      <c r="F3156">
        <v>650</v>
      </c>
      <c r="G3156">
        <v>650</v>
      </c>
      <c r="H3156">
        <v>178.4</v>
      </c>
      <c r="I3156" s="1" t="s">
        <v>1528</v>
      </c>
      <c r="J3156" s="1" t="s">
        <v>3551</v>
      </c>
      <c r="K3156" s="1" t="s">
        <v>25</v>
      </c>
      <c r="L3156">
        <v>-0.93870357380347802</v>
      </c>
      <c r="M3156" t="str">
        <f t="shared" si="97"/>
        <v>44/40</v>
      </c>
      <c r="N3156" t="str">
        <f t="shared" si="98"/>
        <v>SW</v>
      </c>
      <c r="O3156" s="1" t="s">
        <v>25</v>
      </c>
      <c r="P3156" s="3" t="s">
        <v>25</v>
      </c>
      <c r="Q3156" s="37">
        <v>5.8248899999999999E-2</v>
      </c>
      <c r="R3156" t="str">
        <f t="shared" si="99"/>
        <v>mmol/mol</v>
      </c>
      <c r="S3156" s="13">
        <f t="shared" si="96"/>
        <v>-0.93870357380347802</v>
      </c>
    </row>
    <row r="3157" spans="1:19">
      <c r="A3157" s="18" t="s">
        <v>3504</v>
      </c>
      <c r="B3157" s="1" t="s">
        <v>3251</v>
      </c>
      <c r="C3157" s="1" t="s">
        <v>3511</v>
      </c>
      <c r="D3157" s="1" t="s">
        <v>3559</v>
      </c>
      <c r="E3157" s="1" t="s">
        <v>25</v>
      </c>
      <c r="F3157">
        <v>650</v>
      </c>
      <c r="G3157">
        <v>650</v>
      </c>
      <c r="H3157">
        <v>184.8</v>
      </c>
      <c r="I3157" s="1" t="s">
        <v>1528</v>
      </c>
      <c r="J3157" s="1" t="s">
        <v>3551</v>
      </c>
      <c r="K3157" s="1" t="s">
        <v>25</v>
      </c>
      <c r="L3157">
        <v>-0.89441357466556903</v>
      </c>
      <c r="M3157" t="str">
        <f t="shared" si="97"/>
        <v>44/40</v>
      </c>
      <c r="N3157" t="str">
        <f t="shared" si="98"/>
        <v>SW</v>
      </c>
      <c r="O3157" s="1" t="s">
        <v>25</v>
      </c>
      <c r="P3157" s="3" t="s">
        <v>25</v>
      </c>
      <c r="Q3157" s="37">
        <v>4.8846100000000003E-2</v>
      </c>
      <c r="R3157" t="str">
        <f t="shared" si="99"/>
        <v>mmol/mol</v>
      </c>
      <c r="S3157" s="13">
        <f t="shared" si="96"/>
        <v>-0.89441357466556903</v>
      </c>
    </row>
    <row r="3158" spans="1:19">
      <c r="A3158" s="18" t="s">
        <v>3504</v>
      </c>
      <c r="B3158" s="1" t="s">
        <v>3252</v>
      </c>
      <c r="C3158" s="1" t="s">
        <v>3511</v>
      </c>
      <c r="D3158" s="1" t="s">
        <v>3559</v>
      </c>
      <c r="E3158" s="1" t="s">
        <v>25</v>
      </c>
      <c r="F3158">
        <v>650</v>
      </c>
      <c r="G3158">
        <v>650</v>
      </c>
      <c r="H3158">
        <v>195.4</v>
      </c>
      <c r="I3158" s="1" t="s">
        <v>1528</v>
      </c>
      <c r="J3158" s="1" t="s">
        <v>3551</v>
      </c>
      <c r="K3158" s="1" t="s">
        <v>25</v>
      </c>
      <c r="L3158">
        <v>-0.83215317728603899</v>
      </c>
      <c r="M3158" t="str">
        <f t="shared" si="97"/>
        <v>44/40</v>
      </c>
      <c r="N3158" t="str">
        <f t="shared" si="98"/>
        <v>SW</v>
      </c>
      <c r="O3158" s="1" t="s">
        <v>25</v>
      </c>
      <c r="P3158" s="3" t="s">
        <v>25</v>
      </c>
      <c r="Q3158" s="37">
        <v>1.46786E-2</v>
      </c>
      <c r="R3158" t="str">
        <f t="shared" si="99"/>
        <v>mmol/mol</v>
      </c>
      <c r="S3158" s="13">
        <f t="shared" si="96"/>
        <v>-0.83215317728603899</v>
      </c>
    </row>
    <row r="3159" spans="1:19">
      <c r="A3159" s="18" t="s">
        <v>3504</v>
      </c>
      <c r="B3159" s="1" t="s">
        <v>3253</v>
      </c>
      <c r="C3159" s="1" t="s">
        <v>3511</v>
      </c>
      <c r="D3159" s="1" t="s">
        <v>3559</v>
      </c>
      <c r="E3159" s="1" t="s">
        <v>25</v>
      </c>
      <c r="F3159">
        <v>650</v>
      </c>
      <c r="G3159">
        <v>650</v>
      </c>
      <c r="H3159">
        <v>204.4</v>
      </c>
      <c r="I3159" s="1" t="s">
        <v>1528</v>
      </c>
      <c r="J3159" s="1" t="s">
        <v>3551</v>
      </c>
      <c r="K3159" s="1" t="s">
        <v>25</v>
      </c>
      <c r="L3159">
        <v>-1.0031592732864201</v>
      </c>
      <c r="M3159" t="str">
        <f t="shared" si="97"/>
        <v>44/40</v>
      </c>
      <c r="N3159" t="str">
        <f t="shared" si="98"/>
        <v>SW</v>
      </c>
      <c r="O3159" s="1" t="s">
        <v>25</v>
      </c>
      <c r="P3159" s="3" t="s">
        <v>25</v>
      </c>
      <c r="Q3159" s="37">
        <v>8.2900699999999994E-2</v>
      </c>
      <c r="R3159" t="str">
        <f t="shared" si="99"/>
        <v>mmol/mol</v>
      </c>
      <c r="S3159" s="13">
        <f t="shared" si="96"/>
        <v>-1.0031592732864201</v>
      </c>
    </row>
    <row r="3160" spans="1:19">
      <c r="A3160" s="18" t="s">
        <v>3504</v>
      </c>
      <c r="B3160" s="1" t="s">
        <v>3254</v>
      </c>
      <c r="C3160" s="1" t="s">
        <v>3511</v>
      </c>
      <c r="D3160" s="1" t="s">
        <v>3559</v>
      </c>
      <c r="E3160" s="1" t="s">
        <v>25</v>
      </c>
      <c r="F3160">
        <v>650</v>
      </c>
      <c r="G3160">
        <v>650</v>
      </c>
      <c r="H3160">
        <v>210.7</v>
      </c>
      <c r="I3160" s="1" t="s">
        <v>1528</v>
      </c>
      <c r="J3160" s="1" t="s">
        <v>3551</v>
      </c>
      <c r="K3160" s="1" t="s">
        <v>25</v>
      </c>
      <c r="L3160">
        <v>-0.99731158460728997</v>
      </c>
      <c r="M3160" t="str">
        <f t="shared" si="97"/>
        <v>44/40</v>
      </c>
      <c r="N3160" t="str">
        <f t="shared" si="98"/>
        <v>SW</v>
      </c>
      <c r="O3160" s="1" t="s">
        <v>25</v>
      </c>
      <c r="P3160" s="3" t="s">
        <v>25</v>
      </c>
      <c r="Q3160" s="37">
        <v>4.9733600000000003E-2</v>
      </c>
      <c r="R3160" t="str">
        <f t="shared" si="99"/>
        <v>mmol/mol</v>
      </c>
      <c r="S3160" s="13">
        <f t="shared" si="96"/>
        <v>-0.99731158460728997</v>
      </c>
    </row>
    <row r="3161" spans="1:19">
      <c r="A3161" s="18" t="s">
        <v>3504</v>
      </c>
      <c r="B3161" s="1" t="s">
        <v>3255</v>
      </c>
      <c r="C3161" s="1" t="s">
        <v>3511</v>
      </c>
      <c r="D3161" s="1" t="s">
        <v>3559</v>
      </c>
      <c r="E3161" s="1" t="s">
        <v>25</v>
      </c>
      <c r="F3161">
        <v>650</v>
      </c>
      <c r="G3161">
        <v>650</v>
      </c>
      <c r="H3161">
        <v>214.4</v>
      </c>
      <c r="I3161" s="1" t="s">
        <v>1528</v>
      </c>
      <c r="J3161" s="1" t="s">
        <v>3551</v>
      </c>
      <c r="K3161" s="1" t="s">
        <v>25</v>
      </c>
      <c r="L3161">
        <v>-0.88966533788714897</v>
      </c>
      <c r="M3161" t="str">
        <f t="shared" si="97"/>
        <v>44/40</v>
      </c>
      <c r="N3161" t="str">
        <f t="shared" si="98"/>
        <v>SW</v>
      </c>
      <c r="O3161" s="1" t="s">
        <v>25</v>
      </c>
      <c r="P3161" s="3" t="s">
        <v>25</v>
      </c>
      <c r="Q3161" s="37">
        <v>9.7916799999999998E-2</v>
      </c>
      <c r="R3161" t="str">
        <f t="shared" si="99"/>
        <v>mmol/mol</v>
      </c>
      <c r="S3161" s="13">
        <f t="shared" si="96"/>
        <v>-0.88966533788714897</v>
      </c>
    </row>
    <row r="3162" spans="1:19">
      <c r="A3162" s="18" t="s">
        <v>3504</v>
      </c>
      <c r="B3162" s="1" t="s">
        <v>3256</v>
      </c>
      <c r="C3162" s="1" t="s">
        <v>3511</v>
      </c>
      <c r="D3162" s="1" t="s">
        <v>3559</v>
      </c>
      <c r="E3162" s="1" t="s">
        <v>25</v>
      </c>
      <c r="F3162">
        <v>650</v>
      </c>
      <c r="G3162">
        <v>650</v>
      </c>
      <c r="H3162">
        <v>218.9</v>
      </c>
      <c r="I3162" s="1" t="s">
        <v>1528</v>
      </c>
      <c r="J3162" s="1" t="s">
        <v>3551</v>
      </c>
      <c r="K3162" s="1" t="s">
        <v>25</v>
      </c>
      <c r="L3162">
        <v>-0.94323646885968204</v>
      </c>
      <c r="M3162" t="str">
        <f t="shared" si="97"/>
        <v>44/40</v>
      </c>
      <c r="N3162" t="str">
        <f t="shared" si="98"/>
        <v>SW</v>
      </c>
      <c r="O3162" s="1" t="s">
        <v>25</v>
      </c>
      <c r="P3162" s="3" t="s">
        <v>25</v>
      </c>
      <c r="Q3162" s="37">
        <v>0.14850350000000001</v>
      </c>
      <c r="R3162" t="str">
        <f t="shared" si="99"/>
        <v>mmol/mol</v>
      </c>
      <c r="S3162" s="13">
        <f t="shared" si="96"/>
        <v>-0.94323646885968204</v>
      </c>
    </row>
    <row r="3163" spans="1:19">
      <c r="A3163" s="18" t="s">
        <v>3504</v>
      </c>
      <c r="B3163" s="1" t="s">
        <v>3257</v>
      </c>
      <c r="C3163" s="1" t="s">
        <v>3512</v>
      </c>
      <c r="D3163" s="1" t="s">
        <v>3630</v>
      </c>
      <c r="E3163" s="1" t="s">
        <v>25</v>
      </c>
      <c r="F3163">
        <v>650</v>
      </c>
      <c r="G3163">
        <v>650</v>
      </c>
      <c r="H3163">
        <v>2.8</v>
      </c>
      <c r="I3163" s="1" t="s">
        <v>1528</v>
      </c>
      <c r="J3163" s="1" t="s">
        <v>3552</v>
      </c>
      <c r="K3163" s="1" t="s">
        <v>25</v>
      </c>
      <c r="L3163">
        <v>-1.68223898432396</v>
      </c>
      <c r="M3163" t="str">
        <f t="shared" si="97"/>
        <v>44/40</v>
      </c>
      <c r="N3163" t="str">
        <f t="shared" si="98"/>
        <v>SW</v>
      </c>
      <c r="O3163" s="1" t="s">
        <v>25</v>
      </c>
      <c r="P3163" s="3" t="s">
        <v>25</v>
      </c>
      <c r="Q3163" s="37">
        <v>1.164879</v>
      </c>
      <c r="R3163" t="str">
        <f t="shared" si="99"/>
        <v>mmol/mol</v>
      </c>
      <c r="S3163" s="13">
        <f t="shared" si="96"/>
        <v>-1.68223898432396</v>
      </c>
    </row>
    <row r="3164" spans="1:19">
      <c r="A3164" s="18" t="s">
        <v>3504</v>
      </c>
      <c r="B3164" s="1" t="s">
        <v>3258</v>
      </c>
      <c r="C3164" s="1" t="s">
        <v>3512</v>
      </c>
      <c r="D3164" s="1" t="s">
        <v>3630</v>
      </c>
      <c r="E3164" s="1" t="s">
        <v>25</v>
      </c>
      <c r="F3164">
        <v>650</v>
      </c>
      <c r="G3164">
        <v>650</v>
      </c>
      <c r="H3164">
        <v>35</v>
      </c>
      <c r="I3164" s="1" t="s">
        <v>1528</v>
      </c>
      <c r="J3164" s="1" t="s">
        <v>3553</v>
      </c>
      <c r="K3164" s="1" t="s">
        <v>25</v>
      </c>
      <c r="L3164">
        <v>-1.6518953420961799</v>
      </c>
      <c r="M3164" t="str">
        <f t="shared" si="97"/>
        <v>44/40</v>
      </c>
      <c r="N3164" t="str">
        <f t="shared" si="98"/>
        <v>SW</v>
      </c>
      <c r="O3164" s="1" t="s">
        <v>25</v>
      </c>
      <c r="P3164" s="3" t="s">
        <v>25</v>
      </c>
      <c r="Q3164" s="37">
        <v>0.94977909024502405</v>
      </c>
      <c r="R3164" t="str">
        <f t="shared" si="99"/>
        <v>mmol/mol</v>
      </c>
      <c r="S3164" s="13">
        <f t="shared" si="96"/>
        <v>-1.6518953420961799</v>
      </c>
    </row>
    <row r="3165" spans="1:19">
      <c r="A3165" s="18" t="s">
        <v>3504</v>
      </c>
      <c r="B3165" s="1" t="s">
        <v>3259</v>
      </c>
      <c r="C3165" s="1" t="s">
        <v>3512</v>
      </c>
      <c r="D3165" s="1" t="s">
        <v>3630</v>
      </c>
      <c r="E3165" s="1" t="s">
        <v>25</v>
      </c>
      <c r="F3165">
        <v>650</v>
      </c>
      <c r="G3165">
        <v>650</v>
      </c>
      <c r="H3165">
        <v>36.700000000000003</v>
      </c>
      <c r="I3165" s="1" t="s">
        <v>1528</v>
      </c>
      <c r="J3165" s="1" t="s">
        <v>3553</v>
      </c>
      <c r="K3165" s="1" t="s">
        <v>25</v>
      </c>
      <c r="L3165">
        <v>-1.65669077791968</v>
      </c>
      <c r="M3165" t="str">
        <f t="shared" si="97"/>
        <v>44/40</v>
      </c>
      <c r="N3165" t="str">
        <f t="shared" si="98"/>
        <v>SW</v>
      </c>
      <c r="O3165" s="1" t="s">
        <v>25</v>
      </c>
      <c r="P3165" s="3" t="s">
        <v>25</v>
      </c>
      <c r="Q3165" s="37">
        <v>0.91377674228049899</v>
      </c>
      <c r="R3165" t="str">
        <f t="shared" si="99"/>
        <v>mmol/mol</v>
      </c>
      <c r="S3165" s="13">
        <f t="shared" si="96"/>
        <v>-1.65669077791968</v>
      </c>
    </row>
    <row r="3166" spans="1:19">
      <c r="A3166" s="18" t="s">
        <v>3504</v>
      </c>
      <c r="B3166" s="1" t="s">
        <v>3260</v>
      </c>
      <c r="C3166" s="1" t="s">
        <v>3512</v>
      </c>
      <c r="D3166" s="1" t="s">
        <v>3630</v>
      </c>
      <c r="E3166" s="1" t="s">
        <v>25</v>
      </c>
      <c r="F3166">
        <v>650</v>
      </c>
      <c r="G3166">
        <v>650</v>
      </c>
      <c r="H3166">
        <v>37.799999999999997</v>
      </c>
      <c r="I3166" s="1" t="s">
        <v>1528</v>
      </c>
      <c r="J3166" s="1" t="s">
        <v>3553</v>
      </c>
      <c r="K3166" s="1" t="s">
        <v>25</v>
      </c>
      <c r="L3166">
        <v>-1.58982426290234</v>
      </c>
      <c r="M3166" t="str">
        <f t="shared" si="97"/>
        <v>44/40</v>
      </c>
      <c r="N3166" t="str">
        <f t="shared" si="98"/>
        <v>SW</v>
      </c>
      <c r="O3166" s="1" t="s">
        <v>25</v>
      </c>
      <c r="P3166" s="3" t="s">
        <v>25</v>
      </c>
      <c r="Q3166" s="37">
        <v>0.91511620000000005</v>
      </c>
      <c r="R3166" t="str">
        <f t="shared" si="99"/>
        <v>mmol/mol</v>
      </c>
      <c r="S3166" s="13">
        <f t="shared" si="96"/>
        <v>-1.58982426290234</v>
      </c>
    </row>
    <row r="3167" spans="1:19">
      <c r="A3167" s="18" t="s">
        <v>3504</v>
      </c>
      <c r="B3167" s="1" t="s">
        <v>3261</v>
      </c>
      <c r="C3167" s="1" t="s">
        <v>3512</v>
      </c>
      <c r="D3167" s="1" t="s">
        <v>3630</v>
      </c>
      <c r="E3167" s="1" t="s">
        <v>25</v>
      </c>
      <c r="F3167">
        <v>650</v>
      </c>
      <c r="G3167">
        <v>650</v>
      </c>
      <c r="H3167">
        <v>50.8</v>
      </c>
      <c r="I3167" s="1" t="s">
        <v>1528</v>
      </c>
      <c r="J3167" s="1" t="s">
        <v>3553</v>
      </c>
      <c r="K3167" s="1" t="s">
        <v>25</v>
      </c>
      <c r="L3167">
        <v>-1.7071941102310899</v>
      </c>
      <c r="M3167" t="str">
        <f t="shared" si="97"/>
        <v>44/40</v>
      </c>
      <c r="N3167" t="str">
        <f t="shared" si="98"/>
        <v>SW</v>
      </c>
      <c r="O3167" s="1" t="s">
        <v>25</v>
      </c>
      <c r="P3167" s="3" t="s">
        <v>25</v>
      </c>
      <c r="Q3167" s="37">
        <v>1.3153064999999999</v>
      </c>
      <c r="R3167" t="str">
        <f t="shared" si="99"/>
        <v>mmol/mol</v>
      </c>
      <c r="S3167" s="13">
        <f t="shared" si="96"/>
        <v>-1.7071941102310899</v>
      </c>
    </row>
    <row r="3168" spans="1:19">
      <c r="A3168" s="18" t="s">
        <v>3504</v>
      </c>
      <c r="B3168" s="1" t="s">
        <v>3262</v>
      </c>
      <c r="C3168" s="1" t="s">
        <v>3512</v>
      </c>
      <c r="D3168" s="1" t="s">
        <v>3630</v>
      </c>
      <c r="E3168" s="1" t="s">
        <v>25</v>
      </c>
      <c r="F3168">
        <v>650</v>
      </c>
      <c r="G3168">
        <v>650</v>
      </c>
      <c r="H3168">
        <v>54.9</v>
      </c>
      <c r="I3168" s="1" t="s">
        <v>1528</v>
      </c>
      <c r="J3168" s="1" t="s">
        <v>3553</v>
      </c>
      <c r="K3168" s="1" t="s">
        <v>25</v>
      </c>
      <c r="L3168">
        <v>-1.7547770467046999</v>
      </c>
      <c r="M3168" t="str">
        <f t="shared" si="97"/>
        <v>44/40</v>
      </c>
      <c r="N3168" t="str">
        <f t="shared" si="98"/>
        <v>SW</v>
      </c>
      <c r="O3168" s="1" t="s">
        <v>25</v>
      </c>
      <c r="P3168" s="3" t="s">
        <v>25</v>
      </c>
      <c r="Q3168" s="37">
        <v>2.0128344999999999</v>
      </c>
      <c r="R3168" t="str">
        <f t="shared" si="99"/>
        <v>mmol/mol</v>
      </c>
      <c r="S3168" s="13">
        <f t="shared" si="96"/>
        <v>-1.7547770467046999</v>
      </c>
    </row>
    <row r="3169" spans="1:19">
      <c r="A3169" s="18" t="s">
        <v>3504</v>
      </c>
      <c r="B3169" s="1" t="s">
        <v>3263</v>
      </c>
      <c r="C3169" s="1" t="s">
        <v>3512</v>
      </c>
      <c r="D3169" s="1" t="s">
        <v>3630</v>
      </c>
      <c r="E3169" s="1" t="s">
        <v>25</v>
      </c>
      <c r="F3169">
        <v>650</v>
      </c>
      <c r="G3169">
        <v>650</v>
      </c>
      <c r="H3169">
        <v>69</v>
      </c>
      <c r="I3169" s="1" t="s">
        <v>1528</v>
      </c>
      <c r="J3169" s="1" t="s">
        <v>3554</v>
      </c>
      <c r="K3169" s="1" t="s">
        <v>25</v>
      </c>
      <c r="L3169">
        <v>-1.77656161794736</v>
      </c>
      <c r="M3169" t="str">
        <f t="shared" si="97"/>
        <v>44/40</v>
      </c>
      <c r="N3169" t="str">
        <f t="shared" si="98"/>
        <v>SW</v>
      </c>
      <c r="O3169" s="1" t="s">
        <v>25</v>
      </c>
      <c r="P3169" s="3" t="s">
        <v>25</v>
      </c>
      <c r="Q3169" s="37">
        <v>1.6366456</v>
      </c>
      <c r="R3169" t="str">
        <f t="shared" si="99"/>
        <v>mmol/mol</v>
      </c>
      <c r="S3169" s="13">
        <f t="shared" si="96"/>
        <v>-1.77656161794736</v>
      </c>
    </row>
    <row r="3170" spans="1:19">
      <c r="A3170" s="18" t="s">
        <v>3504</v>
      </c>
      <c r="B3170" s="1" t="s">
        <v>3264</v>
      </c>
      <c r="C3170" s="1" t="s">
        <v>3512</v>
      </c>
      <c r="D3170" s="1" t="s">
        <v>3630</v>
      </c>
      <c r="E3170" s="1" t="s">
        <v>25</v>
      </c>
      <c r="F3170">
        <v>650</v>
      </c>
      <c r="G3170">
        <v>650</v>
      </c>
      <c r="H3170">
        <v>74.3</v>
      </c>
      <c r="I3170" s="1" t="s">
        <v>1528</v>
      </c>
      <c r="J3170" s="1" t="s">
        <v>3553</v>
      </c>
      <c r="K3170" s="1" t="s">
        <v>25</v>
      </c>
      <c r="L3170">
        <v>-1.6442365797920799</v>
      </c>
      <c r="M3170" t="str">
        <f t="shared" si="97"/>
        <v>44/40</v>
      </c>
      <c r="N3170" t="str">
        <f t="shared" si="98"/>
        <v>SW</v>
      </c>
      <c r="O3170" s="1" t="s">
        <v>25</v>
      </c>
      <c r="P3170" s="3" t="s">
        <v>25</v>
      </c>
      <c r="Q3170" s="37">
        <v>1.1215136000000001</v>
      </c>
      <c r="R3170" t="str">
        <f t="shared" si="99"/>
        <v>mmol/mol</v>
      </c>
      <c r="S3170" s="13">
        <f t="shared" si="96"/>
        <v>-1.6442365797920799</v>
      </c>
    </row>
    <row r="3171" spans="1:19">
      <c r="A3171" s="18" t="s">
        <v>3504</v>
      </c>
      <c r="B3171" s="1" t="s">
        <v>3265</v>
      </c>
      <c r="C3171" s="1" t="s">
        <v>3512</v>
      </c>
      <c r="D3171" s="1" t="s">
        <v>3630</v>
      </c>
      <c r="E3171" s="1" t="s">
        <v>25</v>
      </c>
      <c r="F3171">
        <v>650</v>
      </c>
      <c r="G3171">
        <v>650</v>
      </c>
      <c r="H3171">
        <v>93.8</v>
      </c>
      <c r="I3171" s="1" t="s">
        <v>1528</v>
      </c>
      <c r="J3171" s="1" t="s">
        <v>3555</v>
      </c>
      <c r="K3171" s="1" t="s">
        <v>25</v>
      </c>
      <c r="L3171">
        <v>-1.96503230994494</v>
      </c>
      <c r="M3171" t="str">
        <f t="shared" si="97"/>
        <v>44/40</v>
      </c>
      <c r="N3171" t="str">
        <f t="shared" si="98"/>
        <v>SW</v>
      </c>
      <c r="O3171" s="1" t="s">
        <v>25</v>
      </c>
      <c r="P3171" s="3" t="s">
        <v>25</v>
      </c>
      <c r="Q3171" s="37">
        <v>3.4650826000000001</v>
      </c>
      <c r="R3171" t="str">
        <f t="shared" si="99"/>
        <v>mmol/mol</v>
      </c>
      <c r="S3171" s="13">
        <f t="shared" si="96"/>
        <v>-1.96503230994494</v>
      </c>
    </row>
    <row r="3172" spans="1:19">
      <c r="A3172" s="18" t="s">
        <v>3504</v>
      </c>
      <c r="B3172" s="1" t="s">
        <v>3266</v>
      </c>
      <c r="C3172" s="1" t="s">
        <v>3512</v>
      </c>
      <c r="D3172" s="1" t="s">
        <v>3630</v>
      </c>
      <c r="E3172" s="1" t="s">
        <v>25</v>
      </c>
      <c r="F3172">
        <v>650</v>
      </c>
      <c r="G3172">
        <v>650</v>
      </c>
      <c r="H3172">
        <v>99.6</v>
      </c>
      <c r="I3172" s="1" t="s">
        <v>1528</v>
      </c>
      <c r="J3172" s="1" t="s">
        <v>3553</v>
      </c>
      <c r="K3172" s="1" t="s">
        <v>25</v>
      </c>
      <c r="L3172">
        <v>-1.8065768921383201</v>
      </c>
      <c r="M3172" t="str">
        <f t="shared" si="97"/>
        <v>44/40</v>
      </c>
      <c r="N3172" t="str">
        <f t="shared" si="98"/>
        <v>SW</v>
      </c>
      <c r="O3172" s="1" t="s">
        <v>25</v>
      </c>
      <c r="P3172" s="3" t="s">
        <v>25</v>
      </c>
      <c r="Q3172" s="37">
        <v>1.54986076038784</v>
      </c>
      <c r="R3172" t="str">
        <f t="shared" si="99"/>
        <v>mmol/mol</v>
      </c>
      <c r="S3172" s="13">
        <f t="shared" si="96"/>
        <v>-1.8065768921383201</v>
      </c>
    </row>
    <row r="3173" spans="1:19">
      <c r="A3173" s="18" t="s">
        <v>3504</v>
      </c>
      <c r="B3173" s="1" t="s">
        <v>3267</v>
      </c>
      <c r="C3173" s="1" t="s">
        <v>3512</v>
      </c>
      <c r="D3173" s="1" t="s">
        <v>3630</v>
      </c>
      <c r="E3173" s="1" t="s">
        <v>25</v>
      </c>
      <c r="F3173">
        <v>650</v>
      </c>
      <c r="G3173">
        <v>650</v>
      </c>
      <c r="H3173">
        <v>107.4</v>
      </c>
      <c r="I3173" s="1" t="s">
        <v>1528</v>
      </c>
      <c r="J3173" s="1" t="s">
        <v>3555</v>
      </c>
      <c r="K3173" s="1" t="s">
        <v>25</v>
      </c>
      <c r="L3173">
        <v>-1.81844197268014</v>
      </c>
      <c r="M3173" t="str">
        <f t="shared" si="97"/>
        <v>44/40</v>
      </c>
      <c r="N3173" t="str">
        <f t="shared" si="98"/>
        <v>SW</v>
      </c>
      <c r="O3173" s="1" t="s">
        <v>25</v>
      </c>
      <c r="P3173" s="3" t="s">
        <v>25</v>
      </c>
      <c r="Q3173" s="37">
        <v>1.6667232999999999</v>
      </c>
      <c r="R3173" t="str">
        <f t="shared" si="99"/>
        <v>mmol/mol</v>
      </c>
      <c r="S3173" s="13">
        <f t="shared" si="96"/>
        <v>-1.81844197268014</v>
      </c>
    </row>
    <row r="3174" spans="1:19">
      <c r="A3174" s="18" t="s">
        <v>3504</v>
      </c>
      <c r="B3174" s="1" t="s">
        <v>3268</v>
      </c>
      <c r="C3174" s="1" t="s">
        <v>3512</v>
      </c>
      <c r="D3174" s="1" t="s">
        <v>3630</v>
      </c>
      <c r="E3174" s="1" t="s">
        <v>25</v>
      </c>
      <c r="F3174">
        <v>650</v>
      </c>
      <c r="G3174">
        <v>650</v>
      </c>
      <c r="H3174">
        <v>113.2</v>
      </c>
      <c r="I3174" s="1" t="s">
        <v>1528</v>
      </c>
      <c r="J3174" s="1" t="s">
        <v>3555</v>
      </c>
      <c r="K3174" s="1" t="s">
        <v>25</v>
      </c>
      <c r="L3174">
        <v>-1.6590771159277999</v>
      </c>
      <c r="M3174" t="str">
        <f t="shared" si="97"/>
        <v>44/40</v>
      </c>
      <c r="N3174" t="str">
        <f t="shared" si="98"/>
        <v>SW</v>
      </c>
      <c r="O3174" s="1" t="s">
        <v>25</v>
      </c>
      <c r="P3174" s="3" t="s">
        <v>25</v>
      </c>
      <c r="Q3174" s="37">
        <v>1.4504225362999501</v>
      </c>
      <c r="R3174" t="str">
        <f t="shared" si="99"/>
        <v>mmol/mol</v>
      </c>
      <c r="S3174" s="13">
        <f t="shared" si="96"/>
        <v>-1.6590771159277999</v>
      </c>
    </row>
    <row r="3175" spans="1:19">
      <c r="A3175" s="18" t="s">
        <v>3504</v>
      </c>
      <c r="B3175" s="1" t="s">
        <v>3269</v>
      </c>
      <c r="C3175" s="1" t="s">
        <v>3512</v>
      </c>
      <c r="D3175" s="1" t="s">
        <v>3630</v>
      </c>
      <c r="E3175" s="1" t="s">
        <v>25</v>
      </c>
      <c r="F3175">
        <v>650</v>
      </c>
      <c r="G3175">
        <v>650</v>
      </c>
      <c r="H3175">
        <v>120.3</v>
      </c>
      <c r="I3175" s="1" t="s">
        <v>1528</v>
      </c>
      <c r="J3175" s="1" t="s">
        <v>3553</v>
      </c>
      <c r="K3175" s="1" t="s">
        <v>25</v>
      </c>
      <c r="L3175">
        <v>-1.7979149940633501</v>
      </c>
      <c r="M3175" t="str">
        <f t="shared" si="97"/>
        <v>44/40</v>
      </c>
      <c r="N3175" t="str">
        <f t="shared" si="98"/>
        <v>SW</v>
      </c>
      <c r="O3175" s="1" t="s">
        <v>25</v>
      </c>
      <c r="P3175" s="3" t="s">
        <v>25</v>
      </c>
      <c r="Q3175" s="37">
        <v>0.95709350000000004</v>
      </c>
      <c r="R3175" t="str">
        <f t="shared" si="99"/>
        <v>mmol/mol</v>
      </c>
      <c r="S3175" s="13">
        <f t="shared" si="96"/>
        <v>-1.7979149940633501</v>
      </c>
    </row>
    <row r="3176" spans="1:19">
      <c r="A3176" s="18" t="s">
        <v>3504</v>
      </c>
      <c r="B3176" s="1" t="s">
        <v>3270</v>
      </c>
      <c r="C3176" s="1" t="s">
        <v>3512</v>
      </c>
      <c r="D3176" s="1" t="s">
        <v>3630</v>
      </c>
      <c r="E3176" s="1" t="s">
        <v>25</v>
      </c>
      <c r="F3176">
        <v>650</v>
      </c>
      <c r="G3176">
        <v>650</v>
      </c>
      <c r="H3176">
        <v>132.5</v>
      </c>
      <c r="I3176" s="1" t="s">
        <v>1528</v>
      </c>
      <c r="J3176" s="1" t="s">
        <v>3555</v>
      </c>
      <c r="K3176" s="1" t="s">
        <v>25</v>
      </c>
      <c r="L3176">
        <v>-1.8207624301110601</v>
      </c>
      <c r="M3176" t="str">
        <f t="shared" si="97"/>
        <v>44/40</v>
      </c>
      <c r="N3176" t="str">
        <f t="shared" si="98"/>
        <v>SW</v>
      </c>
      <c r="O3176" s="1" t="s">
        <v>25</v>
      </c>
      <c r="P3176" s="3" t="s">
        <v>25</v>
      </c>
      <c r="Q3176" s="37">
        <v>1.4673073999999999</v>
      </c>
      <c r="R3176" t="str">
        <f t="shared" si="99"/>
        <v>mmol/mol</v>
      </c>
      <c r="S3176" s="13">
        <f t="shared" si="96"/>
        <v>-1.8207624301110601</v>
      </c>
    </row>
    <row r="3177" spans="1:19">
      <c r="A3177" s="18" t="s">
        <v>3504</v>
      </c>
      <c r="B3177" s="1" t="s">
        <v>3271</v>
      </c>
      <c r="C3177" s="1" t="s">
        <v>3512</v>
      </c>
      <c r="D3177" s="1" t="s">
        <v>3630</v>
      </c>
      <c r="E3177" s="1" t="s">
        <v>25</v>
      </c>
      <c r="F3177">
        <v>650</v>
      </c>
      <c r="G3177">
        <v>650</v>
      </c>
      <c r="H3177">
        <v>137.4</v>
      </c>
      <c r="I3177" s="1" t="s">
        <v>1528</v>
      </c>
      <c r="J3177" s="1" t="s">
        <v>3555</v>
      </c>
      <c r="K3177" s="1" t="s">
        <v>25</v>
      </c>
      <c r="L3177">
        <v>-1.73700609337723</v>
      </c>
      <c r="M3177" t="str">
        <f t="shared" si="97"/>
        <v>44/40</v>
      </c>
      <c r="N3177" t="str">
        <f t="shared" si="98"/>
        <v>SW</v>
      </c>
      <c r="O3177" s="1" t="s">
        <v>25</v>
      </c>
      <c r="P3177" s="3" t="s">
        <v>25</v>
      </c>
      <c r="Q3177" s="37">
        <v>1.3263594797190901</v>
      </c>
      <c r="R3177" t="str">
        <f t="shared" si="99"/>
        <v>mmol/mol</v>
      </c>
      <c r="S3177" s="13">
        <f t="shared" si="96"/>
        <v>-1.73700609337723</v>
      </c>
    </row>
    <row r="3178" spans="1:19">
      <c r="A3178" s="18" t="s">
        <v>3504</v>
      </c>
      <c r="B3178" s="1" t="s">
        <v>3272</v>
      </c>
      <c r="C3178" s="1" t="s">
        <v>3512</v>
      </c>
      <c r="D3178" s="1" t="s">
        <v>3630</v>
      </c>
      <c r="E3178" s="1" t="s">
        <v>25</v>
      </c>
      <c r="F3178">
        <v>650</v>
      </c>
      <c r="G3178">
        <v>650</v>
      </c>
      <c r="H3178">
        <v>144.1</v>
      </c>
      <c r="I3178" s="1" t="s">
        <v>1528</v>
      </c>
      <c r="J3178" s="1" t="s">
        <v>3553</v>
      </c>
      <c r="K3178" s="1" t="s">
        <v>25</v>
      </c>
      <c r="L3178">
        <v>-1.6625638760586801</v>
      </c>
      <c r="M3178" t="str">
        <f t="shared" si="97"/>
        <v>44/40</v>
      </c>
      <c r="N3178" t="str">
        <f t="shared" si="98"/>
        <v>SW</v>
      </c>
      <c r="O3178" s="1" t="s">
        <v>25</v>
      </c>
      <c r="P3178" s="3" t="s">
        <v>25</v>
      </c>
      <c r="Q3178" s="37">
        <v>3.0005806000000002</v>
      </c>
      <c r="R3178" t="str">
        <f t="shared" si="99"/>
        <v>mmol/mol</v>
      </c>
      <c r="S3178" s="13">
        <f t="shared" si="96"/>
        <v>-1.6625638760586801</v>
      </c>
    </row>
    <row r="3179" spans="1:19">
      <c r="A3179" s="18" t="s">
        <v>3504</v>
      </c>
      <c r="B3179" s="1" t="s">
        <v>3273</v>
      </c>
      <c r="C3179" s="1" t="s">
        <v>3512</v>
      </c>
      <c r="D3179" s="1" t="s">
        <v>3630</v>
      </c>
      <c r="E3179" s="1" t="s">
        <v>25</v>
      </c>
      <c r="F3179">
        <v>650</v>
      </c>
      <c r="G3179">
        <v>650</v>
      </c>
      <c r="H3179">
        <v>148.30000000000001</v>
      </c>
      <c r="I3179" s="1" t="s">
        <v>1528</v>
      </c>
      <c r="J3179" s="1" t="s">
        <v>3555</v>
      </c>
      <c r="K3179" s="1" t="s">
        <v>25</v>
      </c>
      <c r="L3179">
        <v>-1.6550077862741599</v>
      </c>
      <c r="M3179" t="str">
        <f t="shared" si="97"/>
        <v>44/40</v>
      </c>
      <c r="N3179" t="str">
        <f t="shared" si="98"/>
        <v>SW</v>
      </c>
      <c r="O3179" s="1" t="s">
        <v>25</v>
      </c>
      <c r="P3179" s="3" t="s">
        <v>25</v>
      </c>
      <c r="Q3179" s="37">
        <v>1.10840134639915</v>
      </c>
      <c r="R3179" t="str">
        <f t="shared" si="99"/>
        <v>mmol/mol</v>
      </c>
      <c r="S3179" s="13">
        <f t="shared" si="96"/>
        <v>-1.6550077862741599</v>
      </c>
    </row>
    <row r="3180" spans="1:19">
      <c r="A3180" s="18" t="s">
        <v>3504</v>
      </c>
      <c r="B3180" s="1" t="s">
        <v>3274</v>
      </c>
      <c r="C3180" s="1" t="s">
        <v>3512</v>
      </c>
      <c r="D3180" s="1" t="s">
        <v>3630</v>
      </c>
      <c r="E3180" s="1" t="s">
        <v>25</v>
      </c>
      <c r="F3180">
        <v>650</v>
      </c>
      <c r="G3180">
        <v>650</v>
      </c>
      <c r="H3180">
        <v>156.6</v>
      </c>
      <c r="I3180" s="1" t="s">
        <v>1528</v>
      </c>
      <c r="J3180" s="1" t="s">
        <v>3555</v>
      </c>
      <c r="K3180" s="1" t="s">
        <v>25</v>
      </c>
      <c r="L3180">
        <v>-1.63815318365342</v>
      </c>
      <c r="M3180" t="str">
        <f t="shared" si="97"/>
        <v>44/40</v>
      </c>
      <c r="N3180" t="str">
        <f t="shared" si="98"/>
        <v>SW</v>
      </c>
      <c r="O3180" s="1" t="s">
        <v>25</v>
      </c>
      <c r="P3180" s="3" t="s">
        <v>25</v>
      </c>
      <c r="Q3180" s="37">
        <v>1.5433695999999999</v>
      </c>
      <c r="R3180" t="str">
        <f t="shared" si="99"/>
        <v>mmol/mol</v>
      </c>
      <c r="S3180" s="13">
        <f t="shared" ref="S3180:S3243" si="100">IF(NOT(N3180="SW"),L3180-1.88,L3180)</f>
        <v>-1.63815318365342</v>
      </c>
    </row>
    <row r="3181" spans="1:19">
      <c r="A3181" s="18" t="s">
        <v>3504</v>
      </c>
      <c r="B3181" s="1" t="s">
        <v>3275</v>
      </c>
      <c r="C3181" s="1" t="s">
        <v>3512</v>
      </c>
      <c r="D3181" s="1" t="s">
        <v>3630</v>
      </c>
      <c r="E3181" s="1" t="s">
        <v>25</v>
      </c>
      <c r="F3181">
        <v>650</v>
      </c>
      <c r="G3181">
        <v>650</v>
      </c>
      <c r="H3181">
        <v>161.1</v>
      </c>
      <c r="I3181" s="1" t="s">
        <v>1528</v>
      </c>
      <c r="J3181" s="1" t="s">
        <v>3554</v>
      </c>
      <c r="K3181" s="1" t="s">
        <v>25</v>
      </c>
      <c r="L3181">
        <v>-1.7900855536551099</v>
      </c>
      <c r="M3181" t="str">
        <f t="shared" si="97"/>
        <v>44/40</v>
      </c>
      <c r="N3181" t="str">
        <f t="shared" si="98"/>
        <v>SW</v>
      </c>
      <c r="O3181" s="1" t="s">
        <v>25</v>
      </c>
      <c r="P3181" s="3" t="s">
        <v>25</v>
      </c>
      <c r="Q3181" s="37">
        <v>1.23204977343191</v>
      </c>
      <c r="R3181" t="str">
        <f t="shared" si="99"/>
        <v>mmol/mol</v>
      </c>
      <c r="S3181" s="13">
        <f t="shared" si="100"/>
        <v>-1.7900855536551099</v>
      </c>
    </row>
    <row r="3182" spans="1:19">
      <c r="A3182" s="18" t="s">
        <v>3504</v>
      </c>
      <c r="B3182" s="1" t="s">
        <v>3276</v>
      </c>
      <c r="C3182" s="1" t="s">
        <v>3512</v>
      </c>
      <c r="D3182" s="1" t="s">
        <v>3630</v>
      </c>
      <c r="E3182" s="1" t="s">
        <v>25</v>
      </c>
      <c r="F3182">
        <v>650</v>
      </c>
      <c r="G3182">
        <v>650</v>
      </c>
      <c r="H3182">
        <v>167.1</v>
      </c>
      <c r="I3182" s="1" t="s">
        <v>1528</v>
      </c>
      <c r="J3182" s="1" t="s">
        <v>3554</v>
      </c>
      <c r="K3182" s="1" t="s">
        <v>25</v>
      </c>
      <c r="L3182">
        <v>-1.5858952210742701</v>
      </c>
      <c r="M3182" t="str">
        <f t="shared" si="97"/>
        <v>44/40</v>
      </c>
      <c r="N3182" t="str">
        <f t="shared" si="98"/>
        <v>SW</v>
      </c>
      <c r="O3182" s="1" t="s">
        <v>25</v>
      </c>
      <c r="P3182" s="3" t="s">
        <v>25</v>
      </c>
      <c r="Q3182" s="37">
        <v>7.5921464429875396</v>
      </c>
      <c r="R3182" t="str">
        <f t="shared" si="99"/>
        <v>mmol/mol</v>
      </c>
      <c r="S3182" s="13">
        <f t="shared" si="100"/>
        <v>-1.5858952210742701</v>
      </c>
    </row>
    <row r="3183" spans="1:19">
      <c r="A3183" s="18" t="s">
        <v>3504</v>
      </c>
      <c r="B3183" s="1" t="s">
        <v>3277</v>
      </c>
      <c r="C3183" s="1" t="s">
        <v>3512</v>
      </c>
      <c r="D3183" s="1" t="s">
        <v>3630</v>
      </c>
      <c r="E3183" s="1" t="s">
        <v>25</v>
      </c>
      <c r="F3183">
        <v>650</v>
      </c>
      <c r="G3183">
        <v>650</v>
      </c>
      <c r="H3183">
        <v>170.8</v>
      </c>
      <c r="I3183" s="1" t="s">
        <v>1528</v>
      </c>
      <c r="J3183" s="1" t="s">
        <v>3553</v>
      </c>
      <c r="K3183" s="1" t="s">
        <v>25</v>
      </c>
      <c r="L3183">
        <v>-1.74377003596102</v>
      </c>
      <c r="M3183" t="str">
        <f t="shared" si="97"/>
        <v>44/40</v>
      </c>
      <c r="N3183" t="str">
        <f t="shared" si="98"/>
        <v>SW</v>
      </c>
      <c r="O3183" s="1" t="s">
        <v>25</v>
      </c>
      <c r="P3183" s="3" t="s">
        <v>25</v>
      </c>
      <c r="Q3183" s="37">
        <v>1.3172117000000001</v>
      </c>
      <c r="R3183" t="str">
        <f t="shared" si="99"/>
        <v>mmol/mol</v>
      </c>
      <c r="S3183" s="13">
        <f t="shared" si="100"/>
        <v>-1.74377003596102</v>
      </c>
    </row>
    <row r="3184" spans="1:19">
      <c r="A3184" s="18" t="s">
        <v>3504</v>
      </c>
      <c r="B3184" s="1" t="s">
        <v>3278</v>
      </c>
      <c r="C3184" s="1" t="s">
        <v>3512</v>
      </c>
      <c r="D3184" s="1" t="s">
        <v>3630</v>
      </c>
      <c r="E3184" s="1" t="s">
        <v>25</v>
      </c>
      <c r="F3184">
        <v>650</v>
      </c>
      <c r="G3184">
        <v>650</v>
      </c>
      <c r="H3184">
        <v>180</v>
      </c>
      <c r="I3184" s="1" t="s">
        <v>1528</v>
      </c>
      <c r="J3184" s="1" t="s">
        <v>3554</v>
      </c>
      <c r="K3184" s="1" t="s">
        <v>25</v>
      </c>
      <c r="L3184">
        <v>-1.6400982643979001</v>
      </c>
      <c r="M3184" t="str">
        <f t="shared" ref="M3184:M3247" si="101">IF(L3184="Na","Na","44/40")</f>
        <v>44/40</v>
      </c>
      <c r="N3184" t="str">
        <f t="shared" ref="N3184:N3247" si="102">IF(M3184="Na","Na","SW")</f>
        <v>SW</v>
      </c>
      <c r="O3184" s="1" t="s">
        <v>25</v>
      </c>
      <c r="P3184" s="3" t="s">
        <v>25</v>
      </c>
      <c r="Q3184" s="37">
        <v>0.61430729505253401</v>
      </c>
      <c r="R3184" t="str">
        <f t="shared" ref="R3184:R3247" si="103">IF(Q3184="Na","Na","mmol/mol")</f>
        <v>mmol/mol</v>
      </c>
      <c r="S3184" s="13">
        <f t="shared" si="100"/>
        <v>-1.6400982643979001</v>
      </c>
    </row>
    <row r="3185" spans="1:19">
      <c r="A3185" s="18" t="s">
        <v>3504</v>
      </c>
      <c r="B3185" s="1" t="s">
        <v>3279</v>
      </c>
      <c r="C3185" s="1" t="s">
        <v>3512</v>
      </c>
      <c r="D3185" s="1" t="s">
        <v>3630</v>
      </c>
      <c r="E3185" s="1" t="s">
        <v>25</v>
      </c>
      <c r="F3185">
        <v>650</v>
      </c>
      <c r="G3185">
        <v>650</v>
      </c>
      <c r="H3185">
        <v>183</v>
      </c>
      <c r="I3185" s="1" t="s">
        <v>1528</v>
      </c>
      <c r="J3185" s="1" t="s">
        <v>3552</v>
      </c>
      <c r="K3185" s="1" t="s">
        <v>25</v>
      </c>
      <c r="L3185">
        <v>-1.7494159654036701</v>
      </c>
      <c r="M3185" t="str">
        <f t="shared" si="101"/>
        <v>44/40</v>
      </c>
      <c r="N3185" t="str">
        <f t="shared" si="102"/>
        <v>SW</v>
      </c>
      <c r="O3185" s="1" t="s">
        <v>25</v>
      </c>
      <c r="P3185" s="3" t="s">
        <v>25</v>
      </c>
      <c r="Q3185" s="37">
        <v>1.7623850889789201</v>
      </c>
      <c r="R3185" t="str">
        <f t="shared" si="103"/>
        <v>mmol/mol</v>
      </c>
      <c r="S3185" s="13">
        <f t="shared" si="100"/>
        <v>-1.7494159654036701</v>
      </c>
    </row>
    <row r="3186" spans="1:19">
      <c r="A3186" s="18" t="s">
        <v>3504</v>
      </c>
      <c r="B3186" s="1" t="s">
        <v>3280</v>
      </c>
      <c r="C3186" s="1" t="s">
        <v>3512</v>
      </c>
      <c r="D3186" s="1" t="s">
        <v>3630</v>
      </c>
      <c r="E3186" s="1" t="s">
        <v>25</v>
      </c>
      <c r="F3186">
        <v>650</v>
      </c>
      <c r="G3186">
        <v>650</v>
      </c>
      <c r="H3186">
        <v>186.9</v>
      </c>
      <c r="I3186" s="1" t="s">
        <v>1528</v>
      </c>
      <c r="J3186" s="1" t="s">
        <v>3553</v>
      </c>
      <c r="K3186" s="1" t="s">
        <v>25</v>
      </c>
      <c r="L3186">
        <v>-1.88140446321332</v>
      </c>
      <c r="M3186" t="str">
        <f t="shared" si="101"/>
        <v>44/40</v>
      </c>
      <c r="N3186" t="str">
        <f t="shared" si="102"/>
        <v>SW</v>
      </c>
      <c r="O3186" s="1" t="s">
        <v>25</v>
      </c>
      <c r="P3186" s="3" t="s">
        <v>25</v>
      </c>
      <c r="Q3186" s="37">
        <v>1.8748549000000001</v>
      </c>
      <c r="R3186" t="str">
        <f t="shared" si="103"/>
        <v>mmol/mol</v>
      </c>
      <c r="S3186" s="13">
        <f t="shared" si="100"/>
        <v>-1.88140446321332</v>
      </c>
    </row>
    <row r="3187" spans="1:19">
      <c r="A3187" s="18" t="s">
        <v>3504</v>
      </c>
      <c r="B3187" s="1" t="s">
        <v>3281</v>
      </c>
      <c r="C3187" s="1" t="s">
        <v>3512</v>
      </c>
      <c r="D3187" s="1" t="s">
        <v>3630</v>
      </c>
      <c r="E3187" s="1" t="s">
        <v>25</v>
      </c>
      <c r="F3187">
        <v>650</v>
      </c>
      <c r="G3187">
        <v>650</v>
      </c>
      <c r="H3187">
        <v>192</v>
      </c>
      <c r="I3187" s="1" t="s">
        <v>1528</v>
      </c>
      <c r="J3187" s="1" t="s">
        <v>3553</v>
      </c>
      <c r="K3187" s="1" t="s">
        <v>25</v>
      </c>
      <c r="L3187">
        <v>-1.6891542870201799</v>
      </c>
      <c r="M3187" t="str">
        <f t="shared" si="101"/>
        <v>44/40</v>
      </c>
      <c r="N3187" t="str">
        <f t="shared" si="102"/>
        <v>SW</v>
      </c>
      <c r="O3187" s="1" t="s">
        <v>25</v>
      </c>
      <c r="P3187" s="3" t="s">
        <v>25</v>
      </c>
      <c r="Q3187" s="37">
        <v>1.4347707999999999</v>
      </c>
      <c r="R3187" t="str">
        <f t="shared" si="103"/>
        <v>mmol/mol</v>
      </c>
      <c r="S3187" s="13">
        <f t="shared" si="100"/>
        <v>-1.6891542870201799</v>
      </c>
    </row>
    <row r="3188" spans="1:19">
      <c r="A3188" s="18" t="s">
        <v>3504</v>
      </c>
      <c r="B3188" s="1" t="s">
        <v>3282</v>
      </c>
      <c r="C3188" s="1" t="s">
        <v>3512</v>
      </c>
      <c r="D3188" s="1" t="s">
        <v>3630</v>
      </c>
      <c r="E3188" s="1" t="s">
        <v>25</v>
      </c>
      <c r="F3188">
        <v>650</v>
      </c>
      <c r="G3188">
        <v>650</v>
      </c>
      <c r="H3188">
        <v>200.6</v>
      </c>
      <c r="I3188" s="1" t="s">
        <v>1528</v>
      </c>
      <c r="J3188" s="1" t="s">
        <v>3553</v>
      </c>
      <c r="K3188" s="1" t="s">
        <v>25</v>
      </c>
      <c r="L3188">
        <v>-1.8828464816794599</v>
      </c>
      <c r="M3188" t="str">
        <f t="shared" si="101"/>
        <v>44/40</v>
      </c>
      <c r="N3188" t="str">
        <f t="shared" si="102"/>
        <v>SW</v>
      </c>
      <c r="O3188" s="1" t="s">
        <v>25</v>
      </c>
      <c r="P3188" s="3" t="s">
        <v>25</v>
      </c>
      <c r="Q3188" s="37">
        <v>2.6445667265870201</v>
      </c>
      <c r="R3188" t="str">
        <f t="shared" si="103"/>
        <v>mmol/mol</v>
      </c>
      <c r="S3188" s="13">
        <f t="shared" si="100"/>
        <v>-1.8828464816794599</v>
      </c>
    </row>
    <row r="3189" spans="1:19">
      <c r="A3189" s="18" t="s">
        <v>3504</v>
      </c>
      <c r="B3189" s="1" t="s">
        <v>3283</v>
      </c>
      <c r="C3189" s="1" t="s">
        <v>3512</v>
      </c>
      <c r="D3189" s="1" t="s">
        <v>3630</v>
      </c>
      <c r="E3189" s="1" t="s">
        <v>25</v>
      </c>
      <c r="F3189">
        <v>650</v>
      </c>
      <c r="G3189">
        <v>650</v>
      </c>
      <c r="H3189">
        <v>205.3</v>
      </c>
      <c r="I3189" s="1" t="s">
        <v>1528</v>
      </c>
      <c r="J3189" s="1" t="s">
        <v>3552</v>
      </c>
      <c r="K3189" s="1" t="s">
        <v>25</v>
      </c>
      <c r="L3189">
        <v>-1.85046038496567</v>
      </c>
      <c r="M3189" t="str">
        <f t="shared" si="101"/>
        <v>44/40</v>
      </c>
      <c r="N3189" t="str">
        <f t="shared" si="102"/>
        <v>SW</v>
      </c>
      <c r="O3189" s="1" t="s">
        <v>25</v>
      </c>
      <c r="P3189" s="3" t="s">
        <v>25</v>
      </c>
      <c r="Q3189" s="37">
        <v>3.1521189000000001</v>
      </c>
      <c r="R3189" t="str">
        <f t="shared" si="103"/>
        <v>mmol/mol</v>
      </c>
      <c r="S3189" s="13">
        <f t="shared" si="100"/>
        <v>-1.85046038496567</v>
      </c>
    </row>
    <row r="3190" spans="1:19">
      <c r="A3190" s="18" t="s">
        <v>3504</v>
      </c>
      <c r="B3190" s="1" t="s">
        <v>3284</v>
      </c>
      <c r="C3190" s="1" t="s">
        <v>3512</v>
      </c>
      <c r="D3190" s="1" t="s">
        <v>3630</v>
      </c>
      <c r="E3190" s="1" t="s">
        <v>25</v>
      </c>
      <c r="F3190">
        <v>650</v>
      </c>
      <c r="G3190">
        <v>650</v>
      </c>
      <c r="H3190">
        <v>206</v>
      </c>
      <c r="I3190" s="1" t="s">
        <v>1528</v>
      </c>
      <c r="J3190" s="1" t="s">
        <v>3552</v>
      </c>
      <c r="K3190" s="1" t="s">
        <v>25</v>
      </c>
      <c r="L3190">
        <v>-1.7356148972571199</v>
      </c>
      <c r="M3190" t="str">
        <f t="shared" si="101"/>
        <v>44/40</v>
      </c>
      <c r="N3190" t="str">
        <f t="shared" si="102"/>
        <v>SW</v>
      </c>
      <c r="O3190" s="1" t="s">
        <v>25</v>
      </c>
      <c r="P3190" s="3" t="s">
        <v>25</v>
      </c>
      <c r="Q3190" s="37">
        <v>0.78656187972528802</v>
      </c>
      <c r="R3190" t="str">
        <f t="shared" si="103"/>
        <v>mmol/mol</v>
      </c>
      <c r="S3190" s="13">
        <f t="shared" si="100"/>
        <v>-1.7356148972571199</v>
      </c>
    </row>
    <row r="3191" spans="1:19">
      <c r="A3191" s="18" t="s">
        <v>3504</v>
      </c>
      <c r="B3191" s="1" t="s">
        <v>3285</v>
      </c>
      <c r="C3191" s="1" t="s">
        <v>3512</v>
      </c>
      <c r="D3191" s="1" t="s">
        <v>3630</v>
      </c>
      <c r="E3191" s="1" t="s">
        <v>25</v>
      </c>
      <c r="F3191">
        <v>650</v>
      </c>
      <c r="G3191">
        <v>650</v>
      </c>
      <c r="H3191">
        <v>207.3</v>
      </c>
      <c r="I3191" s="1" t="s">
        <v>1528</v>
      </c>
      <c r="J3191" s="1" t="s">
        <v>3553</v>
      </c>
      <c r="K3191" s="1" t="s">
        <v>25</v>
      </c>
      <c r="L3191">
        <v>-1.7743248345937801</v>
      </c>
      <c r="M3191" t="str">
        <f t="shared" si="101"/>
        <v>44/40</v>
      </c>
      <c r="N3191" t="str">
        <f t="shared" si="102"/>
        <v>SW</v>
      </c>
      <c r="O3191" s="1" t="s">
        <v>25</v>
      </c>
      <c r="P3191" s="3" t="s">
        <v>25</v>
      </c>
      <c r="Q3191" s="37">
        <v>2.4080133801864898</v>
      </c>
      <c r="R3191" t="str">
        <f t="shared" si="103"/>
        <v>mmol/mol</v>
      </c>
      <c r="S3191" s="13">
        <f t="shared" si="100"/>
        <v>-1.7743248345937801</v>
      </c>
    </row>
    <row r="3192" spans="1:19">
      <c r="A3192" s="18" t="s">
        <v>3504</v>
      </c>
      <c r="B3192" s="1" t="s">
        <v>3286</v>
      </c>
      <c r="C3192" s="1" t="s">
        <v>3512</v>
      </c>
      <c r="D3192" s="1" t="s">
        <v>3630</v>
      </c>
      <c r="E3192" s="1" t="s">
        <v>25</v>
      </c>
      <c r="F3192">
        <v>650</v>
      </c>
      <c r="G3192">
        <v>650</v>
      </c>
      <c r="H3192">
        <v>209</v>
      </c>
      <c r="I3192" s="1" t="s">
        <v>1528</v>
      </c>
      <c r="J3192" s="1" t="s">
        <v>3552</v>
      </c>
      <c r="K3192" s="1" t="s">
        <v>25</v>
      </c>
      <c r="L3192">
        <v>-1.7456987888058599</v>
      </c>
      <c r="M3192" t="str">
        <f t="shared" si="101"/>
        <v>44/40</v>
      </c>
      <c r="N3192" t="str">
        <f t="shared" si="102"/>
        <v>SW</v>
      </c>
      <c r="O3192" s="1" t="s">
        <v>25</v>
      </c>
      <c r="P3192" s="3" t="s">
        <v>25</v>
      </c>
      <c r="Q3192" s="37">
        <v>2.7393409138026201</v>
      </c>
      <c r="R3192" t="str">
        <f t="shared" si="103"/>
        <v>mmol/mol</v>
      </c>
      <c r="S3192" s="13">
        <f t="shared" si="100"/>
        <v>-1.7456987888058599</v>
      </c>
    </row>
    <row r="3193" spans="1:19">
      <c r="A3193" s="18" t="s">
        <v>3504</v>
      </c>
      <c r="B3193" s="1" t="s">
        <v>3287</v>
      </c>
      <c r="C3193" s="1" t="s">
        <v>3512</v>
      </c>
      <c r="D3193" s="1" t="s">
        <v>3630</v>
      </c>
      <c r="E3193" s="1" t="s">
        <v>25</v>
      </c>
      <c r="F3193">
        <v>650</v>
      </c>
      <c r="G3193">
        <v>650</v>
      </c>
      <c r="H3193">
        <v>211</v>
      </c>
      <c r="I3193" s="1" t="s">
        <v>1528</v>
      </c>
      <c r="J3193" s="1" t="s">
        <v>3552</v>
      </c>
      <c r="K3193" s="1" t="s">
        <v>25</v>
      </c>
      <c r="L3193">
        <v>-1.63262338010569</v>
      </c>
      <c r="M3193" t="str">
        <f t="shared" si="101"/>
        <v>44/40</v>
      </c>
      <c r="N3193" t="str">
        <f t="shared" si="102"/>
        <v>SW</v>
      </c>
      <c r="O3193" s="1" t="s">
        <v>25</v>
      </c>
      <c r="P3193" s="3" t="s">
        <v>25</v>
      </c>
      <c r="Q3193" s="37">
        <v>2.1488749999999999</v>
      </c>
      <c r="R3193" t="str">
        <f t="shared" si="103"/>
        <v>mmol/mol</v>
      </c>
      <c r="S3193" s="13">
        <f t="shared" si="100"/>
        <v>-1.63262338010569</v>
      </c>
    </row>
    <row r="3194" spans="1:19">
      <c r="A3194" s="18" t="s">
        <v>3504</v>
      </c>
      <c r="B3194" s="1" t="s">
        <v>3288</v>
      </c>
      <c r="C3194" s="1" t="s">
        <v>3512</v>
      </c>
      <c r="D3194" s="1" t="s">
        <v>3630</v>
      </c>
      <c r="E3194" s="1" t="s">
        <v>25</v>
      </c>
      <c r="F3194">
        <v>650</v>
      </c>
      <c r="G3194">
        <v>650</v>
      </c>
      <c r="H3194">
        <v>214.2</v>
      </c>
      <c r="I3194" s="1" t="s">
        <v>1528</v>
      </c>
      <c r="J3194" s="1" t="s">
        <v>3527</v>
      </c>
      <c r="K3194" s="1" t="s">
        <v>25</v>
      </c>
      <c r="L3194">
        <v>-1.6285144300495</v>
      </c>
      <c r="M3194" t="str">
        <f t="shared" si="101"/>
        <v>44/40</v>
      </c>
      <c r="N3194" t="str">
        <f t="shared" si="102"/>
        <v>SW</v>
      </c>
      <c r="O3194" s="1" t="s">
        <v>25</v>
      </c>
      <c r="P3194" s="3" t="s">
        <v>25</v>
      </c>
      <c r="Q3194" s="37">
        <v>1.6132405999999999</v>
      </c>
      <c r="R3194" t="str">
        <f t="shared" si="103"/>
        <v>mmol/mol</v>
      </c>
      <c r="S3194" s="13">
        <f t="shared" si="100"/>
        <v>-1.6285144300495</v>
      </c>
    </row>
    <row r="3195" spans="1:19">
      <c r="A3195" s="18" t="s">
        <v>3504</v>
      </c>
      <c r="B3195" s="1" t="s">
        <v>3289</v>
      </c>
      <c r="C3195" s="1" t="s">
        <v>3512</v>
      </c>
      <c r="D3195" s="1" t="s">
        <v>3630</v>
      </c>
      <c r="E3195" s="1" t="s">
        <v>25</v>
      </c>
      <c r="F3195">
        <v>650</v>
      </c>
      <c r="G3195">
        <v>650</v>
      </c>
      <c r="H3195">
        <v>216.7</v>
      </c>
      <c r="I3195" s="1" t="s">
        <v>1528</v>
      </c>
      <c r="J3195" s="1" t="s">
        <v>3553</v>
      </c>
      <c r="K3195" s="1" t="s">
        <v>25</v>
      </c>
      <c r="L3195">
        <v>-1.6656578269337601</v>
      </c>
      <c r="M3195" t="str">
        <f t="shared" si="101"/>
        <v>44/40</v>
      </c>
      <c r="N3195" t="str">
        <f t="shared" si="102"/>
        <v>SW</v>
      </c>
      <c r="O3195" s="1" t="s">
        <v>25</v>
      </c>
      <c r="P3195" s="3" t="s">
        <v>25</v>
      </c>
      <c r="Q3195" s="37">
        <v>1.6181677000000001</v>
      </c>
      <c r="R3195" t="str">
        <f t="shared" si="103"/>
        <v>mmol/mol</v>
      </c>
      <c r="S3195" s="13">
        <f t="shared" si="100"/>
        <v>-1.6656578269337601</v>
      </c>
    </row>
    <row r="3196" spans="1:19">
      <c r="A3196" s="18" t="s">
        <v>3504</v>
      </c>
      <c r="B3196" s="1" t="s">
        <v>3290</v>
      </c>
      <c r="C3196" s="1" t="s">
        <v>3512</v>
      </c>
      <c r="D3196" s="1" t="s">
        <v>3630</v>
      </c>
      <c r="E3196" s="1" t="s">
        <v>25</v>
      </c>
      <c r="F3196">
        <v>650</v>
      </c>
      <c r="G3196">
        <v>650</v>
      </c>
      <c r="H3196">
        <v>220.4</v>
      </c>
      <c r="I3196" s="1" t="s">
        <v>1528</v>
      </c>
      <c r="J3196" s="1" t="s">
        <v>3553</v>
      </c>
      <c r="K3196" s="1" t="s">
        <v>25</v>
      </c>
      <c r="L3196">
        <v>-1.65365069545407</v>
      </c>
      <c r="M3196" t="str">
        <f t="shared" si="101"/>
        <v>44/40</v>
      </c>
      <c r="N3196" t="str">
        <f t="shared" si="102"/>
        <v>SW</v>
      </c>
      <c r="O3196" s="1" t="s">
        <v>25</v>
      </c>
      <c r="P3196" s="3" t="s">
        <v>25</v>
      </c>
      <c r="Q3196" s="37">
        <v>6.0484331999999998</v>
      </c>
      <c r="R3196" t="str">
        <f t="shared" si="103"/>
        <v>mmol/mol</v>
      </c>
      <c r="S3196" s="13">
        <f t="shared" si="100"/>
        <v>-1.65365069545407</v>
      </c>
    </row>
    <row r="3197" spans="1:19">
      <c r="A3197" s="18" t="s">
        <v>3504</v>
      </c>
      <c r="B3197" s="1" t="s">
        <v>3291</v>
      </c>
      <c r="C3197" s="1" t="s">
        <v>3512</v>
      </c>
      <c r="D3197" s="1" t="s">
        <v>3630</v>
      </c>
      <c r="E3197" s="1" t="s">
        <v>25</v>
      </c>
      <c r="F3197">
        <v>650</v>
      </c>
      <c r="G3197">
        <v>650</v>
      </c>
      <c r="H3197">
        <v>222.3</v>
      </c>
      <c r="I3197" s="1" t="s">
        <v>1528</v>
      </c>
      <c r="J3197" s="1" t="s">
        <v>3552</v>
      </c>
      <c r="K3197" s="1" t="s">
        <v>25</v>
      </c>
      <c r="L3197">
        <v>-1.5858866074162099</v>
      </c>
      <c r="M3197" t="str">
        <f t="shared" si="101"/>
        <v>44/40</v>
      </c>
      <c r="N3197" t="str">
        <f t="shared" si="102"/>
        <v>SW</v>
      </c>
      <c r="O3197" s="1" t="s">
        <v>25</v>
      </c>
      <c r="P3197" s="3" t="s">
        <v>25</v>
      </c>
      <c r="Q3197" s="37">
        <v>1.2494398</v>
      </c>
      <c r="R3197" t="str">
        <f t="shared" si="103"/>
        <v>mmol/mol</v>
      </c>
      <c r="S3197" s="13">
        <f t="shared" si="100"/>
        <v>-1.5858866074162099</v>
      </c>
    </row>
    <row r="3198" spans="1:19">
      <c r="A3198" s="18" t="s">
        <v>3504</v>
      </c>
      <c r="B3198" s="1" t="s">
        <v>3292</v>
      </c>
      <c r="C3198" s="1" t="s">
        <v>3512</v>
      </c>
      <c r="D3198" s="1" t="s">
        <v>3630</v>
      </c>
      <c r="E3198" s="1" t="s">
        <v>25</v>
      </c>
      <c r="F3198">
        <v>650</v>
      </c>
      <c r="G3198">
        <v>650</v>
      </c>
      <c r="H3198">
        <v>227.1</v>
      </c>
      <c r="I3198" s="1" t="s">
        <v>1528</v>
      </c>
      <c r="J3198" s="1" t="s">
        <v>3553</v>
      </c>
      <c r="K3198" s="1" t="s">
        <v>25</v>
      </c>
      <c r="L3198">
        <v>-1.6656162078748999</v>
      </c>
      <c r="M3198" t="str">
        <f t="shared" si="101"/>
        <v>44/40</v>
      </c>
      <c r="N3198" t="str">
        <f t="shared" si="102"/>
        <v>SW</v>
      </c>
      <c r="O3198" s="1" t="s">
        <v>25</v>
      </c>
      <c r="P3198" s="3" t="s">
        <v>25</v>
      </c>
      <c r="Q3198" s="37">
        <v>1.4597275999999999</v>
      </c>
      <c r="R3198" t="str">
        <f t="shared" si="103"/>
        <v>mmol/mol</v>
      </c>
      <c r="S3198" s="13">
        <f t="shared" si="100"/>
        <v>-1.6656162078748999</v>
      </c>
    </row>
    <row r="3199" spans="1:19">
      <c r="A3199" s="18" t="s">
        <v>3504</v>
      </c>
      <c r="B3199" s="1" t="s">
        <v>3293</v>
      </c>
      <c r="C3199" s="1" t="s">
        <v>3512</v>
      </c>
      <c r="D3199" s="1" t="s">
        <v>3630</v>
      </c>
      <c r="E3199" s="1" t="s">
        <v>25</v>
      </c>
      <c r="F3199">
        <v>650</v>
      </c>
      <c r="G3199">
        <v>650</v>
      </c>
      <c r="H3199">
        <v>228.2</v>
      </c>
      <c r="I3199" s="1" t="s">
        <v>1528</v>
      </c>
      <c r="J3199" s="1" t="s">
        <v>3553</v>
      </c>
      <c r="K3199" s="1" t="s">
        <v>25</v>
      </c>
      <c r="L3199">
        <v>-1.59291922525435</v>
      </c>
      <c r="M3199" t="str">
        <f t="shared" si="101"/>
        <v>44/40</v>
      </c>
      <c r="N3199" t="str">
        <f t="shared" si="102"/>
        <v>SW</v>
      </c>
      <c r="O3199" s="1" t="s">
        <v>25</v>
      </c>
      <c r="P3199" s="3" t="s">
        <v>25</v>
      </c>
      <c r="Q3199" s="37">
        <v>1.1334221</v>
      </c>
      <c r="R3199" t="str">
        <f t="shared" si="103"/>
        <v>mmol/mol</v>
      </c>
      <c r="S3199" s="13">
        <f t="shared" si="100"/>
        <v>-1.59291922525435</v>
      </c>
    </row>
    <row r="3200" spans="1:19">
      <c r="A3200" s="18" t="s">
        <v>3504</v>
      </c>
      <c r="B3200" s="1" t="s">
        <v>3294</v>
      </c>
      <c r="C3200" s="1" t="s">
        <v>3512</v>
      </c>
      <c r="D3200" s="1" t="s">
        <v>3630</v>
      </c>
      <c r="E3200" s="1" t="s">
        <v>25</v>
      </c>
      <c r="F3200">
        <v>650</v>
      </c>
      <c r="G3200">
        <v>650</v>
      </c>
      <c r="H3200">
        <v>229.3</v>
      </c>
      <c r="I3200" s="1" t="s">
        <v>1528</v>
      </c>
      <c r="J3200" s="1" t="s">
        <v>3553</v>
      </c>
      <c r="K3200" s="1" t="s">
        <v>25</v>
      </c>
      <c r="L3200">
        <v>-1.67402438561131</v>
      </c>
      <c r="M3200" t="str">
        <f t="shared" si="101"/>
        <v>44/40</v>
      </c>
      <c r="N3200" t="str">
        <f t="shared" si="102"/>
        <v>SW</v>
      </c>
      <c r="O3200" s="1" t="s">
        <v>25</v>
      </c>
      <c r="P3200" s="3" t="s">
        <v>25</v>
      </c>
      <c r="Q3200" s="37">
        <v>1.8477173</v>
      </c>
      <c r="R3200" t="str">
        <f t="shared" si="103"/>
        <v>mmol/mol</v>
      </c>
      <c r="S3200" s="13">
        <f t="shared" si="100"/>
        <v>-1.67402438561131</v>
      </c>
    </row>
    <row r="3201" spans="1:19">
      <c r="A3201" s="18" t="s">
        <v>3504</v>
      </c>
      <c r="B3201" s="1" t="s">
        <v>3295</v>
      </c>
      <c r="C3201" s="1" t="s">
        <v>3512</v>
      </c>
      <c r="D3201" s="1" t="s">
        <v>3630</v>
      </c>
      <c r="E3201" s="1" t="s">
        <v>25</v>
      </c>
      <c r="F3201">
        <v>650</v>
      </c>
      <c r="G3201">
        <v>650</v>
      </c>
      <c r="H3201">
        <v>231.8</v>
      </c>
      <c r="I3201" s="1" t="s">
        <v>1528</v>
      </c>
      <c r="J3201" s="1" t="s">
        <v>3553</v>
      </c>
      <c r="K3201" s="1" t="s">
        <v>25</v>
      </c>
      <c r="L3201">
        <v>-1.7949120683439399</v>
      </c>
      <c r="M3201" t="str">
        <f t="shared" si="101"/>
        <v>44/40</v>
      </c>
      <c r="N3201" t="str">
        <f t="shared" si="102"/>
        <v>SW</v>
      </c>
      <c r="O3201" s="1" t="s">
        <v>25</v>
      </c>
      <c r="P3201" s="3" t="s">
        <v>25</v>
      </c>
      <c r="Q3201" s="37">
        <v>1.4358616</v>
      </c>
      <c r="R3201" t="str">
        <f t="shared" si="103"/>
        <v>mmol/mol</v>
      </c>
      <c r="S3201" s="13">
        <f t="shared" si="100"/>
        <v>-1.7949120683439399</v>
      </c>
    </row>
    <row r="3202" spans="1:19">
      <c r="A3202" s="18" t="s">
        <v>3504</v>
      </c>
      <c r="B3202" s="1" t="s">
        <v>3296</v>
      </c>
      <c r="C3202" s="1" t="s">
        <v>3512</v>
      </c>
      <c r="D3202" s="1" t="s">
        <v>3630</v>
      </c>
      <c r="E3202" s="1" t="s">
        <v>25</v>
      </c>
      <c r="F3202">
        <v>650</v>
      </c>
      <c r="G3202">
        <v>650</v>
      </c>
      <c r="H3202">
        <v>235.2</v>
      </c>
      <c r="I3202" s="1" t="s">
        <v>1528</v>
      </c>
      <c r="J3202" s="1" t="s">
        <v>3552</v>
      </c>
      <c r="K3202" s="1" t="s">
        <v>25</v>
      </c>
      <c r="L3202">
        <v>-1.6973044773030601</v>
      </c>
      <c r="M3202" t="str">
        <f t="shared" si="101"/>
        <v>44/40</v>
      </c>
      <c r="N3202" t="str">
        <f t="shared" si="102"/>
        <v>SW</v>
      </c>
      <c r="O3202" s="1" t="s">
        <v>25</v>
      </c>
      <c r="P3202" s="3" t="s">
        <v>25</v>
      </c>
      <c r="Q3202" s="37">
        <v>1.0350467999999999</v>
      </c>
      <c r="R3202" t="str">
        <f t="shared" si="103"/>
        <v>mmol/mol</v>
      </c>
      <c r="S3202" s="13">
        <f t="shared" si="100"/>
        <v>-1.6973044773030601</v>
      </c>
    </row>
    <row r="3203" spans="1:19">
      <c r="A3203" s="18" t="s">
        <v>3504</v>
      </c>
      <c r="B3203" s="1" t="s">
        <v>3297</v>
      </c>
      <c r="C3203" s="1" t="s">
        <v>3512</v>
      </c>
      <c r="D3203" s="1" t="s">
        <v>3630</v>
      </c>
      <c r="E3203" s="1" t="s">
        <v>25</v>
      </c>
      <c r="F3203">
        <v>650</v>
      </c>
      <c r="G3203">
        <v>650</v>
      </c>
      <c r="H3203">
        <v>236.8</v>
      </c>
      <c r="I3203" s="1" t="s">
        <v>1528</v>
      </c>
      <c r="J3203" s="1" t="s">
        <v>3556</v>
      </c>
      <c r="K3203" s="1" t="s">
        <v>25</v>
      </c>
      <c r="L3203">
        <v>-1.4498214905962901</v>
      </c>
      <c r="M3203" t="str">
        <f t="shared" si="101"/>
        <v>44/40</v>
      </c>
      <c r="N3203" t="str">
        <f t="shared" si="102"/>
        <v>SW</v>
      </c>
      <c r="O3203" s="1" t="s">
        <v>25</v>
      </c>
      <c r="P3203" s="3" t="s">
        <v>25</v>
      </c>
      <c r="Q3203" s="37">
        <v>0.57739910000000005</v>
      </c>
      <c r="R3203" t="str">
        <f t="shared" si="103"/>
        <v>mmol/mol</v>
      </c>
      <c r="S3203" s="13">
        <f t="shared" si="100"/>
        <v>-1.4498214905962901</v>
      </c>
    </row>
    <row r="3204" spans="1:19">
      <c r="A3204" s="18" t="s">
        <v>3504</v>
      </c>
      <c r="B3204" s="1" t="s">
        <v>3298</v>
      </c>
      <c r="C3204" s="1" t="s">
        <v>3512</v>
      </c>
      <c r="D3204" s="1" t="s">
        <v>3630</v>
      </c>
      <c r="E3204" s="1" t="s">
        <v>25</v>
      </c>
      <c r="F3204">
        <v>650</v>
      </c>
      <c r="G3204">
        <v>650</v>
      </c>
      <c r="H3204">
        <v>241.4</v>
      </c>
      <c r="I3204" s="1" t="s">
        <v>1528</v>
      </c>
      <c r="J3204" s="1" t="s">
        <v>3552</v>
      </c>
      <c r="K3204" s="1" t="s">
        <v>25</v>
      </c>
      <c r="L3204">
        <v>-1.5178950541448399</v>
      </c>
      <c r="M3204" t="str">
        <f t="shared" si="101"/>
        <v>44/40</v>
      </c>
      <c r="N3204" t="str">
        <f t="shared" si="102"/>
        <v>SW</v>
      </c>
      <c r="O3204" s="1" t="s">
        <v>25</v>
      </c>
      <c r="P3204" s="3" t="s">
        <v>25</v>
      </c>
      <c r="Q3204" s="37">
        <v>1.0665659000000001</v>
      </c>
      <c r="R3204" t="str">
        <f t="shared" si="103"/>
        <v>mmol/mol</v>
      </c>
      <c r="S3204" s="13">
        <f t="shared" si="100"/>
        <v>-1.5178950541448399</v>
      </c>
    </row>
    <row r="3205" spans="1:19">
      <c r="A3205" s="18" t="s">
        <v>3504</v>
      </c>
      <c r="B3205" s="1" t="s">
        <v>3299</v>
      </c>
      <c r="C3205" s="1" t="s">
        <v>3512</v>
      </c>
      <c r="D3205" s="1" t="s">
        <v>3630</v>
      </c>
      <c r="E3205" s="1" t="s">
        <v>25</v>
      </c>
      <c r="F3205">
        <v>650</v>
      </c>
      <c r="G3205">
        <v>650</v>
      </c>
      <c r="H3205">
        <v>243.5</v>
      </c>
      <c r="I3205" s="1" t="s">
        <v>1528</v>
      </c>
      <c r="J3205" s="1" t="s">
        <v>3554</v>
      </c>
      <c r="K3205" s="1" t="s">
        <v>25</v>
      </c>
      <c r="L3205">
        <v>-1.6737281877638801</v>
      </c>
      <c r="M3205" t="str">
        <f t="shared" si="101"/>
        <v>44/40</v>
      </c>
      <c r="N3205" t="str">
        <f t="shared" si="102"/>
        <v>SW</v>
      </c>
      <c r="O3205" s="1" t="s">
        <v>25</v>
      </c>
      <c r="P3205" s="3" t="s">
        <v>25</v>
      </c>
      <c r="Q3205" s="37">
        <v>1.3589741</v>
      </c>
      <c r="R3205" t="str">
        <f t="shared" si="103"/>
        <v>mmol/mol</v>
      </c>
      <c r="S3205" s="13">
        <f t="shared" si="100"/>
        <v>-1.6737281877638801</v>
      </c>
    </row>
    <row r="3206" spans="1:19">
      <c r="A3206" s="18" t="s">
        <v>3504</v>
      </c>
      <c r="B3206" s="1" t="s">
        <v>3300</v>
      </c>
      <c r="C3206" s="1" t="s">
        <v>3512</v>
      </c>
      <c r="D3206" s="1" t="s">
        <v>3630</v>
      </c>
      <c r="E3206" s="1" t="s">
        <v>25</v>
      </c>
      <c r="F3206">
        <v>650</v>
      </c>
      <c r="G3206">
        <v>650</v>
      </c>
      <c r="H3206">
        <v>244.4</v>
      </c>
      <c r="I3206" s="1" t="s">
        <v>1528</v>
      </c>
      <c r="J3206" s="1" t="s">
        <v>3552</v>
      </c>
      <c r="K3206" s="1" t="s">
        <v>25</v>
      </c>
      <c r="L3206">
        <v>-1.7418901153177799</v>
      </c>
      <c r="M3206" t="str">
        <f t="shared" si="101"/>
        <v>44/40</v>
      </c>
      <c r="N3206" t="str">
        <f t="shared" si="102"/>
        <v>SW</v>
      </c>
      <c r="O3206" s="1" t="s">
        <v>25</v>
      </c>
      <c r="P3206" s="3" t="s">
        <v>25</v>
      </c>
      <c r="Q3206" s="37" t="s">
        <v>25</v>
      </c>
      <c r="R3206" t="str">
        <f t="shared" si="103"/>
        <v>Na</v>
      </c>
      <c r="S3206" s="13">
        <f t="shared" si="100"/>
        <v>-1.7418901153177799</v>
      </c>
    </row>
    <row r="3207" spans="1:19">
      <c r="A3207" s="18" t="s">
        <v>3504</v>
      </c>
      <c r="B3207" s="1" t="s">
        <v>3301</v>
      </c>
      <c r="C3207" s="1" t="s">
        <v>3512</v>
      </c>
      <c r="D3207" s="1" t="s">
        <v>3630</v>
      </c>
      <c r="E3207" s="1" t="s">
        <v>25</v>
      </c>
      <c r="F3207">
        <v>650</v>
      </c>
      <c r="G3207">
        <v>650</v>
      </c>
      <c r="H3207">
        <v>254.7</v>
      </c>
      <c r="I3207" s="1" t="s">
        <v>1528</v>
      </c>
      <c r="J3207" s="1" t="s">
        <v>3552</v>
      </c>
      <c r="K3207" s="1" t="s">
        <v>25</v>
      </c>
      <c r="L3207">
        <v>-1.7876855133434699</v>
      </c>
      <c r="M3207" t="str">
        <f t="shared" si="101"/>
        <v>44/40</v>
      </c>
      <c r="N3207" t="str">
        <f t="shared" si="102"/>
        <v>SW</v>
      </c>
      <c r="O3207" s="1" t="s">
        <v>25</v>
      </c>
      <c r="P3207" s="3" t="s">
        <v>25</v>
      </c>
      <c r="Q3207" s="37" t="s">
        <v>25</v>
      </c>
      <c r="R3207" t="str">
        <f t="shared" si="103"/>
        <v>Na</v>
      </c>
      <c r="S3207" s="13">
        <f t="shared" si="100"/>
        <v>-1.7876855133434699</v>
      </c>
    </row>
    <row r="3208" spans="1:19">
      <c r="A3208" s="18" t="s">
        <v>3504</v>
      </c>
      <c r="B3208" s="1" t="s">
        <v>3302</v>
      </c>
      <c r="C3208" s="1" t="s">
        <v>3512</v>
      </c>
      <c r="D3208" s="1" t="s">
        <v>3630</v>
      </c>
      <c r="E3208" s="1" t="s">
        <v>25</v>
      </c>
      <c r="F3208">
        <v>650</v>
      </c>
      <c r="G3208">
        <v>650</v>
      </c>
      <c r="H3208">
        <v>256.8</v>
      </c>
      <c r="I3208" s="1" t="s">
        <v>1528</v>
      </c>
      <c r="J3208" s="1" t="s">
        <v>3557</v>
      </c>
      <c r="K3208" s="1" t="s">
        <v>25</v>
      </c>
      <c r="L3208">
        <v>-1.68989053426428</v>
      </c>
      <c r="M3208" t="str">
        <f t="shared" si="101"/>
        <v>44/40</v>
      </c>
      <c r="N3208" t="str">
        <f t="shared" si="102"/>
        <v>SW</v>
      </c>
      <c r="O3208" s="1" t="s">
        <v>25</v>
      </c>
      <c r="P3208" s="3" t="s">
        <v>25</v>
      </c>
      <c r="Q3208" s="37">
        <v>0.78321839999999998</v>
      </c>
      <c r="R3208" t="str">
        <f t="shared" si="103"/>
        <v>mmol/mol</v>
      </c>
      <c r="S3208" s="13">
        <f t="shared" si="100"/>
        <v>-1.68989053426428</v>
      </c>
    </row>
    <row r="3209" spans="1:19">
      <c r="A3209" s="18" t="s">
        <v>3504</v>
      </c>
      <c r="B3209" s="1" t="s">
        <v>3303</v>
      </c>
      <c r="C3209" s="1" t="s">
        <v>3512</v>
      </c>
      <c r="D3209" s="1" t="s">
        <v>3630</v>
      </c>
      <c r="E3209" s="1" t="s">
        <v>25</v>
      </c>
      <c r="F3209">
        <v>650</v>
      </c>
      <c r="G3209">
        <v>650</v>
      </c>
      <c r="H3209">
        <v>258.2</v>
      </c>
      <c r="I3209" s="1" t="s">
        <v>1528</v>
      </c>
      <c r="J3209" s="1" t="s">
        <v>3557</v>
      </c>
      <c r="K3209" s="1" t="s">
        <v>25</v>
      </c>
      <c r="L3209">
        <v>-1.69788210136647</v>
      </c>
      <c r="M3209" t="str">
        <f t="shared" si="101"/>
        <v>44/40</v>
      </c>
      <c r="N3209" t="str">
        <f t="shared" si="102"/>
        <v>SW</v>
      </c>
      <c r="O3209" s="1" t="s">
        <v>25</v>
      </c>
      <c r="P3209" s="3" t="s">
        <v>25</v>
      </c>
      <c r="Q3209" s="37">
        <v>2.2232842000000002</v>
      </c>
      <c r="R3209" t="str">
        <f t="shared" si="103"/>
        <v>mmol/mol</v>
      </c>
      <c r="S3209" s="13">
        <f t="shared" si="100"/>
        <v>-1.69788210136647</v>
      </c>
    </row>
    <row r="3210" spans="1:19">
      <c r="A3210" s="18" t="s">
        <v>3504</v>
      </c>
      <c r="B3210" s="1" t="s">
        <v>3304</v>
      </c>
      <c r="C3210" s="1" t="s">
        <v>3512</v>
      </c>
      <c r="D3210" s="1" t="s">
        <v>3630</v>
      </c>
      <c r="E3210" s="1" t="s">
        <v>25</v>
      </c>
      <c r="F3210">
        <v>650</v>
      </c>
      <c r="G3210">
        <v>650</v>
      </c>
      <c r="H3210">
        <v>259.60000000000002</v>
      </c>
      <c r="I3210" s="1" t="s">
        <v>1528</v>
      </c>
      <c r="J3210" s="1" t="s">
        <v>3557</v>
      </c>
      <c r="K3210" s="1" t="s">
        <v>25</v>
      </c>
      <c r="L3210">
        <v>-1.4207975807242701</v>
      </c>
      <c r="M3210" t="str">
        <f t="shared" si="101"/>
        <v>44/40</v>
      </c>
      <c r="N3210" t="str">
        <f t="shared" si="102"/>
        <v>SW</v>
      </c>
      <c r="O3210" s="1" t="s">
        <v>25</v>
      </c>
      <c r="P3210" s="3" t="s">
        <v>25</v>
      </c>
      <c r="Q3210" s="37">
        <v>0.83130859999999995</v>
      </c>
      <c r="R3210" t="str">
        <f t="shared" si="103"/>
        <v>mmol/mol</v>
      </c>
      <c r="S3210" s="13">
        <f t="shared" si="100"/>
        <v>-1.4207975807242701</v>
      </c>
    </row>
    <row r="3211" spans="1:19">
      <c r="A3211" s="18" t="s">
        <v>3504</v>
      </c>
      <c r="B3211" s="1" t="s">
        <v>3305</v>
      </c>
      <c r="C3211" s="1" t="s">
        <v>3512</v>
      </c>
      <c r="D3211" s="1" t="s">
        <v>3630</v>
      </c>
      <c r="E3211" s="1" t="s">
        <v>25</v>
      </c>
      <c r="F3211">
        <v>650</v>
      </c>
      <c r="G3211">
        <v>650</v>
      </c>
      <c r="H3211">
        <v>260.89999999999998</v>
      </c>
      <c r="I3211" s="1" t="s">
        <v>1528</v>
      </c>
      <c r="J3211" s="1" t="s">
        <v>3553</v>
      </c>
      <c r="K3211" s="1" t="s">
        <v>25</v>
      </c>
      <c r="L3211">
        <v>-1.5629241153897599</v>
      </c>
      <c r="M3211" t="str">
        <f t="shared" si="101"/>
        <v>44/40</v>
      </c>
      <c r="N3211" t="str">
        <f t="shared" si="102"/>
        <v>SW</v>
      </c>
      <c r="O3211" s="1" t="s">
        <v>25</v>
      </c>
      <c r="P3211" s="3" t="s">
        <v>25</v>
      </c>
      <c r="Q3211" s="37">
        <v>1.4174028999999999</v>
      </c>
      <c r="R3211" t="str">
        <f t="shared" si="103"/>
        <v>mmol/mol</v>
      </c>
      <c r="S3211" s="13">
        <f t="shared" si="100"/>
        <v>-1.5629241153897599</v>
      </c>
    </row>
    <row r="3212" spans="1:19">
      <c r="A3212" s="18" t="s">
        <v>3504</v>
      </c>
      <c r="B3212" s="1" t="s">
        <v>3306</v>
      </c>
      <c r="C3212" s="1" t="s">
        <v>3512</v>
      </c>
      <c r="D3212" s="1" t="s">
        <v>3630</v>
      </c>
      <c r="E3212" s="1" t="s">
        <v>25</v>
      </c>
      <c r="F3212">
        <v>650</v>
      </c>
      <c r="G3212">
        <v>650</v>
      </c>
      <c r="H3212">
        <v>262.60000000000002</v>
      </c>
      <c r="I3212" s="1" t="s">
        <v>1528</v>
      </c>
      <c r="J3212" s="1" t="s">
        <v>3553</v>
      </c>
      <c r="K3212" s="1" t="s">
        <v>25</v>
      </c>
      <c r="L3212">
        <v>-1.5230081973977401</v>
      </c>
      <c r="M3212" t="str">
        <f t="shared" si="101"/>
        <v>44/40</v>
      </c>
      <c r="N3212" t="str">
        <f t="shared" si="102"/>
        <v>SW</v>
      </c>
      <c r="O3212" s="1" t="s">
        <v>25</v>
      </c>
      <c r="P3212" s="3" t="s">
        <v>25</v>
      </c>
      <c r="Q3212" s="37">
        <v>0.88799249999999996</v>
      </c>
      <c r="R3212" t="str">
        <f t="shared" si="103"/>
        <v>mmol/mol</v>
      </c>
      <c r="S3212" s="13">
        <f t="shared" si="100"/>
        <v>-1.5230081973977401</v>
      </c>
    </row>
    <row r="3213" spans="1:19">
      <c r="A3213" s="18" t="s">
        <v>3504</v>
      </c>
      <c r="B3213" s="1" t="s">
        <v>3307</v>
      </c>
      <c r="C3213" s="1" t="s">
        <v>3512</v>
      </c>
      <c r="D3213" s="1" t="s">
        <v>3630</v>
      </c>
      <c r="E3213" s="1" t="s">
        <v>25</v>
      </c>
      <c r="F3213">
        <v>650</v>
      </c>
      <c r="G3213">
        <v>650</v>
      </c>
      <c r="H3213">
        <v>263.5</v>
      </c>
      <c r="I3213" s="1" t="s">
        <v>1528</v>
      </c>
      <c r="J3213" s="1" t="s">
        <v>3557</v>
      </c>
      <c r="K3213" s="1" t="s">
        <v>25</v>
      </c>
      <c r="L3213">
        <v>-1.57286454838158</v>
      </c>
      <c r="M3213" t="str">
        <f t="shared" si="101"/>
        <v>44/40</v>
      </c>
      <c r="N3213" t="str">
        <f t="shared" si="102"/>
        <v>SW</v>
      </c>
      <c r="O3213" s="1" t="s">
        <v>25</v>
      </c>
      <c r="P3213" s="3" t="s">
        <v>25</v>
      </c>
      <c r="Q3213" s="37">
        <v>1.0173293999999999</v>
      </c>
      <c r="R3213" t="str">
        <f t="shared" si="103"/>
        <v>mmol/mol</v>
      </c>
      <c r="S3213" s="13">
        <f t="shared" si="100"/>
        <v>-1.57286454838158</v>
      </c>
    </row>
    <row r="3214" spans="1:19">
      <c r="A3214" s="18" t="s">
        <v>3504</v>
      </c>
      <c r="B3214" s="1" t="s">
        <v>3308</v>
      </c>
      <c r="C3214" s="1" t="s">
        <v>3512</v>
      </c>
      <c r="D3214" s="1" t="s">
        <v>3630</v>
      </c>
      <c r="E3214" s="1" t="s">
        <v>25</v>
      </c>
      <c r="F3214">
        <v>650</v>
      </c>
      <c r="G3214">
        <v>650</v>
      </c>
      <c r="H3214">
        <v>265.7</v>
      </c>
      <c r="I3214" s="1" t="s">
        <v>1528</v>
      </c>
      <c r="J3214" s="1" t="s">
        <v>3553</v>
      </c>
      <c r="K3214" s="1" t="s">
        <v>25</v>
      </c>
      <c r="L3214">
        <v>-1.33910591715354</v>
      </c>
      <c r="M3214" t="str">
        <f t="shared" si="101"/>
        <v>44/40</v>
      </c>
      <c r="N3214" t="str">
        <f t="shared" si="102"/>
        <v>SW</v>
      </c>
      <c r="O3214" s="1" t="s">
        <v>25</v>
      </c>
      <c r="P3214" s="3" t="s">
        <v>25</v>
      </c>
      <c r="Q3214" s="37">
        <v>0.72595880000000002</v>
      </c>
      <c r="R3214" t="str">
        <f t="shared" si="103"/>
        <v>mmol/mol</v>
      </c>
      <c r="S3214" s="13">
        <f t="shared" si="100"/>
        <v>-1.33910591715354</v>
      </c>
    </row>
    <row r="3215" spans="1:19">
      <c r="A3215" s="18" t="s">
        <v>3504</v>
      </c>
      <c r="B3215" s="1" t="s">
        <v>3309</v>
      </c>
      <c r="C3215" s="1" t="s">
        <v>3512</v>
      </c>
      <c r="D3215" s="1" t="s">
        <v>3630</v>
      </c>
      <c r="E3215" s="1" t="s">
        <v>25</v>
      </c>
      <c r="F3215">
        <v>650</v>
      </c>
      <c r="G3215">
        <v>650</v>
      </c>
      <c r="H3215">
        <v>266.7</v>
      </c>
      <c r="I3215" s="1" t="s">
        <v>1528</v>
      </c>
      <c r="J3215" s="1" t="s">
        <v>3557</v>
      </c>
      <c r="K3215" s="1" t="s">
        <v>25</v>
      </c>
      <c r="L3215">
        <v>-1.4692715057779</v>
      </c>
      <c r="M3215" t="str">
        <f t="shared" si="101"/>
        <v>44/40</v>
      </c>
      <c r="N3215" t="str">
        <f t="shared" si="102"/>
        <v>SW</v>
      </c>
      <c r="O3215" s="1" t="s">
        <v>25</v>
      </c>
      <c r="P3215" s="3" t="s">
        <v>25</v>
      </c>
      <c r="Q3215" s="37" t="s">
        <v>25</v>
      </c>
      <c r="R3215" t="str">
        <f t="shared" si="103"/>
        <v>Na</v>
      </c>
      <c r="S3215" s="13">
        <f t="shared" si="100"/>
        <v>-1.4692715057779</v>
      </c>
    </row>
    <row r="3216" spans="1:19">
      <c r="A3216" s="18" t="s">
        <v>3504</v>
      </c>
      <c r="B3216" s="1" t="s">
        <v>3310</v>
      </c>
      <c r="C3216" s="1" t="s">
        <v>3512</v>
      </c>
      <c r="D3216" s="1" t="s">
        <v>3630</v>
      </c>
      <c r="E3216" s="1" t="s">
        <v>25</v>
      </c>
      <c r="F3216">
        <v>650</v>
      </c>
      <c r="G3216">
        <v>650</v>
      </c>
      <c r="H3216">
        <v>268</v>
      </c>
      <c r="I3216" s="1" t="s">
        <v>1528</v>
      </c>
      <c r="J3216" s="1" t="s">
        <v>3553</v>
      </c>
      <c r="K3216" s="1" t="s">
        <v>25</v>
      </c>
      <c r="L3216">
        <v>-1.63809142305707</v>
      </c>
      <c r="M3216" t="str">
        <f t="shared" si="101"/>
        <v>44/40</v>
      </c>
      <c r="N3216" t="str">
        <f t="shared" si="102"/>
        <v>SW</v>
      </c>
      <c r="O3216" s="1" t="s">
        <v>25</v>
      </c>
      <c r="P3216" s="3" t="s">
        <v>25</v>
      </c>
      <c r="Q3216" s="37">
        <v>2.7387358409304499</v>
      </c>
      <c r="R3216" t="str">
        <f t="shared" si="103"/>
        <v>mmol/mol</v>
      </c>
      <c r="S3216" s="13">
        <f t="shared" si="100"/>
        <v>-1.63809142305707</v>
      </c>
    </row>
    <row r="3217" spans="1:19">
      <c r="A3217" s="18" t="s">
        <v>3504</v>
      </c>
      <c r="B3217" s="1" t="s">
        <v>3311</v>
      </c>
      <c r="C3217" s="1" t="s">
        <v>3512</v>
      </c>
      <c r="D3217" s="1" t="s">
        <v>3630</v>
      </c>
      <c r="E3217" s="1" t="s">
        <v>25</v>
      </c>
      <c r="F3217">
        <v>650</v>
      </c>
      <c r="G3217">
        <v>650</v>
      </c>
      <c r="H3217">
        <v>268.89999999999998</v>
      </c>
      <c r="I3217" s="1" t="s">
        <v>1528</v>
      </c>
      <c r="J3217" s="1" t="s">
        <v>3557</v>
      </c>
      <c r="K3217" s="1" t="s">
        <v>25</v>
      </c>
      <c r="L3217">
        <v>-1.4546827458718401</v>
      </c>
      <c r="M3217" t="str">
        <f t="shared" si="101"/>
        <v>44/40</v>
      </c>
      <c r="N3217" t="str">
        <f t="shared" si="102"/>
        <v>SW</v>
      </c>
      <c r="O3217" s="1" t="s">
        <v>25</v>
      </c>
      <c r="P3217" s="3" t="s">
        <v>25</v>
      </c>
      <c r="Q3217" s="37">
        <v>1.21123355847893</v>
      </c>
      <c r="R3217" t="str">
        <f t="shared" si="103"/>
        <v>mmol/mol</v>
      </c>
      <c r="S3217" s="13">
        <f t="shared" si="100"/>
        <v>-1.4546827458718401</v>
      </c>
    </row>
    <row r="3218" spans="1:19">
      <c r="A3218" s="18" t="s">
        <v>3504</v>
      </c>
      <c r="B3218" s="1" t="s">
        <v>3312</v>
      </c>
      <c r="C3218" s="1" t="s">
        <v>3512</v>
      </c>
      <c r="D3218" s="1" t="s">
        <v>3630</v>
      </c>
      <c r="E3218" s="1" t="s">
        <v>25</v>
      </c>
      <c r="F3218">
        <v>650</v>
      </c>
      <c r="G3218">
        <v>650</v>
      </c>
      <c r="H3218">
        <v>270.10000000000002</v>
      </c>
      <c r="I3218" s="1" t="s">
        <v>1528</v>
      </c>
      <c r="J3218" s="1" t="s">
        <v>3557</v>
      </c>
      <c r="K3218" s="1" t="s">
        <v>25</v>
      </c>
      <c r="L3218">
        <v>-1.6285324151781699</v>
      </c>
      <c r="M3218" t="str">
        <f t="shared" si="101"/>
        <v>44/40</v>
      </c>
      <c r="N3218" t="str">
        <f t="shared" si="102"/>
        <v>SW</v>
      </c>
      <c r="O3218" s="1" t="s">
        <v>25</v>
      </c>
      <c r="P3218" s="3" t="s">
        <v>25</v>
      </c>
      <c r="Q3218" s="37" t="s">
        <v>25</v>
      </c>
      <c r="R3218" t="str">
        <f t="shared" si="103"/>
        <v>Na</v>
      </c>
      <c r="S3218" s="13">
        <f t="shared" si="100"/>
        <v>-1.6285324151781699</v>
      </c>
    </row>
    <row r="3219" spans="1:19">
      <c r="A3219" s="18" t="s">
        <v>3504</v>
      </c>
      <c r="B3219" s="1" t="s">
        <v>3313</v>
      </c>
      <c r="C3219" s="1" t="s">
        <v>3512</v>
      </c>
      <c r="D3219" s="1" t="s">
        <v>3630</v>
      </c>
      <c r="E3219" s="1" t="s">
        <v>25</v>
      </c>
      <c r="F3219">
        <v>650</v>
      </c>
      <c r="G3219">
        <v>650</v>
      </c>
      <c r="H3219">
        <v>270.2</v>
      </c>
      <c r="I3219" s="1" t="s">
        <v>1528</v>
      </c>
      <c r="J3219" s="1" t="s">
        <v>3554</v>
      </c>
      <c r="K3219" s="1" t="s">
        <v>25</v>
      </c>
      <c r="L3219">
        <v>-1.5672184230521899</v>
      </c>
      <c r="M3219" t="str">
        <f t="shared" si="101"/>
        <v>44/40</v>
      </c>
      <c r="N3219" t="str">
        <f t="shared" si="102"/>
        <v>SW</v>
      </c>
      <c r="O3219" s="1" t="s">
        <v>25</v>
      </c>
      <c r="P3219" s="3" t="s">
        <v>25</v>
      </c>
      <c r="Q3219" s="37">
        <v>2.9538055085687902</v>
      </c>
      <c r="R3219" t="str">
        <f t="shared" si="103"/>
        <v>mmol/mol</v>
      </c>
      <c r="S3219" s="13">
        <f t="shared" si="100"/>
        <v>-1.5672184230521899</v>
      </c>
    </row>
    <row r="3220" spans="1:19">
      <c r="A3220" s="18" t="s">
        <v>3504</v>
      </c>
      <c r="B3220" s="1" t="s">
        <v>3314</v>
      </c>
      <c r="C3220" s="1" t="s">
        <v>3512</v>
      </c>
      <c r="D3220" s="1" t="s">
        <v>3630</v>
      </c>
      <c r="E3220" s="1" t="s">
        <v>25</v>
      </c>
      <c r="F3220">
        <v>650</v>
      </c>
      <c r="G3220">
        <v>650</v>
      </c>
      <c r="H3220">
        <v>271.2</v>
      </c>
      <c r="I3220" s="1" t="s">
        <v>1528</v>
      </c>
      <c r="J3220" s="1" t="s">
        <v>3554</v>
      </c>
      <c r="K3220" s="1" t="s">
        <v>25</v>
      </c>
      <c r="L3220">
        <v>-1.7127340608906201</v>
      </c>
      <c r="M3220" t="str">
        <f t="shared" si="101"/>
        <v>44/40</v>
      </c>
      <c r="N3220" t="str">
        <f t="shared" si="102"/>
        <v>SW</v>
      </c>
      <c r="O3220" s="1" t="s">
        <v>25</v>
      </c>
      <c r="P3220" s="3" t="s">
        <v>25</v>
      </c>
      <c r="Q3220" s="37">
        <v>2.3727198</v>
      </c>
      <c r="R3220" t="str">
        <f t="shared" si="103"/>
        <v>mmol/mol</v>
      </c>
      <c r="S3220" s="13">
        <f t="shared" si="100"/>
        <v>-1.7127340608906201</v>
      </c>
    </row>
    <row r="3221" spans="1:19">
      <c r="A3221" s="18" t="s">
        <v>3504</v>
      </c>
      <c r="B3221" s="1" t="s">
        <v>3315</v>
      </c>
      <c r="C3221" s="1" t="s">
        <v>3512</v>
      </c>
      <c r="D3221" s="1" t="s">
        <v>3630</v>
      </c>
      <c r="E3221" s="1" t="s">
        <v>25</v>
      </c>
      <c r="F3221">
        <v>650</v>
      </c>
      <c r="G3221">
        <v>650</v>
      </c>
      <c r="H3221">
        <v>274.10000000000002</v>
      </c>
      <c r="I3221" s="1" t="s">
        <v>1528</v>
      </c>
      <c r="J3221" s="1" t="s">
        <v>3554</v>
      </c>
      <c r="K3221" s="1" t="s">
        <v>25</v>
      </c>
      <c r="L3221">
        <v>-1.7137606747159999</v>
      </c>
      <c r="M3221" t="str">
        <f t="shared" si="101"/>
        <v>44/40</v>
      </c>
      <c r="N3221" t="str">
        <f t="shared" si="102"/>
        <v>SW</v>
      </c>
      <c r="O3221" s="1" t="s">
        <v>25</v>
      </c>
      <c r="P3221" s="3" t="s">
        <v>25</v>
      </c>
      <c r="Q3221" s="37" t="s">
        <v>25</v>
      </c>
      <c r="R3221" t="str">
        <f t="shared" si="103"/>
        <v>Na</v>
      </c>
      <c r="S3221" s="13">
        <f t="shared" si="100"/>
        <v>-1.7137606747159999</v>
      </c>
    </row>
    <row r="3222" spans="1:19">
      <c r="A3222" s="18" t="s">
        <v>3504</v>
      </c>
      <c r="B3222" s="1" t="s">
        <v>3316</v>
      </c>
      <c r="C3222" s="1" t="s">
        <v>3512</v>
      </c>
      <c r="D3222" s="1" t="s">
        <v>3630</v>
      </c>
      <c r="E3222" s="1" t="s">
        <v>25</v>
      </c>
      <c r="F3222">
        <v>650</v>
      </c>
      <c r="G3222">
        <v>650</v>
      </c>
      <c r="H3222">
        <v>274.5</v>
      </c>
      <c r="I3222" s="1" t="s">
        <v>1528</v>
      </c>
      <c r="J3222" s="1" t="s">
        <v>3554</v>
      </c>
      <c r="K3222" s="1" t="s">
        <v>25</v>
      </c>
      <c r="L3222">
        <v>-1.72028878972485</v>
      </c>
      <c r="M3222" t="str">
        <f t="shared" si="101"/>
        <v>44/40</v>
      </c>
      <c r="N3222" t="str">
        <f t="shared" si="102"/>
        <v>SW</v>
      </c>
      <c r="O3222" s="1" t="s">
        <v>25</v>
      </c>
      <c r="P3222" s="3" t="s">
        <v>25</v>
      </c>
      <c r="Q3222" s="37">
        <v>2.0492829000000001</v>
      </c>
      <c r="R3222" t="str">
        <f t="shared" si="103"/>
        <v>mmol/mol</v>
      </c>
      <c r="S3222" s="13">
        <f t="shared" si="100"/>
        <v>-1.72028878972485</v>
      </c>
    </row>
    <row r="3223" spans="1:19">
      <c r="A3223" s="18" t="s">
        <v>3504</v>
      </c>
      <c r="B3223" s="1" t="s">
        <v>3317</v>
      </c>
      <c r="C3223" s="1" t="s">
        <v>3512</v>
      </c>
      <c r="D3223" s="1" t="s">
        <v>3630</v>
      </c>
      <c r="E3223" s="1" t="s">
        <v>25</v>
      </c>
      <c r="F3223">
        <v>650</v>
      </c>
      <c r="G3223">
        <v>650</v>
      </c>
      <c r="H3223">
        <v>277.2</v>
      </c>
      <c r="I3223" s="1" t="s">
        <v>1528</v>
      </c>
      <c r="J3223" s="1" t="s">
        <v>3554</v>
      </c>
      <c r="K3223" s="1" t="s">
        <v>25</v>
      </c>
      <c r="L3223">
        <v>-1.58982426290234</v>
      </c>
      <c r="M3223" t="str">
        <f t="shared" si="101"/>
        <v>44/40</v>
      </c>
      <c r="N3223" t="str">
        <f t="shared" si="102"/>
        <v>SW</v>
      </c>
      <c r="O3223" s="1" t="s">
        <v>25</v>
      </c>
      <c r="P3223" s="3" t="s">
        <v>25</v>
      </c>
      <c r="Q3223" s="37">
        <v>2.9052093000000001</v>
      </c>
      <c r="R3223" t="str">
        <f t="shared" si="103"/>
        <v>mmol/mol</v>
      </c>
      <c r="S3223" s="13">
        <f t="shared" si="100"/>
        <v>-1.58982426290234</v>
      </c>
    </row>
    <row r="3224" spans="1:19">
      <c r="A3224" s="18" t="s">
        <v>3504</v>
      </c>
      <c r="B3224" s="1" t="s">
        <v>3318</v>
      </c>
      <c r="C3224" s="1" t="s">
        <v>3513</v>
      </c>
      <c r="D3224" s="1" t="s">
        <v>3630</v>
      </c>
      <c r="E3224" s="1" t="s">
        <v>25</v>
      </c>
      <c r="F3224">
        <v>650</v>
      </c>
      <c r="G3224">
        <v>650</v>
      </c>
      <c r="H3224">
        <v>158.19999999999999</v>
      </c>
      <c r="I3224" s="1" t="s">
        <v>1528</v>
      </c>
      <c r="J3224" s="1" t="s">
        <v>3553</v>
      </c>
      <c r="K3224" s="1" t="s">
        <v>25</v>
      </c>
      <c r="L3224">
        <v>-1.5029388222962701</v>
      </c>
      <c r="M3224" t="str">
        <f t="shared" si="101"/>
        <v>44/40</v>
      </c>
      <c r="N3224" t="str">
        <f t="shared" si="102"/>
        <v>SW</v>
      </c>
      <c r="O3224" s="1" t="s">
        <v>25</v>
      </c>
      <c r="P3224" s="3" t="s">
        <v>25</v>
      </c>
      <c r="Q3224" s="37">
        <v>0.96439620000000004</v>
      </c>
      <c r="R3224" t="str">
        <f t="shared" si="103"/>
        <v>mmol/mol</v>
      </c>
      <c r="S3224" s="13">
        <f t="shared" si="100"/>
        <v>-1.5029388222962701</v>
      </c>
    </row>
    <row r="3225" spans="1:19">
      <c r="A3225" s="18" t="s">
        <v>3504</v>
      </c>
      <c r="B3225" s="1" t="s">
        <v>3319</v>
      </c>
      <c r="C3225" s="1" t="s">
        <v>3513</v>
      </c>
      <c r="D3225" s="1" t="s">
        <v>3630</v>
      </c>
      <c r="E3225" s="1" t="s">
        <v>25</v>
      </c>
      <c r="F3225">
        <v>650</v>
      </c>
      <c r="G3225">
        <v>650</v>
      </c>
      <c r="H3225">
        <v>158.80000000000001</v>
      </c>
      <c r="I3225" s="1" t="s">
        <v>1528</v>
      </c>
      <c r="J3225" s="1" t="s">
        <v>3553</v>
      </c>
      <c r="K3225" s="1" t="s">
        <v>25</v>
      </c>
      <c r="L3225">
        <v>-1.37474410259558</v>
      </c>
      <c r="M3225" t="str">
        <f t="shared" si="101"/>
        <v>44/40</v>
      </c>
      <c r="N3225" t="str">
        <f t="shared" si="102"/>
        <v>SW</v>
      </c>
      <c r="O3225" s="1" t="s">
        <v>25</v>
      </c>
      <c r="P3225" s="3" t="s">
        <v>25</v>
      </c>
      <c r="Q3225" s="37">
        <v>0.78787019999999997</v>
      </c>
      <c r="R3225" t="str">
        <f t="shared" si="103"/>
        <v>mmol/mol</v>
      </c>
      <c r="S3225" s="13">
        <f t="shared" si="100"/>
        <v>-1.37474410259558</v>
      </c>
    </row>
    <row r="3226" spans="1:19">
      <c r="A3226" s="18" t="s">
        <v>3504</v>
      </c>
      <c r="B3226" s="1" t="s">
        <v>3320</v>
      </c>
      <c r="C3226" s="1" t="s">
        <v>3513</v>
      </c>
      <c r="D3226" s="1" t="s">
        <v>3630</v>
      </c>
      <c r="E3226" s="1" t="s">
        <v>25</v>
      </c>
      <c r="F3226">
        <v>650</v>
      </c>
      <c r="G3226">
        <v>650</v>
      </c>
      <c r="H3226">
        <v>169</v>
      </c>
      <c r="I3226" s="1" t="s">
        <v>1528</v>
      </c>
      <c r="J3226" s="1" t="s">
        <v>3555</v>
      </c>
      <c r="K3226" s="1" t="s">
        <v>25</v>
      </c>
      <c r="L3226">
        <v>-1.5211224226764699</v>
      </c>
      <c r="M3226" t="str">
        <f t="shared" si="101"/>
        <v>44/40</v>
      </c>
      <c r="N3226" t="str">
        <f t="shared" si="102"/>
        <v>SW</v>
      </c>
      <c r="O3226" s="1" t="s">
        <v>25</v>
      </c>
      <c r="P3226" s="3" t="s">
        <v>25</v>
      </c>
      <c r="Q3226" s="37">
        <v>0.8767838</v>
      </c>
      <c r="R3226" t="str">
        <f t="shared" si="103"/>
        <v>mmol/mol</v>
      </c>
      <c r="S3226" s="13">
        <f t="shared" si="100"/>
        <v>-1.5211224226764699</v>
      </c>
    </row>
    <row r="3227" spans="1:19">
      <c r="A3227" s="18" t="s">
        <v>3504</v>
      </c>
      <c r="B3227" s="1" t="s">
        <v>3321</v>
      </c>
      <c r="C3227" s="1" t="s">
        <v>3513</v>
      </c>
      <c r="D3227" s="1" t="s">
        <v>3630</v>
      </c>
      <c r="E3227" s="1" t="s">
        <v>25</v>
      </c>
      <c r="F3227">
        <v>650</v>
      </c>
      <c r="G3227">
        <v>650</v>
      </c>
      <c r="H3227">
        <v>185.5</v>
      </c>
      <c r="I3227" s="1" t="s">
        <v>1528</v>
      </c>
      <c r="J3227" s="1" t="s">
        <v>3555</v>
      </c>
      <c r="K3227" s="1" t="s">
        <v>25</v>
      </c>
      <c r="L3227">
        <v>-1.97520278848485</v>
      </c>
      <c r="M3227" t="str">
        <f t="shared" si="101"/>
        <v>44/40</v>
      </c>
      <c r="N3227" t="str">
        <f t="shared" si="102"/>
        <v>SW</v>
      </c>
      <c r="O3227" s="1" t="s">
        <v>25</v>
      </c>
      <c r="P3227" s="3" t="s">
        <v>25</v>
      </c>
      <c r="Q3227" s="37">
        <v>1.4890367</v>
      </c>
      <c r="R3227" t="str">
        <f t="shared" si="103"/>
        <v>mmol/mol</v>
      </c>
      <c r="S3227" s="13">
        <f t="shared" si="100"/>
        <v>-1.97520278848485</v>
      </c>
    </row>
    <row r="3228" spans="1:19">
      <c r="A3228" s="18" t="s">
        <v>3504</v>
      </c>
      <c r="B3228" s="1" t="s">
        <v>3322</v>
      </c>
      <c r="C3228" s="1" t="s">
        <v>3513</v>
      </c>
      <c r="D3228" s="1" t="s">
        <v>3630</v>
      </c>
      <c r="E3228" s="1" t="s">
        <v>25</v>
      </c>
      <c r="F3228">
        <v>650</v>
      </c>
      <c r="G3228">
        <v>650</v>
      </c>
      <c r="H3228">
        <v>213.8</v>
      </c>
      <c r="I3228" s="1" t="s">
        <v>1528</v>
      </c>
      <c r="J3228" s="1" t="s">
        <v>3552</v>
      </c>
      <c r="K3228" s="1" t="s">
        <v>25</v>
      </c>
      <c r="L3228">
        <v>-1.7802768512573901</v>
      </c>
      <c r="M3228" t="str">
        <f t="shared" si="101"/>
        <v>44/40</v>
      </c>
      <c r="N3228" t="str">
        <f t="shared" si="102"/>
        <v>SW</v>
      </c>
      <c r="O3228" s="1" t="s">
        <v>25</v>
      </c>
      <c r="P3228" s="3" t="s">
        <v>25</v>
      </c>
      <c r="Q3228" s="37">
        <v>0.97122830000000004</v>
      </c>
      <c r="R3228" t="str">
        <f t="shared" si="103"/>
        <v>mmol/mol</v>
      </c>
      <c r="S3228" s="13">
        <f t="shared" si="100"/>
        <v>-1.7802768512573901</v>
      </c>
    </row>
    <row r="3229" spans="1:19">
      <c r="A3229" s="18" t="s">
        <v>3504</v>
      </c>
      <c r="B3229" s="1" t="s">
        <v>3323</v>
      </c>
      <c r="C3229" s="1" t="s">
        <v>3513</v>
      </c>
      <c r="D3229" s="1" t="s">
        <v>3630</v>
      </c>
      <c r="E3229" s="1" t="s">
        <v>25</v>
      </c>
      <c r="F3229">
        <v>650</v>
      </c>
      <c r="G3229">
        <v>650</v>
      </c>
      <c r="H3229">
        <v>231.8</v>
      </c>
      <c r="I3229" s="1" t="s">
        <v>1528</v>
      </c>
      <c r="J3229" s="1" t="s">
        <v>3554</v>
      </c>
      <c r="K3229" s="1" t="s">
        <v>25</v>
      </c>
      <c r="L3229">
        <v>-1.72742647501571</v>
      </c>
      <c r="M3229" t="str">
        <f t="shared" si="101"/>
        <v>44/40</v>
      </c>
      <c r="N3229" t="str">
        <f t="shared" si="102"/>
        <v>SW</v>
      </c>
      <c r="O3229" s="1" t="s">
        <v>25</v>
      </c>
      <c r="P3229" s="3" t="s">
        <v>25</v>
      </c>
      <c r="Q3229" s="37">
        <v>1.2500682000000001</v>
      </c>
      <c r="R3229" t="str">
        <f t="shared" si="103"/>
        <v>mmol/mol</v>
      </c>
      <c r="S3229" s="13">
        <f t="shared" si="100"/>
        <v>-1.72742647501571</v>
      </c>
    </row>
    <row r="3230" spans="1:19">
      <c r="A3230" s="18" t="s">
        <v>3504</v>
      </c>
      <c r="B3230" s="1" t="s">
        <v>3324</v>
      </c>
      <c r="C3230" s="1" t="s">
        <v>3513</v>
      </c>
      <c r="D3230" s="1" t="s">
        <v>3630</v>
      </c>
      <c r="E3230" s="1" t="s">
        <v>25</v>
      </c>
      <c r="F3230">
        <v>650</v>
      </c>
      <c r="G3230">
        <v>650</v>
      </c>
      <c r="H3230">
        <v>233</v>
      </c>
      <c r="I3230" s="1" t="s">
        <v>1528</v>
      </c>
      <c r="J3230" s="1" t="s">
        <v>3554</v>
      </c>
      <c r="K3230" s="1" t="s">
        <v>25</v>
      </c>
      <c r="L3230">
        <v>-1.8687865102406001</v>
      </c>
      <c r="M3230" t="str">
        <f t="shared" si="101"/>
        <v>44/40</v>
      </c>
      <c r="N3230" t="str">
        <f t="shared" si="102"/>
        <v>SW</v>
      </c>
      <c r="O3230" s="1" t="s">
        <v>25</v>
      </c>
      <c r="P3230" s="3" t="s">
        <v>25</v>
      </c>
      <c r="Q3230" s="37">
        <v>1.4732966000000001</v>
      </c>
      <c r="R3230" t="str">
        <f t="shared" si="103"/>
        <v>mmol/mol</v>
      </c>
      <c r="S3230" s="13">
        <f t="shared" si="100"/>
        <v>-1.8687865102406001</v>
      </c>
    </row>
    <row r="3231" spans="1:19">
      <c r="A3231" s="18" t="s">
        <v>3504</v>
      </c>
      <c r="B3231" s="1" t="s">
        <v>3325</v>
      </c>
      <c r="C3231" s="1" t="s">
        <v>3513</v>
      </c>
      <c r="D3231" s="1" t="s">
        <v>3630</v>
      </c>
      <c r="E3231" s="1" t="s">
        <v>25</v>
      </c>
      <c r="F3231">
        <v>650</v>
      </c>
      <c r="G3231">
        <v>650</v>
      </c>
      <c r="H3231">
        <v>243.3</v>
      </c>
      <c r="I3231" s="1" t="s">
        <v>1528</v>
      </c>
      <c r="J3231" s="1" t="s">
        <v>3556</v>
      </c>
      <c r="K3231" s="1" t="s">
        <v>25</v>
      </c>
      <c r="L3231">
        <v>-1.8256471016493301</v>
      </c>
      <c r="M3231" t="str">
        <f t="shared" si="101"/>
        <v>44/40</v>
      </c>
      <c r="N3231" t="str">
        <f t="shared" si="102"/>
        <v>SW</v>
      </c>
      <c r="O3231" s="1" t="s">
        <v>25</v>
      </c>
      <c r="P3231" s="3" t="s">
        <v>25</v>
      </c>
      <c r="Q3231" s="37" t="s">
        <v>25</v>
      </c>
      <c r="R3231" t="str">
        <f t="shared" si="103"/>
        <v>Na</v>
      </c>
      <c r="S3231" s="13">
        <f t="shared" si="100"/>
        <v>-1.8256471016493301</v>
      </c>
    </row>
    <row r="3232" spans="1:19">
      <c r="A3232" s="18" t="s">
        <v>3504</v>
      </c>
      <c r="B3232" s="1" t="s">
        <v>3326</v>
      </c>
      <c r="C3232" s="1" t="s">
        <v>3513</v>
      </c>
      <c r="D3232" s="1" t="s">
        <v>3630</v>
      </c>
      <c r="E3232" s="1" t="s">
        <v>25</v>
      </c>
      <c r="F3232">
        <v>650</v>
      </c>
      <c r="G3232">
        <v>650</v>
      </c>
      <c r="H3232">
        <v>244.1</v>
      </c>
      <c r="I3232" s="1" t="s">
        <v>1528</v>
      </c>
      <c r="J3232" s="1" t="s">
        <v>3556</v>
      </c>
      <c r="K3232" s="1" t="s">
        <v>25</v>
      </c>
      <c r="L3232">
        <v>-1.8831632098194</v>
      </c>
      <c r="M3232" t="str">
        <f t="shared" si="101"/>
        <v>44/40</v>
      </c>
      <c r="N3232" t="str">
        <f t="shared" si="102"/>
        <v>SW</v>
      </c>
      <c r="O3232" s="1" t="s">
        <v>25</v>
      </c>
      <c r="P3232" s="3" t="s">
        <v>25</v>
      </c>
      <c r="Q3232" s="37">
        <v>1.7285938000000001</v>
      </c>
      <c r="R3232" t="str">
        <f t="shared" si="103"/>
        <v>mmol/mol</v>
      </c>
      <c r="S3232" s="13">
        <f t="shared" si="100"/>
        <v>-1.8831632098194</v>
      </c>
    </row>
    <row r="3233" spans="1:19">
      <c r="A3233" s="18" t="s">
        <v>3504</v>
      </c>
      <c r="B3233" s="1" t="s">
        <v>3327</v>
      </c>
      <c r="C3233" s="1" t="s">
        <v>3513</v>
      </c>
      <c r="D3233" s="1" t="s">
        <v>3630</v>
      </c>
      <c r="E3233" s="1" t="s">
        <v>25</v>
      </c>
      <c r="F3233">
        <v>650</v>
      </c>
      <c r="G3233">
        <v>650</v>
      </c>
      <c r="H3233">
        <v>244.6</v>
      </c>
      <c r="I3233" s="1" t="s">
        <v>1528</v>
      </c>
      <c r="J3233" s="1" t="s">
        <v>3556</v>
      </c>
      <c r="K3233" s="1" t="s">
        <v>25</v>
      </c>
      <c r="L3233">
        <v>-1.95924911480828</v>
      </c>
      <c r="M3233" t="str">
        <f t="shared" si="101"/>
        <v>44/40</v>
      </c>
      <c r="N3233" t="str">
        <f t="shared" si="102"/>
        <v>SW</v>
      </c>
      <c r="O3233" s="1" t="s">
        <v>25</v>
      </c>
      <c r="P3233" s="3" t="s">
        <v>25</v>
      </c>
      <c r="Q3233" s="37" t="s">
        <v>25</v>
      </c>
      <c r="R3233" t="str">
        <f t="shared" si="103"/>
        <v>Na</v>
      </c>
      <c r="S3233" s="13">
        <f t="shared" si="100"/>
        <v>-1.95924911480828</v>
      </c>
    </row>
    <row r="3234" spans="1:19">
      <c r="A3234" s="18" t="s">
        <v>3504</v>
      </c>
      <c r="B3234" s="1" t="s">
        <v>3328</v>
      </c>
      <c r="C3234" s="1" t="s">
        <v>3513</v>
      </c>
      <c r="D3234" s="1" t="s">
        <v>3630</v>
      </c>
      <c r="E3234" s="1" t="s">
        <v>25</v>
      </c>
      <c r="F3234">
        <v>650</v>
      </c>
      <c r="G3234">
        <v>650</v>
      </c>
      <c r="H3234">
        <v>252.2</v>
      </c>
      <c r="I3234" s="1" t="s">
        <v>1528</v>
      </c>
      <c r="J3234" s="1" t="s">
        <v>3556</v>
      </c>
      <c r="K3234" s="1" t="s">
        <v>25</v>
      </c>
      <c r="L3234">
        <v>-1.75665662956899</v>
      </c>
      <c r="M3234" t="str">
        <f t="shared" si="101"/>
        <v>44/40</v>
      </c>
      <c r="N3234" t="str">
        <f t="shared" si="102"/>
        <v>SW</v>
      </c>
      <c r="O3234" s="1" t="s">
        <v>25</v>
      </c>
      <c r="P3234" s="3" t="s">
        <v>25</v>
      </c>
      <c r="Q3234" s="37">
        <v>1.6945379</v>
      </c>
      <c r="R3234" t="str">
        <f t="shared" si="103"/>
        <v>mmol/mol</v>
      </c>
      <c r="S3234" s="13">
        <f t="shared" si="100"/>
        <v>-1.75665662956899</v>
      </c>
    </row>
    <row r="3235" spans="1:19">
      <c r="A3235" s="18" t="s">
        <v>3504</v>
      </c>
      <c r="B3235" s="1" t="s">
        <v>3329</v>
      </c>
      <c r="C3235" s="1" t="s">
        <v>3513</v>
      </c>
      <c r="D3235" s="1" t="s">
        <v>3630</v>
      </c>
      <c r="E3235" s="1" t="s">
        <v>25</v>
      </c>
      <c r="F3235">
        <v>650</v>
      </c>
      <c r="G3235">
        <v>650</v>
      </c>
      <c r="H3235">
        <v>275.89999999999998</v>
      </c>
      <c r="I3235" s="1" t="s">
        <v>1528</v>
      </c>
      <c r="J3235" s="1" t="s">
        <v>3556</v>
      </c>
      <c r="K3235" s="1" t="s">
        <v>25</v>
      </c>
      <c r="L3235">
        <v>-1.6453150678366999</v>
      </c>
      <c r="M3235" t="str">
        <f t="shared" si="101"/>
        <v>44/40</v>
      </c>
      <c r="N3235" t="str">
        <f t="shared" si="102"/>
        <v>SW</v>
      </c>
      <c r="O3235" s="1" t="s">
        <v>25</v>
      </c>
      <c r="P3235" s="3" t="s">
        <v>25</v>
      </c>
      <c r="Q3235" s="37">
        <v>1.2602144</v>
      </c>
      <c r="R3235" t="str">
        <f t="shared" si="103"/>
        <v>mmol/mol</v>
      </c>
      <c r="S3235" s="13">
        <f t="shared" si="100"/>
        <v>-1.6453150678366999</v>
      </c>
    </row>
    <row r="3236" spans="1:19">
      <c r="A3236" s="18" t="s">
        <v>3504</v>
      </c>
      <c r="B3236" s="1" t="s">
        <v>3330</v>
      </c>
      <c r="C3236" s="1" t="s">
        <v>3513</v>
      </c>
      <c r="D3236" s="1" t="s">
        <v>3630</v>
      </c>
      <c r="E3236" s="1" t="s">
        <v>25</v>
      </c>
      <c r="F3236">
        <v>650</v>
      </c>
      <c r="G3236">
        <v>650</v>
      </c>
      <c r="H3236">
        <v>284.3</v>
      </c>
      <c r="I3236" s="1" t="s">
        <v>1528</v>
      </c>
      <c r="J3236" s="1" t="s">
        <v>3554</v>
      </c>
      <c r="K3236" s="1" t="s">
        <v>25</v>
      </c>
      <c r="L3236">
        <v>-1.6296966740029999</v>
      </c>
      <c r="M3236" t="str">
        <f t="shared" si="101"/>
        <v>44/40</v>
      </c>
      <c r="N3236" t="str">
        <f t="shared" si="102"/>
        <v>SW</v>
      </c>
      <c r="O3236" s="1" t="s">
        <v>25</v>
      </c>
      <c r="P3236" s="3" t="s">
        <v>25</v>
      </c>
      <c r="Q3236" s="37">
        <v>0.92999549999999997</v>
      </c>
      <c r="R3236" t="str">
        <f t="shared" si="103"/>
        <v>mmol/mol</v>
      </c>
      <c r="S3236" s="13">
        <f t="shared" si="100"/>
        <v>-1.6296966740029999</v>
      </c>
    </row>
    <row r="3237" spans="1:19">
      <c r="A3237" s="18" t="s">
        <v>3504</v>
      </c>
      <c r="B3237" s="1" t="s">
        <v>3331</v>
      </c>
      <c r="C3237" s="1" t="s">
        <v>3513</v>
      </c>
      <c r="D3237" s="1" t="s">
        <v>3630</v>
      </c>
      <c r="E3237" s="1" t="s">
        <v>25</v>
      </c>
      <c r="F3237">
        <v>650</v>
      </c>
      <c r="G3237">
        <v>650</v>
      </c>
      <c r="H3237">
        <v>294.89999999999998</v>
      </c>
      <c r="I3237" s="1" t="s">
        <v>1528</v>
      </c>
      <c r="J3237" s="1" t="s">
        <v>3553</v>
      </c>
      <c r="K3237" s="1" t="s">
        <v>25</v>
      </c>
      <c r="L3237">
        <v>-1.6730846194406901</v>
      </c>
      <c r="M3237" t="str">
        <f t="shared" si="101"/>
        <v>44/40</v>
      </c>
      <c r="N3237" t="str">
        <f t="shared" si="102"/>
        <v>SW</v>
      </c>
      <c r="O3237" s="1" t="s">
        <v>25</v>
      </c>
      <c r="P3237" s="3" t="s">
        <v>25</v>
      </c>
      <c r="Q3237" s="37" t="s">
        <v>25</v>
      </c>
      <c r="R3237" t="str">
        <f t="shared" si="103"/>
        <v>Na</v>
      </c>
      <c r="S3237" s="13">
        <f t="shared" si="100"/>
        <v>-1.6730846194406901</v>
      </c>
    </row>
    <row r="3238" spans="1:19">
      <c r="A3238" s="18" t="s">
        <v>3504</v>
      </c>
      <c r="B3238" s="1" t="s">
        <v>3332</v>
      </c>
      <c r="C3238" s="1" t="s">
        <v>3513</v>
      </c>
      <c r="D3238" s="1" t="s">
        <v>3630</v>
      </c>
      <c r="E3238" s="1" t="s">
        <v>25</v>
      </c>
      <c r="F3238">
        <v>650</v>
      </c>
      <c r="G3238">
        <v>650</v>
      </c>
      <c r="H3238">
        <v>296.60000000000002</v>
      </c>
      <c r="I3238" s="1" t="s">
        <v>1528</v>
      </c>
      <c r="J3238" s="1" t="s">
        <v>3555</v>
      </c>
      <c r="K3238" s="1" t="s">
        <v>25</v>
      </c>
      <c r="L3238">
        <v>-1.7933131042091199</v>
      </c>
      <c r="M3238" t="str">
        <f t="shared" si="101"/>
        <v>44/40</v>
      </c>
      <c r="N3238" t="str">
        <f t="shared" si="102"/>
        <v>SW</v>
      </c>
      <c r="O3238" s="1" t="s">
        <v>25</v>
      </c>
      <c r="P3238" s="3" t="s">
        <v>25</v>
      </c>
      <c r="Q3238" s="37">
        <v>1.4360606</v>
      </c>
      <c r="R3238" t="str">
        <f t="shared" si="103"/>
        <v>mmol/mol</v>
      </c>
      <c r="S3238" s="13">
        <f t="shared" si="100"/>
        <v>-1.7933131042091199</v>
      </c>
    </row>
    <row r="3239" spans="1:19">
      <c r="A3239" s="18" t="s">
        <v>3504</v>
      </c>
      <c r="B3239" s="1" t="s">
        <v>3333</v>
      </c>
      <c r="C3239" s="1" t="s">
        <v>3513</v>
      </c>
      <c r="D3239" s="1" t="s">
        <v>3630</v>
      </c>
      <c r="E3239" s="1" t="s">
        <v>25</v>
      </c>
      <c r="F3239">
        <v>650</v>
      </c>
      <c r="G3239">
        <v>650</v>
      </c>
      <c r="H3239">
        <v>298.39999999999998</v>
      </c>
      <c r="I3239" s="1" t="s">
        <v>1528</v>
      </c>
      <c r="J3239" s="1" t="s">
        <v>3554</v>
      </c>
      <c r="K3239" s="1" t="s">
        <v>25</v>
      </c>
      <c r="L3239">
        <v>-1.81381726614396</v>
      </c>
      <c r="M3239" t="str">
        <f t="shared" si="101"/>
        <v>44/40</v>
      </c>
      <c r="N3239" t="str">
        <f t="shared" si="102"/>
        <v>SW</v>
      </c>
      <c r="O3239" s="1" t="s">
        <v>25</v>
      </c>
      <c r="P3239" s="3" t="s">
        <v>25</v>
      </c>
      <c r="Q3239" s="37" t="s">
        <v>25</v>
      </c>
      <c r="R3239" t="str">
        <f t="shared" si="103"/>
        <v>Na</v>
      </c>
      <c r="S3239" s="13">
        <f t="shared" si="100"/>
        <v>-1.81381726614396</v>
      </c>
    </row>
    <row r="3240" spans="1:19">
      <c r="A3240" s="18" t="s">
        <v>3504</v>
      </c>
      <c r="B3240" s="1" t="s">
        <v>3334</v>
      </c>
      <c r="C3240" s="1" t="s">
        <v>3513</v>
      </c>
      <c r="D3240" s="1" t="s">
        <v>3630</v>
      </c>
      <c r="E3240" s="1" t="s">
        <v>25</v>
      </c>
      <c r="F3240">
        <v>650</v>
      </c>
      <c r="G3240">
        <v>650</v>
      </c>
      <c r="H3240">
        <v>299.60000000000002</v>
      </c>
      <c r="I3240" s="1" t="s">
        <v>1528</v>
      </c>
      <c r="J3240" s="1" t="s">
        <v>3554</v>
      </c>
      <c r="K3240" s="1" t="s">
        <v>25</v>
      </c>
      <c r="L3240">
        <v>-1.7204476581089201</v>
      </c>
      <c r="M3240" t="str">
        <f t="shared" si="101"/>
        <v>44/40</v>
      </c>
      <c r="N3240" t="str">
        <f t="shared" si="102"/>
        <v>SW</v>
      </c>
      <c r="O3240" s="1" t="s">
        <v>25</v>
      </c>
      <c r="P3240" s="3" t="s">
        <v>25</v>
      </c>
      <c r="Q3240" s="37">
        <v>3.1276785</v>
      </c>
      <c r="R3240" t="str">
        <f t="shared" si="103"/>
        <v>mmol/mol</v>
      </c>
      <c r="S3240" s="13">
        <f t="shared" si="100"/>
        <v>-1.7204476581089201</v>
      </c>
    </row>
    <row r="3241" spans="1:19">
      <c r="A3241" s="18" t="s">
        <v>3504</v>
      </c>
      <c r="B3241" s="1" t="s">
        <v>3335</v>
      </c>
      <c r="C3241" s="1" t="s">
        <v>3513</v>
      </c>
      <c r="D3241" s="1" t="s">
        <v>3630</v>
      </c>
      <c r="E3241" s="1" t="s">
        <v>25</v>
      </c>
      <c r="F3241">
        <v>650</v>
      </c>
      <c r="G3241">
        <v>650</v>
      </c>
      <c r="H3241">
        <v>303.3</v>
      </c>
      <c r="I3241" s="1" t="s">
        <v>1528</v>
      </c>
      <c r="J3241" s="1" t="s">
        <v>3553</v>
      </c>
      <c r="K3241" s="1" t="s">
        <v>25</v>
      </c>
      <c r="L3241">
        <v>-1.7036363447046701</v>
      </c>
      <c r="M3241" t="str">
        <f t="shared" si="101"/>
        <v>44/40</v>
      </c>
      <c r="N3241" t="str">
        <f t="shared" si="102"/>
        <v>SW</v>
      </c>
      <c r="O3241" s="1" t="s">
        <v>25</v>
      </c>
      <c r="P3241" s="3" t="s">
        <v>25</v>
      </c>
      <c r="Q3241" s="37">
        <v>2.8066944</v>
      </c>
      <c r="R3241" t="str">
        <f t="shared" si="103"/>
        <v>mmol/mol</v>
      </c>
      <c r="S3241" s="13">
        <f t="shared" si="100"/>
        <v>-1.7036363447046701</v>
      </c>
    </row>
    <row r="3242" spans="1:19">
      <c r="A3242" s="18" t="s">
        <v>3504</v>
      </c>
      <c r="B3242" s="1" t="s">
        <v>3336</v>
      </c>
      <c r="C3242" s="1" t="s">
        <v>3513</v>
      </c>
      <c r="D3242" s="1" t="s">
        <v>3630</v>
      </c>
      <c r="E3242" s="1" t="s">
        <v>25</v>
      </c>
      <c r="F3242">
        <v>650</v>
      </c>
      <c r="G3242">
        <v>650</v>
      </c>
      <c r="H3242">
        <v>305.10000000000002</v>
      </c>
      <c r="I3242" s="1" t="s">
        <v>1528</v>
      </c>
      <c r="J3242" s="1" t="s">
        <v>3553</v>
      </c>
      <c r="K3242" s="1" t="s">
        <v>25</v>
      </c>
      <c r="L3242">
        <v>-1.80229475127394</v>
      </c>
      <c r="M3242" t="str">
        <f t="shared" si="101"/>
        <v>44/40</v>
      </c>
      <c r="N3242" t="str">
        <f t="shared" si="102"/>
        <v>SW</v>
      </c>
      <c r="O3242" s="1" t="s">
        <v>25</v>
      </c>
      <c r="P3242" s="3" t="s">
        <v>25</v>
      </c>
      <c r="Q3242" s="37" t="s">
        <v>25</v>
      </c>
      <c r="R3242" t="str">
        <f t="shared" si="103"/>
        <v>Na</v>
      </c>
      <c r="S3242" s="13">
        <f t="shared" si="100"/>
        <v>-1.80229475127394</v>
      </c>
    </row>
    <row r="3243" spans="1:19">
      <c r="A3243" s="18" t="s">
        <v>3504</v>
      </c>
      <c r="B3243" s="1" t="s">
        <v>3337</v>
      </c>
      <c r="C3243" s="1" t="s">
        <v>3513</v>
      </c>
      <c r="D3243" s="1" t="s">
        <v>3630</v>
      </c>
      <c r="E3243" s="1" t="s">
        <v>25</v>
      </c>
      <c r="F3243">
        <v>650</v>
      </c>
      <c r="G3243">
        <v>650</v>
      </c>
      <c r="H3243">
        <v>307.60000000000002</v>
      </c>
      <c r="I3243" s="1" t="s">
        <v>1528</v>
      </c>
      <c r="J3243" s="1" t="s">
        <v>3556</v>
      </c>
      <c r="K3243" s="1" t="s">
        <v>25</v>
      </c>
      <c r="L3243">
        <v>-1.7898411610759899</v>
      </c>
      <c r="M3243" t="str">
        <f t="shared" si="101"/>
        <v>44/40</v>
      </c>
      <c r="N3243" t="str">
        <f t="shared" si="102"/>
        <v>SW</v>
      </c>
      <c r="O3243" s="1" t="s">
        <v>25</v>
      </c>
      <c r="P3243" s="3" t="s">
        <v>25</v>
      </c>
      <c r="Q3243" s="37">
        <v>1.1993971000000001</v>
      </c>
      <c r="R3243" t="str">
        <f t="shared" si="103"/>
        <v>mmol/mol</v>
      </c>
      <c r="S3243" s="13">
        <f t="shared" si="100"/>
        <v>-1.7898411610759899</v>
      </c>
    </row>
    <row r="3244" spans="1:19">
      <c r="A3244" s="18" t="s">
        <v>3504</v>
      </c>
      <c r="B3244" s="1" t="s">
        <v>3338</v>
      </c>
      <c r="C3244" s="1" t="s">
        <v>3513</v>
      </c>
      <c r="D3244" s="1" t="s">
        <v>3630</v>
      </c>
      <c r="E3244" s="1" t="s">
        <v>25</v>
      </c>
      <c r="F3244">
        <v>650</v>
      </c>
      <c r="G3244">
        <v>650</v>
      </c>
      <c r="H3244">
        <v>315.39999999999998</v>
      </c>
      <c r="I3244" s="1" t="s">
        <v>1528</v>
      </c>
      <c r="J3244" s="1" t="s">
        <v>3556</v>
      </c>
      <c r="K3244" s="1" t="s">
        <v>25</v>
      </c>
      <c r="L3244">
        <v>-1.76919914013616</v>
      </c>
      <c r="M3244" t="str">
        <f t="shared" si="101"/>
        <v>44/40</v>
      </c>
      <c r="N3244" t="str">
        <f t="shared" si="102"/>
        <v>SW</v>
      </c>
      <c r="O3244" s="1" t="s">
        <v>25</v>
      </c>
      <c r="P3244" s="3" t="s">
        <v>25</v>
      </c>
      <c r="Q3244" s="37">
        <v>2.0714733000000001</v>
      </c>
      <c r="R3244" t="str">
        <f t="shared" si="103"/>
        <v>mmol/mol</v>
      </c>
      <c r="S3244" s="13">
        <f t="shared" ref="S3244:S3307" si="104">IF(NOT(N3244="SW"),L3244-1.88,L3244)</f>
        <v>-1.76919914013616</v>
      </c>
    </row>
    <row r="3245" spans="1:19">
      <c r="A3245" s="18" t="s">
        <v>3504</v>
      </c>
      <c r="B3245" s="1" t="s">
        <v>3339</v>
      </c>
      <c r="C3245" s="1" t="s">
        <v>3513</v>
      </c>
      <c r="D3245" s="1" t="s">
        <v>3630</v>
      </c>
      <c r="E3245" s="1" t="s">
        <v>25</v>
      </c>
      <c r="F3245">
        <v>650</v>
      </c>
      <c r="G3245">
        <v>650</v>
      </c>
      <c r="H3245">
        <v>317.60000000000002</v>
      </c>
      <c r="I3245" s="1" t="s">
        <v>1528</v>
      </c>
      <c r="J3245" s="1" t="s">
        <v>3554</v>
      </c>
      <c r="K3245" s="1" t="s">
        <v>25</v>
      </c>
      <c r="L3245">
        <v>-1.5569278754381599</v>
      </c>
      <c r="M3245" t="str">
        <f t="shared" si="101"/>
        <v>44/40</v>
      </c>
      <c r="N3245" t="str">
        <f t="shared" si="102"/>
        <v>SW</v>
      </c>
      <c r="O3245" s="1" t="s">
        <v>25</v>
      </c>
      <c r="P3245" s="3" t="s">
        <v>25</v>
      </c>
      <c r="Q3245" s="37">
        <v>1.033817</v>
      </c>
      <c r="R3245" t="str">
        <f t="shared" si="103"/>
        <v>mmol/mol</v>
      </c>
      <c r="S3245" s="13">
        <f t="shared" si="104"/>
        <v>-1.5569278754381599</v>
      </c>
    </row>
    <row r="3246" spans="1:19">
      <c r="A3246" s="18" t="s">
        <v>3504</v>
      </c>
      <c r="B3246" s="1" t="s">
        <v>3340</v>
      </c>
      <c r="C3246" s="1" t="s">
        <v>3513</v>
      </c>
      <c r="D3246" s="1" t="s">
        <v>3630</v>
      </c>
      <c r="E3246" s="1" t="s">
        <v>25</v>
      </c>
      <c r="F3246">
        <v>650</v>
      </c>
      <c r="G3246">
        <v>650</v>
      </c>
      <c r="H3246">
        <v>324.8</v>
      </c>
      <c r="I3246" s="1" t="s">
        <v>1528</v>
      </c>
      <c r="J3246" s="1" t="s">
        <v>3553</v>
      </c>
      <c r="K3246" s="1" t="s">
        <v>25</v>
      </c>
      <c r="L3246">
        <v>-1.7139235184035899</v>
      </c>
      <c r="M3246" t="str">
        <f t="shared" si="101"/>
        <v>44/40</v>
      </c>
      <c r="N3246" t="str">
        <f t="shared" si="102"/>
        <v>SW</v>
      </c>
      <c r="O3246" s="1" t="s">
        <v>25</v>
      </c>
      <c r="P3246" s="3" t="s">
        <v>25</v>
      </c>
      <c r="Q3246" s="37" t="s">
        <v>25</v>
      </c>
      <c r="R3246" t="str">
        <f t="shared" si="103"/>
        <v>Na</v>
      </c>
      <c r="S3246" s="13">
        <f t="shared" si="104"/>
        <v>-1.7139235184035899</v>
      </c>
    </row>
    <row r="3247" spans="1:19">
      <c r="A3247" s="18" t="s">
        <v>3504</v>
      </c>
      <c r="B3247" s="1" t="s">
        <v>3341</v>
      </c>
      <c r="C3247" s="1" t="s">
        <v>3513</v>
      </c>
      <c r="D3247" s="1" t="s">
        <v>3630</v>
      </c>
      <c r="E3247" s="1" t="s">
        <v>25</v>
      </c>
      <c r="F3247">
        <v>650</v>
      </c>
      <c r="G3247">
        <v>650</v>
      </c>
      <c r="H3247">
        <v>328.4</v>
      </c>
      <c r="I3247" s="1" t="s">
        <v>1528</v>
      </c>
      <c r="J3247" s="1" t="s">
        <v>3552</v>
      </c>
      <c r="K3247" s="1" t="s">
        <v>25</v>
      </c>
      <c r="L3247">
        <v>-1.82047484665054</v>
      </c>
      <c r="M3247" t="str">
        <f t="shared" si="101"/>
        <v>44/40</v>
      </c>
      <c r="N3247" t="str">
        <f t="shared" si="102"/>
        <v>SW</v>
      </c>
      <c r="O3247" s="1" t="s">
        <v>25</v>
      </c>
      <c r="P3247" s="3" t="s">
        <v>25</v>
      </c>
      <c r="Q3247" s="37" t="s">
        <v>25</v>
      </c>
      <c r="R3247" t="str">
        <f t="shared" si="103"/>
        <v>Na</v>
      </c>
      <c r="S3247" s="13">
        <f t="shared" si="104"/>
        <v>-1.82047484665054</v>
      </c>
    </row>
    <row r="3248" spans="1:19">
      <c r="A3248" s="18" t="s">
        <v>3504</v>
      </c>
      <c r="B3248" s="1" t="s">
        <v>3342</v>
      </c>
      <c r="C3248" s="1" t="s">
        <v>3513</v>
      </c>
      <c r="D3248" s="1" t="s">
        <v>3630</v>
      </c>
      <c r="E3248" s="1" t="s">
        <v>25</v>
      </c>
      <c r="F3248">
        <v>650</v>
      </c>
      <c r="G3248">
        <v>650</v>
      </c>
      <c r="H3248">
        <v>329</v>
      </c>
      <c r="I3248" s="1" t="s">
        <v>1528</v>
      </c>
      <c r="J3248" s="1" t="s">
        <v>3553</v>
      </c>
      <c r="K3248" s="1" t="s">
        <v>25</v>
      </c>
      <c r="L3248">
        <v>-1.6465496758087601</v>
      </c>
      <c r="M3248" t="str">
        <f t="shared" ref="M3248:M3311" si="105">IF(L3248="Na","Na","44/40")</f>
        <v>44/40</v>
      </c>
      <c r="N3248" t="str">
        <f t="shared" ref="N3248:N3311" si="106">IF(M3248="Na","Na","SW")</f>
        <v>SW</v>
      </c>
      <c r="O3248" s="1" t="s">
        <v>25</v>
      </c>
      <c r="P3248" s="3" t="s">
        <v>25</v>
      </c>
      <c r="Q3248" s="37" t="s">
        <v>25</v>
      </c>
      <c r="R3248" t="str">
        <f t="shared" ref="R3248:R3311" si="107">IF(Q3248="Na","Na","mmol/mol")</f>
        <v>Na</v>
      </c>
      <c r="S3248" s="13">
        <f t="shared" si="104"/>
        <v>-1.6465496758087601</v>
      </c>
    </row>
    <row r="3249" spans="1:19">
      <c r="A3249" s="18" t="s">
        <v>3504</v>
      </c>
      <c r="B3249" s="1" t="s">
        <v>3343</v>
      </c>
      <c r="C3249" s="1" t="s">
        <v>3513</v>
      </c>
      <c r="D3249" s="1" t="s">
        <v>3630</v>
      </c>
      <c r="E3249" s="1" t="s">
        <v>25</v>
      </c>
      <c r="F3249">
        <v>650</v>
      </c>
      <c r="G3249">
        <v>650</v>
      </c>
      <c r="H3249">
        <v>330.3</v>
      </c>
      <c r="I3249" s="1" t="s">
        <v>1528</v>
      </c>
      <c r="J3249" s="1" t="s">
        <v>3553</v>
      </c>
      <c r="K3249" s="1" t="s">
        <v>25</v>
      </c>
      <c r="L3249">
        <v>-1.84087175300621</v>
      </c>
      <c r="M3249" t="str">
        <f t="shared" si="105"/>
        <v>44/40</v>
      </c>
      <c r="N3249" t="str">
        <f t="shared" si="106"/>
        <v>SW</v>
      </c>
      <c r="O3249" s="1" t="s">
        <v>25</v>
      </c>
      <c r="P3249" s="3" t="s">
        <v>25</v>
      </c>
      <c r="Q3249" s="37" t="s">
        <v>25</v>
      </c>
      <c r="R3249" t="str">
        <f t="shared" si="107"/>
        <v>Na</v>
      </c>
      <c r="S3249" s="13">
        <f t="shared" si="104"/>
        <v>-1.84087175300621</v>
      </c>
    </row>
    <row r="3250" spans="1:19">
      <c r="A3250" s="18" t="s">
        <v>3504</v>
      </c>
      <c r="B3250" s="1" t="s">
        <v>3344</v>
      </c>
      <c r="C3250" s="1" t="s">
        <v>3513</v>
      </c>
      <c r="D3250" s="1" t="s">
        <v>3630</v>
      </c>
      <c r="E3250" s="1" t="s">
        <v>25</v>
      </c>
      <c r="F3250">
        <v>650</v>
      </c>
      <c r="G3250">
        <v>650</v>
      </c>
      <c r="H3250">
        <v>331.9</v>
      </c>
      <c r="I3250" s="1" t="s">
        <v>1528</v>
      </c>
      <c r="J3250" s="1" t="s">
        <v>3527</v>
      </c>
      <c r="K3250" s="1" t="s">
        <v>25</v>
      </c>
      <c r="L3250">
        <v>-1.59719472926406</v>
      </c>
      <c r="M3250" t="str">
        <f t="shared" si="105"/>
        <v>44/40</v>
      </c>
      <c r="N3250" t="str">
        <f t="shared" si="106"/>
        <v>SW</v>
      </c>
      <c r="O3250" s="1" t="s">
        <v>25</v>
      </c>
      <c r="P3250" s="3" t="s">
        <v>25</v>
      </c>
      <c r="Q3250" s="37">
        <v>1.0997680999999999</v>
      </c>
      <c r="R3250" t="str">
        <f t="shared" si="107"/>
        <v>mmol/mol</v>
      </c>
      <c r="S3250" s="13">
        <f t="shared" si="104"/>
        <v>-1.59719472926406</v>
      </c>
    </row>
    <row r="3251" spans="1:19">
      <c r="A3251" s="18" t="s">
        <v>3504</v>
      </c>
      <c r="B3251" s="1" t="s">
        <v>3345</v>
      </c>
      <c r="C3251" s="1" t="s">
        <v>3513</v>
      </c>
      <c r="D3251" s="1" t="s">
        <v>3630</v>
      </c>
      <c r="E3251" s="1" t="s">
        <v>25</v>
      </c>
      <c r="F3251">
        <v>650</v>
      </c>
      <c r="G3251">
        <v>650</v>
      </c>
      <c r="H3251">
        <v>332.4</v>
      </c>
      <c r="I3251" s="1" t="s">
        <v>1528</v>
      </c>
      <c r="J3251" s="1" t="s">
        <v>3553</v>
      </c>
      <c r="K3251" s="1" t="s">
        <v>25</v>
      </c>
      <c r="L3251">
        <v>-1.6854350365249999</v>
      </c>
      <c r="M3251" t="str">
        <f t="shared" si="105"/>
        <v>44/40</v>
      </c>
      <c r="N3251" t="str">
        <f t="shared" si="106"/>
        <v>SW</v>
      </c>
      <c r="O3251" s="1" t="s">
        <v>25</v>
      </c>
      <c r="P3251" s="3" t="s">
        <v>25</v>
      </c>
      <c r="Q3251" s="37">
        <v>1.1372396</v>
      </c>
      <c r="R3251" t="str">
        <f t="shared" si="107"/>
        <v>mmol/mol</v>
      </c>
      <c r="S3251" s="13">
        <f t="shared" si="104"/>
        <v>-1.6854350365249999</v>
      </c>
    </row>
    <row r="3252" spans="1:19">
      <c r="A3252" s="18" t="s">
        <v>3504</v>
      </c>
      <c r="B3252" s="1" t="s">
        <v>3346</v>
      </c>
      <c r="C3252" s="1" t="s">
        <v>3513</v>
      </c>
      <c r="D3252" s="1" t="s">
        <v>3630</v>
      </c>
      <c r="E3252" s="1" t="s">
        <v>25</v>
      </c>
      <c r="F3252">
        <v>650</v>
      </c>
      <c r="G3252">
        <v>650</v>
      </c>
      <c r="H3252">
        <v>334.6</v>
      </c>
      <c r="I3252" s="1" t="s">
        <v>1528</v>
      </c>
      <c r="J3252" s="1" t="s">
        <v>3553</v>
      </c>
      <c r="K3252" s="1" t="s">
        <v>25</v>
      </c>
      <c r="L3252">
        <v>-1.57377207331285</v>
      </c>
      <c r="M3252" t="str">
        <f t="shared" si="105"/>
        <v>44/40</v>
      </c>
      <c r="N3252" t="str">
        <f t="shared" si="106"/>
        <v>SW</v>
      </c>
      <c r="O3252" s="1" t="s">
        <v>25</v>
      </c>
      <c r="P3252" s="3" t="s">
        <v>25</v>
      </c>
      <c r="Q3252" s="37">
        <v>1.9932327000000001</v>
      </c>
      <c r="R3252" t="str">
        <f t="shared" si="107"/>
        <v>mmol/mol</v>
      </c>
      <c r="S3252" s="13">
        <f t="shared" si="104"/>
        <v>-1.57377207331285</v>
      </c>
    </row>
    <row r="3253" spans="1:19">
      <c r="A3253" s="18" t="s">
        <v>3504</v>
      </c>
      <c r="B3253" s="1" t="s">
        <v>3347</v>
      </c>
      <c r="C3253" s="1" t="s">
        <v>3513</v>
      </c>
      <c r="D3253" s="1" t="s">
        <v>3630</v>
      </c>
      <c r="E3253" s="1" t="s">
        <v>25</v>
      </c>
      <c r="F3253">
        <v>650</v>
      </c>
      <c r="G3253">
        <v>650</v>
      </c>
      <c r="H3253">
        <v>336.8</v>
      </c>
      <c r="I3253" s="1" t="s">
        <v>1528</v>
      </c>
      <c r="J3253" s="1" t="s">
        <v>3553</v>
      </c>
      <c r="K3253" s="1" t="s">
        <v>25</v>
      </c>
      <c r="L3253">
        <v>-1.6342765425646899</v>
      </c>
      <c r="M3253" t="str">
        <f t="shared" si="105"/>
        <v>44/40</v>
      </c>
      <c r="N3253" t="str">
        <f t="shared" si="106"/>
        <v>SW</v>
      </c>
      <c r="O3253" s="1" t="s">
        <v>25</v>
      </c>
      <c r="P3253" s="3" t="s">
        <v>25</v>
      </c>
      <c r="Q3253" s="37">
        <v>1.1747354000000001</v>
      </c>
      <c r="R3253" t="str">
        <f t="shared" si="107"/>
        <v>mmol/mol</v>
      </c>
      <c r="S3253" s="13">
        <f t="shared" si="104"/>
        <v>-1.6342765425646899</v>
      </c>
    </row>
    <row r="3254" spans="1:19">
      <c r="A3254" s="18" t="s">
        <v>3504</v>
      </c>
      <c r="B3254" s="1" t="s">
        <v>3348</v>
      </c>
      <c r="C3254" s="1" t="s">
        <v>3513</v>
      </c>
      <c r="D3254" s="1" t="s">
        <v>3630</v>
      </c>
      <c r="E3254" s="1" t="s">
        <v>25</v>
      </c>
      <c r="F3254">
        <v>650</v>
      </c>
      <c r="G3254">
        <v>650</v>
      </c>
      <c r="H3254">
        <v>340.5</v>
      </c>
      <c r="I3254" s="1" t="s">
        <v>1528</v>
      </c>
      <c r="J3254" s="1" t="s">
        <v>3552</v>
      </c>
      <c r="K3254" s="1" t="s">
        <v>25</v>
      </c>
      <c r="L3254">
        <v>-1.70532941891658</v>
      </c>
      <c r="M3254" t="str">
        <f t="shared" si="105"/>
        <v>44/40</v>
      </c>
      <c r="N3254" t="str">
        <f t="shared" si="106"/>
        <v>SW</v>
      </c>
      <c r="O3254" s="1" t="s">
        <v>25</v>
      </c>
      <c r="P3254" s="3" t="s">
        <v>25</v>
      </c>
      <c r="Q3254" s="37">
        <v>2.1954186</v>
      </c>
      <c r="R3254" t="str">
        <f t="shared" si="107"/>
        <v>mmol/mol</v>
      </c>
      <c r="S3254" s="13">
        <f t="shared" si="104"/>
        <v>-1.70532941891658</v>
      </c>
    </row>
    <row r="3255" spans="1:19">
      <c r="A3255" s="18" t="s">
        <v>3504</v>
      </c>
      <c r="B3255" s="1" t="s">
        <v>3349</v>
      </c>
      <c r="C3255" s="1" t="s">
        <v>3513</v>
      </c>
      <c r="D3255" s="1" t="s">
        <v>3630</v>
      </c>
      <c r="E3255" s="1" t="s">
        <v>25</v>
      </c>
      <c r="F3255">
        <v>650</v>
      </c>
      <c r="G3255">
        <v>650</v>
      </c>
      <c r="H3255">
        <v>341.2</v>
      </c>
      <c r="I3255" s="1" t="s">
        <v>1528</v>
      </c>
      <c r="J3255" s="1" t="s">
        <v>3552</v>
      </c>
      <c r="K3255" s="1" t="s">
        <v>25</v>
      </c>
      <c r="L3255">
        <v>-1.7159727226394501</v>
      </c>
      <c r="M3255" t="str">
        <f t="shared" si="105"/>
        <v>44/40</v>
      </c>
      <c r="N3255" t="str">
        <f t="shared" si="106"/>
        <v>SW</v>
      </c>
      <c r="O3255" s="1" t="s">
        <v>25</v>
      </c>
      <c r="P3255" s="3" t="s">
        <v>25</v>
      </c>
      <c r="Q3255" s="37" t="s">
        <v>25</v>
      </c>
      <c r="R3255" t="str">
        <f t="shared" si="107"/>
        <v>Na</v>
      </c>
      <c r="S3255" s="13">
        <f t="shared" si="104"/>
        <v>-1.7159727226394501</v>
      </c>
    </row>
    <row r="3256" spans="1:19">
      <c r="A3256" s="18" t="s">
        <v>3504</v>
      </c>
      <c r="B3256" s="1" t="s">
        <v>3350</v>
      </c>
      <c r="C3256" s="1" t="s">
        <v>3513</v>
      </c>
      <c r="D3256" s="1" t="s">
        <v>3630</v>
      </c>
      <c r="E3256" s="1" t="s">
        <v>25</v>
      </c>
      <c r="F3256">
        <v>650</v>
      </c>
      <c r="G3256">
        <v>650</v>
      </c>
      <c r="H3256">
        <v>343.9</v>
      </c>
      <c r="I3256" s="1" t="s">
        <v>1528</v>
      </c>
      <c r="J3256" s="1" t="s">
        <v>3554</v>
      </c>
      <c r="K3256" s="1" t="s">
        <v>25</v>
      </c>
      <c r="L3256">
        <v>-1.55148067074465</v>
      </c>
      <c r="M3256" t="str">
        <f t="shared" si="105"/>
        <v>44/40</v>
      </c>
      <c r="N3256" t="str">
        <f t="shared" si="106"/>
        <v>SW</v>
      </c>
      <c r="O3256" s="1" t="s">
        <v>25</v>
      </c>
      <c r="P3256" s="3" t="s">
        <v>25</v>
      </c>
      <c r="Q3256" s="37" t="s">
        <v>25</v>
      </c>
      <c r="R3256" t="str">
        <f t="shared" si="107"/>
        <v>Na</v>
      </c>
      <c r="S3256" s="13">
        <f t="shared" si="104"/>
        <v>-1.55148067074465</v>
      </c>
    </row>
    <row r="3257" spans="1:19">
      <c r="A3257" s="18" t="s">
        <v>3504</v>
      </c>
      <c r="B3257" s="1" t="s">
        <v>3351</v>
      </c>
      <c r="C3257" s="1" t="s">
        <v>3513</v>
      </c>
      <c r="D3257" s="1" t="s">
        <v>3630</v>
      </c>
      <c r="E3257" s="1" t="s">
        <v>25</v>
      </c>
      <c r="F3257">
        <v>650</v>
      </c>
      <c r="G3257">
        <v>650</v>
      </c>
      <c r="H3257">
        <v>354.6</v>
      </c>
      <c r="I3257" s="1" t="s">
        <v>1528</v>
      </c>
      <c r="J3257" s="1" t="s">
        <v>3553</v>
      </c>
      <c r="K3257" s="1" t="s">
        <v>25</v>
      </c>
      <c r="L3257">
        <v>-1.6797673491360301</v>
      </c>
      <c r="M3257" t="str">
        <f t="shared" si="105"/>
        <v>44/40</v>
      </c>
      <c r="N3257" t="str">
        <f t="shared" si="106"/>
        <v>SW</v>
      </c>
      <c r="O3257" s="1" t="s">
        <v>25</v>
      </c>
      <c r="P3257" s="3" t="s">
        <v>25</v>
      </c>
      <c r="Q3257" s="37">
        <v>1.5864069999999999</v>
      </c>
      <c r="R3257" t="str">
        <f t="shared" si="107"/>
        <v>mmol/mol</v>
      </c>
      <c r="S3257" s="13">
        <f t="shared" si="104"/>
        <v>-1.6797673491360301</v>
      </c>
    </row>
    <row r="3258" spans="1:19">
      <c r="A3258" s="18" t="s">
        <v>3504</v>
      </c>
      <c r="B3258" s="1" t="s">
        <v>3352</v>
      </c>
      <c r="C3258" s="1" t="s">
        <v>3513</v>
      </c>
      <c r="D3258" s="1" t="s">
        <v>3630</v>
      </c>
      <c r="E3258" s="1" t="s">
        <v>25</v>
      </c>
      <c r="F3258">
        <v>650</v>
      </c>
      <c r="G3258">
        <v>650</v>
      </c>
      <c r="H3258">
        <v>357.6</v>
      </c>
      <c r="I3258" s="1" t="s">
        <v>1528</v>
      </c>
      <c r="J3258" s="1" t="s">
        <v>3527</v>
      </c>
      <c r="K3258" s="1" t="s">
        <v>25</v>
      </c>
      <c r="L3258">
        <v>-1.67308856880824</v>
      </c>
      <c r="M3258" t="str">
        <f t="shared" si="105"/>
        <v>44/40</v>
      </c>
      <c r="N3258" t="str">
        <f t="shared" si="106"/>
        <v>SW</v>
      </c>
      <c r="O3258" s="1" t="s">
        <v>25</v>
      </c>
      <c r="P3258" s="3" t="s">
        <v>25</v>
      </c>
      <c r="Q3258" s="37" t="s">
        <v>25</v>
      </c>
      <c r="R3258" t="str">
        <f t="shared" si="107"/>
        <v>Na</v>
      </c>
      <c r="S3258" s="13">
        <f t="shared" si="104"/>
        <v>-1.67308856880824</v>
      </c>
    </row>
    <row r="3259" spans="1:19">
      <c r="A3259" s="18" t="s">
        <v>3504</v>
      </c>
      <c r="B3259" s="1" t="s">
        <v>3353</v>
      </c>
      <c r="C3259" s="1" t="s">
        <v>3513</v>
      </c>
      <c r="D3259" s="1" t="s">
        <v>3630</v>
      </c>
      <c r="E3259" s="1" t="s">
        <v>25</v>
      </c>
      <c r="F3259">
        <v>650</v>
      </c>
      <c r="G3259">
        <v>650</v>
      </c>
      <c r="H3259">
        <v>361</v>
      </c>
      <c r="I3259" s="1" t="s">
        <v>1528</v>
      </c>
      <c r="J3259" s="1" t="s">
        <v>3552</v>
      </c>
      <c r="K3259" s="1" t="s">
        <v>25</v>
      </c>
      <c r="L3259">
        <v>-1.4206195804897701</v>
      </c>
      <c r="M3259" t="str">
        <f t="shared" si="105"/>
        <v>44/40</v>
      </c>
      <c r="N3259" t="str">
        <f t="shared" si="106"/>
        <v>SW</v>
      </c>
      <c r="O3259" s="1" t="s">
        <v>25</v>
      </c>
      <c r="P3259" s="3" t="s">
        <v>25</v>
      </c>
      <c r="Q3259" s="37" t="s">
        <v>25</v>
      </c>
      <c r="R3259" t="str">
        <f t="shared" si="107"/>
        <v>Na</v>
      </c>
      <c r="S3259" s="13">
        <f t="shared" si="104"/>
        <v>-1.4206195804897701</v>
      </c>
    </row>
    <row r="3260" spans="1:19">
      <c r="A3260" s="18" t="s">
        <v>3504</v>
      </c>
      <c r="B3260" s="1" t="s">
        <v>3354</v>
      </c>
      <c r="C3260" s="1" t="s">
        <v>3513</v>
      </c>
      <c r="D3260" s="1" t="s">
        <v>3630</v>
      </c>
      <c r="E3260" s="1" t="s">
        <v>25</v>
      </c>
      <c r="F3260">
        <v>650</v>
      </c>
      <c r="G3260">
        <v>650</v>
      </c>
      <c r="H3260">
        <v>365.9</v>
      </c>
      <c r="I3260" s="1" t="s">
        <v>1528</v>
      </c>
      <c r="J3260" s="1" t="s">
        <v>3552</v>
      </c>
      <c r="K3260" s="1" t="s">
        <v>25</v>
      </c>
      <c r="L3260">
        <v>-1.4554352568164199</v>
      </c>
      <c r="M3260" t="str">
        <f t="shared" si="105"/>
        <v>44/40</v>
      </c>
      <c r="N3260" t="str">
        <f t="shared" si="106"/>
        <v>SW</v>
      </c>
      <c r="O3260" s="1" t="s">
        <v>25</v>
      </c>
      <c r="P3260" s="3" t="s">
        <v>25</v>
      </c>
      <c r="Q3260" s="37">
        <v>1.605459</v>
      </c>
      <c r="R3260" t="str">
        <f t="shared" si="107"/>
        <v>mmol/mol</v>
      </c>
      <c r="S3260" s="13">
        <f t="shared" si="104"/>
        <v>-1.4554352568164199</v>
      </c>
    </row>
    <row r="3261" spans="1:19">
      <c r="A3261" s="18" t="s">
        <v>3504</v>
      </c>
      <c r="B3261" s="1" t="s">
        <v>3355</v>
      </c>
      <c r="C3261" s="1" t="s">
        <v>3513</v>
      </c>
      <c r="D3261" s="1" t="s">
        <v>3630</v>
      </c>
      <c r="E3261" s="1" t="s">
        <v>25</v>
      </c>
      <c r="F3261">
        <v>650</v>
      </c>
      <c r="G3261">
        <v>650</v>
      </c>
      <c r="H3261">
        <v>372.3</v>
      </c>
      <c r="I3261" s="1" t="s">
        <v>1528</v>
      </c>
      <c r="J3261" s="1" t="s">
        <v>3553</v>
      </c>
      <c r="K3261" s="1" t="s">
        <v>25</v>
      </c>
      <c r="L3261">
        <v>-1.63670979996251</v>
      </c>
      <c r="M3261" t="str">
        <f t="shared" si="105"/>
        <v>44/40</v>
      </c>
      <c r="N3261" t="str">
        <f t="shared" si="106"/>
        <v>SW</v>
      </c>
      <c r="O3261" s="1" t="s">
        <v>25</v>
      </c>
      <c r="P3261" s="3" t="s">
        <v>25</v>
      </c>
      <c r="Q3261" s="37">
        <v>2.5014745</v>
      </c>
      <c r="R3261" t="str">
        <f t="shared" si="107"/>
        <v>mmol/mol</v>
      </c>
      <c r="S3261" s="13">
        <f t="shared" si="104"/>
        <v>-1.63670979996251</v>
      </c>
    </row>
    <row r="3262" spans="1:19">
      <c r="A3262" s="18" t="s">
        <v>3504</v>
      </c>
      <c r="B3262" s="1" t="s">
        <v>3356</v>
      </c>
      <c r="C3262" s="1" t="s">
        <v>3513</v>
      </c>
      <c r="D3262" s="1" t="s">
        <v>3630</v>
      </c>
      <c r="E3262" s="1" t="s">
        <v>25</v>
      </c>
      <c r="F3262">
        <v>650</v>
      </c>
      <c r="G3262">
        <v>650</v>
      </c>
      <c r="H3262">
        <v>376.5</v>
      </c>
      <c r="I3262" s="1" t="s">
        <v>1528</v>
      </c>
      <c r="J3262" s="1" t="s">
        <v>3527</v>
      </c>
      <c r="K3262" s="1" t="s">
        <v>25</v>
      </c>
      <c r="L3262">
        <v>-1.4907624473294601</v>
      </c>
      <c r="M3262" t="str">
        <f t="shared" si="105"/>
        <v>44/40</v>
      </c>
      <c r="N3262" t="str">
        <f t="shared" si="106"/>
        <v>SW</v>
      </c>
      <c r="O3262" s="1" t="s">
        <v>25</v>
      </c>
      <c r="P3262" s="3" t="s">
        <v>25</v>
      </c>
      <c r="Q3262" s="37" t="s">
        <v>25</v>
      </c>
      <c r="R3262" t="str">
        <f t="shared" si="107"/>
        <v>Na</v>
      </c>
      <c r="S3262" s="13">
        <f t="shared" si="104"/>
        <v>-1.4907624473294601</v>
      </c>
    </row>
    <row r="3263" spans="1:19">
      <c r="A3263" s="18" t="s">
        <v>3504</v>
      </c>
      <c r="B3263" s="1" t="s">
        <v>3357</v>
      </c>
      <c r="C3263" s="1" t="s">
        <v>3513</v>
      </c>
      <c r="D3263" s="1" t="s">
        <v>3630</v>
      </c>
      <c r="E3263" s="1" t="s">
        <v>25</v>
      </c>
      <c r="F3263">
        <v>650</v>
      </c>
      <c r="G3263">
        <v>650</v>
      </c>
      <c r="H3263">
        <v>380</v>
      </c>
      <c r="I3263" s="1" t="s">
        <v>1528</v>
      </c>
      <c r="J3263" s="1" t="s">
        <v>3554</v>
      </c>
      <c r="K3263" s="1" t="s">
        <v>25</v>
      </c>
      <c r="L3263">
        <v>-1.7010327143080799</v>
      </c>
      <c r="M3263" t="str">
        <f t="shared" si="105"/>
        <v>44/40</v>
      </c>
      <c r="N3263" t="str">
        <f t="shared" si="106"/>
        <v>SW</v>
      </c>
      <c r="O3263" s="1" t="s">
        <v>25</v>
      </c>
      <c r="P3263" s="3" t="s">
        <v>25</v>
      </c>
      <c r="Q3263" s="37">
        <v>1.8162921000000001</v>
      </c>
      <c r="R3263" t="str">
        <f t="shared" si="107"/>
        <v>mmol/mol</v>
      </c>
      <c r="S3263" s="13">
        <f t="shared" si="104"/>
        <v>-1.7010327143080799</v>
      </c>
    </row>
    <row r="3264" spans="1:19">
      <c r="A3264" s="18" t="s">
        <v>3504</v>
      </c>
      <c r="B3264" s="1" t="s">
        <v>3358</v>
      </c>
      <c r="C3264" s="1" t="s">
        <v>3513</v>
      </c>
      <c r="D3264" s="1" t="s">
        <v>3630</v>
      </c>
      <c r="E3264" s="1" t="s">
        <v>25</v>
      </c>
      <c r="F3264">
        <v>650</v>
      </c>
      <c r="G3264">
        <v>650</v>
      </c>
      <c r="H3264">
        <v>386</v>
      </c>
      <c r="I3264" s="1" t="s">
        <v>1528</v>
      </c>
      <c r="J3264" s="1" t="s">
        <v>3527</v>
      </c>
      <c r="K3264" s="1" t="s">
        <v>25</v>
      </c>
      <c r="L3264">
        <v>-1.48199396334736</v>
      </c>
      <c r="M3264" t="str">
        <f t="shared" si="105"/>
        <v>44/40</v>
      </c>
      <c r="N3264" t="str">
        <f t="shared" si="106"/>
        <v>SW</v>
      </c>
      <c r="O3264" s="1" t="s">
        <v>25</v>
      </c>
      <c r="P3264" s="3" t="s">
        <v>25</v>
      </c>
      <c r="Q3264" s="37">
        <v>1.3915861</v>
      </c>
      <c r="R3264" t="str">
        <f t="shared" si="107"/>
        <v>mmol/mol</v>
      </c>
      <c r="S3264" s="13">
        <f t="shared" si="104"/>
        <v>-1.48199396334736</v>
      </c>
    </row>
    <row r="3265" spans="1:19">
      <c r="A3265" s="18" t="s">
        <v>3504</v>
      </c>
      <c r="B3265" s="1" t="s">
        <v>3359</v>
      </c>
      <c r="C3265" s="1" t="s">
        <v>3513</v>
      </c>
      <c r="D3265" s="1" t="s">
        <v>3630</v>
      </c>
      <c r="E3265" s="1" t="s">
        <v>25</v>
      </c>
      <c r="F3265">
        <v>650</v>
      </c>
      <c r="G3265">
        <v>650</v>
      </c>
      <c r="H3265">
        <v>386.8</v>
      </c>
      <c r="I3265" s="1" t="s">
        <v>1528</v>
      </c>
      <c r="J3265" s="1" t="s">
        <v>3527</v>
      </c>
      <c r="K3265" s="1" t="s">
        <v>25</v>
      </c>
      <c r="L3265">
        <v>-1.62307548596227</v>
      </c>
      <c r="M3265" t="str">
        <f t="shared" si="105"/>
        <v>44/40</v>
      </c>
      <c r="N3265" t="str">
        <f t="shared" si="106"/>
        <v>SW</v>
      </c>
      <c r="O3265" s="1" t="s">
        <v>25</v>
      </c>
      <c r="P3265" s="3" t="s">
        <v>25</v>
      </c>
      <c r="Q3265" s="37" t="s">
        <v>25</v>
      </c>
      <c r="R3265" t="str">
        <f t="shared" si="107"/>
        <v>Na</v>
      </c>
      <c r="S3265" s="13">
        <f t="shared" si="104"/>
        <v>-1.62307548596227</v>
      </c>
    </row>
    <row r="3266" spans="1:19">
      <c r="A3266" s="18" t="s">
        <v>3504</v>
      </c>
      <c r="B3266" s="1" t="s">
        <v>3360</v>
      </c>
      <c r="C3266" s="1" t="s">
        <v>3513</v>
      </c>
      <c r="D3266" s="1" t="s">
        <v>3630</v>
      </c>
      <c r="E3266" s="1" t="s">
        <v>25</v>
      </c>
      <c r="F3266">
        <v>650</v>
      </c>
      <c r="G3266">
        <v>650</v>
      </c>
      <c r="H3266">
        <v>391.3</v>
      </c>
      <c r="I3266" s="1" t="s">
        <v>1528</v>
      </c>
      <c r="J3266" s="1" t="s">
        <v>3527</v>
      </c>
      <c r="K3266" s="1" t="s">
        <v>25</v>
      </c>
      <c r="L3266">
        <v>-1.53519548317676</v>
      </c>
      <c r="M3266" t="str">
        <f t="shared" si="105"/>
        <v>44/40</v>
      </c>
      <c r="N3266" t="str">
        <f t="shared" si="106"/>
        <v>SW</v>
      </c>
      <c r="O3266" s="1" t="s">
        <v>25</v>
      </c>
      <c r="P3266" s="3" t="s">
        <v>25</v>
      </c>
      <c r="Q3266" s="37">
        <v>1.068284</v>
      </c>
      <c r="R3266" t="str">
        <f t="shared" si="107"/>
        <v>mmol/mol</v>
      </c>
      <c r="S3266" s="13">
        <f t="shared" si="104"/>
        <v>-1.53519548317676</v>
      </c>
    </row>
    <row r="3267" spans="1:19">
      <c r="A3267" s="18" t="s">
        <v>3504</v>
      </c>
      <c r="B3267" s="1" t="s">
        <v>3361</v>
      </c>
      <c r="C3267" s="1" t="s">
        <v>3513</v>
      </c>
      <c r="D3267" s="1" t="s">
        <v>3630</v>
      </c>
      <c r="E3267" s="1" t="s">
        <v>25</v>
      </c>
      <c r="F3267">
        <v>650</v>
      </c>
      <c r="G3267">
        <v>650</v>
      </c>
      <c r="H3267">
        <v>391.7</v>
      </c>
      <c r="I3267" s="1" t="s">
        <v>1528</v>
      </c>
      <c r="J3267" s="1" t="s">
        <v>3553</v>
      </c>
      <c r="K3267" s="1" t="s">
        <v>25</v>
      </c>
      <c r="L3267">
        <v>-1.52342128255167</v>
      </c>
      <c r="M3267" t="str">
        <f t="shared" si="105"/>
        <v>44/40</v>
      </c>
      <c r="N3267" t="str">
        <f t="shared" si="106"/>
        <v>SW</v>
      </c>
      <c r="O3267" s="1" t="s">
        <v>25</v>
      </c>
      <c r="P3267" s="3" t="s">
        <v>25</v>
      </c>
      <c r="Q3267" s="37">
        <v>1.2897144</v>
      </c>
      <c r="R3267" t="str">
        <f t="shared" si="107"/>
        <v>mmol/mol</v>
      </c>
      <c r="S3267" s="13">
        <f t="shared" si="104"/>
        <v>-1.52342128255167</v>
      </c>
    </row>
    <row r="3268" spans="1:19">
      <c r="A3268" s="18" t="s">
        <v>3504</v>
      </c>
      <c r="B3268" s="1" t="s">
        <v>3362</v>
      </c>
      <c r="C3268" s="1" t="s">
        <v>3513</v>
      </c>
      <c r="D3268" s="1" t="s">
        <v>3630</v>
      </c>
      <c r="E3268" s="1" t="s">
        <v>25</v>
      </c>
      <c r="F3268">
        <v>650</v>
      </c>
      <c r="G3268">
        <v>650</v>
      </c>
      <c r="H3268">
        <v>398</v>
      </c>
      <c r="I3268" s="1" t="s">
        <v>1528</v>
      </c>
      <c r="J3268" s="1" t="s">
        <v>3554</v>
      </c>
      <c r="K3268" s="1" t="s">
        <v>25</v>
      </c>
      <c r="L3268">
        <v>-1.5123894868416401</v>
      </c>
      <c r="M3268" t="str">
        <f t="shared" si="105"/>
        <v>44/40</v>
      </c>
      <c r="N3268" t="str">
        <f t="shared" si="106"/>
        <v>SW</v>
      </c>
      <c r="O3268" s="1" t="s">
        <v>25</v>
      </c>
      <c r="P3268" s="3" t="s">
        <v>25</v>
      </c>
      <c r="Q3268" s="37">
        <v>1.0824999</v>
      </c>
      <c r="R3268" t="str">
        <f t="shared" si="107"/>
        <v>mmol/mol</v>
      </c>
      <c r="S3268" s="13">
        <f t="shared" si="104"/>
        <v>-1.5123894868416401</v>
      </c>
    </row>
    <row r="3269" spans="1:19">
      <c r="A3269" s="18" t="s">
        <v>3504</v>
      </c>
      <c r="B3269" s="1" t="s">
        <v>3363</v>
      </c>
      <c r="C3269" s="1" t="s">
        <v>3513</v>
      </c>
      <c r="D3269" s="1" t="s">
        <v>3630</v>
      </c>
      <c r="E3269" s="1" t="s">
        <v>25</v>
      </c>
      <c r="F3269">
        <v>650</v>
      </c>
      <c r="G3269">
        <v>650</v>
      </c>
      <c r="H3269">
        <v>403.4</v>
      </c>
      <c r="I3269" s="1" t="s">
        <v>1528</v>
      </c>
      <c r="J3269" s="1" t="s">
        <v>3554</v>
      </c>
      <c r="K3269" s="1" t="s">
        <v>25</v>
      </c>
      <c r="L3269">
        <v>-1.4745242171047901</v>
      </c>
      <c r="M3269" t="str">
        <f t="shared" si="105"/>
        <v>44/40</v>
      </c>
      <c r="N3269" t="str">
        <f t="shared" si="106"/>
        <v>SW</v>
      </c>
      <c r="O3269" s="1" t="s">
        <v>25</v>
      </c>
      <c r="P3269" s="3" t="s">
        <v>25</v>
      </c>
      <c r="Q3269" s="37">
        <v>1.2262549</v>
      </c>
      <c r="R3269" t="str">
        <f t="shared" si="107"/>
        <v>mmol/mol</v>
      </c>
      <c r="S3269" s="13">
        <f t="shared" si="104"/>
        <v>-1.4745242171047901</v>
      </c>
    </row>
    <row r="3270" spans="1:19">
      <c r="A3270" s="18" t="s">
        <v>3504</v>
      </c>
      <c r="B3270" s="1" t="s">
        <v>3364</v>
      </c>
      <c r="C3270" s="1" t="s">
        <v>3513</v>
      </c>
      <c r="D3270" s="1" t="s">
        <v>3630</v>
      </c>
      <c r="E3270" s="1" t="s">
        <v>25</v>
      </c>
      <c r="F3270">
        <v>650</v>
      </c>
      <c r="G3270">
        <v>650</v>
      </c>
      <c r="H3270">
        <v>405.3</v>
      </c>
      <c r="I3270" s="1" t="s">
        <v>1528</v>
      </c>
      <c r="J3270" s="1" t="s">
        <v>3554</v>
      </c>
      <c r="K3270" s="1" t="s">
        <v>25</v>
      </c>
      <c r="L3270">
        <v>-1.5134308348376799</v>
      </c>
      <c r="M3270" t="str">
        <f t="shared" si="105"/>
        <v>44/40</v>
      </c>
      <c r="N3270" t="str">
        <f t="shared" si="106"/>
        <v>SW</v>
      </c>
      <c r="O3270" s="1" t="s">
        <v>25</v>
      </c>
      <c r="P3270" s="3" t="s">
        <v>25</v>
      </c>
      <c r="Q3270" s="37">
        <v>1.1613289</v>
      </c>
      <c r="R3270" t="str">
        <f t="shared" si="107"/>
        <v>mmol/mol</v>
      </c>
      <c r="S3270" s="13">
        <f t="shared" si="104"/>
        <v>-1.5134308348376799</v>
      </c>
    </row>
    <row r="3271" spans="1:19">
      <c r="A3271" s="18" t="s">
        <v>3504</v>
      </c>
      <c r="B3271" s="1" t="s">
        <v>3365</v>
      </c>
      <c r="C3271" s="1" t="s">
        <v>3513</v>
      </c>
      <c r="D3271" s="1" t="s">
        <v>3630</v>
      </c>
      <c r="E3271" s="1" t="s">
        <v>25</v>
      </c>
      <c r="F3271">
        <v>650</v>
      </c>
      <c r="G3271">
        <v>650</v>
      </c>
      <c r="H3271">
        <v>408.9</v>
      </c>
      <c r="I3271" s="1" t="s">
        <v>1528</v>
      </c>
      <c r="J3271" s="1" t="s">
        <v>3553</v>
      </c>
      <c r="K3271" s="1" t="s">
        <v>25</v>
      </c>
      <c r="L3271">
        <v>-1.60665246407298</v>
      </c>
      <c r="M3271" t="str">
        <f t="shared" si="105"/>
        <v>44/40</v>
      </c>
      <c r="N3271" t="str">
        <f t="shared" si="106"/>
        <v>SW</v>
      </c>
      <c r="O3271" s="1" t="s">
        <v>25</v>
      </c>
      <c r="P3271" s="3" t="s">
        <v>25</v>
      </c>
      <c r="Q3271" s="37">
        <v>1.5992215999999999</v>
      </c>
      <c r="R3271" t="str">
        <f t="shared" si="107"/>
        <v>mmol/mol</v>
      </c>
      <c r="S3271" s="13">
        <f t="shared" si="104"/>
        <v>-1.60665246407298</v>
      </c>
    </row>
    <row r="3272" spans="1:19">
      <c r="A3272" s="18" t="s">
        <v>3504</v>
      </c>
      <c r="B3272" s="1" t="s">
        <v>3366</v>
      </c>
      <c r="C3272" s="1" t="s">
        <v>3513</v>
      </c>
      <c r="D3272" s="1" t="s">
        <v>3630</v>
      </c>
      <c r="E3272" s="1" t="s">
        <v>25</v>
      </c>
      <c r="F3272">
        <v>650</v>
      </c>
      <c r="G3272">
        <v>650</v>
      </c>
      <c r="H3272">
        <v>410.3</v>
      </c>
      <c r="I3272" s="1" t="s">
        <v>1528</v>
      </c>
      <c r="J3272" s="1" t="s">
        <v>3553</v>
      </c>
      <c r="K3272" s="1" t="s">
        <v>25</v>
      </c>
      <c r="L3272">
        <v>-1.6109800196964901</v>
      </c>
      <c r="M3272" t="str">
        <f t="shared" si="105"/>
        <v>44/40</v>
      </c>
      <c r="N3272" t="str">
        <f t="shared" si="106"/>
        <v>SW</v>
      </c>
      <c r="O3272" s="1" t="s">
        <v>25</v>
      </c>
      <c r="P3272" s="3" t="s">
        <v>25</v>
      </c>
      <c r="Q3272" s="37" t="s">
        <v>25</v>
      </c>
      <c r="R3272" t="str">
        <f t="shared" si="107"/>
        <v>Na</v>
      </c>
      <c r="S3272" s="13">
        <f t="shared" si="104"/>
        <v>-1.6109800196964901</v>
      </c>
    </row>
    <row r="3273" spans="1:19">
      <c r="A3273" s="18" t="s">
        <v>3504</v>
      </c>
      <c r="B3273" s="1" t="s">
        <v>3367</v>
      </c>
      <c r="C3273" s="1" t="s">
        <v>3513</v>
      </c>
      <c r="D3273" s="1" t="s">
        <v>3630</v>
      </c>
      <c r="E3273" s="1" t="s">
        <v>25</v>
      </c>
      <c r="F3273">
        <v>650</v>
      </c>
      <c r="G3273">
        <v>650</v>
      </c>
      <c r="H3273">
        <v>414</v>
      </c>
      <c r="I3273" s="1" t="s">
        <v>1528</v>
      </c>
      <c r="J3273" s="1" t="s">
        <v>3553</v>
      </c>
      <c r="K3273" s="1" t="s">
        <v>25</v>
      </c>
      <c r="L3273">
        <v>-1.59712107176497</v>
      </c>
      <c r="M3273" t="str">
        <f t="shared" si="105"/>
        <v>44/40</v>
      </c>
      <c r="N3273" t="str">
        <f t="shared" si="106"/>
        <v>SW</v>
      </c>
      <c r="O3273" s="1" t="s">
        <v>25</v>
      </c>
      <c r="P3273" s="3" t="s">
        <v>25</v>
      </c>
      <c r="Q3273" s="37">
        <v>1.355694</v>
      </c>
      <c r="R3273" t="str">
        <f t="shared" si="107"/>
        <v>mmol/mol</v>
      </c>
      <c r="S3273" s="13">
        <f t="shared" si="104"/>
        <v>-1.59712107176497</v>
      </c>
    </row>
    <row r="3274" spans="1:19">
      <c r="A3274" s="18" t="s">
        <v>3504</v>
      </c>
      <c r="B3274" s="1" t="s">
        <v>3368</v>
      </c>
      <c r="C3274" s="1" t="s">
        <v>3513</v>
      </c>
      <c r="D3274" s="1" t="s">
        <v>3630</v>
      </c>
      <c r="E3274" s="1" t="s">
        <v>25</v>
      </c>
      <c r="F3274">
        <v>650</v>
      </c>
      <c r="G3274">
        <v>650</v>
      </c>
      <c r="H3274">
        <v>416.6</v>
      </c>
      <c r="I3274" s="1" t="s">
        <v>1528</v>
      </c>
      <c r="J3274" s="1" t="s">
        <v>3553</v>
      </c>
      <c r="K3274" s="1" t="s">
        <v>25</v>
      </c>
      <c r="L3274">
        <v>-1.4295803535979601</v>
      </c>
      <c r="M3274" t="str">
        <f t="shared" si="105"/>
        <v>44/40</v>
      </c>
      <c r="N3274" t="str">
        <f t="shared" si="106"/>
        <v>SW</v>
      </c>
      <c r="O3274" s="1" t="s">
        <v>25</v>
      </c>
      <c r="P3274" s="3" t="s">
        <v>25</v>
      </c>
      <c r="Q3274" s="37">
        <v>1.2843296</v>
      </c>
      <c r="R3274" t="str">
        <f t="shared" si="107"/>
        <v>mmol/mol</v>
      </c>
      <c r="S3274" s="13">
        <f t="shared" si="104"/>
        <v>-1.4295803535979601</v>
      </c>
    </row>
    <row r="3275" spans="1:19">
      <c r="A3275" s="18" t="s">
        <v>3504</v>
      </c>
      <c r="B3275" s="1" t="s">
        <v>3369</v>
      </c>
      <c r="C3275" s="1" t="s">
        <v>3513</v>
      </c>
      <c r="D3275" s="1" t="s">
        <v>3630</v>
      </c>
      <c r="E3275" s="1" t="s">
        <v>25</v>
      </c>
      <c r="F3275">
        <v>650</v>
      </c>
      <c r="G3275">
        <v>650</v>
      </c>
      <c r="H3275">
        <v>417.6</v>
      </c>
      <c r="I3275" s="1" t="s">
        <v>1528</v>
      </c>
      <c r="J3275" s="1" t="s">
        <v>3553</v>
      </c>
      <c r="K3275" s="1" t="s">
        <v>25</v>
      </c>
      <c r="L3275">
        <v>-1.50193956378856</v>
      </c>
      <c r="M3275" t="str">
        <f t="shared" si="105"/>
        <v>44/40</v>
      </c>
      <c r="N3275" t="str">
        <f t="shared" si="106"/>
        <v>SW</v>
      </c>
      <c r="O3275" s="1" t="s">
        <v>25</v>
      </c>
      <c r="P3275" s="3" t="s">
        <v>25</v>
      </c>
      <c r="Q3275" s="37">
        <v>1.5989552</v>
      </c>
      <c r="R3275" t="str">
        <f t="shared" si="107"/>
        <v>mmol/mol</v>
      </c>
      <c r="S3275" s="13">
        <f t="shared" si="104"/>
        <v>-1.50193956378856</v>
      </c>
    </row>
    <row r="3276" spans="1:19">
      <c r="A3276" s="18" t="s">
        <v>3504</v>
      </c>
      <c r="B3276" s="1" t="s">
        <v>3370</v>
      </c>
      <c r="C3276" s="1" t="s">
        <v>3513</v>
      </c>
      <c r="D3276" s="1" t="s">
        <v>3630</v>
      </c>
      <c r="E3276" s="1" t="s">
        <v>25</v>
      </c>
      <c r="F3276">
        <v>650</v>
      </c>
      <c r="G3276">
        <v>650</v>
      </c>
      <c r="H3276">
        <v>418.4</v>
      </c>
      <c r="I3276" s="1" t="s">
        <v>1528</v>
      </c>
      <c r="J3276" s="1" t="s">
        <v>3553</v>
      </c>
      <c r="K3276" s="1" t="s">
        <v>25</v>
      </c>
      <c r="L3276">
        <v>-1.6023777106910799</v>
      </c>
      <c r="M3276" t="str">
        <f t="shared" si="105"/>
        <v>44/40</v>
      </c>
      <c r="N3276" t="str">
        <f t="shared" si="106"/>
        <v>SW</v>
      </c>
      <c r="O3276" s="1" t="s">
        <v>25</v>
      </c>
      <c r="P3276" s="3" t="s">
        <v>25</v>
      </c>
      <c r="Q3276" s="37">
        <v>1.2991737000000001</v>
      </c>
      <c r="R3276" t="str">
        <f t="shared" si="107"/>
        <v>mmol/mol</v>
      </c>
      <c r="S3276" s="13">
        <f t="shared" si="104"/>
        <v>-1.6023777106910799</v>
      </c>
    </row>
    <row r="3277" spans="1:19">
      <c r="A3277" s="18" t="s">
        <v>3504</v>
      </c>
      <c r="B3277" s="1" t="s">
        <v>3371</v>
      </c>
      <c r="C3277" s="1" t="s">
        <v>3513</v>
      </c>
      <c r="D3277" s="1" t="s">
        <v>3630</v>
      </c>
      <c r="E3277" s="1" t="s">
        <v>25</v>
      </c>
      <c r="F3277">
        <v>650</v>
      </c>
      <c r="G3277">
        <v>650</v>
      </c>
      <c r="H3277">
        <v>421.8</v>
      </c>
      <c r="I3277" s="1" t="s">
        <v>1528</v>
      </c>
      <c r="J3277" s="1" t="s">
        <v>3553</v>
      </c>
      <c r="K3277" s="1" t="s">
        <v>25</v>
      </c>
      <c r="L3277">
        <v>-1.6312560402532601</v>
      </c>
      <c r="M3277" t="str">
        <f t="shared" si="105"/>
        <v>44/40</v>
      </c>
      <c r="N3277" t="str">
        <f t="shared" si="106"/>
        <v>SW</v>
      </c>
      <c r="O3277" s="1" t="s">
        <v>25</v>
      </c>
      <c r="P3277" s="3" t="s">
        <v>25</v>
      </c>
      <c r="Q3277" s="37" t="s">
        <v>25</v>
      </c>
      <c r="R3277" t="str">
        <f t="shared" si="107"/>
        <v>Na</v>
      </c>
      <c r="S3277" s="13">
        <f t="shared" si="104"/>
        <v>-1.6312560402532601</v>
      </c>
    </row>
    <row r="3278" spans="1:19">
      <c r="A3278" s="18" t="s">
        <v>3504</v>
      </c>
      <c r="B3278" s="1" t="s">
        <v>3372</v>
      </c>
      <c r="C3278" s="1" t="s">
        <v>3513</v>
      </c>
      <c r="D3278" s="1" t="s">
        <v>3630</v>
      </c>
      <c r="E3278" s="1" t="s">
        <v>25</v>
      </c>
      <c r="F3278">
        <v>650</v>
      </c>
      <c r="G3278">
        <v>650</v>
      </c>
      <c r="H3278">
        <v>426.7</v>
      </c>
      <c r="I3278" s="1" t="s">
        <v>1528</v>
      </c>
      <c r="J3278" s="1" t="s">
        <v>3553</v>
      </c>
      <c r="K3278" s="1" t="s">
        <v>25</v>
      </c>
      <c r="L3278">
        <v>-1.5635587943473399</v>
      </c>
      <c r="M3278" t="str">
        <f t="shared" si="105"/>
        <v>44/40</v>
      </c>
      <c r="N3278" t="str">
        <f t="shared" si="106"/>
        <v>SW</v>
      </c>
      <c r="O3278" s="1" t="s">
        <v>25</v>
      </c>
      <c r="P3278" s="3" t="s">
        <v>25</v>
      </c>
      <c r="Q3278" s="37" t="s">
        <v>25</v>
      </c>
      <c r="R3278" t="str">
        <f t="shared" si="107"/>
        <v>Na</v>
      </c>
      <c r="S3278" s="13">
        <f t="shared" si="104"/>
        <v>-1.5635587943473399</v>
      </c>
    </row>
    <row r="3279" spans="1:19">
      <c r="A3279" s="18" t="s">
        <v>3504</v>
      </c>
      <c r="B3279" s="1" t="s">
        <v>3373</v>
      </c>
      <c r="C3279" s="1" t="s">
        <v>3513</v>
      </c>
      <c r="D3279" s="1" t="s">
        <v>3630</v>
      </c>
      <c r="E3279" s="1" t="s">
        <v>25</v>
      </c>
      <c r="F3279">
        <v>650</v>
      </c>
      <c r="G3279">
        <v>650</v>
      </c>
      <c r="H3279">
        <v>428.2</v>
      </c>
      <c r="I3279" s="1" t="s">
        <v>1528</v>
      </c>
      <c r="J3279" s="1" t="s">
        <v>3554</v>
      </c>
      <c r="K3279" s="1" t="s">
        <v>25</v>
      </c>
      <c r="L3279">
        <v>-1.57128914163178</v>
      </c>
      <c r="M3279" t="str">
        <f t="shared" si="105"/>
        <v>44/40</v>
      </c>
      <c r="N3279" t="str">
        <f t="shared" si="106"/>
        <v>SW</v>
      </c>
      <c r="O3279" s="1" t="s">
        <v>25</v>
      </c>
      <c r="P3279" s="3" t="s">
        <v>25</v>
      </c>
      <c r="Q3279" s="37" t="s">
        <v>25</v>
      </c>
      <c r="R3279" t="str">
        <f t="shared" si="107"/>
        <v>Na</v>
      </c>
      <c r="S3279" s="13">
        <f t="shared" si="104"/>
        <v>-1.57128914163178</v>
      </c>
    </row>
    <row r="3280" spans="1:19">
      <c r="A3280" s="18" t="s">
        <v>3504</v>
      </c>
      <c r="B3280" s="1" t="s">
        <v>3374</v>
      </c>
      <c r="C3280" s="1" t="s">
        <v>3513</v>
      </c>
      <c r="D3280" s="1" t="s">
        <v>3630</v>
      </c>
      <c r="E3280" s="1" t="s">
        <v>25</v>
      </c>
      <c r="F3280">
        <v>650</v>
      </c>
      <c r="G3280">
        <v>650</v>
      </c>
      <c r="H3280">
        <v>430.4</v>
      </c>
      <c r="I3280" s="1" t="s">
        <v>1528</v>
      </c>
      <c r="J3280" s="1" t="s">
        <v>3554</v>
      </c>
      <c r="K3280" s="1" t="s">
        <v>25</v>
      </c>
      <c r="L3280">
        <v>-1.5331788980446199</v>
      </c>
      <c r="M3280" t="str">
        <f t="shared" si="105"/>
        <v>44/40</v>
      </c>
      <c r="N3280" t="str">
        <f t="shared" si="106"/>
        <v>SW</v>
      </c>
      <c r="O3280" s="1" t="s">
        <v>25</v>
      </c>
      <c r="P3280" s="3" t="s">
        <v>25</v>
      </c>
      <c r="Q3280" s="37">
        <v>1.9958556000000001</v>
      </c>
      <c r="R3280" t="str">
        <f t="shared" si="107"/>
        <v>mmol/mol</v>
      </c>
      <c r="S3280" s="13">
        <f t="shared" si="104"/>
        <v>-1.5331788980446199</v>
      </c>
    </row>
    <row r="3281" spans="1:19">
      <c r="A3281" s="18" t="s">
        <v>3504</v>
      </c>
      <c r="B3281" s="1" t="s">
        <v>3375</v>
      </c>
      <c r="C3281" s="1" t="s">
        <v>3513</v>
      </c>
      <c r="D3281" s="1" t="s">
        <v>3630</v>
      </c>
      <c r="E3281" s="1" t="s">
        <v>25</v>
      </c>
      <c r="F3281">
        <v>650</v>
      </c>
      <c r="G3281">
        <v>650</v>
      </c>
      <c r="H3281">
        <v>431.4</v>
      </c>
      <c r="I3281" s="1" t="s">
        <v>1528</v>
      </c>
      <c r="J3281" s="1" t="s">
        <v>3553</v>
      </c>
      <c r="K3281" s="1" t="s">
        <v>25</v>
      </c>
      <c r="L3281">
        <v>-1.51780366905898</v>
      </c>
      <c r="M3281" t="str">
        <f t="shared" si="105"/>
        <v>44/40</v>
      </c>
      <c r="N3281" t="str">
        <f t="shared" si="106"/>
        <v>SW</v>
      </c>
      <c r="O3281" s="1" t="s">
        <v>25</v>
      </c>
      <c r="P3281" s="3" t="s">
        <v>25</v>
      </c>
      <c r="Q3281" s="37" t="s">
        <v>25</v>
      </c>
      <c r="R3281" t="str">
        <f t="shared" si="107"/>
        <v>Na</v>
      </c>
      <c r="S3281" s="13">
        <f t="shared" si="104"/>
        <v>-1.51780366905898</v>
      </c>
    </row>
    <row r="3282" spans="1:19">
      <c r="A3282" s="18" t="s">
        <v>3504</v>
      </c>
      <c r="B3282" s="1" t="s">
        <v>3376</v>
      </c>
      <c r="C3282" s="1" t="s">
        <v>3513</v>
      </c>
      <c r="D3282" s="1" t="s">
        <v>3630</v>
      </c>
      <c r="E3282" s="1" t="s">
        <v>25</v>
      </c>
      <c r="F3282">
        <v>650</v>
      </c>
      <c r="G3282">
        <v>650</v>
      </c>
      <c r="H3282">
        <v>439</v>
      </c>
      <c r="I3282" s="1" t="s">
        <v>1528</v>
      </c>
      <c r="J3282" s="1" t="s">
        <v>3553</v>
      </c>
      <c r="K3282" s="1" t="s">
        <v>25</v>
      </c>
      <c r="L3282">
        <v>-1.36997969913684</v>
      </c>
      <c r="M3282" t="str">
        <f t="shared" si="105"/>
        <v>44/40</v>
      </c>
      <c r="N3282" t="str">
        <f t="shared" si="106"/>
        <v>SW</v>
      </c>
      <c r="O3282" s="1" t="s">
        <v>25</v>
      </c>
      <c r="P3282" s="3" t="s">
        <v>25</v>
      </c>
      <c r="Q3282" s="37">
        <v>1.6513792</v>
      </c>
      <c r="R3282" t="str">
        <f t="shared" si="107"/>
        <v>mmol/mol</v>
      </c>
      <c r="S3282" s="13">
        <f t="shared" si="104"/>
        <v>-1.36997969913684</v>
      </c>
    </row>
    <row r="3283" spans="1:19">
      <c r="A3283" s="18" t="s">
        <v>3504</v>
      </c>
      <c r="B3283" s="1" t="s">
        <v>3377</v>
      </c>
      <c r="C3283" s="1" t="s">
        <v>3513</v>
      </c>
      <c r="D3283" s="1" t="s">
        <v>3630</v>
      </c>
      <c r="E3283" s="1" t="s">
        <v>25</v>
      </c>
      <c r="F3283">
        <v>650</v>
      </c>
      <c r="G3283">
        <v>650</v>
      </c>
      <c r="H3283">
        <v>435.9</v>
      </c>
      <c r="I3283" s="1" t="s">
        <v>1528</v>
      </c>
      <c r="J3283" s="1" t="s">
        <v>3553</v>
      </c>
      <c r="K3283" s="1" t="s">
        <v>25</v>
      </c>
      <c r="L3283">
        <v>-1.3286120242770001</v>
      </c>
      <c r="M3283" t="str">
        <f t="shared" si="105"/>
        <v>44/40</v>
      </c>
      <c r="N3283" t="str">
        <f t="shared" si="106"/>
        <v>SW</v>
      </c>
      <c r="O3283" s="1" t="s">
        <v>25</v>
      </c>
      <c r="P3283" s="3" t="s">
        <v>25</v>
      </c>
      <c r="Q3283" s="37" t="s">
        <v>25</v>
      </c>
      <c r="R3283" t="str">
        <f t="shared" si="107"/>
        <v>Na</v>
      </c>
      <c r="S3283" s="13">
        <f t="shared" si="104"/>
        <v>-1.3286120242770001</v>
      </c>
    </row>
    <row r="3284" spans="1:19">
      <c r="A3284" s="18" t="s">
        <v>3504</v>
      </c>
      <c r="B3284" s="1" t="s">
        <v>3378</v>
      </c>
      <c r="C3284" s="1" t="s">
        <v>3514</v>
      </c>
      <c r="D3284" s="1" t="s">
        <v>3630</v>
      </c>
      <c r="E3284" s="1" t="s">
        <v>25</v>
      </c>
      <c r="F3284">
        <v>650</v>
      </c>
      <c r="G3284">
        <v>650</v>
      </c>
      <c r="H3284">
        <v>0.3</v>
      </c>
      <c r="I3284" s="1" t="s">
        <v>1528</v>
      </c>
      <c r="J3284" s="1" t="s">
        <v>3556</v>
      </c>
      <c r="K3284" s="1" t="s">
        <v>25</v>
      </c>
      <c r="L3284">
        <v>-1.9062412332137999</v>
      </c>
      <c r="M3284" t="str">
        <f t="shared" si="105"/>
        <v>44/40</v>
      </c>
      <c r="N3284" t="str">
        <f t="shared" si="106"/>
        <v>SW</v>
      </c>
      <c r="O3284" s="1" t="s">
        <v>25</v>
      </c>
      <c r="P3284" s="3" t="s">
        <v>25</v>
      </c>
      <c r="Q3284" s="37">
        <v>2.1410290999999999</v>
      </c>
      <c r="R3284" t="str">
        <f t="shared" si="107"/>
        <v>mmol/mol</v>
      </c>
      <c r="S3284" s="13">
        <f t="shared" si="104"/>
        <v>-1.9062412332137999</v>
      </c>
    </row>
    <row r="3285" spans="1:19">
      <c r="A3285" s="18" t="s">
        <v>3504</v>
      </c>
      <c r="B3285" s="1" t="s">
        <v>3379</v>
      </c>
      <c r="C3285" s="1" t="s">
        <v>3514</v>
      </c>
      <c r="D3285" s="1" t="s">
        <v>3630</v>
      </c>
      <c r="E3285" s="1" t="s">
        <v>25</v>
      </c>
      <c r="F3285">
        <v>650</v>
      </c>
      <c r="G3285">
        <v>650</v>
      </c>
      <c r="H3285">
        <v>0.5</v>
      </c>
      <c r="I3285" s="1" t="s">
        <v>1528</v>
      </c>
      <c r="J3285" s="1" t="s">
        <v>3556</v>
      </c>
      <c r="K3285" s="1" t="s">
        <v>25</v>
      </c>
      <c r="L3285">
        <v>-1.8193020032665601</v>
      </c>
      <c r="M3285" t="str">
        <f t="shared" si="105"/>
        <v>44/40</v>
      </c>
      <c r="N3285" t="str">
        <f t="shared" si="106"/>
        <v>SW</v>
      </c>
      <c r="O3285" s="1" t="s">
        <v>25</v>
      </c>
      <c r="P3285" s="3" t="s">
        <v>25</v>
      </c>
      <c r="Q3285" s="37">
        <v>1.2989166000000001</v>
      </c>
      <c r="R3285" t="str">
        <f t="shared" si="107"/>
        <v>mmol/mol</v>
      </c>
      <c r="S3285" s="13">
        <f t="shared" si="104"/>
        <v>-1.8193020032665601</v>
      </c>
    </row>
    <row r="3286" spans="1:19">
      <c r="A3286" s="18" t="s">
        <v>3504</v>
      </c>
      <c r="B3286" s="1" t="s">
        <v>3380</v>
      </c>
      <c r="C3286" s="1" t="s">
        <v>3514</v>
      </c>
      <c r="D3286" s="1" t="s">
        <v>3630</v>
      </c>
      <c r="E3286" s="1" t="s">
        <v>25</v>
      </c>
      <c r="F3286">
        <v>650</v>
      </c>
      <c r="G3286">
        <v>650</v>
      </c>
      <c r="H3286">
        <v>12.3</v>
      </c>
      <c r="I3286" s="1" t="s">
        <v>1528</v>
      </c>
      <c r="J3286" s="1" t="s">
        <v>3555</v>
      </c>
      <c r="K3286" s="1" t="s">
        <v>25</v>
      </c>
      <c r="L3286">
        <v>-1.6131954029631399</v>
      </c>
      <c r="M3286" t="str">
        <f t="shared" si="105"/>
        <v>44/40</v>
      </c>
      <c r="N3286" t="str">
        <f t="shared" si="106"/>
        <v>SW</v>
      </c>
      <c r="O3286" s="1" t="s">
        <v>25</v>
      </c>
      <c r="P3286" s="3" t="s">
        <v>25</v>
      </c>
      <c r="Q3286" s="37">
        <v>1.3446747999999999</v>
      </c>
      <c r="R3286" t="str">
        <f t="shared" si="107"/>
        <v>mmol/mol</v>
      </c>
      <c r="S3286" s="13">
        <f t="shared" si="104"/>
        <v>-1.6131954029631399</v>
      </c>
    </row>
    <row r="3287" spans="1:19">
      <c r="A3287" s="18" t="s">
        <v>3504</v>
      </c>
      <c r="B3287" s="1" t="s">
        <v>3381</v>
      </c>
      <c r="C3287" s="1" t="s">
        <v>3514</v>
      </c>
      <c r="D3287" s="1" t="s">
        <v>3630</v>
      </c>
      <c r="E3287" s="1" t="s">
        <v>25</v>
      </c>
      <c r="F3287">
        <v>650</v>
      </c>
      <c r="G3287">
        <v>650</v>
      </c>
      <c r="H3287">
        <v>13.9</v>
      </c>
      <c r="I3287" s="1" t="s">
        <v>1528</v>
      </c>
      <c r="J3287" s="1" t="s">
        <v>3555</v>
      </c>
      <c r="K3287" s="1" t="s">
        <v>25</v>
      </c>
      <c r="L3287">
        <v>-1.7098590989114599</v>
      </c>
      <c r="M3287" t="str">
        <f t="shared" si="105"/>
        <v>44/40</v>
      </c>
      <c r="N3287" t="str">
        <f t="shared" si="106"/>
        <v>SW</v>
      </c>
      <c r="O3287" s="1" t="s">
        <v>25</v>
      </c>
      <c r="P3287" s="3" t="s">
        <v>25</v>
      </c>
      <c r="Q3287" s="37">
        <v>1.3513587</v>
      </c>
      <c r="R3287" t="str">
        <f t="shared" si="107"/>
        <v>mmol/mol</v>
      </c>
      <c r="S3287" s="13">
        <f t="shared" si="104"/>
        <v>-1.7098590989114599</v>
      </c>
    </row>
    <row r="3288" spans="1:19">
      <c r="A3288" s="18" t="s">
        <v>3504</v>
      </c>
      <c r="B3288" s="1" t="s">
        <v>3382</v>
      </c>
      <c r="C3288" s="1" t="s">
        <v>3514</v>
      </c>
      <c r="D3288" s="1" t="s">
        <v>3630</v>
      </c>
      <c r="E3288" s="1" t="s">
        <v>25</v>
      </c>
      <c r="F3288">
        <v>650</v>
      </c>
      <c r="G3288">
        <v>650</v>
      </c>
      <c r="H3288">
        <v>15.5</v>
      </c>
      <c r="I3288" s="1" t="s">
        <v>1528</v>
      </c>
      <c r="J3288" s="1" t="s">
        <v>3556</v>
      </c>
      <c r="K3288" s="1" t="s">
        <v>25</v>
      </c>
      <c r="L3288">
        <v>-1.8175041672518899</v>
      </c>
      <c r="M3288" t="str">
        <f t="shared" si="105"/>
        <v>44/40</v>
      </c>
      <c r="N3288" t="str">
        <f t="shared" si="106"/>
        <v>SW</v>
      </c>
      <c r="O3288" s="1" t="s">
        <v>25</v>
      </c>
      <c r="P3288" s="3" t="s">
        <v>25</v>
      </c>
      <c r="Q3288" s="37">
        <v>1.5987657</v>
      </c>
      <c r="R3288" t="str">
        <f t="shared" si="107"/>
        <v>mmol/mol</v>
      </c>
      <c r="S3288" s="13">
        <f t="shared" si="104"/>
        <v>-1.8175041672518899</v>
      </c>
    </row>
    <row r="3289" spans="1:19">
      <c r="A3289" s="18" t="s">
        <v>3504</v>
      </c>
      <c r="B3289" s="1" t="s">
        <v>3383</v>
      </c>
      <c r="C3289" s="1" t="s">
        <v>3514</v>
      </c>
      <c r="D3289" s="1" t="s">
        <v>3630</v>
      </c>
      <c r="E3289" s="1" t="s">
        <v>25</v>
      </c>
      <c r="F3289">
        <v>650</v>
      </c>
      <c r="G3289">
        <v>650</v>
      </c>
      <c r="H3289">
        <v>27.4</v>
      </c>
      <c r="I3289" s="1" t="s">
        <v>1528</v>
      </c>
      <c r="J3289" s="1" t="s">
        <v>3552</v>
      </c>
      <c r="K3289" s="1" t="s">
        <v>25</v>
      </c>
      <c r="L3289">
        <v>-1.6031686739851501</v>
      </c>
      <c r="M3289" t="str">
        <f t="shared" si="105"/>
        <v>44/40</v>
      </c>
      <c r="N3289" t="str">
        <f t="shared" si="106"/>
        <v>SW</v>
      </c>
      <c r="O3289" s="1" t="s">
        <v>25</v>
      </c>
      <c r="P3289" s="3" t="s">
        <v>25</v>
      </c>
      <c r="Q3289" s="37">
        <v>1.3303214999999999</v>
      </c>
      <c r="R3289" t="str">
        <f t="shared" si="107"/>
        <v>mmol/mol</v>
      </c>
      <c r="S3289" s="13">
        <f t="shared" si="104"/>
        <v>-1.6031686739851501</v>
      </c>
    </row>
    <row r="3290" spans="1:19">
      <c r="A3290" s="18" t="s">
        <v>3504</v>
      </c>
      <c r="B3290" s="1" t="s">
        <v>3384</v>
      </c>
      <c r="C3290" s="1" t="s">
        <v>3514</v>
      </c>
      <c r="D3290" s="1" t="s">
        <v>3630</v>
      </c>
      <c r="E3290" s="1" t="s">
        <v>25</v>
      </c>
      <c r="F3290">
        <v>650</v>
      </c>
      <c r="G3290">
        <v>650</v>
      </c>
      <c r="H3290">
        <v>34.1</v>
      </c>
      <c r="I3290" s="1" t="s">
        <v>1528</v>
      </c>
      <c r="J3290" s="1" t="s">
        <v>3554</v>
      </c>
      <c r="K3290" s="1" t="s">
        <v>25</v>
      </c>
      <c r="L3290">
        <v>-1.7056880042623901</v>
      </c>
      <c r="M3290" t="str">
        <f t="shared" si="105"/>
        <v>44/40</v>
      </c>
      <c r="N3290" t="str">
        <f t="shared" si="106"/>
        <v>SW</v>
      </c>
      <c r="O3290" s="1" t="s">
        <v>25</v>
      </c>
      <c r="P3290" s="3" t="s">
        <v>25</v>
      </c>
      <c r="Q3290" s="37">
        <v>1.4312335</v>
      </c>
      <c r="R3290" t="str">
        <f t="shared" si="107"/>
        <v>mmol/mol</v>
      </c>
      <c r="S3290" s="13">
        <f t="shared" si="104"/>
        <v>-1.7056880042623901</v>
      </c>
    </row>
    <row r="3291" spans="1:19">
      <c r="A3291" s="18" t="s">
        <v>3504</v>
      </c>
      <c r="B3291" s="1" t="s">
        <v>3385</v>
      </c>
      <c r="C3291" s="1" t="s">
        <v>3514</v>
      </c>
      <c r="D3291" s="1" t="s">
        <v>3630</v>
      </c>
      <c r="E3291" s="1" t="s">
        <v>25</v>
      </c>
      <c r="F3291">
        <v>650</v>
      </c>
      <c r="G3291">
        <v>650</v>
      </c>
      <c r="H3291">
        <v>36.1</v>
      </c>
      <c r="I3291" s="1" t="s">
        <v>1528</v>
      </c>
      <c r="J3291" s="1" t="s">
        <v>3554</v>
      </c>
      <c r="K3291" s="1" t="s">
        <v>25</v>
      </c>
      <c r="L3291">
        <v>-1.67531830668548</v>
      </c>
      <c r="M3291" t="str">
        <f t="shared" si="105"/>
        <v>44/40</v>
      </c>
      <c r="N3291" t="str">
        <f t="shared" si="106"/>
        <v>SW</v>
      </c>
      <c r="O3291" s="1" t="s">
        <v>25</v>
      </c>
      <c r="P3291" s="3" t="s">
        <v>25</v>
      </c>
      <c r="Q3291" s="37">
        <v>1.7119595999999999</v>
      </c>
      <c r="R3291" t="str">
        <f t="shared" si="107"/>
        <v>mmol/mol</v>
      </c>
      <c r="S3291" s="13">
        <f t="shared" si="104"/>
        <v>-1.67531830668548</v>
      </c>
    </row>
    <row r="3292" spans="1:19">
      <c r="A3292" s="18" t="s">
        <v>3504</v>
      </c>
      <c r="B3292" s="1" t="s">
        <v>3386</v>
      </c>
      <c r="C3292" s="1" t="s">
        <v>3514</v>
      </c>
      <c r="D3292" s="1" t="s">
        <v>3630</v>
      </c>
      <c r="E3292" s="1" t="s">
        <v>25</v>
      </c>
      <c r="F3292">
        <v>650</v>
      </c>
      <c r="G3292">
        <v>650</v>
      </c>
      <c r="H3292">
        <v>36.4</v>
      </c>
      <c r="I3292" s="1" t="s">
        <v>1528</v>
      </c>
      <c r="J3292" s="1" t="s">
        <v>3554</v>
      </c>
      <c r="K3292" s="1" t="s">
        <v>25</v>
      </c>
      <c r="L3292">
        <v>-1.8218042628790201</v>
      </c>
      <c r="M3292" t="str">
        <f t="shared" si="105"/>
        <v>44/40</v>
      </c>
      <c r="N3292" t="str">
        <f t="shared" si="106"/>
        <v>SW</v>
      </c>
      <c r="O3292" s="1" t="s">
        <v>25</v>
      </c>
      <c r="P3292" s="3" t="s">
        <v>25</v>
      </c>
      <c r="Q3292" s="37">
        <v>1.3700201000000001</v>
      </c>
      <c r="R3292" t="str">
        <f t="shared" si="107"/>
        <v>mmol/mol</v>
      </c>
      <c r="S3292" s="13">
        <f t="shared" si="104"/>
        <v>-1.8218042628790201</v>
      </c>
    </row>
    <row r="3293" spans="1:19">
      <c r="A3293" s="18" t="s">
        <v>3504</v>
      </c>
      <c r="B3293" s="1" t="s">
        <v>3387</v>
      </c>
      <c r="C3293" s="1" t="s">
        <v>3514</v>
      </c>
      <c r="D3293" s="1" t="s">
        <v>3630</v>
      </c>
      <c r="E3293" s="1" t="s">
        <v>25</v>
      </c>
      <c r="F3293">
        <v>650</v>
      </c>
      <c r="G3293">
        <v>650</v>
      </c>
      <c r="H3293">
        <v>47.7</v>
      </c>
      <c r="I3293" s="1" t="s">
        <v>1528</v>
      </c>
      <c r="J3293" s="1" t="s">
        <v>3554</v>
      </c>
      <c r="K3293" s="1" t="s">
        <v>25</v>
      </c>
      <c r="L3293">
        <v>-1.7635311561534199</v>
      </c>
      <c r="M3293" t="str">
        <f t="shared" si="105"/>
        <v>44/40</v>
      </c>
      <c r="N3293" t="str">
        <f t="shared" si="106"/>
        <v>SW</v>
      </c>
      <c r="O3293" s="1" t="s">
        <v>25</v>
      </c>
      <c r="P3293" s="3" t="s">
        <v>25</v>
      </c>
      <c r="Q3293" s="37">
        <v>1.4293099</v>
      </c>
      <c r="R3293" t="str">
        <f t="shared" si="107"/>
        <v>mmol/mol</v>
      </c>
      <c r="S3293" s="13">
        <f t="shared" si="104"/>
        <v>-1.7635311561534199</v>
      </c>
    </row>
    <row r="3294" spans="1:19">
      <c r="A3294" s="18" t="s">
        <v>3504</v>
      </c>
      <c r="B3294" s="1" t="s">
        <v>3388</v>
      </c>
      <c r="C3294" s="1" t="s">
        <v>3514</v>
      </c>
      <c r="D3294" s="1" t="s">
        <v>3630</v>
      </c>
      <c r="E3294" s="1" t="s">
        <v>25</v>
      </c>
      <c r="F3294">
        <v>650</v>
      </c>
      <c r="G3294">
        <v>650</v>
      </c>
      <c r="H3294">
        <v>48.3</v>
      </c>
      <c r="I3294" s="1" t="s">
        <v>1528</v>
      </c>
      <c r="J3294" s="1" t="s">
        <v>3556</v>
      </c>
      <c r="K3294" s="1" t="s">
        <v>25</v>
      </c>
      <c r="L3294">
        <v>-1.7622758514126899</v>
      </c>
      <c r="M3294" t="str">
        <f t="shared" si="105"/>
        <v>44/40</v>
      </c>
      <c r="N3294" t="str">
        <f t="shared" si="106"/>
        <v>SW</v>
      </c>
      <c r="O3294" s="1" t="s">
        <v>25</v>
      </c>
      <c r="P3294" s="3" t="s">
        <v>25</v>
      </c>
      <c r="Q3294" s="37">
        <v>1.3039418</v>
      </c>
      <c r="R3294" t="str">
        <f t="shared" si="107"/>
        <v>mmol/mol</v>
      </c>
      <c r="S3294" s="13">
        <f t="shared" si="104"/>
        <v>-1.7622758514126899</v>
      </c>
    </row>
    <row r="3295" spans="1:19">
      <c r="A3295" s="18" t="s">
        <v>3504</v>
      </c>
      <c r="B3295" s="1" t="s">
        <v>3389</v>
      </c>
      <c r="C3295" s="1" t="s">
        <v>3514</v>
      </c>
      <c r="D3295" s="1" t="s">
        <v>3630</v>
      </c>
      <c r="E3295" s="1" t="s">
        <v>25</v>
      </c>
      <c r="F3295">
        <v>650</v>
      </c>
      <c r="G3295">
        <v>650</v>
      </c>
      <c r="H3295">
        <v>61.7</v>
      </c>
      <c r="I3295" s="1" t="s">
        <v>1528</v>
      </c>
      <c r="J3295" s="1" t="s">
        <v>3555</v>
      </c>
      <c r="K3295" s="1" t="s">
        <v>25</v>
      </c>
      <c r="L3295">
        <v>-1.79799010498026</v>
      </c>
      <c r="M3295" t="str">
        <f t="shared" si="105"/>
        <v>44/40</v>
      </c>
      <c r="N3295" t="str">
        <f t="shared" si="106"/>
        <v>SW</v>
      </c>
      <c r="O3295" s="1" t="s">
        <v>25</v>
      </c>
      <c r="P3295" s="3" t="s">
        <v>25</v>
      </c>
      <c r="Q3295" s="37">
        <v>1.8389150000000001</v>
      </c>
      <c r="R3295" t="str">
        <f t="shared" si="107"/>
        <v>mmol/mol</v>
      </c>
      <c r="S3295" s="13">
        <f t="shared" si="104"/>
        <v>-1.79799010498026</v>
      </c>
    </row>
    <row r="3296" spans="1:19">
      <c r="A3296" s="18" t="s">
        <v>3504</v>
      </c>
      <c r="B3296" s="1" t="s">
        <v>3390</v>
      </c>
      <c r="C3296" s="1" t="s">
        <v>3514</v>
      </c>
      <c r="D3296" s="1" t="s">
        <v>3630</v>
      </c>
      <c r="E3296" s="1" t="s">
        <v>25</v>
      </c>
      <c r="F3296">
        <v>650</v>
      </c>
      <c r="G3296">
        <v>650</v>
      </c>
      <c r="H3296">
        <v>63.4</v>
      </c>
      <c r="I3296" s="1" t="s">
        <v>1528</v>
      </c>
      <c r="J3296" s="1" t="s">
        <v>3555</v>
      </c>
      <c r="K3296" s="1" t="s">
        <v>25</v>
      </c>
      <c r="L3296">
        <v>-1.78221090856467</v>
      </c>
      <c r="M3296" t="str">
        <f t="shared" si="105"/>
        <v>44/40</v>
      </c>
      <c r="N3296" t="str">
        <f t="shared" si="106"/>
        <v>SW</v>
      </c>
      <c r="O3296" s="1" t="s">
        <v>25</v>
      </c>
      <c r="P3296" s="3" t="s">
        <v>25</v>
      </c>
      <c r="Q3296" s="37">
        <v>1.392728</v>
      </c>
      <c r="R3296" t="str">
        <f t="shared" si="107"/>
        <v>mmol/mol</v>
      </c>
      <c r="S3296" s="13">
        <f t="shared" si="104"/>
        <v>-1.78221090856467</v>
      </c>
    </row>
    <row r="3297" spans="1:19">
      <c r="A3297" s="18" t="s">
        <v>3504</v>
      </c>
      <c r="B3297" s="1" t="s">
        <v>3391</v>
      </c>
      <c r="C3297" s="1" t="s">
        <v>3514</v>
      </c>
      <c r="D3297" s="1" t="s">
        <v>3630</v>
      </c>
      <c r="E3297" s="1" t="s">
        <v>25</v>
      </c>
      <c r="F3297">
        <v>650</v>
      </c>
      <c r="G3297">
        <v>650</v>
      </c>
      <c r="H3297">
        <v>64.900000000000006</v>
      </c>
      <c r="I3297" s="1" t="s">
        <v>1528</v>
      </c>
      <c r="J3297" s="1" t="s">
        <v>3555</v>
      </c>
      <c r="K3297" s="1" t="s">
        <v>25</v>
      </c>
      <c r="L3297">
        <v>-1.85005295381937</v>
      </c>
      <c r="M3297" t="str">
        <f t="shared" si="105"/>
        <v>44/40</v>
      </c>
      <c r="N3297" t="str">
        <f t="shared" si="106"/>
        <v>SW</v>
      </c>
      <c r="O3297" s="1" t="s">
        <v>25</v>
      </c>
      <c r="P3297" s="3" t="s">
        <v>25</v>
      </c>
      <c r="Q3297" s="37">
        <v>1.7602092</v>
      </c>
      <c r="R3297" t="str">
        <f t="shared" si="107"/>
        <v>mmol/mol</v>
      </c>
      <c r="S3297" s="13">
        <f t="shared" si="104"/>
        <v>-1.85005295381937</v>
      </c>
    </row>
    <row r="3298" spans="1:19">
      <c r="A3298" s="18" t="s">
        <v>3504</v>
      </c>
      <c r="B3298" s="1" t="s">
        <v>3392</v>
      </c>
      <c r="C3298" s="1" t="s">
        <v>3514</v>
      </c>
      <c r="D3298" s="1" t="s">
        <v>3630</v>
      </c>
      <c r="E3298" s="1" t="s">
        <v>25</v>
      </c>
      <c r="F3298">
        <v>650</v>
      </c>
      <c r="G3298">
        <v>650</v>
      </c>
      <c r="H3298">
        <v>73.3</v>
      </c>
      <c r="I3298" s="1" t="s">
        <v>1528</v>
      </c>
      <c r="J3298" s="1" t="s">
        <v>3555</v>
      </c>
      <c r="K3298" s="1" t="s">
        <v>25</v>
      </c>
      <c r="L3298">
        <v>-1.8440113720148901</v>
      </c>
      <c r="M3298" t="str">
        <f t="shared" si="105"/>
        <v>44/40</v>
      </c>
      <c r="N3298" t="str">
        <f t="shared" si="106"/>
        <v>SW</v>
      </c>
      <c r="O3298" s="1" t="s">
        <v>25</v>
      </c>
      <c r="P3298" s="3" t="s">
        <v>25</v>
      </c>
      <c r="Q3298" s="37">
        <v>1.5931770000000001</v>
      </c>
      <c r="R3298" t="str">
        <f t="shared" si="107"/>
        <v>mmol/mol</v>
      </c>
      <c r="S3298" s="13">
        <f t="shared" si="104"/>
        <v>-1.8440113720148901</v>
      </c>
    </row>
    <row r="3299" spans="1:19">
      <c r="A3299" s="18" t="s">
        <v>3504</v>
      </c>
      <c r="B3299" s="1" t="s">
        <v>3393</v>
      </c>
      <c r="C3299" s="1" t="s">
        <v>3514</v>
      </c>
      <c r="D3299" s="1" t="s">
        <v>3630</v>
      </c>
      <c r="E3299" s="1" t="s">
        <v>25</v>
      </c>
      <c r="F3299">
        <v>650</v>
      </c>
      <c r="G3299">
        <v>650</v>
      </c>
      <c r="H3299">
        <v>80.5</v>
      </c>
      <c r="I3299" s="1" t="s">
        <v>1528</v>
      </c>
      <c r="J3299" s="1" t="s">
        <v>3554</v>
      </c>
      <c r="K3299" s="1" t="s">
        <v>25</v>
      </c>
      <c r="L3299">
        <v>-1.84595641619687</v>
      </c>
      <c r="M3299" t="str">
        <f t="shared" si="105"/>
        <v>44/40</v>
      </c>
      <c r="N3299" t="str">
        <f t="shared" si="106"/>
        <v>SW</v>
      </c>
      <c r="O3299" s="1" t="s">
        <v>25</v>
      </c>
      <c r="P3299" s="3" t="s">
        <v>25</v>
      </c>
      <c r="Q3299" s="37">
        <v>0.80780240000000003</v>
      </c>
      <c r="R3299" t="str">
        <f t="shared" si="107"/>
        <v>mmol/mol</v>
      </c>
      <c r="S3299" s="13">
        <f t="shared" si="104"/>
        <v>-1.84595641619687</v>
      </c>
    </row>
    <row r="3300" spans="1:19">
      <c r="A3300" s="18" t="s">
        <v>3504</v>
      </c>
      <c r="B3300" s="1" t="s">
        <v>3394</v>
      </c>
      <c r="C3300" s="1" t="s">
        <v>3514</v>
      </c>
      <c r="D3300" s="1" t="s">
        <v>3630</v>
      </c>
      <c r="E3300" s="1" t="s">
        <v>25</v>
      </c>
      <c r="F3300">
        <v>650</v>
      </c>
      <c r="G3300">
        <v>650</v>
      </c>
      <c r="H3300">
        <v>82.3</v>
      </c>
      <c r="I3300" s="1" t="s">
        <v>1528</v>
      </c>
      <c r="J3300" s="1" t="s">
        <v>3555</v>
      </c>
      <c r="K3300" s="1" t="s">
        <v>25</v>
      </c>
      <c r="L3300">
        <v>-1.8116571589021</v>
      </c>
      <c r="M3300" t="str">
        <f t="shared" si="105"/>
        <v>44/40</v>
      </c>
      <c r="N3300" t="str">
        <f t="shared" si="106"/>
        <v>SW</v>
      </c>
      <c r="O3300" s="1" t="s">
        <v>25</v>
      </c>
      <c r="P3300" s="3" t="s">
        <v>25</v>
      </c>
      <c r="Q3300" s="37">
        <v>1.7479562</v>
      </c>
      <c r="R3300" t="str">
        <f t="shared" si="107"/>
        <v>mmol/mol</v>
      </c>
      <c r="S3300" s="13">
        <f t="shared" si="104"/>
        <v>-1.8116571589021</v>
      </c>
    </row>
    <row r="3301" spans="1:19">
      <c r="A3301" s="18" t="s">
        <v>3504</v>
      </c>
      <c r="B3301" s="1" t="s">
        <v>3395</v>
      </c>
      <c r="C3301" s="1" t="s">
        <v>3514</v>
      </c>
      <c r="D3301" s="1" t="s">
        <v>3630</v>
      </c>
      <c r="E3301" s="1" t="s">
        <v>25</v>
      </c>
      <c r="F3301">
        <v>650</v>
      </c>
      <c r="G3301">
        <v>650</v>
      </c>
      <c r="H3301">
        <v>82.6</v>
      </c>
      <c r="I3301" s="1" t="s">
        <v>1528</v>
      </c>
      <c r="J3301" s="1" t="s">
        <v>3555</v>
      </c>
      <c r="K3301" s="1" t="s">
        <v>25</v>
      </c>
      <c r="L3301">
        <v>-1.83410257745107</v>
      </c>
      <c r="M3301" t="str">
        <f t="shared" si="105"/>
        <v>44/40</v>
      </c>
      <c r="N3301" t="str">
        <f t="shared" si="106"/>
        <v>SW</v>
      </c>
      <c r="O3301" s="1" t="s">
        <v>25</v>
      </c>
      <c r="P3301" s="3" t="s">
        <v>25</v>
      </c>
      <c r="Q3301" s="37">
        <v>2.1441663000000002</v>
      </c>
      <c r="R3301" t="str">
        <f t="shared" si="107"/>
        <v>mmol/mol</v>
      </c>
      <c r="S3301" s="13">
        <f t="shared" si="104"/>
        <v>-1.83410257745107</v>
      </c>
    </row>
    <row r="3302" spans="1:19">
      <c r="A3302" s="18" t="s">
        <v>3504</v>
      </c>
      <c r="B3302" s="1" t="s">
        <v>3396</v>
      </c>
      <c r="C3302" s="1" t="s">
        <v>3514</v>
      </c>
      <c r="D3302" s="1" t="s">
        <v>3630</v>
      </c>
      <c r="E3302" s="1" t="s">
        <v>25</v>
      </c>
      <c r="F3302">
        <v>650</v>
      </c>
      <c r="G3302">
        <v>650</v>
      </c>
      <c r="H3302">
        <v>87.3</v>
      </c>
      <c r="I3302" s="1" t="s">
        <v>1528</v>
      </c>
      <c r="J3302" s="1" t="s">
        <v>3555</v>
      </c>
      <c r="K3302" s="1" t="s">
        <v>25</v>
      </c>
      <c r="L3302">
        <v>-1.85933578627162</v>
      </c>
      <c r="M3302" t="str">
        <f t="shared" si="105"/>
        <v>44/40</v>
      </c>
      <c r="N3302" t="str">
        <f t="shared" si="106"/>
        <v>SW</v>
      </c>
      <c r="O3302" s="1" t="s">
        <v>25</v>
      </c>
      <c r="P3302" s="3" t="s">
        <v>25</v>
      </c>
      <c r="Q3302" s="37">
        <v>1.2870642999999999</v>
      </c>
      <c r="R3302" t="str">
        <f t="shared" si="107"/>
        <v>mmol/mol</v>
      </c>
      <c r="S3302" s="13">
        <f t="shared" si="104"/>
        <v>-1.85933578627162</v>
      </c>
    </row>
    <row r="3303" spans="1:19">
      <c r="A3303" s="18" t="s">
        <v>3504</v>
      </c>
      <c r="B3303" s="1" t="s">
        <v>3397</v>
      </c>
      <c r="C3303" s="1" t="s">
        <v>3514</v>
      </c>
      <c r="D3303" s="1" t="s">
        <v>3630</v>
      </c>
      <c r="E3303" s="1" t="s">
        <v>25</v>
      </c>
      <c r="F3303">
        <v>650</v>
      </c>
      <c r="G3303">
        <v>650</v>
      </c>
      <c r="H3303">
        <v>93.7</v>
      </c>
      <c r="I3303" s="1" t="s">
        <v>1528</v>
      </c>
      <c r="J3303" s="1" t="s">
        <v>3552</v>
      </c>
      <c r="K3303" s="1" t="s">
        <v>25</v>
      </c>
      <c r="L3303">
        <v>-1.81837197679322</v>
      </c>
      <c r="M3303" t="str">
        <f t="shared" si="105"/>
        <v>44/40</v>
      </c>
      <c r="N3303" t="str">
        <f t="shared" si="106"/>
        <v>SW</v>
      </c>
      <c r="O3303" s="1" t="s">
        <v>25</v>
      </c>
      <c r="P3303" s="3" t="s">
        <v>25</v>
      </c>
      <c r="Q3303" s="37">
        <v>1.9239047</v>
      </c>
      <c r="R3303" t="str">
        <f t="shared" si="107"/>
        <v>mmol/mol</v>
      </c>
      <c r="S3303" s="13">
        <f t="shared" si="104"/>
        <v>-1.81837197679322</v>
      </c>
    </row>
    <row r="3304" spans="1:19">
      <c r="A3304" s="18" t="s">
        <v>3504</v>
      </c>
      <c r="B3304" s="1" t="s">
        <v>3398</v>
      </c>
      <c r="C3304" s="1" t="s">
        <v>3514</v>
      </c>
      <c r="D3304" s="1" t="s">
        <v>3630</v>
      </c>
      <c r="E3304" s="1" t="s">
        <v>25</v>
      </c>
      <c r="F3304">
        <v>650</v>
      </c>
      <c r="G3304">
        <v>650</v>
      </c>
      <c r="H3304">
        <v>99.2</v>
      </c>
      <c r="I3304" s="1" t="s">
        <v>1528</v>
      </c>
      <c r="J3304" s="1" t="s">
        <v>3527</v>
      </c>
      <c r="K3304" s="1" t="s">
        <v>25</v>
      </c>
      <c r="L3304">
        <v>-2.0649233859721199</v>
      </c>
      <c r="M3304" t="str">
        <f t="shared" si="105"/>
        <v>44/40</v>
      </c>
      <c r="N3304" t="str">
        <f t="shared" si="106"/>
        <v>SW</v>
      </c>
      <c r="O3304" s="1" t="s">
        <v>25</v>
      </c>
      <c r="P3304" s="3" t="s">
        <v>25</v>
      </c>
      <c r="Q3304" s="37">
        <v>2.4154034000000002</v>
      </c>
      <c r="R3304" t="str">
        <f t="shared" si="107"/>
        <v>mmol/mol</v>
      </c>
      <c r="S3304" s="13">
        <f t="shared" si="104"/>
        <v>-2.0649233859721199</v>
      </c>
    </row>
    <row r="3305" spans="1:19">
      <c r="A3305" s="18" t="s">
        <v>3504</v>
      </c>
      <c r="B3305" s="1" t="s">
        <v>3399</v>
      </c>
      <c r="C3305" s="1" t="s">
        <v>3514</v>
      </c>
      <c r="D3305" s="1" t="s">
        <v>3630</v>
      </c>
      <c r="E3305" s="1" t="s">
        <v>25</v>
      </c>
      <c r="F3305">
        <v>650</v>
      </c>
      <c r="G3305">
        <v>650</v>
      </c>
      <c r="H3305">
        <v>100.1</v>
      </c>
      <c r="I3305" s="1" t="s">
        <v>1528</v>
      </c>
      <c r="J3305" s="1" t="s">
        <v>3552</v>
      </c>
      <c r="K3305" s="1" t="s">
        <v>25</v>
      </c>
      <c r="L3305">
        <v>-1.8316435421664401</v>
      </c>
      <c r="M3305" t="str">
        <f t="shared" si="105"/>
        <v>44/40</v>
      </c>
      <c r="N3305" t="str">
        <f t="shared" si="106"/>
        <v>SW</v>
      </c>
      <c r="O3305" s="1" t="s">
        <v>25</v>
      </c>
      <c r="P3305" s="3" t="s">
        <v>25</v>
      </c>
      <c r="Q3305" s="37">
        <v>2.2049610999999998</v>
      </c>
      <c r="R3305" t="str">
        <f t="shared" si="107"/>
        <v>mmol/mol</v>
      </c>
      <c r="S3305" s="13">
        <f t="shared" si="104"/>
        <v>-1.8316435421664401</v>
      </c>
    </row>
    <row r="3306" spans="1:19">
      <c r="A3306" s="18" t="s">
        <v>3504</v>
      </c>
      <c r="B3306" s="1" t="s">
        <v>3400</v>
      </c>
      <c r="C3306" s="1" t="s">
        <v>3514</v>
      </c>
      <c r="D3306" s="1" t="s">
        <v>3630</v>
      </c>
      <c r="E3306" s="1" t="s">
        <v>25</v>
      </c>
      <c r="F3306">
        <v>650</v>
      </c>
      <c r="G3306">
        <v>650</v>
      </c>
      <c r="H3306">
        <v>106.5</v>
      </c>
      <c r="I3306" s="1" t="s">
        <v>1528</v>
      </c>
      <c r="J3306" s="1" t="s">
        <v>3552</v>
      </c>
      <c r="K3306" s="1" t="s">
        <v>25</v>
      </c>
      <c r="L3306">
        <v>-1.9555621591400201</v>
      </c>
      <c r="M3306" t="str">
        <f t="shared" si="105"/>
        <v>44/40</v>
      </c>
      <c r="N3306" t="str">
        <f t="shared" si="106"/>
        <v>SW</v>
      </c>
      <c r="O3306" s="1" t="s">
        <v>25</v>
      </c>
      <c r="P3306" s="3" t="s">
        <v>25</v>
      </c>
      <c r="Q3306" s="37">
        <v>1.7449774</v>
      </c>
      <c r="R3306" t="str">
        <f t="shared" si="107"/>
        <v>mmol/mol</v>
      </c>
      <c r="S3306" s="13">
        <f t="shared" si="104"/>
        <v>-1.9555621591400201</v>
      </c>
    </row>
    <row r="3307" spans="1:19">
      <c r="A3307" s="18" t="s">
        <v>3504</v>
      </c>
      <c r="B3307" s="1" t="s">
        <v>3401</v>
      </c>
      <c r="C3307" s="1" t="s">
        <v>3514</v>
      </c>
      <c r="D3307" s="1" t="s">
        <v>3630</v>
      </c>
      <c r="E3307" s="1" t="s">
        <v>25</v>
      </c>
      <c r="F3307">
        <v>650</v>
      </c>
      <c r="G3307">
        <v>650</v>
      </c>
      <c r="H3307">
        <v>107.4</v>
      </c>
      <c r="I3307" s="1" t="s">
        <v>1528</v>
      </c>
      <c r="J3307" s="1" t="s">
        <v>3554</v>
      </c>
      <c r="K3307" s="1" t="s">
        <v>25</v>
      </c>
      <c r="L3307">
        <v>-1.9987530158614499</v>
      </c>
      <c r="M3307" t="str">
        <f t="shared" si="105"/>
        <v>44/40</v>
      </c>
      <c r="N3307" t="str">
        <f t="shared" si="106"/>
        <v>SW</v>
      </c>
      <c r="O3307" s="1" t="s">
        <v>25</v>
      </c>
      <c r="P3307" s="3" t="s">
        <v>25</v>
      </c>
      <c r="Q3307" s="37">
        <v>2.0497529999999999</v>
      </c>
      <c r="R3307" t="str">
        <f t="shared" si="107"/>
        <v>mmol/mol</v>
      </c>
      <c r="S3307" s="13">
        <f t="shared" si="104"/>
        <v>-1.9987530158614499</v>
      </c>
    </row>
    <row r="3308" spans="1:19">
      <c r="A3308" s="18" t="s">
        <v>3504</v>
      </c>
      <c r="B3308" s="1" t="s">
        <v>3402</v>
      </c>
      <c r="C3308" s="1" t="s">
        <v>3514</v>
      </c>
      <c r="D3308" s="1" t="s">
        <v>3630</v>
      </c>
      <c r="E3308" s="1" t="s">
        <v>25</v>
      </c>
      <c r="F3308">
        <v>650</v>
      </c>
      <c r="G3308">
        <v>650</v>
      </c>
      <c r="H3308">
        <v>118.4</v>
      </c>
      <c r="I3308" s="1" t="s">
        <v>1528</v>
      </c>
      <c r="J3308" s="1" t="s">
        <v>3527</v>
      </c>
      <c r="K3308" s="1" t="s">
        <v>25</v>
      </c>
      <c r="L3308">
        <v>-1.8372746080812901</v>
      </c>
      <c r="M3308" t="str">
        <f t="shared" si="105"/>
        <v>44/40</v>
      </c>
      <c r="N3308" t="str">
        <f t="shared" si="106"/>
        <v>SW</v>
      </c>
      <c r="O3308" s="1" t="s">
        <v>25</v>
      </c>
      <c r="P3308" s="3" t="s">
        <v>25</v>
      </c>
      <c r="Q3308" s="37">
        <v>1.9618736999999999</v>
      </c>
      <c r="R3308" t="str">
        <f t="shared" si="107"/>
        <v>mmol/mol</v>
      </c>
      <c r="S3308" s="13">
        <f t="shared" ref="S3308:S3371" si="108">IF(NOT(N3308="SW"),L3308-1.88,L3308)</f>
        <v>-1.8372746080812901</v>
      </c>
    </row>
    <row r="3309" spans="1:19">
      <c r="A3309" s="18" t="s">
        <v>3504</v>
      </c>
      <c r="B3309" s="1" t="s">
        <v>3403</v>
      </c>
      <c r="C3309" s="1" t="s">
        <v>3514</v>
      </c>
      <c r="D3309" s="1" t="s">
        <v>3630</v>
      </c>
      <c r="E3309" s="1" t="s">
        <v>25</v>
      </c>
      <c r="F3309">
        <v>650</v>
      </c>
      <c r="G3309">
        <v>650</v>
      </c>
      <c r="H3309">
        <v>127.1</v>
      </c>
      <c r="I3309" s="1" t="s">
        <v>1528</v>
      </c>
      <c r="J3309" s="1" t="s">
        <v>3527</v>
      </c>
      <c r="K3309" s="1" t="s">
        <v>25</v>
      </c>
      <c r="L3309">
        <v>-1.91073498702267</v>
      </c>
      <c r="M3309" t="str">
        <f t="shared" si="105"/>
        <v>44/40</v>
      </c>
      <c r="N3309" t="str">
        <f t="shared" si="106"/>
        <v>SW</v>
      </c>
      <c r="O3309" s="1" t="s">
        <v>25</v>
      </c>
      <c r="P3309" s="3" t="s">
        <v>25</v>
      </c>
      <c r="Q3309" s="37">
        <v>2.9829382999999998</v>
      </c>
      <c r="R3309" t="str">
        <f t="shared" si="107"/>
        <v>mmol/mol</v>
      </c>
      <c r="S3309" s="13">
        <f t="shared" si="108"/>
        <v>-1.91073498702267</v>
      </c>
    </row>
    <row r="3310" spans="1:19">
      <c r="A3310" s="18" t="s">
        <v>3504</v>
      </c>
      <c r="B3310" s="1" t="s">
        <v>3404</v>
      </c>
      <c r="C3310" s="1" t="s">
        <v>3514</v>
      </c>
      <c r="D3310" s="1" t="s">
        <v>3630</v>
      </c>
      <c r="E3310" s="1" t="s">
        <v>25</v>
      </c>
      <c r="F3310">
        <v>650</v>
      </c>
      <c r="G3310">
        <v>650</v>
      </c>
      <c r="H3310">
        <v>127.8</v>
      </c>
      <c r="I3310" s="1" t="s">
        <v>1528</v>
      </c>
      <c r="J3310" s="1" t="s">
        <v>3527</v>
      </c>
      <c r="K3310" s="1" t="s">
        <v>25</v>
      </c>
      <c r="L3310">
        <v>-1.88733408006308</v>
      </c>
      <c r="M3310" t="str">
        <f t="shared" si="105"/>
        <v>44/40</v>
      </c>
      <c r="N3310" t="str">
        <f t="shared" si="106"/>
        <v>SW</v>
      </c>
      <c r="O3310" s="1" t="s">
        <v>25</v>
      </c>
      <c r="P3310" s="3" t="s">
        <v>25</v>
      </c>
      <c r="Q3310" s="37">
        <v>1.5429634999999999</v>
      </c>
      <c r="R3310" t="str">
        <f t="shared" si="107"/>
        <v>mmol/mol</v>
      </c>
      <c r="S3310" s="13">
        <f t="shared" si="108"/>
        <v>-1.88733408006308</v>
      </c>
    </row>
    <row r="3311" spans="1:19">
      <c r="A3311" s="18" t="s">
        <v>3504</v>
      </c>
      <c r="B3311" s="1" t="s">
        <v>3405</v>
      </c>
      <c r="C3311" s="1" t="s">
        <v>3514</v>
      </c>
      <c r="D3311" s="1" t="s">
        <v>3630</v>
      </c>
      <c r="E3311" s="1" t="s">
        <v>25</v>
      </c>
      <c r="F3311">
        <v>650</v>
      </c>
      <c r="G3311">
        <v>650</v>
      </c>
      <c r="H3311">
        <v>136.80000000000001</v>
      </c>
      <c r="I3311" s="1" t="s">
        <v>1528</v>
      </c>
      <c r="J3311" s="1" t="s">
        <v>3553</v>
      </c>
      <c r="K3311" s="1" t="s">
        <v>25</v>
      </c>
      <c r="L3311">
        <v>-1.9016365276184599</v>
      </c>
      <c r="M3311" t="str">
        <f t="shared" si="105"/>
        <v>44/40</v>
      </c>
      <c r="N3311" t="str">
        <f t="shared" si="106"/>
        <v>SW</v>
      </c>
      <c r="O3311" s="1" t="s">
        <v>25</v>
      </c>
      <c r="P3311" s="3" t="s">
        <v>25</v>
      </c>
      <c r="Q3311" s="37">
        <v>1.3384392000000001</v>
      </c>
      <c r="R3311" t="str">
        <f t="shared" si="107"/>
        <v>mmol/mol</v>
      </c>
      <c r="S3311" s="13">
        <f t="shared" si="108"/>
        <v>-1.9016365276184599</v>
      </c>
    </row>
    <row r="3312" spans="1:19">
      <c r="A3312" s="18" t="s">
        <v>3504</v>
      </c>
      <c r="B3312" s="1" t="s">
        <v>3406</v>
      </c>
      <c r="C3312" s="1" t="s">
        <v>3514</v>
      </c>
      <c r="D3312" s="1" t="s">
        <v>3630</v>
      </c>
      <c r="E3312" s="1" t="s">
        <v>25</v>
      </c>
      <c r="F3312">
        <v>650</v>
      </c>
      <c r="G3312">
        <v>650</v>
      </c>
      <c r="H3312">
        <v>142.69999999999999</v>
      </c>
      <c r="I3312" s="1" t="s">
        <v>1528</v>
      </c>
      <c r="J3312" s="1" t="s">
        <v>3554</v>
      </c>
      <c r="K3312" s="1" t="s">
        <v>25</v>
      </c>
      <c r="L3312">
        <v>-1.83320619446783</v>
      </c>
      <c r="M3312" t="str">
        <f t="shared" ref="M3312:M3375" si="109">IF(L3312="Na","Na","44/40")</f>
        <v>44/40</v>
      </c>
      <c r="N3312" t="str">
        <f t="shared" ref="N3312:N3375" si="110">IF(M3312="Na","Na","SW")</f>
        <v>SW</v>
      </c>
      <c r="O3312" s="1" t="s">
        <v>25</v>
      </c>
      <c r="P3312" s="3" t="s">
        <v>25</v>
      </c>
      <c r="Q3312" s="37">
        <v>2.2861992</v>
      </c>
      <c r="R3312" t="str">
        <f t="shared" ref="R3312:R3375" si="111">IF(Q3312="Na","Na","mmol/mol")</f>
        <v>mmol/mol</v>
      </c>
      <c r="S3312" s="13">
        <f t="shared" si="108"/>
        <v>-1.83320619446783</v>
      </c>
    </row>
    <row r="3313" spans="1:19">
      <c r="A3313" s="18" t="s">
        <v>3504</v>
      </c>
      <c r="B3313" s="1" t="s">
        <v>3407</v>
      </c>
      <c r="C3313" s="1" t="s">
        <v>3514</v>
      </c>
      <c r="D3313" s="1" t="s">
        <v>3630</v>
      </c>
      <c r="E3313" s="1" t="s">
        <v>25</v>
      </c>
      <c r="F3313">
        <v>650</v>
      </c>
      <c r="G3313">
        <v>650</v>
      </c>
      <c r="H3313">
        <v>153.80000000000001</v>
      </c>
      <c r="I3313" s="1" t="s">
        <v>1528</v>
      </c>
      <c r="J3313" s="1" t="s">
        <v>3554</v>
      </c>
      <c r="K3313" s="1" t="s">
        <v>25</v>
      </c>
      <c r="L3313">
        <v>-1.8661496025220701</v>
      </c>
      <c r="M3313" t="str">
        <f t="shared" si="109"/>
        <v>44/40</v>
      </c>
      <c r="N3313" t="str">
        <f t="shared" si="110"/>
        <v>SW</v>
      </c>
      <c r="O3313" s="1" t="s">
        <v>25</v>
      </c>
      <c r="P3313" s="3" t="s">
        <v>25</v>
      </c>
      <c r="Q3313" s="37">
        <v>1.4078819</v>
      </c>
      <c r="R3313" t="str">
        <f t="shared" si="111"/>
        <v>mmol/mol</v>
      </c>
      <c r="S3313" s="13">
        <f t="shared" si="108"/>
        <v>-1.8661496025220701</v>
      </c>
    </row>
    <row r="3314" spans="1:19">
      <c r="A3314" s="18" t="s">
        <v>3504</v>
      </c>
      <c r="B3314" s="1" t="s">
        <v>3408</v>
      </c>
      <c r="C3314" s="1" t="s">
        <v>3514</v>
      </c>
      <c r="D3314" s="1" t="s">
        <v>3630</v>
      </c>
      <c r="E3314" s="1" t="s">
        <v>25</v>
      </c>
      <c r="F3314">
        <v>650</v>
      </c>
      <c r="G3314">
        <v>650</v>
      </c>
      <c r="H3314">
        <v>165.7</v>
      </c>
      <c r="I3314" s="1" t="s">
        <v>1528</v>
      </c>
      <c r="J3314" s="1" t="s">
        <v>3554</v>
      </c>
      <c r="K3314" s="1" t="s">
        <v>25</v>
      </c>
      <c r="L3314">
        <v>-1.7378672746202699</v>
      </c>
      <c r="M3314" t="str">
        <f t="shared" si="109"/>
        <v>44/40</v>
      </c>
      <c r="N3314" t="str">
        <f t="shared" si="110"/>
        <v>SW</v>
      </c>
      <c r="O3314" s="1" t="s">
        <v>25</v>
      </c>
      <c r="P3314" s="3" t="s">
        <v>25</v>
      </c>
      <c r="Q3314" s="37">
        <v>1.4851977999999999</v>
      </c>
      <c r="R3314" t="str">
        <f t="shared" si="111"/>
        <v>mmol/mol</v>
      </c>
      <c r="S3314" s="13">
        <f t="shared" si="108"/>
        <v>-1.7378672746202699</v>
      </c>
    </row>
    <row r="3315" spans="1:19">
      <c r="A3315" s="18" t="s">
        <v>3504</v>
      </c>
      <c r="B3315" s="1" t="s">
        <v>3409</v>
      </c>
      <c r="C3315" s="1" t="s">
        <v>3514</v>
      </c>
      <c r="D3315" s="1" t="s">
        <v>3630</v>
      </c>
      <c r="E3315" s="1" t="s">
        <v>25</v>
      </c>
      <c r="F3315">
        <v>650</v>
      </c>
      <c r="G3315">
        <v>650</v>
      </c>
      <c r="H3315">
        <v>166.4</v>
      </c>
      <c r="I3315" s="1" t="s">
        <v>1528</v>
      </c>
      <c r="J3315" s="1" t="s">
        <v>3552</v>
      </c>
      <c r="K3315" s="1" t="s">
        <v>25</v>
      </c>
      <c r="L3315">
        <v>-1.7145807462463101</v>
      </c>
      <c r="M3315" t="str">
        <f t="shared" si="109"/>
        <v>44/40</v>
      </c>
      <c r="N3315" t="str">
        <f t="shared" si="110"/>
        <v>SW</v>
      </c>
      <c r="O3315" s="1" t="s">
        <v>25</v>
      </c>
      <c r="P3315" s="3" t="s">
        <v>25</v>
      </c>
      <c r="Q3315" s="37">
        <v>0.89299340000000005</v>
      </c>
      <c r="R3315" t="str">
        <f t="shared" si="111"/>
        <v>mmol/mol</v>
      </c>
      <c r="S3315" s="13">
        <f t="shared" si="108"/>
        <v>-1.7145807462463101</v>
      </c>
    </row>
    <row r="3316" spans="1:19">
      <c r="A3316" s="18" t="s">
        <v>3504</v>
      </c>
      <c r="B3316" s="1" t="s">
        <v>3410</v>
      </c>
      <c r="C3316" s="1" t="s">
        <v>3514</v>
      </c>
      <c r="D3316" s="1" t="s">
        <v>3630</v>
      </c>
      <c r="E3316" s="1" t="s">
        <v>25</v>
      </c>
      <c r="F3316">
        <v>650</v>
      </c>
      <c r="G3316">
        <v>650</v>
      </c>
      <c r="H3316">
        <v>171.4</v>
      </c>
      <c r="I3316" s="1" t="s">
        <v>1528</v>
      </c>
      <c r="J3316" s="1" t="s">
        <v>3553</v>
      </c>
      <c r="K3316" s="1" t="s">
        <v>25</v>
      </c>
      <c r="L3316">
        <v>-1.734830062473</v>
      </c>
      <c r="M3316" t="str">
        <f t="shared" si="109"/>
        <v>44/40</v>
      </c>
      <c r="N3316" t="str">
        <f t="shared" si="110"/>
        <v>SW</v>
      </c>
      <c r="O3316" s="1" t="s">
        <v>25</v>
      </c>
      <c r="P3316" s="3" t="s">
        <v>25</v>
      </c>
      <c r="Q3316" s="37">
        <v>2.258264</v>
      </c>
      <c r="R3316" t="str">
        <f t="shared" si="111"/>
        <v>mmol/mol</v>
      </c>
      <c r="S3316" s="13">
        <f t="shared" si="108"/>
        <v>-1.734830062473</v>
      </c>
    </row>
    <row r="3317" spans="1:19">
      <c r="A3317" s="18" t="s">
        <v>3504</v>
      </c>
      <c r="B3317" s="1" t="s">
        <v>3411</v>
      </c>
      <c r="C3317" s="1" t="s">
        <v>3514</v>
      </c>
      <c r="D3317" s="1" t="s">
        <v>3630</v>
      </c>
      <c r="E3317" s="1" t="s">
        <v>25</v>
      </c>
      <c r="F3317">
        <v>650</v>
      </c>
      <c r="G3317">
        <v>650</v>
      </c>
      <c r="H3317">
        <v>172.4</v>
      </c>
      <c r="I3317" s="1" t="s">
        <v>1528</v>
      </c>
      <c r="J3317" s="1" t="s">
        <v>3527</v>
      </c>
      <c r="K3317" s="1" t="s">
        <v>25</v>
      </c>
      <c r="L3317">
        <v>-1.72104101719155</v>
      </c>
      <c r="M3317" t="str">
        <f t="shared" si="109"/>
        <v>44/40</v>
      </c>
      <c r="N3317" t="str">
        <f t="shared" si="110"/>
        <v>SW</v>
      </c>
      <c r="O3317" s="1" t="s">
        <v>25</v>
      </c>
      <c r="P3317" s="3" t="s">
        <v>25</v>
      </c>
      <c r="Q3317" s="37">
        <v>11.868592700000001</v>
      </c>
      <c r="R3317" t="str">
        <f t="shared" si="111"/>
        <v>mmol/mol</v>
      </c>
      <c r="S3317" s="13">
        <f t="shared" si="108"/>
        <v>-1.72104101719155</v>
      </c>
    </row>
    <row r="3318" spans="1:19">
      <c r="A3318" s="18" t="s">
        <v>3504</v>
      </c>
      <c r="B3318" s="1" t="s">
        <v>3412</v>
      </c>
      <c r="C3318" s="1" t="s">
        <v>3514</v>
      </c>
      <c r="D3318" s="1" t="s">
        <v>3630</v>
      </c>
      <c r="E3318" s="1" t="s">
        <v>25</v>
      </c>
      <c r="F3318">
        <v>650</v>
      </c>
      <c r="G3318">
        <v>650</v>
      </c>
      <c r="H3318">
        <v>173.3</v>
      </c>
      <c r="I3318" s="1" t="s">
        <v>1528</v>
      </c>
      <c r="J3318" s="1" t="s">
        <v>3553</v>
      </c>
      <c r="K3318" s="1" t="s">
        <v>25</v>
      </c>
      <c r="L3318">
        <v>-1.67405875339781</v>
      </c>
      <c r="M3318" t="str">
        <f t="shared" si="109"/>
        <v>44/40</v>
      </c>
      <c r="N3318" t="str">
        <f t="shared" si="110"/>
        <v>SW</v>
      </c>
      <c r="O3318" s="1" t="s">
        <v>25</v>
      </c>
      <c r="P3318" s="3" t="s">
        <v>25</v>
      </c>
      <c r="Q3318" s="37" t="s">
        <v>25</v>
      </c>
      <c r="R3318" t="str">
        <f t="shared" si="111"/>
        <v>Na</v>
      </c>
      <c r="S3318" s="13">
        <f t="shared" si="108"/>
        <v>-1.67405875339781</v>
      </c>
    </row>
    <row r="3319" spans="1:19">
      <c r="A3319" s="18" t="s">
        <v>3504</v>
      </c>
      <c r="B3319" s="1" t="s">
        <v>3413</v>
      </c>
      <c r="C3319" s="1" t="s">
        <v>3514</v>
      </c>
      <c r="D3319" s="1" t="s">
        <v>3630</v>
      </c>
      <c r="E3319" s="1" t="s">
        <v>25</v>
      </c>
      <c r="F3319">
        <v>650</v>
      </c>
      <c r="G3319">
        <v>650</v>
      </c>
      <c r="H3319">
        <v>175.3</v>
      </c>
      <c r="I3319" s="1" t="s">
        <v>1528</v>
      </c>
      <c r="J3319" s="1" t="s">
        <v>3553</v>
      </c>
      <c r="K3319" s="1" t="s">
        <v>25</v>
      </c>
      <c r="L3319">
        <v>-1.5138421481492701</v>
      </c>
      <c r="M3319" t="str">
        <f t="shared" si="109"/>
        <v>44/40</v>
      </c>
      <c r="N3319" t="str">
        <f t="shared" si="110"/>
        <v>SW</v>
      </c>
      <c r="O3319" s="1" t="s">
        <v>25</v>
      </c>
      <c r="P3319" s="3" t="s">
        <v>25</v>
      </c>
      <c r="Q3319" s="37">
        <v>1.1763968</v>
      </c>
      <c r="R3319" t="str">
        <f t="shared" si="111"/>
        <v>mmol/mol</v>
      </c>
      <c r="S3319" s="13">
        <f t="shared" si="108"/>
        <v>-1.5138421481492701</v>
      </c>
    </row>
    <row r="3320" spans="1:19">
      <c r="A3320" s="18" t="s">
        <v>3504</v>
      </c>
      <c r="B3320" s="1" t="s">
        <v>3414</v>
      </c>
      <c r="C3320" s="1" t="s">
        <v>3514</v>
      </c>
      <c r="D3320" s="1" t="s">
        <v>3630</v>
      </c>
      <c r="E3320" s="1" t="s">
        <v>25</v>
      </c>
      <c r="F3320">
        <v>650</v>
      </c>
      <c r="G3320">
        <v>650</v>
      </c>
      <c r="H3320">
        <v>175.4</v>
      </c>
      <c r="I3320" s="1" t="s">
        <v>1528</v>
      </c>
      <c r="J3320" s="1" t="s">
        <v>3553</v>
      </c>
      <c r="K3320" s="1" t="s">
        <v>25</v>
      </c>
      <c r="L3320">
        <v>-1.6566295476766</v>
      </c>
      <c r="M3320" t="str">
        <f t="shared" si="109"/>
        <v>44/40</v>
      </c>
      <c r="N3320" t="str">
        <f t="shared" si="110"/>
        <v>SW</v>
      </c>
      <c r="O3320" s="1" t="s">
        <v>25</v>
      </c>
      <c r="P3320" s="3" t="s">
        <v>25</v>
      </c>
      <c r="Q3320" s="37">
        <v>1.1127910000000001</v>
      </c>
      <c r="R3320" t="str">
        <f t="shared" si="111"/>
        <v>mmol/mol</v>
      </c>
      <c r="S3320" s="13">
        <f t="shared" si="108"/>
        <v>-1.6566295476766</v>
      </c>
    </row>
    <row r="3321" spans="1:19">
      <c r="A3321" s="18" t="s">
        <v>3504</v>
      </c>
      <c r="B3321" s="1" t="s">
        <v>3415</v>
      </c>
      <c r="C3321" s="1" t="s">
        <v>3514</v>
      </c>
      <c r="D3321" s="1" t="s">
        <v>3630</v>
      </c>
      <c r="E3321" s="1" t="s">
        <v>25</v>
      </c>
      <c r="F3321">
        <v>650</v>
      </c>
      <c r="G3321">
        <v>650</v>
      </c>
      <c r="H3321">
        <v>180.6</v>
      </c>
      <c r="I3321" s="1" t="s">
        <v>1528</v>
      </c>
      <c r="J3321" s="1" t="s">
        <v>3553</v>
      </c>
      <c r="K3321" s="1" t="s">
        <v>25</v>
      </c>
      <c r="L3321">
        <v>-1.8409034971817999</v>
      </c>
      <c r="M3321" t="str">
        <f t="shared" si="109"/>
        <v>44/40</v>
      </c>
      <c r="N3321" t="str">
        <f t="shared" si="110"/>
        <v>SW</v>
      </c>
      <c r="O3321" s="1" t="s">
        <v>25</v>
      </c>
      <c r="P3321" s="3" t="s">
        <v>25</v>
      </c>
      <c r="Q3321" s="37" t="s">
        <v>25</v>
      </c>
      <c r="R3321" t="str">
        <f t="shared" si="111"/>
        <v>Na</v>
      </c>
      <c r="S3321" s="13">
        <f t="shared" si="108"/>
        <v>-1.8409034971817999</v>
      </c>
    </row>
    <row r="3322" spans="1:19">
      <c r="A3322" s="18" t="s">
        <v>3504</v>
      </c>
      <c r="B3322" s="1" t="s">
        <v>3416</v>
      </c>
      <c r="C3322" s="1" t="s">
        <v>3514</v>
      </c>
      <c r="D3322" s="1" t="s">
        <v>3630</v>
      </c>
      <c r="E3322" s="1" t="s">
        <v>25</v>
      </c>
      <c r="F3322">
        <v>650</v>
      </c>
      <c r="G3322">
        <v>650</v>
      </c>
      <c r="H3322">
        <v>181</v>
      </c>
      <c r="I3322" s="1" t="s">
        <v>1528</v>
      </c>
      <c r="J3322" s="1" t="s">
        <v>3553</v>
      </c>
      <c r="K3322" s="1" t="s">
        <v>25</v>
      </c>
      <c r="L3322">
        <v>-1.69594481297878</v>
      </c>
      <c r="M3322" t="str">
        <f t="shared" si="109"/>
        <v>44/40</v>
      </c>
      <c r="N3322" t="str">
        <f t="shared" si="110"/>
        <v>SW</v>
      </c>
      <c r="O3322" s="1" t="s">
        <v>25</v>
      </c>
      <c r="P3322" s="3" t="s">
        <v>25</v>
      </c>
      <c r="Q3322" s="37">
        <v>8.9504017999999999</v>
      </c>
      <c r="R3322" t="str">
        <f t="shared" si="111"/>
        <v>mmol/mol</v>
      </c>
      <c r="S3322" s="13">
        <f t="shared" si="108"/>
        <v>-1.69594481297878</v>
      </c>
    </row>
    <row r="3323" spans="1:19">
      <c r="A3323" s="18" t="s">
        <v>3504</v>
      </c>
      <c r="B3323" s="1" t="s">
        <v>3417</v>
      </c>
      <c r="C3323" s="1" t="s">
        <v>3514</v>
      </c>
      <c r="D3323" s="1" t="s">
        <v>3630</v>
      </c>
      <c r="E3323" s="1" t="s">
        <v>25</v>
      </c>
      <c r="F3323">
        <v>650</v>
      </c>
      <c r="G3323">
        <v>650</v>
      </c>
      <c r="H3323">
        <v>185.3</v>
      </c>
      <c r="I3323" s="1" t="s">
        <v>1528</v>
      </c>
      <c r="J3323" s="1" t="s">
        <v>3555</v>
      </c>
      <c r="K3323" s="1" t="s">
        <v>25</v>
      </c>
      <c r="L3323">
        <v>-1.71535039458823</v>
      </c>
      <c r="M3323" t="str">
        <f t="shared" si="109"/>
        <v>44/40</v>
      </c>
      <c r="N3323" t="str">
        <f t="shared" si="110"/>
        <v>SW</v>
      </c>
      <c r="O3323" s="1" t="s">
        <v>25</v>
      </c>
      <c r="P3323" s="3" t="s">
        <v>25</v>
      </c>
      <c r="Q3323" s="37">
        <v>2.2722359000000001</v>
      </c>
      <c r="R3323" t="str">
        <f t="shared" si="111"/>
        <v>mmol/mol</v>
      </c>
      <c r="S3323" s="13">
        <f t="shared" si="108"/>
        <v>-1.71535039458823</v>
      </c>
    </row>
    <row r="3324" spans="1:19">
      <c r="A3324" s="18" t="s">
        <v>3504</v>
      </c>
      <c r="B3324" s="1" t="s">
        <v>3418</v>
      </c>
      <c r="C3324" s="1" t="s">
        <v>3514</v>
      </c>
      <c r="D3324" s="1" t="s">
        <v>3630</v>
      </c>
      <c r="E3324" s="1" t="s">
        <v>25</v>
      </c>
      <c r="F3324">
        <v>650</v>
      </c>
      <c r="G3324">
        <v>650</v>
      </c>
      <c r="H3324">
        <v>187</v>
      </c>
      <c r="I3324" s="1" t="s">
        <v>1528</v>
      </c>
      <c r="J3324" s="1" t="s">
        <v>3553</v>
      </c>
      <c r="K3324" s="1" t="s">
        <v>25</v>
      </c>
      <c r="L3324">
        <v>-1.66317589379179</v>
      </c>
      <c r="M3324" t="str">
        <f t="shared" si="109"/>
        <v>44/40</v>
      </c>
      <c r="N3324" t="str">
        <f t="shared" si="110"/>
        <v>SW</v>
      </c>
      <c r="O3324" s="1" t="s">
        <v>25</v>
      </c>
      <c r="P3324" s="3" t="s">
        <v>25</v>
      </c>
      <c r="Q3324" s="37">
        <v>1.5375422233537599</v>
      </c>
      <c r="R3324" t="str">
        <f t="shared" si="111"/>
        <v>mmol/mol</v>
      </c>
      <c r="S3324" s="13">
        <f t="shared" si="108"/>
        <v>-1.66317589379179</v>
      </c>
    </row>
    <row r="3325" spans="1:19">
      <c r="A3325" s="18" t="s">
        <v>3504</v>
      </c>
      <c r="B3325" s="1" t="s">
        <v>3419</v>
      </c>
      <c r="C3325" s="1" t="s">
        <v>3514</v>
      </c>
      <c r="D3325" s="1" t="s">
        <v>3630</v>
      </c>
      <c r="E3325" s="1" t="s">
        <v>25</v>
      </c>
      <c r="F3325">
        <v>650</v>
      </c>
      <c r="G3325">
        <v>650</v>
      </c>
      <c r="H3325">
        <v>191.7</v>
      </c>
      <c r="I3325" s="1" t="s">
        <v>1528</v>
      </c>
      <c r="J3325" s="1" t="s">
        <v>3553</v>
      </c>
      <c r="K3325" s="1" t="s">
        <v>25</v>
      </c>
      <c r="L3325">
        <v>-1.6689580557677699</v>
      </c>
      <c r="M3325" t="str">
        <f t="shared" si="109"/>
        <v>44/40</v>
      </c>
      <c r="N3325" t="str">
        <f t="shared" si="110"/>
        <v>SW</v>
      </c>
      <c r="O3325" s="1" t="s">
        <v>25</v>
      </c>
      <c r="P3325" s="3" t="s">
        <v>25</v>
      </c>
      <c r="Q3325" s="37">
        <v>1.8279797</v>
      </c>
      <c r="R3325" t="str">
        <f t="shared" si="111"/>
        <v>mmol/mol</v>
      </c>
      <c r="S3325" s="13">
        <f t="shared" si="108"/>
        <v>-1.6689580557677699</v>
      </c>
    </row>
    <row r="3326" spans="1:19">
      <c r="A3326" s="18" t="s">
        <v>3504</v>
      </c>
      <c r="B3326" s="1" t="s">
        <v>3420</v>
      </c>
      <c r="C3326" s="1" t="s">
        <v>3514</v>
      </c>
      <c r="D3326" s="1" t="s">
        <v>3630</v>
      </c>
      <c r="E3326" s="1" t="s">
        <v>25</v>
      </c>
      <c r="F3326">
        <v>650</v>
      </c>
      <c r="G3326">
        <v>650</v>
      </c>
      <c r="H3326">
        <v>192.5</v>
      </c>
      <c r="I3326" s="1" t="s">
        <v>1528</v>
      </c>
      <c r="J3326" s="1" t="s">
        <v>3553</v>
      </c>
      <c r="K3326" s="1" t="s">
        <v>25</v>
      </c>
      <c r="L3326">
        <v>-1.6917565394337799</v>
      </c>
      <c r="M3326" t="str">
        <f t="shared" si="109"/>
        <v>44/40</v>
      </c>
      <c r="N3326" t="str">
        <f t="shared" si="110"/>
        <v>SW</v>
      </c>
      <c r="O3326" s="1" t="s">
        <v>25</v>
      </c>
      <c r="P3326" s="3" t="s">
        <v>25</v>
      </c>
      <c r="Q3326" s="37">
        <v>2.3367846812352702</v>
      </c>
      <c r="R3326" t="str">
        <f t="shared" si="111"/>
        <v>mmol/mol</v>
      </c>
      <c r="S3326" s="13">
        <f t="shared" si="108"/>
        <v>-1.6917565394337799</v>
      </c>
    </row>
    <row r="3327" spans="1:19">
      <c r="A3327" s="18" t="s">
        <v>3504</v>
      </c>
      <c r="B3327" s="1" t="s">
        <v>3421</v>
      </c>
      <c r="C3327" s="1" t="s">
        <v>3514</v>
      </c>
      <c r="D3327" s="1" t="s">
        <v>3630</v>
      </c>
      <c r="E3327" s="1" t="s">
        <v>25</v>
      </c>
      <c r="F3327">
        <v>650</v>
      </c>
      <c r="G3327">
        <v>650</v>
      </c>
      <c r="H3327">
        <v>197.6</v>
      </c>
      <c r="I3327" s="1" t="s">
        <v>1528</v>
      </c>
      <c r="J3327" s="1" t="s">
        <v>3553</v>
      </c>
      <c r="K3327" s="1" t="s">
        <v>25</v>
      </c>
      <c r="L3327">
        <v>-1.55840096951651</v>
      </c>
      <c r="M3327" t="str">
        <f t="shared" si="109"/>
        <v>44/40</v>
      </c>
      <c r="N3327" t="str">
        <f t="shared" si="110"/>
        <v>SW</v>
      </c>
      <c r="O3327" s="1" t="s">
        <v>25</v>
      </c>
      <c r="P3327" s="3" t="s">
        <v>25</v>
      </c>
      <c r="Q3327" s="37" t="s">
        <v>25</v>
      </c>
      <c r="R3327" t="str">
        <f t="shared" si="111"/>
        <v>Na</v>
      </c>
      <c r="S3327" s="13">
        <f t="shared" si="108"/>
        <v>-1.55840096951651</v>
      </c>
    </row>
    <row r="3328" spans="1:19">
      <c r="A3328" s="18" t="s">
        <v>3504</v>
      </c>
      <c r="B3328" s="1" t="s">
        <v>3422</v>
      </c>
      <c r="C3328" s="1" t="s">
        <v>3514</v>
      </c>
      <c r="D3328" s="1" t="s">
        <v>3630</v>
      </c>
      <c r="E3328" s="1" t="s">
        <v>25</v>
      </c>
      <c r="F3328">
        <v>650</v>
      </c>
      <c r="G3328">
        <v>650</v>
      </c>
      <c r="H3328">
        <v>198.8</v>
      </c>
      <c r="I3328" s="1" t="s">
        <v>1528</v>
      </c>
      <c r="J3328" s="1" t="s">
        <v>3553</v>
      </c>
      <c r="K3328" s="1" t="s">
        <v>25</v>
      </c>
      <c r="L3328">
        <v>-1.6556241840292101</v>
      </c>
      <c r="M3328" t="str">
        <f t="shared" si="109"/>
        <v>44/40</v>
      </c>
      <c r="N3328" t="str">
        <f t="shared" si="110"/>
        <v>SW</v>
      </c>
      <c r="O3328" s="1" t="s">
        <v>25</v>
      </c>
      <c r="P3328" s="3" t="s">
        <v>25</v>
      </c>
      <c r="Q3328" s="37">
        <v>1.4597825</v>
      </c>
      <c r="R3328" t="str">
        <f t="shared" si="111"/>
        <v>mmol/mol</v>
      </c>
      <c r="S3328" s="13">
        <f t="shared" si="108"/>
        <v>-1.6556241840292101</v>
      </c>
    </row>
    <row r="3329" spans="1:19">
      <c r="A3329" s="18" t="s">
        <v>3504</v>
      </c>
      <c r="B3329" s="1" t="s">
        <v>3423</v>
      </c>
      <c r="C3329" s="1" t="s">
        <v>3514</v>
      </c>
      <c r="D3329" s="1" t="s">
        <v>3630</v>
      </c>
      <c r="E3329" s="1" t="s">
        <v>25</v>
      </c>
      <c r="F3329">
        <v>650</v>
      </c>
      <c r="G3329">
        <v>650</v>
      </c>
      <c r="H3329">
        <v>201.9</v>
      </c>
      <c r="I3329" s="1" t="s">
        <v>1528</v>
      </c>
      <c r="J3329" s="1" t="s">
        <v>3553</v>
      </c>
      <c r="K3329" s="1" t="s">
        <v>25</v>
      </c>
      <c r="L3329">
        <v>-1.80228185644445</v>
      </c>
      <c r="M3329" t="str">
        <f t="shared" si="109"/>
        <v>44/40</v>
      </c>
      <c r="N3329" t="str">
        <f t="shared" si="110"/>
        <v>SW</v>
      </c>
      <c r="O3329" s="1" t="s">
        <v>25</v>
      </c>
      <c r="P3329" s="3" t="s">
        <v>25</v>
      </c>
      <c r="Q3329" s="37">
        <v>1.3793089999999999</v>
      </c>
      <c r="R3329" t="str">
        <f t="shared" si="111"/>
        <v>mmol/mol</v>
      </c>
      <c r="S3329" s="13">
        <f t="shared" si="108"/>
        <v>-1.80228185644445</v>
      </c>
    </row>
    <row r="3330" spans="1:19">
      <c r="A3330" s="18" t="s">
        <v>3504</v>
      </c>
      <c r="B3330" s="1" t="s">
        <v>3424</v>
      </c>
      <c r="C3330" s="1" t="s">
        <v>3514</v>
      </c>
      <c r="D3330" s="1" t="s">
        <v>3630</v>
      </c>
      <c r="E3330" s="1" t="s">
        <v>25</v>
      </c>
      <c r="F3330">
        <v>650</v>
      </c>
      <c r="G3330">
        <v>650</v>
      </c>
      <c r="H3330">
        <v>206.7</v>
      </c>
      <c r="I3330" s="1" t="s">
        <v>1528</v>
      </c>
      <c r="J3330" s="1" t="s">
        <v>3553</v>
      </c>
      <c r="K3330" s="1" t="s">
        <v>25</v>
      </c>
      <c r="L3330">
        <v>-1.69511549392498</v>
      </c>
      <c r="M3330" t="str">
        <f t="shared" si="109"/>
        <v>44/40</v>
      </c>
      <c r="N3330" t="str">
        <f t="shared" si="110"/>
        <v>SW</v>
      </c>
      <c r="O3330" s="1" t="s">
        <v>25</v>
      </c>
      <c r="P3330" s="3" t="s">
        <v>25</v>
      </c>
      <c r="Q3330" s="37">
        <v>1.4701103</v>
      </c>
      <c r="R3330" t="str">
        <f t="shared" si="111"/>
        <v>mmol/mol</v>
      </c>
      <c r="S3330" s="13">
        <f t="shared" si="108"/>
        <v>-1.69511549392498</v>
      </c>
    </row>
    <row r="3331" spans="1:19">
      <c r="A3331" s="18" t="s">
        <v>3504</v>
      </c>
      <c r="B3331" s="1" t="s">
        <v>3425</v>
      </c>
      <c r="C3331" s="1" t="s">
        <v>3514</v>
      </c>
      <c r="D3331" s="1" t="s">
        <v>3630</v>
      </c>
      <c r="E3331" s="1" t="s">
        <v>25</v>
      </c>
      <c r="F3331">
        <v>650</v>
      </c>
      <c r="G3331">
        <v>650</v>
      </c>
      <c r="H3331">
        <v>209.6</v>
      </c>
      <c r="I3331" s="1" t="s">
        <v>1528</v>
      </c>
      <c r="J3331" s="1" t="s">
        <v>3553</v>
      </c>
      <c r="K3331" s="1" t="s">
        <v>25</v>
      </c>
      <c r="L3331">
        <v>-1.6039461556166501</v>
      </c>
      <c r="M3331" t="str">
        <f t="shared" si="109"/>
        <v>44/40</v>
      </c>
      <c r="N3331" t="str">
        <f t="shared" si="110"/>
        <v>SW</v>
      </c>
      <c r="O3331" s="1" t="s">
        <v>25</v>
      </c>
      <c r="P3331" s="3" t="s">
        <v>25</v>
      </c>
      <c r="Q3331" s="37" t="s">
        <v>25</v>
      </c>
      <c r="R3331" t="str">
        <f t="shared" si="111"/>
        <v>Na</v>
      </c>
      <c r="S3331" s="13">
        <f t="shared" si="108"/>
        <v>-1.6039461556166501</v>
      </c>
    </row>
    <row r="3332" spans="1:19">
      <c r="A3332" s="18" t="s">
        <v>3504</v>
      </c>
      <c r="B3332" s="1" t="s">
        <v>3426</v>
      </c>
      <c r="C3332" s="1" t="s">
        <v>3514</v>
      </c>
      <c r="D3332" s="1" t="s">
        <v>3630</v>
      </c>
      <c r="E3332" s="1" t="s">
        <v>25</v>
      </c>
      <c r="F3332">
        <v>650</v>
      </c>
      <c r="G3332">
        <v>650</v>
      </c>
      <c r="H3332">
        <v>211.1</v>
      </c>
      <c r="I3332" s="1" t="s">
        <v>1528</v>
      </c>
      <c r="J3332" s="1" t="s">
        <v>3556</v>
      </c>
      <c r="K3332" s="1" t="s">
        <v>25</v>
      </c>
      <c r="L3332">
        <v>-1.8419967503099399</v>
      </c>
      <c r="M3332" t="str">
        <f t="shared" si="109"/>
        <v>44/40</v>
      </c>
      <c r="N3332" t="str">
        <f t="shared" si="110"/>
        <v>SW</v>
      </c>
      <c r="O3332" s="1" t="s">
        <v>25</v>
      </c>
      <c r="P3332" s="3" t="s">
        <v>25</v>
      </c>
      <c r="Q3332" s="37">
        <v>1.3820509000000001</v>
      </c>
      <c r="R3332" t="str">
        <f t="shared" si="111"/>
        <v>mmol/mol</v>
      </c>
      <c r="S3332" s="13">
        <f t="shared" si="108"/>
        <v>-1.8419967503099399</v>
      </c>
    </row>
    <row r="3333" spans="1:19">
      <c r="A3333" s="18" t="s">
        <v>3504</v>
      </c>
      <c r="B3333" s="1" t="s">
        <v>3427</v>
      </c>
      <c r="C3333" s="1" t="s">
        <v>3514</v>
      </c>
      <c r="D3333" s="1" t="s">
        <v>3630</v>
      </c>
      <c r="E3333" s="1" t="s">
        <v>25</v>
      </c>
      <c r="F3333">
        <v>650</v>
      </c>
      <c r="G3333">
        <v>650</v>
      </c>
      <c r="H3333">
        <v>214.2</v>
      </c>
      <c r="I3333" s="1" t="s">
        <v>1528</v>
      </c>
      <c r="J3333" s="1" t="s">
        <v>3556</v>
      </c>
      <c r="K3333" s="1" t="s">
        <v>25</v>
      </c>
      <c r="L3333">
        <v>-1.73971113079718</v>
      </c>
      <c r="M3333" t="str">
        <f t="shared" si="109"/>
        <v>44/40</v>
      </c>
      <c r="N3333" t="str">
        <f t="shared" si="110"/>
        <v>SW</v>
      </c>
      <c r="O3333" s="1" t="s">
        <v>25</v>
      </c>
      <c r="P3333" s="3" t="s">
        <v>25</v>
      </c>
      <c r="Q3333" s="37">
        <v>1.8236829999999999</v>
      </c>
      <c r="R3333" t="str">
        <f t="shared" si="111"/>
        <v>mmol/mol</v>
      </c>
      <c r="S3333" s="13">
        <f t="shared" si="108"/>
        <v>-1.73971113079718</v>
      </c>
    </row>
    <row r="3334" spans="1:19">
      <c r="A3334" s="18" t="s">
        <v>3504</v>
      </c>
      <c r="B3334" s="1" t="s">
        <v>3428</v>
      </c>
      <c r="C3334" s="1" t="s">
        <v>3514</v>
      </c>
      <c r="D3334" s="1" t="s">
        <v>3630</v>
      </c>
      <c r="E3334" s="1" t="s">
        <v>25</v>
      </c>
      <c r="F3334">
        <v>650</v>
      </c>
      <c r="G3334">
        <v>650</v>
      </c>
      <c r="H3334">
        <v>216.9</v>
      </c>
      <c r="I3334" s="1" t="s">
        <v>1528</v>
      </c>
      <c r="J3334" s="1" t="s">
        <v>3554</v>
      </c>
      <c r="K3334" s="1" t="s">
        <v>25</v>
      </c>
      <c r="L3334">
        <v>-1.42232126313546</v>
      </c>
      <c r="M3334" t="str">
        <f t="shared" si="109"/>
        <v>44/40</v>
      </c>
      <c r="N3334" t="str">
        <f t="shared" si="110"/>
        <v>SW</v>
      </c>
      <c r="O3334" s="1" t="s">
        <v>25</v>
      </c>
      <c r="P3334" s="3" t="s">
        <v>25</v>
      </c>
      <c r="Q3334" s="37">
        <v>1.5983297000000001</v>
      </c>
      <c r="R3334" t="str">
        <f t="shared" si="111"/>
        <v>mmol/mol</v>
      </c>
      <c r="S3334" s="13">
        <f t="shared" si="108"/>
        <v>-1.42232126313546</v>
      </c>
    </row>
    <row r="3335" spans="1:19">
      <c r="A3335" s="18" t="s">
        <v>3504</v>
      </c>
      <c r="B3335" s="1" t="s">
        <v>3429</v>
      </c>
      <c r="C3335" s="1" t="s">
        <v>3514</v>
      </c>
      <c r="D3335" s="1" t="s">
        <v>3630</v>
      </c>
      <c r="E3335" s="1" t="s">
        <v>25</v>
      </c>
      <c r="F3335">
        <v>650</v>
      </c>
      <c r="G3335">
        <v>650</v>
      </c>
      <c r="H3335">
        <v>219.8</v>
      </c>
      <c r="I3335" s="1" t="s">
        <v>1528</v>
      </c>
      <c r="J3335" s="1" t="s">
        <v>3553</v>
      </c>
      <c r="K3335" s="1" t="s">
        <v>25</v>
      </c>
      <c r="L3335">
        <v>-1.63067319278755</v>
      </c>
      <c r="M3335" t="str">
        <f t="shared" si="109"/>
        <v>44/40</v>
      </c>
      <c r="N3335" t="str">
        <f t="shared" si="110"/>
        <v>SW</v>
      </c>
      <c r="O3335" s="1" t="s">
        <v>25</v>
      </c>
      <c r="P3335" s="3" t="s">
        <v>25</v>
      </c>
      <c r="Q3335" s="37">
        <v>1.5102325000000001</v>
      </c>
      <c r="R3335" t="str">
        <f t="shared" si="111"/>
        <v>mmol/mol</v>
      </c>
      <c r="S3335" s="13">
        <f t="shared" si="108"/>
        <v>-1.63067319278755</v>
      </c>
    </row>
    <row r="3336" spans="1:19">
      <c r="A3336" s="18" t="s">
        <v>3504</v>
      </c>
      <c r="B3336" s="1" t="s">
        <v>3430</v>
      </c>
      <c r="C3336" s="1" t="s">
        <v>3514</v>
      </c>
      <c r="D3336" s="1" t="s">
        <v>3630</v>
      </c>
      <c r="E3336" s="1" t="s">
        <v>25</v>
      </c>
      <c r="F3336">
        <v>650</v>
      </c>
      <c r="G3336">
        <v>650</v>
      </c>
      <c r="H3336">
        <v>222.5</v>
      </c>
      <c r="I3336" s="1" t="s">
        <v>1528</v>
      </c>
      <c r="J3336" s="1" t="s">
        <v>3553</v>
      </c>
      <c r="K3336" s="1" t="s">
        <v>25</v>
      </c>
      <c r="L3336">
        <v>-1.7204906424517199</v>
      </c>
      <c r="M3336" t="str">
        <f t="shared" si="109"/>
        <v>44/40</v>
      </c>
      <c r="N3336" t="str">
        <f t="shared" si="110"/>
        <v>SW</v>
      </c>
      <c r="O3336" s="1" t="s">
        <v>25</v>
      </c>
      <c r="P3336" s="3" t="s">
        <v>25</v>
      </c>
      <c r="Q3336" s="37" t="s">
        <v>25</v>
      </c>
      <c r="R3336" t="str">
        <f t="shared" si="111"/>
        <v>Na</v>
      </c>
      <c r="S3336" s="13">
        <f t="shared" si="108"/>
        <v>-1.7204906424517199</v>
      </c>
    </row>
    <row r="3337" spans="1:19">
      <c r="A3337" s="18" t="s">
        <v>3504</v>
      </c>
      <c r="B3337" s="1" t="s">
        <v>3431</v>
      </c>
      <c r="C3337" s="1" t="s">
        <v>3514</v>
      </c>
      <c r="D3337" s="1" t="s">
        <v>3630</v>
      </c>
      <c r="E3337" s="1" t="s">
        <v>25</v>
      </c>
      <c r="F3337">
        <v>650</v>
      </c>
      <c r="G3337">
        <v>650</v>
      </c>
      <c r="H3337">
        <v>224.4</v>
      </c>
      <c r="I3337" s="1" t="s">
        <v>1528</v>
      </c>
      <c r="J3337" s="1" t="s">
        <v>3553</v>
      </c>
      <c r="K3337" s="1" t="s">
        <v>25</v>
      </c>
      <c r="L3337">
        <v>-1.7307535908663001</v>
      </c>
      <c r="M3337" t="str">
        <f t="shared" si="109"/>
        <v>44/40</v>
      </c>
      <c r="N3337" t="str">
        <f t="shared" si="110"/>
        <v>SW</v>
      </c>
      <c r="O3337" s="1" t="s">
        <v>25</v>
      </c>
      <c r="P3337" s="3" t="s">
        <v>25</v>
      </c>
      <c r="Q3337" s="37">
        <v>3.2792702618556002</v>
      </c>
      <c r="R3337" t="str">
        <f t="shared" si="111"/>
        <v>mmol/mol</v>
      </c>
      <c r="S3337" s="13">
        <f t="shared" si="108"/>
        <v>-1.7307535908663001</v>
      </c>
    </row>
    <row r="3338" spans="1:19">
      <c r="A3338" s="18" t="s">
        <v>3504</v>
      </c>
      <c r="B3338" s="1" t="s">
        <v>3432</v>
      </c>
      <c r="C3338" s="1" t="s">
        <v>3514</v>
      </c>
      <c r="D3338" s="1" t="s">
        <v>3630</v>
      </c>
      <c r="E3338" s="1" t="s">
        <v>25</v>
      </c>
      <c r="F3338">
        <v>650</v>
      </c>
      <c r="G3338">
        <v>650</v>
      </c>
      <c r="H3338">
        <v>228.1</v>
      </c>
      <c r="I3338" s="1" t="s">
        <v>1528</v>
      </c>
      <c r="J3338" s="1" t="s">
        <v>3553</v>
      </c>
      <c r="K3338" s="1" t="s">
        <v>25</v>
      </c>
      <c r="L3338">
        <v>-1.59356653227042</v>
      </c>
      <c r="M3338" t="str">
        <f t="shared" si="109"/>
        <v>44/40</v>
      </c>
      <c r="N3338" t="str">
        <f t="shared" si="110"/>
        <v>SW</v>
      </c>
      <c r="O3338" s="1" t="s">
        <v>25</v>
      </c>
      <c r="P3338" s="3" t="s">
        <v>25</v>
      </c>
      <c r="Q3338" s="37">
        <v>1.4767208000000001</v>
      </c>
      <c r="R3338" t="str">
        <f t="shared" si="111"/>
        <v>mmol/mol</v>
      </c>
      <c r="S3338" s="13">
        <f t="shared" si="108"/>
        <v>-1.59356653227042</v>
      </c>
    </row>
    <row r="3339" spans="1:19">
      <c r="A3339" s="18" t="s">
        <v>3504</v>
      </c>
      <c r="B3339" s="1" t="s">
        <v>3433</v>
      </c>
      <c r="C3339" s="1" t="s">
        <v>3514</v>
      </c>
      <c r="D3339" s="1" t="s">
        <v>3630</v>
      </c>
      <c r="E3339" s="1" t="s">
        <v>25</v>
      </c>
      <c r="F3339">
        <v>650</v>
      </c>
      <c r="G3339">
        <v>650</v>
      </c>
      <c r="H3339">
        <v>231.1</v>
      </c>
      <c r="I3339" s="1" t="s">
        <v>1528</v>
      </c>
      <c r="J3339" s="1" t="s">
        <v>3555</v>
      </c>
      <c r="K3339" s="1" t="s">
        <v>25</v>
      </c>
      <c r="L3339">
        <v>-1.71887487670688</v>
      </c>
      <c r="M3339" t="str">
        <f t="shared" si="109"/>
        <v>44/40</v>
      </c>
      <c r="N3339" t="str">
        <f t="shared" si="110"/>
        <v>SW</v>
      </c>
      <c r="O3339" s="1" t="s">
        <v>25</v>
      </c>
      <c r="P3339" s="3" t="s">
        <v>25</v>
      </c>
      <c r="Q3339" s="37">
        <v>2.1452196600261102</v>
      </c>
      <c r="R3339" t="str">
        <f t="shared" si="111"/>
        <v>mmol/mol</v>
      </c>
      <c r="S3339" s="13">
        <f t="shared" si="108"/>
        <v>-1.71887487670688</v>
      </c>
    </row>
    <row r="3340" spans="1:19">
      <c r="A3340" s="18" t="s">
        <v>3504</v>
      </c>
      <c r="B3340" s="1" t="s">
        <v>3434</v>
      </c>
      <c r="C3340" s="1" t="s">
        <v>3514</v>
      </c>
      <c r="D3340" s="1" t="s">
        <v>3630</v>
      </c>
      <c r="E3340" s="1" t="s">
        <v>25</v>
      </c>
      <c r="F3340">
        <v>650</v>
      </c>
      <c r="G3340">
        <v>650</v>
      </c>
      <c r="H3340">
        <v>239.7</v>
      </c>
      <c r="I3340" s="1" t="s">
        <v>1528</v>
      </c>
      <c r="J3340" s="1" t="s">
        <v>3553</v>
      </c>
      <c r="K3340" s="1" t="s">
        <v>25</v>
      </c>
      <c r="L3340">
        <v>-1.50070636143117</v>
      </c>
      <c r="M3340" t="str">
        <f t="shared" si="109"/>
        <v>44/40</v>
      </c>
      <c r="N3340" t="str">
        <f t="shared" si="110"/>
        <v>SW</v>
      </c>
      <c r="O3340" s="1" t="s">
        <v>25</v>
      </c>
      <c r="P3340" s="3" t="s">
        <v>25</v>
      </c>
      <c r="Q3340" s="37">
        <v>0.63697798234817005</v>
      </c>
      <c r="R3340" t="str">
        <f t="shared" si="111"/>
        <v>mmol/mol</v>
      </c>
      <c r="S3340" s="13">
        <f t="shared" si="108"/>
        <v>-1.50070636143117</v>
      </c>
    </row>
    <row r="3341" spans="1:19">
      <c r="A3341" s="18" t="s">
        <v>3504</v>
      </c>
      <c r="B3341" s="1" t="s">
        <v>3435</v>
      </c>
      <c r="C3341" s="1" t="s">
        <v>3514</v>
      </c>
      <c r="D3341" s="1" t="s">
        <v>3630</v>
      </c>
      <c r="E3341" s="1" t="s">
        <v>25</v>
      </c>
      <c r="F3341">
        <v>650</v>
      </c>
      <c r="G3341">
        <v>650</v>
      </c>
      <c r="H3341">
        <v>247.2</v>
      </c>
      <c r="I3341" s="1" t="s">
        <v>1528</v>
      </c>
      <c r="J3341" s="1" t="s">
        <v>3553</v>
      </c>
      <c r="K3341" s="1" t="s">
        <v>25</v>
      </c>
      <c r="L3341">
        <v>-1.4177793183749701</v>
      </c>
      <c r="M3341" t="str">
        <f t="shared" si="109"/>
        <v>44/40</v>
      </c>
      <c r="N3341" t="str">
        <f t="shared" si="110"/>
        <v>SW</v>
      </c>
      <c r="O3341" s="1" t="s">
        <v>25</v>
      </c>
      <c r="P3341" s="3" t="s">
        <v>25</v>
      </c>
      <c r="Q3341" s="37">
        <v>0.69605620000000001</v>
      </c>
      <c r="R3341" t="str">
        <f t="shared" si="111"/>
        <v>mmol/mol</v>
      </c>
      <c r="S3341" s="13">
        <f t="shared" si="108"/>
        <v>-1.4177793183749701</v>
      </c>
    </row>
    <row r="3342" spans="1:19">
      <c r="A3342" s="18" t="s">
        <v>3504</v>
      </c>
      <c r="B3342" s="1" t="s">
        <v>3436</v>
      </c>
      <c r="C3342" s="1" t="s">
        <v>3514</v>
      </c>
      <c r="D3342" s="1" t="s">
        <v>3630</v>
      </c>
      <c r="E3342" s="1" t="s">
        <v>25</v>
      </c>
      <c r="F3342">
        <v>650</v>
      </c>
      <c r="G3342">
        <v>650</v>
      </c>
      <c r="H3342">
        <v>247.9</v>
      </c>
      <c r="I3342" s="1" t="s">
        <v>1528</v>
      </c>
      <c r="J3342" s="1" t="s">
        <v>3553</v>
      </c>
      <c r="K3342" s="1" t="s">
        <v>25</v>
      </c>
      <c r="L3342">
        <v>-1.6502313976852701</v>
      </c>
      <c r="M3342" t="str">
        <f t="shared" si="109"/>
        <v>44/40</v>
      </c>
      <c r="N3342" t="str">
        <f t="shared" si="110"/>
        <v>SW</v>
      </c>
      <c r="O3342" s="1" t="s">
        <v>25</v>
      </c>
      <c r="P3342" s="3" t="s">
        <v>25</v>
      </c>
      <c r="Q3342" s="37">
        <v>0.66120642710772304</v>
      </c>
      <c r="R3342" t="str">
        <f t="shared" si="111"/>
        <v>mmol/mol</v>
      </c>
      <c r="S3342" s="13">
        <f t="shared" si="108"/>
        <v>-1.6502313976852701</v>
      </c>
    </row>
    <row r="3343" spans="1:19">
      <c r="A3343" s="18" t="s">
        <v>3504</v>
      </c>
      <c r="B3343" s="1" t="s">
        <v>3437</v>
      </c>
      <c r="C3343" s="1" t="s">
        <v>3514</v>
      </c>
      <c r="D3343" s="1" t="s">
        <v>3630</v>
      </c>
      <c r="E3343" s="1" t="s">
        <v>25</v>
      </c>
      <c r="F3343">
        <v>650</v>
      </c>
      <c r="G3343">
        <v>650</v>
      </c>
      <c r="H3343">
        <v>249.9</v>
      </c>
      <c r="I3343" s="1" t="s">
        <v>1528</v>
      </c>
      <c r="J3343" s="1" t="s">
        <v>3553</v>
      </c>
      <c r="K3343" s="1" t="s">
        <v>25</v>
      </c>
      <c r="L3343">
        <v>-1.6472837953398101</v>
      </c>
      <c r="M3343" t="str">
        <f t="shared" si="109"/>
        <v>44/40</v>
      </c>
      <c r="N3343" t="str">
        <f t="shared" si="110"/>
        <v>SW</v>
      </c>
      <c r="O3343" s="1" t="s">
        <v>25</v>
      </c>
      <c r="P3343" s="3" t="s">
        <v>25</v>
      </c>
      <c r="Q3343" s="37">
        <v>0.86274220000000001</v>
      </c>
      <c r="R3343" t="str">
        <f t="shared" si="111"/>
        <v>mmol/mol</v>
      </c>
      <c r="S3343" s="13">
        <f t="shared" si="108"/>
        <v>-1.6472837953398101</v>
      </c>
    </row>
    <row r="3344" spans="1:19">
      <c r="A3344" s="18" t="s">
        <v>3504</v>
      </c>
      <c r="B3344" s="1" t="s">
        <v>3438</v>
      </c>
      <c r="C3344" s="1" t="s">
        <v>3514</v>
      </c>
      <c r="D3344" s="1" t="s">
        <v>3630</v>
      </c>
      <c r="E3344" s="1" t="s">
        <v>25</v>
      </c>
      <c r="F3344">
        <v>650</v>
      </c>
      <c r="G3344">
        <v>650</v>
      </c>
      <c r="H3344">
        <v>255</v>
      </c>
      <c r="I3344" s="1" t="s">
        <v>1528</v>
      </c>
      <c r="J3344" s="1" t="s">
        <v>3553</v>
      </c>
      <c r="K3344" s="1" t="s">
        <v>25</v>
      </c>
      <c r="L3344">
        <v>-1.4894676113379099</v>
      </c>
      <c r="M3344" t="str">
        <f t="shared" si="109"/>
        <v>44/40</v>
      </c>
      <c r="N3344" t="str">
        <f t="shared" si="110"/>
        <v>SW</v>
      </c>
      <c r="O3344" s="1" t="s">
        <v>25</v>
      </c>
      <c r="P3344" s="3" t="s">
        <v>25</v>
      </c>
      <c r="Q3344" s="37">
        <v>0.7146517</v>
      </c>
      <c r="R3344" t="str">
        <f t="shared" si="111"/>
        <v>mmol/mol</v>
      </c>
      <c r="S3344" s="13">
        <f t="shared" si="108"/>
        <v>-1.4894676113379099</v>
      </c>
    </row>
    <row r="3345" spans="1:19">
      <c r="A3345" s="18" t="s">
        <v>3504</v>
      </c>
      <c r="B3345" s="1" t="s">
        <v>3439</v>
      </c>
      <c r="C3345" s="1" t="s">
        <v>3514</v>
      </c>
      <c r="D3345" s="1" t="s">
        <v>3630</v>
      </c>
      <c r="E3345" s="1" t="s">
        <v>25</v>
      </c>
      <c r="F3345">
        <v>650</v>
      </c>
      <c r="G3345">
        <v>650</v>
      </c>
      <c r="H3345">
        <v>257.5</v>
      </c>
      <c r="I3345" s="1" t="s">
        <v>1528</v>
      </c>
      <c r="J3345" s="1" t="s">
        <v>3553</v>
      </c>
      <c r="K3345" s="1" t="s">
        <v>25</v>
      </c>
      <c r="L3345">
        <v>-1.5782574076149001</v>
      </c>
      <c r="M3345" t="str">
        <f t="shared" si="109"/>
        <v>44/40</v>
      </c>
      <c r="N3345" t="str">
        <f t="shared" si="110"/>
        <v>SW</v>
      </c>
      <c r="O3345" s="1" t="s">
        <v>25</v>
      </c>
      <c r="P3345" s="3" t="s">
        <v>25</v>
      </c>
      <c r="Q3345" s="37">
        <v>0.73246460856678397</v>
      </c>
      <c r="R3345" t="str">
        <f t="shared" si="111"/>
        <v>mmol/mol</v>
      </c>
      <c r="S3345" s="13">
        <f t="shared" si="108"/>
        <v>-1.5782574076149001</v>
      </c>
    </row>
    <row r="3346" spans="1:19">
      <c r="A3346" s="18" t="s">
        <v>3504</v>
      </c>
      <c r="B3346" s="1" t="s">
        <v>3440</v>
      </c>
      <c r="C3346" s="1" t="s">
        <v>3514</v>
      </c>
      <c r="D3346" s="1" t="s">
        <v>3630</v>
      </c>
      <c r="E3346" s="1" t="s">
        <v>25</v>
      </c>
      <c r="F3346">
        <v>650</v>
      </c>
      <c r="G3346">
        <v>650</v>
      </c>
      <c r="H3346">
        <v>261</v>
      </c>
      <c r="I3346" s="1" t="s">
        <v>1528</v>
      </c>
      <c r="J3346" s="1" t="s">
        <v>3553</v>
      </c>
      <c r="K3346" s="1" t="s">
        <v>25</v>
      </c>
      <c r="L3346">
        <v>-1.4288315202904101</v>
      </c>
      <c r="M3346" t="str">
        <f t="shared" si="109"/>
        <v>44/40</v>
      </c>
      <c r="N3346" t="str">
        <f t="shared" si="110"/>
        <v>SW</v>
      </c>
      <c r="O3346" s="1" t="s">
        <v>25</v>
      </c>
      <c r="P3346" s="3" t="s">
        <v>25</v>
      </c>
      <c r="Q3346" s="37" t="s">
        <v>25</v>
      </c>
      <c r="R3346" t="str">
        <f t="shared" si="111"/>
        <v>Na</v>
      </c>
      <c r="S3346" s="13">
        <f t="shared" si="108"/>
        <v>-1.4288315202904101</v>
      </c>
    </row>
    <row r="3347" spans="1:19">
      <c r="A3347" s="18" t="s">
        <v>3504</v>
      </c>
      <c r="B3347" s="1" t="s">
        <v>3441</v>
      </c>
      <c r="C3347" s="1" t="s">
        <v>3514</v>
      </c>
      <c r="D3347" s="1" t="s">
        <v>3630</v>
      </c>
      <c r="E3347" s="1" t="s">
        <v>25</v>
      </c>
      <c r="F3347">
        <v>650</v>
      </c>
      <c r="G3347">
        <v>650</v>
      </c>
      <c r="H3347">
        <v>264.39999999999998</v>
      </c>
      <c r="I3347" s="1" t="s">
        <v>1528</v>
      </c>
      <c r="J3347" s="1" t="s">
        <v>3554</v>
      </c>
      <c r="K3347" s="1" t="s">
        <v>25</v>
      </c>
      <c r="L3347">
        <v>-1.2051104612678301</v>
      </c>
      <c r="M3347" t="str">
        <f t="shared" si="109"/>
        <v>44/40</v>
      </c>
      <c r="N3347" t="str">
        <f t="shared" si="110"/>
        <v>SW</v>
      </c>
      <c r="O3347" s="1" t="s">
        <v>25</v>
      </c>
      <c r="P3347" s="3" t="s">
        <v>25</v>
      </c>
      <c r="Q3347" s="37">
        <v>1.4052700469939401</v>
      </c>
      <c r="R3347" t="str">
        <f t="shared" si="111"/>
        <v>mmol/mol</v>
      </c>
      <c r="S3347" s="13">
        <f t="shared" si="108"/>
        <v>-1.2051104612678301</v>
      </c>
    </row>
    <row r="3348" spans="1:19">
      <c r="A3348" s="18" t="s">
        <v>3504</v>
      </c>
      <c r="B3348" s="1" t="s">
        <v>3442</v>
      </c>
      <c r="C3348" s="1" t="s">
        <v>3514</v>
      </c>
      <c r="D3348" s="1" t="s">
        <v>3630</v>
      </c>
      <c r="E3348" s="1" t="s">
        <v>25</v>
      </c>
      <c r="F3348">
        <v>650</v>
      </c>
      <c r="G3348">
        <v>650</v>
      </c>
      <c r="H3348">
        <v>701.1</v>
      </c>
      <c r="I3348" s="1" t="s">
        <v>1528</v>
      </c>
      <c r="J3348" s="1" t="s">
        <v>3554</v>
      </c>
      <c r="K3348" s="1" t="s">
        <v>25</v>
      </c>
      <c r="L3348">
        <v>-1.5344987744557701</v>
      </c>
      <c r="M3348" t="str">
        <f t="shared" si="109"/>
        <v>44/40</v>
      </c>
      <c r="N3348" t="str">
        <f t="shared" si="110"/>
        <v>SW</v>
      </c>
      <c r="O3348" s="1" t="s">
        <v>25</v>
      </c>
      <c r="P3348" s="3" t="s">
        <v>25</v>
      </c>
      <c r="Q3348" s="37">
        <v>0.92184086440814705</v>
      </c>
      <c r="R3348" t="str">
        <f t="shared" si="111"/>
        <v>mmol/mol</v>
      </c>
      <c r="S3348" s="13">
        <f t="shared" si="108"/>
        <v>-1.5344987744557701</v>
      </c>
    </row>
    <row r="3349" spans="1:19">
      <c r="A3349" s="18" t="s">
        <v>3504</v>
      </c>
      <c r="B3349" s="1" t="s">
        <v>3443</v>
      </c>
      <c r="C3349" s="1" t="s">
        <v>3514</v>
      </c>
      <c r="D3349" s="1" t="s">
        <v>3630</v>
      </c>
      <c r="E3349" s="1" t="s">
        <v>25</v>
      </c>
      <c r="F3349">
        <v>650</v>
      </c>
      <c r="G3349">
        <v>650</v>
      </c>
      <c r="H3349">
        <v>703.1</v>
      </c>
      <c r="I3349" s="1" t="s">
        <v>1528</v>
      </c>
      <c r="J3349" s="1" t="s">
        <v>3554</v>
      </c>
      <c r="K3349" s="1" t="s">
        <v>25</v>
      </c>
      <c r="L3349">
        <v>-1.49778568862228</v>
      </c>
      <c r="M3349" t="str">
        <f t="shared" si="109"/>
        <v>44/40</v>
      </c>
      <c r="N3349" t="str">
        <f t="shared" si="110"/>
        <v>SW</v>
      </c>
      <c r="O3349" s="1" t="s">
        <v>25</v>
      </c>
      <c r="P3349" s="3" t="s">
        <v>25</v>
      </c>
      <c r="Q3349" s="37">
        <v>1.4850983539640299</v>
      </c>
      <c r="R3349" t="str">
        <f t="shared" si="111"/>
        <v>mmol/mol</v>
      </c>
      <c r="S3349" s="13">
        <f t="shared" si="108"/>
        <v>-1.49778568862228</v>
      </c>
    </row>
    <row r="3350" spans="1:19">
      <c r="A3350" s="18" t="s">
        <v>3504</v>
      </c>
      <c r="B3350" s="1" t="s">
        <v>3444</v>
      </c>
      <c r="C3350" s="1" t="s">
        <v>3514</v>
      </c>
      <c r="D3350" s="1" t="s">
        <v>3630</v>
      </c>
      <c r="E3350" s="1" t="s">
        <v>25</v>
      </c>
      <c r="F3350">
        <v>650</v>
      </c>
      <c r="G3350">
        <v>650</v>
      </c>
      <c r="H3350">
        <v>704.1</v>
      </c>
      <c r="I3350" s="1" t="s">
        <v>1528</v>
      </c>
      <c r="J3350" s="1" t="s">
        <v>3554</v>
      </c>
      <c r="K3350" s="1" t="s">
        <v>25</v>
      </c>
      <c r="L3350">
        <v>-1.3973927867058999</v>
      </c>
      <c r="M3350" t="str">
        <f t="shared" si="109"/>
        <v>44/40</v>
      </c>
      <c r="N3350" t="str">
        <f t="shared" si="110"/>
        <v>SW</v>
      </c>
      <c r="O3350" s="1" t="s">
        <v>25</v>
      </c>
      <c r="P3350" s="3" t="s">
        <v>25</v>
      </c>
      <c r="Q3350" s="37">
        <v>0.56474199791674395</v>
      </c>
      <c r="R3350" t="str">
        <f t="shared" si="111"/>
        <v>mmol/mol</v>
      </c>
      <c r="S3350" s="13">
        <f t="shared" si="108"/>
        <v>-1.3973927867058999</v>
      </c>
    </row>
    <row r="3351" spans="1:19">
      <c r="A3351" s="18" t="s">
        <v>3504</v>
      </c>
      <c r="B3351" s="1" t="s">
        <v>3445</v>
      </c>
      <c r="C3351" s="1" t="s">
        <v>3514</v>
      </c>
      <c r="D3351" s="1" t="s">
        <v>3630</v>
      </c>
      <c r="E3351" s="1" t="s">
        <v>25</v>
      </c>
      <c r="F3351">
        <v>650</v>
      </c>
      <c r="G3351">
        <v>650</v>
      </c>
      <c r="H3351">
        <v>712.6</v>
      </c>
      <c r="I3351" s="1" t="s">
        <v>1528</v>
      </c>
      <c r="J3351" s="1" t="s">
        <v>3554</v>
      </c>
      <c r="K3351" s="1" t="s">
        <v>25</v>
      </c>
      <c r="L3351">
        <v>-1.46322055578613</v>
      </c>
      <c r="M3351" t="str">
        <f t="shared" si="109"/>
        <v>44/40</v>
      </c>
      <c r="N3351" t="str">
        <f t="shared" si="110"/>
        <v>SW</v>
      </c>
      <c r="O3351" s="1" t="s">
        <v>25</v>
      </c>
      <c r="P3351" s="3" t="s">
        <v>25</v>
      </c>
      <c r="Q3351" s="37">
        <v>0.75013721564533598</v>
      </c>
      <c r="R3351" t="str">
        <f t="shared" si="111"/>
        <v>mmol/mol</v>
      </c>
      <c r="S3351" s="13">
        <f t="shared" si="108"/>
        <v>-1.46322055578613</v>
      </c>
    </row>
    <row r="3352" spans="1:19">
      <c r="A3352" s="18" t="s">
        <v>3504</v>
      </c>
      <c r="B3352" s="1" t="s">
        <v>3446</v>
      </c>
      <c r="C3352" s="1" t="s">
        <v>3514</v>
      </c>
      <c r="D3352" s="1" t="s">
        <v>3630</v>
      </c>
      <c r="E3352" s="1" t="s">
        <v>25</v>
      </c>
      <c r="F3352">
        <v>650</v>
      </c>
      <c r="G3352">
        <v>650</v>
      </c>
      <c r="H3352">
        <v>713.6</v>
      </c>
      <c r="I3352" s="1" t="s">
        <v>1528</v>
      </c>
      <c r="J3352" s="1" t="s">
        <v>3554</v>
      </c>
      <c r="K3352" s="1" t="s">
        <v>25</v>
      </c>
      <c r="L3352">
        <v>-1.2939678264990799</v>
      </c>
      <c r="M3352" t="str">
        <f t="shared" si="109"/>
        <v>44/40</v>
      </c>
      <c r="N3352" t="str">
        <f t="shared" si="110"/>
        <v>SW</v>
      </c>
      <c r="O3352" s="1" t="s">
        <v>25</v>
      </c>
      <c r="P3352" s="3" t="s">
        <v>25</v>
      </c>
      <c r="Q3352" s="37">
        <v>0.41226141876670802</v>
      </c>
      <c r="R3352" t="str">
        <f t="shared" si="111"/>
        <v>mmol/mol</v>
      </c>
      <c r="S3352" s="13">
        <f t="shared" si="108"/>
        <v>-1.2939678264990799</v>
      </c>
    </row>
    <row r="3353" spans="1:19">
      <c r="A3353" s="18" t="s">
        <v>3504</v>
      </c>
      <c r="B3353" s="1" t="s">
        <v>3447</v>
      </c>
      <c r="C3353" s="1" t="s">
        <v>3514</v>
      </c>
      <c r="D3353" s="1" t="s">
        <v>3630</v>
      </c>
      <c r="E3353" s="1" t="s">
        <v>25</v>
      </c>
      <c r="F3353">
        <v>650</v>
      </c>
      <c r="G3353">
        <v>650</v>
      </c>
      <c r="H3353">
        <v>714.5</v>
      </c>
      <c r="I3353" s="1" t="s">
        <v>1528</v>
      </c>
      <c r="J3353" s="1" t="s">
        <v>3554</v>
      </c>
      <c r="K3353" s="1" t="s">
        <v>25</v>
      </c>
      <c r="L3353">
        <v>-1.4800756409573601</v>
      </c>
      <c r="M3353" t="str">
        <f t="shared" si="109"/>
        <v>44/40</v>
      </c>
      <c r="N3353" t="str">
        <f t="shared" si="110"/>
        <v>SW</v>
      </c>
      <c r="O3353" s="1" t="s">
        <v>25</v>
      </c>
      <c r="P3353" s="3" t="s">
        <v>25</v>
      </c>
      <c r="Q3353" s="37">
        <v>1.0594177439268699</v>
      </c>
      <c r="R3353" t="str">
        <f t="shared" si="111"/>
        <v>mmol/mol</v>
      </c>
      <c r="S3353" s="13">
        <f t="shared" si="108"/>
        <v>-1.4800756409573601</v>
      </c>
    </row>
    <row r="3354" spans="1:19">
      <c r="A3354" s="18" t="s">
        <v>3504</v>
      </c>
      <c r="B3354" s="1" t="s">
        <v>3448</v>
      </c>
      <c r="C3354" s="1" t="s">
        <v>3514</v>
      </c>
      <c r="D3354" s="1" t="s">
        <v>3630</v>
      </c>
      <c r="E3354" s="1" t="s">
        <v>25</v>
      </c>
      <c r="F3354">
        <v>650</v>
      </c>
      <c r="G3354">
        <v>650</v>
      </c>
      <c r="H3354">
        <v>716.8</v>
      </c>
      <c r="I3354" s="1" t="s">
        <v>1528</v>
      </c>
      <c r="J3354" s="1" t="s">
        <v>3554</v>
      </c>
      <c r="K3354" s="1" t="s">
        <v>25</v>
      </c>
      <c r="L3354">
        <v>-1.48594220455736</v>
      </c>
      <c r="M3354" t="str">
        <f t="shared" si="109"/>
        <v>44/40</v>
      </c>
      <c r="N3354" t="str">
        <f t="shared" si="110"/>
        <v>SW</v>
      </c>
      <c r="O3354" s="1" t="s">
        <v>25</v>
      </c>
      <c r="P3354" s="3" t="s">
        <v>25</v>
      </c>
      <c r="Q3354" s="37">
        <v>1.22808394962195</v>
      </c>
      <c r="R3354" t="str">
        <f t="shared" si="111"/>
        <v>mmol/mol</v>
      </c>
      <c r="S3354" s="13">
        <f t="shared" si="108"/>
        <v>-1.48594220455736</v>
      </c>
    </row>
    <row r="3355" spans="1:19">
      <c r="A3355" s="18" t="s">
        <v>3504</v>
      </c>
      <c r="B3355" s="1" t="s">
        <v>3449</v>
      </c>
      <c r="C3355" s="1" t="s">
        <v>3514</v>
      </c>
      <c r="D3355" s="1" t="s">
        <v>3630</v>
      </c>
      <c r="E3355" s="1" t="s">
        <v>25</v>
      </c>
      <c r="F3355">
        <v>650</v>
      </c>
      <c r="G3355">
        <v>650</v>
      </c>
      <c r="H3355">
        <v>718</v>
      </c>
      <c r="I3355" s="1" t="s">
        <v>1528</v>
      </c>
      <c r="J3355" s="1" t="s">
        <v>3554</v>
      </c>
      <c r="K3355" s="1" t="s">
        <v>25</v>
      </c>
      <c r="L3355">
        <v>-1.29499969504468</v>
      </c>
      <c r="M3355" t="str">
        <f t="shared" si="109"/>
        <v>44/40</v>
      </c>
      <c r="N3355" t="str">
        <f t="shared" si="110"/>
        <v>SW</v>
      </c>
      <c r="O3355" s="1" t="s">
        <v>25</v>
      </c>
      <c r="P3355" s="3" t="s">
        <v>25</v>
      </c>
      <c r="Q3355" s="37">
        <v>0.23138804650638101</v>
      </c>
      <c r="R3355" t="str">
        <f t="shared" si="111"/>
        <v>mmol/mol</v>
      </c>
      <c r="S3355" s="13">
        <f t="shared" si="108"/>
        <v>-1.29499969504468</v>
      </c>
    </row>
    <row r="3356" spans="1:19">
      <c r="A3356" s="18" t="s">
        <v>3504</v>
      </c>
      <c r="B3356" s="1" t="s">
        <v>3450</v>
      </c>
      <c r="C3356" s="1" t="s">
        <v>3514</v>
      </c>
      <c r="D3356" s="1" t="s">
        <v>3630</v>
      </c>
      <c r="E3356" s="1" t="s">
        <v>25</v>
      </c>
      <c r="F3356">
        <v>650</v>
      </c>
      <c r="G3356">
        <v>650</v>
      </c>
      <c r="H3356">
        <v>719.7</v>
      </c>
      <c r="I3356" s="1" t="s">
        <v>1528</v>
      </c>
      <c r="J3356" s="1" t="s">
        <v>3554</v>
      </c>
      <c r="K3356" s="1" t="s">
        <v>25</v>
      </c>
      <c r="L3356">
        <v>-1.4081541856365201</v>
      </c>
      <c r="M3356" t="str">
        <f t="shared" si="109"/>
        <v>44/40</v>
      </c>
      <c r="N3356" t="str">
        <f t="shared" si="110"/>
        <v>SW</v>
      </c>
      <c r="O3356" s="1" t="s">
        <v>25</v>
      </c>
      <c r="P3356" s="3" t="s">
        <v>25</v>
      </c>
      <c r="Q3356" s="37">
        <v>0.16799040667955001</v>
      </c>
      <c r="R3356" t="str">
        <f t="shared" si="111"/>
        <v>mmol/mol</v>
      </c>
      <c r="S3356" s="13">
        <f t="shared" si="108"/>
        <v>-1.4081541856365201</v>
      </c>
    </row>
    <row r="3357" spans="1:19">
      <c r="A3357" s="18" t="s">
        <v>3504</v>
      </c>
      <c r="B3357" s="1" t="s">
        <v>3451</v>
      </c>
      <c r="C3357" s="1" t="s">
        <v>3514</v>
      </c>
      <c r="D3357" s="1" t="s">
        <v>3630</v>
      </c>
      <c r="E3357" s="1" t="s">
        <v>25</v>
      </c>
      <c r="F3357">
        <v>650</v>
      </c>
      <c r="G3357">
        <v>650</v>
      </c>
      <c r="H3357">
        <v>720.9</v>
      </c>
      <c r="I3357" s="1" t="s">
        <v>1528</v>
      </c>
      <c r="J3357" s="1" t="s">
        <v>3554</v>
      </c>
      <c r="K3357" s="1" t="s">
        <v>25</v>
      </c>
      <c r="L3357">
        <v>-1.4651987807218501</v>
      </c>
      <c r="M3357" t="str">
        <f t="shared" si="109"/>
        <v>44/40</v>
      </c>
      <c r="N3357" t="str">
        <f t="shared" si="110"/>
        <v>SW</v>
      </c>
      <c r="O3357" s="1" t="s">
        <v>25</v>
      </c>
      <c r="P3357" s="3" t="s">
        <v>25</v>
      </c>
      <c r="Q3357" s="37">
        <v>0.70845051036462803</v>
      </c>
      <c r="R3357" t="str">
        <f t="shared" si="111"/>
        <v>mmol/mol</v>
      </c>
      <c r="S3357" s="13">
        <f t="shared" si="108"/>
        <v>-1.4651987807218501</v>
      </c>
    </row>
    <row r="3358" spans="1:19">
      <c r="A3358" s="18" t="s">
        <v>3504</v>
      </c>
      <c r="B3358" s="1" t="s">
        <v>3452</v>
      </c>
      <c r="C3358" s="1" t="s">
        <v>3514</v>
      </c>
      <c r="D3358" s="1" t="s">
        <v>3630</v>
      </c>
      <c r="E3358" s="1" t="s">
        <v>25</v>
      </c>
      <c r="F3358">
        <v>650</v>
      </c>
      <c r="G3358">
        <v>650</v>
      </c>
      <c r="H3358">
        <v>721.9</v>
      </c>
      <c r="I3358" s="1" t="s">
        <v>1528</v>
      </c>
      <c r="J3358" s="1" t="s">
        <v>3554</v>
      </c>
      <c r="K3358" s="1" t="s">
        <v>25</v>
      </c>
      <c r="L3358">
        <v>-1.4519431889727299</v>
      </c>
      <c r="M3358" t="str">
        <f t="shared" si="109"/>
        <v>44/40</v>
      </c>
      <c r="N3358" t="str">
        <f t="shared" si="110"/>
        <v>SW</v>
      </c>
      <c r="O3358" s="1" t="s">
        <v>25</v>
      </c>
      <c r="P3358" s="3" t="s">
        <v>25</v>
      </c>
      <c r="Q3358" s="37">
        <v>0.80428620552849595</v>
      </c>
      <c r="R3358" t="str">
        <f t="shared" si="111"/>
        <v>mmol/mol</v>
      </c>
      <c r="S3358" s="13">
        <f t="shared" si="108"/>
        <v>-1.4519431889727299</v>
      </c>
    </row>
    <row r="3359" spans="1:19">
      <c r="A3359" s="18" t="s">
        <v>3504</v>
      </c>
      <c r="B3359" s="1" t="s">
        <v>3453</v>
      </c>
      <c r="C3359" s="1" t="s">
        <v>3514</v>
      </c>
      <c r="D3359" s="1" t="s">
        <v>3630</v>
      </c>
      <c r="E3359" s="1" t="s">
        <v>25</v>
      </c>
      <c r="F3359">
        <v>650</v>
      </c>
      <c r="G3359">
        <v>650</v>
      </c>
      <c r="H3359">
        <v>723</v>
      </c>
      <c r="I3359" s="1" t="s">
        <v>1528</v>
      </c>
      <c r="J3359" s="1" t="s">
        <v>3527</v>
      </c>
      <c r="K3359" s="1" t="s">
        <v>25</v>
      </c>
      <c r="L3359">
        <v>-1.4616444962158599</v>
      </c>
      <c r="M3359" t="str">
        <f t="shared" si="109"/>
        <v>44/40</v>
      </c>
      <c r="N3359" t="str">
        <f t="shared" si="110"/>
        <v>SW</v>
      </c>
      <c r="O3359" s="1" t="s">
        <v>25</v>
      </c>
      <c r="P3359" s="3" t="s">
        <v>25</v>
      </c>
      <c r="Q3359" s="37">
        <v>0.93811305059236005</v>
      </c>
      <c r="R3359" t="str">
        <f t="shared" si="111"/>
        <v>mmol/mol</v>
      </c>
      <c r="S3359" s="13">
        <f t="shared" si="108"/>
        <v>-1.4616444962158599</v>
      </c>
    </row>
    <row r="3360" spans="1:19">
      <c r="A3360" s="18" t="s">
        <v>3504</v>
      </c>
      <c r="B3360" s="1" t="s">
        <v>3454</v>
      </c>
      <c r="C3360" s="1" t="s">
        <v>3514</v>
      </c>
      <c r="D3360" s="1" t="s">
        <v>3630</v>
      </c>
      <c r="E3360" s="1" t="s">
        <v>25</v>
      </c>
      <c r="F3360">
        <v>650</v>
      </c>
      <c r="G3360">
        <v>650</v>
      </c>
      <c r="H3360">
        <v>724.9</v>
      </c>
      <c r="I3360" s="1" t="s">
        <v>1528</v>
      </c>
      <c r="J3360" s="1" t="s">
        <v>3527</v>
      </c>
      <c r="K3360" s="1" t="s">
        <v>25</v>
      </c>
      <c r="L3360">
        <v>-1.35950466249805</v>
      </c>
      <c r="M3360" t="str">
        <f t="shared" si="109"/>
        <v>44/40</v>
      </c>
      <c r="N3360" t="str">
        <f t="shared" si="110"/>
        <v>SW</v>
      </c>
      <c r="O3360" s="1" t="s">
        <v>25</v>
      </c>
      <c r="P3360" s="3" t="s">
        <v>25</v>
      </c>
      <c r="Q3360" s="37">
        <v>0.26681627842922401</v>
      </c>
      <c r="R3360" t="str">
        <f t="shared" si="111"/>
        <v>mmol/mol</v>
      </c>
      <c r="S3360" s="13">
        <f t="shared" si="108"/>
        <v>-1.35950466249805</v>
      </c>
    </row>
    <row r="3361" spans="1:19">
      <c r="A3361" s="18" t="s">
        <v>3504</v>
      </c>
      <c r="B3361" s="1" t="s">
        <v>3455</v>
      </c>
      <c r="C3361" s="1" t="s">
        <v>3514</v>
      </c>
      <c r="D3361" s="1" t="s">
        <v>3630</v>
      </c>
      <c r="E3361" s="1" t="s">
        <v>25</v>
      </c>
      <c r="F3361">
        <v>650</v>
      </c>
      <c r="G3361">
        <v>650</v>
      </c>
      <c r="H3361">
        <v>725.8</v>
      </c>
      <c r="I3361" s="1" t="s">
        <v>1528</v>
      </c>
      <c r="J3361" s="1" t="s">
        <v>3527</v>
      </c>
      <c r="K3361" s="1" t="s">
        <v>25</v>
      </c>
      <c r="L3361">
        <v>-1.34517218153139</v>
      </c>
      <c r="M3361" t="str">
        <f t="shared" si="109"/>
        <v>44/40</v>
      </c>
      <c r="N3361" t="str">
        <f t="shared" si="110"/>
        <v>SW</v>
      </c>
      <c r="O3361" s="1" t="s">
        <v>25</v>
      </c>
      <c r="P3361" s="3" t="s">
        <v>25</v>
      </c>
      <c r="Q3361" s="37">
        <v>0.85444432106833201</v>
      </c>
      <c r="R3361" t="str">
        <f t="shared" si="111"/>
        <v>mmol/mol</v>
      </c>
      <c r="S3361" s="13">
        <f t="shared" si="108"/>
        <v>-1.34517218153139</v>
      </c>
    </row>
    <row r="3362" spans="1:19">
      <c r="A3362" s="18" t="s">
        <v>3504</v>
      </c>
      <c r="B3362" s="1" t="s">
        <v>3456</v>
      </c>
      <c r="C3362" s="1" t="s">
        <v>3514</v>
      </c>
      <c r="D3362" s="1" t="s">
        <v>3630</v>
      </c>
      <c r="E3362" s="1" t="s">
        <v>25</v>
      </c>
      <c r="F3362">
        <v>650</v>
      </c>
      <c r="G3362">
        <v>650</v>
      </c>
      <c r="H3362">
        <v>727</v>
      </c>
      <c r="I3362" s="1" t="s">
        <v>1528</v>
      </c>
      <c r="J3362" s="1" t="s">
        <v>3553</v>
      </c>
      <c r="K3362" s="1" t="s">
        <v>25</v>
      </c>
      <c r="L3362">
        <v>-1.3174624187110899</v>
      </c>
      <c r="M3362" t="str">
        <f t="shared" si="109"/>
        <v>44/40</v>
      </c>
      <c r="N3362" t="str">
        <f t="shared" si="110"/>
        <v>SW</v>
      </c>
      <c r="O3362" s="1" t="s">
        <v>25</v>
      </c>
      <c r="P3362" s="3" t="s">
        <v>25</v>
      </c>
      <c r="Q3362" s="37">
        <v>0.44880781303916401</v>
      </c>
      <c r="R3362" t="str">
        <f t="shared" si="111"/>
        <v>mmol/mol</v>
      </c>
      <c r="S3362" s="13">
        <f t="shared" si="108"/>
        <v>-1.3174624187110899</v>
      </c>
    </row>
    <row r="3363" spans="1:19">
      <c r="A3363" s="18" t="s">
        <v>3504</v>
      </c>
      <c r="B3363" s="1" t="s">
        <v>3457</v>
      </c>
      <c r="C3363" s="1" t="s">
        <v>3514</v>
      </c>
      <c r="D3363" s="1" t="s">
        <v>3630</v>
      </c>
      <c r="E3363" s="1" t="s">
        <v>25</v>
      </c>
      <c r="F3363">
        <v>650</v>
      </c>
      <c r="G3363">
        <v>650</v>
      </c>
      <c r="H3363">
        <v>729.3</v>
      </c>
      <c r="I3363" s="1" t="s">
        <v>1528</v>
      </c>
      <c r="J3363" s="1" t="s">
        <v>3553</v>
      </c>
      <c r="K3363" s="1" t="s">
        <v>25</v>
      </c>
      <c r="L3363">
        <v>-1.4460707574857601</v>
      </c>
      <c r="M3363" t="str">
        <f t="shared" si="109"/>
        <v>44/40</v>
      </c>
      <c r="N3363" t="str">
        <f t="shared" si="110"/>
        <v>SW</v>
      </c>
      <c r="O3363" s="1" t="s">
        <v>25</v>
      </c>
      <c r="P3363" s="3" t="s">
        <v>25</v>
      </c>
      <c r="Q3363" s="37" t="s">
        <v>25</v>
      </c>
      <c r="R3363" t="str">
        <f t="shared" si="111"/>
        <v>Na</v>
      </c>
      <c r="S3363" s="13">
        <f t="shared" si="108"/>
        <v>-1.4460707574857601</v>
      </c>
    </row>
    <row r="3364" spans="1:19">
      <c r="A3364" s="18" t="s">
        <v>3504</v>
      </c>
      <c r="B3364" s="1" t="s">
        <v>3458</v>
      </c>
      <c r="C3364" s="1" t="s">
        <v>3514</v>
      </c>
      <c r="D3364" s="1" t="s">
        <v>3630</v>
      </c>
      <c r="E3364" s="1" t="s">
        <v>25</v>
      </c>
      <c r="F3364">
        <v>650</v>
      </c>
      <c r="G3364">
        <v>650</v>
      </c>
      <c r="H3364">
        <v>732.4</v>
      </c>
      <c r="I3364" s="1" t="s">
        <v>1528</v>
      </c>
      <c r="J3364" s="1" t="s">
        <v>3553</v>
      </c>
      <c r="K3364" s="1" t="s">
        <v>25</v>
      </c>
      <c r="L3364">
        <v>-1.3944489398186299</v>
      </c>
      <c r="M3364" t="str">
        <f t="shared" si="109"/>
        <v>44/40</v>
      </c>
      <c r="N3364" t="str">
        <f t="shared" si="110"/>
        <v>SW</v>
      </c>
      <c r="O3364" s="1" t="s">
        <v>25</v>
      </c>
      <c r="P3364" s="3" t="s">
        <v>25</v>
      </c>
      <c r="Q3364" s="37">
        <v>0.568628602937155</v>
      </c>
      <c r="R3364" t="str">
        <f t="shared" si="111"/>
        <v>mmol/mol</v>
      </c>
      <c r="S3364" s="13">
        <f t="shared" si="108"/>
        <v>-1.3944489398186299</v>
      </c>
    </row>
    <row r="3365" spans="1:19">
      <c r="A3365" s="18" t="s">
        <v>3504</v>
      </c>
      <c r="B3365" s="1" t="s">
        <v>3459</v>
      </c>
      <c r="C3365" s="1" t="s">
        <v>3514</v>
      </c>
      <c r="D3365" s="1" t="s">
        <v>3630</v>
      </c>
      <c r="E3365" s="1" t="s">
        <v>25</v>
      </c>
      <c r="F3365">
        <v>650</v>
      </c>
      <c r="G3365">
        <v>650</v>
      </c>
      <c r="H3365">
        <v>733.5</v>
      </c>
      <c r="I3365" s="1" t="s">
        <v>1528</v>
      </c>
      <c r="J3365" s="1" t="s">
        <v>3553</v>
      </c>
      <c r="K3365" s="1" t="s">
        <v>25</v>
      </c>
      <c r="L3365">
        <v>-1.2832280994162499</v>
      </c>
      <c r="M3365" t="str">
        <f t="shared" si="109"/>
        <v>44/40</v>
      </c>
      <c r="N3365" t="str">
        <f t="shared" si="110"/>
        <v>SW</v>
      </c>
      <c r="O3365" s="1" t="s">
        <v>25</v>
      </c>
      <c r="P3365" s="3" t="s">
        <v>25</v>
      </c>
      <c r="Q3365" s="37">
        <v>0.73122406430766396</v>
      </c>
      <c r="R3365" t="str">
        <f t="shared" si="111"/>
        <v>mmol/mol</v>
      </c>
      <c r="S3365" s="13">
        <f t="shared" si="108"/>
        <v>-1.2832280994162499</v>
      </c>
    </row>
    <row r="3366" spans="1:19">
      <c r="A3366" s="18" t="s">
        <v>3504</v>
      </c>
      <c r="B3366" s="1" t="s">
        <v>3460</v>
      </c>
      <c r="C3366" s="1" t="s">
        <v>3514</v>
      </c>
      <c r="D3366" s="1" t="s">
        <v>3630</v>
      </c>
      <c r="E3366" s="1" t="s">
        <v>25</v>
      </c>
      <c r="F3366">
        <v>650</v>
      </c>
      <c r="G3366">
        <v>650</v>
      </c>
      <c r="H3366">
        <v>735.5</v>
      </c>
      <c r="I3366" s="1" t="s">
        <v>1528</v>
      </c>
      <c r="J3366" s="1" t="s">
        <v>3554</v>
      </c>
      <c r="K3366" s="1" t="s">
        <v>25</v>
      </c>
      <c r="L3366">
        <v>-1.32826841812633</v>
      </c>
      <c r="M3366" t="str">
        <f t="shared" si="109"/>
        <v>44/40</v>
      </c>
      <c r="N3366" t="str">
        <f t="shared" si="110"/>
        <v>SW</v>
      </c>
      <c r="O3366" s="1" t="s">
        <v>25</v>
      </c>
      <c r="P3366" s="3" t="s">
        <v>25</v>
      </c>
      <c r="Q3366" s="37">
        <v>0.88809258515399803</v>
      </c>
      <c r="R3366" t="str">
        <f t="shared" si="111"/>
        <v>mmol/mol</v>
      </c>
      <c r="S3366" s="13">
        <f t="shared" si="108"/>
        <v>-1.32826841812633</v>
      </c>
    </row>
    <row r="3367" spans="1:19">
      <c r="A3367" s="18" t="s">
        <v>3504</v>
      </c>
      <c r="B3367" s="1" t="s">
        <v>3461</v>
      </c>
      <c r="C3367" s="1" t="s">
        <v>3514</v>
      </c>
      <c r="D3367" s="1" t="s">
        <v>3630</v>
      </c>
      <c r="E3367" s="1" t="s">
        <v>25</v>
      </c>
      <c r="F3367">
        <v>650</v>
      </c>
      <c r="G3367">
        <v>650</v>
      </c>
      <c r="H3367">
        <v>736.5</v>
      </c>
      <c r="I3367" s="1" t="s">
        <v>1528</v>
      </c>
      <c r="J3367" s="1" t="s">
        <v>3554</v>
      </c>
      <c r="K3367" s="1" t="s">
        <v>25</v>
      </c>
      <c r="L3367">
        <v>-1.24707695195608</v>
      </c>
      <c r="M3367" t="str">
        <f t="shared" si="109"/>
        <v>44/40</v>
      </c>
      <c r="N3367" t="str">
        <f t="shared" si="110"/>
        <v>SW</v>
      </c>
      <c r="O3367" s="1" t="s">
        <v>25</v>
      </c>
      <c r="P3367" s="3" t="s">
        <v>25</v>
      </c>
      <c r="Q3367" s="37">
        <v>0.70814175425500603</v>
      </c>
      <c r="R3367" t="str">
        <f t="shared" si="111"/>
        <v>mmol/mol</v>
      </c>
      <c r="S3367" s="13">
        <f t="shared" si="108"/>
        <v>-1.24707695195608</v>
      </c>
    </row>
    <row r="3368" spans="1:19">
      <c r="A3368" s="18" t="s">
        <v>3504</v>
      </c>
      <c r="B3368" s="1" t="s">
        <v>3462</v>
      </c>
      <c r="C3368" s="1" t="s">
        <v>3514</v>
      </c>
      <c r="D3368" s="1" t="s">
        <v>3630</v>
      </c>
      <c r="E3368" s="1" t="s">
        <v>25</v>
      </c>
      <c r="F3368">
        <v>650</v>
      </c>
      <c r="G3368">
        <v>650</v>
      </c>
      <c r="H3368">
        <v>782.3</v>
      </c>
      <c r="I3368" s="1" t="s">
        <v>1528</v>
      </c>
      <c r="J3368" s="1" t="s">
        <v>3527</v>
      </c>
      <c r="K3368" s="1" t="s">
        <v>25</v>
      </c>
      <c r="L3368">
        <v>-1.3122386955368599</v>
      </c>
      <c r="M3368" t="str">
        <f t="shared" si="109"/>
        <v>44/40</v>
      </c>
      <c r="N3368" t="str">
        <f t="shared" si="110"/>
        <v>SW</v>
      </c>
      <c r="O3368" s="1" t="s">
        <v>25</v>
      </c>
      <c r="P3368" s="3" t="s">
        <v>25</v>
      </c>
      <c r="Q3368" s="37">
        <v>1.4049251</v>
      </c>
      <c r="R3368" t="str">
        <f t="shared" si="111"/>
        <v>mmol/mol</v>
      </c>
      <c r="S3368" s="13">
        <f t="shared" si="108"/>
        <v>-1.3122386955368599</v>
      </c>
    </row>
    <row r="3369" spans="1:19">
      <c r="A3369" s="18" t="s">
        <v>3504</v>
      </c>
      <c r="B3369" s="1" t="s">
        <v>3463</v>
      </c>
      <c r="C3369" s="1" t="s">
        <v>3514</v>
      </c>
      <c r="D3369" s="1" t="s">
        <v>3630</v>
      </c>
      <c r="E3369" s="1" t="s">
        <v>25</v>
      </c>
      <c r="F3369">
        <v>650</v>
      </c>
      <c r="G3369">
        <v>650</v>
      </c>
      <c r="H3369">
        <v>783.4</v>
      </c>
      <c r="I3369" s="1" t="s">
        <v>1528</v>
      </c>
      <c r="J3369" s="1" t="s">
        <v>3527</v>
      </c>
      <c r="K3369" s="1" t="s">
        <v>25</v>
      </c>
      <c r="L3369">
        <v>-1.2980020870884099</v>
      </c>
      <c r="M3369" t="str">
        <f t="shared" si="109"/>
        <v>44/40</v>
      </c>
      <c r="N3369" t="str">
        <f t="shared" si="110"/>
        <v>SW</v>
      </c>
      <c r="O3369" s="1" t="s">
        <v>25</v>
      </c>
      <c r="P3369" s="3" t="s">
        <v>25</v>
      </c>
      <c r="Q3369" s="37">
        <v>0.42770789999999997</v>
      </c>
      <c r="R3369" t="str">
        <f t="shared" si="111"/>
        <v>mmol/mol</v>
      </c>
      <c r="S3369" s="13">
        <f t="shared" si="108"/>
        <v>-1.2980020870884099</v>
      </c>
    </row>
    <row r="3370" spans="1:19">
      <c r="A3370" s="18" t="s">
        <v>3504</v>
      </c>
      <c r="B3370" s="1" t="s">
        <v>3464</v>
      </c>
      <c r="C3370" s="1" t="s">
        <v>3514</v>
      </c>
      <c r="D3370" s="1" t="s">
        <v>3630</v>
      </c>
      <c r="E3370" s="1" t="s">
        <v>25</v>
      </c>
      <c r="F3370">
        <v>650</v>
      </c>
      <c r="G3370">
        <v>650</v>
      </c>
      <c r="H3370">
        <v>784.1</v>
      </c>
      <c r="I3370" s="1" t="s">
        <v>1528</v>
      </c>
      <c r="J3370" s="1" t="s">
        <v>3527</v>
      </c>
      <c r="K3370" s="1" t="s">
        <v>25</v>
      </c>
      <c r="L3370">
        <v>-1.3657023131974899</v>
      </c>
      <c r="M3370" t="str">
        <f t="shared" si="109"/>
        <v>44/40</v>
      </c>
      <c r="N3370" t="str">
        <f t="shared" si="110"/>
        <v>SW</v>
      </c>
      <c r="O3370" s="1" t="s">
        <v>25</v>
      </c>
      <c r="P3370" s="3" t="s">
        <v>25</v>
      </c>
      <c r="Q3370" s="37">
        <v>2.1997941000000001</v>
      </c>
      <c r="R3370" t="str">
        <f t="shared" si="111"/>
        <v>mmol/mol</v>
      </c>
      <c r="S3370" s="13">
        <f t="shared" si="108"/>
        <v>-1.3657023131974899</v>
      </c>
    </row>
    <row r="3371" spans="1:19">
      <c r="A3371" s="18" t="s">
        <v>3504</v>
      </c>
      <c r="B3371" s="1" t="s">
        <v>3465</v>
      </c>
      <c r="C3371" s="1" t="s">
        <v>3514</v>
      </c>
      <c r="D3371" s="1" t="s">
        <v>3630</v>
      </c>
      <c r="E3371" s="1" t="s">
        <v>25</v>
      </c>
      <c r="F3371">
        <v>650</v>
      </c>
      <c r="G3371">
        <v>650</v>
      </c>
      <c r="H3371">
        <v>795.9</v>
      </c>
      <c r="I3371" s="1" t="s">
        <v>1528</v>
      </c>
      <c r="J3371" s="1" t="s">
        <v>3554</v>
      </c>
      <c r="K3371" s="1" t="s">
        <v>25</v>
      </c>
      <c r="L3371">
        <v>-1.4598838396427301</v>
      </c>
      <c r="M3371" t="str">
        <f t="shared" si="109"/>
        <v>44/40</v>
      </c>
      <c r="N3371" t="str">
        <f t="shared" si="110"/>
        <v>SW</v>
      </c>
      <c r="O3371" s="1" t="s">
        <v>25</v>
      </c>
      <c r="P3371" s="3" t="s">
        <v>25</v>
      </c>
      <c r="Q3371" s="37">
        <v>0.59657150000000003</v>
      </c>
      <c r="R3371" t="str">
        <f t="shared" si="111"/>
        <v>mmol/mol</v>
      </c>
      <c r="S3371" s="13">
        <f t="shared" si="108"/>
        <v>-1.4598838396427301</v>
      </c>
    </row>
    <row r="3372" spans="1:19">
      <c r="A3372" s="18" t="s">
        <v>3504</v>
      </c>
      <c r="B3372" s="1" t="s">
        <v>3466</v>
      </c>
      <c r="C3372" s="1" t="s">
        <v>3514</v>
      </c>
      <c r="D3372" s="1" t="s">
        <v>3630</v>
      </c>
      <c r="E3372" s="1" t="s">
        <v>25</v>
      </c>
      <c r="F3372">
        <v>650</v>
      </c>
      <c r="G3372">
        <v>650</v>
      </c>
      <c r="H3372">
        <v>796.9</v>
      </c>
      <c r="I3372" s="1" t="s">
        <v>1528</v>
      </c>
      <c r="J3372" s="1" t="s">
        <v>3554</v>
      </c>
      <c r="K3372" s="1" t="s">
        <v>25</v>
      </c>
      <c r="L3372">
        <v>-1.36100382320654</v>
      </c>
      <c r="M3372" t="str">
        <f t="shared" si="109"/>
        <v>44/40</v>
      </c>
      <c r="N3372" t="str">
        <f t="shared" si="110"/>
        <v>SW</v>
      </c>
      <c r="O3372" s="1" t="s">
        <v>25</v>
      </c>
      <c r="P3372" s="3" t="s">
        <v>25</v>
      </c>
      <c r="Q3372" s="37">
        <v>2.2183153999999998</v>
      </c>
      <c r="R3372" t="str">
        <f t="shared" si="111"/>
        <v>mmol/mol</v>
      </c>
      <c r="S3372" s="13">
        <f t="shared" ref="S3372:S3435" si="112">IF(NOT(N3372="SW"),L3372-1.88,L3372)</f>
        <v>-1.36100382320654</v>
      </c>
    </row>
    <row r="3373" spans="1:19">
      <c r="A3373" s="18" t="s">
        <v>3504</v>
      </c>
      <c r="B3373" s="1" t="s">
        <v>3467</v>
      </c>
      <c r="C3373" s="1" t="s">
        <v>3514</v>
      </c>
      <c r="D3373" s="1" t="s">
        <v>3630</v>
      </c>
      <c r="E3373" s="1" t="s">
        <v>25</v>
      </c>
      <c r="F3373">
        <v>650</v>
      </c>
      <c r="G3373">
        <v>650</v>
      </c>
      <c r="H3373">
        <v>797.9</v>
      </c>
      <c r="I3373" s="1" t="s">
        <v>1528</v>
      </c>
      <c r="J3373" s="1" t="s">
        <v>3554</v>
      </c>
      <c r="K3373" s="1" t="s">
        <v>25</v>
      </c>
      <c r="L3373">
        <v>-1.38680590678613</v>
      </c>
      <c r="M3373" t="str">
        <f t="shared" si="109"/>
        <v>44/40</v>
      </c>
      <c r="N3373" t="str">
        <f t="shared" si="110"/>
        <v>SW</v>
      </c>
      <c r="O3373" s="1" t="s">
        <v>25</v>
      </c>
      <c r="P3373" s="3" t="s">
        <v>25</v>
      </c>
      <c r="Q3373" s="37">
        <v>1.5490349000000001</v>
      </c>
      <c r="R3373" t="str">
        <f t="shared" si="111"/>
        <v>mmol/mol</v>
      </c>
      <c r="S3373" s="13">
        <f t="shared" si="112"/>
        <v>-1.38680590678613</v>
      </c>
    </row>
    <row r="3374" spans="1:19">
      <c r="A3374" s="18" t="s">
        <v>3504</v>
      </c>
      <c r="B3374" s="1" t="s">
        <v>3468</v>
      </c>
      <c r="C3374" s="1" t="s">
        <v>3514</v>
      </c>
      <c r="D3374" s="1" t="s">
        <v>3630</v>
      </c>
      <c r="E3374" s="1" t="s">
        <v>25</v>
      </c>
      <c r="F3374">
        <v>650</v>
      </c>
      <c r="G3374">
        <v>650</v>
      </c>
      <c r="H3374">
        <v>799.3</v>
      </c>
      <c r="I3374" s="1" t="s">
        <v>1528</v>
      </c>
      <c r="J3374" s="1" t="s">
        <v>3554</v>
      </c>
      <c r="K3374" s="1" t="s">
        <v>25</v>
      </c>
      <c r="L3374">
        <v>-1.3544708027774199</v>
      </c>
      <c r="M3374" t="str">
        <f t="shared" si="109"/>
        <v>44/40</v>
      </c>
      <c r="N3374" t="str">
        <f t="shared" si="110"/>
        <v>SW</v>
      </c>
      <c r="O3374" s="1" t="s">
        <v>25</v>
      </c>
      <c r="P3374" s="3" t="s">
        <v>25</v>
      </c>
      <c r="Q3374" s="37">
        <v>1.3158881</v>
      </c>
      <c r="R3374" t="str">
        <f t="shared" si="111"/>
        <v>mmol/mol</v>
      </c>
      <c r="S3374" s="13">
        <f t="shared" si="112"/>
        <v>-1.3544708027774199</v>
      </c>
    </row>
    <row r="3375" spans="1:19">
      <c r="A3375" s="18" t="s">
        <v>3504</v>
      </c>
      <c r="B3375" s="1" t="s">
        <v>3469</v>
      </c>
      <c r="C3375" s="1" t="s">
        <v>3514</v>
      </c>
      <c r="D3375" s="1" t="s">
        <v>3630</v>
      </c>
      <c r="E3375" s="1" t="s">
        <v>25</v>
      </c>
      <c r="F3375">
        <v>650</v>
      </c>
      <c r="G3375">
        <v>650</v>
      </c>
      <c r="H3375">
        <v>801.4</v>
      </c>
      <c r="I3375" s="1" t="s">
        <v>1528</v>
      </c>
      <c r="J3375" s="1" t="s">
        <v>3554</v>
      </c>
      <c r="K3375" s="1" t="s">
        <v>25</v>
      </c>
      <c r="L3375">
        <v>-1.31510579240369</v>
      </c>
      <c r="M3375" t="str">
        <f t="shared" si="109"/>
        <v>44/40</v>
      </c>
      <c r="N3375" t="str">
        <f t="shared" si="110"/>
        <v>SW</v>
      </c>
      <c r="O3375" s="1" t="s">
        <v>25</v>
      </c>
      <c r="P3375" s="3" t="s">
        <v>25</v>
      </c>
      <c r="Q3375" s="37">
        <v>0.1243623</v>
      </c>
      <c r="R3375" t="str">
        <f t="shared" si="111"/>
        <v>mmol/mol</v>
      </c>
      <c r="S3375" s="13">
        <f t="shared" si="112"/>
        <v>-1.31510579240369</v>
      </c>
    </row>
    <row r="3376" spans="1:19">
      <c r="A3376" s="18" t="s">
        <v>3504</v>
      </c>
      <c r="B3376" s="1" t="s">
        <v>3470</v>
      </c>
      <c r="C3376" s="1" t="s">
        <v>3514</v>
      </c>
      <c r="D3376" s="1" t="s">
        <v>3630</v>
      </c>
      <c r="E3376" s="1" t="s">
        <v>25</v>
      </c>
      <c r="F3376">
        <v>650</v>
      </c>
      <c r="G3376">
        <v>650</v>
      </c>
      <c r="H3376">
        <v>802.4</v>
      </c>
      <c r="I3376" s="1" t="s">
        <v>1528</v>
      </c>
      <c r="J3376" s="1" t="s">
        <v>3554</v>
      </c>
      <c r="K3376" s="1" t="s">
        <v>25</v>
      </c>
      <c r="L3376">
        <v>-1.3594261773351199</v>
      </c>
      <c r="M3376" t="str">
        <f t="shared" ref="M3376:M3439" si="113">IF(L3376="Na","Na","44/40")</f>
        <v>44/40</v>
      </c>
      <c r="N3376" t="str">
        <f t="shared" ref="N3376:N3439" si="114">IF(M3376="Na","Na","SW")</f>
        <v>SW</v>
      </c>
      <c r="O3376" s="1" t="s">
        <v>25</v>
      </c>
      <c r="P3376" s="3" t="s">
        <v>25</v>
      </c>
      <c r="Q3376" s="37">
        <v>1.1761429000000001</v>
      </c>
      <c r="R3376" t="str">
        <f t="shared" ref="R3376:R3409" si="115">IF(Q3376="Na","Na","mmol/mol")</f>
        <v>mmol/mol</v>
      </c>
      <c r="S3376" s="13">
        <f t="shared" si="112"/>
        <v>-1.3594261773351199</v>
      </c>
    </row>
    <row r="3377" spans="1:19">
      <c r="A3377" s="18" t="s">
        <v>3504</v>
      </c>
      <c r="B3377" s="1" t="s">
        <v>3471</v>
      </c>
      <c r="C3377" s="1" t="s">
        <v>3514</v>
      </c>
      <c r="D3377" s="1" t="s">
        <v>3630</v>
      </c>
      <c r="E3377" s="1" t="s">
        <v>25</v>
      </c>
      <c r="F3377">
        <v>650</v>
      </c>
      <c r="G3377">
        <v>650</v>
      </c>
      <c r="H3377">
        <v>832.9</v>
      </c>
      <c r="I3377" s="1" t="s">
        <v>1528</v>
      </c>
      <c r="J3377" s="1" t="s">
        <v>3527</v>
      </c>
      <c r="K3377" s="1" t="s">
        <v>25</v>
      </c>
      <c r="L3377">
        <v>-1.3537756450424501</v>
      </c>
      <c r="M3377" t="str">
        <f t="shared" si="113"/>
        <v>44/40</v>
      </c>
      <c r="N3377" t="str">
        <f t="shared" si="114"/>
        <v>SW</v>
      </c>
      <c r="O3377" s="1" t="s">
        <v>25</v>
      </c>
      <c r="P3377" s="3" t="s">
        <v>25</v>
      </c>
      <c r="Q3377" s="37" t="s">
        <v>25</v>
      </c>
      <c r="R3377" t="str">
        <f t="shared" si="115"/>
        <v>Na</v>
      </c>
      <c r="S3377" s="13">
        <f t="shared" si="112"/>
        <v>-1.3537756450424501</v>
      </c>
    </row>
    <row r="3378" spans="1:19">
      <c r="A3378" s="18" t="s">
        <v>3504</v>
      </c>
      <c r="B3378" s="1" t="s">
        <v>3472</v>
      </c>
      <c r="C3378" s="1" t="s">
        <v>3514</v>
      </c>
      <c r="D3378" s="1" t="s">
        <v>3630</v>
      </c>
      <c r="E3378" s="1" t="s">
        <v>25</v>
      </c>
      <c r="F3378">
        <v>650</v>
      </c>
      <c r="G3378">
        <v>650</v>
      </c>
      <c r="H3378">
        <v>834.1</v>
      </c>
      <c r="I3378" s="1" t="s">
        <v>1528</v>
      </c>
      <c r="J3378" s="1" t="s">
        <v>3527</v>
      </c>
      <c r="K3378" s="1" t="s">
        <v>25</v>
      </c>
      <c r="L3378">
        <v>-1.4764175216014701</v>
      </c>
      <c r="M3378" t="str">
        <f t="shared" si="113"/>
        <v>44/40</v>
      </c>
      <c r="N3378" t="str">
        <f t="shared" si="114"/>
        <v>SW</v>
      </c>
      <c r="O3378" s="1" t="s">
        <v>25</v>
      </c>
      <c r="P3378" s="3" t="s">
        <v>25</v>
      </c>
      <c r="Q3378" s="37">
        <v>1.6534952000000001</v>
      </c>
      <c r="R3378" t="str">
        <f t="shared" si="115"/>
        <v>mmol/mol</v>
      </c>
      <c r="S3378" s="13">
        <f t="shared" si="112"/>
        <v>-1.4764175216014701</v>
      </c>
    </row>
    <row r="3379" spans="1:19">
      <c r="A3379" s="18" t="s">
        <v>3504</v>
      </c>
      <c r="B3379" s="1" t="s">
        <v>3473</v>
      </c>
      <c r="C3379" s="1" t="s">
        <v>3515</v>
      </c>
      <c r="D3379" s="1" t="s">
        <v>3630</v>
      </c>
      <c r="E3379" s="1" t="s">
        <v>25</v>
      </c>
      <c r="F3379">
        <v>650</v>
      </c>
      <c r="G3379">
        <v>650</v>
      </c>
      <c r="H3379">
        <v>562</v>
      </c>
      <c r="I3379" s="1" t="s">
        <v>1528</v>
      </c>
      <c r="J3379" s="1" t="s">
        <v>3554</v>
      </c>
      <c r="K3379" s="1" t="s">
        <v>25</v>
      </c>
      <c r="L3379">
        <v>-1.2024965161207599</v>
      </c>
      <c r="M3379" t="str">
        <f t="shared" si="113"/>
        <v>44/40</v>
      </c>
      <c r="N3379" t="str">
        <f t="shared" si="114"/>
        <v>SW</v>
      </c>
      <c r="O3379" s="1" t="s">
        <v>25</v>
      </c>
      <c r="P3379" s="3" t="s">
        <v>25</v>
      </c>
      <c r="Q3379" s="37">
        <v>0.78836875085255598</v>
      </c>
      <c r="R3379" t="str">
        <f t="shared" si="115"/>
        <v>mmol/mol</v>
      </c>
      <c r="S3379" s="13">
        <f t="shared" si="112"/>
        <v>-1.2024965161207599</v>
      </c>
    </row>
    <row r="3380" spans="1:19">
      <c r="A3380" s="18" t="s">
        <v>3504</v>
      </c>
      <c r="B3380" s="1" t="s">
        <v>3474</v>
      </c>
      <c r="C3380" s="1" t="s">
        <v>3515</v>
      </c>
      <c r="D3380" s="1" t="s">
        <v>3630</v>
      </c>
      <c r="E3380" s="1" t="s">
        <v>25</v>
      </c>
      <c r="F3380">
        <v>650</v>
      </c>
      <c r="G3380">
        <v>650</v>
      </c>
      <c r="H3380">
        <v>563.29999999999995</v>
      </c>
      <c r="I3380" s="1" t="s">
        <v>1528</v>
      </c>
      <c r="J3380" s="1" t="s">
        <v>3555</v>
      </c>
      <c r="K3380" s="1" t="s">
        <v>25</v>
      </c>
      <c r="L3380">
        <v>-1.38878224001116</v>
      </c>
      <c r="M3380" t="str">
        <f t="shared" si="113"/>
        <v>44/40</v>
      </c>
      <c r="N3380" t="str">
        <f t="shared" si="114"/>
        <v>SW</v>
      </c>
      <c r="O3380" s="1" t="s">
        <v>25</v>
      </c>
      <c r="P3380" s="3" t="s">
        <v>25</v>
      </c>
      <c r="Q3380" s="37">
        <v>1.23883627882557</v>
      </c>
      <c r="R3380" t="str">
        <f t="shared" si="115"/>
        <v>mmol/mol</v>
      </c>
      <c r="S3380" s="13">
        <f t="shared" si="112"/>
        <v>-1.38878224001116</v>
      </c>
    </row>
    <row r="3381" spans="1:19">
      <c r="A3381" s="18" t="s">
        <v>3504</v>
      </c>
      <c r="B3381" s="1" t="s">
        <v>3475</v>
      </c>
      <c r="C3381" s="1" t="s">
        <v>3515</v>
      </c>
      <c r="D3381" s="1" t="s">
        <v>3630</v>
      </c>
      <c r="E3381" s="1" t="s">
        <v>25</v>
      </c>
      <c r="F3381">
        <v>650</v>
      </c>
      <c r="G3381">
        <v>650</v>
      </c>
      <c r="H3381">
        <v>564.1</v>
      </c>
      <c r="I3381" s="1" t="s">
        <v>1528</v>
      </c>
      <c r="J3381" s="1" t="s">
        <v>3553</v>
      </c>
      <c r="K3381" s="1" t="s">
        <v>25</v>
      </c>
      <c r="L3381">
        <v>-1.3389937545270401</v>
      </c>
      <c r="M3381" t="str">
        <f t="shared" si="113"/>
        <v>44/40</v>
      </c>
      <c r="N3381" t="str">
        <f t="shared" si="114"/>
        <v>SW</v>
      </c>
      <c r="O3381" s="1" t="s">
        <v>25</v>
      </c>
      <c r="P3381" s="3" t="s">
        <v>25</v>
      </c>
      <c r="Q3381" s="37">
        <v>0.74360463994194503</v>
      </c>
      <c r="R3381" t="str">
        <f t="shared" si="115"/>
        <v>mmol/mol</v>
      </c>
      <c r="S3381" s="13">
        <f t="shared" si="112"/>
        <v>-1.3389937545270401</v>
      </c>
    </row>
    <row r="3382" spans="1:19">
      <c r="A3382" s="18" t="s">
        <v>3504</v>
      </c>
      <c r="B3382" s="1" t="s">
        <v>3476</v>
      </c>
      <c r="C3382" s="1" t="s">
        <v>3515</v>
      </c>
      <c r="D3382" s="1" t="s">
        <v>3630</v>
      </c>
      <c r="E3382" s="1" t="s">
        <v>25</v>
      </c>
      <c r="F3382">
        <v>650</v>
      </c>
      <c r="G3382">
        <v>650</v>
      </c>
      <c r="H3382">
        <v>565.1</v>
      </c>
      <c r="I3382" s="1" t="s">
        <v>1528</v>
      </c>
      <c r="J3382" s="1" t="s">
        <v>3553</v>
      </c>
      <c r="K3382" s="1" t="s">
        <v>25</v>
      </c>
      <c r="L3382">
        <v>-1.16621496422655</v>
      </c>
      <c r="M3382" t="str">
        <f t="shared" si="113"/>
        <v>44/40</v>
      </c>
      <c r="N3382" t="str">
        <f t="shared" si="114"/>
        <v>SW</v>
      </c>
      <c r="O3382" s="1" t="s">
        <v>25</v>
      </c>
      <c r="P3382" s="3" t="s">
        <v>25</v>
      </c>
      <c r="Q3382" s="37">
        <v>0.73876735465923205</v>
      </c>
      <c r="R3382" t="str">
        <f t="shared" si="115"/>
        <v>mmol/mol</v>
      </c>
      <c r="S3382" s="13">
        <f t="shared" si="112"/>
        <v>-1.16621496422655</v>
      </c>
    </row>
    <row r="3383" spans="1:19">
      <c r="A3383" s="18" t="s">
        <v>3504</v>
      </c>
      <c r="B3383" s="1" t="s">
        <v>3477</v>
      </c>
      <c r="C3383" s="1" t="s">
        <v>3515</v>
      </c>
      <c r="D3383" s="1" t="s">
        <v>3630</v>
      </c>
      <c r="E3383" s="1" t="s">
        <v>25</v>
      </c>
      <c r="F3383">
        <v>650</v>
      </c>
      <c r="G3383">
        <v>650</v>
      </c>
      <c r="H3383">
        <v>565.79999999999995</v>
      </c>
      <c r="I3383" s="1" t="s">
        <v>1528</v>
      </c>
      <c r="J3383" s="1" t="s">
        <v>3553</v>
      </c>
      <c r="K3383" s="1" t="s">
        <v>25</v>
      </c>
      <c r="L3383">
        <v>-1.29633681143758</v>
      </c>
      <c r="M3383" t="str">
        <f t="shared" si="113"/>
        <v>44/40</v>
      </c>
      <c r="N3383" t="str">
        <f t="shared" si="114"/>
        <v>SW</v>
      </c>
      <c r="O3383" s="1" t="s">
        <v>25</v>
      </c>
      <c r="P3383" s="3" t="s">
        <v>25</v>
      </c>
      <c r="Q3383" s="37">
        <v>0.75368383775931103</v>
      </c>
      <c r="R3383" t="str">
        <f t="shared" si="115"/>
        <v>mmol/mol</v>
      </c>
      <c r="S3383" s="13">
        <f t="shared" si="112"/>
        <v>-1.29633681143758</v>
      </c>
    </row>
    <row r="3384" spans="1:19">
      <c r="A3384" s="18" t="s">
        <v>3504</v>
      </c>
      <c r="B3384" s="1" t="s">
        <v>3478</v>
      </c>
      <c r="C3384" s="1" t="s">
        <v>3515</v>
      </c>
      <c r="D3384" s="1" t="s">
        <v>3630</v>
      </c>
      <c r="E3384" s="1" t="s">
        <v>25</v>
      </c>
      <c r="F3384">
        <v>650</v>
      </c>
      <c r="G3384">
        <v>650</v>
      </c>
      <c r="H3384">
        <v>566.20000000000005</v>
      </c>
      <c r="I3384" s="1" t="s">
        <v>1528</v>
      </c>
      <c r="J3384" s="1" t="s">
        <v>3553</v>
      </c>
      <c r="K3384" s="1" t="s">
        <v>25</v>
      </c>
      <c r="L3384">
        <v>-1.38824215817165</v>
      </c>
      <c r="M3384" t="str">
        <f t="shared" si="113"/>
        <v>44/40</v>
      </c>
      <c r="N3384" t="str">
        <f t="shared" si="114"/>
        <v>SW</v>
      </c>
      <c r="O3384" s="1" t="s">
        <v>25</v>
      </c>
      <c r="P3384" s="3" t="s">
        <v>25</v>
      </c>
      <c r="Q3384" s="37">
        <v>0.84252445403835297</v>
      </c>
      <c r="R3384" t="str">
        <f t="shared" si="115"/>
        <v>mmol/mol</v>
      </c>
      <c r="S3384" s="13">
        <f t="shared" si="112"/>
        <v>-1.38824215817165</v>
      </c>
    </row>
    <row r="3385" spans="1:19">
      <c r="A3385" s="18" t="s">
        <v>3504</v>
      </c>
      <c r="B3385" s="1" t="s">
        <v>3479</v>
      </c>
      <c r="C3385" s="1" t="s">
        <v>3515</v>
      </c>
      <c r="D3385" s="1" t="s">
        <v>3630</v>
      </c>
      <c r="E3385" s="1" t="s">
        <v>25</v>
      </c>
      <c r="F3385">
        <v>650</v>
      </c>
      <c r="G3385">
        <v>650</v>
      </c>
      <c r="H3385">
        <v>567.20000000000005</v>
      </c>
      <c r="I3385" s="1" t="s">
        <v>1528</v>
      </c>
      <c r="J3385" s="1" t="s">
        <v>3553</v>
      </c>
      <c r="K3385" s="1" t="s">
        <v>25</v>
      </c>
      <c r="L3385" t="s">
        <v>25</v>
      </c>
      <c r="M3385" t="str">
        <f t="shared" si="113"/>
        <v>Na</v>
      </c>
      <c r="N3385" t="str">
        <f t="shared" si="114"/>
        <v>Na</v>
      </c>
      <c r="O3385" s="1" t="s">
        <v>25</v>
      </c>
      <c r="P3385" s="3" t="s">
        <v>25</v>
      </c>
      <c r="Q3385" s="37">
        <v>0.70113758970789697</v>
      </c>
      <c r="R3385" t="str">
        <f t="shared" si="115"/>
        <v>mmol/mol</v>
      </c>
      <c r="S3385" s="13" t="s">
        <v>25</v>
      </c>
    </row>
    <row r="3386" spans="1:19">
      <c r="A3386" s="18" t="s">
        <v>3504</v>
      </c>
      <c r="B3386" s="1" t="s">
        <v>3480</v>
      </c>
      <c r="C3386" s="1" t="s">
        <v>3515</v>
      </c>
      <c r="D3386" s="1" t="s">
        <v>3630</v>
      </c>
      <c r="E3386" s="1" t="s">
        <v>25</v>
      </c>
      <c r="F3386">
        <v>650</v>
      </c>
      <c r="G3386">
        <v>650</v>
      </c>
      <c r="H3386">
        <v>568.20000000000005</v>
      </c>
      <c r="I3386" s="1" t="s">
        <v>1528</v>
      </c>
      <c r="J3386" s="1" t="s">
        <v>3553</v>
      </c>
      <c r="K3386" s="1" t="s">
        <v>25</v>
      </c>
      <c r="L3386">
        <v>-1.28522639802203</v>
      </c>
      <c r="M3386" t="str">
        <f t="shared" si="113"/>
        <v>44/40</v>
      </c>
      <c r="N3386" t="str">
        <f t="shared" si="114"/>
        <v>SW</v>
      </c>
      <c r="O3386" s="1" t="s">
        <v>25</v>
      </c>
      <c r="P3386" s="3" t="s">
        <v>25</v>
      </c>
      <c r="Q3386" s="37">
        <v>0.82803167646992704</v>
      </c>
      <c r="R3386" t="str">
        <f t="shared" si="115"/>
        <v>mmol/mol</v>
      </c>
      <c r="S3386" s="13">
        <f t="shared" si="112"/>
        <v>-1.28522639802203</v>
      </c>
    </row>
    <row r="3387" spans="1:19">
      <c r="A3387" s="18" t="s">
        <v>3504</v>
      </c>
      <c r="B3387" s="1" t="s">
        <v>3481</v>
      </c>
      <c r="C3387" s="1" t="s">
        <v>3515</v>
      </c>
      <c r="D3387" s="1" t="s">
        <v>3630</v>
      </c>
      <c r="E3387" s="1" t="s">
        <v>25</v>
      </c>
      <c r="F3387">
        <v>650</v>
      </c>
      <c r="G3387">
        <v>650</v>
      </c>
      <c r="H3387">
        <v>569.20000000000005</v>
      </c>
      <c r="I3387" s="1" t="s">
        <v>1528</v>
      </c>
      <c r="J3387" s="1" t="s">
        <v>3553</v>
      </c>
      <c r="K3387" s="1" t="s">
        <v>25</v>
      </c>
      <c r="L3387">
        <v>-1.34400508938051</v>
      </c>
      <c r="M3387" t="str">
        <f t="shared" si="113"/>
        <v>44/40</v>
      </c>
      <c r="N3387" t="str">
        <f t="shared" si="114"/>
        <v>SW</v>
      </c>
      <c r="O3387" s="1" t="s">
        <v>25</v>
      </c>
      <c r="P3387" s="3" t="s">
        <v>25</v>
      </c>
      <c r="Q3387" s="37">
        <v>0.79829296814944295</v>
      </c>
      <c r="R3387" t="str">
        <f t="shared" si="115"/>
        <v>mmol/mol</v>
      </c>
      <c r="S3387" s="13">
        <f t="shared" si="112"/>
        <v>-1.34400508938051</v>
      </c>
    </row>
    <row r="3388" spans="1:19">
      <c r="A3388" s="18" t="s">
        <v>3504</v>
      </c>
      <c r="B3388" s="1" t="s">
        <v>3482</v>
      </c>
      <c r="C3388" s="1" t="s">
        <v>3515</v>
      </c>
      <c r="D3388" s="1" t="s">
        <v>3630</v>
      </c>
      <c r="E3388" s="1" t="s">
        <v>25</v>
      </c>
      <c r="F3388">
        <v>650</v>
      </c>
      <c r="G3388">
        <v>650</v>
      </c>
      <c r="H3388">
        <v>570.20000000000005</v>
      </c>
      <c r="I3388" s="1" t="s">
        <v>1528</v>
      </c>
      <c r="J3388" s="1" t="s">
        <v>3553</v>
      </c>
      <c r="K3388" s="1" t="s">
        <v>25</v>
      </c>
      <c r="L3388">
        <v>-1.24686545703584</v>
      </c>
      <c r="M3388" t="str">
        <f t="shared" si="113"/>
        <v>44/40</v>
      </c>
      <c r="N3388" t="str">
        <f t="shared" si="114"/>
        <v>SW</v>
      </c>
      <c r="O3388" s="1" t="s">
        <v>25</v>
      </c>
      <c r="P3388" s="3" t="s">
        <v>25</v>
      </c>
      <c r="Q3388" s="37">
        <v>1.06594175301745</v>
      </c>
      <c r="R3388" t="str">
        <f t="shared" si="115"/>
        <v>mmol/mol</v>
      </c>
      <c r="S3388" s="13">
        <f t="shared" si="112"/>
        <v>-1.24686545703584</v>
      </c>
    </row>
    <row r="3389" spans="1:19">
      <c r="A3389" s="18" t="s">
        <v>3504</v>
      </c>
      <c r="B3389" s="1" t="s">
        <v>3483</v>
      </c>
      <c r="C3389" s="1" t="s">
        <v>3515</v>
      </c>
      <c r="D3389" s="1" t="s">
        <v>3630</v>
      </c>
      <c r="E3389" s="1" t="s">
        <v>25</v>
      </c>
      <c r="F3389">
        <v>650</v>
      </c>
      <c r="G3389">
        <v>650</v>
      </c>
      <c r="H3389">
        <v>627.29999999999995</v>
      </c>
      <c r="I3389" s="1" t="s">
        <v>1528</v>
      </c>
      <c r="J3389" s="1" t="s">
        <v>3552</v>
      </c>
      <c r="K3389" s="1" t="s">
        <v>25</v>
      </c>
      <c r="L3389">
        <v>-1.2463651797746</v>
      </c>
      <c r="M3389" t="str">
        <f t="shared" si="113"/>
        <v>44/40</v>
      </c>
      <c r="N3389" t="str">
        <f t="shared" si="114"/>
        <v>SW</v>
      </c>
      <c r="O3389" s="1" t="s">
        <v>25</v>
      </c>
      <c r="P3389" s="3" t="s">
        <v>25</v>
      </c>
      <c r="Q3389" s="37">
        <v>0.47823275176036001</v>
      </c>
      <c r="R3389" t="str">
        <f t="shared" si="115"/>
        <v>mmol/mol</v>
      </c>
      <c r="S3389" s="13">
        <f t="shared" si="112"/>
        <v>-1.2463651797746</v>
      </c>
    </row>
    <row r="3390" spans="1:19">
      <c r="A3390" s="18" t="s">
        <v>3504</v>
      </c>
      <c r="B3390" s="1" t="s">
        <v>3484</v>
      </c>
      <c r="C3390" s="1" t="s">
        <v>3515</v>
      </c>
      <c r="D3390" s="1" t="s">
        <v>3630</v>
      </c>
      <c r="E3390" s="1" t="s">
        <v>25</v>
      </c>
      <c r="F3390">
        <v>650</v>
      </c>
      <c r="G3390">
        <v>650</v>
      </c>
      <c r="H3390">
        <v>640.4</v>
      </c>
      <c r="I3390" s="1" t="s">
        <v>1528</v>
      </c>
      <c r="J3390" s="1" t="s">
        <v>3553</v>
      </c>
      <c r="K3390" s="1" t="s">
        <v>25</v>
      </c>
      <c r="L3390">
        <v>-1.2792494325291399</v>
      </c>
      <c r="M3390" t="str">
        <f t="shared" si="113"/>
        <v>44/40</v>
      </c>
      <c r="N3390" t="str">
        <f t="shared" si="114"/>
        <v>SW</v>
      </c>
      <c r="O3390" s="1" t="s">
        <v>25</v>
      </c>
      <c r="P3390" s="3" t="s">
        <v>25</v>
      </c>
      <c r="Q3390" s="37">
        <v>0.84527163641015202</v>
      </c>
      <c r="R3390" t="str">
        <f t="shared" si="115"/>
        <v>mmol/mol</v>
      </c>
      <c r="S3390" s="13">
        <f t="shared" si="112"/>
        <v>-1.2792494325291399</v>
      </c>
    </row>
    <row r="3391" spans="1:19">
      <c r="A3391" s="18" t="s">
        <v>3504</v>
      </c>
      <c r="B3391" s="1" t="s">
        <v>3485</v>
      </c>
      <c r="C3391" s="1" t="s">
        <v>3515</v>
      </c>
      <c r="D3391" s="1" t="s">
        <v>3630</v>
      </c>
      <c r="E3391" s="1" t="s">
        <v>25</v>
      </c>
      <c r="F3391">
        <v>650</v>
      </c>
      <c r="G3391">
        <v>650</v>
      </c>
      <c r="H3391">
        <v>641.4</v>
      </c>
      <c r="I3391" s="1" t="s">
        <v>1528</v>
      </c>
      <c r="J3391" s="1" t="s">
        <v>3553</v>
      </c>
      <c r="K3391" s="1" t="s">
        <v>25</v>
      </c>
      <c r="L3391">
        <v>-1.30851879682286</v>
      </c>
      <c r="M3391" t="str">
        <f t="shared" si="113"/>
        <v>44/40</v>
      </c>
      <c r="N3391" t="str">
        <f t="shared" si="114"/>
        <v>SW</v>
      </c>
      <c r="O3391" s="1" t="s">
        <v>25</v>
      </c>
      <c r="P3391" s="3" t="s">
        <v>25</v>
      </c>
      <c r="Q3391" s="37">
        <v>0.94445946668720504</v>
      </c>
      <c r="R3391" t="str">
        <f t="shared" si="115"/>
        <v>mmol/mol</v>
      </c>
      <c r="S3391" s="13">
        <f t="shared" si="112"/>
        <v>-1.30851879682286</v>
      </c>
    </row>
    <row r="3392" spans="1:19">
      <c r="A3392" s="18" t="s">
        <v>3504</v>
      </c>
      <c r="B3392" s="1" t="s">
        <v>3486</v>
      </c>
      <c r="C3392" s="1" t="s">
        <v>3515</v>
      </c>
      <c r="D3392" s="1" t="s">
        <v>3630</v>
      </c>
      <c r="E3392" s="1" t="s">
        <v>25</v>
      </c>
      <c r="F3392">
        <v>650</v>
      </c>
      <c r="G3392">
        <v>650</v>
      </c>
      <c r="H3392">
        <v>642.29999999999995</v>
      </c>
      <c r="I3392" s="1" t="s">
        <v>1528</v>
      </c>
      <c r="J3392" s="1" t="s">
        <v>3527</v>
      </c>
      <c r="K3392" s="1" t="s">
        <v>25</v>
      </c>
      <c r="L3392">
        <v>-1.2178136119162499</v>
      </c>
      <c r="M3392" t="str">
        <f t="shared" si="113"/>
        <v>44/40</v>
      </c>
      <c r="N3392" t="str">
        <f t="shared" si="114"/>
        <v>SW</v>
      </c>
      <c r="O3392" s="1" t="s">
        <v>25</v>
      </c>
      <c r="P3392" s="3" t="s">
        <v>25</v>
      </c>
      <c r="Q3392" s="37">
        <v>0.58838840958934402</v>
      </c>
      <c r="R3392" t="str">
        <f t="shared" si="115"/>
        <v>mmol/mol</v>
      </c>
      <c r="S3392" s="13">
        <f t="shared" si="112"/>
        <v>-1.2178136119162499</v>
      </c>
    </row>
    <row r="3393" spans="1:19">
      <c r="A3393" s="18" t="s">
        <v>3504</v>
      </c>
      <c r="B3393" s="1" t="s">
        <v>3487</v>
      </c>
      <c r="C3393" s="1" t="s">
        <v>3515</v>
      </c>
      <c r="D3393" s="1" t="s">
        <v>3630</v>
      </c>
      <c r="E3393" s="1" t="s">
        <v>25</v>
      </c>
      <c r="F3393">
        <v>650</v>
      </c>
      <c r="G3393">
        <v>650</v>
      </c>
      <c r="H3393">
        <v>667</v>
      </c>
      <c r="I3393" s="1" t="s">
        <v>1528</v>
      </c>
      <c r="J3393" s="1" t="s">
        <v>3554</v>
      </c>
      <c r="K3393" s="1" t="s">
        <v>25</v>
      </c>
      <c r="L3393">
        <v>-1.3313117106382499</v>
      </c>
      <c r="M3393" t="str">
        <f t="shared" si="113"/>
        <v>44/40</v>
      </c>
      <c r="N3393" t="str">
        <f t="shared" si="114"/>
        <v>SW</v>
      </c>
      <c r="O3393" s="1" t="s">
        <v>25</v>
      </c>
      <c r="P3393" s="3" t="s">
        <v>25</v>
      </c>
      <c r="Q3393" s="37">
        <v>0.47565381016608899</v>
      </c>
      <c r="R3393" t="str">
        <f t="shared" si="115"/>
        <v>mmol/mol</v>
      </c>
      <c r="S3393" s="13">
        <f t="shared" si="112"/>
        <v>-1.3313117106382499</v>
      </c>
    </row>
    <row r="3394" spans="1:19">
      <c r="A3394" s="18" t="s">
        <v>3504</v>
      </c>
      <c r="B3394" s="1" t="s">
        <v>3488</v>
      </c>
      <c r="C3394" s="1" t="s">
        <v>3515</v>
      </c>
      <c r="D3394" s="1" t="s">
        <v>3630</v>
      </c>
      <c r="E3394" s="1" t="s">
        <v>25</v>
      </c>
      <c r="F3394">
        <v>650</v>
      </c>
      <c r="G3394">
        <v>650</v>
      </c>
      <c r="H3394">
        <v>668.2</v>
      </c>
      <c r="I3394" s="1" t="s">
        <v>1528</v>
      </c>
      <c r="J3394" s="1" t="s">
        <v>3553</v>
      </c>
      <c r="K3394" s="1" t="s">
        <v>25</v>
      </c>
      <c r="L3394">
        <v>-1.42336963471309</v>
      </c>
      <c r="M3394" t="str">
        <f t="shared" si="113"/>
        <v>44/40</v>
      </c>
      <c r="N3394" t="str">
        <f t="shared" si="114"/>
        <v>SW</v>
      </c>
      <c r="O3394" s="1" t="s">
        <v>25</v>
      </c>
      <c r="P3394" s="3" t="s">
        <v>25</v>
      </c>
      <c r="Q3394" s="37">
        <v>0.58784621016253003</v>
      </c>
      <c r="R3394" t="str">
        <f t="shared" si="115"/>
        <v>mmol/mol</v>
      </c>
      <c r="S3394" s="13">
        <f t="shared" si="112"/>
        <v>-1.42336963471309</v>
      </c>
    </row>
    <row r="3395" spans="1:19">
      <c r="A3395" s="18" t="s">
        <v>3504</v>
      </c>
      <c r="B3395" s="1" t="s">
        <v>3489</v>
      </c>
      <c r="C3395" s="1" t="s">
        <v>3515</v>
      </c>
      <c r="D3395" s="1" t="s">
        <v>3630</v>
      </c>
      <c r="E3395" s="1" t="s">
        <v>25</v>
      </c>
      <c r="F3395">
        <v>650</v>
      </c>
      <c r="G3395">
        <v>650</v>
      </c>
      <c r="H3395">
        <v>668.7</v>
      </c>
      <c r="I3395" s="1" t="s">
        <v>1528</v>
      </c>
      <c r="J3395" s="1" t="s">
        <v>3555</v>
      </c>
      <c r="K3395" s="1" t="s">
        <v>25</v>
      </c>
      <c r="L3395">
        <v>-1.3996930340913001</v>
      </c>
      <c r="M3395" t="str">
        <f t="shared" si="113"/>
        <v>44/40</v>
      </c>
      <c r="N3395" t="str">
        <f t="shared" si="114"/>
        <v>SW</v>
      </c>
      <c r="O3395" s="1" t="s">
        <v>25</v>
      </c>
      <c r="P3395" s="3" t="s">
        <v>25</v>
      </c>
      <c r="Q3395" s="37">
        <v>0.51151075733172102</v>
      </c>
      <c r="R3395" t="str">
        <f t="shared" si="115"/>
        <v>mmol/mol</v>
      </c>
      <c r="S3395" s="13">
        <f t="shared" si="112"/>
        <v>-1.3996930340913001</v>
      </c>
    </row>
    <row r="3396" spans="1:19">
      <c r="A3396" s="18" t="s">
        <v>3504</v>
      </c>
      <c r="B3396" s="1" t="s">
        <v>3490</v>
      </c>
      <c r="C3396" s="1" t="s">
        <v>3515</v>
      </c>
      <c r="D3396" s="1" t="s">
        <v>3630</v>
      </c>
      <c r="E3396" s="1" t="s">
        <v>25</v>
      </c>
      <c r="F3396">
        <v>650</v>
      </c>
      <c r="G3396">
        <v>650</v>
      </c>
      <c r="H3396">
        <v>669.8</v>
      </c>
      <c r="I3396" s="1" t="s">
        <v>1528</v>
      </c>
      <c r="J3396" s="1" t="s">
        <v>3554</v>
      </c>
      <c r="K3396" s="1" t="s">
        <v>25</v>
      </c>
      <c r="L3396">
        <v>-1.61765456305101</v>
      </c>
      <c r="M3396" t="str">
        <f t="shared" si="113"/>
        <v>44/40</v>
      </c>
      <c r="N3396" t="str">
        <f t="shared" si="114"/>
        <v>SW</v>
      </c>
      <c r="O3396" s="1" t="s">
        <v>25</v>
      </c>
      <c r="P3396" s="3" t="s">
        <v>25</v>
      </c>
      <c r="Q3396" s="37" t="s">
        <v>25</v>
      </c>
      <c r="R3396" t="str">
        <f t="shared" si="115"/>
        <v>Na</v>
      </c>
      <c r="S3396" s="13">
        <f t="shared" si="112"/>
        <v>-1.61765456305101</v>
      </c>
    </row>
    <row r="3397" spans="1:19">
      <c r="A3397" s="18" t="s">
        <v>3504</v>
      </c>
      <c r="B3397" s="1" t="s">
        <v>3491</v>
      </c>
      <c r="C3397" s="1" t="s">
        <v>3515</v>
      </c>
      <c r="D3397" s="1" t="s">
        <v>3630</v>
      </c>
      <c r="E3397" s="1" t="s">
        <v>25</v>
      </c>
      <c r="F3397">
        <v>650</v>
      </c>
      <c r="G3397">
        <v>650</v>
      </c>
      <c r="H3397">
        <v>671.2</v>
      </c>
      <c r="I3397" s="1" t="s">
        <v>1528</v>
      </c>
      <c r="J3397" s="1" t="s">
        <v>3553</v>
      </c>
      <c r="K3397" s="1" t="s">
        <v>25</v>
      </c>
      <c r="L3397">
        <v>-1.48568897983606</v>
      </c>
      <c r="M3397" t="str">
        <f t="shared" si="113"/>
        <v>44/40</v>
      </c>
      <c r="N3397" t="str">
        <f t="shared" si="114"/>
        <v>SW</v>
      </c>
      <c r="O3397" s="1" t="s">
        <v>25</v>
      </c>
      <c r="P3397" s="3" t="s">
        <v>25</v>
      </c>
      <c r="Q3397" s="37" t="s">
        <v>25</v>
      </c>
      <c r="R3397" t="str">
        <f t="shared" si="115"/>
        <v>Na</v>
      </c>
      <c r="S3397" s="13">
        <f t="shared" si="112"/>
        <v>-1.48568897983606</v>
      </c>
    </row>
    <row r="3398" spans="1:19">
      <c r="A3398" s="18" t="s">
        <v>3504</v>
      </c>
      <c r="B3398" s="1" t="s">
        <v>3492</v>
      </c>
      <c r="C3398" s="1" t="s">
        <v>3515</v>
      </c>
      <c r="D3398" s="1" t="s">
        <v>3630</v>
      </c>
      <c r="E3398" s="1" t="s">
        <v>25</v>
      </c>
      <c r="F3398">
        <v>650</v>
      </c>
      <c r="G3398">
        <v>650</v>
      </c>
      <c r="H3398">
        <v>672.3</v>
      </c>
      <c r="I3398" s="1" t="s">
        <v>1528</v>
      </c>
      <c r="J3398" s="1" t="s">
        <v>3553</v>
      </c>
      <c r="K3398" s="1" t="s">
        <v>25</v>
      </c>
      <c r="L3398">
        <v>-1.2958351630237901</v>
      </c>
      <c r="M3398" t="str">
        <f t="shared" si="113"/>
        <v>44/40</v>
      </c>
      <c r="N3398" t="str">
        <f t="shared" si="114"/>
        <v>SW</v>
      </c>
      <c r="O3398" s="1" t="s">
        <v>25</v>
      </c>
      <c r="P3398" s="3" t="s">
        <v>25</v>
      </c>
      <c r="Q3398" s="37" t="s">
        <v>25</v>
      </c>
      <c r="R3398" t="str">
        <f t="shared" si="115"/>
        <v>Na</v>
      </c>
      <c r="S3398" s="13">
        <f t="shared" si="112"/>
        <v>-1.2958351630237901</v>
      </c>
    </row>
    <row r="3399" spans="1:19">
      <c r="A3399" s="18" t="s">
        <v>3504</v>
      </c>
      <c r="B3399" s="1" t="s">
        <v>3493</v>
      </c>
      <c r="C3399" s="1" t="s">
        <v>3516</v>
      </c>
      <c r="D3399" s="1" t="s">
        <v>3630</v>
      </c>
      <c r="E3399" s="1" t="s">
        <v>25</v>
      </c>
      <c r="F3399">
        <v>650</v>
      </c>
      <c r="G3399">
        <v>650</v>
      </c>
      <c r="H3399">
        <v>78.7</v>
      </c>
      <c r="I3399" s="1" t="s">
        <v>1528</v>
      </c>
      <c r="J3399" s="1" t="s">
        <v>3554</v>
      </c>
      <c r="K3399" s="1" t="s">
        <v>25</v>
      </c>
      <c r="L3399">
        <v>-1.2764201231102901</v>
      </c>
      <c r="M3399" t="str">
        <f t="shared" si="113"/>
        <v>44/40</v>
      </c>
      <c r="N3399" t="str">
        <f t="shared" si="114"/>
        <v>SW</v>
      </c>
      <c r="O3399" s="1" t="s">
        <v>25</v>
      </c>
      <c r="P3399" s="3" t="s">
        <v>25</v>
      </c>
      <c r="Q3399" s="37">
        <v>2.00415803766457</v>
      </c>
      <c r="R3399" t="str">
        <f t="shared" si="115"/>
        <v>mmol/mol</v>
      </c>
      <c r="S3399" s="13">
        <f t="shared" si="112"/>
        <v>-1.2764201231102901</v>
      </c>
    </row>
    <row r="3400" spans="1:19">
      <c r="A3400" s="18" t="s">
        <v>3504</v>
      </c>
      <c r="B3400" s="1" t="s">
        <v>3494</v>
      </c>
      <c r="C3400" s="1" t="s">
        <v>3516</v>
      </c>
      <c r="D3400" s="1" t="s">
        <v>3630</v>
      </c>
      <c r="E3400" s="1" t="s">
        <v>25</v>
      </c>
      <c r="F3400">
        <v>650</v>
      </c>
      <c r="G3400">
        <v>650</v>
      </c>
      <c r="H3400">
        <v>158.80000000000001</v>
      </c>
      <c r="I3400" s="1" t="s">
        <v>1528</v>
      </c>
      <c r="J3400" s="1" t="s">
        <v>3554</v>
      </c>
      <c r="K3400" s="1" t="s">
        <v>25</v>
      </c>
      <c r="L3400">
        <v>-1.35840947469936</v>
      </c>
      <c r="M3400" t="str">
        <f t="shared" si="113"/>
        <v>44/40</v>
      </c>
      <c r="N3400" t="str">
        <f t="shared" si="114"/>
        <v>SW</v>
      </c>
      <c r="O3400" s="1" t="s">
        <v>25</v>
      </c>
      <c r="P3400" s="3" t="s">
        <v>25</v>
      </c>
      <c r="Q3400" s="37">
        <v>1.7309477651046701</v>
      </c>
      <c r="R3400" t="str">
        <f t="shared" si="115"/>
        <v>mmol/mol</v>
      </c>
      <c r="S3400" s="13">
        <f t="shared" si="112"/>
        <v>-1.35840947469936</v>
      </c>
    </row>
    <row r="3401" spans="1:19">
      <c r="A3401" s="18" t="s">
        <v>3504</v>
      </c>
      <c r="B3401" s="1" t="s">
        <v>3495</v>
      </c>
      <c r="C3401" s="1" t="s">
        <v>3516</v>
      </c>
      <c r="D3401" s="1" t="s">
        <v>3630</v>
      </c>
      <c r="E3401" s="1" t="s">
        <v>25</v>
      </c>
      <c r="F3401">
        <v>650</v>
      </c>
      <c r="G3401">
        <v>650</v>
      </c>
      <c r="H3401">
        <v>162.30000000000001</v>
      </c>
      <c r="I3401" s="1" t="s">
        <v>1528</v>
      </c>
      <c r="J3401" s="1" t="s">
        <v>3552</v>
      </c>
      <c r="K3401" s="1" t="s">
        <v>25</v>
      </c>
      <c r="L3401">
        <v>-1.10064977949566</v>
      </c>
      <c r="M3401" t="str">
        <f t="shared" si="113"/>
        <v>44/40</v>
      </c>
      <c r="N3401" t="str">
        <f t="shared" si="114"/>
        <v>SW</v>
      </c>
      <c r="O3401" s="1" t="s">
        <v>25</v>
      </c>
      <c r="P3401" s="3" t="s">
        <v>25</v>
      </c>
      <c r="Q3401" s="37">
        <v>0.28865210225800503</v>
      </c>
      <c r="R3401" t="str">
        <f t="shared" si="115"/>
        <v>mmol/mol</v>
      </c>
      <c r="S3401" s="13">
        <f t="shared" si="112"/>
        <v>-1.10064977949566</v>
      </c>
    </row>
    <row r="3402" spans="1:19">
      <c r="A3402" s="18" t="s">
        <v>3504</v>
      </c>
      <c r="B3402" s="1" t="s">
        <v>3496</v>
      </c>
      <c r="C3402" s="1" t="s">
        <v>3516</v>
      </c>
      <c r="D3402" s="1" t="s">
        <v>3630</v>
      </c>
      <c r="E3402" s="1" t="s">
        <v>25</v>
      </c>
      <c r="F3402">
        <v>650</v>
      </c>
      <c r="G3402">
        <v>650</v>
      </c>
      <c r="H3402">
        <v>166.3</v>
      </c>
      <c r="I3402" s="1" t="s">
        <v>1528</v>
      </c>
      <c r="J3402" s="1" t="s">
        <v>3552</v>
      </c>
      <c r="K3402" s="1" t="s">
        <v>25</v>
      </c>
      <c r="L3402">
        <v>-1.3737611854796601</v>
      </c>
      <c r="M3402" t="str">
        <f t="shared" si="113"/>
        <v>44/40</v>
      </c>
      <c r="N3402" t="str">
        <f t="shared" si="114"/>
        <v>SW</v>
      </c>
      <c r="O3402" s="1" t="s">
        <v>25</v>
      </c>
      <c r="P3402" s="3" t="s">
        <v>25</v>
      </c>
      <c r="Q3402" s="37">
        <v>1.94974599625435</v>
      </c>
      <c r="R3402" t="str">
        <f t="shared" si="115"/>
        <v>mmol/mol</v>
      </c>
      <c r="S3402" s="13">
        <f t="shared" si="112"/>
        <v>-1.3737611854796601</v>
      </c>
    </row>
    <row r="3403" spans="1:19">
      <c r="A3403" s="18" t="s">
        <v>3504</v>
      </c>
      <c r="B3403" s="1" t="s">
        <v>3497</v>
      </c>
      <c r="C3403" s="1" t="s">
        <v>3516</v>
      </c>
      <c r="D3403" s="1" t="s">
        <v>3630</v>
      </c>
      <c r="E3403" s="1" t="s">
        <v>25</v>
      </c>
      <c r="F3403">
        <v>650</v>
      </c>
      <c r="G3403">
        <v>650</v>
      </c>
      <c r="H3403">
        <v>168.2</v>
      </c>
      <c r="I3403" s="1" t="s">
        <v>1528</v>
      </c>
      <c r="J3403" s="1" t="s">
        <v>3552</v>
      </c>
      <c r="K3403" s="1" t="s">
        <v>25</v>
      </c>
      <c r="L3403">
        <v>-1.0607249977505899</v>
      </c>
      <c r="M3403" t="str">
        <f t="shared" si="113"/>
        <v>44/40</v>
      </c>
      <c r="N3403" t="str">
        <f t="shared" si="114"/>
        <v>SW</v>
      </c>
      <c r="O3403" s="1" t="s">
        <v>25</v>
      </c>
      <c r="P3403" s="3" t="s">
        <v>25</v>
      </c>
      <c r="Q3403" s="37">
        <v>1.72695552572581</v>
      </c>
      <c r="R3403" t="str">
        <f t="shared" si="115"/>
        <v>mmol/mol</v>
      </c>
      <c r="S3403" s="13">
        <f t="shared" si="112"/>
        <v>-1.0607249977505899</v>
      </c>
    </row>
    <row r="3404" spans="1:19">
      <c r="A3404" s="18" t="s">
        <v>3504</v>
      </c>
      <c r="B3404" s="1" t="s">
        <v>3498</v>
      </c>
      <c r="C3404" s="1" t="s">
        <v>3516</v>
      </c>
      <c r="D3404" s="1" t="s">
        <v>3630</v>
      </c>
      <c r="E3404" s="1" t="s">
        <v>25</v>
      </c>
      <c r="F3404">
        <v>650</v>
      </c>
      <c r="G3404">
        <v>650</v>
      </c>
      <c r="H3404">
        <v>170.5</v>
      </c>
      <c r="I3404" s="1" t="s">
        <v>1528</v>
      </c>
      <c r="J3404" s="1" t="s">
        <v>3554</v>
      </c>
      <c r="K3404" s="1" t="s">
        <v>25</v>
      </c>
      <c r="L3404">
        <v>-1.10073305209089</v>
      </c>
      <c r="M3404" t="str">
        <f t="shared" si="113"/>
        <v>44/40</v>
      </c>
      <c r="N3404" t="str">
        <f t="shared" si="114"/>
        <v>SW</v>
      </c>
      <c r="O3404" s="1" t="s">
        <v>25</v>
      </c>
      <c r="P3404" s="3" t="s">
        <v>25</v>
      </c>
      <c r="Q3404" s="37">
        <v>1.9085545427066699</v>
      </c>
      <c r="R3404" t="str">
        <f t="shared" si="115"/>
        <v>mmol/mol</v>
      </c>
      <c r="S3404" s="13">
        <f t="shared" si="112"/>
        <v>-1.10073305209089</v>
      </c>
    </row>
    <row r="3405" spans="1:19">
      <c r="A3405" s="18" t="s">
        <v>3504</v>
      </c>
      <c r="B3405" s="1" t="s">
        <v>3499</v>
      </c>
      <c r="C3405" s="1" t="s">
        <v>3516</v>
      </c>
      <c r="D3405" s="1" t="s">
        <v>3630</v>
      </c>
      <c r="E3405" s="1" t="s">
        <v>25</v>
      </c>
      <c r="F3405">
        <v>650</v>
      </c>
      <c r="G3405">
        <v>650</v>
      </c>
      <c r="H3405">
        <v>179.1</v>
      </c>
      <c r="I3405" s="1" t="s">
        <v>1528</v>
      </c>
      <c r="J3405" s="1" t="s">
        <v>3554</v>
      </c>
      <c r="K3405" s="1" t="s">
        <v>25</v>
      </c>
      <c r="L3405">
        <v>-1.28318713920564</v>
      </c>
      <c r="M3405" t="str">
        <f t="shared" si="113"/>
        <v>44/40</v>
      </c>
      <c r="N3405" t="str">
        <f t="shared" si="114"/>
        <v>SW</v>
      </c>
      <c r="O3405" s="1" t="s">
        <v>25</v>
      </c>
      <c r="P3405" s="3" t="s">
        <v>25</v>
      </c>
      <c r="Q3405" s="37">
        <v>2.2729200008161201</v>
      </c>
      <c r="R3405" t="str">
        <f t="shared" si="115"/>
        <v>mmol/mol</v>
      </c>
      <c r="S3405" s="13">
        <f t="shared" si="112"/>
        <v>-1.28318713920564</v>
      </c>
    </row>
    <row r="3406" spans="1:19">
      <c r="A3406" s="18" t="s">
        <v>3504</v>
      </c>
      <c r="B3406" s="1" t="s">
        <v>3500</v>
      </c>
      <c r="C3406" s="1" t="s">
        <v>3516</v>
      </c>
      <c r="D3406" s="1" t="s">
        <v>3630</v>
      </c>
      <c r="E3406" s="1" t="s">
        <v>25</v>
      </c>
      <c r="F3406">
        <v>650</v>
      </c>
      <c r="G3406">
        <v>650</v>
      </c>
      <c r="H3406">
        <v>183.2</v>
      </c>
      <c r="I3406" s="1" t="s">
        <v>1528</v>
      </c>
      <c r="J3406" s="1" t="s">
        <v>3554</v>
      </c>
      <c r="K3406" s="1" t="s">
        <v>25</v>
      </c>
      <c r="L3406">
        <v>-1.1684305815710501</v>
      </c>
      <c r="M3406" t="str">
        <f t="shared" si="113"/>
        <v>44/40</v>
      </c>
      <c r="N3406" t="str">
        <f t="shared" si="114"/>
        <v>SW</v>
      </c>
      <c r="O3406" s="1" t="s">
        <v>25</v>
      </c>
      <c r="P3406" s="3" t="s">
        <v>25</v>
      </c>
      <c r="Q3406" s="37">
        <v>1.9715032522962499</v>
      </c>
      <c r="R3406" t="str">
        <f t="shared" si="115"/>
        <v>mmol/mol</v>
      </c>
      <c r="S3406" s="13">
        <f t="shared" si="112"/>
        <v>-1.1684305815710501</v>
      </c>
    </row>
    <row r="3407" spans="1:19">
      <c r="A3407" s="18" t="s">
        <v>3504</v>
      </c>
      <c r="B3407" s="1" t="s">
        <v>3501</v>
      </c>
      <c r="C3407" s="1" t="s">
        <v>3516</v>
      </c>
      <c r="D3407" s="1" t="s">
        <v>3630</v>
      </c>
      <c r="E3407" s="1" t="s">
        <v>25</v>
      </c>
      <c r="F3407">
        <v>650</v>
      </c>
      <c r="G3407">
        <v>650</v>
      </c>
      <c r="H3407">
        <v>184.6</v>
      </c>
      <c r="I3407" s="1" t="s">
        <v>1528</v>
      </c>
      <c r="J3407" s="1" t="s">
        <v>3554</v>
      </c>
      <c r="K3407" s="1" t="s">
        <v>25</v>
      </c>
      <c r="L3407">
        <v>-1.2157345451910999</v>
      </c>
      <c r="M3407" t="str">
        <f t="shared" si="113"/>
        <v>44/40</v>
      </c>
      <c r="N3407" t="str">
        <f t="shared" si="114"/>
        <v>SW</v>
      </c>
      <c r="O3407" s="1" t="s">
        <v>25</v>
      </c>
      <c r="P3407" s="3" t="s">
        <v>25</v>
      </c>
      <c r="Q3407" s="37">
        <v>2.2361378294238801</v>
      </c>
      <c r="R3407" t="str">
        <f t="shared" si="115"/>
        <v>mmol/mol</v>
      </c>
      <c r="S3407" s="13">
        <f t="shared" si="112"/>
        <v>-1.2157345451910999</v>
      </c>
    </row>
    <row r="3408" spans="1:19">
      <c r="A3408" s="18" t="s">
        <v>3504</v>
      </c>
      <c r="B3408" s="1" t="s">
        <v>3502</v>
      </c>
      <c r="C3408" s="1" t="s">
        <v>3516</v>
      </c>
      <c r="D3408" s="1" t="s">
        <v>3630</v>
      </c>
      <c r="E3408" s="1" t="s">
        <v>25</v>
      </c>
      <c r="F3408">
        <v>650</v>
      </c>
      <c r="G3408">
        <v>650</v>
      </c>
      <c r="H3408">
        <v>208.3</v>
      </c>
      <c r="I3408" s="1" t="s">
        <v>1528</v>
      </c>
      <c r="J3408" s="1" t="s">
        <v>3553</v>
      </c>
      <c r="K3408" s="1" t="s">
        <v>25</v>
      </c>
      <c r="L3408">
        <v>-1.25812845738388</v>
      </c>
      <c r="M3408" t="str">
        <f t="shared" si="113"/>
        <v>44/40</v>
      </c>
      <c r="N3408" t="str">
        <f t="shared" si="114"/>
        <v>SW</v>
      </c>
      <c r="O3408" s="1" t="s">
        <v>25</v>
      </c>
      <c r="P3408" s="3" t="s">
        <v>25</v>
      </c>
      <c r="Q3408" s="37">
        <v>2.0318310529258201</v>
      </c>
      <c r="R3408" t="str">
        <f t="shared" si="115"/>
        <v>mmol/mol</v>
      </c>
      <c r="S3408" s="13">
        <f t="shared" si="112"/>
        <v>-1.25812845738388</v>
      </c>
    </row>
    <row r="3409" spans="1:19">
      <c r="A3409" s="18" t="s">
        <v>3504</v>
      </c>
      <c r="B3409" s="1" t="s">
        <v>3503</v>
      </c>
      <c r="C3409" s="1" t="s">
        <v>3516</v>
      </c>
      <c r="D3409" s="1" t="s">
        <v>3630</v>
      </c>
      <c r="E3409" s="1" t="s">
        <v>25</v>
      </c>
      <c r="F3409">
        <v>650</v>
      </c>
      <c r="G3409">
        <v>650</v>
      </c>
      <c r="H3409">
        <v>260.8</v>
      </c>
      <c r="I3409" s="1" t="s">
        <v>1528</v>
      </c>
      <c r="J3409" s="1" t="s">
        <v>3553</v>
      </c>
      <c r="K3409" s="1" t="s">
        <v>25</v>
      </c>
      <c r="L3409">
        <v>-1.3389787605218999</v>
      </c>
      <c r="M3409" t="str">
        <f t="shared" si="113"/>
        <v>44/40</v>
      </c>
      <c r="N3409" t="str">
        <f t="shared" si="114"/>
        <v>SW</v>
      </c>
      <c r="O3409" s="1" t="s">
        <v>25</v>
      </c>
      <c r="P3409" s="3" t="s">
        <v>25</v>
      </c>
      <c r="Q3409" s="37">
        <v>2.23163860209762</v>
      </c>
      <c r="R3409" t="str">
        <f t="shared" si="115"/>
        <v>mmol/mol</v>
      </c>
      <c r="S3409" s="13">
        <f t="shared" si="112"/>
        <v>-1.3389787605218999</v>
      </c>
    </row>
    <row r="3410" spans="1:19" s="4" customFormat="1">
      <c r="B3410" s="5"/>
      <c r="C3410" s="5"/>
      <c r="D3410" s="5"/>
      <c r="E3410" s="5"/>
      <c r="I3410" s="5"/>
      <c r="J3410" s="5"/>
      <c r="M3410" s="5"/>
      <c r="O3410" s="5"/>
      <c r="P3410" s="6"/>
      <c r="Q3410" s="38"/>
      <c r="S3410" s="24"/>
    </row>
    <row r="3411" spans="1:19">
      <c r="A3411" s="18" t="s">
        <v>3505</v>
      </c>
      <c r="B3411" s="1" t="s">
        <v>3560</v>
      </c>
      <c r="C3411" s="1" t="s">
        <v>2113</v>
      </c>
      <c r="D3411" s="1" t="s">
        <v>3628</v>
      </c>
      <c r="E3411" s="1" t="s">
        <v>25</v>
      </c>
      <c r="F3411">
        <v>735</v>
      </c>
      <c r="G3411">
        <v>735</v>
      </c>
      <c r="H3411" s="1" t="s">
        <v>25</v>
      </c>
      <c r="I3411" s="1" t="s">
        <v>1528</v>
      </c>
      <c r="J3411" s="1" t="s">
        <v>3631</v>
      </c>
      <c r="K3411" s="1" t="s">
        <v>25</v>
      </c>
      <c r="L3411" t="s">
        <v>25</v>
      </c>
      <c r="M3411" t="str">
        <f t="shared" si="113"/>
        <v>Na</v>
      </c>
      <c r="N3411" t="str">
        <f t="shared" si="114"/>
        <v>Na</v>
      </c>
      <c r="O3411" s="1" t="s">
        <v>25</v>
      </c>
      <c r="P3411" s="3" t="s">
        <v>25</v>
      </c>
      <c r="Q3411" s="37">
        <v>0.34</v>
      </c>
      <c r="R3411" t="s">
        <v>231</v>
      </c>
      <c r="S3411" s="13" t="s">
        <v>25</v>
      </c>
    </row>
    <row r="3412" spans="1:19">
      <c r="A3412" s="18" t="s">
        <v>3505</v>
      </c>
      <c r="B3412" s="1" t="s">
        <v>3561</v>
      </c>
      <c r="C3412" s="1" t="s">
        <v>2113</v>
      </c>
      <c r="D3412" s="1" t="s">
        <v>3628</v>
      </c>
      <c r="E3412" s="1" t="s">
        <v>25</v>
      </c>
      <c r="F3412">
        <v>735</v>
      </c>
      <c r="G3412">
        <v>735</v>
      </c>
      <c r="H3412" s="1" t="s">
        <v>25</v>
      </c>
      <c r="I3412" s="1" t="s">
        <v>1528</v>
      </c>
      <c r="J3412" s="1" t="s">
        <v>3631</v>
      </c>
      <c r="K3412" s="1" t="s">
        <v>25</v>
      </c>
      <c r="L3412">
        <v>-1.05</v>
      </c>
      <c r="M3412" t="str">
        <f t="shared" si="113"/>
        <v>44/40</v>
      </c>
      <c r="N3412" t="str">
        <f t="shared" si="114"/>
        <v>SW</v>
      </c>
      <c r="O3412" s="1" t="s">
        <v>25</v>
      </c>
      <c r="P3412" s="3" t="s">
        <v>25</v>
      </c>
      <c r="Q3412" s="37">
        <v>0.42</v>
      </c>
      <c r="R3412" t="s">
        <v>231</v>
      </c>
      <c r="S3412" s="13">
        <f t="shared" si="112"/>
        <v>-1.05</v>
      </c>
    </row>
    <row r="3413" spans="1:19">
      <c r="A3413" s="18" t="s">
        <v>3505</v>
      </c>
      <c r="B3413" s="1" t="s">
        <v>3562</v>
      </c>
      <c r="C3413" s="1" t="s">
        <v>2113</v>
      </c>
      <c r="D3413" s="1" t="s">
        <v>3628</v>
      </c>
      <c r="E3413" s="1" t="s">
        <v>25</v>
      </c>
      <c r="F3413">
        <v>735</v>
      </c>
      <c r="G3413">
        <v>735</v>
      </c>
      <c r="H3413" s="1" t="s">
        <v>25</v>
      </c>
      <c r="I3413" s="1" t="s">
        <v>1528</v>
      </c>
      <c r="J3413" s="1" t="s">
        <v>3631</v>
      </c>
      <c r="K3413" s="1" t="s">
        <v>25</v>
      </c>
      <c r="L3413" t="s">
        <v>25</v>
      </c>
      <c r="M3413" t="str">
        <f t="shared" si="113"/>
        <v>Na</v>
      </c>
      <c r="N3413" t="str">
        <f t="shared" si="114"/>
        <v>Na</v>
      </c>
      <c r="O3413" s="1" t="s">
        <v>25</v>
      </c>
      <c r="P3413" s="3" t="s">
        <v>25</v>
      </c>
      <c r="Q3413" s="37">
        <v>0.2</v>
      </c>
      <c r="R3413" t="s">
        <v>231</v>
      </c>
      <c r="S3413" s="13" t="s">
        <v>25</v>
      </c>
    </row>
    <row r="3414" spans="1:19">
      <c r="A3414" s="18" t="s">
        <v>3505</v>
      </c>
      <c r="B3414" s="1" t="s">
        <v>3563</v>
      </c>
      <c r="C3414" s="1" t="s">
        <v>2113</v>
      </c>
      <c r="D3414" s="1" t="s">
        <v>3628</v>
      </c>
      <c r="E3414" s="1" t="s">
        <v>25</v>
      </c>
      <c r="F3414">
        <v>735</v>
      </c>
      <c r="G3414">
        <v>735</v>
      </c>
      <c r="H3414" s="1" t="s">
        <v>25</v>
      </c>
      <c r="I3414" s="1" t="s">
        <v>1528</v>
      </c>
      <c r="J3414" s="1" t="s">
        <v>3631</v>
      </c>
      <c r="K3414" s="1" t="s">
        <v>25</v>
      </c>
      <c r="L3414">
        <v>-1.26</v>
      </c>
      <c r="M3414" t="str">
        <f t="shared" si="113"/>
        <v>44/40</v>
      </c>
      <c r="N3414" t="str">
        <f t="shared" si="114"/>
        <v>SW</v>
      </c>
      <c r="O3414" s="1" t="s">
        <v>25</v>
      </c>
      <c r="P3414" s="3" t="s">
        <v>25</v>
      </c>
      <c r="Q3414" s="37">
        <v>0.25</v>
      </c>
      <c r="R3414" t="s">
        <v>231</v>
      </c>
      <c r="S3414" s="13">
        <f t="shared" si="112"/>
        <v>-1.26</v>
      </c>
    </row>
    <row r="3415" spans="1:19">
      <c r="A3415" s="18" t="s">
        <v>3505</v>
      </c>
      <c r="B3415" s="1" t="s">
        <v>3564</v>
      </c>
      <c r="C3415" s="1" t="s">
        <v>2113</v>
      </c>
      <c r="D3415" s="1" t="s">
        <v>3628</v>
      </c>
      <c r="E3415" s="1" t="s">
        <v>25</v>
      </c>
      <c r="F3415">
        <v>735</v>
      </c>
      <c r="G3415">
        <v>735</v>
      </c>
      <c r="H3415" s="1" t="s">
        <v>25</v>
      </c>
      <c r="I3415" s="1" t="s">
        <v>1528</v>
      </c>
      <c r="J3415" s="1" t="s">
        <v>3631</v>
      </c>
      <c r="K3415" s="1" t="s">
        <v>25</v>
      </c>
      <c r="L3415" t="s">
        <v>25</v>
      </c>
      <c r="M3415" t="str">
        <f t="shared" si="113"/>
        <v>Na</v>
      </c>
      <c r="N3415" t="str">
        <f t="shared" si="114"/>
        <v>Na</v>
      </c>
      <c r="O3415" s="1" t="s">
        <v>25</v>
      </c>
      <c r="P3415" s="3" t="s">
        <v>25</v>
      </c>
      <c r="Q3415" s="37">
        <v>0.23</v>
      </c>
      <c r="R3415" t="s">
        <v>231</v>
      </c>
      <c r="S3415" s="13" t="s">
        <v>25</v>
      </c>
    </row>
    <row r="3416" spans="1:19">
      <c r="A3416" s="18" t="s">
        <v>3505</v>
      </c>
      <c r="B3416" s="1" t="s">
        <v>3565</v>
      </c>
      <c r="C3416" s="1" t="s">
        <v>2113</v>
      </c>
      <c r="D3416" s="1" t="s">
        <v>3628</v>
      </c>
      <c r="E3416" s="1" t="s">
        <v>25</v>
      </c>
      <c r="F3416">
        <v>735</v>
      </c>
      <c r="G3416">
        <v>735</v>
      </c>
      <c r="H3416" s="1" t="s">
        <v>25</v>
      </c>
      <c r="I3416" s="1" t="s">
        <v>1528</v>
      </c>
      <c r="J3416" s="1" t="s">
        <v>3631</v>
      </c>
      <c r="K3416" s="1" t="s">
        <v>25</v>
      </c>
      <c r="L3416">
        <v>-1.33</v>
      </c>
      <c r="M3416" t="str">
        <f t="shared" si="113"/>
        <v>44/40</v>
      </c>
      <c r="N3416" t="str">
        <f t="shared" si="114"/>
        <v>SW</v>
      </c>
      <c r="O3416" s="1" t="s">
        <v>25</v>
      </c>
      <c r="P3416" s="3" t="s">
        <v>25</v>
      </c>
      <c r="Q3416" s="37">
        <v>0.17</v>
      </c>
      <c r="R3416" t="s">
        <v>231</v>
      </c>
      <c r="S3416" s="13">
        <f t="shared" si="112"/>
        <v>-1.33</v>
      </c>
    </row>
    <row r="3417" spans="1:19">
      <c r="A3417" s="18" t="s">
        <v>3505</v>
      </c>
      <c r="B3417" s="1" t="s">
        <v>3566</v>
      </c>
      <c r="C3417" s="1" t="s">
        <v>2113</v>
      </c>
      <c r="D3417" s="1" t="s">
        <v>3628</v>
      </c>
      <c r="E3417" s="1" t="s">
        <v>25</v>
      </c>
      <c r="F3417">
        <v>735</v>
      </c>
      <c r="G3417">
        <v>735</v>
      </c>
      <c r="H3417" s="1" t="s">
        <v>25</v>
      </c>
      <c r="I3417" s="1" t="s">
        <v>1528</v>
      </c>
      <c r="J3417" s="1" t="s">
        <v>3631</v>
      </c>
      <c r="K3417" s="1" t="s">
        <v>25</v>
      </c>
      <c r="L3417">
        <v>-1.27</v>
      </c>
      <c r="M3417" t="str">
        <f t="shared" si="113"/>
        <v>44/40</v>
      </c>
      <c r="N3417" t="str">
        <f t="shared" si="114"/>
        <v>SW</v>
      </c>
      <c r="O3417" s="1" t="s">
        <v>25</v>
      </c>
      <c r="P3417" s="3" t="s">
        <v>25</v>
      </c>
      <c r="Q3417" s="37">
        <v>0.16</v>
      </c>
      <c r="R3417" t="s">
        <v>231</v>
      </c>
      <c r="S3417" s="13">
        <f t="shared" si="112"/>
        <v>-1.27</v>
      </c>
    </row>
    <row r="3418" spans="1:19">
      <c r="A3418" s="18" t="s">
        <v>3505</v>
      </c>
      <c r="B3418" s="1" t="s">
        <v>3567</v>
      </c>
      <c r="C3418" s="1" t="s">
        <v>2113</v>
      </c>
      <c r="D3418" s="1" t="s">
        <v>3628</v>
      </c>
      <c r="E3418" s="1" t="s">
        <v>25</v>
      </c>
      <c r="F3418">
        <v>735</v>
      </c>
      <c r="G3418">
        <v>735</v>
      </c>
      <c r="H3418" s="1" t="s">
        <v>25</v>
      </c>
      <c r="I3418" s="1" t="s">
        <v>1528</v>
      </c>
      <c r="J3418" s="1" t="s">
        <v>3631</v>
      </c>
      <c r="K3418" s="1" t="s">
        <v>25</v>
      </c>
      <c r="L3418">
        <v>-1.3</v>
      </c>
      <c r="M3418" t="str">
        <f t="shared" si="113"/>
        <v>44/40</v>
      </c>
      <c r="N3418" t="str">
        <f t="shared" si="114"/>
        <v>SW</v>
      </c>
      <c r="O3418" s="1" t="s">
        <v>25</v>
      </c>
      <c r="P3418" s="3" t="s">
        <v>25</v>
      </c>
      <c r="Q3418" s="37">
        <v>0.18</v>
      </c>
      <c r="R3418" t="s">
        <v>231</v>
      </c>
      <c r="S3418" s="13">
        <f t="shared" si="112"/>
        <v>-1.3</v>
      </c>
    </row>
    <row r="3419" spans="1:19">
      <c r="A3419" s="18" t="s">
        <v>3505</v>
      </c>
      <c r="B3419" s="1" t="s">
        <v>3568</v>
      </c>
      <c r="C3419" s="1" t="s">
        <v>2113</v>
      </c>
      <c r="D3419" s="1" t="s">
        <v>3628</v>
      </c>
      <c r="E3419" s="1" t="s">
        <v>25</v>
      </c>
      <c r="F3419">
        <v>735</v>
      </c>
      <c r="G3419">
        <v>735</v>
      </c>
      <c r="H3419" s="1" t="s">
        <v>25</v>
      </c>
      <c r="I3419" s="1" t="s">
        <v>1528</v>
      </c>
      <c r="J3419" s="1" t="s">
        <v>3631</v>
      </c>
      <c r="K3419" s="1" t="s">
        <v>25</v>
      </c>
      <c r="L3419">
        <v>-1.27</v>
      </c>
      <c r="M3419" t="str">
        <f t="shared" si="113"/>
        <v>44/40</v>
      </c>
      <c r="N3419" t="str">
        <f t="shared" si="114"/>
        <v>SW</v>
      </c>
      <c r="O3419" s="1" t="s">
        <v>25</v>
      </c>
      <c r="P3419" s="3" t="s">
        <v>25</v>
      </c>
      <c r="Q3419" s="37">
        <v>0.17</v>
      </c>
      <c r="R3419" t="s">
        <v>231</v>
      </c>
      <c r="S3419" s="13">
        <f t="shared" si="112"/>
        <v>-1.27</v>
      </c>
    </row>
    <row r="3420" spans="1:19">
      <c r="A3420" s="18" t="s">
        <v>3505</v>
      </c>
      <c r="B3420" s="1" t="s">
        <v>3569</v>
      </c>
      <c r="C3420" s="1" t="s">
        <v>2113</v>
      </c>
      <c r="D3420" s="1" t="s">
        <v>3628</v>
      </c>
      <c r="E3420" s="1" t="s">
        <v>25</v>
      </c>
      <c r="F3420">
        <v>735</v>
      </c>
      <c r="G3420">
        <v>735</v>
      </c>
      <c r="H3420" s="1" t="s">
        <v>25</v>
      </c>
      <c r="I3420" s="1" t="s">
        <v>1528</v>
      </c>
      <c r="J3420" s="1" t="s">
        <v>3631</v>
      </c>
      <c r="K3420" s="1" t="s">
        <v>25</v>
      </c>
      <c r="L3420">
        <v>-1.1200000000000001</v>
      </c>
      <c r="M3420" t="str">
        <f t="shared" si="113"/>
        <v>44/40</v>
      </c>
      <c r="N3420" t="str">
        <f t="shared" si="114"/>
        <v>SW</v>
      </c>
      <c r="O3420" s="1" t="s">
        <v>25</v>
      </c>
      <c r="P3420" s="3" t="s">
        <v>25</v>
      </c>
      <c r="Q3420" s="37">
        <v>0.16</v>
      </c>
      <c r="R3420" t="s">
        <v>231</v>
      </c>
      <c r="S3420" s="13">
        <f t="shared" si="112"/>
        <v>-1.1200000000000001</v>
      </c>
    </row>
    <row r="3421" spans="1:19">
      <c r="A3421" s="18" t="s">
        <v>3505</v>
      </c>
      <c r="B3421" s="1" t="s">
        <v>3570</v>
      </c>
      <c r="C3421" s="1" t="s">
        <v>2113</v>
      </c>
      <c r="D3421" s="1" t="s">
        <v>3628</v>
      </c>
      <c r="E3421" s="1" t="s">
        <v>25</v>
      </c>
      <c r="F3421">
        <v>735</v>
      </c>
      <c r="G3421">
        <v>735</v>
      </c>
      <c r="H3421" s="1" t="s">
        <v>25</v>
      </c>
      <c r="I3421" s="1" t="s">
        <v>1528</v>
      </c>
      <c r="J3421" s="1" t="s">
        <v>3631</v>
      </c>
      <c r="K3421" s="1" t="s">
        <v>25</v>
      </c>
      <c r="L3421">
        <v>-1.28</v>
      </c>
      <c r="M3421" t="str">
        <f t="shared" si="113"/>
        <v>44/40</v>
      </c>
      <c r="N3421" t="str">
        <f t="shared" si="114"/>
        <v>SW</v>
      </c>
      <c r="O3421" s="1" t="s">
        <v>25</v>
      </c>
      <c r="P3421" s="3" t="s">
        <v>25</v>
      </c>
      <c r="Q3421" s="37">
        <v>0.14000000000000001</v>
      </c>
      <c r="R3421" t="s">
        <v>231</v>
      </c>
      <c r="S3421" s="13">
        <f t="shared" si="112"/>
        <v>-1.28</v>
      </c>
    </row>
    <row r="3422" spans="1:19">
      <c r="A3422" s="18" t="s">
        <v>3505</v>
      </c>
      <c r="B3422" s="1" t="s">
        <v>3571</v>
      </c>
      <c r="C3422" s="1" t="s">
        <v>2113</v>
      </c>
      <c r="D3422" s="1" t="s">
        <v>3628</v>
      </c>
      <c r="E3422" s="1" t="s">
        <v>25</v>
      </c>
      <c r="F3422">
        <v>735</v>
      </c>
      <c r="G3422">
        <v>735</v>
      </c>
      <c r="H3422" s="1" t="s">
        <v>25</v>
      </c>
      <c r="I3422" s="1" t="s">
        <v>1528</v>
      </c>
      <c r="J3422" s="1" t="s">
        <v>3631</v>
      </c>
      <c r="K3422" s="1" t="s">
        <v>25</v>
      </c>
      <c r="L3422">
        <v>-1.32</v>
      </c>
      <c r="M3422" t="str">
        <f t="shared" si="113"/>
        <v>44/40</v>
      </c>
      <c r="N3422" t="str">
        <f t="shared" si="114"/>
        <v>SW</v>
      </c>
      <c r="O3422" s="1" t="s">
        <v>25</v>
      </c>
      <c r="P3422" s="3" t="s">
        <v>25</v>
      </c>
      <c r="Q3422" s="37">
        <v>0.16</v>
      </c>
      <c r="R3422" t="s">
        <v>231</v>
      </c>
      <c r="S3422" s="13">
        <f t="shared" si="112"/>
        <v>-1.32</v>
      </c>
    </row>
    <row r="3423" spans="1:19">
      <c r="A3423" s="18" t="s">
        <v>3505</v>
      </c>
      <c r="B3423" s="1" t="s">
        <v>3572</v>
      </c>
      <c r="C3423" s="1" t="s">
        <v>2113</v>
      </c>
      <c r="D3423" s="1" t="s">
        <v>3628</v>
      </c>
      <c r="E3423" s="1" t="s">
        <v>25</v>
      </c>
      <c r="F3423">
        <v>735</v>
      </c>
      <c r="G3423">
        <v>735</v>
      </c>
      <c r="H3423" s="1" t="s">
        <v>25</v>
      </c>
      <c r="I3423" s="1" t="s">
        <v>1528</v>
      </c>
      <c r="J3423" s="1" t="s">
        <v>3631</v>
      </c>
      <c r="K3423" s="1" t="s">
        <v>25</v>
      </c>
      <c r="L3423">
        <v>-1.28</v>
      </c>
      <c r="M3423" t="str">
        <f t="shared" si="113"/>
        <v>44/40</v>
      </c>
      <c r="N3423" t="str">
        <f t="shared" si="114"/>
        <v>SW</v>
      </c>
      <c r="O3423" s="1" t="s">
        <v>25</v>
      </c>
      <c r="P3423" s="3" t="s">
        <v>25</v>
      </c>
      <c r="Q3423" s="37">
        <v>0.24</v>
      </c>
      <c r="R3423" t="s">
        <v>231</v>
      </c>
      <c r="S3423" s="13">
        <f t="shared" si="112"/>
        <v>-1.28</v>
      </c>
    </row>
    <row r="3424" spans="1:19">
      <c r="A3424" s="18" t="s">
        <v>3505</v>
      </c>
      <c r="B3424" s="1" t="s">
        <v>3573</v>
      </c>
      <c r="C3424" s="1" t="s">
        <v>2113</v>
      </c>
      <c r="D3424" s="1" t="s">
        <v>3628</v>
      </c>
      <c r="E3424" s="1" t="s">
        <v>25</v>
      </c>
      <c r="F3424">
        <v>735</v>
      </c>
      <c r="G3424">
        <v>735</v>
      </c>
      <c r="H3424" s="1" t="s">
        <v>25</v>
      </c>
      <c r="I3424" s="1" t="s">
        <v>1528</v>
      </c>
      <c r="J3424" s="1" t="s">
        <v>3631</v>
      </c>
      <c r="K3424" s="1" t="s">
        <v>25</v>
      </c>
      <c r="L3424">
        <v>-1.26</v>
      </c>
      <c r="M3424" t="str">
        <f t="shared" si="113"/>
        <v>44/40</v>
      </c>
      <c r="N3424" t="str">
        <f t="shared" si="114"/>
        <v>SW</v>
      </c>
      <c r="O3424" s="1" t="s">
        <v>25</v>
      </c>
      <c r="P3424" s="3" t="s">
        <v>25</v>
      </c>
      <c r="Q3424" s="37">
        <v>0.14000000000000001</v>
      </c>
      <c r="R3424" t="s">
        <v>231</v>
      </c>
      <c r="S3424" s="13">
        <f t="shared" si="112"/>
        <v>-1.26</v>
      </c>
    </row>
    <row r="3425" spans="1:19">
      <c r="A3425" s="18" t="s">
        <v>3505</v>
      </c>
      <c r="B3425" s="1" t="s">
        <v>3574</v>
      </c>
      <c r="C3425" s="1" t="s">
        <v>2113</v>
      </c>
      <c r="D3425" s="1" t="s">
        <v>3628</v>
      </c>
      <c r="E3425" s="1" t="s">
        <v>25</v>
      </c>
      <c r="F3425">
        <v>735</v>
      </c>
      <c r="G3425">
        <v>735</v>
      </c>
      <c r="H3425" s="1" t="s">
        <v>25</v>
      </c>
      <c r="I3425" s="1" t="s">
        <v>1528</v>
      </c>
      <c r="J3425" s="1" t="s">
        <v>3631</v>
      </c>
      <c r="K3425" s="1" t="s">
        <v>25</v>
      </c>
      <c r="L3425">
        <v>-1.2</v>
      </c>
      <c r="M3425" t="str">
        <f t="shared" si="113"/>
        <v>44/40</v>
      </c>
      <c r="N3425" t="str">
        <f t="shared" si="114"/>
        <v>SW</v>
      </c>
      <c r="O3425" s="1" t="s">
        <v>25</v>
      </c>
      <c r="P3425" s="3" t="s">
        <v>25</v>
      </c>
      <c r="Q3425" s="37">
        <v>0.17</v>
      </c>
      <c r="R3425" t="s">
        <v>231</v>
      </c>
      <c r="S3425" s="13">
        <f t="shared" si="112"/>
        <v>-1.2</v>
      </c>
    </row>
    <row r="3426" spans="1:19">
      <c r="A3426" s="18" t="s">
        <v>3505</v>
      </c>
      <c r="B3426" s="1" t="s">
        <v>3575</v>
      </c>
      <c r="C3426" s="1" t="s">
        <v>2113</v>
      </c>
      <c r="D3426" s="1" t="s">
        <v>3628</v>
      </c>
      <c r="E3426" s="1" t="s">
        <v>25</v>
      </c>
      <c r="F3426">
        <v>735</v>
      </c>
      <c r="G3426">
        <v>735</v>
      </c>
      <c r="H3426" s="1" t="s">
        <v>25</v>
      </c>
      <c r="I3426" s="1" t="s">
        <v>1528</v>
      </c>
      <c r="J3426" s="1" t="s">
        <v>3631</v>
      </c>
      <c r="K3426" s="1" t="s">
        <v>25</v>
      </c>
      <c r="L3426">
        <v>-1.18</v>
      </c>
      <c r="M3426" t="str">
        <f t="shared" si="113"/>
        <v>44/40</v>
      </c>
      <c r="N3426" t="str">
        <f t="shared" si="114"/>
        <v>SW</v>
      </c>
      <c r="O3426" s="1" t="s">
        <v>25</v>
      </c>
      <c r="P3426" s="3" t="s">
        <v>25</v>
      </c>
      <c r="Q3426" s="37">
        <v>0.15</v>
      </c>
      <c r="R3426" t="s">
        <v>231</v>
      </c>
      <c r="S3426" s="13">
        <f t="shared" si="112"/>
        <v>-1.18</v>
      </c>
    </row>
    <row r="3427" spans="1:19">
      <c r="A3427" s="18" t="s">
        <v>3505</v>
      </c>
      <c r="B3427" s="1" t="s">
        <v>3576</v>
      </c>
      <c r="C3427" s="1" t="s">
        <v>2113</v>
      </c>
      <c r="D3427" s="1" t="s">
        <v>3628</v>
      </c>
      <c r="E3427" s="1" t="s">
        <v>25</v>
      </c>
      <c r="F3427">
        <v>735</v>
      </c>
      <c r="G3427">
        <v>735</v>
      </c>
      <c r="H3427" s="1" t="s">
        <v>25</v>
      </c>
      <c r="I3427" s="1" t="s">
        <v>1528</v>
      </c>
      <c r="J3427" s="1" t="s">
        <v>3631</v>
      </c>
      <c r="K3427" s="1" t="s">
        <v>25</v>
      </c>
      <c r="L3427">
        <v>-1.1399999999999999</v>
      </c>
      <c r="M3427" t="str">
        <f t="shared" si="113"/>
        <v>44/40</v>
      </c>
      <c r="N3427" t="str">
        <f t="shared" si="114"/>
        <v>SW</v>
      </c>
      <c r="O3427" s="1" t="s">
        <v>25</v>
      </c>
      <c r="P3427" s="3" t="s">
        <v>25</v>
      </c>
      <c r="Q3427" s="37">
        <v>0.15</v>
      </c>
      <c r="R3427" t="s">
        <v>231</v>
      </c>
      <c r="S3427" s="13">
        <f t="shared" si="112"/>
        <v>-1.1399999999999999</v>
      </c>
    </row>
    <row r="3428" spans="1:19">
      <c r="A3428" s="18" t="s">
        <v>3505</v>
      </c>
      <c r="B3428" s="1" t="s">
        <v>3577</v>
      </c>
      <c r="C3428" s="1" t="s">
        <v>2113</v>
      </c>
      <c r="D3428" s="1" t="s">
        <v>3628</v>
      </c>
      <c r="E3428" s="1" t="s">
        <v>25</v>
      </c>
      <c r="F3428">
        <v>735</v>
      </c>
      <c r="G3428">
        <v>735</v>
      </c>
      <c r="H3428" s="1" t="s">
        <v>25</v>
      </c>
      <c r="I3428" s="1" t="s">
        <v>1528</v>
      </c>
      <c r="J3428" s="1" t="s">
        <v>3631</v>
      </c>
      <c r="K3428" s="1" t="s">
        <v>25</v>
      </c>
      <c r="L3428">
        <v>-1.1399999999999999</v>
      </c>
      <c r="M3428" t="str">
        <f t="shared" si="113"/>
        <v>44/40</v>
      </c>
      <c r="N3428" t="str">
        <f t="shared" si="114"/>
        <v>SW</v>
      </c>
      <c r="O3428" s="1" t="s">
        <v>25</v>
      </c>
      <c r="P3428" s="3" t="s">
        <v>25</v>
      </c>
      <c r="Q3428" s="37">
        <v>0.15</v>
      </c>
      <c r="R3428" t="s">
        <v>231</v>
      </c>
      <c r="S3428" s="13">
        <f t="shared" si="112"/>
        <v>-1.1399999999999999</v>
      </c>
    </row>
    <row r="3429" spans="1:19">
      <c r="A3429" s="18" t="s">
        <v>3505</v>
      </c>
      <c r="B3429" s="1" t="s">
        <v>3578</v>
      </c>
      <c r="C3429" s="1" t="s">
        <v>2113</v>
      </c>
      <c r="D3429" s="1" t="s">
        <v>3628</v>
      </c>
      <c r="E3429" s="1" t="s">
        <v>25</v>
      </c>
      <c r="F3429">
        <v>735</v>
      </c>
      <c r="G3429">
        <v>735</v>
      </c>
      <c r="H3429" s="1" t="s">
        <v>25</v>
      </c>
      <c r="I3429" s="1" t="s">
        <v>1528</v>
      </c>
      <c r="J3429" s="1" t="s">
        <v>3631</v>
      </c>
      <c r="K3429" s="1" t="s">
        <v>25</v>
      </c>
      <c r="L3429">
        <v>-1.1200000000000001</v>
      </c>
      <c r="M3429" t="str">
        <f t="shared" si="113"/>
        <v>44/40</v>
      </c>
      <c r="N3429" t="str">
        <f t="shared" si="114"/>
        <v>SW</v>
      </c>
      <c r="O3429" s="1" t="s">
        <v>25</v>
      </c>
      <c r="P3429" s="3" t="s">
        <v>25</v>
      </c>
      <c r="Q3429" s="37">
        <v>0.15</v>
      </c>
      <c r="R3429" t="s">
        <v>231</v>
      </c>
      <c r="S3429" s="13">
        <f t="shared" si="112"/>
        <v>-1.1200000000000001</v>
      </c>
    </row>
    <row r="3430" spans="1:19">
      <c r="A3430" s="18" t="s">
        <v>3505</v>
      </c>
      <c r="B3430" s="1" t="s">
        <v>3579</v>
      </c>
      <c r="C3430" s="1" t="s">
        <v>2113</v>
      </c>
      <c r="D3430" s="1" t="s">
        <v>3628</v>
      </c>
      <c r="E3430" s="1" t="s">
        <v>25</v>
      </c>
      <c r="F3430">
        <v>735</v>
      </c>
      <c r="G3430">
        <v>735</v>
      </c>
      <c r="H3430" s="1" t="s">
        <v>25</v>
      </c>
      <c r="I3430" s="1" t="s">
        <v>1528</v>
      </c>
      <c r="J3430" s="1" t="s">
        <v>3631</v>
      </c>
      <c r="K3430" s="1" t="s">
        <v>25</v>
      </c>
      <c r="L3430">
        <v>-1.01</v>
      </c>
      <c r="M3430" t="str">
        <f t="shared" si="113"/>
        <v>44/40</v>
      </c>
      <c r="N3430" t="str">
        <f t="shared" si="114"/>
        <v>SW</v>
      </c>
      <c r="O3430" s="1" t="s">
        <v>25</v>
      </c>
      <c r="P3430" s="3" t="s">
        <v>25</v>
      </c>
      <c r="Q3430" s="37">
        <v>0.13</v>
      </c>
      <c r="R3430" t="s">
        <v>231</v>
      </c>
      <c r="S3430" s="13">
        <f t="shared" si="112"/>
        <v>-1.01</v>
      </c>
    </row>
    <row r="3431" spans="1:19">
      <c r="A3431" s="18" t="s">
        <v>3505</v>
      </c>
      <c r="B3431" s="1" t="s">
        <v>3580</v>
      </c>
      <c r="C3431" s="1" t="s">
        <v>2113</v>
      </c>
      <c r="D3431" s="1" t="s">
        <v>3628</v>
      </c>
      <c r="E3431" s="1" t="s">
        <v>25</v>
      </c>
      <c r="F3431">
        <v>735</v>
      </c>
      <c r="G3431">
        <v>735</v>
      </c>
      <c r="H3431" s="1" t="s">
        <v>25</v>
      </c>
      <c r="I3431" s="1" t="s">
        <v>1528</v>
      </c>
      <c r="J3431" s="1" t="s">
        <v>3631</v>
      </c>
      <c r="K3431" s="1" t="s">
        <v>25</v>
      </c>
      <c r="L3431">
        <v>-0.98</v>
      </c>
      <c r="M3431" t="str">
        <f t="shared" si="113"/>
        <v>44/40</v>
      </c>
      <c r="N3431" t="str">
        <f t="shared" si="114"/>
        <v>SW</v>
      </c>
      <c r="O3431" s="1" t="s">
        <v>25</v>
      </c>
      <c r="P3431" s="3" t="s">
        <v>25</v>
      </c>
      <c r="Q3431" s="37">
        <v>0.13</v>
      </c>
      <c r="R3431" t="s">
        <v>231</v>
      </c>
      <c r="S3431" s="13">
        <f t="shared" si="112"/>
        <v>-0.98</v>
      </c>
    </row>
    <row r="3432" spans="1:19">
      <c r="A3432" s="18" t="s">
        <v>3505</v>
      </c>
      <c r="B3432" s="1" t="s">
        <v>3581</v>
      </c>
      <c r="C3432" s="1" t="s">
        <v>2113</v>
      </c>
      <c r="D3432" s="1" t="s">
        <v>3628</v>
      </c>
      <c r="E3432" s="1" t="s">
        <v>25</v>
      </c>
      <c r="F3432">
        <v>735</v>
      </c>
      <c r="G3432">
        <v>735</v>
      </c>
      <c r="H3432" s="1" t="s">
        <v>25</v>
      </c>
      <c r="I3432" s="1" t="s">
        <v>1528</v>
      </c>
      <c r="J3432" s="1" t="s">
        <v>3631</v>
      </c>
      <c r="K3432" s="1" t="s">
        <v>25</v>
      </c>
      <c r="L3432">
        <v>-0.78</v>
      </c>
      <c r="M3432" t="str">
        <f t="shared" si="113"/>
        <v>44/40</v>
      </c>
      <c r="N3432" t="str">
        <f t="shared" si="114"/>
        <v>SW</v>
      </c>
      <c r="O3432" s="1" t="s">
        <v>25</v>
      </c>
      <c r="P3432" s="3" t="s">
        <v>25</v>
      </c>
      <c r="Q3432" s="37">
        <v>0.12</v>
      </c>
      <c r="R3432" t="s">
        <v>231</v>
      </c>
      <c r="S3432" s="13">
        <f t="shared" si="112"/>
        <v>-0.78</v>
      </c>
    </row>
    <row r="3433" spans="1:19">
      <c r="A3433" s="18" t="s">
        <v>3505</v>
      </c>
      <c r="B3433" s="1" t="s">
        <v>3582</v>
      </c>
      <c r="C3433" s="1" t="s">
        <v>2113</v>
      </c>
      <c r="D3433" s="1" t="s">
        <v>3628</v>
      </c>
      <c r="E3433" s="1" t="s">
        <v>25</v>
      </c>
      <c r="F3433">
        <v>735</v>
      </c>
      <c r="G3433">
        <v>735</v>
      </c>
      <c r="H3433" s="1" t="s">
        <v>25</v>
      </c>
      <c r="I3433" s="1" t="s">
        <v>1528</v>
      </c>
      <c r="J3433" s="1" t="s">
        <v>3631</v>
      </c>
      <c r="K3433" s="1" t="s">
        <v>25</v>
      </c>
      <c r="L3433">
        <v>-0.86</v>
      </c>
      <c r="M3433" t="str">
        <f t="shared" si="113"/>
        <v>44/40</v>
      </c>
      <c r="N3433" t="str">
        <f t="shared" si="114"/>
        <v>SW</v>
      </c>
      <c r="O3433" s="1" t="s">
        <v>25</v>
      </c>
      <c r="P3433" s="3" t="s">
        <v>25</v>
      </c>
      <c r="Q3433" s="37">
        <v>0.14000000000000001</v>
      </c>
      <c r="R3433" t="s">
        <v>231</v>
      </c>
      <c r="S3433" s="13">
        <f t="shared" si="112"/>
        <v>-0.86</v>
      </c>
    </row>
    <row r="3434" spans="1:19">
      <c r="A3434" s="18" t="s">
        <v>3505</v>
      </c>
      <c r="B3434" s="1" t="s">
        <v>3583</v>
      </c>
      <c r="C3434" s="1" t="s">
        <v>2113</v>
      </c>
      <c r="D3434" s="1" t="s">
        <v>3628</v>
      </c>
      <c r="E3434" s="1" t="s">
        <v>25</v>
      </c>
      <c r="F3434">
        <v>735</v>
      </c>
      <c r="G3434">
        <v>735</v>
      </c>
      <c r="H3434" s="1" t="s">
        <v>25</v>
      </c>
      <c r="I3434" s="1" t="s">
        <v>1528</v>
      </c>
      <c r="J3434" s="1" t="s">
        <v>3631</v>
      </c>
      <c r="K3434" s="1" t="s">
        <v>25</v>
      </c>
      <c r="L3434" t="s">
        <v>25</v>
      </c>
      <c r="M3434" t="str">
        <f t="shared" si="113"/>
        <v>Na</v>
      </c>
      <c r="N3434" t="str">
        <f t="shared" si="114"/>
        <v>Na</v>
      </c>
      <c r="O3434" s="1" t="s">
        <v>25</v>
      </c>
      <c r="P3434" s="3" t="s">
        <v>25</v>
      </c>
      <c r="Q3434" s="37">
        <v>0.14000000000000001</v>
      </c>
      <c r="R3434" t="s">
        <v>231</v>
      </c>
      <c r="S3434" s="13" t="s">
        <v>25</v>
      </c>
    </row>
    <row r="3435" spans="1:19">
      <c r="A3435" s="18" t="s">
        <v>3505</v>
      </c>
      <c r="B3435" s="1" t="s">
        <v>3584</v>
      </c>
      <c r="C3435" s="1" t="s">
        <v>2113</v>
      </c>
      <c r="D3435" s="1" t="s">
        <v>3628</v>
      </c>
      <c r="E3435" s="1" t="s">
        <v>25</v>
      </c>
      <c r="F3435">
        <v>735</v>
      </c>
      <c r="G3435">
        <v>735</v>
      </c>
      <c r="H3435" s="1" t="s">
        <v>25</v>
      </c>
      <c r="I3435" s="1" t="s">
        <v>1528</v>
      </c>
      <c r="J3435" s="1" t="s">
        <v>3631</v>
      </c>
      <c r="K3435" s="1" t="s">
        <v>25</v>
      </c>
      <c r="L3435">
        <v>-0.65</v>
      </c>
      <c r="M3435" t="str">
        <f t="shared" si="113"/>
        <v>44/40</v>
      </c>
      <c r="N3435" t="str">
        <f t="shared" si="114"/>
        <v>SW</v>
      </c>
      <c r="O3435" s="1" t="s">
        <v>25</v>
      </c>
      <c r="P3435" s="3" t="s">
        <v>25</v>
      </c>
      <c r="Q3435" s="37">
        <v>0.12</v>
      </c>
      <c r="R3435" t="s">
        <v>231</v>
      </c>
      <c r="S3435" s="13">
        <f t="shared" si="112"/>
        <v>-0.65</v>
      </c>
    </row>
    <row r="3436" spans="1:19">
      <c r="A3436" s="18" t="s">
        <v>3505</v>
      </c>
      <c r="B3436" s="1" t="s">
        <v>3585</v>
      </c>
      <c r="C3436" s="1" t="s">
        <v>2113</v>
      </c>
      <c r="D3436" s="1" t="s">
        <v>3628</v>
      </c>
      <c r="E3436" s="1" t="s">
        <v>25</v>
      </c>
      <c r="F3436">
        <v>735</v>
      </c>
      <c r="G3436">
        <v>735</v>
      </c>
      <c r="H3436" s="1" t="s">
        <v>25</v>
      </c>
      <c r="I3436" s="1" t="s">
        <v>1528</v>
      </c>
      <c r="J3436" s="1" t="s">
        <v>3631</v>
      </c>
      <c r="K3436" s="1" t="s">
        <v>25</v>
      </c>
      <c r="L3436">
        <v>-0.89</v>
      </c>
      <c r="M3436" t="str">
        <f t="shared" si="113"/>
        <v>44/40</v>
      </c>
      <c r="N3436" t="str">
        <f t="shared" si="114"/>
        <v>SW</v>
      </c>
      <c r="O3436" s="1" t="s">
        <v>25</v>
      </c>
      <c r="P3436" s="3" t="s">
        <v>25</v>
      </c>
      <c r="Q3436" s="37">
        <v>0.15</v>
      </c>
      <c r="R3436" t="s">
        <v>231</v>
      </c>
      <c r="S3436" s="13">
        <f t="shared" ref="S3436:S3499" si="116">IF(NOT(N3436="SW"),L3436-1.88,L3436)</f>
        <v>-0.89</v>
      </c>
    </row>
    <row r="3437" spans="1:19">
      <c r="A3437" s="18" t="s">
        <v>3505</v>
      </c>
      <c r="B3437" s="1" t="s">
        <v>3586</v>
      </c>
      <c r="C3437" s="1" t="s">
        <v>2113</v>
      </c>
      <c r="D3437" s="1" t="s">
        <v>3628</v>
      </c>
      <c r="E3437" s="1" t="s">
        <v>25</v>
      </c>
      <c r="F3437">
        <v>735</v>
      </c>
      <c r="G3437">
        <v>735</v>
      </c>
      <c r="H3437" s="1" t="s">
        <v>25</v>
      </c>
      <c r="I3437" s="1" t="s">
        <v>1528</v>
      </c>
      <c r="J3437" s="1" t="s">
        <v>3631</v>
      </c>
      <c r="K3437" s="1" t="s">
        <v>25</v>
      </c>
      <c r="L3437">
        <v>-0.78</v>
      </c>
      <c r="M3437" t="str">
        <f t="shared" si="113"/>
        <v>44/40</v>
      </c>
      <c r="N3437" t="str">
        <f t="shared" si="114"/>
        <v>SW</v>
      </c>
      <c r="O3437" s="1" t="s">
        <v>25</v>
      </c>
      <c r="P3437" s="3" t="s">
        <v>25</v>
      </c>
      <c r="Q3437" s="37">
        <v>0.12</v>
      </c>
      <c r="R3437" t="s">
        <v>231</v>
      </c>
      <c r="S3437" s="13">
        <f t="shared" si="116"/>
        <v>-0.78</v>
      </c>
    </row>
    <row r="3438" spans="1:19">
      <c r="A3438" s="18" t="s">
        <v>3505</v>
      </c>
      <c r="B3438" s="1" t="s">
        <v>3587</v>
      </c>
      <c r="C3438" s="1" t="s">
        <v>2113</v>
      </c>
      <c r="D3438" s="1" t="s">
        <v>3628</v>
      </c>
      <c r="E3438" s="1" t="s">
        <v>25</v>
      </c>
      <c r="F3438">
        <v>735</v>
      </c>
      <c r="G3438">
        <v>735</v>
      </c>
      <c r="H3438" s="1" t="s">
        <v>25</v>
      </c>
      <c r="I3438" s="1" t="s">
        <v>1528</v>
      </c>
      <c r="J3438" s="1" t="s">
        <v>3631</v>
      </c>
      <c r="K3438" s="1" t="s">
        <v>25</v>
      </c>
      <c r="L3438">
        <v>-0.77</v>
      </c>
      <c r="M3438" t="str">
        <f t="shared" si="113"/>
        <v>44/40</v>
      </c>
      <c r="N3438" t="str">
        <f t="shared" si="114"/>
        <v>SW</v>
      </c>
      <c r="O3438" s="1" t="s">
        <v>25</v>
      </c>
      <c r="P3438" s="3" t="s">
        <v>25</v>
      </c>
      <c r="Q3438" s="37">
        <v>0.13</v>
      </c>
      <c r="R3438" t="s">
        <v>231</v>
      </c>
      <c r="S3438" s="13">
        <f t="shared" si="116"/>
        <v>-0.77</v>
      </c>
    </row>
    <row r="3439" spans="1:19">
      <c r="A3439" s="18" t="s">
        <v>3505</v>
      </c>
      <c r="B3439" s="1" t="s">
        <v>3588</v>
      </c>
      <c r="C3439" s="1" t="s">
        <v>2113</v>
      </c>
      <c r="D3439" s="1" t="s">
        <v>3628</v>
      </c>
      <c r="E3439" s="1" t="s">
        <v>25</v>
      </c>
      <c r="F3439">
        <v>735</v>
      </c>
      <c r="G3439">
        <v>735</v>
      </c>
      <c r="H3439" s="1" t="s">
        <v>25</v>
      </c>
      <c r="I3439" s="1" t="s">
        <v>1528</v>
      </c>
      <c r="J3439" s="1" t="s">
        <v>3631</v>
      </c>
      <c r="K3439" s="1" t="s">
        <v>25</v>
      </c>
      <c r="L3439">
        <v>-0.85</v>
      </c>
      <c r="M3439" t="str">
        <f t="shared" si="113"/>
        <v>44/40</v>
      </c>
      <c r="N3439" t="str">
        <f t="shared" si="114"/>
        <v>SW</v>
      </c>
      <c r="O3439" s="1" t="s">
        <v>25</v>
      </c>
      <c r="P3439" s="3" t="s">
        <v>25</v>
      </c>
      <c r="Q3439" s="37">
        <v>0.18</v>
      </c>
      <c r="R3439" t="s">
        <v>231</v>
      </c>
      <c r="S3439" s="13">
        <f t="shared" si="116"/>
        <v>-0.85</v>
      </c>
    </row>
    <row r="3440" spans="1:19">
      <c r="A3440" s="18" t="s">
        <v>3505</v>
      </c>
      <c r="B3440" s="1" t="s">
        <v>3589</v>
      </c>
      <c r="C3440" s="1" t="s">
        <v>2113</v>
      </c>
      <c r="D3440" s="1" t="s">
        <v>3628</v>
      </c>
      <c r="E3440" s="1" t="s">
        <v>25</v>
      </c>
      <c r="F3440">
        <v>735</v>
      </c>
      <c r="G3440">
        <v>735</v>
      </c>
      <c r="H3440" s="1" t="s">
        <v>25</v>
      </c>
      <c r="I3440" s="1" t="s">
        <v>1528</v>
      </c>
      <c r="J3440" s="1" t="s">
        <v>3631</v>
      </c>
      <c r="K3440" s="1" t="s">
        <v>25</v>
      </c>
      <c r="L3440">
        <v>-0.6</v>
      </c>
      <c r="M3440" t="str">
        <f t="shared" ref="M3440:M3503" si="117">IF(L3440="Na","Na","44/40")</f>
        <v>44/40</v>
      </c>
      <c r="N3440" t="str">
        <f t="shared" ref="N3440:N3503" si="118">IF(M3440="Na","Na","SW")</f>
        <v>SW</v>
      </c>
      <c r="O3440" s="1" t="s">
        <v>25</v>
      </c>
      <c r="P3440" s="3" t="s">
        <v>25</v>
      </c>
      <c r="Q3440" s="37">
        <v>0.17</v>
      </c>
      <c r="R3440" t="s">
        <v>231</v>
      </c>
      <c r="S3440" s="13">
        <f t="shared" si="116"/>
        <v>-0.6</v>
      </c>
    </row>
    <row r="3441" spans="1:19">
      <c r="A3441" s="18" t="s">
        <v>3505</v>
      </c>
      <c r="B3441" s="1" t="s">
        <v>3590</v>
      </c>
      <c r="C3441" s="1" t="s">
        <v>2113</v>
      </c>
      <c r="D3441" s="1" t="s">
        <v>3628</v>
      </c>
      <c r="E3441" s="1" t="s">
        <v>25</v>
      </c>
      <c r="F3441">
        <v>735</v>
      </c>
      <c r="G3441">
        <v>735</v>
      </c>
      <c r="H3441" s="1" t="s">
        <v>25</v>
      </c>
      <c r="I3441" s="1" t="s">
        <v>1528</v>
      </c>
      <c r="J3441" s="1" t="s">
        <v>3631</v>
      </c>
      <c r="K3441" s="1" t="s">
        <v>25</v>
      </c>
      <c r="L3441" t="s">
        <v>25</v>
      </c>
      <c r="M3441" t="str">
        <f t="shared" si="117"/>
        <v>Na</v>
      </c>
      <c r="N3441" t="str">
        <f t="shared" si="118"/>
        <v>Na</v>
      </c>
      <c r="O3441" s="1" t="s">
        <v>25</v>
      </c>
      <c r="P3441" s="3" t="s">
        <v>25</v>
      </c>
      <c r="Q3441" s="37">
        <v>0.18</v>
      </c>
      <c r="R3441" t="s">
        <v>231</v>
      </c>
      <c r="S3441" s="13" t="s">
        <v>25</v>
      </c>
    </row>
    <row r="3442" spans="1:19">
      <c r="A3442" s="18" t="s">
        <v>3505</v>
      </c>
      <c r="B3442" s="1" t="s">
        <v>3591</v>
      </c>
      <c r="C3442" s="1" t="s">
        <v>2113</v>
      </c>
      <c r="D3442" s="1" t="s">
        <v>3628</v>
      </c>
      <c r="E3442" s="1" t="s">
        <v>25</v>
      </c>
      <c r="F3442">
        <v>735</v>
      </c>
      <c r="G3442">
        <v>735</v>
      </c>
      <c r="H3442" s="1" t="s">
        <v>25</v>
      </c>
      <c r="I3442" s="1" t="s">
        <v>1528</v>
      </c>
      <c r="J3442" s="1" t="s">
        <v>3631</v>
      </c>
      <c r="K3442" s="1" t="s">
        <v>25</v>
      </c>
      <c r="L3442">
        <v>-0.25</v>
      </c>
      <c r="M3442" t="str">
        <f t="shared" si="117"/>
        <v>44/40</v>
      </c>
      <c r="N3442" t="str">
        <f t="shared" si="118"/>
        <v>SW</v>
      </c>
      <c r="O3442" s="1" t="s">
        <v>25</v>
      </c>
      <c r="P3442" s="3" t="s">
        <v>25</v>
      </c>
      <c r="Q3442" s="37">
        <v>0.24</v>
      </c>
      <c r="R3442" t="s">
        <v>231</v>
      </c>
      <c r="S3442" s="13">
        <f t="shared" si="116"/>
        <v>-0.25</v>
      </c>
    </row>
    <row r="3443" spans="1:19">
      <c r="A3443" s="18" t="s">
        <v>3505</v>
      </c>
      <c r="B3443" s="1" t="s">
        <v>3592</v>
      </c>
      <c r="C3443" s="1" t="s">
        <v>2113</v>
      </c>
      <c r="D3443" s="1" t="s">
        <v>3628</v>
      </c>
      <c r="E3443" s="1" t="s">
        <v>25</v>
      </c>
      <c r="F3443">
        <v>735</v>
      </c>
      <c r="G3443">
        <v>735</v>
      </c>
      <c r="H3443" s="1" t="s">
        <v>25</v>
      </c>
      <c r="I3443" s="1" t="s">
        <v>1528</v>
      </c>
      <c r="J3443" s="1" t="s">
        <v>3631</v>
      </c>
      <c r="K3443" s="1" t="s">
        <v>25</v>
      </c>
      <c r="L3443">
        <v>-0.37</v>
      </c>
      <c r="M3443" t="str">
        <f t="shared" si="117"/>
        <v>44/40</v>
      </c>
      <c r="N3443" t="str">
        <f t="shared" si="118"/>
        <v>SW</v>
      </c>
      <c r="O3443" s="1" t="s">
        <v>25</v>
      </c>
      <c r="P3443" s="3" t="s">
        <v>25</v>
      </c>
      <c r="Q3443" s="37">
        <v>0.32</v>
      </c>
      <c r="R3443" t="s">
        <v>231</v>
      </c>
      <c r="S3443" s="13">
        <f t="shared" si="116"/>
        <v>-0.37</v>
      </c>
    </row>
    <row r="3444" spans="1:19">
      <c r="A3444" s="18" t="s">
        <v>3505</v>
      </c>
      <c r="B3444" s="1" t="s">
        <v>3593</v>
      </c>
      <c r="C3444" s="1" t="s">
        <v>2113</v>
      </c>
      <c r="D3444" s="1" t="s">
        <v>3628</v>
      </c>
      <c r="E3444" s="1" t="s">
        <v>25</v>
      </c>
      <c r="F3444">
        <v>735</v>
      </c>
      <c r="G3444">
        <v>735</v>
      </c>
      <c r="H3444" s="1" t="s">
        <v>25</v>
      </c>
      <c r="I3444" s="1" t="s">
        <v>1528</v>
      </c>
      <c r="J3444" s="1" t="s">
        <v>3631</v>
      </c>
      <c r="K3444" s="1" t="s">
        <v>25</v>
      </c>
      <c r="L3444">
        <v>-0.55000000000000004</v>
      </c>
      <c r="M3444" t="str">
        <f t="shared" si="117"/>
        <v>44/40</v>
      </c>
      <c r="N3444" t="str">
        <f t="shared" si="118"/>
        <v>SW</v>
      </c>
      <c r="O3444" s="1" t="s">
        <v>25</v>
      </c>
      <c r="P3444" s="3" t="s">
        <v>25</v>
      </c>
      <c r="Q3444" s="37">
        <v>0.28000000000000003</v>
      </c>
      <c r="R3444" t="s">
        <v>231</v>
      </c>
      <c r="S3444" s="13">
        <f t="shared" si="116"/>
        <v>-0.55000000000000004</v>
      </c>
    </row>
    <row r="3445" spans="1:19">
      <c r="A3445" s="18" t="s">
        <v>3505</v>
      </c>
      <c r="B3445" s="1" t="s">
        <v>3594</v>
      </c>
      <c r="C3445" s="1" t="s">
        <v>2113</v>
      </c>
      <c r="D3445" s="1" t="s">
        <v>3628</v>
      </c>
      <c r="E3445" s="1" t="s">
        <v>25</v>
      </c>
      <c r="F3445">
        <v>735</v>
      </c>
      <c r="G3445">
        <v>735</v>
      </c>
      <c r="H3445" s="1" t="s">
        <v>25</v>
      </c>
      <c r="I3445" s="1" t="s">
        <v>1528</v>
      </c>
      <c r="J3445" s="1" t="s">
        <v>3631</v>
      </c>
      <c r="K3445" s="1" t="s">
        <v>25</v>
      </c>
      <c r="L3445" t="s">
        <v>25</v>
      </c>
      <c r="M3445" t="str">
        <f t="shared" si="117"/>
        <v>Na</v>
      </c>
      <c r="N3445" t="str">
        <f t="shared" si="118"/>
        <v>Na</v>
      </c>
      <c r="O3445" s="1" t="s">
        <v>25</v>
      </c>
      <c r="P3445" s="3" t="s">
        <v>25</v>
      </c>
      <c r="Q3445" s="37">
        <v>0.25</v>
      </c>
      <c r="R3445" t="s">
        <v>231</v>
      </c>
      <c r="S3445" s="13" t="s">
        <v>25</v>
      </c>
    </row>
    <row r="3446" spans="1:19">
      <c r="A3446" s="18" t="s">
        <v>3505</v>
      </c>
      <c r="B3446" s="1" t="s">
        <v>3595</v>
      </c>
      <c r="C3446" s="1" t="s">
        <v>2113</v>
      </c>
      <c r="D3446" s="1" t="s">
        <v>3628</v>
      </c>
      <c r="E3446" s="1" t="s">
        <v>25</v>
      </c>
      <c r="F3446">
        <v>735</v>
      </c>
      <c r="G3446">
        <v>735</v>
      </c>
      <c r="H3446" s="1" t="s">
        <v>25</v>
      </c>
      <c r="I3446" s="1" t="s">
        <v>1528</v>
      </c>
      <c r="J3446" s="1" t="s">
        <v>3631</v>
      </c>
      <c r="K3446" s="1" t="s">
        <v>25</v>
      </c>
      <c r="L3446">
        <v>-0.48</v>
      </c>
      <c r="M3446" t="str">
        <f t="shared" si="117"/>
        <v>44/40</v>
      </c>
      <c r="N3446" t="str">
        <f t="shared" si="118"/>
        <v>SW</v>
      </c>
      <c r="O3446" s="1" t="s">
        <v>25</v>
      </c>
      <c r="P3446" s="3" t="s">
        <v>25</v>
      </c>
      <c r="Q3446" s="37">
        <v>0.24</v>
      </c>
      <c r="R3446" t="s">
        <v>231</v>
      </c>
      <c r="S3446" s="13">
        <f t="shared" si="116"/>
        <v>-0.48</v>
      </c>
    </row>
    <row r="3447" spans="1:19">
      <c r="A3447" s="18" t="s">
        <v>3505</v>
      </c>
      <c r="B3447" s="1" t="s">
        <v>3596</v>
      </c>
      <c r="C3447" s="1" t="s">
        <v>2113</v>
      </c>
      <c r="D3447" s="1" t="s">
        <v>3628</v>
      </c>
      <c r="E3447" s="1" t="s">
        <v>25</v>
      </c>
      <c r="F3447">
        <v>735</v>
      </c>
      <c r="G3447">
        <v>735</v>
      </c>
      <c r="H3447" s="1" t="s">
        <v>25</v>
      </c>
      <c r="I3447" s="1" t="s">
        <v>1528</v>
      </c>
      <c r="J3447" s="1" t="s">
        <v>3631</v>
      </c>
      <c r="K3447" s="1" t="s">
        <v>25</v>
      </c>
      <c r="L3447">
        <v>-0.82</v>
      </c>
      <c r="M3447" t="str">
        <f t="shared" si="117"/>
        <v>44/40</v>
      </c>
      <c r="N3447" t="str">
        <f t="shared" si="118"/>
        <v>SW</v>
      </c>
      <c r="O3447" s="1" t="s">
        <v>25</v>
      </c>
      <c r="P3447" s="3" t="s">
        <v>25</v>
      </c>
      <c r="Q3447" s="37">
        <v>0.22</v>
      </c>
      <c r="R3447" t="s">
        <v>231</v>
      </c>
      <c r="S3447" s="13">
        <f t="shared" si="116"/>
        <v>-0.82</v>
      </c>
    </row>
    <row r="3448" spans="1:19">
      <c r="A3448" s="18" t="s">
        <v>3505</v>
      </c>
      <c r="B3448" s="1" t="s">
        <v>3597</v>
      </c>
      <c r="C3448" s="1" t="s">
        <v>2113</v>
      </c>
      <c r="D3448" s="1" t="s">
        <v>3628</v>
      </c>
      <c r="E3448" s="1" t="s">
        <v>25</v>
      </c>
      <c r="F3448">
        <v>735</v>
      </c>
      <c r="G3448">
        <v>735</v>
      </c>
      <c r="H3448" s="1" t="s">
        <v>25</v>
      </c>
      <c r="I3448" s="1" t="s">
        <v>1528</v>
      </c>
      <c r="J3448" s="1" t="s">
        <v>3631</v>
      </c>
      <c r="K3448" s="1" t="s">
        <v>25</v>
      </c>
      <c r="L3448">
        <v>-0.71</v>
      </c>
      <c r="M3448" t="str">
        <f t="shared" si="117"/>
        <v>44/40</v>
      </c>
      <c r="N3448" t="str">
        <f t="shared" si="118"/>
        <v>SW</v>
      </c>
      <c r="O3448" s="1" t="s">
        <v>25</v>
      </c>
      <c r="P3448" s="3" t="s">
        <v>25</v>
      </c>
      <c r="Q3448" s="37">
        <v>0.28000000000000003</v>
      </c>
      <c r="R3448" t="s">
        <v>231</v>
      </c>
      <c r="S3448" s="13">
        <f t="shared" si="116"/>
        <v>-0.71</v>
      </c>
    </row>
    <row r="3449" spans="1:19">
      <c r="A3449" s="18" t="s">
        <v>3505</v>
      </c>
      <c r="B3449" s="1" t="s">
        <v>3598</v>
      </c>
      <c r="C3449" s="1" t="s">
        <v>2113</v>
      </c>
      <c r="D3449" s="1" t="s">
        <v>3628</v>
      </c>
      <c r="E3449" s="1" t="s">
        <v>25</v>
      </c>
      <c r="F3449">
        <v>735</v>
      </c>
      <c r="G3449">
        <v>735</v>
      </c>
      <c r="H3449" s="1" t="s">
        <v>25</v>
      </c>
      <c r="I3449" s="1" t="s">
        <v>1528</v>
      </c>
      <c r="J3449" s="1" t="s">
        <v>3631</v>
      </c>
      <c r="K3449" s="1" t="s">
        <v>25</v>
      </c>
      <c r="L3449">
        <v>-0.61</v>
      </c>
      <c r="M3449" t="str">
        <f t="shared" si="117"/>
        <v>44/40</v>
      </c>
      <c r="N3449" t="str">
        <f t="shared" si="118"/>
        <v>SW</v>
      </c>
      <c r="O3449" s="1" t="s">
        <v>25</v>
      </c>
      <c r="P3449" s="3" t="s">
        <v>25</v>
      </c>
      <c r="Q3449" s="37">
        <v>0.28999999999999998</v>
      </c>
      <c r="R3449" t="s">
        <v>231</v>
      </c>
      <c r="S3449" s="13">
        <f t="shared" si="116"/>
        <v>-0.61</v>
      </c>
    </row>
    <row r="3450" spans="1:19">
      <c r="A3450" s="18" t="s">
        <v>3505</v>
      </c>
      <c r="B3450" s="1" t="s">
        <v>3599</v>
      </c>
      <c r="C3450" s="1" t="s">
        <v>2113</v>
      </c>
      <c r="D3450" s="1" t="s">
        <v>3628</v>
      </c>
      <c r="E3450" s="1" t="s">
        <v>25</v>
      </c>
      <c r="F3450">
        <v>735</v>
      </c>
      <c r="G3450">
        <v>735</v>
      </c>
      <c r="H3450" s="1" t="s">
        <v>25</v>
      </c>
      <c r="I3450" s="1" t="s">
        <v>1528</v>
      </c>
      <c r="J3450" s="1" t="s">
        <v>3631</v>
      </c>
      <c r="K3450" s="1" t="s">
        <v>25</v>
      </c>
      <c r="L3450">
        <v>-0.56000000000000005</v>
      </c>
      <c r="M3450" t="str">
        <f t="shared" si="117"/>
        <v>44/40</v>
      </c>
      <c r="N3450" t="str">
        <f t="shared" si="118"/>
        <v>SW</v>
      </c>
      <c r="O3450" s="1" t="s">
        <v>25</v>
      </c>
      <c r="P3450" s="3" t="s">
        <v>25</v>
      </c>
      <c r="Q3450" s="37">
        <v>0.32</v>
      </c>
      <c r="R3450" t="s">
        <v>231</v>
      </c>
      <c r="S3450" s="13">
        <f t="shared" si="116"/>
        <v>-0.56000000000000005</v>
      </c>
    </row>
    <row r="3451" spans="1:19">
      <c r="A3451" s="18" t="s">
        <v>3505</v>
      </c>
      <c r="B3451" s="1" t="s">
        <v>3600</v>
      </c>
      <c r="C3451" s="1" t="s">
        <v>2113</v>
      </c>
      <c r="D3451" s="1" t="s">
        <v>3628</v>
      </c>
      <c r="E3451" s="1" t="s">
        <v>25</v>
      </c>
      <c r="F3451">
        <v>735</v>
      </c>
      <c r="G3451">
        <v>735</v>
      </c>
      <c r="H3451" s="1" t="s">
        <v>25</v>
      </c>
      <c r="I3451" s="1" t="s">
        <v>1528</v>
      </c>
      <c r="J3451" s="1" t="s">
        <v>3631</v>
      </c>
      <c r="K3451" s="1" t="s">
        <v>25</v>
      </c>
      <c r="L3451">
        <v>-0.41</v>
      </c>
      <c r="M3451" t="str">
        <f t="shared" si="117"/>
        <v>44/40</v>
      </c>
      <c r="N3451" t="str">
        <f t="shared" si="118"/>
        <v>SW</v>
      </c>
      <c r="O3451" s="1" t="s">
        <v>25</v>
      </c>
      <c r="P3451" s="3" t="s">
        <v>25</v>
      </c>
      <c r="Q3451" s="37">
        <v>0.28999999999999998</v>
      </c>
      <c r="R3451" t="s">
        <v>231</v>
      </c>
      <c r="S3451" s="13">
        <f t="shared" si="116"/>
        <v>-0.41</v>
      </c>
    </row>
    <row r="3452" spans="1:19">
      <c r="A3452" s="18" t="s">
        <v>3505</v>
      </c>
      <c r="B3452" s="1" t="s">
        <v>3601</v>
      </c>
      <c r="C3452" s="1" t="s">
        <v>2113</v>
      </c>
      <c r="D3452" s="1" t="s">
        <v>3628</v>
      </c>
      <c r="E3452" s="1" t="s">
        <v>25</v>
      </c>
      <c r="F3452">
        <v>735</v>
      </c>
      <c r="G3452">
        <v>735</v>
      </c>
      <c r="H3452" s="1" t="s">
        <v>25</v>
      </c>
      <c r="I3452" s="1" t="s">
        <v>1528</v>
      </c>
      <c r="J3452" s="1" t="s">
        <v>3631</v>
      </c>
      <c r="K3452" s="1" t="s">
        <v>25</v>
      </c>
      <c r="L3452">
        <v>-0.7</v>
      </c>
      <c r="M3452" t="str">
        <f t="shared" si="117"/>
        <v>44/40</v>
      </c>
      <c r="N3452" t="str">
        <f t="shared" si="118"/>
        <v>SW</v>
      </c>
      <c r="O3452" s="1" t="s">
        <v>25</v>
      </c>
      <c r="P3452" s="3" t="s">
        <v>25</v>
      </c>
      <c r="Q3452" s="37">
        <v>0.18</v>
      </c>
      <c r="R3452" t="s">
        <v>231</v>
      </c>
      <c r="S3452" s="13">
        <f t="shared" si="116"/>
        <v>-0.7</v>
      </c>
    </row>
    <row r="3453" spans="1:19">
      <c r="A3453" s="18" t="s">
        <v>3505</v>
      </c>
      <c r="B3453" s="1" t="s">
        <v>3602</v>
      </c>
      <c r="C3453" s="1" t="s">
        <v>2113</v>
      </c>
      <c r="D3453" s="1" t="s">
        <v>3628</v>
      </c>
      <c r="E3453" s="1" t="s">
        <v>25</v>
      </c>
      <c r="F3453">
        <v>735</v>
      </c>
      <c r="G3453">
        <v>735</v>
      </c>
      <c r="H3453" s="1" t="s">
        <v>25</v>
      </c>
      <c r="I3453" s="1" t="s">
        <v>1528</v>
      </c>
      <c r="J3453" s="1" t="s">
        <v>3631</v>
      </c>
      <c r="K3453" s="1" t="s">
        <v>25</v>
      </c>
      <c r="L3453" t="s">
        <v>25</v>
      </c>
      <c r="M3453" t="str">
        <f t="shared" si="117"/>
        <v>Na</v>
      </c>
      <c r="N3453" t="str">
        <f t="shared" si="118"/>
        <v>Na</v>
      </c>
      <c r="O3453" s="1" t="s">
        <v>25</v>
      </c>
      <c r="P3453" s="3" t="s">
        <v>25</v>
      </c>
      <c r="Q3453" s="37">
        <v>0.23</v>
      </c>
      <c r="R3453" t="s">
        <v>231</v>
      </c>
      <c r="S3453" s="13" t="s">
        <v>25</v>
      </c>
    </row>
    <row r="3454" spans="1:19">
      <c r="A3454" s="18" t="s">
        <v>3505</v>
      </c>
      <c r="B3454" s="1" t="s">
        <v>3603</v>
      </c>
      <c r="C3454" s="1" t="s">
        <v>2113</v>
      </c>
      <c r="D3454" s="1" t="s">
        <v>3628</v>
      </c>
      <c r="E3454" s="1" t="s">
        <v>25</v>
      </c>
      <c r="F3454">
        <v>735</v>
      </c>
      <c r="G3454">
        <v>735</v>
      </c>
      <c r="H3454" s="1" t="s">
        <v>25</v>
      </c>
      <c r="I3454" s="1" t="s">
        <v>1528</v>
      </c>
      <c r="J3454" s="1" t="s">
        <v>3631</v>
      </c>
      <c r="K3454" s="1" t="s">
        <v>25</v>
      </c>
      <c r="L3454">
        <v>-0.93</v>
      </c>
      <c r="M3454" t="str">
        <f t="shared" si="117"/>
        <v>44/40</v>
      </c>
      <c r="N3454" t="str">
        <f t="shared" si="118"/>
        <v>SW</v>
      </c>
      <c r="O3454" s="1" t="s">
        <v>25</v>
      </c>
      <c r="P3454" s="3" t="s">
        <v>25</v>
      </c>
      <c r="Q3454" s="37">
        <v>0.13</v>
      </c>
      <c r="R3454" t="s">
        <v>231</v>
      </c>
      <c r="S3454" s="13">
        <f t="shared" si="116"/>
        <v>-0.93</v>
      </c>
    </row>
    <row r="3455" spans="1:19">
      <c r="A3455" s="18" t="s">
        <v>3505</v>
      </c>
      <c r="B3455" s="1" t="s">
        <v>3604</v>
      </c>
      <c r="C3455" s="1" t="s">
        <v>2113</v>
      </c>
      <c r="D3455" s="1" t="s">
        <v>3628</v>
      </c>
      <c r="E3455" s="1" t="s">
        <v>25</v>
      </c>
      <c r="F3455">
        <v>735</v>
      </c>
      <c r="G3455">
        <v>735</v>
      </c>
      <c r="H3455" s="1" t="s">
        <v>25</v>
      </c>
      <c r="I3455" s="1" t="s">
        <v>1528</v>
      </c>
      <c r="J3455" s="1" t="s">
        <v>3631</v>
      </c>
      <c r="K3455" s="1" t="s">
        <v>25</v>
      </c>
      <c r="L3455">
        <v>-0.94</v>
      </c>
      <c r="M3455" t="str">
        <f t="shared" si="117"/>
        <v>44/40</v>
      </c>
      <c r="N3455" t="str">
        <f t="shared" si="118"/>
        <v>SW</v>
      </c>
      <c r="O3455" s="1" t="s">
        <v>25</v>
      </c>
      <c r="P3455" s="3" t="s">
        <v>25</v>
      </c>
      <c r="Q3455" s="37">
        <v>0.14000000000000001</v>
      </c>
      <c r="R3455" t="s">
        <v>231</v>
      </c>
      <c r="S3455" s="13">
        <f t="shared" si="116"/>
        <v>-0.94</v>
      </c>
    </row>
    <row r="3456" spans="1:19">
      <c r="A3456" s="18" t="s">
        <v>3505</v>
      </c>
      <c r="B3456" s="1" t="s">
        <v>3605</v>
      </c>
      <c r="C3456" s="1" t="s">
        <v>2113</v>
      </c>
      <c r="D3456" s="1" t="s">
        <v>3628</v>
      </c>
      <c r="E3456" s="1" t="s">
        <v>25</v>
      </c>
      <c r="F3456">
        <v>735</v>
      </c>
      <c r="G3456">
        <v>735</v>
      </c>
      <c r="H3456" s="1" t="s">
        <v>25</v>
      </c>
      <c r="I3456" s="1" t="s">
        <v>1528</v>
      </c>
      <c r="J3456" s="1" t="s">
        <v>3631</v>
      </c>
      <c r="K3456" s="1" t="s">
        <v>25</v>
      </c>
      <c r="L3456">
        <v>-0.85</v>
      </c>
      <c r="M3456" t="str">
        <f t="shared" si="117"/>
        <v>44/40</v>
      </c>
      <c r="N3456" t="str">
        <f t="shared" si="118"/>
        <v>SW</v>
      </c>
      <c r="O3456" s="1" t="s">
        <v>25</v>
      </c>
      <c r="P3456" s="3" t="s">
        <v>25</v>
      </c>
      <c r="Q3456" s="37">
        <v>0.21</v>
      </c>
      <c r="R3456" t="s">
        <v>231</v>
      </c>
      <c r="S3456" s="13">
        <f t="shared" si="116"/>
        <v>-0.85</v>
      </c>
    </row>
    <row r="3457" spans="1:19">
      <c r="A3457" s="18" t="s">
        <v>3505</v>
      </c>
      <c r="B3457" s="1" t="s">
        <v>3606</v>
      </c>
      <c r="C3457" s="1" t="s">
        <v>2113</v>
      </c>
      <c r="D3457" s="1" t="s">
        <v>3628</v>
      </c>
      <c r="E3457" s="1" t="s">
        <v>25</v>
      </c>
      <c r="F3457">
        <v>735</v>
      </c>
      <c r="G3457">
        <v>735</v>
      </c>
      <c r="H3457" s="1" t="s">
        <v>25</v>
      </c>
      <c r="I3457" s="1" t="s">
        <v>1528</v>
      </c>
      <c r="J3457" s="1" t="s">
        <v>3631</v>
      </c>
      <c r="K3457" s="1" t="s">
        <v>25</v>
      </c>
      <c r="L3457">
        <v>-0.72</v>
      </c>
      <c r="M3457" t="str">
        <f t="shared" si="117"/>
        <v>44/40</v>
      </c>
      <c r="N3457" t="str">
        <f t="shared" si="118"/>
        <v>SW</v>
      </c>
      <c r="O3457" s="1" t="s">
        <v>25</v>
      </c>
      <c r="P3457" s="3" t="s">
        <v>25</v>
      </c>
      <c r="Q3457" s="37">
        <v>0.23</v>
      </c>
      <c r="R3457" t="s">
        <v>231</v>
      </c>
      <c r="S3457" s="13">
        <f t="shared" si="116"/>
        <v>-0.72</v>
      </c>
    </row>
    <row r="3458" spans="1:19">
      <c r="A3458" s="18" t="s">
        <v>3505</v>
      </c>
      <c r="B3458" s="1" t="s">
        <v>3607</v>
      </c>
      <c r="C3458" s="1" t="s">
        <v>2113</v>
      </c>
      <c r="D3458" s="1" t="s">
        <v>3628</v>
      </c>
      <c r="E3458" s="1" t="s">
        <v>25</v>
      </c>
      <c r="F3458">
        <v>735</v>
      </c>
      <c r="G3458">
        <v>735</v>
      </c>
      <c r="H3458" s="1" t="s">
        <v>25</v>
      </c>
      <c r="I3458" s="1" t="s">
        <v>1528</v>
      </c>
      <c r="J3458" s="1" t="s">
        <v>3631</v>
      </c>
      <c r="K3458" s="1" t="s">
        <v>25</v>
      </c>
      <c r="L3458">
        <v>-0.55000000000000004</v>
      </c>
      <c r="M3458" t="str">
        <f t="shared" si="117"/>
        <v>44/40</v>
      </c>
      <c r="N3458" t="str">
        <f t="shared" si="118"/>
        <v>SW</v>
      </c>
      <c r="O3458" s="1" t="s">
        <v>25</v>
      </c>
      <c r="P3458" s="3" t="s">
        <v>25</v>
      </c>
      <c r="Q3458" s="37">
        <v>0.17</v>
      </c>
      <c r="R3458" t="s">
        <v>231</v>
      </c>
      <c r="S3458" s="13">
        <f t="shared" si="116"/>
        <v>-0.55000000000000004</v>
      </c>
    </row>
    <row r="3459" spans="1:19">
      <c r="A3459" s="18" t="s">
        <v>3505</v>
      </c>
      <c r="B3459" s="1" t="s">
        <v>3608</v>
      </c>
      <c r="C3459" s="1" t="s">
        <v>2113</v>
      </c>
      <c r="D3459" s="1" t="s">
        <v>3628</v>
      </c>
      <c r="E3459" s="1" t="s">
        <v>25</v>
      </c>
      <c r="F3459">
        <v>735</v>
      </c>
      <c r="G3459">
        <v>735</v>
      </c>
      <c r="H3459" s="1" t="s">
        <v>25</v>
      </c>
      <c r="I3459" s="1" t="s">
        <v>1528</v>
      </c>
      <c r="J3459" s="1" t="s">
        <v>3631</v>
      </c>
      <c r="K3459" s="1" t="s">
        <v>25</v>
      </c>
      <c r="L3459">
        <v>-0.83</v>
      </c>
      <c r="M3459" t="str">
        <f t="shared" si="117"/>
        <v>44/40</v>
      </c>
      <c r="N3459" t="str">
        <f t="shared" si="118"/>
        <v>SW</v>
      </c>
      <c r="O3459" s="1" t="s">
        <v>25</v>
      </c>
      <c r="P3459" s="3" t="s">
        <v>25</v>
      </c>
      <c r="Q3459" s="37">
        <v>0.12</v>
      </c>
      <c r="R3459" t="s">
        <v>231</v>
      </c>
      <c r="S3459" s="13">
        <f t="shared" si="116"/>
        <v>-0.83</v>
      </c>
    </row>
    <row r="3460" spans="1:19">
      <c r="A3460" s="18" t="s">
        <v>3505</v>
      </c>
      <c r="B3460" s="1" t="s">
        <v>3609</v>
      </c>
      <c r="C3460" s="1" t="s">
        <v>2113</v>
      </c>
      <c r="D3460" s="1" t="s">
        <v>3628</v>
      </c>
      <c r="E3460" s="1" t="s">
        <v>25</v>
      </c>
      <c r="F3460">
        <v>735</v>
      </c>
      <c r="G3460">
        <v>735</v>
      </c>
      <c r="H3460" s="1" t="s">
        <v>25</v>
      </c>
      <c r="I3460" s="1" t="s">
        <v>1528</v>
      </c>
      <c r="J3460" s="1" t="s">
        <v>3631</v>
      </c>
      <c r="K3460" s="1" t="s">
        <v>25</v>
      </c>
      <c r="L3460">
        <v>-0.94</v>
      </c>
      <c r="M3460" t="str">
        <f t="shared" si="117"/>
        <v>44/40</v>
      </c>
      <c r="N3460" t="str">
        <f t="shared" si="118"/>
        <v>SW</v>
      </c>
      <c r="O3460" s="1" t="s">
        <v>25</v>
      </c>
      <c r="P3460" s="3" t="s">
        <v>25</v>
      </c>
      <c r="Q3460" s="37">
        <v>0.1</v>
      </c>
      <c r="R3460" t="s">
        <v>231</v>
      </c>
      <c r="S3460" s="13">
        <f t="shared" si="116"/>
        <v>-0.94</v>
      </c>
    </row>
    <row r="3461" spans="1:19">
      <c r="A3461" s="18" t="s">
        <v>3505</v>
      </c>
      <c r="B3461" s="1" t="s">
        <v>3610</v>
      </c>
      <c r="C3461" s="1" t="s">
        <v>2113</v>
      </c>
      <c r="D3461" s="1" t="s">
        <v>3628</v>
      </c>
      <c r="E3461" s="1" t="s">
        <v>25</v>
      </c>
      <c r="F3461">
        <v>735</v>
      </c>
      <c r="G3461">
        <v>735</v>
      </c>
      <c r="H3461" s="1" t="s">
        <v>25</v>
      </c>
      <c r="I3461" s="1" t="s">
        <v>1528</v>
      </c>
      <c r="J3461" s="1" t="s">
        <v>3631</v>
      </c>
      <c r="K3461" s="1" t="s">
        <v>25</v>
      </c>
      <c r="L3461">
        <v>-1.1299999999999999</v>
      </c>
      <c r="M3461" t="str">
        <f t="shared" si="117"/>
        <v>44/40</v>
      </c>
      <c r="N3461" t="str">
        <f t="shared" si="118"/>
        <v>SW</v>
      </c>
      <c r="O3461" s="1" t="s">
        <v>25</v>
      </c>
      <c r="P3461" s="3" t="s">
        <v>25</v>
      </c>
      <c r="Q3461" s="37">
        <v>0.1</v>
      </c>
      <c r="R3461" t="s">
        <v>231</v>
      </c>
      <c r="S3461" s="13">
        <f t="shared" si="116"/>
        <v>-1.1299999999999999</v>
      </c>
    </row>
    <row r="3462" spans="1:19">
      <c r="A3462" s="18" t="s">
        <v>3505</v>
      </c>
      <c r="B3462" s="1" t="s">
        <v>3611</v>
      </c>
      <c r="C3462" s="1" t="s">
        <v>2113</v>
      </c>
      <c r="D3462" s="1" t="s">
        <v>3628</v>
      </c>
      <c r="E3462" s="1" t="s">
        <v>25</v>
      </c>
      <c r="F3462">
        <v>735</v>
      </c>
      <c r="G3462">
        <v>735</v>
      </c>
      <c r="H3462" s="1" t="s">
        <v>25</v>
      </c>
      <c r="I3462" s="1" t="s">
        <v>1528</v>
      </c>
      <c r="J3462" s="1" t="s">
        <v>3631</v>
      </c>
      <c r="K3462" s="1" t="s">
        <v>25</v>
      </c>
      <c r="L3462">
        <v>-0.9</v>
      </c>
      <c r="M3462" t="str">
        <f t="shared" si="117"/>
        <v>44/40</v>
      </c>
      <c r="N3462" t="str">
        <f t="shared" si="118"/>
        <v>SW</v>
      </c>
      <c r="O3462" s="1" t="s">
        <v>25</v>
      </c>
      <c r="P3462" s="3" t="s">
        <v>25</v>
      </c>
      <c r="Q3462" s="37">
        <v>0.08</v>
      </c>
      <c r="R3462" t="s">
        <v>231</v>
      </c>
      <c r="S3462" s="13">
        <f t="shared" si="116"/>
        <v>-0.9</v>
      </c>
    </row>
    <row r="3463" spans="1:19">
      <c r="A3463" s="18" t="s">
        <v>3505</v>
      </c>
      <c r="B3463" s="1" t="s">
        <v>3612</v>
      </c>
      <c r="C3463" s="1" t="s">
        <v>2113</v>
      </c>
      <c r="D3463" s="1" t="s">
        <v>3628</v>
      </c>
      <c r="E3463" s="1" t="s">
        <v>25</v>
      </c>
      <c r="F3463">
        <v>735</v>
      </c>
      <c r="G3463">
        <v>735</v>
      </c>
      <c r="H3463" s="1" t="s">
        <v>25</v>
      </c>
      <c r="I3463" s="1" t="s">
        <v>1528</v>
      </c>
      <c r="J3463" s="1" t="s">
        <v>3631</v>
      </c>
      <c r="K3463" s="1" t="s">
        <v>25</v>
      </c>
      <c r="L3463">
        <v>-0.92</v>
      </c>
      <c r="M3463" t="str">
        <f t="shared" si="117"/>
        <v>44/40</v>
      </c>
      <c r="N3463" t="str">
        <f t="shared" si="118"/>
        <v>SW</v>
      </c>
      <c r="O3463" s="1" t="s">
        <v>25</v>
      </c>
      <c r="P3463" s="3" t="s">
        <v>25</v>
      </c>
      <c r="Q3463" s="37">
        <v>0.13</v>
      </c>
      <c r="R3463" t="s">
        <v>231</v>
      </c>
      <c r="S3463" s="13">
        <f t="shared" si="116"/>
        <v>-0.92</v>
      </c>
    </row>
    <row r="3464" spans="1:19">
      <c r="A3464" s="18" t="s">
        <v>3505</v>
      </c>
      <c r="B3464" s="1" t="s">
        <v>3613</v>
      </c>
      <c r="C3464" s="1" t="s">
        <v>2113</v>
      </c>
      <c r="D3464" s="1" t="s">
        <v>3628</v>
      </c>
      <c r="E3464" s="1" t="s">
        <v>25</v>
      </c>
      <c r="F3464">
        <v>735</v>
      </c>
      <c r="G3464">
        <v>735</v>
      </c>
      <c r="H3464" s="1" t="s">
        <v>25</v>
      </c>
      <c r="I3464" s="1" t="s">
        <v>1528</v>
      </c>
      <c r="J3464" s="1" t="s">
        <v>3631</v>
      </c>
      <c r="K3464" s="1" t="s">
        <v>25</v>
      </c>
      <c r="L3464">
        <v>-0.85</v>
      </c>
      <c r="M3464" t="str">
        <f t="shared" si="117"/>
        <v>44/40</v>
      </c>
      <c r="N3464" t="str">
        <f t="shared" si="118"/>
        <v>SW</v>
      </c>
      <c r="O3464" s="1" t="s">
        <v>25</v>
      </c>
      <c r="P3464" s="3" t="s">
        <v>25</v>
      </c>
      <c r="Q3464" s="37">
        <v>0.09</v>
      </c>
      <c r="R3464" t="s">
        <v>231</v>
      </c>
      <c r="S3464" s="13">
        <f t="shared" si="116"/>
        <v>-0.85</v>
      </c>
    </row>
    <row r="3465" spans="1:19">
      <c r="A3465" s="18" t="s">
        <v>3505</v>
      </c>
      <c r="B3465" s="1" t="s">
        <v>3614</v>
      </c>
      <c r="C3465" s="1" t="s">
        <v>2113</v>
      </c>
      <c r="D3465" s="1" t="s">
        <v>3628</v>
      </c>
      <c r="E3465" s="1" t="s">
        <v>25</v>
      </c>
      <c r="F3465">
        <v>735</v>
      </c>
      <c r="G3465">
        <v>735</v>
      </c>
      <c r="H3465" s="1" t="s">
        <v>25</v>
      </c>
      <c r="I3465" s="1" t="s">
        <v>1528</v>
      </c>
      <c r="J3465" s="1" t="s">
        <v>3631</v>
      </c>
      <c r="K3465" s="1" t="s">
        <v>25</v>
      </c>
      <c r="L3465">
        <v>-1.03</v>
      </c>
      <c r="M3465" t="str">
        <f t="shared" si="117"/>
        <v>44/40</v>
      </c>
      <c r="N3465" t="str">
        <f t="shared" si="118"/>
        <v>SW</v>
      </c>
      <c r="O3465" s="1" t="s">
        <v>25</v>
      </c>
      <c r="P3465" s="3" t="s">
        <v>25</v>
      </c>
      <c r="Q3465" s="37">
        <v>7.0000000000000007E-2</v>
      </c>
      <c r="R3465" t="s">
        <v>231</v>
      </c>
      <c r="S3465" s="13">
        <f t="shared" si="116"/>
        <v>-1.03</v>
      </c>
    </row>
    <row r="3466" spans="1:19">
      <c r="A3466" s="18" t="s">
        <v>3505</v>
      </c>
      <c r="B3466" s="1" t="s">
        <v>3615</v>
      </c>
      <c r="C3466" s="1" t="s">
        <v>2113</v>
      </c>
      <c r="D3466" s="1" t="s">
        <v>3628</v>
      </c>
      <c r="E3466" s="1" t="s">
        <v>25</v>
      </c>
      <c r="F3466">
        <v>735</v>
      </c>
      <c r="G3466">
        <v>735</v>
      </c>
      <c r="H3466" s="1" t="s">
        <v>25</v>
      </c>
      <c r="I3466" s="1" t="s">
        <v>1528</v>
      </c>
      <c r="J3466" s="1" t="s">
        <v>3631</v>
      </c>
      <c r="K3466" s="1" t="s">
        <v>25</v>
      </c>
      <c r="L3466">
        <v>-0.77</v>
      </c>
      <c r="M3466" t="str">
        <f t="shared" si="117"/>
        <v>44/40</v>
      </c>
      <c r="N3466" t="str">
        <f t="shared" si="118"/>
        <v>SW</v>
      </c>
      <c r="O3466" s="1" t="s">
        <v>25</v>
      </c>
      <c r="P3466" s="3" t="s">
        <v>25</v>
      </c>
      <c r="Q3466" s="37">
        <v>0.11</v>
      </c>
      <c r="R3466" t="s">
        <v>231</v>
      </c>
      <c r="S3466" s="13">
        <f t="shared" si="116"/>
        <v>-0.77</v>
      </c>
    </row>
    <row r="3467" spans="1:19">
      <c r="A3467" s="18" t="s">
        <v>3505</v>
      </c>
      <c r="B3467" s="1" t="s">
        <v>3616</v>
      </c>
      <c r="C3467" s="1" t="s">
        <v>2113</v>
      </c>
      <c r="D3467" s="1" t="s">
        <v>3628</v>
      </c>
      <c r="E3467" s="1" t="s">
        <v>25</v>
      </c>
      <c r="F3467">
        <v>735</v>
      </c>
      <c r="G3467">
        <v>735</v>
      </c>
      <c r="H3467" s="1" t="s">
        <v>25</v>
      </c>
      <c r="I3467" s="1" t="s">
        <v>1528</v>
      </c>
      <c r="J3467" s="1" t="s">
        <v>3631</v>
      </c>
      <c r="K3467" s="1" t="s">
        <v>25</v>
      </c>
      <c r="L3467">
        <v>-1.0900000000000001</v>
      </c>
      <c r="M3467" t="str">
        <f t="shared" si="117"/>
        <v>44/40</v>
      </c>
      <c r="N3467" t="str">
        <f t="shared" si="118"/>
        <v>SW</v>
      </c>
      <c r="O3467" s="1" t="s">
        <v>25</v>
      </c>
      <c r="P3467" s="3" t="s">
        <v>25</v>
      </c>
      <c r="Q3467" s="37">
        <v>0.08</v>
      </c>
      <c r="R3467" t="s">
        <v>231</v>
      </c>
      <c r="S3467" s="13">
        <f t="shared" si="116"/>
        <v>-1.0900000000000001</v>
      </c>
    </row>
    <row r="3468" spans="1:19">
      <c r="A3468" s="18" t="s">
        <v>3505</v>
      </c>
      <c r="B3468" s="1" t="s">
        <v>3617</v>
      </c>
      <c r="C3468" s="1" t="s">
        <v>2113</v>
      </c>
      <c r="D3468" s="1" t="s">
        <v>3628</v>
      </c>
      <c r="E3468" s="1" t="s">
        <v>25</v>
      </c>
      <c r="F3468">
        <v>735</v>
      </c>
      <c r="G3468">
        <v>735</v>
      </c>
      <c r="H3468" s="1" t="s">
        <v>25</v>
      </c>
      <c r="I3468" s="1" t="s">
        <v>1528</v>
      </c>
      <c r="J3468" s="1" t="s">
        <v>3631</v>
      </c>
      <c r="K3468" s="1" t="s">
        <v>25</v>
      </c>
      <c r="L3468">
        <v>-1.07</v>
      </c>
      <c r="M3468" t="str">
        <f t="shared" si="117"/>
        <v>44/40</v>
      </c>
      <c r="N3468" t="str">
        <f t="shared" si="118"/>
        <v>SW</v>
      </c>
      <c r="O3468" s="1" t="s">
        <v>25</v>
      </c>
      <c r="P3468" s="3" t="s">
        <v>25</v>
      </c>
      <c r="Q3468" s="37">
        <v>7.0000000000000007E-2</v>
      </c>
      <c r="R3468" t="s">
        <v>231</v>
      </c>
      <c r="S3468" s="13">
        <f t="shared" si="116"/>
        <v>-1.07</v>
      </c>
    </row>
    <row r="3469" spans="1:19">
      <c r="A3469" s="18" t="s">
        <v>3505</v>
      </c>
      <c r="B3469" s="1" t="s">
        <v>3618</v>
      </c>
      <c r="C3469" s="1" t="s">
        <v>2113</v>
      </c>
      <c r="D3469" s="1" t="s">
        <v>3628</v>
      </c>
      <c r="E3469" s="1" t="s">
        <v>25</v>
      </c>
      <c r="F3469">
        <v>735</v>
      </c>
      <c r="G3469">
        <v>735</v>
      </c>
      <c r="H3469" s="1" t="s">
        <v>25</v>
      </c>
      <c r="I3469" s="1" t="s">
        <v>1528</v>
      </c>
      <c r="J3469" s="1" t="s">
        <v>3631</v>
      </c>
      <c r="K3469" s="1" t="s">
        <v>25</v>
      </c>
      <c r="L3469">
        <v>-0.93</v>
      </c>
      <c r="M3469" t="str">
        <f t="shared" si="117"/>
        <v>44/40</v>
      </c>
      <c r="N3469" t="str">
        <f t="shared" si="118"/>
        <v>SW</v>
      </c>
      <c r="O3469" s="1" t="s">
        <v>25</v>
      </c>
      <c r="P3469" s="3" t="s">
        <v>25</v>
      </c>
      <c r="Q3469" s="37">
        <v>0.1</v>
      </c>
      <c r="R3469" t="s">
        <v>231</v>
      </c>
      <c r="S3469" s="13">
        <f t="shared" si="116"/>
        <v>-0.93</v>
      </c>
    </row>
    <row r="3470" spans="1:19">
      <c r="A3470" s="18" t="s">
        <v>3505</v>
      </c>
      <c r="B3470" s="1" t="s">
        <v>3619</v>
      </c>
      <c r="C3470" s="1" t="s">
        <v>2113</v>
      </c>
      <c r="D3470" s="1" t="s">
        <v>3628</v>
      </c>
      <c r="E3470" s="1" t="s">
        <v>25</v>
      </c>
      <c r="F3470">
        <v>735</v>
      </c>
      <c r="G3470">
        <v>735</v>
      </c>
      <c r="H3470" s="1" t="s">
        <v>25</v>
      </c>
      <c r="I3470" s="1" t="s">
        <v>1528</v>
      </c>
      <c r="J3470" s="1" t="s">
        <v>3631</v>
      </c>
      <c r="K3470" s="1" t="s">
        <v>25</v>
      </c>
      <c r="L3470">
        <v>-0.9</v>
      </c>
      <c r="M3470" t="str">
        <f t="shared" si="117"/>
        <v>44/40</v>
      </c>
      <c r="N3470" t="str">
        <f t="shared" si="118"/>
        <v>SW</v>
      </c>
      <c r="O3470" s="1" t="s">
        <v>25</v>
      </c>
      <c r="P3470" s="3" t="s">
        <v>25</v>
      </c>
      <c r="Q3470" s="37">
        <v>0.06</v>
      </c>
      <c r="R3470" t="s">
        <v>231</v>
      </c>
      <c r="S3470" s="13">
        <f t="shared" si="116"/>
        <v>-0.9</v>
      </c>
    </row>
    <row r="3471" spans="1:19">
      <c r="A3471" s="18" t="s">
        <v>3505</v>
      </c>
      <c r="B3471" s="1" t="s">
        <v>3620</v>
      </c>
      <c r="C3471" s="1" t="s">
        <v>2113</v>
      </c>
      <c r="D3471" s="1" t="s">
        <v>3628</v>
      </c>
      <c r="E3471" s="1" t="s">
        <v>25</v>
      </c>
      <c r="F3471">
        <v>735</v>
      </c>
      <c r="G3471">
        <v>735</v>
      </c>
      <c r="H3471" s="1" t="s">
        <v>25</v>
      </c>
      <c r="I3471" s="1" t="s">
        <v>1528</v>
      </c>
      <c r="J3471" s="1" t="s">
        <v>3631</v>
      </c>
      <c r="K3471" s="1" t="s">
        <v>25</v>
      </c>
      <c r="L3471">
        <v>-1.1299999999999999</v>
      </c>
      <c r="M3471" t="str">
        <f t="shared" si="117"/>
        <v>44/40</v>
      </c>
      <c r="N3471" t="str">
        <f t="shared" si="118"/>
        <v>SW</v>
      </c>
      <c r="O3471" s="1" t="s">
        <v>25</v>
      </c>
      <c r="P3471" s="3" t="s">
        <v>25</v>
      </c>
      <c r="Q3471" s="37">
        <v>0.09</v>
      </c>
      <c r="R3471" t="s">
        <v>231</v>
      </c>
      <c r="S3471" s="13">
        <f t="shared" si="116"/>
        <v>-1.1299999999999999</v>
      </c>
    </row>
    <row r="3472" spans="1:19">
      <c r="A3472" s="18" t="s">
        <v>3505</v>
      </c>
      <c r="B3472" s="1" t="s">
        <v>3621</v>
      </c>
      <c r="C3472" s="1" t="s">
        <v>2113</v>
      </c>
      <c r="D3472" s="1" t="s">
        <v>3628</v>
      </c>
      <c r="E3472" s="1" t="s">
        <v>25</v>
      </c>
      <c r="F3472">
        <v>735</v>
      </c>
      <c r="G3472">
        <v>735</v>
      </c>
      <c r="H3472" s="1" t="s">
        <v>25</v>
      </c>
      <c r="I3472" s="1" t="s">
        <v>1528</v>
      </c>
      <c r="J3472" s="1" t="s">
        <v>3631</v>
      </c>
      <c r="K3472" s="1" t="s">
        <v>25</v>
      </c>
      <c r="L3472">
        <v>-0.97</v>
      </c>
      <c r="M3472" t="str">
        <f t="shared" si="117"/>
        <v>44/40</v>
      </c>
      <c r="N3472" t="str">
        <f t="shared" si="118"/>
        <v>SW</v>
      </c>
      <c r="O3472" s="1" t="s">
        <v>25</v>
      </c>
      <c r="P3472" s="3" t="s">
        <v>25</v>
      </c>
      <c r="Q3472" s="37">
        <v>0.09</v>
      </c>
      <c r="R3472" t="s">
        <v>231</v>
      </c>
      <c r="S3472" s="13">
        <f t="shared" si="116"/>
        <v>-0.97</v>
      </c>
    </row>
    <row r="3473" spans="1:19">
      <c r="A3473" s="18" t="s">
        <v>3505</v>
      </c>
      <c r="B3473" s="1" t="s">
        <v>3622</v>
      </c>
      <c r="C3473" s="1" t="s">
        <v>2113</v>
      </c>
      <c r="D3473" s="1" t="s">
        <v>3628</v>
      </c>
      <c r="E3473" s="1" t="s">
        <v>25</v>
      </c>
      <c r="F3473">
        <v>735</v>
      </c>
      <c r="G3473">
        <v>735</v>
      </c>
      <c r="H3473" s="1" t="s">
        <v>25</v>
      </c>
      <c r="I3473" s="1" t="s">
        <v>1528</v>
      </c>
      <c r="J3473" s="1" t="s">
        <v>3631</v>
      </c>
      <c r="K3473" s="1" t="s">
        <v>25</v>
      </c>
      <c r="L3473">
        <v>-1.1200000000000001</v>
      </c>
      <c r="M3473" t="str">
        <f t="shared" si="117"/>
        <v>44/40</v>
      </c>
      <c r="N3473" t="str">
        <f t="shared" si="118"/>
        <v>SW</v>
      </c>
      <c r="O3473" s="1" t="s">
        <v>25</v>
      </c>
      <c r="P3473" s="3" t="s">
        <v>25</v>
      </c>
      <c r="Q3473" s="37">
        <v>0.06</v>
      </c>
      <c r="R3473" t="s">
        <v>231</v>
      </c>
      <c r="S3473" s="13">
        <f t="shared" si="116"/>
        <v>-1.1200000000000001</v>
      </c>
    </row>
    <row r="3474" spans="1:19">
      <c r="A3474" s="18" t="s">
        <v>3505</v>
      </c>
      <c r="B3474" s="1" t="s">
        <v>3623</v>
      </c>
      <c r="C3474" s="1" t="s">
        <v>2113</v>
      </c>
      <c r="D3474" s="1" t="s">
        <v>3628</v>
      </c>
      <c r="E3474" s="1" t="s">
        <v>25</v>
      </c>
      <c r="F3474">
        <v>735</v>
      </c>
      <c r="G3474">
        <v>735</v>
      </c>
      <c r="H3474" s="1" t="s">
        <v>25</v>
      </c>
      <c r="I3474" s="1" t="s">
        <v>1528</v>
      </c>
      <c r="J3474" s="1" t="s">
        <v>3631</v>
      </c>
      <c r="K3474" s="1" t="s">
        <v>25</v>
      </c>
      <c r="L3474">
        <v>-0.83</v>
      </c>
      <c r="M3474" t="str">
        <f t="shared" si="117"/>
        <v>44/40</v>
      </c>
      <c r="N3474" t="str">
        <f t="shared" si="118"/>
        <v>SW</v>
      </c>
      <c r="O3474" s="1" t="s">
        <v>25</v>
      </c>
      <c r="P3474" s="3" t="s">
        <v>25</v>
      </c>
      <c r="Q3474" s="37">
        <v>0.12</v>
      </c>
      <c r="R3474" t="s">
        <v>231</v>
      </c>
      <c r="S3474" s="13">
        <f t="shared" si="116"/>
        <v>-0.83</v>
      </c>
    </row>
    <row r="3475" spans="1:19">
      <c r="A3475" s="18" t="s">
        <v>3505</v>
      </c>
      <c r="B3475" s="1" t="s">
        <v>3624</v>
      </c>
      <c r="C3475" s="1" t="s">
        <v>2113</v>
      </c>
      <c r="D3475" s="1" t="s">
        <v>3628</v>
      </c>
      <c r="E3475" s="1" t="s">
        <v>25</v>
      </c>
      <c r="F3475">
        <v>735</v>
      </c>
      <c r="G3475">
        <v>735</v>
      </c>
      <c r="H3475" s="1" t="s">
        <v>25</v>
      </c>
      <c r="I3475" s="1" t="s">
        <v>1528</v>
      </c>
      <c r="J3475" s="1" t="s">
        <v>3631</v>
      </c>
      <c r="K3475" s="1" t="s">
        <v>25</v>
      </c>
      <c r="L3475">
        <v>-0.83</v>
      </c>
      <c r="M3475" t="str">
        <f t="shared" si="117"/>
        <v>44/40</v>
      </c>
      <c r="N3475" t="str">
        <f t="shared" si="118"/>
        <v>SW</v>
      </c>
      <c r="O3475" s="1" t="s">
        <v>25</v>
      </c>
      <c r="P3475" s="3" t="s">
        <v>25</v>
      </c>
      <c r="Q3475" s="37">
        <v>0.09</v>
      </c>
      <c r="R3475" t="s">
        <v>231</v>
      </c>
      <c r="S3475" s="13">
        <f t="shared" si="116"/>
        <v>-0.83</v>
      </c>
    </row>
    <row r="3476" spans="1:19">
      <c r="A3476" s="18" t="s">
        <v>3505</v>
      </c>
      <c r="B3476" s="1" t="s">
        <v>3625</v>
      </c>
      <c r="C3476" s="1" t="s">
        <v>2113</v>
      </c>
      <c r="D3476" s="1" t="s">
        <v>3628</v>
      </c>
      <c r="E3476" s="1" t="s">
        <v>25</v>
      </c>
      <c r="F3476">
        <v>735</v>
      </c>
      <c r="G3476">
        <v>735</v>
      </c>
      <c r="H3476" s="1" t="s">
        <v>25</v>
      </c>
      <c r="I3476" s="1" t="s">
        <v>1528</v>
      </c>
      <c r="J3476" s="1" t="s">
        <v>3631</v>
      </c>
      <c r="K3476" s="1" t="s">
        <v>25</v>
      </c>
      <c r="L3476">
        <v>-0.96</v>
      </c>
      <c r="M3476" t="str">
        <f t="shared" si="117"/>
        <v>44/40</v>
      </c>
      <c r="N3476" t="str">
        <f t="shared" si="118"/>
        <v>SW</v>
      </c>
      <c r="O3476" s="1" t="s">
        <v>25</v>
      </c>
      <c r="P3476" s="3" t="s">
        <v>25</v>
      </c>
      <c r="Q3476" s="37">
        <v>0.13</v>
      </c>
      <c r="R3476" t="s">
        <v>231</v>
      </c>
      <c r="S3476" s="13">
        <f t="shared" si="116"/>
        <v>-0.96</v>
      </c>
    </row>
    <row r="3477" spans="1:19">
      <c r="A3477" s="18" t="s">
        <v>3505</v>
      </c>
      <c r="B3477" s="1" t="s">
        <v>3626</v>
      </c>
      <c r="C3477" s="1" t="s">
        <v>2113</v>
      </c>
      <c r="D3477" s="1" t="s">
        <v>3628</v>
      </c>
      <c r="E3477" s="1" t="s">
        <v>25</v>
      </c>
      <c r="F3477">
        <v>735</v>
      </c>
      <c r="G3477">
        <v>735</v>
      </c>
      <c r="H3477" s="1" t="s">
        <v>25</v>
      </c>
      <c r="I3477" s="1" t="s">
        <v>1528</v>
      </c>
      <c r="J3477" s="1" t="s">
        <v>3631</v>
      </c>
      <c r="K3477" s="1" t="s">
        <v>25</v>
      </c>
      <c r="L3477">
        <v>-0.99</v>
      </c>
      <c r="M3477" t="str">
        <f t="shared" si="117"/>
        <v>44/40</v>
      </c>
      <c r="N3477" t="str">
        <f t="shared" si="118"/>
        <v>SW</v>
      </c>
      <c r="O3477" s="1" t="s">
        <v>25</v>
      </c>
      <c r="P3477" s="3" t="s">
        <v>25</v>
      </c>
      <c r="Q3477" s="37">
        <v>0.1</v>
      </c>
      <c r="R3477" t="s">
        <v>231</v>
      </c>
      <c r="S3477" s="13">
        <f t="shared" si="116"/>
        <v>-0.99</v>
      </c>
    </row>
    <row r="3478" spans="1:19">
      <c r="A3478" s="18" t="s">
        <v>3505</v>
      </c>
      <c r="B3478" s="1" t="s">
        <v>3627</v>
      </c>
      <c r="C3478" s="1" t="s">
        <v>2113</v>
      </c>
      <c r="D3478" s="1" t="s">
        <v>3628</v>
      </c>
      <c r="E3478" s="1" t="s">
        <v>25</v>
      </c>
      <c r="F3478">
        <v>735</v>
      </c>
      <c r="G3478">
        <v>735</v>
      </c>
      <c r="H3478" s="1" t="s">
        <v>25</v>
      </c>
      <c r="I3478" s="1" t="s">
        <v>1528</v>
      </c>
      <c r="J3478" s="1" t="s">
        <v>3631</v>
      </c>
      <c r="K3478" s="1" t="s">
        <v>25</v>
      </c>
      <c r="L3478">
        <v>-0.7</v>
      </c>
      <c r="M3478" t="str">
        <f t="shared" si="117"/>
        <v>44/40</v>
      </c>
      <c r="N3478" t="str">
        <f t="shared" si="118"/>
        <v>SW</v>
      </c>
      <c r="O3478" s="1" t="s">
        <v>25</v>
      </c>
      <c r="P3478" s="3" t="s">
        <v>25</v>
      </c>
      <c r="Q3478" s="37">
        <v>0.11</v>
      </c>
      <c r="R3478" t="s">
        <v>231</v>
      </c>
      <c r="S3478" s="13">
        <f t="shared" si="116"/>
        <v>-0.7</v>
      </c>
    </row>
    <row r="3479" spans="1:19" s="4" customFormat="1">
      <c r="B3479" s="5"/>
      <c r="C3479" s="5"/>
      <c r="D3479" s="5"/>
      <c r="E3479" s="5"/>
      <c r="I3479" s="5"/>
      <c r="J3479" s="5"/>
      <c r="M3479" s="5"/>
      <c r="O3479" s="5"/>
      <c r="P3479" s="6"/>
      <c r="Q3479" s="38"/>
      <c r="S3479" s="24"/>
    </row>
    <row r="3480" spans="1:19">
      <c r="A3480" s="18" t="s">
        <v>3632</v>
      </c>
      <c r="B3480" s="1" t="s">
        <v>3633</v>
      </c>
      <c r="C3480" s="1" t="s">
        <v>4081</v>
      </c>
      <c r="D3480" s="1" t="s">
        <v>4082</v>
      </c>
      <c r="E3480" s="1" t="s">
        <v>25</v>
      </c>
      <c r="F3480">
        <v>635</v>
      </c>
      <c r="G3480">
        <v>635</v>
      </c>
      <c r="H3480" s="1" t="s">
        <v>25</v>
      </c>
      <c r="I3480" s="1" t="s">
        <v>1528</v>
      </c>
      <c r="J3480" s="1" t="s">
        <v>1491</v>
      </c>
      <c r="K3480" s="1" t="s">
        <v>25</v>
      </c>
      <c r="L3480">
        <v>-1.21</v>
      </c>
      <c r="M3480" t="str">
        <f t="shared" si="117"/>
        <v>44/40</v>
      </c>
      <c r="N3480" t="str">
        <f t="shared" si="118"/>
        <v>SW</v>
      </c>
      <c r="O3480" s="1" t="s">
        <v>25</v>
      </c>
      <c r="P3480" s="3" t="s">
        <v>25</v>
      </c>
      <c r="Q3480" s="37">
        <v>0.38</v>
      </c>
      <c r="R3480" t="str">
        <f>IF(Q3480="Na","Na","mmol/mol")</f>
        <v>mmol/mol</v>
      </c>
      <c r="S3480" s="13">
        <f t="shared" si="116"/>
        <v>-1.21</v>
      </c>
    </row>
    <row r="3481" spans="1:19">
      <c r="A3481" s="18" t="s">
        <v>3632</v>
      </c>
      <c r="B3481" s="1" t="s">
        <v>3634</v>
      </c>
      <c r="C3481" s="1" t="s">
        <v>4081</v>
      </c>
      <c r="D3481" s="1" t="s">
        <v>4082</v>
      </c>
      <c r="E3481" s="1" t="s">
        <v>25</v>
      </c>
      <c r="F3481">
        <v>635</v>
      </c>
      <c r="G3481">
        <v>635</v>
      </c>
      <c r="H3481" s="1" t="s">
        <v>25</v>
      </c>
      <c r="I3481" s="1" t="s">
        <v>1528</v>
      </c>
      <c r="J3481" s="1" t="s">
        <v>1491</v>
      </c>
      <c r="K3481" s="1" t="s">
        <v>25</v>
      </c>
      <c r="L3481">
        <v>-1.1299999999999999</v>
      </c>
      <c r="M3481" t="str">
        <f t="shared" si="117"/>
        <v>44/40</v>
      </c>
      <c r="N3481" t="str">
        <f t="shared" si="118"/>
        <v>SW</v>
      </c>
      <c r="O3481" s="1" t="s">
        <v>25</v>
      </c>
      <c r="P3481" s="3" t="s">
        <v>25</v>
      </c>
      <c r="Q3481" s="37">
        <v>0.24</v>
      </c>
      <c r="R3481" t="str">
        <f t="shared" ref="R3481:R3544" si="119">IF(Q3481="Na","Na","mmol/mol")</f>
        <v>mmol/mol</v>
      </c>
      <c r="S3481" s="13">
        <f t="shared" si="116"/>
        <v>-1.1299999999999999</v>
      </c>
    </row>
    <row r="3482" spans="1:19">
      <c r="A3482" s="18" t="s">
        <v>3632</v>
      </c>
      <c r="B3482" s="1" t="s">
        <v>3635</v>
      </c>
      <c r="C3482" s="1" t="s">
        <v>4081</v>
      </c>
      <c r="D3482" s="1" t="s">
        <v>4082</v>
      </c>
      <c r="E3482" s="1" t="s">
        <v>25</v>
      </c>
      <c r="F3482">
        <v>635</v>
      </c>
      <c r="G3482">
        <v>635</v>
      </c>
      <c r="H3482" s="1" t="s">
        <v>25</v>
      </c>
      <c r="I3482" s="1" t="s">
        <v>1528</v>
      </c>
      <c r="J3482" s="1" t="s">
        <v>1491</v>
      </c>
      <c r="K3482" s="1" t="s">
        <v>25</v>
      </c>
      <c r="L3482">
        <v>-1.1200000000000001</v>
      </c>
      <c r="M3482" t="str">
        <f t="shared" si="117"/>
        <v>44/40</v>
      </c>
      <c r="N3482" t="str">
        <f t="shared" si="118"/>
        <v>SW</v>
      </c>
      <c r="O3482" s="1" t="s">
        <v>25</v>
      </c>
      <c r="P3482" s="3" t="s">
        <v>25</v>
      </c>
      <c r="Q3482" s="37">
        <v>0.27</v>
      </c>
      <c r="R3482" t="str">
        <f t="shared" si="119"/>
        <v>mmol/mol</v>
      </c>
      <c r="S3482" s="13">
        <f t="shared" si="116"/>
        <v>-1.1200000000000001</v>
      </c>
    </row>
    <row r="3483" spans="1:19">
      <c r="A3483" s="18" t="s">
        <v>3632</v>
      </c>
      <c r="B3483" s="1" t="s">
        <v>3636</v>
      </c>
      <c r="C3483" s="1" t="s">
        <v>4081</v>
      </c>
      <c r="D3483" s="1" t="s">
        <v>4082</v>
      </c>
      <c r="E3483" s="1" t="s">
        <v>25</v>
      </c>
      <c r="F3483">
        <v>635</v>
      </c>
      <c r="G3483">
        <v>635</v>
      </c>
      <c r="H3483" s="1" t="s">
        <v>25</v>
      </c>
      <c r="I3483" s="1" t="s">
        <v>1528</v>
      </c>
      <c r="J3483" s="1" t="s">
        <v>1491</v>
      </c>
      <c r="K3483" s="1" t="s">
        <v>25</v>
      </c>
      <c r="L3483">
        <v>-1.17</v>
      </c>
      <c r="M3483" t="str">
        <f t="shared" si="117"/>
        <v>44/40</v>
      </c>
      <c r="N3483" t="str">
        <f t="shared" si="118"/>
        <v>SW</v>
      </c>
      <c r="O3483" s="1" t="s">
        <v>25</v>
      </c>
      <c r="P3483" s="3" t="s">
        <v>25</v>
      </c>
      <c r="Q3483" s="37">
        <v>0.33</v>
      </c>
      <c r="R3483" t="str">
        <f t="shared" si="119"/>
        <v>mmol/mol</v>
      </c>
      <c r="S3483" s="13">
        <f t="shared" si="116"/>
        <v>-1.17</v>
      </c>
    </row>
    <row r="3484" spans="1:19">
      <c r="A3484" s="18" t="s">
        <v>3632</v>
      </c>
      <c r="B3484" s="1" t="s">
        <v>3637</v>
      </c>
      <c r="C3484" s="1" t="s">
        <v>4081</v>
      </c>
      <c r="D3484" s="1" t="s">
        <v>4082</v>
      </c>
      <c r="E3484" s="1" t="s">
        <v>25</v>
      </c>
      <c r="F3484">
        <v>635</v>
      </c>
      <c r="G3484">
        <v>635</v>
      </c>
      <c r="H3484" s="1" t="s">
        <v>25</v>
      </c>
      <c r="I3484" s="1" t="s">
        <v>1528</v>
      </c>
      <c r="J3484" s="1" t="s">
        <v>1491</v>
      </c>
      <c r="K3484" s="1" t="s">
        <v>25</v>
      </c>
      <c r="L3484">
        <v>-1.19</v>
      </c>
      <c r="M3484" t="str">
        <f t="shared" si="117"/>
        <v>44/40</v>
      </c>
      <c r="N3484" t="str">
        <f t="shared" si="118"/>
        <v>SW</v>
      </c>
      <c r="O3484" s="1" t="s">
        <v>25</v>
      </c>
      <c r="P3484" s="3" t="s">
        <v>25</v>
      </c>
      <c r="Q3484" s="37">
        <v>0.38</v>
      </c>
      <c r="R3484" t="str">
        <f t="shared" si="119"/>
        <v>mmol/mol</v>
      </c>
      <c r="S3484" s="13">
        <f t="shared" si="116"/>
        <v>-1.19</v>
      </c>
    </row>
    <row r="3485" spans="1:19">
      <c r="A3485" s="18" t="s">
        <v>3632</v>
      </c>
      <c r="B3485" s="1" t="s">
        <v>3638</v>
      </c>
      <c r="C3485" s="1" t="s">
        <v>4081</v>
      </c>
      <c r="D3485" s="1" t="s">
        <v>4082</v>
      </c>
      <c r="E3485" s="1" t="s">
        <v>25</v>
      </c>
      <c r="F3485">
        <v>635</v>
      </c>
      <c r="G3485">
        <v>635</v>
      </c>
      <c r="H3485" s="1" t="s">
        <v>25</v>
      </c>
      <c r="I3485" s="1" t="s">
        <v>1528</v>
      </c>
      <c r="J3485" s="1" t="s">
        <v>1491</v>
      </c>
      <c r="K3485" s="1" t="s">
        <v>25</v>
      </c>
      <c r="L3485">
        <v>-1.22</v>
      </c>
      <c r="M3485" t="str">
        <f t="shared" si="117"/>
        <v>44/40</v>
      </c>
      <c r="N3485" t="str">
        <f t="shared" si="118"/>
        <v>SW</v>
      </c>
      <c r="O3485" s="1" t="s">
        <v>25</v>
      </c>
      <c r="P3485" s="3" t="s">
        <v>25</v>
      </c>
      <c r="Q3485" s="37">
        <v>0.47</v>
      </c>
      <c r="R3485" t="str">
        <f t="shared" si="119"/>
        <v>mmol/mol</v>
      </c>
      <c r="S3485" s="13">
        <f t="shared" si="116"/>
        <v>-1.22</v>
      </c>
    </row>
    <row r="3486" spans="1:19">
      <c r="A3486" s="18" t="s">
        <v>3632</v>
      </c>
      <c r="B3486" s="1" t="s">
        <v>3639</v>
      </c>
      <c r="C3486" s="1" t="s">
        <v>4081</v>
      </c>
      <c r="D3486" s="1" t="s">
        <v>4082</v>
      </c>
      <c r="E3486" s="1" t="s">
        <v>25</v>
      </c>
      <c r="F3486">
        <v>635</v>
      </c>
      <c r="G3486">
        <v>635</v>
      </c>
      <c r="H3486" s="1" t="s">
        <v>25</v>
      </c>
      <c r="I3486" s="1" t="s">
        <v>1528</v>
      </c>
      <c r="J3486" s="1" t="s">
        <v>1491</v>
      </c>
      <c r="K3486" s="1" t="s">
        <v>25</v>
      </c>
      <c r="L3486">
        <v>-1.1299999999999999</v>
      </c>
      <c r="M3486" t="str">
        <f t="shared" si="117"/>
        <v>44/40</v>
      </c>
      <c r="N3486" t="str">
        <f t="shared" si="118"/>
        <v>SW</v>
      </c>
      <c r="O3486" s="1" t="s">
        <v>25</v>
      </c>
      <c r="P3486" s="3" t="s">
        <v>25</v>
      </c>
      <c r="Q3486" s="37">
        <v>0.36</v>
      </c>
      <c r="R3486" t="str">
        <f t="shared" si="119"/>
        <v>mmol/mol</v>
      </c>
      <c r="S3486" s="13">
        <f t="shared" si="116"/>
        <v>-1.1299999999999999</v>
      </c>
    </row>
    <row r="3487" spans="1:19">
      <c r="A3487" s="18" t="s">
        <v>3632</v>
      </c>
      <c r="B3487" s="1" t="s">
        <v>3640</v>
      </c>
      <c r="C3487" s="1" t="s">
        <v>4081</v>
      </c>
      <c r="D3487" s="1" t="s">
        <v>4082</v>
      </c>
      <c r="E3487" s="1" t="s">
        <v>25</v>
      </c>
      <c r="F3487">
        <v>635</v>
      </c>
      <c r="G3487">
        <v>635</v>
      </c>
      <c r="H3487" s="1" t="s">
        <v>25</v>
      </c>
      <c r="I3487" s="1" t="s">
        <v>1528</v>
      </c>
      <c r="J3487" s="1" t="s">
        <v>1491</v>
      </c>
      <c r="K3487" s="1" t="s">
        <v>25</v>
      </c>
      <c r="L3487">
        <v>-1.1000000000000001</v>
      </c>
      <c r="M3487" t="str">
        <f t="shared" si="117"/>
        <v>44/40</v>
      </c>
      <c r="N3487" t="str">
        <f t="shared" si="118"/>
        <v>SW</v>
      </c>
      <c r="O3487" s="1" t="s">
        <v>25</v>
      </c>
      <c r="P3487" s="3" t="s">
        <v>25</v>
      </c>
      <c r="Q3487" s="37">
        <v>0.35</v>
      </c>
      <c r="R3487" t="str">
        <f t="shared" si="119"/>
        <v>mmol/mol</v>
      </c>
      <c r="S3487" s="13">
        <f t="shared" si="116"/>
        <v>-1.1000000000000001</v>
      </c>
    </row>
    <row r="3488" spans="1:19">
      <c r="A3488" s="18" t="s">
        <v>3632</v>
      </c>
      <c r="B3488" s="1" t="s">
        <v>3641</v>
      </c>
      <c r="C3488" s="1" t="s">
        <v>4081</v>
      </c>
      <c r="D3488" s="1" t="s">
        <v>4082</v>
      </c>
      <c r="E3488" s="1" t="s">
        <v>25</v>
      </c>
      <c r="F3488">
        <v>635</v>
      </c>
      <c r="G3488">
        <v>635</v>
      </c>
      <c r="H3488" s="1" t="s">
        <v>25</v>
      </c>
      <c r="I3488" s="1" t="s">
        <v>1528</v>
      </c>
      <c r="J3488" s="1" t="s">
        <v>1491</v>
      </c>
      <c r="K3488" s="1" t="s">
        <v>25</v>
      </c>
      <c r="L3488">
        <v>-1.1299999999999999</v>
      </c>
      <c r="M3488" t="str">
        <f t="shared" si="117"/>
        <v>44/40</v>
      </c>
      <c r="N3488" t="str">
        <f t="shared" si="118"/>
        <v>SW</v>
      </c>
      <c r="O3488" s="1" t="s">
        <v>25</v>
      </c>
      <c r="P3488" s="3" t="s">
        <v>25</v>
      </c>
      <c r="Q3488" s="37">
        <v>0.36</v>
      </c>
      <c r="R3488" t="str">
        <f t="shared" si="119"/>
        <v>mmol/mol</v>
      </c>
      <c r="S3488" s="13">
        <f t="shared" si="116"/>
        <v>-1.1299999999999999</v>
      </c>
    </row>
    <row r="3489" spans="1:19">
      <c r="A3489" s="18" t="s">
        <v>3632</v>
      </c>
      <c r="B3489" s="1" t="s">
        <v>3642</v>
      </c>
      <c r="C3489" s="1" t="s">
        <v>4081</v>
      </c>
      <c r="D3489" s="1" t="s">
        <v>4082</v>
      </c>
      <c r="E3489" s="1" t="s">
        <v>25</v>
      </c>
      <c r="F3489">
        <v>635</v>
      </c>
      <c r="G3489">
        <v>635</v>
      </c>
      <c r="H3489" s="1" t="s">
        <v>25</v>
      </c>
      <c r="I3489" s="1" t="s">
        <v>1528</v>
      </c>
      <c r="J3489" s="1" t="s">
        <v>1491</v>
      </c>
      <c r="K3489" s="1" t="s">
        <v>25</v>
      </c>
      <c r="L3489">
        <v>-0.86</v>
      </c>
      <c r="M3489" t="str">
        <f t="shared" si="117"/>
        <v>44/40</v>
      </c>
      <c r="N3489" t="str">
        <f t="shared" si="118"/>
        <v>SW</v>
      </c>
      <c r="O3489" s="1" t="s">
        <v>25</v>
      </c>
      <c r="P3489" s="3" t="s">
        <v>25</v>
      </c>
      <c r="Q3489" s="37">
        <v>0.19</v>
      </c>
      <c r="R3489" t="str">
        <f t="shared" si="119"/>
        <v>mmol/mol</v>
      </c>
      <c r="S3489" s="13">
        <f t="shared" si="116"/>
        <v>-0.86</v>
      </c>
    </row>
    <row r="3490" spans="1:19">
      <c r="A3490" s="18" t="s">
        <v>3632</v>
      </c>
      <c r="B3490" s="1" t="s">
        <v>3643</v>
      </c>
      <c r="C3490" s="1" t="s">
        <v>4081</v>
      </c>
      <c r="D3490" s="1" t="s">
        <v>4082</v>
      </c>
      <c r="E3490" s="1" t="s">
        <v>25</v>
      </c>
      <c r="F3490">
        <v>635</v>
      </c>
      <c r="G3490">
        <v>635</v>
      </c>
      <c r="H3490" s="1" t="s">
        <v>25</v>
      </c>
      <c r="I3490" s="1" t="s">
        <v>1528</v>
      </c>
      <c r="J3490" s="1" t="s">
        <v>1491</v>
      </c>
      <c r="K3490" s="1" t="s">
        <v>25</v>
      </c>
      <c r="L3490">
        <v>-0.96</v>
      </c>
      <c r="M3490" t="str">
        <f t="shared" si="117"/>
        <v>44/40</v>
      </c>
      <c r="N3490" t="str">
        <f t="shared" si="118"/>
        <v>SW</v>
      </c>
      <c r="O3490" s="1" t="s">
        <v>25</v>
      </c>
      <c r="P3490" s="3" t="s">
        <v>25</v>
      </c>
      <c r="Q3490" s="37">
        <v>0.16</v>
      </c>
      <c r="R3490" t="str">
        <f t="shared" si="119"/>
        <v>mmol/mol</v>
      </c>
      <c r="S3490" s="13">
        <f t="shared" si="116"/>
        <v>-0.96</v>
      </c>
    </row>
    <row r="3491" spans="1:19">
      <c r="A3491" s="18" t="s">
        <v>3632</v>
      </c>
      <c r="B3491" s="1" t="s">
        <v>3644</v>
      </c>
      <c r="C3491" s="1" t="s">
        <v>4081</v>
      </c>
      <c r="D3491" s="1" t="s">
        <v>4082</v>
      </c>
      <c r="E3491" s="1" t="s">
        <v>25</v>
      </c>
      <c r="F3491">
        <v>635</v>
      </c>
      <c r="G3491">
        <v>635</v>
      </c>
      <c r="H3491" s="1" t="s">
        <v>25</v>
      </c>
      <c r="I3491" s="1" t="s">
        <v>1528</v>
      </c>
      <c r="J3491" s="1" t="s">
        <v>1491</v>
      </c>
      <c r="K3491" s="1" t="s">
        <v>25</v>
      </c>
      <c r="L3491">
        <v>-1.01</v>
      </c>
      <c r="M3491" t="str">
        <f t="shared" si="117"/>
        <v>44/40</v>
      </c>
      <c r="N3491" t="str">
        <f t="shared" si="118"/>
        <v>SW</v>
      </c>
      <c r="O3491" s="1" t="s">
        <v>25</v>
      </c>
      <c r="P3491" s="3" t="s">
        <v>25</v>
      </c>
      <c r="Q3491" s="37">
        <v>0.16</v>
      </c>
      <c r="R3491" t="str">
        <f t="shared" si="119"/>
        <v>mmol/mol</v>
      </c>
      <c r="S3491" s="13">
        <f t="shared" si="116"/>
        <v>-1.01</v>
      </c>
    </row>
    <row r="3492" spans="1:19">
      <c r="A3492" s="18" t="s">
        <v>3632</v>
      </c>
      <c r="B3492" s="1" t="s">
        <v>3645</v>
      </c>
      <c r="C3492" s="1" t="s">
        <v>4081</v>
      </c>
      <c r="D3492" s="1" t="s">
        <v>4082</v>
      </c>
      <c r="E3492" s="1" t="s">
        <v>25</v>
      </c>
      <c r="F3492">
        <v>635</v>
      </c>
      <c r="G3492">
        <v>635</v>
      </c>
      <c r="H3492" s="1" t="s">
        <v>25</v>
      </c>
      <c r="I3492" s="1" t="s">
        <v>1528</v>
      </c>
      <c r="J3492" s="1" t="s">
        <v>1491</v>
      </c>
      <c r="K3492" s="1" t="s">
        <v>25</v>
      </c>
      <c r="L3492">
        <v>-0.99</v>
      </c>
      <c r="M3492" t="str">
        <f t="shared" si="117"/>
        <v>44/40</v>
      </c>
      <c r="N3492" t="str">
        <f t="shared" si="118"/>
        <v>SW</v>
      </c>
      <c r="O3492" s="1" t="s">
        <v>25</v>
      </c>
      <c r="P3492" s="3" t="s">
        <v>25</v>
      </c>
      <c r="Q3492" s="37">
        <v>0.16</v>
      </c>
      <c r="R3492" t="str">
        <f t="shared" si="119"/>
        <v>mmol/mol</v>
      </c>
      <c r="S3492" s="13">
        <f t="shared" si="116"/>
        <v>-0.99</v>
      </c>
    </row>
    <row r="3493" spans="1:19">
      <c r="A3493" s="18" t="s">
        <v>3632</v>
      </c>
      <c r="B3493" s="1" t="s">
        <v>3646</v>
      </c>
      <c r="C3493" s="1" t="s">
        <v>4081</v>
      </c>
      <c r="D3493" s="1" t="s">
        <v>4082</v>
      </c>
      <c r="E3493" s="1" t="s">
        <v>25</v>
      </c>
      <c r="F3493">
        <v>635</v>
      </c>
      <c r="G3493">
        <v>635</v>
      </c>
      <c r="H3493" s="1" t="s">
        <v>25</v>
      </c>
      <c r="I3493" s="1" t="s">
        <v>1528</v>
      </c>
      <c r="J3493" s="1" t="s">
        <v>1491</v>
      </c>
      <c r="K3493" s="1" t="s">
        <v>25</v>
      </c>
      <c r="L3493">
        <v>-1.1000000000000001</v>
      </c>
      <c r="M3493" t="str">
        <f t="shared" si="117"/>
        <v>44/40</v>
      </c>
      <c r="N3493" t="str">
        <f t="shared" si="118"/>
        <v>SW</v>
      </c>
      <c r="O3493" s="1" t="s">
        <v>25</v>
      </c>
      <c r="P3493" s="3" t="s">
        <v>25</v>
      </c>
      <c r="Q3493" s="37">
        <v>0.17</v>
      </c>
      <c r="R3493" t="str">
        <f t="shared" si="119"/>
        <v>mmol/mol</v>
      </c>
      <c r="S3493" s="13">
        <f t="shared" si="116"/>
        <v>-1.1000000000000001</v>
      </c>
    </row>
    <row r="3494" spans="1:19">
      <c r="A3494" s="18" t="s">
        <v>3632</v>
      </c>
      <c r="B3494" s="1" t="s">
        <v>3647</v>
      </c>
      <c r="C3494" s="1" t="s">
        <v>4081</v>
      </c>
      <c r="D3494" s="1" t="s">
        <v>4082</v>
      </c>
      <c r="E3494" s="1" t="s">
        <v>25</v>
      </c>
      <c r="F3494">
        <v>635</v>
      </c>
      <c r="G3494">
        <v>635</v>
      </c>
      <c r="H3494" s="1" t="s">
        <v>25</v>
      </c>
      <c r="I3494" s="1" t="s">
        <v>1528</v>
      </c>
      <c r="J3494" s="1" t="s">
        <v>1491</v>
      </c>
      <c r="K3494" s="1" t="s">
        <v>25</v>
      </c>
      <c r="L3494">
        <v>-1.1100000000000001</v>
      </c>
      <c r="M3494" t="str">
        <f t="shared" si="117"/>
        <v>44/40</v>
      </c>
      <c r="N3494" t="str">
        <f t="shared" si="118"/>
        <v>SW</v>
      </c>
      <c r="O3494" s="1" t="s">
        <v>25</v>
      </c>
      <c r="P3494" s="3" t="s">
        <v>25</v>
      </c>
      <c r="Q3494" s="37">
        <v>0.15</v>
      </c>
      <c r="R3494" t="str">
        <f t="shared" si="119"/>
        <v>mmol/mol</v>
      </c>
      <c r="S3494" s="13">
        <f t="shared" si="116"/>
        <v>-1.1100000000000001</v>
      </c>
    </row>
    <row r="3495" spans="1:19">
      <c r="A3495" s="18" t="s">
        <v>3632</v>
      </c>
      <c r="B3495" s="1" t="s">
        <v>3648</v>
      </c>
      <c r="C3495" s="1" t="s">
        <v>4081</v>
      </c>
      <c r="D3495" s="1" t="s">
        <v>4082</v>
      </c>
      <c r="E3495" s="1" t="s">
        <v>25</v>
      </c>
      <c r="F3495">
        <v>635</v>
      </c>
      <c r="G3495">
        <v>635</v>
      </c>
      <c r="H3495" s="1" t="s">
        <v>25</v>
      </c>
      <c r="I3495" s="1" t="s">
        <v>1528</v>
      </c>
      <c r="J3495" s="1" t="s">
        <v>1491</v>
      </c>
      <c r="K3495" s="1" t="s">
        <v>25</v>
      </c>
      <c r="L3495">
        <v>-1.04</v>
      </c>
      <c r="M3495" t="str">
        <f t="shared" si="117"/>
        <v>44/40</v>
      </c>
      <c r="N3495" t="str">
        <f t="shared" si="118"/>
        <v>SW</v>
      </c>
      <c r="O3495" s="1" t="s">
        <v>25</v>
      </c>
      <c r="P3495" s="3" t="s">
        <v>25</v>
      </c>
      <c r="Q3495" s="37">
        <v>0.23</v>
      </c>
      <c r="R3495" t="str">
        <f t="shared" si="119"/>
        <v>mmol/mol</v>
      </c>
      <c r="S3495" s="13">
        <f t="shared" si="116"/>
        <v>-1.04</v>
      </c>
    </row>
    <row r="3496" spans="1:19">
      <c r="A3496" s="18" t="s">
        <v>3632</v>
      </c>
      <c r="B3496" s="1" t="s">
        <v>3649</v>
      </c>
      <c r="C3496" s="1" t="s">
        <v>4081</v>
      </c>
      <c r="D3496" s="1" t="s">
        <v>4082</v>
      </c>
      <c r="E3496" s="1" t="s">
        <v>25</v>
      </c>
      <c r="F3496">
        <v>635</v>
      </c>
      <c r="G3496">
        <v>635</v>
      </c>
      <c r="H3496" s="1" t="s">
        <v>25</v>
      </c>
      <c r="I3496" s="1" t="s">
        <v>1528</v>
      </c>
      <c r="J3496" s="1" t="s">
        <v>1491</v>
      </c>
      <c r="K3496" s="1" t="s">
        <v>25</v>
      </c>
      <c r="L3496">
        <v>-1.22</v>
      </c>
      <c r="M3496" t="str">
        <f t="shared" si="117"/>
        <v>44/40</v>
      </c>
      <c r="N3496" t="str">
        <f t="shared" si="118"/>
        <v>SW</v>
      </c>
      <c r="O3496" s="1" t="s">
        <v>25</v>
      </c>
      <c r="P3496" s="3" t="s">
        <v>25</v>
      </c>
      <c r="Q3496" s="37">
        <v>0.3</v>
      </c>
      <c r="R3496" t="str">
        <f t="shared" si="119"/>
        <v>mmol/mol</v>
      </c>
      <c r="S3496" s="13">
        <f t="shared" si="116"/>
        <v>-1.22</v>
      </c>
    </row>
    <row r="3497" spans="1:19">
      <c r="A3497" s="18" t="s">
        <v>3632</v>
      </c>
      <c r="B3497" s="1" t="s">
        <v>3650</v>
      </c>
      <c r="C3497" s="1" t="s">
        <v>4081</v>
      </c>
      <c r="D3497" s="1" t="s">
        <v>4082</v>
      </c>
      <c r="E3497" s="1" t="s">
        <v>25</v>
      </c>
      <c r="F3497">
        <v>635</v>
      </c>
      <c r="G3497">
        <v>635</v>
      </c>
      <c r="H3497" s="1" t="s">
        <v>25</v>
      </c>
      <c r="I3497" s="1" t="s">
        <v>1528</v>
      </c>
      <c r="J3497" s="1" t="s">
        <v>1491</v>
      </c>
      <c r="K3497" s="1" t="s">
        <v>25</v>
      </c>
      <c r="L3497">
        <v>-1.22</v>
      </c>
      <c r="M3497" t="str">
        <f t="shared" si="117"/>
        <v>44/40</v>
      </c>
      <c r="N3497" t="str">
        <f t="shared" si="118"/>
        <v>SW</v>
      </c>
      <c r="O3497" s="1" t="s">
        <v>25</v>
      </c>
      <c r="P3497" s="3" t="s">
        <v>25</v>
      </c>
      <c r="Q3497" s="37">
        <v>0.31</v>
      </c>
      <c r="R3497" t="str">
        <f t="shared" si="119"/>
        <v>mmol/mol</v>
      </c>
      <c r="S3497" s="13">
        <f t="shared" si="116"/>
        <v>-1.22</v>
      </c>
    </row>
    <row r="3498" spans="1:19">
      <c r="A3498" s="18" t="s">
        <v>3632</v>
      </c>
      <c r="B3498" s="1" t="s">
        <v>3651</v>
      </c>
      <c r="C3498" s="1" t="s">
        <v>4081</v>
      </c>
      <c r="D3498" s="1" t="s">
        <v>4082</v>
      </c>
      <c r="E3498" s="1" t="s">
        <v>25</v>
      </c>
      <c r="F3498">
        <v>635</v>
      </c>
      <c r="G3498">
        <v>635</v>
      </c>
      <c r="H3498" s="1" t="s">
        <v>25</v>
      </c>
      <c r="I3498" s="1" t="s">
        <v>1528</v>
      </c>
      <c r="J3498" s="1" t="s">
        <v>1491</v>
      </c>
      <c r="K3498" s="1" t="s">
        <v>25</v>
      </c>
      <c r="L3498">
        <v>-1.1299999999999999</v>
      </c>
      <c r="M3498" t="str">
        <f t="shared" si="117"/>
        <v>44/40</v>
      </c>
      <c r="N3498" t="str">
        <f t="shared" si="118"/>
        <v>SW</v>
      </c>
      <c r="O3498" s="1" t="s">
        <v>25</v>
      </c>
      <c r="P3498" s="3" t="s">
        <v>25</v>
      </c>
      <c r="Q3498" s="37">
        <v>0.33</v>
      </c>
      <c r="R3498" t="str">
        <f t="shared" si="119"/>
        <v>mmol/mol</v>
      </c>
      <c r="S3498" s="13">
        <f t="shared" si="116"/>
        <v>-1.1299999999999999</v>
      </c>
    </row>
    <row r="3499" spans="1:19">
      <c r="A3499" s="18" t="s">
        <v>3632</v>
      </c>
      <c r="B3499" s="1" t="s">
        <v>3652</v>
      </c>
      <c r="C3499" s="1" t="s">
        <v>4081</v>
      </c>
      <c r="D3499" s="1" t="s">
        <v>4082</v>
      </c>
      <c r="E3499" s="1" t="s">
        <v>25</v>
      </c>
      <c r="F3499">
        <v>635</v>
      </c>
      <c r="G3499">
        <v>635</v>
      </c>
      <c r="H3499" s="1" t="s">
        <v>25</v>
      </c>
      <c r="I3499" s="1" t="s">
        <v>1528</v>
      </c>
      <c r="J3499" s="1" t="s">
        <v>1491</v>
      </c>
      <c r="K3499" s="1" t="s">
        <v>25</v>
      </c>
      <c r="L3499">
        <v>-1.0900000000000001</v>
      </c>
      <c r="M3499" t="str">
        <f t="shared" si="117"/>
        <v>44/40</v>
      </c>
      <c r="N3499" t="str">
        <f t="shared" si="118"/>
        <v>SW</v>
      </c>
      <c r="O3499" s="1" t="s">
        <v>25</v>
      </c>
      <c r="P3499" s="3" t="s">
        <v>25</v>
      </c>
      <c r="Q3499" s="37">
        <v>0.4</v>
      </c>
      <c r="R3499" t="str">
        <f t="shared" si="119"/>
        <v>mmol/mol</v>
      </c>
      <c r="S3499" s="13">
        <f t="shared" si="116"/>
        <v>-1.0900000000000001</v>
      </c>
    </row>
    <row r="3500" spans="1:19">
      <c r="A3500" s="18" t="s">
        <v>3632</v>
      </c>
      <c r="B3500" s="1" t="s">
        <v>3653</v>
      </c>
      <c r="C3500" s="1" t="s">
        <v>4081</v>
      </c>
      <c r="D3500" s="1" t="s">
        <v>4082</v>
      </c>
      <c r="E3500" s="1" t="s">
        <v>25</v>
      </c>
      <c r="F3500">
        <v>635</v>
      </c>
      <c r="G3500">
        <v>635</v>
      </c>
      <c r="H3500" s="1" t="s">
        <v>25</v>
      </c>
      <c r="I3500" s="1" t="s">
        <v>1528</v>
      </c>
      <c r="J3500" s="1" t="s">
        <v>1491</v>
      </c>
      <c r="K3500" s="1" t="s">
        <v>25</v>
      </c>
      <c r="L3500">
        <v>-0.92</v>
      </c>
      <c r="M3500" t="str">
        <f t="shared" si="117"/>
        <v>44/40</v>
      </c>
      <c r="N3500" t="str">
        <f t="shared" si="118"/>
        <v>SW</v>
      </c>
      <c r="O3500" s="1" t="s">
        <v>25</v>
      </c>
      <c r="P3500" s="3" t="s">
        <v>25</v>
      </c>
      <c r="Q3500" s="37">
        <v>0.44</v>
      </c>
      <c r="R3500" t="str">
        <f t="shared" si="119"/>
        <v>mmol/mol</v>
      </c>
      <c r="S3500" s="13">
        <f t="shared" ref="S3500:S3563" si="120">IF(NOT(N3500="SW"),L3500-1.88,L3500)</f>
        <v>-0.92</v>
      </c>
    </row>
    <row r="3501" spans="1:19">
      <c r="A3501" s="18" t="s">
        <v>3632</v>
      </c>
      <c r="B3501" s="1" t="s">
        <v>3654</v>
      </c>
      <c r="C3501" s="1" t="s">
        <v>4081</v>
      </c>
      <c r="D3501" s="1" t="s">
        <v>4082</v>
      </c>
      <c r="E3501" s="1" t="s">
        <v>25</v>
      </c>
      <c r="F3501">
        <v>635</v>
      </c>
      <c r="G3501">
        <v>635</v>
      </c>
      <c r="H3501" s="1" t="s">
        <v>25</v>
      </c>
      <c r="I3501" s="1" t="s">
        <v>1528</v>
      </c>
      <c r="J3501" s="1" t="s">
        <v>1491</v>
      </c>
      <c r="K3501" s="1" t="s">
        <v>25</v>
      </c>
      <c r="L3501">
        <v>-1.1299999999999999</v>
      </c>
      <c r="M3501" t="str">
        <f t="shared" si="117"/>
        <v>44/40</v>
      </c>
      <c r="N3501" t="str">
        <f t="shared" si="118"/>
        <v>SW</v>
      </c>
      <c r="O3501" s="1" t="s">
        <v>25</v>
      </c>
      <c r="P3501" s="3" t="s">
        <v>25</v>
      </c>
      <c r="Q3501" s="37">
        <v>0.41</v>
      </c>
      <c r="R3501" t="str">
        <f t="shared" si="119"/>
        <v>mmol/mol</v>
      </c>
      <c r="S3501" s="13">
        <f t="shared" si="120"/>
        <v>-1.1299999999999999</v>
      </c>
    </row>
    <row r="3502" spans="1:19">
      <c r="A3502" s="18" t="s">
        <v>3632</v>
      </c>
      <c r="B3502" s="1" t="s">
        <v>3655</v>
      </c>
      <c r="C3502" s="1" t="s">
        <v>4081</v>
      </c>
      <c r="D3502" s="1" t="s">
        <v>4082</v>
      </c>
      <c r="E3502" s="1" t="s">
        <v>25</v>
      </c>
      <c r="F3502">
        <v>635</v>
      </c>
      <c r="G3502">
        <v>635</v>
      </c>
      <c r="H3502" s="1" t="s">
        <v>25</v>
      </c>
      <c r="I3502" s="1" t="s">
        <v>1528</v>
      </c>
      <c r="J3502" s="1" t="s">
        <v>1491</v>
      </c>
      <c r="K3502" s="1" t="s">
        <v>25</v>
      </c>
      <c r="L3502">
        <v>-1.05</v>
      </c>
      <c r="M3502" t="str">
        <f t="shared" si="117"/>
        <v>44/40</v>
      </c>
      <c r="N3502" t="str">
        <f t="shared" si="118"/>
        <v>SW</v>
      </c>
      <c r="O3502" s="1" t="s">
        <v>25</v>
      </c>
      <c r="P3502" s="3" t="s">
        <v>25</v>
      </c>
      <c r="Q3502" s="37">
        <v>0.32</v>
      </c>
      <c r="R3502" t="str">
        <f t="shared" si="119"/>
        <v>mmol/mol</v>
      </c>
      <c r="S3502" s="13">
        <f t="shared" si="120"/>
        <v>-1.05</v>
      </c>
    </row>
    <row r="3503" spans="1:19">
      <c r="A3503" s="18" t="s">
        <v>3632</v>
      </c>
      <c r="B3503" s="1" t="s">
        <v>3656</v>
      </c>
      <c r="C3503" s="1" t="s">
        <v>4081</v>
      </c>
      <c r="D3503" s="1" t="s">
        <v>4082</v>
      </c>
      <c r="E3503" s="1" t="s">
        <v>25</v>
      </c>
      <c r="F3503">
        <v>635</v>
      </c>
      <c r="G3503">
        <v>635</v>
      </c>
      <c r="H3503" s="1" t="s">
        <v>25</v>
      </c>
      <c r="I3503" s="1" t="s">
        <v>1528</v>
      </c>
      <c r="J3503" s="1" t="s">
        <v>1491</v>
      </c>
      <c r="K3503" s="1" t="s">
        <v>25</v>
      </c>
      <c r="L3503">
        <v>-1.21</v>
      </c>
      <c r="M3503" t="str">
        <f t="shared" si="117"/>
        <v>44/40</v>
      </c>
      <c r="N3503" t="str">
        <f t="shared" si="118"/>
        <v>SW</v>
      </c>
      <c r="O3503" s="1" t="s">
        <v>25</v>
      </c>
      <c r="P3503" s="3" t="s">
        <v>25</v>
      </c>
      <c r="Q3503" s="37">
        <v>0.55000000000000004</v>
      </c>
      <c r="R3503" t="str">
        <f t="shared" si="119"/>
        <v>mmol/mol</v>
      </c>
      <c r="S3503" s="13">
        <f t="shared" si="120"/>
        <v>-1.21</v>
      </c>
    </row>
    <row r="3504" spans="1:19">
      <c r="A3504" s="18" t="s">
        <v>3632</v>
      </c>
      <c r="B3504" s="1" t="s">
        <v>3657</v>
      </c>
      <c r="C3504" s="1" t="s">
        <v>4081</v>
      </c>
      <c r="D3504" s="1" t="s">
        <v>4082</v>
      </c>
      <c r="E3504" s="1" t="s">
        <v>25</v>
      </c>
      <c r="F3504">
        <v>635</v>
      </c>
      <c r="G3504">
        <v>635</v>
      </c>
      <c r="H3504" s="1" t="s">
        <v>25</v>
      </c>
      <c r="I3504" s="1" t="s">
        <v>1528</v>
      </c>
      <c r="J3504" s="1" t="s">
        <v>1491</v>
      </c>
      <c r="K3504" s="1" t="s">
        <v>25</v>
      </c>
      <c r="L3504">
        <v>-1.1499999999999999</v>
      </c>
      <c r="M3504" t="str">
        <f t="shared" ref="M3504:M3567" si="121">IF(L3504="Na","Na","44/40")</f>
        <v>44/40</v>
      </c>
      <c r="N3504" t="str">
        <f t="shared" ref="N3504:N3567" si="122">IF(M3504="Na","Na","SW")</f>
        <v>SW</v>
      </c>
      <c r="O3504" s="1" t="s">
        <v>25</v>
      </c>
      <c r="P3504" s="3" t="s">
        <v>25</v>
      </c>
      <c r="Q3504" s="37">
        <v>0.54</v>
      </c>
      <c r="R3504" t="str">
        <f t="shared" si="119"/>
        <v>mmol/mol</v>
      </c>
      <c r="S3504" s="13">
        <f t="shared" si="120"/>
        <v>-1.1499999999999999</v>
      </c>
    </row>
    <row r="3505" spans="1:19">
      <c r="A3505" s="18" t="s">
        <v>3632</v>
      </c>
      <c r="B3505" s="1" t="s">
        <v>3658</v>
      </c>
      <c r="C3505" s="1" t="s">
        <v>4081</v>
      </c>
      <c r="D3505" s="1" t="s">
        <v>4082</v>
      </c>
      <c r="E3505" s="1" t="s">
        <v>25</v>
      </c>
      <c r="F3505">
        <v>635</v>
      </c>
      <c r="G3505">
        <v>635</v>
      </c>
      <c r="H3505" s="1" t="s">
        <v>25</v>
      </c>
      <c r="I3505" s="1" t="s">
        <v>1528</v>
      </c>
      <c r="J3505" s="1" t="s">
        <v>1491</v>
      </c>
      <c r="K3505" s="1" t="s">
        <v>25</v>
      </c>
      <c r="L3505">
        <v>-1.01</v>
      </c>
      <c r="M3505" t="str">
        <f t="shared" si="121"/>
        <v>44/40</v>
      </c>
      <c r="N3505" t="str">
        <f t="shared" si="122"/>
        <v>SW</v>
      </c>
      <c r="O3505" s="1" t="s">
        <v>25</v>
      </c>
      <c r="P3505" s="3" t="s">
        <v>25</v>
      </c>
      <c r="Q3505" s="37">
        <v>0.47</v>
      </c>
      <c r="R3505" t="str">
        <f t="shared" si="119"/>
        <v>mmol/mol</v>
      </c>
      <c r="S3505" s="13">
        <f t="shared" si="120"/>
        <v>-1.01</v>
      </c>
    </row>
    <row r="3506" spans="1:19">
      <c r="A3506" s="18" t="s">
        <v>3632</v>
      </c>
      <c r="B3506" s="1" t="s">
        <v>3659</v>
      </c>
      <c r="C3506" s="1" t="s">
        <v>4081</v>
      </c>
      <c r="D3506" s="1" t="s">
        <v>4082</v>
      </c>
      <c r="E3506" s="1" t="s">
        <v>25</v>
      </c>
      <c r="F3506">
        <v>635</v>
      </c>
      <c r="G3506">
        <v>635</v>
      </c>
      <c r="H3506" s="1" t="s">
        <v>25</v>
      </c>
      <c r="I3506" s="1" t="s">
        <v>1528</v>
      </c>
      <c r="J3506" s="1" t="s">
        <v>1491</v>
      </c>
      <c r="K3506" s="1" t="s">
        <v>25</v>
      </c>
      <c r="L3506">
        <v>-0.97</v>
      </c>
      <c r="M3506" t="str">
        <f t="shared" si="121"/>
        <v>44/40</v>
      </c>
      <c r="N3506" t="str">
        <f t="shared" si="122"/>
        <v>SW</v>
      </c>
      <c r="O3506" s="1" t="s">
        <v>25</v>
      </c>
      <c r="P3506" s="3" t="s">
        <v>25</v>
      </c>
      <c r="Q3506" s="37">
        <v>0.5</v>
      </c>
      <c r="R3506" t="str">
        <f t="shared" si="119"/>
        <v>mmol/mol</v>
      </c>
      <c r="S3506" s="13">
        <f t="shared" si="120"/>
        <v>-0.97</v>
      </c>
    </row>
    <row r="3507" spans="1:19">
      <c r="A3507" s="18" t="s">
        <v>3632</v>
      </c>
      <c r="B3507" s="1" t="s">
        <v>3660</v>
      </c>
      <c r="C3507" s="1" t="s">
        <v>4081</v>
      </c>
      <c r="D3507" s="1" t="s">
        <v>4082</v>
      </c>
      <c r="E3507" s="1" t="s">
        <v>25</v>
      </c>
      <c r="F3507">
        <v>635</v>
      </c>
      <c r="G3507">
        <v>635</v>
      </c>
      <c r="H3507" s="1" t="s">
        <v>25</v>
      </c>
      <c r="I3507" s="1" t="s">
        <v>1528</v>
      </c>
      <c r="J3507" s="1" t="s">
        <v>1491</v>
      </c>
      <c r="K3507" s="1" t="s">
        <v>25</v>
      </c>
      <c r="L3507">
        <v>-1.04</v>
      </c>
      <c r="M3507" t="str">
        <f t="shared" si="121"/>
        <v>44/40</v>
      </c>
      <c r="N3507" t="str">
        <f t="shared" si="122"/>
        <v>SW</v>
      </c>
      <c r="O3507" s="1" t="s">
        <v>25</v>
      </c>
      <c r="P3507" s="3" t="s">
        <v>25</v>
      </c>
      <c r="Q3507" s="37">
        <v>0.49</v>
      </c>
      <c r="R3507" t="str">
        <f t="shared" si="119"/>
        <v>mmol/mol</v>
      </c>
      <c r="S3507" s="13">
        <f t="shared" si="120"/>
        <v>-1.04</v>
      </c>
    </row>
    <row r="3508" spans="1:19">
      <c r="A3508" s="18" t="s">
        <v>3632</v>
      </c>
      <c r="B3508" s="1" t="s">
        <v>3661</v>
      </c>
      <c r="C3508" s="1" t="s">
        <v>4081</v>
      </c>
      <c r="D3508" s="1" t="s">
        <v>4082</v>
      </c>
      <c r="E3508" s="1" t="s">
        <v>25</v>
      </c>
      <c r="F3508">
        <v>635</v>
      </c>
      <c r="G3508">
        <v>635</v>
      </c>
      <c r="H3508" s="1" t="s">
        <v>25</v>
      </c>
      <c r="I3508" s="1" t="s">
        <v>1528</v>
      </c>
      <c r="J3508" s="1" t="s">
        <v>1491</v>
      </c>
      <c r="K3508" s="1" t="s">
        <v>25</v>
      </c>
      <c r="L3508">
        <v>-1</v>
      </c>
      <c r="M3508" t="str">
        <f t="shared" si="121"/>
        <v>44/40</v>
      </c>
      <c r="N3508" t="str">
        <f t="shared" si="122"/>
        <v>SW</v>
      </c>
      <c r="O3508" s="1" t="s">
        <v>25</v>
      </c>
      <c r="P3508" s="3" t="s">
        <v>25</v>
      </c>
      <c r="Q3508" s="37">
        <v>0.44</v>
      </c>
      <c r="R3508" t="str">
        <f t="shared" si="119"/>
        <v>mmol/mol</v>
      </c>
      <c r="S3508" s="13">
        <f t="shared" si="120"/>
        <v>-1</v>
      </c>
    </row>
    <row r="3509" spans="1:19">
      <c r="A3509" s="18" t="s">
        <v>3632</v>
      </c>
      <c r="B3509" s="1" t="s">
        <v>3662</v>
      </c>
      <c r="C3509" s="1" t="s">
        <v>4081</v>
      </c>
      <c r="D3509" s="1" t="s">
        <v>4082</v>
      </c>
      <c r="E3509" s="1" t="s">
        <v>25</v>
      </c>
      <c r="F3509">
        <v>635</v>
      </c>
      <c r="G3509">
        <v>635</v>
      </c>
      <c r="H3509" s="1" t="s">
        <v>25</v>
      </c>
      <c r="I3509" s="1" t="s">
        <v>1528</v>
      </c>
      <c r="J3509" s="1" t="s">
        <v>1491</v>
      </c>
      <c r="K3509" s="1" t="s">
        <v>25</v>
      </c>
      <c r="L3509">
        <v>-1.03</v>
      </c>
      <c r="M3509" t="str">
        <f t="shared" si="121"/>
        <v>44/40</v>
      </c>
      <c r="N3509" t="str">
        <f t="shared" si="122"/>
        <v>SW</v>
      </c>
      <c r="O3509" s="1" t="s">
        <v>25</v>
      </c>
      <c r="P3509" s="3" t="s">
        <v>25</v>
      </c>
      <c r="Q3509" s="37">
        <v>0.75</v>
      </c>
      <c r="R3509" t="str">
        <f t="shared" si="119"/>
        <v>mmol/mol</v>
      </c>
      <c r="S3509" s="13">
        <f t="shared" si="120"/>
        <v>-1.03</v>
      </c>
    </row>
    <row r="3510" spans="1:19">
      <c r="A3510" s="18" t="s">
        <v>3632</v>
      </c>
      <c r="B3510" s="1" t="s">
        <v>3663</v>
      </c>
      <c r="C3510" s="1" t="s">
        <v>4081</v>
      </c>
      <c r="D3510" s="1" t="s">
        <v>4082</v>
      </c>
      <c r="E3510" s="1" t="s">
        <v>25</v>
      </c>
      <c r="F3510">
        <v>635</v>
      </c>
      <c r="G3510">
        <v>635</v>
      </c>
      <c r="H3510" s="1" t="s">
        <v>25</v>
      </c>
      <c r="I3510" s="1" t="s">
        <v>1528</v>
      </c>
      <c r="J3510" s="1" t="s">
        <v>1491</v>
      </c>
      <c r="K3510" s="1" t="s">
        <v>25</v>
      </c>
      <c r="L3510">
        <v>-1.1299999999999999</v>
      </c>
      <c r="M3510" t="str">
        <f t="shared" si="121"/>
        <v>44/40</v>
      </c>
      <c r="N3510" t="str">
        <f t="shared" si="122"/>
        <v>SW</v>
      </c>
      <c r="O3510" s="1" t="s">
        <v>25</v>
      </c>
      <c r="P3510" s="3" t="s">
        <v>25</v>
      </c>
      <c r="Q3510" s="37">
        <v>0.46</v>
      </c>
      <c r="R3510" t="str">
        <f t="shared" si="119"/>
        <v>mmol/mol</v>
      </c>
      <c r="S3510" s="13">
        <f t="shared" si="120"/>
        <v>-1.1299999999999999</v>
      </c>
    </row>
    <row r="3511" spans="1:19">
      <c r="A3511" s="18" t="s">
        <v>3632</v>
      </c>
      <c r="B3511" s="1" t="s">
        <v>3664</v>
      </c>
      <c r="C3511" s="1" t="s">
        <v>4081</v>
      </c>
      <c r="D3511" s="1" t="s">
        <v>4082</v>
      </c>
      <c r="E3511" s="1" t="s">
        <v>25</v>
      </c>
      <c r="F3511">
        <v>635</v>
      </c>
      <c r="G3511">
        <v>635</v>
      </c>
      <c r="H3511" s="1" t="s">
        <v>25</v>
      </c>
      <c r="I3511" s="1" t="s">
        <v>1528</v>
      </c>
      <c r="J3511" s="1" t="s">
        <v>1491</v>
      </c>
      <c r="K3511" s="1" t="s">
        <v>25</v>
      </c>
      <c r="L3511">
        <v>-1.1000000000000001</v>
      </c>
      <c r="M3511" t="str">
        <f t="shared" si="121"/>
        <v>44/40</v>
      </c>
      <c r="N3511" t="str">
        <f t="shared" si="122"/>
        <v>SW</v>
      </c>
      <c r="O3511" s="1" t="s">
        <v>25</v>
      </c>
      <c r="P3511" s="3" t="s">
        <v>25</v>
      </c>
      <c r="Q3511" s="37">
        <v>0.69</v>
      </c>
      <c r="R3511" t="str">
        <f t="shared" si="119"/>
        <v>mmol/mol</v>
      </c>
      <c r="S3511" s="13">
        <f t="shared" si="120"/>
        <v>-1.1000000000000001</v>
      </c>
    </row>
    <row r="3512" spans="1:19">
      <c r="A3512" s="18" t="s">
        <v>3632</v>
      </c>
      <c r="B3512" s="1" t="s">
        <v>3665</v>
      </c>
      <c r="C3512" s="1" t="s">
        <v>4081</v>
      </c>
      <c r="D3512" s="1" t="s">
        <v>4082</v>
      </c>
      <c r="E3512" s="1" t="s">
        <v>25</v>
      </c>
      <c r="F3512">
        <v>635</v>
      </c>
      <c r="G3512">
        <v>635</v>
      </c>
      <c r="H3512" s="1" t="s">
        <v>25</v>
      </c>
      <c r="I3512" s="1" t="s">
        <v>1528</v>
      </c>
      <c r="J3512" s="1" t="s">
        <v>1491</v>
      </c>
      <c r="K3512" s="1" t="s">
        <v>25</v>
      </c>
      <c r="L3512">
        <v>-1.1000000000000001</v>
      </c>
      <c r="M3512" t="str">
        <f t="shared" si="121"/>
        <v>44/40</v>
      </c>
      <c r="N3512" t="str">
        <f t="shared" si="122"/>
        <v>SW</v>
      </c>
      <c r="O3512" s="1" t="s">
        <v>25</v>
      </c>
      <c r="P3512" s="3" t="s">
        <v>25</v>
      </c>
      <c r="Q3512" s="37">
        <v>0.73</v>
      </c>
      <c r="R3512" t="str">
        <f t="shared" si="119"/>
        <v>mmol/mol</v>
      </c>
      <c r="S3512" s="13">
        <f t="shared" si="120"/>
        <v>-1.1000000000000001</v>
      </c>
    </row>
    <row r="3513" spans="1:19">
      <c r="A3513" s="18" t="s">
        <v>3632</v>
      </c>
      <c r="B3513" s="1" t="s">
        <v>3666</v>
      </c>
      <c r="C3513" s="1" t="s">
        <v>4081</v>
      </c>
      <c r="D3513" s="1" t="s">
        <v>4082</v>
      </c>
      <c r="E3513" s="1" t="s">
        <v>25</v>
      </c>
      <c r="F3513">
        <v>635</v>
      </c>
      <c r="G3513">
        <v>635</v>
      </c>
      <c r="H3513" s="1" t="s">
        <v>25</v>
      </c>
      <c r="I3513" s="1" t="s">
        <v>1528</v>
      </c>
      <c r="J3513" s="1" t="s">
        <v>1491</v>
      </c>
      <c r="K3513" s="1" t="s">
        <v>25</v>
      </c>
      <c r="L3513">
        <v>-1.1200000000000001</v>
      </c>
      <c r="M3513" t="str">
        <f t="shared" si="121"/>
        <v>44/40</v>
      </c>
      <c r="N3513" t="str">
        <f t="shared" si="122"/>
        <v>SW</v>
      </c>
      <c r="O3513" s="1" t="s">
        <v>25</v>
      </c>
      <c r="P3513" s="3" t="s">
        <v>25</v>
      </c>
      <c r="Q3513" s="37">
        <v>0.93</v>
      </c>
      <c r="R3513" t="str">
        <f t="shared" si="119"/>
        <v>mmol/mol</v>
      </c>
      <c r="S3513" s="13">
        <f t="shared" si="120"/>
        <v>-1.1200000000000001</v>
      </c>
    </row>
    <row r="3514" spans="1:19">
      <c r="A3514" s="18" t="s">
        <v>3632</v>
      </c>
      <c r="B3514" s="1" t="s">
        <v>3667</v>
      </c>
      <c r="C3514" s="1" t="s">
        <v>4083</v>
      </c>
      <c r="D3514" s="1" t="s">
        <v>4084</v>
      </c>
      <c r="E3514" s="1" t="s">
        <v>25</v>
      </c>
      <c r="F3514">
        <v>635</v>
      </c>
      <c r="G3514">
        <v>635</v>
      </c>
      <c r="H3514" s="1" t="s">
        <v>25</v>
      </c>
      <c r="I3514" s="1" t="s">
        <v>1528</v>
      </c>
      <c r="J3514" s="1" t="s">
        <v>2109</v>
      </c>
      <c r="K3514" s="1" t="s">
        <v>25</v>
      </c>
      <c r="L3514">
        <v>-1.0900000000000001</v>
      </c>
      <c r="M3514" t="str">
        <f t="shared" si="121"/>
        <v>44/40</v>
      </c>
      <c r="N3514" t="str">
        <f t="shared" si="122"/>
        <v>SW</v>
      </c>
      <c r="O3514" s="1" t="s">
        <v>25</v>
      </c>
      <c r="P3514" s="3" t="s">
        <v>25</v>
      </c>
      <c r="Q3514" s="37">
        <v>0.16</v>
      </c>
      <c r="R3514" t="str">
        <f t="shared" si="119"/>
        <v>mmol/mol</v>
      </c>
      <c r="S3514" s="13">
        <f t="shared" si="120"/>
        <v>-1.0900000000000001</v>
      </c>
    </row>
    <row r="3515" spans="1:19">
      <c r="A3515" s="18" t="s">
        <v>3632</v>
      </c>
      <c r="B3515" s="1" t="s">
        <v>3668</v>
      </c>
      <c r="C3515" s="1" t="s">
        <v>4083</v>
      </c>
      <c r="D3515" s="1" t="s">
        <v>4084</v>
      </c>
      <c r="E3515" s="1" t="s">
        <v>25</v>
      </c>
      <c r="F3515">
        <v>635</v>
      </c>
      <c r="G3515">
        <v>635</v>
      </c>
      <c r="H3515" s="1" t="s">
        <v>25</v>
      </c>
      <c r="I3515" s="1" t="s">
        <v>1528</v>
      </c>
      <c r="J3515" s="1" t="s">
        <v>4104</v>
      </c>
      <c r="K3515" s="1" t="s">
        <v>25</v>
      </c>
      <c r="L3515">
        <v>-1.1100000000000001</v>
      </c>
      <c r="M3515" t="str">
        <f t="shared" si="121"/>
        <v>44/40</v>
      </c>
      <c r="N3515" t="str">
        <f t="shared" si="122"/>
        <v>SW</v>
      </c>
      <c r="O3515" s="1" t="s">
        <v>25</v>
      </c>
      <c r="P3515" s="3" t="s">
        <v>25</v>
      </c>
      <c r="Q3515" s="37">
        <v>0.18</v>
      </c>
      <c r="R3515" t="str">
        <f t="shared" si="119"/>
        <v>mmol/mol</v>
      </c>
      <c r="S3515" s="13">
        <f t="shared" si="120"/>
        <v>-1.1100000000000001</v>
      </c>
    </row>
    <row r="3516" spans="1:19">
      <c r="A3516" s="18" t="s">
        <v>3632</v>
      </c>
      <c r="B3516" s="1" t="s">
        <v>3669</v>
      </c>
      <c r="C3516" s="1" t="s">
        <v>4083</v>
      </c>
      <c r="D3516" s="1" t="s">
        <v>4084</v>
      </c>
      <c r="E3516" s="1" t="s">
        <v>25</v>
      </c>
      <c r="F3516">
        <v>635</v>
      </c>
      <c r="G3516">
        <v>635</v>
      </c>
      <c r="H3516" s="1" t="s">
        <v>25</v>
      </c>
      <c r="I3516" s="1" t="s">
        <v>1528</v>
      </c>
      <c r="J3516" s="1" t="s">
        <v>4104</v>
      </c>
      <c r="K3516" s="1" t="s">
        <v>25</v>
      </c>
      <c r="L3516">
        <v>-0.95</v>
      </c>
      <c r="M3516" t="str">
        <f t="shared" si="121"/>
        <v>44/40</v>
      </c>
      <c r="N3516" t="str">
        <f t="shared" si="122"/>
        <v>SW</v>
      </c>
      <c r="O3516" s="1" t="s">
        <v>25</v>
      </c>
      <c r="P3516" s="3" t="s">
        <v>25</v>
      </c>
      <c r="Q3516" s="37">
        <v>0.22</v>
      </c>
      <c r="R3516" t="str">
        <f t="shared" si="119"/>
        <v>mmol/mol</v>
      </c>
      <c r="S3516" s="13">
        <f t="shared" si="120"/>
        <v>-0.95</v>
      </c>
    </row>
    <row r="3517" spans="1:19">
      <c r="A3517" s="18" t="s">
        <v>3632</v>
      </c>
      <c r="B3517" s="1" t="s">
        <v>3670</v>
      </c>
      <c r="C3517" s="1" t="s">
        <v>4083</v>
      </c>
      <c r="D3517" s="1" t="s">
        <v>4084</v>
      </c>
      <c r="E3517" s="1" t="s">
        <v>25</v>
      </c>
      <c r="F3517">
        <v>635</v>
      </c>
      <c r="G3517">
        <v>635</v>
      </c>
      <c r="H3517" s="1" t="s">
        <v>25</v>
      </c>
      <c r="I3517" s="1" t="s">
        <v>1528</v>
      </c>
      <c r="J3517" s="1" t="s">
        <v>4104</v>
      </c>
      <c r="K3517" s="1" t="s">
        <v>25</v>
      </c>
      <c r="L3517">
        <v>-0.92</v>
      </c>
      <c r="M3517" t="str">
        <f t="shared" si="121"/>
        <v>44/40</v>
      </c>
      <c r="N3517" t="str">
        <f t="shared" si="122"/>
        <v>SW</v>
      </c>
      <c r="O3517" s="1" t="s">
        <v>25</v>
      </c>
      <c r="P3517" s="3" t="s">
        <v>25</v>
      </c>
      <c r="Q3517" s="37">
        <v>0.21</v>
      </c>
      <c r="R3517" t="str">
        <f t="shared" si="119"/>
        <v>mmol/mol</v>
      </c>
      <c r="S3517" s="13">
        <f t="shared" si="120"/>
        <v>-0.92</v>
      </c>
    </row>
    <row r="3518" spans="1:19">
      <c r="A3518" s="18" t="s">
        <v>3632</v>
      </c>
      <c r="B3518" s="1" t="s">
        <v>3671</v>
      </c>
      <c r="C3518" s="1" t="s">
        <v>4083</v>
      </c>
      <c r="D3518" s="1" t="s">
        <v>4084</v>
      </c>
      <c r="E3518" s="1" t="s">
        <v>25</v>
      </c>
      <c r="F3518">
        <v>635</v>
      </c>
      <c r="G3518">
        <v>635</v>
      </c>
      <c r="H3518" s="1" t="s">
        <v>25</v>
      </c>
      <c r="I3518" s="1" t="s">
        <v>1528</v>
      </c>
      <c r="J3518" s="1" t="s">
        <v>4104</v>
      </c>
      <c r="K3518" s="1" t="s">
        <v>25</v>
      </c>
      <c r="L3518">
        <v>-0.88</v>
      </c>
      <c r="M3518" t="str">
        <f t="shared" si="121"/>
        <v>44/40</v>
      </c>
      <c r="N3518" t="str">
        <f t="shared" si="122"/>
        <v>SW</v>
      </c>
      <c r="O3518" s="1" t="s">
        <v>25</v>
      </c>
      <c r="P3518" s="3" t="s">
        <v>25</v>
      </c>
      <c r="Q3518" s="37">
        <v>0.13</v>
      </c>
      <c r="R3518" t="str">
        <f t="shared" si="119"/>
        <v>mmol/mol</v>
      </c>
      <c r="S3518" s="13">
        <f t="shared" si="120"/>
        <v>-0.88</v>
      </c>
    </row>
    <row r="3519" spans="1:19">
      <c r="A3519" s="18" t="s">
        <v>3632</v>
      </c>
      <c r="B3519" s="1" t="s">
        <v>3672</v>
      </c>
      <c r="C3519" s="1" t="s">
        <v>4083</v>
      </c>
      <c r="D3519" s="1" t="s">
        <v>4084</v>
      </c>
      <c r="E3519" s="1" t="s">
        <v>25</v>
      </c>
      <c r="F3519">
        <v>635</v>
      </c>
      <c r="G3519">
        <v>635</v>
      </c>
      <c r="H3519" s="1" t="s">
        <v>25</v>
      </c>
      <c r="I3519" s="1" t="s">
        <v>1528</v>
      </c>
      <c r="J3519" s="1" t="s">
        <v>4104</v>
      </c>
      <c r="K3519" s="1" t="s">
        <v>25</v>
      </c>
      <c r="L3519">
        <v>-0.85</v>
      </c>
      <c r="M3519" t="str">
        <f t="shared" si="121"/>
        <v>44/40</v>
      </c>
      <c r="N3519" t="str">
        <f t="shared" si="122"/>
        <v>SW</v>
      </c>
      <c r="O3519" s="1" t="s">
        <v>25</v>
      </c>
      <c r="P3519" s="3" t="s">
        <v>25</v>
      </c>
      <c r="Q3519" s="37">
        <v>0.13</v>
      </c>
      <c r="R3519" t="str">
        <f t="shared" si="119"/>
        <v>mmol/mol</v>
      </c>
      <c r="S3519" s="13">
        <f t="shared" si="120"/>
        <v>-0.85</v>
      </c>
    </row>
    <row r="3520" spans="1:19">
      <c r="A3520" s="18" t="s">
        <v>3632</v>
      </c>
      <c r="B3520" s="1" t="s">
        <v>3673</v>
      </c>
      <c r="C3520" s="1" t="s">
        <v>4083</v>
      </c>
      <c r="D3520" s="1" t="s">
        <v>4084</v>
      </c>
      <c r="E3520" s="1" t="s">
        <v>25</v>
      </c>
      <c r="F3520">
        <v>635</v>
      </c>
      <c r="G3520">
        <v>635</v>
      </c>
      <c r="H3520" s="1" t="s">
        <v>25</v>
      </c>
      <c r="I3520" s="1" t="s">
        <v>1528</v>
      </c>
      <c r="J3520" s="1" t="s">
        <v>4104</v>
      </c>
      <c r="K3520" s="1" t="s">
        <v>25</v>
      </c>
      <c r="L3520">
        <v>-0.91</v>
      </c>
      <c r="M3520" t="str">
        <f t="shared" si="121"/>
        <v>44/40</v>
      </c>
      <c r="N3520" t="str">
        <f t="shared" si="122"/>
        <v>SW</v>
      </c>
      <c r="O3520" s="1" t="s">
        <v>25</v>
      </c>
      <c r="P3520" s="3" t="s">
        <v>25</v>
      </c>
      <c r="Q3520" s="37">
        <v>0.13</v>
      </c>
      <c r="R3520" t="str">
        <f t="shared" si="119"/>
        <v>mmol/mol</v>
      </c>
      <c r="S3520" s="13">
        <f t="shared" si="120"/>
        <v>-0.91</v>
      </c>
    </row>
    <row r="3521" spans="1:19">
      <c r="A3521" s="18" t="s">
        <v>3632</v>
      </c>
      <c r="B3521" s="1" t="s">
        <v>3674</v>
      </c>
      <c r="C3521" s="1" t="s">
        <v>4083</v>
      </c>
      <c r="D3521" s="1" t="s">
        <v>4084</v>
      </c>
      <c r="E3521" s="1" t="s">
        <v>25</v>
      </c>
      <c r="F3521">
        <v>635</v>
      </c>
      <c r="G3521">
        <v>635</v>
      </c>
      <c r="H3521" s="1" t="s">
        <v>25</v>
      </c>
      <c r="I3521" s="1" t="s">
        <v>1528</v>
      </c>
      <c r="J3521" s="1" t="s">
        <v>4104</v>
      </c>
      <c r="K3521" s="1" t="s">
        <v>25</v>
      </c>
      <c r="L3521">
        <v>-0.85</v>
      </c>
      <c r="M3521" t="str">
        <f t="shared" si="121"/>
        <v>44/40</v>
      </c>
      <c r="N3521" t="str">
        <f t="shared" si="122"/>
        <v>SW</v>
      </c>
      <c r="O3521" s="1" t="s">
        <v>25</v>
      </c>
      <c r="P3521" s="3" t="s">
        <v>25</v>
      </c>
      <c r="Q3521" s="37">
        <v>0.17</v>
      </c>
      <c r="R3521" t="str">
        <f t="shared" si="119"/>
        <v>mmol/mol</v>
      </c>
      <c r="S3521" s="13">
        <f t="shared" si="120"/>
        <v>-0.85</v>
      </c>
    </row>
    <row r="3522" spans="1:19">
      <c r="A3522" s="18" t="s">
        <v>3632</v>
      </c>
      <c r="B3522" s="1" t="s">
        <v>3675</v>
      </c>
      <c r="C3522" s="1" t="s">
        <v>4083</v>
      </c>
      <c r="D3522" s="1" t="s">
        <v>4084</v>
      </c>
      <c r="E3522" s="1" t="s">
        <v>25</v>
      </c>
      <c r="F3522">
        <v>635</v>
      </c>
      <c r="G3522">
        <v>635</v>
      </c>
      <c r="H3522" s="1" t="s">
        <v>25</v>
      </c>
      <c r="I3522" s="1" t="s">
        <v>1528</v>
      </c>
      <c r="J3522" s="1" t="s">
        <v>4104</v>
      </c>
      <c r="K3522" s="1" t="s">
        <v>25</v>
      </c>
      <c r="L3522">
        <v>-1.19</v>
      </c>
      <c r="M3522" t="str">
        <f t="shared" si="121"/>
        <v>44/40</v>
      </c>
      <c r="N3522" t="str">
        <f t="shared" si="122"/>
        <v>SW</v>
      </c>
      <c r="O3522" s="1" t="s">
        <v>25</v>
      </c>
      <c r="P3522" s="3" t="s">
        <v>25</v>
      </c>
      <c r="Q3522" s="37">
        <v>0.86</v>
      </c>
      <c r="R3522" t="str">
        <f t="shared" si="119"/>
        <v>mmol/mol</v>
      </c>
      <c r="S3522" s="13">
        <f t="shared" si="120"/>
        <v>-1.19</v>
      </c>
    </row>
    <row r="3523" spans="1:19">
      <c r="A3523" s="18" t="s">
        <v>3632</v>
      </c>
      <c r="B3523" s="1" t="s">
        <v>3676</v>
      </c>
      <c r="C3523" s="1" t="s">
        <v>4083</v>
      </c>
      <c r="D3523" s="1" t="s">
        <v>4084</v>
      </c>
      <c r="E3523" s="1" t="s">
        <v>25</v>
      </c>
      <c r="F3523">
        <v>635</v>
      </c>
      <c r="G3523">
        <v>635</v>
      </c>
      <c r="H3523" s="1" t="s">
        <v>25</v>
      </c>
      <c r="I3523" s="1" t="s">
        <v>1528</v>
      </c>
      <c r="J3523" s="1" t="s">
        <v>4104</v>
      </c>
      <c r="K3523" s="1" t="s">
        <v>25</v>
      </c>
      <c r="L3523">
        <v>-1.06</v>
      </c>
      <c r="M3523" t="str">
        <f t="shared" si="121"/>
        <v>44/40</v>
      </c>
      <c r="N3523" t="str">
        <f t="shared" si="122"/>
        <v>SW</v>
      </c>
      <c r="O3523" s="1" t="s">
        <v>25</v>
      </c>
      <c r="P3523" s="3" t="s">
        <v>25</v>
      </c>
      <c r="Q3523" s="37">
        <v>0.18</v>
      </c>
      <c r="R3523" t="str">
        <f t="shared" si="119"/>
        <v>mmol/mol</v>
      </c>
      <c r="S3523" s="13">
        <f t="shared" si="120"/>
        <v>-1.06</v>
      </c>
    </row>
    <row r="3524" spans="1:19">
      <c r="A3524" s="18" t="s">
        <v>3632</v>
      </c>
      <c r="B3524" s="1" t="s">
        <v>3677</v>
      </c>
      <c r="C3524" s="1" t="s">
        <v>4083</v>
      </c>
      <c r="D3524" s="1" t="s">
        <v>4084</v>
      </c>
      <c r="E3524" s="1" t="s">
        <v>25</v>
      </c>
      <c r="F3524">
        <v>635</v>
      </c>
      <c r="G3524">
        <v>635</v>
      </c>
      <c r="H3524" s="1" t="s">
        <v>25</v>
      </c>
      <c r="I3524" s="1" t="s">
        <v>1528</v>
      </c>
      <c r="J3524" s="1" t="s">
        <v>4104</v>
      </c>
      <c r="K3524" s="1" t="s">
        <v>25</v>
      </c>
      <c r="L3524">
        <v>-1.3</v>
      </c>
      <c r="M3524" t="str">
        <f t="shared" si="121"/>
        <v>44/40</v>
      </c>
      <c r="N3524" t="str">
        <f t="shared" si="122"/>
        <v>SW</v>
      </c>
      <c r="O3524" s="1" t="s">
        <v>25</v>
      </c>
      <c r="P3524" s="3" t="s">
        <v>25</v>
      </c>
      <c r="Q3524" s="37">
        <v>0.87</v>
      </c>
      <c r="R3524" t="str">
        <f t="shared" si="119"/>
        <v>mmol/mol</v>
      </c>
      <c r="S3524" s="13">
        <f t="shared" si="120"/>
        <v>-1.3</v>
      </c>
    </row>
    <row r="3525" spans="1:19">
      <c r="A3525" s="18" t="s">
        <v>3632</v>
      </c>
      <c r="B3525" s="1" t="s">
        <v>3678</v>
      </c>
      <c r="C3525" s="1" t="s">
        <v>4083</v>
      </c>
      <c r="D3525" s="1" t="s">
        <v>4084</v>
      </c>
      <c r="E3525" s="1" t="s">
        <v>25</v>
      </c>
      <c r="F3525">
        <v>635</v>
      </c>
      <c r="G3525">
        <v>635</v>
      </c>
      <c r="H3525" s="1" t="s">
        <v>25</v>
      </c>
      <c r="I3525" s="1" t="s">
        <v>1528</v>
      </c>
      <c r="J3525" s="1" t="s">
        <v>4104</v>
      </c>
      <c r="K3525" s="1" t="s">
        <v>25</v>
      </c>
      <c r="L3525">
        <v>-1.35</v>
      </c>
      <c r="M3525" t="str">
        <f t="shared" si="121"/>
        <v>44/40</v>
      </c>
      <c r="N3525" t="str">
        <f t="shared" si="122"/>
        <v>SW</v>
      </c>
      <c r="O3525" s="1" t="s">
        <v>25</v>
      </c>
      <c r="P3525" s="3" t="s">
        <v>25</v>
      </c>
      <c r="Q3525" s="37">
        <v>0.21</v>
      </c>
      <c r="R3525" t="str">
        <f t="shared" si="119"/>
        <v>mmol/mol</v>
      </c>
      <c r="S3525" s="13">
        <f t="shared" si="120"/>
        <v>-1.35</v>
      </c>
    </row>
    <row r="3526" spans="1:19">
      <c r="A3526" s="18" t="s">
        <v>3632</v>
      </c>
      <c r="B3526" s="1" t="s">
        <v>3679</v>
      </c>
      <c r="C3526" s="1" t="s">
        <v>4083</v>
      </c>
      <c r="D3526" s="1" t="s">
        <v>4084</v>
      </c>
      <c r="E3526" s="1" t="s">
        <v>25</v>
      </c>
      <c r="F3526">
        <v>635</v>
      </c>
      <c r="G3526">
        <v>635</v>
      </c>
      <c r="H3526" s="1" t="s">
        <v>25</v>
      </c>
      <c r="I3526" s="1" t="s">
        <v>1528</v>
      </c>
      <c r="J3526" s="1" t="s">
        <v>4104</v>
      </c>
      <c r="K3526" s="1" t="s">
        <v>25</v>
      </c>
      <c r="L3526">
        <v>-1.33</v>
      </c>
      <c r="M3526" t="str">
        <f t="shared" si="121"/>
        <v>44/40</v>
      </c>
      <c r="N3526" t="str">
        <f t="shared" si="122"/>
        <v>SW</v>
      </c>
      <c r="O3526" s="1" t="s">
        <v>25</v>
      </c>
      <c r="P3526" s="3" t="s">
        <v>25</v>
      </c>
      <c r="Q3526" s="37">
        <v>0.6</v>
      </c>
      <c r="R3526" t="str">
        <f t="shared" si="119"/>
        <v>mmol/mol</v>
      </c>
      <c r="S3526" s="13">
        <f t="shared" si="120"/>
        <v>-1.33</v>
      </c>
    </row>
    <row r="3527" spans="1:19">
      <c r="A3527" s="18" t="s">
        <v>3632</v>
      </c>
      <c r="B3527" s="1" t="s">
        <v>3680</v>
      </c>
      <c r="C3527" s="1" t="s">
        <v>4083</v>
      </c>
      <c r="D3527" s="1" t="s">
        <v>4084</v>
      </c>
      <c r="E3527" s="1" t="s">
        <v>25</v>
      </c>
      <c r="F3527">
        <v>635</v>
      </c>
      <c r="G3527">
        <v>635</v>
      </c>
      <c r="H3527" s="1" t="s">
        <v>25</v>
      </c>
      <c r="I3527" s="1" t="s">
        <v>1528</v>
      </c>
      <c r="J3527" s="1" t="s">
        <v>4104</v>
      </c>
      <c r="K3527" s="1" t="s">
        <v>25</v>
      </c>
      <c r="L3527">
        <v>-1.25</v>
      </c>
      <c r="M3527" t="str">
        <f t="shared" si="121"/>
        <v>44/40</v>
      </c>
      <c r="N3527" t="str">
        <f t="shared" si="122"/>
        <v>SW</v>
      </c>
      <c r="O3527" s="1" t="s">
        <v>25</v>
      </c>
      <c r="P3527" s="3" t="s">
        <v>25</v>
      </c>
      <c r="Q3527" s="37">
        <v>1.18</v>
      </c>
      <c r="R3527" t="str">
        <f t="shared" si="119"/>
        <v>mmol/mol</v>
      </c>
      <c r="S3527" s="13">
        <f t="shared" si="120"/>
        <v>-1.25</v>
      </c>
    </row>
    <row r="3528" spans="1:19">
      <c r="A3528" s="18" t="s">
        <v>3632</v>
      </c>
      <c r="B3528" s="1" t="s">
        <v>3681</v>
      </c>
      <c r="C3528" s="1" t="s">
        <v>4083</v>
      </c>
      <c r="D3528" s="1" t="s">
        <v>4084</v>
      </c>
      <c r="E3528" s="1" t="s">
        <v>25</v>
      </c>
      <c r="F3528">
        <v>635</v>
      </c>
      <c r="G3528">
        <v>635</v>
      </c>
      <c r="H3528" s="1" t="s">
        <v>25</v>
      </c>
      <c r="I3528" s="1" t="s">
        <v>1528</v>
      </c>
      <c r="J3528" s="1" t="s">
        <v>4104</v>
      </c>
      <c r="K3528" s="1" t="s">
        <v>25</v>
      </c>
      <c r="L3528">
        <v>-1.3</v>
      </c>
      <c r="M3528" t="str">
        <f t="shared" si="121"/>
        <v>44/40</v>
      </c>
      <c r="N3528" t="str">
        <f t="shared" si="122"/>
        <v>SW</v>
      </c>
      <c r="O3528" s="1" t="s">
        <v>25</v>
      </c>
      <c r="P3528" s="3" t="s">
        <v>25</v>
      </c>
      <c r="Q3528" s="37">
        <v>1.25</v>
      </c>
      <c r="R3528" t="str">
        <f t="shared" si="119"/>
        <v>mmol/mol</v>
      </c>
      <c r="S3528" s="13">
        <f t="shared" si="120"/>
        <v>-1.3</v>
      </c>
    </row>
    <row r="3529" spans="1:19">
      <c r="A3529" s="18" t="s">
        <v>3632</v>
      </c>
      <c r="B3529" s="1" t="s">
        <v>3682</v>
      </c>
      <c r="C3529" s="1" t="s">
        <v>4083</v>
      </c>
      <c r="D3529" s="1" t="s">
        <v>4084</v>
      </c>
      <c r="E3529" s="1" t="s">
        <v>25</v>
      </c>
      <c r="F3529">
        <v>635</v>
      </c>
      <c r="G3529">
        <v>635</v>
      </c>
      <c r="H3529" s="1" t="s">
        <v>25</v>
      </c>
      <c r="I3529" s="1" t="s">
        <v>1528</v>
      </c>
      <c r="J3529" s="1" t="s">
        <v>4104</v>
      </c>
      <c r="K3529" s="1" t="s">
        <v>25</v>
      </c>
      <c r="L3529">
        <v>-1.33</v>
      </c>
      <c r="M3529" t="str">
        <f t="shared" si="121"/>
        <v>44/40</v>
      </c>
      <c r="N3529" t="str">
        <f t="shared" si="122"/>
        <v>SW</v>
      </c>
      <c r="O3529" s="1" t="s">
        <v>25</v>
      </c>
      <c r="P3529" s="3" t="s">
        <v>25</v>
      </c>
      <c r="Q3529" s="37">
        <v>1.29</v>
      </c>
      <c r="R3529" t="str">
        <f t="shared" si="119"/>
        <v>mmol/mol</v>
      </c>
      <c r="S3529" s="13">
        <f t="shared" si="120"/>
        <v>-1.33</v>
      </c>
    </row>
    <row r="3530" spans="1:19">
      <c r="A3530" s="18" t="s">
        <v>3632</v>
      </c>
      <c r="B3530" s="1" t="s">
        <v>3683</v>
      </c>
      <c r="C3530" s="1" t="s">
        <v>4083</v>
      </c>
      <c r="D3530" s="1" t="s">
        <v>4084</v>
      </c>
      <c r="E3530" s="1" t="s">
        <v>25</v>
      </c>
      <c r="F3530">
        <v>635</v>
      </c>
      <c r="G3530">
        <v>635</v>
      </c>
      <c r="H3530" s="1" t="s">
        <v>25</v>
      </c>
      <c r="I3530" s="1" t="s">
        <v>1528</v>
      </c>
      <c r="J3530" s="1" t="s">
        <v>4104</v>
      </c>
      <c r="K3530" s="1" t="s">
        <v>25</v>
      </c>
      <c r="L3530">
        <v>-1.33</v>
      </c>
      <c r="M3530" t="str">
        <f t="shared" si="121"/>
        <v>44/40</v>
      </c>
      <c r="N3530" t="str">
        <f t="shared" si="122"/>
        <v>SW</v>
      </c>
      <c r="O3530" s="1" t="s">
        <v>25</v>
      </c>
      <c r="P3530" s="3" t="s">
        <v>25</v>
      </c>
      <c r="Q3530" s="37">
        <v>1.22</v>
      </c>
      <c r="R3530" t="str">
        <f t="shared" si="119"/>
        <v>mmol/mol</v>
      </c>
      <c r="S3530" s="13">
        <f t="shared" si="120"/>
        <v>-1.33</v>
      </c>
    </row>
    <row r="3531" spans="1:19">
      <c r="A3531" s="18" t="s">
        <v>3632</v>
      </c>
      <c r="B3531" s="1" t="s">
        <v>3684</v>
      </c>
      <c r="C3531" s="1" t="s">
        <v>4083</v>
      </c>
      <c r="D3531" s="1" t="s">
        <v>4084</v>
      </c>
      <c r="E3531" s="1" t="s">
        <v>25</v>
      </c>
      <c r="F3531">
        <v>635</v>
      </c>
      <c r="G3531">
        <v>635</v>
      </c>
      <c r="H3531" s="1" t="s">
        <v>25</v>
      </c>
      <c r="I3531" s="1" t="s">
        <v>1528</v>
      </c>
      <c r="J3531" s="1" t="s">
        <v>4104</v>
      </c>
      <c r="K3531" s="1" t="s">
        <v>25</v>
      </c>
      <c r="L3531">
        <v>-1.47</v>
      </c>
      <c r="M3531" t="str">
        <f t="shared" si="121"/>
        <v>44/40</v>
      </c>
      <c r="N3531" t="str">
        <f t="shared" si="122"/>
        <v>SW</v>
      </c>
      <c r="O3531" s="1" t="s">
        <v>25</v>
      </c>
      <c r="P3531" s="3" t="s">
        <v>25</v>
      </c>
      <c r="Q3531" s="37">
        <v>1.1399999999999999</v>
      </c>
      <c r="R3531" t="str">
        <f t="shared" si="119"/>
        <v>mmol/mol</v>
      </c>
      <c r="S3531" s="13">
        <f t="shared" si="120"/>
        <v>-1.47</v>
      </c>
    </row>
    <row r="3532" spans="1:19">
      <c r="A3532" s="18" t="s">
        <v>3632</v>
      </c>
      <c r="B3532" s="1" t="s">
        <v>3685</v>
      </c>
      <c r="C3532" s="1" t="s">
        <v>4083</v>
      </c>
      <c r="D3532" s="1" t="s">
        <v>4084</v>
      </c>
      <c r="E3532" s="1" t="s">
        <v>25</v>
      </c>
      <c r="F3532">
        <v>635</v>
      </c>
      <c r="G3532">
        <v>635</v>
      </c>
      <c r="H3532" s="1" t="s">
        <v>25</v>
      </c>
      <c r="I3532" s="1" t="s">
        <v>1528</v>
      </c>
      <c r="J3532" s="1" t="s">
        <v>4104</v>
      </c>
      <c r="K3532" s="1" t="s">
        <v>25</v>
      </c>
      <c r="L3532">
        <v>-1.32</v>
      </c>
      <c r="M3532" t="str">
        <f t="shared" si="121"/>
        <v>44/40</v>
      </c>
      <c r="N3532" t="str">
        <f t="shared" si="122"/>
        <v>SW</v>
      </c>
      <c r="O3532" s="1" t="s">
        <v>25</v>
      </c>
      <c r="P3532" s="3" t="s">
        <v>25</v>
      </c>
      <c r="Q3532" s="37">
        <v>1.23</v>
      </c>
      <c r="R3532" t="str">
        <f t="shared" si="119"/>
        <v>mmol/mol</v>
      </c>
      <c r="S3532" s="13">
        <f t="shared" si="120"/>
        <v>-1.32</v>
      </c>
    </row>
    <row r="3533" spans="1:19">
      <c r="A3533" s="18" t="s">
        <v>3632</v>
      </c>
      <c r="B3533" s="1" t="s">
        <v>3686</v>
      </c>
      <c r="C3533" s="1" t="s">
        <v>4083</v>
      </c>
      <c r="D3533" s="1" t="s">
        <v>4084</v>
      </c>
      <c r="E3533" s="1" t="s">
        <v>25</v>
      </c>
      <c r="F3533">
        <v>635</v>
      </c>
      <c r="G3533">
        <v>635</v>
      </c>
      <c r="H3533" s="1" t="s">
        <v>25</v>
      </c>
      <c r="I3533" s="1" t="s">
        <v>1528</v>
      </c>
      <c r="J3533" s="1" t="s">
        <v>4104</v>
      </c>
      <c r="K3533" s="1" t="s">
        <v>25</v>
      </c>
      <c r="L3533">
        <v>-1.06</v>
      </c>
      <c r="M3533" t="str">
        <f t="shared" si="121"/>
        <v>44/40</v>
      </c>
      <c r="N3533" t="str">
        <f t="shared" si="122"/>
        <v>SW</v>
      </c>
      <c r="O3533" s="1" t="s">
        <v>25</v>
      </c>
      <c r="P3533" s="3" t="s">
        <v>25</v>
      </c>
      <c r="Q3533" s="37">
        <v>0.78</v>
      </c>
      <c r="R3533" t="str">
        <f t="shared" si="119"/>
        <v>mmol/mol</v>
      </c>
      <c r="S3533" s="13">
        <f t="shared" si="120"/>
        <v>-1.06</v>
      </c>
    </row>
    <row r="3534" spans="1:19">
      <c r="A3534" s="18" t="s">
        <v>3632</v>
      </c>
      <c r="B3534" s="1" t="s">
        <v>3687</v>
      </c>
      <c r="C3534" s="1" t="s">
        <v>4083</v>
      </c>
      <c r="D3534" s="1" t="s">
        <v>4084</v>
      </c>
      <c r="E3534" s="1" t="s">
        <v>25</v>
      </c>
      <c r="F3534">
        <v>635</v>
      </c>
      <c r="G3534">
        <v>635</v>
      </c>
      <c r="H3534" s="1" t="s">
        <v>25</v>
      </c>
      <c r="I3534" s="1" t="s">
        <v>1528</v>
      </c>
      <c r="J3534" s="1" t="s">
        <v>4104</v>
      </c>
      <c r="K3534" s="1" t="s">
        <v>25</v>
      </c>
      <c r="L3534">
        <v>-1.2</v>
      </c>
      <c r="M3534" t="str">
        <f t="shared" si="121"/>
        <v>44/40</v>
      </c>
      <c r="N3534" t="str">
        <f t="shared" si="122"/>
        <v>SW</v>
      </c>
      <c r="O3534" s="1" t="s">
        <v>25</v>
      </c>
      <c r="P3534" s="3" t="s">
        <v>25</v>
      </c>
      <c r="Q3534" s="37">
        <v>0.68</v>
      </c>
      <c r="R3534" t="str">
        <f t="shared" si="119"/>
        <v>mmol/mol</v>
      </c>
      <c r="S3534" s="13">
        <f t="shared" si="120"/>
        <v>-1.2</v>
      </c>
    </row>
    <row r="3535" spans="1:19">
      <c r="A3535" s="18" t="s">
        <v>3632</v>
      </c>
      <c r="B3535" s="1" t="s">
        <v>3688</v>
      </c>
      <c r="C3535" s="1" t="s">
        <v>4083</v>
      </c>
      <c r="D3535" s="1" t="s">
        <v>4084</v>
      </c>
      <c r="E3535" s="1" t="s">
        <v>25</v>
      </c>
      <c r="F3535">
        <v>635</v>
      </c>
      <c r="G3535">
        <v>635</v>
      </c>
      <c r="H3535" s="1" t="s">
        <v>25</v>
      </c>
      <c r="I3535" s="1" t="s">
        <v>1528</v>
      </c>
      <c r="J3535" s="1" t="s">
        <v>4104</v>
      </c>
      <c r="K3535" s="1" t="s">
        <v>25</v>
      </c>
      <c r="L3535">
        <v>-1.35</v>
      </c>
      <c r="M3535" t="str">
        <f t="shared" si="121"/>
        <v>44/40</v>
      </c>
      <c r="N3535" t="str">
        <f t="shared" si="122"/>
        <v>SW</v>
      </c>
      <c r="O3535" s="1" t="s">
        <v>25</v>
      </c>
      <c r="P3535" s="3" t="s">
        <v>25</v>
      </c>
      <c r="Q3535" s="37">
        <v>0.75</v>
      </c>
      <c r="R3535" t="str">
        <f t="shared" si="119"/>
        <v>mmol/mol</v>
      </c>
      <c r="S3535" s="13">
        <f t="shared" si="120"/>
        <v>-1.35</v>
      </c>
    </row>
    <row r="3536" spans="1:19">
      <c r="A3536" s="18" t="s">
        <v>3632</v>
      </c>
      <c r="B3536" s="1" t="s">
        <v>3689</v>
      </c>
      <c r="C3536" s="1" t="s">
        <v>4083</v>
      </c>
      <c r="D3536" s="1" t="s">
        <v>4084</v>
      </c>
      <c r="E3536" s="1" t="s">
        <v>25</v>
      </c>
      <c r="F3536">
        <v>635</v>
      </c>
      <c r="G3536">
        <v>635</v>
      </c>
      <c r="H3536" s="1" t="s">
        <v>25</v>
      </c>
      <c r="I3536" s="1" t="s">
        <v>1528</v>
      </c>
      <c r="J3536" s="1" t="s">
        <v>4104</v>
      </c>
      <c r="K3536" s="1" t="s">
        <v>25</v>
      </c>
      <c r="L3536">
        <v>-1.34</v>
      </c>
      <c r="M3536" t="str">
        <f t="shared" si="121"/>
        <v>44/40</v>
      </c>
      <c r="N3536" t="str">
        <f t="shared" si="122"/>
        <v>SW</v>
      </c>
      <c r="O3536" s="1" t="s">
        <v>25</v>
      </c>
      <c r="P3536" s="3" t="s">
        <v>25</v>
      </c>
      <c r="Q3536" s="37">
        <v>0.8</v>
      </c>
      <c r="R3536" t="str">
        <f t="shared" si="119"/>
        <v>mmol/mol</v>
      </c>
      <c r="S3536" s="13">
        <f t="shared" si="120"/>
        <v>-1.34</v>
      </c>
    </row>
    <row r="3537" spans="1:19">
      <c r="A3537" s="18" t="s">
        <v>3632</v>
      </c>
      <c r="B3537" s="1" t="s">
        <v>3690</v>
      </c>
      <c r="C3537" s="1" t="s">
        <v>4083</v>
      </c>
      <c r="D3537" s="1" t="s">
        <v>4084</v>
      </c>
      <c r="E3537" s="1" t="s">
        <v>25</v>
      </c>
      <c r="F3537">
        <v>635</v>
      </c>
      <c r="G3537">
        <v>635</v>
      </c>
      <c r="H3537" s="1" t="s">
        <v>25</v>
      </c>
      <c r="I3537" s="1" t="s">
        <v>1528</v>
      </c>
      <c r="J3537" s="1" t="s">
        <v>4104</v>
      </c>
      <c r="K3537" s="1" t="s">
        <v>25</v>
      </c>
      <c r="L3537">
        <v>-1.29</v>
      </c>
      <c r="M3537" t="str">
        <f t="shared" si="121"/>
        <v>44/40</v>
      </c>
      <c r="N3537" t="str">
        <f t="shared" si="122"/>
        <v>SW</v>
      </c>
      <c r="O3537" s="1" t="s">
        <v>25</v>
      </c>
      <c r="P3537" s="3" t="s">
        <v>25</v>
      </c>
      <c r="Q3537" s="37">
        <v>0.88</v>
      </c>
      <c r="R3537" t="str">
        <f t="shared" si="119"/>
        <v>mmol/mol</v>
      </c>
      <c r="S3537" s="13">
        <f t="shared" si="120"/>
        <v>-1.29</v>
      </c>
    </row>
    <row r="3538" spans="1:19">
      <c r="A3538" s="18" t="s">
        <v>3632</v>
      </c>
      <c r="B3538" s="1" t="s">
        <v>3691</v>
      </c>
      <c r="C3538" s="1" t="s">
        <v>4083</v>
      </c>
      <c r="D3538" s="1" t="s">
        <v>4084</v>
      </c>
      <c r="E3538" s="1" t="s">
        <v>25</v>
      </c>
      <c r="F3538">
        <v>635</v>
      </c>
      <c r="G3538">
        <v>635</v>
      </c>
      <c r="H3538" s="1" t="s">
        <v>25</v>
      </c>
      <c r="I3538" s="1" t="s">
        <v>1528</v>
      </c>
      <c r="J3538" s="1" t="s">
        <v>4104</v>
      </c>
      <c r="K3538" s="1" t="s">
        <v>25</v>
      </c>
      <c r="L3538">
        <v>-1.25</v>
      </c>
      <c r="M3538" t="str">
        <f t="shared" si="121"/>
        <v>44/40</v>
      </c>
      <c r="N3538" t="str">
        <f t="shared" si="122"/>
        <v>SW</v>
      </c>
      <c r="O3538" s="1" t="s">
        <v>25</v>
      </c>
      <c r="P3538" s="3" t="s">
        <v>25</v>
      </c>
      <c r="Q3538" s="37">
        <v>0.82</v>
      </c>
      <c r="R3538" t="str">
        <f t="shared" si="119"/>
        <v>mmol/mol</v>
      </c>
      <c r="S3538" s="13">
        <f t="shared" si="120"/>
        <v>-1.25</v>
      </c>
    </row>
    <row r="3539" spans="1:19">
      <c r="A3539" s="18" t="s">
        <v>3632</v>
      </c>
      <c r="B3539" s="1" t="s">
        <v>3692</v>
      </c>
      <c r="C3539" s="1" t="s">
        <v>4083</v>
      </c>
      <c r="D3539" s="1" t="s">
        <v>4084</v>
      </c>
      <c r="E3539" s="1" t="s">
        <v>25</v>
      </c>
      <c r="F3539">
        <v>635</v>
      </c>
      <c r="G3539">
        <v>635</v>
      </c>
      <c r="H3539" s="1" t="s">
        <v>25</v>
      </c>
      <c r="I3539" s="1" t="s">
        <v>1528</v>
      </c>
      <c r="J3539" s="1" t="s">
        <v>4104</v>
      </c>
      <c r="K3539" s="1" t="s">
        <v>25</v>
      </c>
      <c r="L3539">
        <v>-1.22</v>
      </c>
      <c r="M3539" t="str">
        <f t="shared" si="121"/>
        <v>44/40</v>
      </c>
      <c r="N3539" t="str">
        <f t="shared" si="122"/>
        <v>SW</v>
      </c>
      <c r="O3539" s="1" t="s">
        <v>25</v>
      </c>
      <c r="P3539" s="3" t="s">
        <v>25</v>
      </c>
      <c r="Q3539" s="37">
        <v>1.2</v>
      </c>
      <c r="R3539" t="str">
        <f t="shared" si="119"/>
        <v>mmol/mol</v>
      </c>
      <c r="S3539" s="13">
        <f t="shared" si="120"/>
        <v>-1.22</v>
      </c>
    </row>
    <row r="3540" spans="1:19">
      <c r="A3540" s="18" t="s">
        <v>3632</v>
      </c>
      <c r="B3540" s="1" t="s">
        <v>3693</v>
      </c>
      <c r="C3540" s="1" t="s">
        <v>4083</v>
      </c>
      <c r="D3540" s="1" t="s">
        <v>4084</v>
      </c>
      <c r="E3540" s="1" t="s">
        <v>25</v>
      </c>
      <c r="F3540">
        <v>635</v>
      </c>
      <c r="G3540">
        <v>635</v>
      </c>
      <c r="H3540" s="1" t="s">
        <v>25</v>
      </c>
      <c r="I3540" s="1" t="s">
        <v>1528</v>
      </c>
      <c r="J3540" s="1" t="s">
        <v>4104</v>
      </c>
      <c r="K3540" s="1" t="s">
        <v>25</v>
      </c>
      <c r="L3540">
        <v>-1.27</v>
      </c>
      <c r="M3540" t="str">
        <f t="shared" si="121"/>
        <v>44/40</v>
      </c>
      <c r="N3540" t="str">
        <f t="shared" si="122"/>
        <v>SW</v>
      </c>
      <c r="O3540" s="1" t="s">
        <v>25</v>
      </c>
      <c r="P3540" s="3" t="s">
        <v>25</v>
      </c>
      <c r="Q3540" s="37">
        <v>0.72</v>
      </c>
      <c r="R3540" t="str">
        <f t="shared" si="119"/>
        <v>mmol/mol</v>
      </c>
      <c r="S3540" s="13">
        <f t="shared" si="120"/>
        <v>-1.27</v>
      </c>
    </row>
    <row r="3541" spans="1:19">
      <c r="A3541" s="18" t="s">
        <v>3632</v>
      </c>
      <c r="B3541" s="1" t="s">
        <v>3694</v>
      </c>
      <c r="C3541" s="1" t="s">
        <v>4083</v>
      </c>
      <c r="D3541" s="1" t="s">
        <v>4084</v>
      </c>
      <c r="E3541" s="1" t="s">
        <v>25</v>
      </c>
      <c r="F3541">
        <v>635</v>
      </c>
      <c r="G3541">
        <v>635</v>
      </c>
      <c r="H3541" s="1" t="s">
        <v>25</v>
      </c>
      <c r="I3541" s="1" t="s">
        <v>1528</v>
      </c>
      <c r="J3541" s="1" t="s">
        <v>4104</v>
      </c>
      <c r="K3541" s="1" t="s">
        <v>25</v>
      </c>
      <c r="L3541">
        <v>-1.28</v>
      </c>
      <c r="M3541" t="str">
        <f t="shared" si="121"/>
        <v>44/40</v>
      </c>
      <c r="N3541" t="str">
        <f t="shared" si="122"/>
        <v>SW</v>
      </c>
      <c r="O3541" s="1" t="s">
        <v>25</v>
      </c>
      <c r="P3541" s="3" t="s">
        <v>25</v>
      </c>
      <c r="Q3541" s="37">
        <v>0.51</v>
      </c>
      <c r="R3541" t="str">
        <f t="shared" si="119"/>
        <v>mmol/mol</v>
      </c>
      <c r="S3541" s="13">
        <f t="shared" si="120"/>
        <v>-1.28</v>
      </c>
    </row>
    <row r="3542" spans="1:19">
      <c r="A3542" s="18" t="s">
        <v>3632</v>
      </c>
      <c r="B3542" s="1" t="s">
        <v>3695</v>
      </c>
      <c r="C3542" s="1" t="s">
        <v>4083</v>
      </c>
      <c r="D3542" s="1" t="s">
        <v>4084</v>
      </c>
      <c r="E3542" s="1" t="s">
        <v>25</v>
      </c>
      <c r="F3542">
        <v>635</v>
      </c>
      <c r="G3542">
        <v>635</v>
      </c>
      <c r="H3542" s="1" t="s">
        <v>25</v>
      </c>
      <c r="I3542" s="1" t="s">
        <v>1528</v>
      </c>
      <c r="J3542" s="1" t="s">
        <v>4104</v>
      </c>
      <c r="K3542" s="1" t="s">
        <v>25</v>
      </c>
      <c r="L3542">
        <v>-1.24</v>
      </c>
      <c r="M3542" t="str">
        <f t="shared" si="121"/>
        <v>44/40</v>
      </c>
      <c r="N3542" t="str">
        <f t="shared" si="122"/>
        <v>SW</v>
      </c>
      <c r="O3542" s="1" t="s">
        <v>25</v>
      </c>
      <c r="P3542" s="3" t="s">
        <v>25</v>
      </c>
      <c r="Q3542" s="37">
        <v>0.45</v>
      </c>
      <c r="R3542" t="str">
        <f t="shared" si="119"/>
        <v>mmol/mol</v>
      </c>
      <c r="S3542" s="13">
        <f t="shared" si="120"/>
        <v>-1.24</v>
      </c>
    </row>
    <row r="3543" spans="1:19">
      <c r="A3543" s="18" t="s">
        <v>3632</v>
      </c>
      <c r="B3543" s="1" t="s">
        <v>3696</v>
      </c>
      <c r="C3543" s="1" t="s">
        <v>4083</v>
      </c>
      <c r="D3543" s="1" t="s">
        <v>4084</v>
      </c>
      <c r="E3543" s="1" t="s">
        <v>25</v>
      </c>
      <c r="F3543">
        <v>635</v>
      </c>
      <c r="G3543">
        <v>635</v>
      </c>
      <c r="H3543" s="1" t="s">
        <v>25</v>
      </c>
      <c r="I3543" s="1" t="s">
        <v>1528</v>
      </c>
      <c r="J3543" s="1" t="s">
        <v>4104</v>
      </c>
      <c r="K3543" s="1" t="s">
        <v>25</v>
      </c>
      <c r="L3543">
        <v>-1.32</v>
      </c>
      <c r="M3543" t="str">
        <f t="shared" si="121"/>
        <v>44/40</v>
      </c>
      <c r="N3543" t="str">
        <f t="shared" si="122"/>
        <v>SW</v>
      </c>
      <c r="O3543" s="1" t="s">
        <v>25</v>
      </c>
      <c r="P3543" s="3" t="s">
        <v>25</v>
      </c>
      <c r="Q3543" s="37">
        <v>0.54</v>
      </c>
      <c r="R3543" t="str">
        <f t="shared" si="119"/>
        <v>mmol/mol</v>
      </c>
      <c r="S3543" s="13">
        <f t="shared" si="120"/>
        <v>-1.32</v>
      </c>
    </row>
    <row r="3544" spans="1:19">
      <c r="A3544" s="18" t="s">
        <v>3632</v>
      </c>
      <c r="B3544" s="1" t="s">
        <v>3697</v>
      </c>
      <c r="C3544" s="1" t="s">
        <v>4083</v>
      </c>
      <c r="D3544" s="1" t="s">
        <v>4084</v>
      </c>
      <c r="E3544" s="1" t="s">
        <v>25</v>
      </c>
      <c r="F3544">
        <v>635</v>
      </c>
      <c r="G3544">
        <v>635</v>
      </c>
      <c r="H3544" s="1" t="s">
        <v>25</v>
      </c>
      <c r="I3544" s="1" t="s">
        <v>1528</v>
      </c>
      <c r="J3544" s="1" t="s">
        <v>4104</v>
      </c>
      <c r="K3544" s="1" t="s">
        <v>25</v>
      </c>
      <c r="L3544">
        <v>-1.17</v>
      </c>
      <c r="M3544" t="str">
        <f t="shared" si="121"/>
        <v>44/40</v>
      </c>
      <c r="N3544" t="str">
        <f t="shared" si="122"/>
        <v>SW</v>
      </c>
      <c r="O3544" s="1" t="s">
        <v>25</v>
      </c>
      <c r="P3544" s="3" t="s">
        <v>25</v>
      </c>
      <c r="Q3544" s="37">
        <v>0.52</v>
      </c>
      <c r="R3544" t="str">
        <f t="shared" si="119"/>
        <v>mmol/mol</v>
      </c>
      <c r="S3544" s="13">
        <f t="shared" si="120"/>
        <v>-1.17</v>
      </c>
    </row>
    <row r="3545" spans="1:19">
      <c r="A3545" s="18" t="s">
        <v>3632</v>
      </c>
      <c r="B3545" s="1" t="s">
        <v>3698</v>
      </c>
      <c r="C3545" s="1" t="s">
        <v>4083</v>
      </c>
      <c r="D3545" s="1" t="s">
        <v>4084</v>
      </c>
      <c r="E3545" s="1" t="s">
        <v>25</v>
      </c>
      <c r="F3545">
        <v>635</v>
      </c>
      <c r="G3545">
        <v>635</v>
      </c>
      <c r="H3545" s="1" t="s">
        <v>25</v>
      </c>
      <c r="I3545" s="1" t="s">
        <v>1528</v>
      </c>
      <c r="J3545" s="1" t="s">
        <v>4104</v>
      </c>
      <c r="K3545" s="1" t="s">
        <v>25</v>
      </c>
      <c r="L3545">
        <v>-1.33</v>
      </c>
      <c r="M3545" t="str">
        <f t="shared" si="121"/>
        <v>44/40</v>
      </c>
      <c r="N3545" t="str">
        <f t="shared" si="122"/>
        <v>SW</v>
      </c>
      <c r="O3545" s="1" t="s">
        <v>25</v>
      </c>
      <c r="P3545" s="3" t="s">
        <v>25</v>
      </c>
      <c r="Q3545" s="37">
        <v>0.63</v>
      </c>
      <c r="R3545" t="str">
        <f t="shared" ref="R3545:R3608" si="123">IF(Q3545="Na","Na","mmol/mol")</f>
        <v>mmol/mol</v>
      </c>
      <c r="S3545" s="13">
        <f t="shared" si="120"/>
        <v>-1.33</v>
      </c>
    </row>
    <row r="3546" spans="1:19">
      <c r="A3546" s="18" t="s">
        <v>3632</v>
      </c>
      <c r="B3546" s="1" t="s">
        <v>3699</v>
      </c>
      <c r="C3546" s="1" t="s">
        <v>4083</v>
      </c>
      <c r="D3546" s="1" t="s">
        <v>4084</v>
      </c>
      <c r="E3546" s="1" t="s">
        <v>25</v>
      </c>
      <c r="F3546">
        <v>635</v>
      </c>
      <c r="G3546">
        <v>635</v>
      </c>
      <c r="H3546" s="1" t="s">
        <v>25</v>
      </c>
      <c r="I3546" s="1" t="s">
        <v>1528</v>
      </c>
      <c r="J3546" s="1" t="s">
        <v>4104</v>
      </c>
      <c r="K3546" s="1" t="s">
        <v>25</v>
      </c>
      <c r="L3546">
        <v>-1.37</v>
      </c>
      <c r="M3546" t="str">
        <f t="shared" si="121"/>
        <v>44/40</v>
      </c>
      <c r="N3546" t="str">
        <f t="shared" si="122"/>
        <v>SW</v>
      </c>
      <c r="O3546" s="1" t="s">
        <v>25</v>
      </c>
      <c r="P3546" s="3" t="s">
        <v>25</v>
      </c>
      <c r="Q3546" s="37">
        <v>0.73</v>
      </c>
      <c r="R3546" t="str">
        <f t="shared" si="123"/>
        <v>mmol/mol</v>
      </c>
      <c r="S3546" s="13">
        <f t="shared" si="120"/>
        <v>-1.37</v>
      </c>
    </row>
    <row r="3547" spans="1:19">
      <c r="A3547" s="18" t="s">
        <v>3632</v>
      </c>
      <c r="B3547" s="1" t="s">
        <v>3700</v>
      </c>
      <c r="C3547" s="1" t="s">
        <v>4083</v>
      </c>
      <c r="D3547" s="1" t="s">
        <v>4084</v>
      </c>
      <c r="E3547" s="1" t="s">
        <v>25</v>
      </c>
      <c r="F3547">
        <v>635</v>
      </c>
      <c r="G3547">
        <v>635</v>
      </c>
      <c r="H3547" s="1" t="s">
        <v>25</v>
      </c>
      <c r="I3547" s="1" t="s">
        <v>1528</v>
      </c>
      <c r="J3547" s="1" t="s">
        <v>4104</v>
      </c>
      <c r="K3547" s="1" t="s">
        <v>25</v>
      </c>
      <c r="L3547">
        <v>-1.31</v>
      </c>
      <c r="M3547" t="str">
        <f t="shared" si="121"/>
        <v>44/40</v>
      </c>
      <c r="N3547" t="str">
        <f t="shared" si="122"/>
        <v>SW</v>
      </c>
      <c r="O3547" s="1" t="s">
        <v>25</v>
      </c>
      <c r="P3547" s="3" t="s">
        <v>25</v>
      </c>
      <c r="Q3547" s="37">
        <v>0.74</v>
      </c>
      <c r="R3547" t="str">
        <f t="shared" si="123"/>
        <v>mmol/mol</v>
      </c>
      <c r="S3547" s="13">
        <f t="shared" si="120"/>
        <v>-1.31</v>
      </c>
    </row>
    <row r="3548" spans="1:19">
      <c r="A3548" s="18" t="s">
        <v>3632</v>
      </c>
      <c r="B3548" s="1" t="s">
        <v>3701</v>
      </c>
      <c r="C3548" s="1" t="s">
        <v>4083</v>
      </c>
      <c r="D3548" s="1" t="s">
        <v>4084</v>
      </c>
      <c r="E3548" s="1" t="s">
        <v>25</v>
      </c>
      <c r="F3548">
        <v>635</v>
      </c>
      <c r="G3548">
        <v>635</v>
      </c>
      <c r="H3548" s="1" t="s">
        <v>25</v>
      </c>
      <c r="I3548" s="1" t="s">
        <v>1528</v>
      </c>
      <c r="J3548" s="1" t="s">
        <v>4104</v>
      </c>
      <c r="K3548" s="1" t="s">
        <v>25</v>
      </c>
      <c r="L3548">
        <v>-1.6</v>
      </c>
      <c r="M3548" t="str">
        <f t="shared" si="121"/>
        <v>44/40</v>
      </c>
      <c r="N3548" t="str">
        <f t="shared" si="122"/>
        <v>SW</v>
      </c>
      <c r="O3548" s="1" t="s">
        <v>25</v>
      </c>
      <c r="P3548" s="3" t="s">
        <v>25</v>
      </c>
      <c r="Q3548" s="37">
        <v>0.75</v>
      </c>
      <c r="R3548" t="str">
        <f t="shared" si="123"/>
        <v>mmol/mol</v>
      </c>
      <c r="S3548" s="13">
        <f t="shared" si="120"/>
        <v>-1.6</v>
      </c>
    </row>
    <row r="3549" spans="1:19">
      <c r="A3549" s="18" t="s">
        <v>3632</v>
      </c>
      <c r="B3549" s="1" t="s">
        <v>3702</v>
      </c>
      <c r="C3549" s="1" t="s">
        <v>4083</v>
      </c>
      <c r="D3549" s="1" t="s">
        <v>4084</v>
      </c>
      <c r="E3549" s="1" t="s">
        <v>25</v>
      </c>
      <c r="F3549">
        <v>635</v>
      </c>
      <c r="G3549">
        <v>635</v>
      </c>
      <c r="H3549" s="1" t="s">
        <v>25</v>
      </c>
      <c r="I3549" s="1" t="s">
        <v>1528</v>
      </c>
      <c r="J3549" s="1" t="s">
        <v>4104</v>
      </c>
      <c r="K3549" s="1" t="s">
        <v>25</v>
      </c>
      <c r="L3549">
        <v>-1.89</v>
      </c>
      <c r="M3549" t="str">
        <f t="shared" si="121"/>
        <v>44/40</v>
      </c>
      <c r="N3549" t="str">
        <f t="shared" si="122"/>
        <v>SW</v>
      </c>
      <c r="O3549" s="1" t="s">
        <v>25</v>
      </c>
      <c r="P3549" s="3" t="s">
        <v>25</v>
      </c>
      <c r="Q3549" s="37">
        <v>1.36</v>
      </c>
      <c r="R3549" t="str">
        <f t="shared" si="123"/>
        <v>mmol/mol</v>
      </c>
      <c r="S3549" s="13">
        <f t="shared" si="120"/>
        <v>-1.89</v>
      </c>
    </row>
    <row r="3550" spans="1:19">
      <c r="A3550" s="18" t="s">
        <v>3632</v>
      </c>
      <c r="B3550" s="1" t="s">
        <v>3703</v>
      </c>
      <c r="C3550" s="1" t="s">
        <v>4083</v>
      </c>
      <c r="D3550" s="1" t="s">
        <v>4084</v>
      </c>
      <c r="E3550" s="1" t="s">
        <v>25</v>
      </c>
      <c r="F3550">
        <v>635</v>
      </c>
      <c r="G3550">
        <v>635</v>
      </c>
      <c r="H3550" s="1" t="s">
        <v>25</v>
      </c>
      <c r="I3550" s="1" t="s">
        <v>1528</v>
      </c>
      <c r="J3550" s="1" t="s">
        <v>4104</v>
      </c>
      <c r="K3550" s="1" t="s">
        <v>25</v>
      </c>
      <c r="L3550">
        <v>-1.83</v>
      </c>
      <c r="M3550" t="str">
        <f t="shared" si="121"/>
        <v>44/40</v>
      </c>
      <c r="N3550" t="str">
        <f t="shared" si="122"/>
        <v>SW</v>
      </c>
      <c r="O3550" s="1" t="s">
        <v>25</v>
      </c>
      <c r="P3550" s="3" t="s">
        <v>25</v>
      </c>
      <c r="Q3550" s="37">
        <v>3.11</v>
      </c>
      <c r="R3550" t="str">
        <f t="shared" si="123"/>
        <v>mmol/mol</v>
      </c>
      <c r="S3550" s="13">
        <f t="shared" si="120"/>
        <v>-1.83</v>
      </c>
    </row>
    <row r="3551" spans="1:19">
      <c r="A3551" s="18" t="s">
        <v>3632</v>
      </c>
      <c r="B3551" s="1" t="s">
        <v>3704</v>
      </c>
      <c r="C3551" s="1" t="s">
        <v>4083</v>
      </c>
      <c r="D3551" s="1" t="s">
        <v>4084</v>
      </c>
      <c r="E3551" s="1" t="s">
        <v>25</v>
      </c>
      <c r="F3551">
        <v>635</v>
      </c>
      <c r="G3551">
        <v>635</v>
      </c>
      <c r="H3551" s="1" t="s">
        <v>25</v>
      </c>
      <c r="I3551" s="1" t="s">
        <v>1528</v>
      </c>
      <c r="J3551" s="1" t="s">
        <v>4104</v>
      </c>
      <c r="K3551" s="1" t="s">
        <v>25</v>
      </c>
      <c r="L3551">
        <v>-1.84</v>
      </c>
      <c r="M3551" t="str">
        <f t="shared" si="121"/>
        <v>44/40</v>
      </c>
      <c r="N3551" t="str">
        <f t="shared" si="122"/>
        <v>SW</v>
      </c>
      <c r="O3551" s="1" t="s">
        <v>25</v>
      </c>
      <c r="P3551" s="3" t="s">
        <v>25</v>
      </c>
      <c r="Q3551" s="37">
        <v>2.68</v>
      </c>
      <c r="R3551" t="str">
        <f t="shared" si="123"/>
        <v>mmol/mol</v>
      </c>
      <c r="S3551" s="13">
        <f t="shared" si="120"/>
        <v>-1.84</v>
      </c>
    </row>
    <row r="3552" spans="1:19">
      <c r="A3552" s="18" t="s">
        <v>3632</v>
      </c>
      <c r="B3552" s="1" t="s">
        <v>3705</v>
      </c>
      <c r="C3552" s="1" t="s">
        <v>4083</v>
      </c>
      <c r="D3552" s="1" t="s">
        <v>4084</v>
      </c>
      <c r="E3552" s="1" t="s">
        <v>25</v>
      </c>
      <c r="F3552">
        <v>635</v>
      </c>
      <c r="G3552">
        <v>635</v>
      </c>
      <c r="H3552" s="1" t="s">
        <v>25</v>
      </c>
      <c r="I3552" s="1" t="s">
        <v>1528</v>
      </c>
      <c r="J3552" s="1" t="s">
        <v>4104</v>
      </c>
      <c r="K3552" s="1" t="s">
        <v>25</v>
      </c>
      <c r="L3552">
        <v>-1.85</v>
      </c>
      <c r="M3552" t="str">
        <f t="shared" si="121"/>
        <v>44/40</v>
      </c>
      <c r="N3552" t="str">
        <f t="shared" si="122"/>
        <v>SW</v>
      </c>
      <c r="O3552" s="1" t="s">
        <v>25</v>
      </c>
      <c r="P3552" s="3" t="s">
        <v>25</v>
      </c>
      <c r="Q3552" s="37">
        <v>2.11</v>
      </c>
      <c r="R3552" t="str">
        <f t="shared" si="123"/>
        <v>mmol/mol</v>
      </c>
      <c r="S3552" s="13">
        <f t="shared" si="120"/>
        <v>-1.85</v>
      </c>
    </row>
    <row r="3553" spans="1:19">
      <c r="A3553" s="18" t="s">
        <v>3632</v>
      </c>
      <c r="B3553" s="1" t="s">
        <v>3706</v>
      </c>
      <c r="C3553" s="1" t="s">
        <v>4083</v>
      </c>
      <c r="D3553" s="1" t="s">
        <v>4084</v>
      </c>
      <c r="E3553" s="1" t="s">
        <v>25</v>
      </c>
      <c r="F3553">
        <v>635</v>
      </c>
      <c r="G3553">
        <v>635</v>
      </c>
      <c r="H3553" s="1" t="s">
        <v>25</v>
      </c>
      <c r="I3553" s="1" t="s">
        <v>1528</v>
      </c>
      <c r="J3553" s="1" t="s">
        <v>4104</v>
      </c>
      <c r="K3553" s="1" t="s">
        <v>25</v>
      </c>
      <c r="L3553">
        <v>-1.74</v>
      </c>
      <c r="M3553" t="str">
        <f t="shared" si="121"/>
        <v>44/40</v>
      </c>
      <c r="N3553" t="str">
        <f t="shared" si="122"/>
        <v>SW</v>
      </c>
      <c r="O3553" s="1" t="s">
        <v>25</v>
      </c>
      <c r="P3553" s="3" t="s">
        <v>25</v>
      </c>
      <c r="Q3553" s="37">
        <v>0.87</v>
      </c>
      <c r="R3553" t="str">
        <f t="shared" si="123"/>
        <v>mmol/mol</v>
      </c>
      <c r="S3553" s="13">
        <f t="shared" si="120"/>
        <v>-1.74</v>
      </c>
    </row>
    <row r="3554" spans="1:19">
      <c r="A3554" s="18" t="s">
        <v>3632</v>
      </c>
      <c r="B3554" s="1" t="s">
        <v>3707</v>
      </c>
      <c r="C3554" s="1" t="s">
        <v>4083</v>
      </c>
      <c r="D3554" s="1" t="s">
        <v>4084</v>
      </c>
      <c r="E3554" s="1" t="s">
        <v>25</v>
      </c>
      <c r="F3554">
        <v>635</v>
      </c>
      <c r="G3554">
        <v>635</v>
      </c>
      <c r="H3554" s="1" t="s">
        <v>25</v>
      </c>
      <c r="I3554" s="1" t="s">
        <v>1528</v>
      </c>
      <c r="J3554" s="1" t="s">
        <v>4104</v>
      </c>
      <c r="K3554" s="1" t="s">
        <v>25</v>
      </c>
      <c r="L3554">
        <v>-1.84</v>
      </c>
      <c r="M3554" t="str">
        <f t="shared" si="121"/>
        <v>44/40</v>
      </c>
      <c r="N3554" t="str">
        <f t="shared" si="122"/>
        <v>SW</v>
      </c>
      <c r="O3554" s="1" t="s">
        <v>25</v>
      </c>
      <c r="P3554" s="3" t="s">
        <v>25</v>
      </c>
      <c r="Q3554" s="37">
        <v>2</v>
      </c>
      <c r="R3554" t="str">
        <f t="shared" si="123"/>
        <v>mmol/mol</v>
      </c>
      <c r="S3554" s="13">
        <f t="shared" si="120"/>
        <v>-1.84</v>
      </c>
    </row>
    <row r="3555" spans="1:19">
      <c r="A3555" s="18" t="s">
        <v>3632</v>
      </c>
      <c r="B3555" s="1" t="s">
        <v>3708</v>
      </c>
      <c r="C3555" s="1" t="s">
        <v>4083</v>
      </c>
      <c r="D3555" s="1" t="s">
        <v>4084</v>
      </c>
      <c r="E3555" s="1" t="s">
        <v>25</v>
      </c>
      <c r="F3555">
        <v>635</v>
      </c>
      <c r="G3555">
        <v>635</v>
      </c>
      <c r="H3555" s="1" t="s">
        <v>25</v>
      </c>
      <c r="I3555" s="1" t="s">
        <v>1528</v>
      </c>
      <c r="J3555" s="1" t="s">
        <v>4104</v>
      </c>
      <c r="K3555" s="1" t="s">
        <v>25</v>
      </c>
      <c r="L3555">
        <v>-1.43</v>
      </c>
      <c r="M3555" t="str">
        <f t="shared" si="121"/>
        <v>44/40</v>
      </c>
      <c r="N3555" t="str">
        <f t="shared" si="122"/>
        <v>SW</v>
      </c>
      <c r="O3555" s="1" t="s">
        <v>25</v>
      </c>
      <c r="P3555" s="3" t="s">
        <v>25</v>
      </c>
      <c r="Q3555" s="37">
        <v>0.23</v>
      </c>
      <c r="R3555" t="str">
        <f t="shared" si="123"/>
        <v>mmol/mol</v>
      </c>
      <c r="S3555" s="13">
        <f t="shared" si="120"/>
        <v>-1.43</v>
      </c>
    </row>
    <row r="3556" spans="1:19">
      <c r="A3556" s="18" t="s">
        <v>3632</v>
      </c>
      <c r="B3556" s="1" t="s">
        <v>3709</v>
      </c>
      <c r="C3556" s="1" t="s">
        <v>4083</v>
      </c>
      <c r="D3556" s="1" t="s">
        <v>4084</v>
      </c>
      <c r="E3556" s="1" t="s">
        <v>25</v>
      </c>
      <c r="F3556">
        <v>635</v>
      </c>
      <c r="G3556">
        <v>635</v>
      </c>
      <c r="H3556" s="1" t="s">
        <v>25</v>
      </c>
      <c r="I3556" s="1" t="s">
        <v>1528</v>
      </c>
      <c r="J3556" s="1" t="s">
        <v>4104</v>
      </c>
      <c r="K3556" s="1" t="s">
        <v>25</v>
      </c>
      <c r="L3556">
        <v>-1.5</v>
      </c>
      <c r="M3556" t="str">
        <f t="shared" si="121"/>
        <v>44/40</v>
      </c>
      <c r="N3556" t="str">
        <f t="shared" si="122"/>
        <v>SW</v>
      </c>
      <c r="O3556" s="1" t="s">
        <v>25</v>
      </c>
      <c r="P3556" s="3" t="s">
        <v>25</v>
      </c>
      <c r="Q3556" s="37">
        <v>0.16</v>
      </c>
      <c r="R3556" t="str">
        <f t="shared" si="123"/>
        <v>mmol/mol</v>
      </c>
      <c r="S3556" s="13">
        <f t="shared" si="120"/>
        <v>-1.5</v>
      </c>
    </row>
    <row r="3557" spans="1:19">
      <c r="A3557" s="18" t="s">
        <v>3632</v>
      </c>
      <c r="B3557" s="1" t="s">
        <v>3710</v>
      </c>
      <c r="C3557" s="1" t="s">
        <v>4083</v>
      </c>
      <c r="D3557" s="1" t="s">
        <v>4084</v>
      </c>
      <c r="E3557" s="1" t="s">
        <v>25</v>
      </c>
      <c r="F3557">
        <v>635</v>
      </c>
      <c r="G3557">
        <v>635</v>
      </c>
      <c r="H3557" s="1" t="s">
        <v>25</v>
      </c>
      <c r="I3557" s="1" t="s">
        <v>1528</v>
      </c>
      <c r="J3557" s="1" t="s">
        <v>4104</v>
      </c>
      <c r="K3557" s="1" t="s">
        <v>25</v>
      </c>
      <c r="L3557">
        <v>-1.46</v>
      </c>
      <c r="M3557" t="str">
        <f t="shared" si="121"/>
        <v>44/40</v>
      </c>
      <c r="N3557" t="str">
        <f t="shared" si="122"/>
        <v>SW</v>
      </c>
      <c r="O3557" s="1" t="s">
        <v>25</v>
      </c>
      <c r="P3557" s="3" t="s">
        <v>25</v>
      </c>
      <c r="Q3557" s="37">
        <v>0.18</v>
      </c>
      <c r="R3557" t="str">
        <f t="shared" si="123"/>
        <v>mmol/mol</v>
      </c>
      <c r="S3557" s="13">
        <f t="shared" si="120"/>
        <v>-1.46</v>
      </c>
    </row>
    <row r="3558" spans="1:19">
      <c r="A3558" s="18" t="s">
        <v>3632</v>
      </c>
      <c r="B3558" s="1" t="s">
        <v>3711</v>
      </c>
      <c r="C3558" s="1" t="s">
        <v>4083</v>
      </c>
      <c r="D3558" s="1" t="s">
        <v>4084</v>
      </c>
      <c r="E3558" s="1" t="s">
        <v>25</v>
      </c>
      <c r="F3558">
        <v>635</v>
      </c>
      <c r="G3558">
        <v>635</v>
      </c>
      <c r="H3558" s="1" t="s">
        <v>25</v>
      </c>
      <c r="I3558" s="1" t="s">
        <v>1528</v>
      </c>
      <c r="J3558" s="1" t="s">
        <v>4104</v>
      </c>
      <c r="K3558" s="1" t="s">
        <v>25</v>
      </c>
      <c r="L3558">
        <v>-1.26</v>
      </c>
      <c r="M3558" t="str">
        <f t="shared" si="121"/>
        <v>44/40</v>
      </c>
      <c r="N3558" t="str">
        <f t="shared" si="122"/>
        <v>SW</v>
      </c>
      <c r="O3558" s="1" t="s">
        <v>25</v>
      </c>
      <c r="P3558" s="3" t="s">
        <v>25</v>
      </c>
      <c r="Q3558" s="37">
        <v>0.11</v>
      </c>
      <c r="R3558" t="str">
        <f t="shared" si="123"/>
        <v>mmol/mol</v>
      </c>
      <c r="S3558" s="13">
        <f t="shared" si="120"/>
        <v>-1.26</v>
      </c>
    </row>
    <row r="3559" spans="1:19">
      <c r="A3559" s="18" t="s">
        <v>3632</v>
      </c>
      <c r="B3559" s="1" t="s">
        <v>3712</v>
      </c>
      <c r="C3559" s="1" t="s">
        <v>4083</v>
      </c>
      <c r="D3559" s="1" t="s">
        <v>4084</v>
      </c>
      <c r="E3559" s="1" t="s">
        <v>25</v>
      </c>
      <c r="F3559">
        <v>635</v>
      </c>
      <c r="G3559">
        <v>635</v>
      </c>
      <c r="H3559" s="1" t="s">
        <v>25</v>
      </c>
      <c r="I3559" s="1" t="s">
        <v>1528</v>
      </c>
      <c r="J3559" s="1" t="s">
        <v>4104</v>
      </c>
      <c r="K3559" s="1" t="s">
        <v>25</v>
      </c>
      <c r="L3559">
        <v>-1.35</v>
      </c>
      <c r="M3559" t="str">
        <f t="shared" si="121"/>
        <v>44/40</v>
      </c>
      <c r="N3559" t="str">
        <f t="shared" si="122"/>
        <v>SW</v>
      </c>
      <c r="O3559" s="1" t="s">
        <v>25</v>
      </c>
      <c r="P3559" s="3" t="s">
        <v>25</v>
      </c>
      <c r="Q3559" s="37">
        <v>0.13</v>
      </c>
      <c r="R3559" t="str">
        <f t="shared" si="123"/>
        <v>mmol/mol</v>
      </c>
      <c r="S3559" s="13">
        <f t="shared" si="120"/>
        <v>-1.35</v>
      </c>
    </row>
    <row r="3560" spans="1:19">
      <c r="A3560" s="18" t="s">
        <v>3632</v>
      </c>
      <c r="B3560" s="1" t="s">
        <v>3713</v>
      </c>
      <c r="C3560" s="1" t="s">
        <v>4083</v>
      </c>
      <c r="D3560" s="1" t="s">
        <v>4084</v>
      </c>
      <c r="E3560" s="1" t="s">
        <v>25</v>
      </c>
      <c r="F3560">
        <v>635</v>
      </c>
      <c r="G3560">
        <v>635</v>
      </c>
      <c r="H3560" s="1" t="s">
        <v>25</v>
      </c>
      <c r="I3560" s="1" t="s">
        <v>1528</v>
      </c>
      <c r="J3560" s="1" t="s">
        <v>4104</v>
      </c>
      <c r="K3560" s="1" t="s">
        <v>25</v>
      </c>
      <c r="L3560">
        <v>-1.31</v>
      </c>
      <c r="M3560" t="str">
        <f t="shared" si="121"/>
        <v>44/40</v>
      </c>
      <c r="N3560" t="str">
        <f t="shared" si="122"/>
        <v>SW</v>
      </c>
      <c r="O3560" s="1" t="s">
        <v>25</v>
      </c>
      <c r="P3560" s="3" t="s">
        <v>25</v>
      </c>
      <c r="Q3560" s="37">
        <v>0.12</v>
      </c>
      <c r="R3560" t="str">
        <f t="shared" si="123"/>
        <v>mmol/mol</v>
      </c>
      <c r="S3560" s="13">
        <f t="shared" si="120"/>
        <v>-1.31</v>
      </c>
    </row>
    <row r="3561" spans="1:19">
      <c r="A3561" s="18" t="s">
        <v>3632</v>
      </c>
      <c r="B3561" s="1" t="s">
        <v>3714</v>
      </c>
      <c r="C3561" s="1" t="s">
        <v>4083</v>
      </c>
      <c r="D3561" s="1" t="s">
        <v>4084</v>
      </c>
      <c r="E3561" s="1" t="s">
        <v>25</v>
      </c>
      <c r="F3561">
        <v>635</v>
      </c>
      <c r="G3561">
        <v>635</v>
      </c>
      <c r="H3561" s="1" t="s">
        <v>25</v>
      </c>
      <c r="I3561" s="1" t="s">
        <v>1528</v>
      </c>
      <c r="J3561" s="1" t="s">
        <v>4104</v>
      </c>
      <c r="K3561" s="1" t="s">
        <v>25</v>
      </c>
      <c r="L3561">
        <v>-1.36</v>
      </c>
      <c r="M3561" t="str">
        <f t="shared" si="121"/>
        <v>44/40</v>
      </c>
      <c r="N3561" t="str">
        <f t="shared" si="122"/>
        <v>SW</v>
      </c>
      <c r="O3561" s="1" t="s">
        <v>25</v>
      </c>
      <c r="P3561" s="3" t="s">
        <v>25</v>
      </c>
      <c r="Q3561" s="37">
        <v>0.12</v>
      </c>
      <c r="R3561" t="str">
        <f t="shared" si="123"/>
        <v>mmol/mol</v>
      </c>
      <c r="S3561" s="13">
        <f t="shared" si="120"/>
        <v>-1.36</v>
      </c>
    </row>
    <row r="3562" spans="1:19">
      <c r="A3562" s="18" t="s">
        <v>3632</v>
      </c>
      <c r="B3562" s="1" t="s">
        <v>3715</v>
      </c>
      <c r="C3562" s="1" t="s">
        <v>4083</v>
      </c>
      <c r="D3562" s="1" t="s">
        <v>4084</v>
      </c>
      <c r="E3562" s="1" t="s">
        <v>25</v>
      </c>
      <c r="F3562">
        <v>635</v>
      </c>
      <c r="G3562">
        <v>635</v>
      </c>
      <c r="H3562" s="1" t="s">
        <v>25</v>
      </c>
      <c r="I3562" s="1" t="s">
        <v>1528</v>
      </c>
      <c r="J3562" s="1" t="s">
        <v>4104</v>
      </c>
      <c r="K3562" s="1" t="s">
        <v>25</v>
      </c>
      <c r="L3562">
        <v>-1.26</v>
      </c>
      <c r="M3562" t="str">
        <f t="shared" si="121"/>
        <v>44/40</v>
      </c>
      <c r="N3562" t="str">
        <f t="shared" si="122"/>
        <v>SW</v>
      </c>
      <c r="O3562" s="1" t="s">
        <v>25</v>
      </c>
      <c r="P3562" s="3" t="s">
        <v>25</v>
      </c>
      <c r="Q3562" s="37" t="s">
        <v>25</v>
      </c>
      <c r="R3562" t="str">
        <f t="shared" si="123"/>
        <v>Na</v>
      </c>
      <c r="S3562" s="13">
        <f t="shared" si="120"/>
        <v>-1.26</v>
      </c>
    </row>
    <row r="3563" spans="1:19">
      <c r="A3563" s="18" t="s">
        <v>3632</v>
      </c>
      <c r="B3563" s="1" t="s">
        <v>3716</v>
      </c>
      <c r="C3563" s="1" t="s">
        <v>4083</v>
      </c>
      <c r="D3563" s="1" t="s">
        <v>4084</v>
      </c>
      <c r="E3563" s="1" t="s">
        <v>25</v>
      </c>
      <c r="F3563">
        <v>635</v>
      </c>
      <c r="G3563">
        <v>635</v>
      </c>
      <c r="H3563" s="1" t="s">
        <v>25</v>
      </c>
      <c r="I3563" s="1" t="s">
        <v>1528</v>
      </c>
      <c r="J3563" s="1" t="s">
        <v>4104</v>
      </c>
      <c r="K3563" s="1" t="s">
        <v>25</v>
      </c>
      <c r="L3563">
        <v>-1.28</v>
      </c>
      <c r="M3563" t="str">
        <f t="shared" si="121"/>
        <v>44/40</v>
      </c>
      <c r="N3563" t="str">
        <f t="shared" si="122"/>
        <v>SW</v>
      </c>
      <c r="O3563" s="1" t="s">
        <v>25</v>
      </c>
      <c r="P3563" s="3" t="s">
        <v>25</v>
      </c>
      <c r="Q3563" s="37">
        <v>0.17</v>
      </c>
      <c r="R3563" t="str">
        <f t="shared" si="123"/>
        <v>mmol/mol</v>
      </c>
      <c r="S3563" s="13">
        <f t="shared" si="120"/>
        <v>-1.28</v>
      </c>
    </row>
    <row r="3564" spans="1:19">
      <c r="A3564" s="18" t="s">
        <v>3632</v>
      </c>
      <c r="B3564" s="1" t="s">
        <v>3717</v>
      </c>
      <c r="C3564" s="1" t="s">
        <v>4083</v>
      </c>
      <c r="D3564" s="1" t="s">
        <v>4084</v>
      </c>
      <c r="E3564" s="1" t="s">
        <v>25</v>
      </c>
      <c r="F3564">
        <v>635</v>
      </c>
      <c r="G3564">
        <v>635</v>
      </c>
      <c r="H3564" s="1" t="s">
        <v>25</v>
      </c>
      <c r="I3564" s="1" t="s">
        <v>1528</v>
      </c>
      <c r="J3564" s="1" t="s">
        <v>4104</v>
      </c>
      <c r="K3564" s="1" t="s">
        <v>25</v>
      </c>
      <c r="L3564">
        <v>-1.36</v>
      </c>
      <c r="M3564" t="str">
        <f t="shared" si="121"/>
        <v>44/40</v>
      </c>
      <c r="N3564" t="str">
        <f t="shared" si="122"/>
        <v>SW</v>
      </c>
      <c r="O3564" s="1" t="s">
        <v>25</v>
      </c>
      <c r="P3564" s="3" t="s">
        <v>25</v>
      </c>
      <c r="Q3564" s="37">
        <v>0.27</v>
      </c>
      <c r="R3564" t="str">
        <f t="shared" si="123"/>
        <v>mmol/mol</v>
      </c>
      <c r="S3564" s="13">
        <f t="shared" ref="S3564:S3627" si="124">IF(NOT(N3564="SW"),L3564-1.88,L3564)</f>
        <v>-1.36</v>
      </c>
    </row>
    <row r="3565" spans="1:19">
      <c r="A3565" s="18" t="s">
        <v>3632</v>
      </c>
      <c r="B3565" s="1" t="s">
        <v>3718</v>
      </c>
      <c r="C3565" s="1" t="s">
        <v>4076</v>
      </c>
      <c r="D3565" s="1" t="s">
        <v>4077</v>
      </c>
      <c r="E3565" s="1" t="s">
        <v>25</v>
      </c>
      <c r="F3565">
        <v>635</v>
      </c>
      <c r="G3565">
        <v>635</v>
      </c>
      <c r="H3565" s="1" t="s">
        <v>25</v>
      </c>
      <c r="I3565" s="1" t="s">
        <v>1528</v>
      </c>
      <c r="J3565" s="1" t="s">
        <v>4105</v>
      </c>
      <c r="K3565" s="1" t="s">
        <v>25</v>
      </c>
      <c r="L3565">
        <v>-1.03</v>
      </c>
      <c r="M3565" t="str">
        <f t="shared" si="121"/>
        <v>44/40</v>
      </c>
      <c r="N3565" t="str">
        <f t="shared" si="122"/>
        <v>SW</v>
      </c>
      <c r="O3565" s="1" t="s">
        <v>25</v>
      </c>
      <c r="P3565" s="3" t="s">
        <v>25</v>
      </c>
      <c r="Q3565" s="37">
        <v>0.12</v>
      </c>
      <c r="R3565" t="str">
        <f t="shared" si="123"/>
        <v>mmol/mol</v>
      </c>
      <c r="S3565" s="13">
        <f t="shared" si="124"/>
        <v>-1.03</v>
      </c>
    </row>
    <row r="3566" spans="1:19">
      <c r="A3566" s="18" t="s">
        <v>3632</v>
      </c>
      <c r="B3566" s="1" t="s">
        <v>3719</v>
      </c>
      <c r="C3566" s="1" t="s">
        <v>4076</v>
      </c>
      <c r="D3566" s="1" t="s">
        <v>4077</v>
      </c>
      <c r="E3566" s="1" t="s">
        <v>25</v>
      </c>
      <c r="F3566">
        <v>635</v>
      </c>
      <c r="G3566">
        <v>635</v>
      </c>
      <c r="H3566" s="1" t="s">
        <v>25</v>
      </c>
      <c r="I3566" s="1" t="s">
        <v>1528</v>
      </c>
      <c r="J3566" s="1" t="s">
        <v>4105</v>
      </c>
      <c r="K3566" s="1" t="s">
        <v>25</v>
      </c>
      <c r="L3566">
        <v>-0.82</v>
      </c>
      <c r="M3566" t="str">
        <f t="shared" si="121"/>
        <v>44/40</v>
      </c>
      <c r="N3566" t="str">
        <f t="shared" si="122"/>
        <v>SW</v>
      </c>
      <c r="O3566" s="1" t="s">
        <v>25</v>
      </c>
      <c r="P3566" s="3" t="s">
        <v>25</v>
      </c>
      <c r="Q3566" s="37">
        <v>0.1</v>
      </c>
      <c r="R3566" t="str">
        <f t="shared" si="123"/>
        <v>mmol/mol</v>
      </c>
      <c r="S3566" s="13">
        <f t="shared" si="124"/>
        <v>-0.82</v>
      </c>
    </row>
    <row r="3567" spans="1:19">
      <c r="A3567" s="18" t="s">
        <v>3632</v>
      </c>
      <c r="B3567" s="1" t="s">
        <v>3720</v>
      </c>
      <c r="C3567" s="1" t="s">
        <v>4076</v>
      </c>
      <c r="D3567" s="1" t="s">
        <v>4077</v>
      </c>
      <c r="E3567" s="1" t="s">
        <v>25</v>
      </c>
      <c r="F3567">
        <v>635</v>
      </c>
      <c r="G3567">
        <v>635</v>
      </c>
      <c r="H3567" s="1" t="s">
        <v>25</v>
      </c>
      <c r="I3567" s="1" t="s">
        <v>1528</v>
      </c>
      <c r="J3567" s="1" t="s">
        <v>4105</v>
      </c>
      <c r="K3567" s="1" t="s">
        <v>25</v>
      </c>
      <c r="L3567">
        <v>-0.72</v>
      </c>
      <c r="M3567" t="str">
        <f t="shared" si="121"/>
        <v>44/40</v>
      </c>
      <c r="N3567" t="str">
        <f t="shared" si="122"/>
        <v>SW</v>
      </c>
      <c r="O3567" s="1" t="s">
        <v>25</v>
      </c>
      <c r="P3567" s="3" t="s">
        <v>25</v>
      </c>
      <c r="Q3567" s="37">
        <v>0.13</v>
      </c>
      <c r="R3567" t="str">
        <f t="shared" si="123"/>
        <v>mmol/mol</v>
      </c>
      <c r="S3567" s="13">
        <f t="shared" si="124"/>
        <v>-0.72</v>
      </c>
    </row>
    <row r="3568" spans="1:19">
      <c r="A3568" s="18" t="s">
        <v>3632</v>
      </c>
      <c r="B3568" s="1" t="s">
        <v>3721</v>
      </c>
      <c r="C3568" s="1" t="s">
        <v>4076</v>
      </c>
      <c r="D3568" s="1" t="s">
        <v>4077</v>
      </c>
      <c r="E3568" s="1" t="s">
        <v>25</v>
      </c>
      <c r="F3568">
        <v>635</v>
      </c>
      <c r="G3568">
        <v>635</v>
      </c>
      <c r="H3568" s="1" t="s">
        <v>25</v>
      </c>
      <c r="I3568" s="1" t="s">
        <v>1528</v>
      </c>
      <c r="J3568" s="1" t="s">
        <v>4105</v>
      </c>
      <c r="K3568" s="1" t="s">
        <v>25</v>
      </c>
      <c r="L3568">
        <v>-0.77</v>
      </c>
      <c r="M3568" t="str">
        <f t="shared" ref="M3568:M3631" si="125">IF(L3568="Na","Na","44/40")</f>
        <v>44/40</v>
      </c>
      <c r="N3568" t="str">
        <f t="shared" ref="N3568:N3631" si="126">IF(M3568="Na","Na","SW")</f>
        <v>SW</v>
      </c>
      <c r="O3568" s="1" t="s">
        <v>25</v>
      </c>
      <c r="P3568" s="3" t="s">
        <v>25</v>
      </c>
      <c r="Q3568" s="37">
        <v>0.12</v>
      </c>
      <c r="R3568" t="str">
        <f t="shared" si="123"/>
        <v>mmol/mol</v>
      </c>
      <c r="S3568" s="13">
        <f t="shared" si="124"/>
        <v>-0.77</v>
      </c>
    </row>
    <row r="3569" spans="1:19">
      <c r="A3569" s="18" t="s">
        <v>3632</v>
      </c>
      <c r="B3569" s="1" t="s">
        <v>3722</v>
      </c>
      <c r="C3569" s="1" t="s">
        <v>4076</v>
      </c>
      <c r="D3569" s="1" t="s">
        <v>4077</v>
      </c>
      <c r="E3569" s="1" t="s">
        <v>25</v>
      </c>
      <c r="F3569">
        <v>635</v>
      </c>
      <c r="G3569">
        <v>635</v>
      </c>
      <c r="H3569" s="1" t="s">
        <v>25</v>
      </c>
      <c r="I3569" s="1" t="s">
        <v>1528</v>
      </c>
      <c r="J3569" s="1" t="s">
        <v>4105</v>
      </c>
      <c r="K3569" s="1" t="s">
        <v>25</v>
      </c>
      <c r="L3569">
        <v>-0.79</v>
      </c>
      <c r="M3569" t="str">
        <f t="shared" si="125"/>
        <v>44/40</v>
      </c>
      <c r="N3569" t="str">
        <f t="shared" si="126"/>
        <v>SW</v>
      </c>
      <c r="O3569" s="1" t="s">
        <v>25</v>
      </c>
      <c r="P3569" s="3" t="s">
        <v>25</v>
      </c>
      <c r="Q3569" s="37">
        <v>0.12</v>
      </c>
      <c r="R3569" t="str">
        <f t="shared" si="123"/>
        <v>mmol/mol</v>
      </c>
      <c r="S3569" s="13">
        <f t="shared" si="124"/>
        <v>-0.79</v>
      </c>
    </row>
    <row r="3570" spans="1:19">
      <c r="A3570" s="18" t="s">
        <v>3632</v>
      </c>
      <c r="B3570" s="1" t="s">
        <v>3723</v>
      </c>
      <c r="C3570" s="1" t="s">
        <v>4076</v>
      </c>
      <c r="D3570" s="1" t="s">
        <v>4077</v>
      </c>
      <c r="E3570" s="1" t="s">
        <v>25</v>
      </c>
      <c r="F3570">
        <v>635</v>
      </c>
      <c r="G3570">
        <v>635</v>
      </c>
      <c r="H3570" s="1" t="s">
        <v>25</v>
      </c>
      <c r="I3570" s="1" t="s">
        <v>1528</v>
      </c>
      <c r="J3570" s="1" t="s">
        <v>4105</v>
      </c>
      <c r="K3570" s="1" t="s">
        <v>25</v>
      </c>
      <c r="L3570">
        <v>-0.9</v>
      </c>
      <c r="M3570" t="str">
        <f t="shared" si="125"/>
        <v>44/40</v>
      </c>
      <c r="N3570" t="str">
        <f t="shared" si="126"/>
        <v>SW</v>
      </c>
      <c r="O3570" s="1" t="s">
        <v>25</v>
      </c>
      <c r="P3570" s="3" t="s">
        <v>25</v>
      </c>
      <c r="Q3570" s="37">
        <v>0.12</v>
      </c>
      <c r="R3570" t="str">
        <f t="shared" si="123"/>
        <v>mmol/mol</v>
      </c>
      <c r="S3570" s="13">
        <f t="shared" si="124"/>
        <v>-0.9</v>
      </c>
    </row>
    <row r="3571" spans="1:19">
      <c r="A3571" s="18" t="s">
        <v>3632</v>
      </c>
      <c r="B3571" s="1" t="s">
        <v>3724</v>
      </c>
      <c r="C3571" s="1" t="s">
        <v>4076</v>
      </c>
      <c r="D3571" s="1" t="s">
        <v>4077</v>
      </c>
      <c r="E3571" s="1" t="s">
        <v>25</v>
      </c>
      <c r="F3571">
        <v>635</v>
      </c>
      <c r="G3571">
        <v>635</v>
      </c>
      <c r="H3571" s="1" t="s">
        <v>25</v>
      </c>
      <c r="I3571" s="1" t="s">
        <v>1528</v>
      </c>
      <c r="J3571" s="1" t="s">
        <v>4105</v>
      </c>
      <c r="K3571" s="1" t="s">
        <v>25</v>
      </c>
      <c r="L3571">
        <v>-0.67</v>
      </c>
      <c r="M3571" t="str">
        <f t="shared" si="125"/>
        <v>44/40</v>
      </c>
      <c r="N3571" t="str">
        <f t="shared" si="126"/>
        <v>SW</v>
      </c>
      <c r="O3571" s="1" t="s">
        <v>25</v>
      </c>
      <c r="P3571" s="3" t="s">
        <v>25</v>
      </c>
      <c r="Q3571" s="37">
        <v>0.11</v>
      </c>
      <c r="R3571" t="str">
        <f t="shared" si="123"/>
        <v>mmol/mol</v>
      </c>
      <c r="S3571" s="13">
        <f t="shared" si="124"/>
        <v>-0.67</v>
      </c>
    </row>
    <row r="3572" spans="1:19">
      <c r="A3572" s="18" t="s">
        <v>3632</v>
      </c>
      <c r="B3572" s="1" t="s">
        <v>3725</v>
      </c>
      <c r="C3572" s="1" t="s">
        <v>4076</v>
      </c>
      <c r="D3572" s="1" t="s">
        <v>4077</v>
      </c>
      <c r="E3572" s="1" t="s">
        <v>25</v>
      </c>
      <c r="F3572">
        <v>635</v>
      </c>
      <c r="G3572">
        <v>635</v>
      </c>
      <c r="H3572" s="1" t="s">
        <v>25</v>
      </c>
      <c r="I3572" s="1" t="s">
        <v>1528</v>
      </c>
      <c r="J3572" s="1" t="s">
        <v>4105</v>
      </c>
      <c r="K3572" s="1" t="s">
        <v>25</v>
      </c>
      <c r="L3572">
        <v>-0.87</v>
      </c>
      <c r="M3572" t="str">
        <f t="shared" si="125"/>
        <v>44/40</v>
      </c>
      <c r="N3572" t="str">
        <f t="shared" si="126"/>
        <v>SW</v>
      </c>
      <c r="O3572" s="1" t="s">
        <v>25</v>
      </c>
      <c r="P3572" s="3" t="s">
        <v>25</v>
      </c>
      <c r="Q3572" s="37">
        <v>0.1</v>
      </c>
      <c r="R3572" t="str">
        <f t="shared" si="123"/>
        <v>mmol/mol</v>
      </c>
      <c r="S3572" s="13">
        <f t="shared" si="124"/>
        <v>-0.87</v>
      </c>
    </row>
    <row r="3573" spans="1:19">
      <c r="A3573" s="18" t="s">
        <v>3632</v>
      </c>
      <c r="B3573" s="1" t="s">
        <v>3726</v>
      </c>
      <c r="C3573" s="1" t="s">
        <v>4076</v>
      </c>
      <c r="D3573" s="1" t="s">
        <v>4077</v>
      </c>
      <c r="E3573" s="1" t="s">
        <v>25</v>
      </c>
      <c r="F3573">
        <v>635</v>
      </c>
      <c r="G3573">
        <v>635</v>
      </c>
      <c r="H3573" s="1" t="s">
        <v>25</v>
      </c>
      <c r="I3573" s="1" t="s">
        <v>1528</v>
      </c>
      <c r="J3573" s="1" t="s">
        <v>4105</v>
      </c>
      <c r="K3573" s="1" t="s">
        <v>25</v>
      </c>
      <c r="L3573">
        <v>-0.82</v>
      </c>
      <c r="M3573" t="str">
        <f t="shared" si="125"/>
        <v>44/40</v>
      </c>
      <c r="N3573" t="str">
        <f t="shared" si="126"/>
        <v>SW</v>
      </c>
      <c r="O3573" s="1" t="s">
        <v>25</v>
      </c>
      <c r="P3573" s="3" t="s">
        <v>25</v>
      </c>
      <c r="Q3573" s="37">
        <v>0.11</v>
      </c>
      <c r="R3573" t="str">
        <f t="shared" si="123"/>
        <v>mmol/mol</v>
      </c>
      <c r="S3573" s="13">
        <f t="shared" si="124"/>
        <v>-0.82</v>
      </c>
    </row>
    <row r="3574" spans="1:19">
      <c r="A3574" s="18" t="s">
        <v>3632</v>
      </c>
      <c r="B3574" s="1" t="s">
        <v>3727</v>
      </c>
      <c r="C3574" s="1" t="s">
        <v>4076</v>
      </c>
      <c r="D3574" s="1" t="s">
        <v>4077</v>
      </c>
      <c r="E3574" s="1" t="s">
        <v>25</v>
      </c>
      <c r="F3574">
        <v>635</v>
      </c>
      <c r="G3574">
        <v>635</v>
      </c>
      <c r="H3574" s="1" t="s">
        <v>25</v>
      </c>
      <c r="I3574" s="1" t="s">
        <v>1528</v>
      </c>
      <c r="J3574" s="1" t="s">
        <v>4105</v>
      </c>
      <c r="K3574" s="1" t="s">
        <v>25</v>
      </c>
      <c r="L3574">
        <v>-0.76</v>
      </c>
      <c r="M3574" t="str">
        <f t="shared" si="125"/>
        <v>44/40</v>
      </c>
      <c r="N3574" t="str">
        <f t="shared" si="126"/>
        <v>SW</v>
      </c>
      <c r="O3574" s="1" t="s">
        <v>25</v>
      </c>
      <c r="P3574" s="3" t="s">
        <v>25</v>
      </c>
      <c r="Q3574" s="37">
        <v>0.13</v>
      </c>
      <c r="R3574" t="str">
        <f t="shared" si="123"/>
        <v>mmol/mol</v>
      </c>
      <c r="S3574" s="13">
        <f t="shared" si="124"/>
        <v>-0.76</v>
      </c>
    </row>
    <row r="3575" spans="1:19">
      <c r="A3575" s="18" t="s">
        <v>3632</v>
      </c>
      <c r="B3575" s="1" t="s">
        <v>3728</v>
      </c>
      <c r="C3575" s="1" t="s">
        <v>4076</v>
      </c>
      <c r="D3575" s="1" t="s">
        <v>4077</v>
      </c>
      <c r="E3575" s="1" t="s">
        <v>25</v>
      </c>
      <c r="F3575">
        <v>635</v>
      </c>
      <c r="G3575">
        <v>635</v>
      </c>
      <c r="H3575" s="1" t="s">
        <v>25</v>
      </c>
      <c r="I3575" s="1" t="s">
        <v>1528</v>
      </c>
      <c r="J3575" s="1" t="s">
        <v>4105</v>
      </c>
      <c r="K3575" s="1" t="s">
        <v>25</v>
      </c>
      <c r="L3575">
        <v>-0.68</v>
      </c>
      <c r="M3575" t="str">
        <f t="shared" si="125"/>
        <v>44/40</v>
      </c>
      <c r="N3575" t="str">
        <f t="shared" si="126"/>
        <v>SW</v>
      </c>
      <c r="O3575" s="1" t="s">
        <v>25</v>
      </c>
      <c r="P3575" s="3" t="s">
        <v>25</v>
      </c>
      <c r="Q3575" s="37">
        <v>0.11</v>
      </c>
      <c r="R3575" t="str">
        <f t="shared" si="123"/>
        <v>mmol/mol</v>
      </c>
      <c r="S3575" s="13">
        <f t="shared" si="124"/>
        <v>-0.68</v>
      </c>
    </row>
    <row r="3576" spans="1:19">
      <c r="A3576" s="18" t="s">
        <v>3632</v>
      </c>
      <c r="B3576" s="1" t="s">
        <v>3729</v>
      </c>
      <c r="C3576" s="1" t="s">
        <v>4076</v>
      </c>
      <c r="D3576" s="1" t="s">
        <v>4077</v>
      </c>
      <c r="E3576" s="1" t="s">
        <v>25</v>
      </c>
      <c r="F3576">
        <v>635</v>
      </c>
      <c r="G3576">
        <v>635</v>
      </c>
      <c r="H3576" s="1" t="s">
        <v>25</v>
      </c>
      <c r="I3576" s="1" t="s">
        <v>1528</v>
      </c>
      <c r="J3576" s="1" t="s">
        <v>4105</v>
      </c>
      <c r="K3576" s="1" t="s">
        <v>25</v>
      </c>
      <c r="L3576">
        <v>-0.74</v>
      </c>
      <c r="M3576" t="str">
        <f t="shared" si="125"/>
        <v>44/40</v>
      </c>
      <c r="N3576" t="str">
        <f t="shared" si="126"/>
        <v>SW</v>
      </c>
      <c r="O3576" s="1" t="s">
        <v>25</v>
      </c>
      <c r="P3576" s="3" t="s">
        <v>25</v>
      </c>
      <c r="Q3576" s="37">
        <v>0.12</v>
      </c>
      <c r="R3576" t="str">
        <f t="shared" si="123"/>
        <v>mmol/mol</v>
      </c>
      <c r="S3576" s="13">
        <f t="shared" si="124"/>
        <v>-0.74</v>
      </c>
    </row>
    <row r="3577" spans="1:19">
      <c r="A3577" s="18" t="s">
        <v>3632</v>
      </c>
      <c r="B3577" s="1" t="s">
        <v>3730</v>
      </c>
      <c r="C3577" s="1" t="s">
        <v>4076</v>
      </c>
      <c r="D3577" s="1" t="s">
        <v>4077</v>
      </c>
      <c r="E3577" s="1" t="s">
        <v>25</v>
      </c>
      <c r="F3577">
        <v>635</v>
      </c>
      <c r="G3577">
        <v>635</v>
      </c>
      <c r="H3577" s="1" t="s">
        <v>25</v>
      </c>
      <c r="I3577" s="1" t="s">
        <v>1528</v>
      </c>
      <c r="J3577" s="1" t="s">
        <v>4105</v>
      </c>
      <c r="K3577" s="1" t="s">
        <v>25</v>
      </c>
      <c r="L3577" t="s">
        <v>25</v>
      </c>
      <c r="M3577" t="str">
        <f t="shared" si="125"/>
        <v>Na</v>
      </c>
      <c r="N3577" t="str">
        <f t="shared" si="126"/>
        <v>Na</v>
      </c>
      <c r="O3577" s="1" t="s">
        <v>25</v>
      </c>
      <c r="P3577" s="3" t="s">
        <v>25</v>
      </c>
      <c r="Q3577" s="37">
        <v>0.15</v>
      </c>
      <c r="R3577" t="str">
        <f t="shared" si="123"/>
        <v>mmol/mol</v>
      </c>
      <c r="S3577" s="13" t="s">
        <v>25</v>
      </c>
    </row>
    <row r="3578" spans="1:19">
      <c r="A3578" s="18" t="s">
        <v>3632</v>
      </c>
      <c r="B3578" s="1" t="s">
        <v>3731</v>
      </c>
      <c r="C3578" s="1" t="s">
        <v>4076</v>
      </c>
      <c r="D3578" s="1" t="s">
        <v>4077</v>
      </c>
      <c r="E3578" s="1" t="s">
        <v>25</v>
      </c>
      <c r="F3578">
        <v>635</v>
      </c>
      <c r="G3578">
        <v>635</v>
      </c>
      <c r="H3578" s="1" t="s">
        <v>25</v>
      </c>
      <c r="I3578" s="1" t="s">
        <v>1528</v>
      </c>
      <c r="J3578" s="1" t="s">
        <v>4105</v>
      </c>
      <c r="K3578" s="1" t="s">
        <v>25</v>
      </c>
      <c r="L3578">
        <v>-0.74</v>
      </c>
      <c r="M3578" t="str">
        <f t="shared" si="125"/>
        <v>44/40</v>
      </c>
      <c r="N3578" t="str">
        <f t="shared" si="126"/>
        <v>SW</v>
      </c>
      <c r="O3578" s="1" t="s">
        <v>25</v>
      </c>
      <c r="P3578" s="3" t="s">
        <v>25</v>
      </c>
      <c r="Q3578" s="37">
        <v>0.13</v>
      </c>
      <c r="R3578" t="str">
        <f t="shared" si="123"/>
        <v>mmol/mol</v>
      </c>
      <c r="S3578" s="13">
        <f t="shared" si="124"/>
        <v>-0.74</v>
      </c>
    </row>
    <row r="3579" spans="1:19">
      <c r="A3579" s="18" t="s">
        <v>3632</v>
      </c>
      <c r="B3579" s="1" t="s">
        <v>3732</v>
      </c>
      <c r="C3579" s="1" t="s">
        <v>4076</v>
      </c>
      <c r="D3579" s="1" t="s">
        <v>4077</v>
      </c>
      <c r="E3579" s="1" t="s">
        <v>25</v>
      </c>
      <c r="F3579">
        <v>635</v>
      </c>
      <c r="G3579">
        <v>635</v>
      </c>
      <c r="H3579" s="1" t="s">
        <v>25</v>
      </c>
      <c r="I3579" s="1" t="s">
        <v>1528</v>
      </c>
      <c r="J3579" s="1" t="s">
        <v>4105</v>
      </c>
      <c r="K3579" s="1" t="s">
        <v>25</v>
      </c>
      <c r="L3579">
        <v>-0.9</v>
      </c>
      <c r="M3579" t="str">
        <f t="shared" si="125"/>
        <v>44/40</v>
      </c>
      <c r="N3579" t="str">
        <f t="shared" si="126"/>
        <v>SW</v>
      </c>
      <c r="O3579" s="1" t="s">
        <v>25</v>
      </c>
      <c r="P3579" s="3" t="s">
        <v>25</v>
      </c>
      <c r="Q3579" s="37">
        <v>0.15</v>
      </c>
      <c r="R3579" t="str">
        <f t="shared" si="123"/>
        <v>mmol/mol</v>
      </c>
      <c r="S3579" s="13">
        <f t="shared" si="124"/>
        <v>-0.9</v>
      </c>
    </row>
    <row r="3580" spans="1:19">
      <c r="A3580" s="18" t="s">
        <v>3632</v>
      </c>
      <c r="B3580" s="1" t="s">
        <v>3733</v>
      </c>
      <c r="C3580" s="1" t="s">
        <v>4076</v>
      </c>
      <c r="D3580" s="1" t="s">
        <v>4077</v>
      </c>
      <c r="E3580" s="1" t="s">
        <v>25</v>
      </c>
      <c r="F3580">
        <v>635</v>
      </c>
      <c r="G3580">
        <v>635</v>
      </c>
      <c r="H3580" s="1" t="s">
        <v>25</v>
      </c>
      <c r="I3580" s="1" t="s">
        <v>1528</v>
      </c>
      <c r="J3580" s="1" t="s">
        <v>4105</v>
      </c>
      <c r="K3580" s="1" t="s">
        <v>25</v>
      </c>
      <c r="L3580">
        <v>-0.74</v>
      </c>
      <c r="M3580" t="str">
        <f t="shared" si="125"/>
        <v>44/40</v>
      </c>
      <c r="N3580" t="str">
        <f t="shared" si="126"/>
        <v>SW</v>
      </c>
      <c r="O3580" s="1" t="s">
        <v>25</v>
      </c>
      <c r="P3580" s="3" t="s">
        <v>25</v>
      </c>
      <c r="Q3580" s="37">
        <v>0.13</v>
      </c>
      <c r="R3580" t="str">
        <f t="shared" si="123"/>
        <v>mmol/mol</v>
      </c>
      <c r="S3580" s="13">
        <f t="shared" si="124"/>
        <v>-0.74</v>
      </c>
    </row>
    <row r="3581" spans="1:19">
      <c r="A3581" s="18" t="s">
        <v>3632</v>
      </c>
      <c r="B3581" s="1" t="s">
        <v>3734</v>
      </c>
      <c r="C3581" s="1" t="s">
        <v>4076</v>
      </c>
      <c r="D3581" s="1" t="s">
        <v>4077</v>
      </c>
      <c r="E3581" s="1" t="s">
        <v>25</v>
      </c>
      <c r="F3581">
        <v>635</v>
      </c>
      <c r="G3581">
        <v>635</v>
      </c>
      <c r="H3581" s="1" t="s">
        <v>25</v>
      </c>
      <c r="I3581" s="1" t="s">
        <v>1528</v>
      </c>
      <c r="J3581" s="1" t="s">
        <v>4105</v>
      </c>
      <c r="K3581" s="1" t="s">
        <v>25</v>
      </c>
      <c r="L3581">
        <v>-0.83</v>
      </c>
      <c r="M3581" t="str">
        <f t="shared" si="125"/>
        <v>44/40</v>
      </c>
      <c r="N3581" t="str">
        <f t="shared" si="126"/>
        <v>SW</v>
      </c>
      <c r="O3581" s="1" t="s">
        <v>25</v>
      </c>
      <c r="P3581" s="3" t="s">
        <v>25</v>
      </c>
      <c r="Q3581" s="37">
        <v>0.12</v>
      </c>
      <c r="R3581" t="str">
        <f t="shared" si="123"/>
        <v>mmol/mol</v>
      </c>
      <c r="S3581" s="13">
        <f t="shared" si="124"/>
        <v>-0.83</v>
      </c>
    </row>
    <row r="3582" spans="1:19">
      <c r="A3582" s="18" t="s">
        <v>3632</v>
      </c>
      <c r="B3582" s="1" t="s">
        <v>3735</v>
      </c>
      <c r="C3582" s="1" t="s">
        <v>4076</v>
      </c>
      <c r="D3582" s="1" t="s">
        <v>4077</v>
      </c>
      <c r="E3582" s="1" t="s">
        <v>25</v>
      </c>
      <c r="F3582">
        <v>635</v>
      </c>
      <c r="G3582">
        <v>635</v>
      </c>
      <c r="H3582" s="1" t="s">
        <v>25</v>
      </c>
      <c r="I3582" s="1" t="s">
        <v>1528</v>
      </c>
      <c r="J3582" s="1" t="s">
        <v>4105</v>
      </c>
      <c r="K3582" s="1" t="s">
        <v>25</v>
      </c>
      <c r="L3582">
        <v>-0.83</v>
      </c>
      <c r="M3582" t="str">
        <f t="shared" si="125"/>
        <v>44/40</v>
      </c>
      <c r="N3582" t="str">
        <f t="shared" si="126"/>
        <v>SW</v>
      </c>
      <c r="O3582" s="1" t="s">
        <v>25</v>
      </c>
      <c r="P3582" s="3" t="s">
        <v>25</v>
      </c>
      <c r="Q3582" s="37">
        <v>0.11</v>
      </c>
      <c r="R3582" t="str">
        <f t="shared" si="123"/>
        <v>mmol/mol</v>
      </c>
      <c r="S3582" s="13">
        <f t="shared" si="124"/>
        <v>-0.83</v>
      </c>
    </row>
    <row r="3583" spans="1:19">
      <c r="A3583" s="18" t="s">
        <v>3632</v>
      </c>
      <c r="B3583" s="1" t="s">
        <v>3736</v>
      </c>
      <c r="C3583" s="1" t="s">
        <v>4076</v>
      </c>
      <c r="D3583" s="1" t="s">
        <v>4077</v>
      </c>
      <c r="E3583" s="1" t="s">
        <v>25</v>
      </c>
      <c r="F3583">
        <v>635</v>
      </c>
      <c r="G3583">
        <v>635</v>
      </c>
      <c r="H3583" s="1" t="s">
        <v>25</v>
      </c>
      <c r="I3583" s="1" t="s">
        <v>1528</v>
      </c>
      <c r="J3583" s="1" t="s">
        <v>4105</v>
      </c>
      <c r="K3583" s="1" t="s">
        <v>25</v>
      </c>
      <c r="L3583">
        <v>-0.84</v>
      </c>
      <c r="M3583" t="str">
        <f t="shared" si="125"/>
        <v>44/40</v>
      </c>
      <c r="N3583" t="str">
        <f t="shared" si="126"/>
        <v>SW</v>
      </c>
      <c r="O3583" s="1" t="s">
        <v>25</v>
      </c>
      <c r="P3583" s="3" t="s">
        <v>25</v>
      </c>
      <c r="Q3583" s="37">
        <v>0.09</v>
      </c>
      <c r="R3583" t="str">
        <f t="shared" si="123"/>
        <v>mmol/mol</v>
      </c>
      <c r="S3583" s="13">
        <f t="shared" si="124"/>
        <v>-0.84</v>
      </c>
    </row>
    <row r="3584" spans="1:19">
      <c r="A3584" s="18" t="s">
        <v>3632</v>
      </c>
      <c r="B3584" s="1" t="s">
        <v>3737</v>
      </c>
      <c r="C3584" s="1" t="s">
        <v>4076</v>
      </c>
      <c r="D3584" s="1" t="s">
        <v>4077</v>
      </c>
      <c r="E3584" s="1" t="s">
        <v>25</v>
      </c>
      <c r="F3584">
        <v>635</v>
      </c>
      <c r="G3584">
        <v>635</v>
      </c>
      <c r="H3584" s="1" t="s">
        <v>25</v>
      </c>
      <c r="I3584" s="1" t="s">
        <v>1528</v>
      </c>
      <c r="J3584" s="1" t="s">
        <v>4105</v>
      </c>
      <c r="K3584" s="1" t="s">
        <v>25</v>
      </c>
      <c r="L3584">
        <v>-0.8</v>
      </c>
      <c r="M3584" t="str">
        <f t="shared" si="125"/>
        <v>44/40</v>
      </c>
      <c r="N3584" t="str">
        <f t="shared" si="126"/>
        <v>SW</v>
      </c>
      <c r="O3584" s="1" t="s">
        <v>25</v>
      </c>
      <c r="P3584" s="3" t="s">
        <v>25</v>
      </c>
      <c r="Q3584" s="37">
        <v>0.13</v>
      </c>
      <c r="R3584" t="str">
        <f t="shared" si="123"/>
        <v>mmol/mol</v>
      </c>
      <c r="S3584" s="13">
        <f t="shared" si="124"/>
        <v>-0.8</v>
      </c>
    </row>
    <row r="3585" spans="1:19">
      <c r="A3585" s="18" t="s">
        <v>3632</v>
      </c>
      <c r="B3585" s="1" t="s">
        <v>3738</v>
      </c>
      <c r="C3585" s="1" t="s">
        <v>4076</v>
      </c>
      <c r="D3585" s="1" t="s">
        <v>4077</v>
      </c>
      <c r="E3585" s="1" t="s">
        <v>25</v>
      </c>
      <c r="F3585">
        <v>635</v>
      </c>
      <c r="G3585">
        <v>635</v>
      </c>
      <c r="H3585" s="1" t="s">
        <v>25</v>
      </c>
      <c r="I3585" s="1" t="s">
        <v>1528</v>
      </c>
      <c r="J3585" s="1" t="s">
        <v>4105</v>
      </c>
      <c r="K3585" s="1" t="s">
        <v>25</v>
      </c>
      <c r="L3585">
        <v>-0.87</v>
      </c>
      <c r="M3585" t="str">
        <f t="shared" si="125"/>
        <v>44/40</v>
      </c>
      <c r="N3585" t="str">
        <f t="shared" si="126"/>
        <v>SW</v>
      </c>
      <c r="O3585" s="1" t="s">
        <v>25</v>
      </c>
      <c r="P3585" s="3" t="s">
        <v>25</v>
      </c>
      <c r="Q3585" s="37">
        <v>0.13</v>
      </c>
      <c r="R3585" t="str">
        <f t="shared" si="123"/>
        <v>mmol/mol</v>
      </c>
      <c r="S3585" s="13">
        <f t="shared" si="124"/>
        <v>-0.87</v>
      </c>
    </row>
    <row r="3586" spans="1:19">
      <c r="A3586" s="18" t="s">
        <v>3632</v>
      </c>
      <c r="B3586" s="1" t="s">
        <v>3739</v>
      </c>
      <c r="C3586" s="1" t="s">
        <v>4076</v>
      </c>
      <c r="D3586" s="1" t="s">
        <v>4077</v>
      </c>
      <c r="E3586" s="1" t="s">
        <v>25</v>
      </c>
      <c r="F3586">
        <v>635</v>
      </c>
      <c r="G3586">
        <v>635</v>
      </c>
      <c r="H3586" s="1" t="s">
        <v>25</v>
      </c>
      <c r="I3586" s="1" t="s">
        <v>1528</v>
      </c>
      <c r="J3586" s="1" t="s">
        <v>4105</v>
      </c>
      <c r="K3586" s="1" t="s">
        <v>25</v>
      </c>
      <c r="L3586">
        <v>-0.83</v>
      </c>
      <c r="M3586" t="str">
        <f t="shared" si="125"/>
        <v>44/40</v>
      </c>
      <c r="N3586" t="str">
        <f t="shared" si="126"/>
        <v>SW</v>
      </c>
      <c r="O3586" s="1" t="s">
        <v>25</v>
      </c>
      <c r="P3586" s="3" t="s">
        <v>25</v>
      </c>
      <c r="Q3586" s="37">
        <v>0.13</v>
      </c>
      <c r="R3586" t="str">
        <f t="shared" si="123"/>
        <v>mmol/mol</v>
      </c>
      <c r="S3586" s="13">
        <f t="shared" si="124"/>
        <v>-0.83</v>
      </c>
    </row>
    <row r="3587" spans="1:19">
      <c r="A3587" s="18" t="s">
        <v>3632</v>
      </c>
      <c r="B3587" s="1" t="s">
        <v>3740</v>
      </c>
      <c r="C3587" s="1" t="s">
        <v>4076</v>
      </c>
      <c r="D3587" s="1" t="s">
        <v>4077</v>
      </c>
      <c r="E3587" s="1" t="s">
        <v>25</v>
      </c>
      <c r="F3587">
        <v>635</v>
      </c>
      <c r="G3587">
        <v>635</v>
      </c>
      <c r="H3587" s="1" t="s">
        <v>25</v>
      </c>
      <c r="I3587" s="1" t="s">
        <v>1528</v>
      </c>
      <c r="J3587" s="1" t="s">
        <v>4105</v>
      </c>
      <c r="K3587" s="1" t="s">
        <v>25</v>
      </c>
      <c r="L3587">
        <v>-0.87</v>
      </c>
      <c r="M3587" t="str">
        <f t="shared" si="125"/>
        <v>44/40</v>
      </c>
      <c r="N3587" t="str">
        <f t="shared" si="126"/>
        <v>SW</v>
      </c>
      <c r="O3587" s="1" t="s">
        <v>25</v>
      </c>
      <c r="P3587" s="3" t="s">
        <v>25</v>
      </c>
      <c r="Q3587" s="37">
        <v>0.14000000000000001</v>
      </c>
      <c r="R3587" t="str">
        <f t="shared" si="123"/>
        <v>mmol/mol</v>
      </c>
      <c r="S3587" s="13">
        <f t="shared" si="124"/>
        <v>-0.87</v>
      </c>
    </row>
    <row r="3588" spans="1:19">
      <c r="A3588" s="18" t="s">
        <v>3632</v>
      </c>
      <c r="B3588" s="1" t="s">
        <v>3741</v>
      </c>
      <c r="C3588" s="1" t="s">
        <v>4076</v>
      </c>
      <c r="D3588" s="1" t="s">
        <v>4077</v>
      </c>
      <c r="E3588" s="1" t="s">
        <v>25</v>
      </c>
      <c r="F3588">
        <v>635</v>
      </c>
      <c r="G3588">
        <v>635</v>
      </c>
      <c r="H3588" s="1" t="s">
        <v>25</v>
      </c>
      <c r="I3588" s="1" t="s">
        <v>1528</v>
      </c>
      <c r="J3588" s="1" t="s">
        <v>4105</v>
      </c>
      <c r="K3588" s="1" t="s">
        <v>25</v>
      </c>
      <c r="L3588">
        <v>-0.82</v>
      </c>
      <c r="M3588" t="str">
        <f t="shared" si="125"/>
        <v>44/40</v>
      </c>
      <c r="N3588" t="str">
        <f t="shared" si="126"/>
        <v>SW</v>
      </c>
      <c r="O3588" s="1" t="s">
        <v>25</v>
      </c>
      <c r="P3588" s="3" t="s">
        <v>25</v>
      </c>
      <c r="Q3588" s="37">
        <v>0.14000000000000001</v>
      </c>
      <c r="R3588" t="str">
        <f t="shared" si="123"/>
        <v>mmol/mol</v>
      </c>
      <c r="S3588" s="13">
        <f t="shared" si="124"/>
        <v>-0.82</v>
      </c>
    </row>
    <row r="3589" spans="1:19">
      <c r="A3589" s="18" t="s">
        <v>3632</v>
      </c>
      <c r="B3589" s="1" t="s">
        <v>3742</v>
      </c>
      <c r="C3589" s="1" t="s">
        <v>4076</v>
      </c>
      <c r="D3589" s="1" t="s">
        <v>4077</v>
      </c>
      <c r="E3589" s="1" t="s">
        <v>25</v>
      </c>
      <c r="F3589">
        <v>635</v>
      </c>
      <c r="G3589">
        <v>635</v>
      </c>
      <c r="H3589" s="1" t="s">
        <v>25</v>
      </c>
      <c r="I3589" s="1" t="s">
        <v>1528</v>
      </c>
      <c r="J3589" s="1" t="s">
        <v>4105</v>
      </c>
      <c r="K3589" s="1" t="s">
        <v>25</v>
      </c>
      <c r="L3589">
        <v>-1.1200000000000001</v>
      </c>
      <c r="M3589" t="str">
        <f t="shared" si="125"/>
        <v>44/40</v>
      </c>
      <c r="N3589" t="str">
        <f t="shared" si="126"/>
        <v>SW</v>
      </c>
      <c r="O3589" s="1" t="s">
        <v>25</v>
      </c>
      <c r="P3589" s="3" t="s">
        <v>25</v>
      </c>
      <c r="Q3589" s="37">
        <v>0.17</v>
      </c>
      <c r="R3589" t="str">
        <f t="shared" si="123"/>
        <v>mmol/mol</v>
      </c>
      <c r="S3589" s="13">
        <f t="shared" si="124"/>
        <v>-1.1200000000000001</v>
      </c>
    </row>
    <row r="3590" spans="1:19">
      <c r="A3590" s="18" t="s">
        <v>3632</v>
      </c>
      <c r="B3590" s="1" t="s">
        <v>3743</v>
      </c>
      <c r="C3590" s="1" t="s">
        <v>4076</v>
      </c>
      <c r="D3590" s="1" t="s">
        <v>4077</v>
      </c>
      <c r="E3590" s="1" t="s">
        <v>25</v>
      </c>
      <c r="F3590">
        <v>635</v>
      </c>
      <c r="G3590">
        <v>635</v>
      </c>
      <c r="H3590" s="1" t="s">
        <v>25</v>
      </c>
      <c r="I3590" s="1" t="s">
        <v>1528</v>
      </c>
      <c r="J3590" s="1" t="s">
        <v>4105</v>
      </c>
      <c r="K3590" s="1" t="s">
        <v>25</v>
      </c>
      <c r="L3590">
        <v>-1.1299999999999999</v>
      </c>
      <c r="M3590" t="str">
        <f t="shared" si="125"/>
        <v>44/40</v>
      </c>
      <c r="N3590" t="str">
        <f t="shared" si="126"/>
        <v>SW</v>
      </c>
      <c r="O3590" s="1" t="s">
        <v>25</v>
      </c>
      <c r="P3590" s="3" t="s">
        <v>25</v>
      </c>
      <c r="Q3590" s="37">
        <v>0.22</v>
      </c>
      <c r="R3590" t="str">
        <f t="shared" si="123"/>
        <v>mmol/mol</v>
      </c>
      <c r="S3590" s="13">
        <f t="shared" si="124"/>
        <v>-1.1299999999999999</v>
      </c>
    </row>
    <row r="3591" spans="1:19">
      <c r="A3591" s="18" t="s">
        <v>3632</v>
      </c>
      <c r="B3591" s="1" t="s">
        <v>3744</v>
      </c>
      <c r="C3591" s="1" t="s">
        <v>4076</v>
      </c>
      <c r="D3591" s="1" t="s">
        <v>4077</v>
      </c>
      <c r="E3591" s="1" t="s">
        <v>25</v>
      </c>
      <c r="F3591">
        <v>635</v>
      </c>
      <c r="G3591">
        <v>635</v>
      </c>
      <c r="H3591" s="1" t="s">
        <v>25</v>
      </c>
      <c r="I3591" s="1" t="s">
        <v>1528</v>
      </c>
      <c r="J3591" s="1" t="s">
        <v>4105</v>
      </c>
      <c r="K3591" s="1" t="s">
        <v>25</v>
      </c>
      <c r="L3591">
        <v>-0.94</v>
      </c>
      <c r="M3591" t="str">
        <f t="shared" si="125"/>
        <v>44/40</v>
      </c>
      <c r="N3591" t="str">
        <f t="shared" si="126"/>
        <v>SW</v>
      </c>
      <c r="O3591" s="1" t="s">
        <v>25</v>
      </c>
      <c r="P3591" s="3" t="s">
        <v>25</v>
      </c>
      <c r="Q3591" s="37">
        <v>0.2</v>
      </c>
      <c r="R3591" t="str">
        <f t="shared" si="123"/>
        <v>mmol/mol</v>
      </c>
      <c r="S3591" s="13">
        <f t="shared" si="124"/>
        <v>-0.94</v>
      </c>
    </row>
    <row r="3592" spans="1:19">
      <c r="A3592" s="18" t="s">
        <v>3632</v>
      </c>
      <c r="B3592" s="1" t="s">
        <v>3745</v>
      </c>
      <c r="C3592" s="1" t="s">
        <v>4076</v>
      </c>
      <c r="D3592" s="1" t="s">
        <v>4077</v>
      </c>
      <c r="E3592" s="1" t="s">
        <v>25</v>
      </c>
      <c r="F3592">
        <v>635</v>
      </c>
      <c r="G3592">
        <v>635</v>
      </c>
      <c r="H3592" s="1" t="s">
        <v>25</v>
      </c>
      <c r="I3592" s="1" t="s">
        <v>1528</v>
      </c>
      <c r="J3592" s="1" t="s">
        <v>4105</v>
      </c>
      <c r="K3592" s="1" t="s">
        <v>25</v>
      </c>
      <c r="L3592">
        <v>-0.98</v>
      </c>
      <c r="M3592" t="str">
        <f t="shared" si="125"/>
        <v>44/40</v>
      </c>
      <c r="N3592" t="str">
        <f t="shared" si="126"/>
        <v>SW</v>
      </c>
      <c r="O3592" s="1" t="s">
        <v>25</v>
      </c>
      <c r="P3592" s="3" t="s">
        <v>25</v>
      </c>
      <c r="Q3592" s="37">
        <v>0.2</v>
      </c>
      <c r="R3592" t="str">
        <f t="shared" si="123"/>
        <v>mmol/mol</v>
      </c>
      <c r="S3592" s="13">
        <f t="shared" si="124"/>
        <v>-0.98</v>
      </c>
    </row>
    <row r="3593" spans="1:19">
      <c r="A3593" s="18" t="s">
        <v>3632</v>
      </c>
      <c r="B3593" s="1" t="s">
        <v>3746</v>
      </c>
      <c r="C3593" s="1" t="s">
        <v>4076</v>
      </c>
      <c r="D3593" s="1" t="s">
        <v>4077</v>
      </c>
      <c r="E3593" s="1" t="s">
        <v>25</v>
      </c>
      <c r="F3593">
        <v>635</v>
      </c>
      <c r="G3593">
        <v>635</v>
      </c>
      <c r="H3593" s="1" t="s">
        <v>25</v>
      </c>
      <c r="I3593" s="1" t="s">
        <v>1528</v>
      </c>
      <c r="J3593" s="1" t="s">
        <v>4105</v>
      </c>
      <c r="K3593" s="1" t="s">
        <v>25</v>
      </c>
      <c r="L3593">
        <v>-0.95</v>
      </c>
      <c r="M3593" t="str">
        <f t="shared" si="125"/>
        <v>44/40</v>
      </c>
      <c r="N3593" t="str">
        <f t="shared" si="126"/>
        <v>SW</v>
      </c>
      <c r="O3593" s="1" t="s">
        <v>25</v>
      </c>
      <c r="P3593" s="3" t="s">
        <v>25</v>
      </c>
      <c r="Q3593" s="37">
        <v>0.09</v>
      </c>
      <c r="R3593" t="str">
        <f t="shared" si="123"/>
        <v>mmol/mol</v>
      </c>
      <c r="S3593" s="13">
        <f t="shared" si="124"/>
        <v>-0.95</v>
      </c>
    </row>
    <row r="3594" spans="1:19">
      <c r="A3594" s="18" t="s">
        <v>3632</v>
      </c>
      <c r="B3594" s="1" t="s">
        <v>3747</v>
      </c>
      <c r="C3594" s="1" t="s">
        <v>4076</v>
      </c>
      <c r="D3594" s="1" t="s">
        <v>4077</v>
      </c>
      <c r="E3594" s="1" t="s">
        <v>25</v>
      </c>
      <c r="F3594">
        <v>635</v>
      </c>
      <c r="G3594">
        <v>635</v>
      </c>
      <c r="H3594" s="1" t="s">
        <v>25</v>
      </c>
      <c r="I3594" s="1" t="s">
        <v>1528</v>
      </c>
      <c r="J3594" s="1" t="s">
        <v>4105</v>
      </c>
      <c r="K3594" s="1" t="s">
        <v>25</v>
      </c>
      <c r="L3594">
        <v>-0.99</v>
      </c>
      <c r="M3594" t="str">
        <f t="shared" si="125"/>
        <v>44/40</v>
      </c>
      <c r="N3594" t="str">
        <f t="shared" si="126"/>
        <v>SW</v>
      </c>
      <c r="O3594" s="1" t="s">
        <v>25</v>
      </c>
      <c r="P3594" s="3" t="s">
        <v>25</v>
      </c>
      <c r="Q3594" s="37">
        <v>0.16</v>
      </c>
      <c r="R3594" t="str">
        <f t="shared" si="123"/>
        <v>mmol/mol</v>
      </c>
      <c r="S3594" s="13">
        <f t="shared" si="124"/>
        <v>-0.99</v>
      </c>
    </row>
    <row r="3595" spans="1:19">
      <c r="A3595" s="18" t="s">
        <v>3632</v>
      </c>
      <c r="B3595" s="1" t="s">
        <v>3748</v>
      </c>
      <c r="C3595" s="1" t="s">
        <v>4076</v>
      </c>
      <c r="D3595" s="1" t="s">
        <v>4077</v>
      </c>
      <c r="E3595" s="1" t="s">
        <v>25</v>
      </c>
      <c r="F3595">
        <v>635</v>
      </c>
      <c r="G3595">
        <v>635</v>
      </c>
      <c r="H3595" s="1" t="s">
        <v>25</v>
      </c>
      <c r="I3595" s="1" t="s">
        <v>1528</v>
      </c>
      <c r="J3595" s="1" t="s">
        <v>4105</v>
      </c>
      <c r="K3595" s="1" t="s">
        <v>25</v>
      </c>
      <c r="L3595">
        <v>-1.02</v>
      </c>
      <c r="M3595" t="str">
        <f t="shared" si="125"/>
        <v>44/40</v>
      </c>
      <c r="N3595" t="str">
        <f t="shared" si="126"/>
        <v>SW</v>
      </c>
      <c r="O3595" s="1" t="s">
        <v>25</v>
      </c>
      <c r="P3595" s="3" t="s">
        <v>25</v>
      </c>
      <c r="Q3595" s="37" t="s">
        <v>25</v>
      </c>
      <c r="R3595" t="str">
        <f t="shared" si="123"/>
        <v>Na</v>
      </c>
      <c r="S3595" s="13">
        <f t="shared" si="124"/>
        <v>-1.02</v>
      </c>
    </row>
    <row r="3596" spans="1:19">
      <c r="A3596" s="18" t="s">
        <v>3632</v>
      </c>
      <c r="B3596" s="1" t="s">
        <v>3749</v>
      </c>
      <c r="C3596" s="1" t="s">
        <v>4076</v>
      </c>
      <c r="D3596" s="1" t="s">
        <v>4077</v>
      </c>
      <c r="E3596" s="1" t="s">
        <v>25</v>
      </c>
      <c r="F3596">
        <v>635</v>
      </c>
      <c r="G3596">
        <v>635</v>
      </c>
      <c r="H3596" s="1" t="s">
        <v>25</v>
      </c>
      <c r="I3596" s="1" t="s">
        <v>1528</v>
      </c>
      <c r="J3596" s="1" t="s">
        <v>4105</v>
      </c>
      <c r="K3596" s="1" t="s">
        <v>25</v>
      </c>
      <c r="L3596">
        <v>-0.99</v>
      </c>
      <c r="M3596" t="str">
        <f t="shared" si="125"/>
        <v>44/40</v>
      </c>
      <c r="N3596" t="str">
        <f t="shared" si="126"/>
        <v>SW</v>
      </c>
      <c r="O3596" s="1" t="s">
        <v>25</v>
      </c>
      <c r="P3596" s="3" t="s">
        <v>25</v>
      </c>
      <c r="Q3596" s="37">
        <v>0.16</v>
      </c>
      <c r="R3596" t="str">
        <f t="shared" si="123"/>
        <v>mmol/mol</v>
      </c>
      <c r="S3596" s="13">
        <f t="shared" si="124"/>
        <v>-0.99</v>
      </c>
    </row>
    <row r="3597" spans="1:19">
      <c r="A3597" s="18" t="s">
        <v>3632</v>
      </c>
      <c r="B3597" s="1" t="s">
        <v>3750</v>
      </c>
      <c r="C3597" s="1" t="s">
        <v>4076</v>
      </c>
      <c r="D3597" s="1" t="s">
        <v>4077</v>
      </c>
      <c r="E3597" s="1" t="s">
        <v>25</v>
      </c>
      <c r="F3597">
        <v>635</v>
      </c>
      <c r="G3597">
        <v>635</v>
      </c>
      <c r="H3597" s="1" t="s">
        <v>25</v>
      </c>
      <c r="I3597" s="1" t="s">
        <v>1528</v>
      </c>
      <c r="J3597" s="1" t="s">
        <v>4105</v>
      </c>
      <c r="K3597" s="1" t="s">
        <v>25</v>
      </c>
      <c r="L3597">
        <v>-1.1200000000000001</v>
      </c>
      <c r="M3597" t="str">
        <f t="shared" si="125"/>
        <v>44/40</v>
      </c>
      <c r="N3597" t="str">
        <f t="shared" si="126"/>
        <v>SW</v>
      </c>
      <c r="O3597" s="1" t="s">
        <v>25</v>
      </c>
      <c r="P3597" s="3" t="s">
        <v>25</v>
      </c>
      <c r="Q3597" s="37">
        <v>0.2</v>
      </c>
      <c r="R3597" t="str">
        <f t="shared" si="123"/>
        <v>mmol/mol</v>
      </c>
      <c r="S3597" s="13">
        <f t="shared" si="124"/>
        <v>-1.1200000000000001</v>
      </c>
    </row>
    <row r="3598" spans="1:19">
      <c r="A3598" s="18" t="s">
        <v>3632</v>
      </c>
      <c r="B3598" s="1" t="s">
        <v>3751</v>
      </c>
      <c r="C3598" s="1" t="s">
        <v>4076</v>
      </c>
      <c r="D3598" s="1" t="s">
        <v>4077</v>
      </c>
      <c r="E3598" s="1" t="s">
        <v>25</v>
      </c>
      <c r="F3598">
        <v>635</v>
      </c>
      <c r="G3598">
        <v>635</v>
      </c>
      <c r="H3598" s="1" t="s">
        <v>25</v>
      </c>
      <c r="I3598" s="1" t="s">
        <v>1528</v>
      </c>
      <c r="J3598" s="1" t="s">
        <v>4105</v>
      </c>
      <c r="K3598" s="1" t="s">
        <v>25</v>
      </c>
      <c r="L3598">
        <v>-1.26</v>
      </c>
      <c r="M3598" t="str">
        <f t="shared" si="125"/>
        <v>44/40</v>
      </c>
      <c r="N3598" t="str">
        <f t="shared" si="126"/>
        <v>SW</v>
      </c>
      <c r="O3598" s="1" t="s">
        <v>25</v>
      </c>
      <c r="P3598" s="3" t="s">
        <v>25</v>
      </c>
      <c r="Q3598" s="37">
        <v>0.18</v>
      </c>
      <c r="R3598" t="str">
        <f t="shared" si="123"/>
        <v>mmol/mol</v>
      </c>
      <c r="S3598" s="13">
        <f t="shared" si="124"/>
        <v>-1.26</v>
      </c>
    </row>
    <row r="3599" spans="1:19">
      <c r="A3599" s="18" t="s">
        <v>3632</v>
      </c>
      <c r="B3599" s="1" t="s">
        <v>3752</v>
      </c>
      <c r="C3599" s="1" t="s">
        <v>4076</v>
      </c>
      <c r="D3599" s="1" t="s">
        <v>4077</v>
      </c>
      <c r="E3599" s="1" t="s">
        <v>25</v>
      </c>
      <c r="F3599">
        <v>635</v>
      </c>
      <c r="G3599">
        <v>635</v>
      </c>
      <c r="H3599" s="1" t="s">
        <v>25</v>
      </c>
      <c r="I3599" s="1" t="s">
        <v>1528</v>
      </c>
      <c r="J3599" s="1" t="s">
        <v>4105</v>
      </c>
      <c r="K3599" s="1" t="s">
        <v>25</v>
      </c>
      <c r="L3599">
        <v>-0.96</v>
      </c>
      <c r="M3599" t="str">
        <f t="shared" si="125"/>
        <v>44/40</v>
      </c>
      <c r="N3599" t="str">
        <f t="shared" si="126"/>
        <v>SW</v>
      </c>
      <c r="O3599" s="1" t="s">
        <v>25</v>
      </c>
      <c r="P3599" s="3" t="s">
        <v>25</v>
      </c>
      <c r="Q3599" s="37">
        <v>0.23</v>
      </c>
      <c r="R3599" t="str">
        <f t="shared" si="123"/>
        <v>mmol/mol</v>
      </c>
      <c r="S3599" s="13">
        <f t="shared" si="124"/>
        <v>-0.96</v>
      </c>
    </row>
    <row r="3600" spans="1:19">
      <c r="A3600" s="18" t="s">
        <v>3632</v>
      </c>
      <c r="B3600" s="1" t="s">
        <v>3753</v>
      </c>
      <c r="C3600" s="1" t="s">
        <v>4076</v>
      </c>
      <c r="D3600" s="1" t="s">
        <v>4077</v>
      </c>
      <c r="E3600" s="1" t="s">
        <v>25</v>
      </c>
      <c r="F3600">
        <v>635</v>
      </c>
      <c r="G3600">
        <v>635</v>
      </c>
      <c r="H3600" s="1" t="s">
        <v>25</v>
      </c>
      <c r="I3600" s="1" t="s">
        <v>1528</v>
      </c>
      <c r="J3600" s="1" t="s">
        <v>4105</v>
      </c>
      <c r="K3600" s="1" t="s">
        <v>25</v>
      </c>
      <c r="L3600">
        <v>-0.93</v>
      </c>
      <c r="M3600" t="str">
        <f t="shared" si="125"/>
        <v>44/40</v>
      </c>
      <c r="N3600" t="str">
        <f t="shared" si="126"/>
        <v>SW</v>
      </c>
      <c r="O3600" s="1" t="s">
        <v>25</v>
      </c>
      <c r="P3600" s="3" t="s">
        <v>25</v>
      </c>
      <c r="Q3600" s="37">
        <v>0.21</v>
      </c>
      <c r="R3600" t="str">
        <f t="shared" si="123"/>
        <v>mmol/mol</v>
      </c>
      <c r="S3600" s="13">
        <f t="shared" si="124"/>
        <v>-0.93</v>
      </c>
    </row>
    <row r="3601" spans="1:19">
      <c r="A3601" s="18" t="s">
        <v>3632</v>
      </c>
      <c r="B3601" s="1" t="s">
        <v>3754</v>
      </c>
      <c r="C3601" s="1" t="s">
        <v>4076</v>
      </c>
      <c r="D3601" s="1" t="s">
        <v>4077</v>
      </c>
      <c r="E3601" s="1" t="s">
        <v>25</v>
      </c>
      <c r="F3601">
        <v>635</v>
      </c>
      <c r="G3601">
        <v>635</v>
      </c>
      <c r="H3601" s="1" t="s">
        <v>25</v>
      </c>
      <c r="I3601" s="1" t="s">
        <v>1528</v>
      </c>
      <c r="J3601" s="1" t="s">
        <v>4105</v>
      </c>
      <c r="K3601" s="1" t="s">
        <v>25</v>
      </c>
      <c r="L3601">
        <v>-1.07</v>
      </c>
      <c r="M3601" t="str">
        <f t="shared" si="125"/>
        <v>44/40</v>
      </c>
      <c r="N3601" t="str">
        <f t="shared" si="126"/>
        <v>SW</v>
      </c>
      <c r="O3601" s="1" t="s">
        <v>25</v>
      </c>
      <c r="P3601" s="3" t="s">
        <v>25</v>
      </c>
      <c r="Q3601" s="37">
        <v>0.21</v>
      </c>
      <c r="R3601" t="str">
        <f t="shared" si="123"/>
        <v>mmol/mol</v>
      </c>
      <c r="S3601" s="13">
        <f t="shared" si="124"/>
        <v>-1.07</v>
      </c>
    </row>
    <row r="3602" spans="1:19">
      <c r="A3602" s="18" t="s">
        <v>3632</v>
      </c>
      <c r="B3602" s="1" t="s">
        <v>3755</v>
      </c>
      <c r="C3602" s="1" t="s">
        <v>4076</v>
      </c>
      <c r="D3602" s="1" t="s">
        <v>4077</v>
      </c>
      <c r="E3602" s="1" t="s">
        <v>25</v>
      </c>
      <c r="F3602">
        <v>635</v>
      </c>
      <c r="G3602">
        <v>635</v>
      </c>
      <c r="H3602" s="1" t="s">
        <v>25</v>
      </c>
      <c r="I3602" s="1" t="s">
        <v>1528</v>
      </c>
      <c r="J3602" s="1" t="s">
        <v>4105</v>
      </c>
      <c r="K3602" s="1" t="s">
        <v>25</v>
      </c>
      <c r="L3602">
        <v>-1.1000000000000001</v>
      </c>
      <c r="M3602" t="str">
        <f t="shared" si="125"/>
        <v>44/40</v>
      </c>
      <c r="N3602" t="str">
        <f t="shared" si="126"/>
        <v>SW</v>
      </c>
      <c r="O3602" s="1" t="s">
        <v>25</v>
      </c>
      <c r="P3602" s="3" t="s">
        <v>25</v>
      </c>
      <c r="Q3602" s="37">
        <v>0.19</v>
      </c>
      <c r="R3602" t="str">
        <f t="shared" si="123"/>
        <v>mmol/mol</v>
      </c>
      <c r="S3602" s="13">
        <f t="shared" si="124"/>
        <v>-1.1000000000000001</v>
      </c>
    </row>
    <row r="3603" spans="1:19">
      <c r="A3603" s="18" t="s">
        <v>3632</v>
      </c>
      <c r="B3603" s="1" t="s">
        <v>3756</v>
      </c>
      <c r="C3603" s="1" t="s">
        <v>4076</v>
      </c>
      <c r="D3603" s="1" t="s">
        <v>4077</v>
      </c>
      <c r="E3603" s="1" t="s">
        <v>25</v>
      </c>
      <c r="F3603">
        <v>635</v>
      </c>
      <c r="G3603">
        <v>635</v>
      </c>
      <c r="H3603" s="1" t="s">
        <v>25</v>
      </c>
      <c r="I3603" s="1" t="s">
        <v>1528</v>
      </c>
      <c r="J3603" s="1" t="s">
        <v>4105</v>
      </c>
      <c r="K3603" s="1" t="s">
        <v>25</v>
      </c>
      <c r="L3603">
        <v>-1.08</v>
      </c>
      <c r="M3603" t="str">
        <f t="shared" si="125"/>
        <v>44/40</v>
      </c>
      <c r="N3603" t="str">
        <f t="shared" si="126"/>
        <v>SW</v>
      </c>
      <c r="O3603" s="1" t="s">
        <v>25</v>
      </c>
      <c r="P3603" s="3" t="s">
        <v>25</v>
      </c>
      <c r="Q3603" s="37">
        <v>0.21</v>
      </c>
      <c r="R3603" t="str">
        <f t="shared" si="123"/>
        <v>mmol/mol</v>
      </c>
      <c r="S3603" s="13">
        <f t="shared" si="124"/>
        <v>-1.08</v>
      </c>
    </row>
    <row r="3604" spans="1:19">
      <c r="A3604" s="18" t="s">
        <v>3632</v>
      </c>
      <c r="B3604" s="1" t="s">
        <v>3757</v>
      </c>
      <c r="C3604" s="1" t="s">
        <v>4076</v>
      </c>
      <c r="D3604" s="1" t="s">
        <v>4077</v>
      </c>
      <c r="E3604" s="1" t="s">
        <v>25</v>
      </c>
      <c r="F3604">
        <v>635</v>
      </c>
      <c r="G3604">
        <v>635</v>
      </c>
      <c r="H3604" s="1" t="s">
        <v>25</v>
      </c>
      <c r="I3604" s="1" t="s">
        <v>1528</v>
      </c>
      <c r="J3604" s="1" t="s">
        <v>4105</v>
      </c>
      <c r="K3604" s="1" t="s">
        <v>25</v>
      </c>
      <c r="L3604">
        <v>-1.1399999999999999</v>
      </c>
      <c r="M3604" t="str">
        <f t="shared" si="125"/>
        <v>44/40</v>
      </c>
      <c r="N3604" t="str">
        <f t="shared" si="126"/>
        <v>SW</v>
      </c>
      <c r="O3604" s="1" t="s">
        <v>25</v>
      </c>
      <c r="P3604" s="3" t="s">
        <v>25</v>
      </c>
      <c r="Q3604" s="37">
        <v>0.23</v>
      </c>
      <c r="R3604" t="str">
        <f t="shared" si="123"/>
        <v>mmol/mol</v>
      </c>
      <c r="S3604" s="13">
        <f t="shared" si="124"/>
        <v>-1.1399999999999999</v>
      </c>
    </row>
    <row r="3605" spans="1:19">
      <c r="A3605" s="18" t="s">
        <v>3632</v>
      </c>
      <c r="B3605" s="1" t="s">
        <v>3758</v>
      </c>
      <c r="C3605" s="1" t="s">
        <v>4076</v>
      </c>
      <c r="D3605" s="1" t="s">
        <v>4077</v>
      </c>
      <c r="E3605" s="1" t="s">
        <v>25</v>
      </c>
      <c r="F3605">
        <v>635</v>
      </c>
      <c r="G3605">
        <v>635</v>
      </c>
      <c r="H3605" s="1" t="s">
        <v>25</v>
      </c>
      <c r="I3605" s="1" t="s">
        <v>1528</v>
      </c>
      <c r="J3605" s="1" t="s">
        <v>4105</v>
      </c>
      <c r="K3605" s="1" t="s">
        <v>25</v>
      </c>
      <c r="L3605">
        <v>-1.06</v>
      </c>
      <c r="M3605" t="str">
        <f t="shared" si="125"/>
        <v>44/40</v>
      </c>
      <c r="N3605" t="str">
        <f t="shared" si="126"/>
        <v>SW</v>
      </c>
      <c r="O3605" s="1" t="s">
        <v>25</v>
      </c>
      <c r="P3605" s="3" t="s">
        <v>25</v>
      </c>
      <c r="Q3605" s="37">
        <v>0.23</v>
      </c>
      <c r="R3605" t="str">
        <f t="shared" si="123"/>
        <v>mmol/mol</v>
      </c>
      <c r="S3605" s="13">
        <f t="shared" si="124"/>
        <v>-1.06</v>
      </c>
    </row>
    <row r="3606" spans="1:19">
      <c r="A3606" s="18" t="s">
        <v>3632</v>
      </c>
      <c r="B3606" s="1" t="s">
        <v>3759</v>
      </c>
      <c r="C3606" s="1" t="s">
        <v>4076</v>
      </c>
      <c r="D3606" s="1" t="s">
        <v>4077</v>
      </c>
      <c r="E3606" s="1" t="s">
        <v>25</v>
      </c>
      <c r="F3606">
        <v>635</v>
      </c>
      <c r="G3606">
        <v>635</v>
      </c>
      <c r="H3606" s="1" t="s">
        <v>25</v>
      </c>
      <c r="I3606" s="1" t="s">
        <v>1528</v>
      </c>
      <c r="J3606" s="1" t="s">
        <v>4105</v>
      </c>
      <c r="K3606" s="1" t="s">
        <v>25</v>
      </c>
      <c r="L3606">
        <v>-1.23</v>
      </c>
      <c r="M3606" t="str">
        <f t="shared" si="125"/>
        <v>44/40</v>
      </c>
      <c r="N3606" t="str">
        <f t="shared" si="126"/>
        <v>SW</v>
      </c>
      <c r="O3606" s="1" t="s">
        <v>25</v>
      </c>
      <c r="P3606" s="3" t="s">
        <v>25</v>
      </c>
      <c r="Q3606" s="37">
        <v>0.24</v>
      </c>
      <c r="R3606" t="str">
        <f t="shared" si="123"/>
        <v>mmol/mol</v>
      </c>
      <c r="S3606" s="13">
        <f t="shared" si="124"/>
        <v>-1.23</v>
      </c>
    </row>
    <row r="3607" spans="1:19">
      <c r="A3607" s="18" t="s">
        <v>3632</v>
      </c>
      <c r="B3607" s="1" t="s">
        <v>3760</v>
      </c>
      <c r="C3607" s="1" t="s">
        <v>4076</v>
      </c>
      <c r="D3607" s="1" t="s">
        <v>4077</v>
      </c>
      <c r="E3607" s="1" t="s">
        <v>25</v>
      </c>
      <c r="F3607">
        <v>635</v>
      </c>
      <c r="G3607">
        <v>635</v>
      </c>
      <c r="H3607" s="1" t="s">
        <v>25</v>
      </c>
      <c r="I3607" s="1" t="s">
        <v>1528</v>
      </c>
      <c r="J3607" s="1" t="s">
        <v>4105</v>
      </c>
      <c r="K3607" s="1" t="s">
        <v>25</v>
      </c>
      <c r="L3607">
        <v>-1.24</v>
      </c>
      <c r="M3607" t="str">
        <f t="shared" si="125"/>
        <v>44/40</v>
      </c>
      <c r="N3607" t="str">
        <f t="shared" si="126"/>
        <v>SW</v>
      </c>
      <c r="O3607" s="1" t="s">
        <v>25</v>
      </c>
      <c r="P3607" s="3" t="s">
        <v>25</v>
      </c>
      <c r="Q3607" s="37">
        <v>0.23</v>
      </c>
      <c r="R3607" t="str">
        <f t="shared" si="123"/>
        <v>mmol/mol</v>
      </c>
      <c r="S3607" s="13">
        <f t="shared" si="124"/>
        <v>-1.24</v>
      </c>
    </row>
    <row r="3608" spans="1:19">
      <c r="A3608" s="18" t="s">
        <v>3632</v>
      </c>
      <c r="B3608" s="1" t="s">
        <v>3761</v>
      </c>
      <c r="C3608" s="1" t="s">
        <v>4076</v>
      </c>
      <c r="D3608" s="1" t="s">
        <v>4077</v>
      </c>
      <c r="E3608" s="1" t="s">
        <v>25</v>
      </c>
      <c r="F3608">
        <v>635</v>
      </c>
      <c r="G3608">
        <v>635</v>
      </c>
      <c r="H3608" s="1" t="s">
        <v>25</v>
      </c>
      <c r="I3608" s="1" t="s">
        <v>1528</v>
      </c>
      <c r="J3608" s="1" t="s">
        <v>4105</v>
      </c>
      <c r="K3608" s="1" t="s">
        <v>25</v>
      </c>
      <c r="L3608">
        <v>-1.26</v>
      </c>
      <c r="M3608" t="str">
        <f t="shared" si="125"/>
        <v>44/40</v>
      </c>
      <c r="N3608" t="str">
        <f t="shared" si="126"/>
        <v>SW</v>
      </c>
      <c r="O3608" s="1" t="s">
        <v>25</v>
      </c>
      <c r="P3608" s="3" t="s">
        <v>25</v>
      </c>
      <c r="Q3608" s="37">
        <v>0.34</v>
      </c>
      <c r="R3608" t="str">
        <f t="shared" si="123"/>
        <v>mmol/mol</v>
      </c>
      <c r="S3608" s="13">
        <f t="shared" si="124"/>
        <v>-1.26</v>
      </c>
    </row>
    <row r="3609" spans="1:19">
      <c r="A3609" s="18" t="s">
        <v>3632</v>
      </c>
      <c r="B3609" s="1" t="s">
        <v>3762</v>
      </c>
      <c r="C3609" s="1" t="s">
        <v>4076</v>
      </c>
      <c r="D3609" s="1" t="s">
        <v>4077</v>
      </c>
      <c r="E3609" s="1" t="s">
        <v>25</v>
      </c>
      <c r="F3609">
        <v>635</v>
      </c>
      <c r="G3609">
        <v>635</v>
      </c>
      <c r="H3609" s="1" t="s">
        <v>25</v>
      </c>
      <c r="I3609" s="1" t="s">
        <v>1528</v>
      </c>
      <c r="J3609" s="1" t="s">
        <v>4105</v>
      </c>
      <c r="K3609" s="1" t="s">
        <v>25</v>
      </c>
      <c r="L3609">
        <v>-1.1200000000000001</v>
      </c>
      <c r="M3609" t="str">
        <f t="shared" si="125"/>
        <v>44/40</v>
      </c>
      <c r="N3609" t="str">
        <f t="shared" si="126"/>
        <v>SW</v>
      </c>
      <c r="O3609" s="1" t="s">
        <v>25</v>
      </c>
      <c r="P3609" s="3" t="s">
        <v>25</v>
      </c>
      <c r="Q3609" s="37">
        <v>0.27</v>
      </c>
      <c r="R3609" t="str">
        <f t="shared" ref="R3609:R3672" si="127">IF(Q3609="Na","Na","mmol/mol")</f>
        <v>mmol/mol</v>
      </c>
      <c r="S3609" s="13">
        <f t="shared" si="124"/>
        <v>-1.1200000000000001</v>
      </c>
    </row>
    <row r="3610" spans="1:19">
      <c r="A3610" s="18" t="s">
        <v>3632</v>
      </c>
      <c r="B3610" s="1" t="s">
        <v>3763</v>
      </c>
      <c r="C3610" s="1" t="s">
        <v>4076</v>
      </c>
      <c r="D3610" s="1" t="s">
        <v>4077</v>
      </c>
      <c r="E3610" s="1" t="s">
        <v>25</v>
      </c>
      <c r="F3610">
        <v>635</v>
      </c>
      <c r="G3610">
        <v>635</v>
      </c>
      <c r="H3610" s="1" t="s">
        <v>25</v>
      </c>
      <c r="I3610" s="1" t="s">
        <v>1528</v>
      </c>
      <c r="J3610" s="1" t="s">
        <v>4105</v>
      </c>
      <c r="K3610" s="1" t="s">
        <v>25</v>
      </c>
      <c r="L3610">
        <v>-0.94</v>
      </c>
      <c r="M3610" t="str">
        <f t="shared" si="125"/>
        <v>44/40</v>
      </c>
      <c r="N3610" t="str">
        <f t="shared" si="126"/>
        <v>SW</v>
      </c>
      <c r="O3610" s="1" t="s">
        <v>25</v>
      </c>
      <c r="P3610" s="3" t="s">
        <v>25</v>
      </c>
      <c r="Q3610" s="37">
        <v>0.21</v>
      </c>
      <c r="R3610" t="str">
        <f t="shared" si="127"/>
        <v>mmol/mol</v>
      </c>
      <c r="S3610" s="13">
        <f t="shared" si="124"/>
        <v>-0.94</v>
      </c>
    </row>
    <row r="3611" spans="1:19">
      <c r="A3611" s="18" t="s">
        <v>3632</v>
      </c>
      <c r="B3611" s="1" t="s">
        <v>3764</v>
      </c>
      <c r="C3611" s="1" t="s">
        <v>4076</v>
      </c>
      <c r="D3611" s="1" t="s">
        <v>4077</v>
      </c>
      <c r="E3611" s="1" t="s">
        <v>25</v>
      </c>
      <c r="F3611">
        <v>635</v>
      </c>
      <c r="G3611">
        <v>635</v>
      </c>
      <c r="H3611" s="1" t="s">
        <v>25</v>
      </c>
      <c r="I3611" s="1" t="s">
        <v>1528</v>
      </c>
      <c r="J3611" s="1" t="s">
        <v>4105</v>
      </c>
      <c r="K3611" s="1" t="s">
        <v>25</v>
      </c>
      <c r="L3611">
        <v>-1.1200000000000001</v>
      </c>
      <c r="M3611" t="str">
        <f t="shared" si="125"/>
        <v>44/40</v>
      </c>
      <c r="N3611" t="str">
        <f t="shared" si="126"/>
        <v>SW</v>
      </c>
      <c r="O3611" s="1" t="s">
        <v>25</v>
      </c>
      <c r="P3611" s="3" t="s">
        <v>25</v>
      </c>
      <c r="Q3611" s="37">
        <v>0.79</v>
      </c>
      <c r="R3611" t="str">
        <f t="shared" si="127"/>
        <v>mmol/mol</v>
      </c>
      <c r="S3611" s="13">
        <f t="shared" si="124"/>
        <v>-1.1200000000000001</v>
      </c>
    </row>
    <row r="3612" spans="1:19">
      <c r="A3612" s="18" t="s">
        <v>3632</v>
      </c>
      <c r="B3612" s="1" t="s">
        <v>3765</v>
      </c>
      <c r="C3612" s="1" t="s">
        <v>4076</v>
      </c>
      <c r="D3612" s="1" t="s">
        <v>4077</v>
      </c>
      <c r="E3612" s="1" t="s">
        <v>25</v>
      </c>
      <c r="F3612">
        <v>635</v>
      </c>
      <c r="G3612">
        <v>635</v>
      </c>
      <c r="H3612" s="1" t="s">
        <v>25</v>
      </c>
      <c r="I3612" s="1" t="s">
        <v>1528</v>
      </c>
      <c r="J3612" s="1" t="s">
        <v>4105</v>
      </c>
      <c r="K3612" s="1" t="s">
        <v>25</v>
      </c>
      <c r="L3612">
        <v>-1.1000000000000001</v>
      </c>
      <c r="M3612" t="str">
        <f t="shared" si="125"/>
        <v>44/40</v>
      </c>
      <c r="N3612" t="str">
        <f t="shared" si="126"/>
        <v>SW</v>
      </c>
      <c r="O3612" s="1" t="s">
        <v>25</v>
      </c>
      <c r="P3612" s="3" t="s">
        <v>25</v>
      </c>
      <c r="Q3612" s="37">
        <v>0.25</v>
      </c>
      <c r="R3612" t="str">
        <f t="shared" si="127"/>
        <v>mmol/mol</v>
      </c>
      <c r="S3612" s="13">
        <f t="shared" si="124"/>
        <v>-1.1000000000000001</v>
      </c>
    </row>
    <row r="3613" spans="1:19">
      <c r="A3613" s="18" t="s">
        <v>3632</v>
      </c>
      <c r="B3613" s="1" t="s">
        <v>3766</v>
      </c>
      <c r="C3613" s="1" t="s">
        <v>4076</v>
      </c>
      <c r="D3613" s="1" t="s">
        <v>4077</v>
      </c>
      <c r="E3613" s="1" t="s">
        <v>25</v>
      </c>
      <c r="F3613">
        <v>635</v>
      </c>
      <c r="G3613">
        <v>635</v>
      </c>
      <c r="H3613" s="1" t="s">
        <v>25</v>
      </c>
      <c r="I3613" s="1" t="s">
        <v>1528</v>
      </c>
      <c r="J3613" s="1" t="s">
        <v>4105</v>
      </c>
      <c r="K3613" s="1" t="s">
        <v>25</v>
      </c>
      <c r="L3613">
        <v>-1.27</v>
      </c>
      <c r="M3613" t="str">
        <f t="shared" si="125"/>
        <v>44/40</v>
      </c>
      <c r="N3613" t="str">
        <f t="shared" si="126"/>
        <v>SW</v>
      </c>
      <c r="O3613" s="1" t="s">
        <v>25</v>
      </c>
      <c r="P3613" s="3" t="s">
        <v>25</v>
      </c>
      <c r="Q3613" s="37">
        <v>0.28999999999999998</v>
      </c>
      <c r="R3613" t="str">
        <f t="shared" si="127"/>
        <v>mmol/mol</v>
      </c>
      <c r="S3613" s="13">
        <f t="shared" si="124"/>
        <v>-1.27</v>
      </c>
    </row>
    <row r="3614" spans="1:19">
      <c r="A3614" s="18" t="s">
        <v>3632</v>
      </c>
      <c r="B3614" s="1" t="s">
        <v>3767</v>
      </c>
      <c r="C3614" s="1" t="s">
        <v>4076</v>
      </c>
      <c r="D3614" s="1" t="s">
        <v>4077</v>
      </c>
      <c r="E3614" s="1" t="s">
        <v>25</v>
      </c>
      <c r="F3614">
        <v>635</v>
      </c>
      <c r="G3614">
        <v>635</v>
      </c>
      <c r="H3614" s="1" t="s">
        <v>25</v>
      </c>
      <c r="I3614" s="1" t="s">
        <v>1528</v>
      </c>
      <c r="J3614" s="1" t="s">
        <v>4105</v>
      </c>
      <c r="K3614" s="1" t="s">
        <v>25</v>
      </c>
      <c r="L3614">
        <v>-1.19</v>
      </c>
      <c r="M3614" t="str">
        <f t="shared" si="125"/>
        <v>44/40</v>
      </c>
      <c r="N3614" t="str">
        <f t="shared" si="126"/>
        <v>SW</v>
      </c>
      <c r="O3614" s="1" t="s">
        <v>25</v>
      </c>
      <c r="P3614" s="3" t="s">
        <v>25</v>
      </c>
      <c r="Q3614" s="37">
        <v>0.26</v>
      </c>
      <c r="R3614" t="str">
        <f t="shared" si="127"/>
        <v>mmol/mol</v>
      </c>
      <c r="S3614" s="13">
        <f t="shared" si="124"/>
        <v>-1.19</v>
      </c>
    </row>
    <row r="3615" spans="1:19">
      <c r="A3615" s="18" t="s">
        <v>3632</v>
      </c>
      <c r="B3615" s="1" t="s">
        <v>3768</v>
      </c>
      <c r="C3615" s="1" t="s">
        <v>4076</v>
      </c>
      <c r="D3615" s="1" t="s">
        <v>4077</v>
      </c>
      <c r="E3615" s="1" t="s">
        <v>25</v>
      </c>
      <c r="F3615">
        <v>635</v>
      </c>
      <c r="G3615">
        <v>635</v>
      </c>
      <c r="H3615" s="1" t="s">
        <v>25</v>
      </c>
      <c r="I3615" s="1" t="s">
        <v>1528</v>
      </c>
      <c r="J3615" s="1" t="s">
        <v>4105</v>
      </c>
      <c r="K3615" s="1" t="s">
        <v>25</v>
      </c>
      <c r="L3615">
        <v>-1.1000000000000001</v>
      </c>
      <c r="M3615" t="str">
        <f t="shared" si="125"/>
        <v>44/40</v>
      </c>
      <c r="N3615" t="str">
        <f t="shared" si="126"/>
        <v>SW</v>
      </c>
      <c r="O3615" s="1" t="s">
        <v>25</v>
      </c>
      <c r="P3615" s="3" t="s">
        <v>25</v>
      </c>
      <c r="Q3615" s="37">
        <v>0.22</v>
      </c>
      <c r="R3615" t="str">
        <f t="shared" si="127"/>
        <v>mmol/mol</v>
      </c>
      <c r="S3615" s="13">
        <f t="shared" si="124"/>
        <v>-1.1000000000000001</v>
      </c>
    </row>
    <row r="3616" spans="1:19">
      <c r="A3616" s="18" t="s">
        <v>3632</v>
      </c>
      <c r="B3616" s="1" t="s">
        <v>3769</v>
      </c>
      <c r="C3616" s="1" t="s">
        <v>4076</v>
      </c>
      <c r="D3616" s="1" t="s">
        <v>4077</v>
      </c>
      <c r="E3616" s="1" t="s">
        <v>25</v>
      </c>
      <c r="F3616">
        <v>635</v>
      </c>
      <c r="G3616">
        <v>635</v>
      </c>
      <c r="H3616" s="1" t="s">
        <v>25</v>
      </c>
      <c r="I3616" s="1" t="s">
        <v>1528</v>
      </c>
      <c r="J3616" s="1" t="s">
        <v>4105</v>
      </c>
      <c r="K3616" s="1" t="s">
        <v>25</v>
      </c>
      <c r="L3616">
        <v>-1.04</v>
      </c>
      <c r="M3616" t="str">
        <f t="shared" si="125"/>
        <v>44/40</v>
      </c>
      <c r="N3616" t="str">
        <f t="shared" si="126"/>
        <v>SW</v>
      </c>
      <c r="O3616" s="1" t="s">
        <v>25</v>
      </c>
      <c r="P3616" s="3" t="s">
        <v>25</v>
      </c>
      <c r="Q3616" s="37">
        <v>0.23</v>
      </c>
      <c r="R3616" t="str">
        <f t="shared" si="127"/>
        <v>mmol/mol</v>
      </c>
      <c r="S3616" s="13">
        <f t="shared" si="124"/>
        <v>-1.04</v>
      </c>
    </row>
    <row r="3617" spans="1:19">
      <c r="A3617" s="18" t="s">
        <v>3632</v>
      </c>
      <c r="B3617" s="1" t="s">
        <v>3770</v>
      </c>
      <c r="C3617" s="1" t="s">
        <v>4076</v>
      </c>
      <c r="D3617" s="1" t="s">
        <v>4077</v>
      </c>
      <c r="E3617" s="1" t="s">
        <v>25</v>
      </c>
      <c r="F3617">
        <v>635</v>
      </c>
      <c r="G3617">
        <v>635</v>
      </c>
      <c r="H3617" s="1" t="s">
        <v>25</v>
      </c>
      <c r="I3617" s="1" t="s">
        <v>1528</v>
      </c>
      <c r="J3617" s="1" t="s">
        <v>4105</v>
      </c>
      <c r="K3617" s="1" t="s">
        <v>25</v>
      </c>
      <c r="L3617">
        <v>-1.17</v>
      </c>
      <c r="M3617" t="str">
        <f t="shared" si="125"/>
        <v>44/40</v>
      </c>
      <c r="N3617" t="str">
        <f t="shared" si="126"/>
        <v>SW</v>
      </c>
      <c r="O3617" s="1" t="s">
        <v>25</v>
      </c>
      <c r="P3617" s="3" t="s">
        <v>25</v>
      </c>
      <c r="Q3617" s="37">
        <v>0.24</v>
      </c>
      <c r="R3617" t="str">
        <f t="shared" si="127"/>
        <v>mmol/mol</v>
      </c>
      <c r="S3617" s="13">
        <f t="shared" si="124"/>
        <v>-1.17</v>
      </c>
    </row>
    <row r="3618" spans="1:19">
      <c r="A3618" s="18" t="s">
        <v>3632</v>
      </c>
      <c r="B3618" s="1" t="s">
        <v>3771</v>
      </c>
      <c r="C3618" s="1" t="s">
        <v>4076</v>
      </c>
      <c r="D3618" s="1" t="s">
        <v>4077</v>
      </c>
      <c r="E3618" s="1" t="s">
        <v>25</v>
      </c>
      <c r="F3618">
        <v>635</v>
      </c>
      <c r="G3618">
        <v>635</v>
      </c>
      <c r="H3618" s="1" t="s">
        <v>25</v>
      </c>
      <c r="I3618" s="1" t="s">
        <v>1528</v>
      </c>
      <c r="J3618" s="1" t="s">
        <v>4105</v>
      </c>
      <c r="K3618" s="1" t="s">
        <v>25</v>
      </c>
      <c r="L3618">
        <v>-1.04</v>
      </c>
      <c r="M3618" t="str">
        <f t="shared" si="125"/>
        <v>44/40</v>
      </c>
      <c r="N3618" t="str">
        <f t="shared" si="126"/>
        <v>SW</v>
      </c>
      <c r="O3618" s="1" t="s">
        <v>25</v>
      </c>
      <c r="P3618" s="3" t="s">
        <v>25</v>
      </c>
      <c r="Q3618" s="37">
        <v>0.19</v>
      </c>
      <c r="R3618" t="str">
        <f t="shared" si="127"/>
        <v>mmol/mol</v>
      </c>
      <c r="S3618" s="13">
        <f t="shared" si="124"/>
        <v>-1.04</v>
      </c>
    </row>
    <row r="3619" spans="1:19">
      <c r="A3619" s="18" t="s">
        <v>3632</v>
      </c>
      <c r="B3619" s="1" t="s">
        <v>3772</v>
      </c>
      <c r="C3619" s="1" t="s">
        <v>4076</v>
      </c>
      <c r="D3619" s="1" t="s">
        <v>4077</v>
      </c>
      <c r="E3619" s="1" t="s">
        <v>25</v>
      </c>
      <c r="F3619">
        <v>635</v>
      </c>
      <c r="G3619">
        <v>635</v>
      </c>
      <c r="H3619" s="1" t="s">
        <v>25</v>
      </c>
      <c r="I3619" s="1" t="s">
        <v>1528</v>
      </c>
      <c r="J3619" s="1" t="s">
        <v>4105</v>
      </c>
      <c r="K3619" s="1" t="s">
        <v>25</v>
      </c>
      <c r="L3619">
        <v>-0.94</v>
      </c>
      <c r="M3619" t="str">
        <f t="shared" si="125"/>
        <v>44/40</v>
      </c>
      <c r="N3619" t="str">
        <f t="shared" si="126"/>
        <v>SW</v>
      </c>
      <c r="O3619" s="1" t="s">
        <v>25</v>
      </c>
      <c r="P3619" s="3" t="s">
        <v>25</v>
      </c>
      <c r="Q3619" s="37">
        <v>0.19</v>
      </c>
      <c r="R3619" t="str">
        <f t="shared" si="127"/>
        <v>mmol/mol</v>
      </c>
      <c r="S3619" s="13">
        <f t="shared" si="124"/>
        <v>-0.94</v>
      </c>
    </row>
    <row r="3620" spans="1:19">
      <c r="A3620" s="18" t="s">
        <v>3632</v>
      </c>
      <c r="B3620" s="1" t="s">
        <v>3773</v>
      </c>
      <c r="C3620" s="1" t="s">
        <v>4076</v>
      </c>
      <c r="D3620" s="1" t="s">
        <v>4077</v>
      </c>
      <c r="E3620" s="1" t="s">
        <v>25</v>
      </c>
      <c r="F3620">
        <v>635</v>
      </c>
      <c r="G3620">
        <v>635</v>
      </c>
      <c r="H3620" s="1" t="s">
        <v>25</v>
      </c>
      <c r="I3620" s="1" t="s">
        <v>1528</v>
      </c>
      <c r="J3620" s="1" t="s">
        <v>4105</v>
      </c>
      <c r="K3620" s="1" t="s">
        <v>25</v>
      </c>
      <c r="L3620">
        <v>-0.99</v>
      </c>
      <c r="M3620" t="str">
        <f t="shared" si="125"/>
        <v>44/40</v>
      </c>
      <c r="N3620" t="str">
        <f t="shared" si="126"/>
        <v>SW</v>
      </c>
      <c r="O3620" s="1" t="s">
        <v>25</v>
      </c>
      <c r="P3620" s="3" t="s">
        <v>25</v>
      </c>
      <c r="Q3620" s="37">
        <v>0.23</v>
      </c>
      <c r="R3620" t="str">
        <f t="shared" si="127"/>
        <v>mmol/mol</v>
      </c>
      <c r="S3620" s="13">
        <f t="shared" si="124"/>
        <v>-0.99</v>
      </c>
    </row>
    <row r="3621" spans="1:19">
      <c r="A3621" s="18" t="s">
        <v>3632</v>
      </c>
      <c r="B3621" s="1" t="s">
        <v>3774</v>
      </c>
      <c r="C3621" s="1" t="s">
        <v>4076</v>
      </c>
      <c r="D3621" s="1" t="s">
        <v>4077</v>
      </c>
      <c r="E3621" s="1" t="s">
        <v>25</v>
      </c>
      <c r="F3621">
        <v>635</v>
      </c>
      <c r="G3621">
        <v>635</v>
      </c>
      <c r="H3621" s="1" t="s">
        <v>25</v>
      </c>
      <c r="I3621" s="1" t="s">
        <v>1528</v>
      </c>
      <c r="J3621" s="1" t="s">
        <v>4105</v>
      </c>
      <c r="K3621" s="1" t="s">
        <v>25</v>
      </c>
      <c r="L3621">
        <v>-0.91</v>
      </c>
      <c r="M3621" t="str">
        <f t="shared" si="125"/>
        <v>44/40</v>
      </c>
      <c r="N3621" t="str">
        <f t="shared" si="126"/>
        <v>SW</v>
      </c>
      <c r="O3621" s="1" t="s">
        <v>25</v>
      </c>
      <c r="P3621" s="3" t="s">
        <v>25</v>
      </c>
      <c r="Q3621" s="37">
        <v>0.26</v>
      </c>
      <c r="R3621" t="str">
        <f t="shared" si="127"/>
        <v>mmol/mol</v>
      </c>
      <c r="S3621" s="13">
        <f t="shared" si="124"/>
        <v>-0.91</v>
      </c>
    </row>
    <row r="3622" spans="1:19">
      <c r="A3622" s="18" t="s">
        <v>3632</v>
      </c>
      <c r="B3622" s="1" t="s">
        <v>3775</v>
      </c>
      <c r="C3622" s="1" t="s">
        <v>4076</v>
      </c>
      <c r="D3622" s="1" t="s">
        <v>4077</v>
      </c>
      <c r="E3622" s="1" t="s">
        <v>25</v>
      </c>
      <c r="F3622">
        <v>635</v>
      </c>
      <c r="G3622">
        <v>635</v>
      </c>
      <c r="H3622" s="1" t="s">
        <v>25</v>
      </c>
      <c r="I3622" s="1" t="s">
        <v>1528</v>
      </c>
      <c r="J3622" s="1" t="s">
        <v>4105</v>
      </c>
      <c r="K3622" s="1" t="s">
        <v>25</v>
      </c>
      <c r="L3622">
        <v>-0.87</v>
      </c>
      <c r="M3622" t="str">
        <f t="shared" si="125"/>
        <v>44/40</v>
      </c>
      <c r="N3622" t="str">
        <f t="shared" si="126"/>
        <v>SW</v>
      </c>
      <c r="O3622" s="1" t="s">
        <v>25</v>
      </c>
      <c r="P3622" s="3" t="s">
        <v>25</v>
      </c>
      <c r="Q3622" s="37">
        <v>0.24</v>
      </c>
      <c r="R3622" t="str">
        <f t="shared" si="127"/>
        <v>mmol/mol</v>
      </c>
      <c r="S3622" s="13">
        <f t="shared" si="124"/>
        <v>-0.87</v>
      </c>
    </row>
    <row r="3623" spans="1:19">
      <c r="A3623" s="18" t="s">
        <v>3632</v>
      </c>
      <c r="B3623" s="1" t="s">
        <v>3776</v>
      </c>
      <c r="C3623" s="1" t="s">
        <v>4076</v>
      </c>
      <c r="D3623" s="1" t="s">
        <v>4077</v>
      </c>
      <c r="E3623" s="1" t="s">
        <v>25</v>
      </c>
      <c r="F3623">
        <v>635</v>
      </c>
      <c r="G3623">
        <v>635</v>
      </c>
      <c r="H3623" s="1" t="s">
        <v>25</v>
      </c>
      <c r="I3623" s="1" t="s">
        <v>1528</v>
      </c>
      <c r="J3623" s="1" t="s">
        <v>4105</v>
      </c>
      <c r="K3623" s="1" t="s">
        <v>25</v>
      </c>
      <c r="L3623">
        <v>-0.95</v>
      </c>
      <c r="M3623" t="str">
        <f t="shared" si="125"/>
        <v>44/40</v>
      </c>
      <c r="N3623" t="str">
        <f t="shared" si="126"/>
        <v>SW</v>
      </c>
      <c r="O3623" s="1" t="s">
        <v>25</v>
      </c>
      <c r="P3623" s="3" t="s">
        <v>25</v>
      </c>
      <c r="Q3623" s="37">
        <v>0.23</v>
      </c>
      <c r="R3623" t="str">
        <f t="shared" si="127"/>
        <v>mmol/mol</v>
      </c>
      <c r="S3623" s="13">
        <f t="shared" si="124"/>
        <v>-0.95</v>
      </c>
    </row>
    <row r="3624" spans="1:19">
      <c r="A3624" s="18" t="s">
        <v>3632</v>
      </c>
      <c r="B3624" s="1" t="s">
        <v>3777</v>
      </c>
      <c r="C3624" s="1" t="s">
        <v>4076</v>
      </c>
      <c r="D3624" s="1" t="s">
        <v>4077</v>
      </c>
      <c r="E3624" s="1" t="s">
        <v>25</v>
      </c>
      <c r="F3624">
        <v>635</v>
      </c>
      <c r="G3624">
        <v>635</v>
      </c>
      <c r="H3624" s="1" t="s">
        <v>25</v>
      </c>
      <c r="I3624" s="1" t="s">
        <v>1528</v>
      </c>
      <c r="J3624" s="1" t="s">
        <v>4105</v>
      </c>
      <c r="K3624" s="1" t="s">
        <v>25</v>
      </c>
      <c r="L3624">
        <v>-1.01</v>
      </c>
      <c r="M3624" t="str">
        <f t="shared" si="125"/>
        <v>44/40</v>
      </c>
      <c r="N3624" t="str">
        <f t="shared" si="126"/>
        <v>SW</v>
      </c>
      <c r="O3624" s="1" t="s">
        <v>25</v>
      </c>
      <c r="P3624" s="3" t="s">
        <v>25</v>
      </c>
      <c r="Q3624" s="37">
        <v>0.26</v>
      </c>
      <c r="R3624" t="str">
        <f t="shared" si="127"/>
        <v>mmol/mol</v>
      </c>
      <c r="S3624" s="13">
        <f t="shared" si="124"/>
        <v>-1.01</v>
      </c>
    </row>
    <row r="3625" spans="1:19">
      <c r="A3625" s="18" t="s">
        <v>3632</v>
      </c>
      <c r="B3625" s="1" t="s">
        <v>3778</v>
      </c>
      <c r="C3625" s="1" t="s">
        <v>4076</v>
      </c>
      <c r="D3625" s="1" t="s">
        <v>4077</v>
      </c>
      <c r="E3625" s="1" t="s">
        <v>25</v>
      </c>
      <c r="F3625">
        <v>635</v>
      </c>
      <c r="G3625">
        <v>635</v>
      </c>
      <c r="H3625" s="1" t="s">
        <v>25</v>
      </c>
      <c r="I3625" s="1" t="s">
        <v>1528</v>
      </c>
      <c r="J3625" s="1" t="s">
        <v>4105</v>
      </c>
      <c r="K3625" s="1" t="s">
        <v>25</v>
      </c>
      <c r="L3625">
        <v>-1</v>
      </c>
      <c r="M3625" t="str">
        <f t="shared" si="125"/>
        <v>44/40</v>
      </c>
      <c r="N3625" t="str">
        <f t="shared" si="126"/>
        <v>SW</v>
      </c>
      <c r="O3625" s="1" t="s">
        <v>25</v>
      </c>
      <c r="P3625" s="3" t="s">
        <v>25</v>
      </c>
      <c r="Q3625" s="37">
        <v>0.18</v>
      </c>
      <c r="R3625" t="str">
        <f t="shared" si="127"/>
        <v>mmol/mol</v>
      </c>
      <c r="S3625" s="13">
        <f t="shared" si="124"/>
        <v>-1</v>
      </c>
    </row>
    <row r="3626" spans="1:19">
      <c r="A3626" s="18" t="s">
        <v>3632</v>
      </c>
      <c r="B3626" s="1" t="s">
        <v>3779</v>
      </c>
      <c r="C3626" s="1" t="s">
        <v>4076</v>
      </c>
      <c r="D3626" s="1" t="s">
        <v>4077</v>
      </c>
      <c r="E3626" s="1" t="s">
        <v>25</v>
      </c>
      <c r="F3626">
        <v>635</v>
      </c>
      <c r="G3626">
        <v>635</v>
      </c>
      <c r="H3626" s="1" t="s">
        <v>25</v>
      </c>
      <c r="I3626" s="1" t="s">
        <v>1528</v>
      </c>
      <c r="J3626" s="1" t="s">
        <v>4105</v>
      </c>
      <c r="K3626" s="1" t="s">
        <v>25</v>
      </c>
      <c r="L3626">
        <v>-1.07</v>
      </c>
      <c r="M3626" t="str">
        <f t="shared" si="125"/>
        <v>44/40</v>
      </c>
      <c r="N3626" t="str">
        <f t="shared" si="126"/>
        <v>SW</v>
      </c>
      <c r="O3626" s="1" t="s">
        <v>25</v>
      </c>
      <c r="P3626" s="3" t="s">
        <v>25</v>
      </c>
      <c r="Q3626" s="37">
        <v>0.24</v>
      </c>
      <c r="R3626" t="str">
        <f t="shared" si="127"/>
        <v>mmol/mol</v>
      </c>
      <c r="S3626" s="13">
        <f t="shared" si="124"/>
        <v>-1.07</v>
      </c>
    </row>
    <row r="3627" spans="1:19">
      <c r="A3627" s="18" t="s">
        <v>3632</v>
      </c>
      <c r="B3627" s="1" t="s">
        <v>3780</v>
      </c>
      <c r="C3627" s="1" t="s">
        <v>4076</v>
      </c>
      <c r="D3627" s="1" t="s">
        <v>4077</v>
      </c>
      <c r="E3627" s="1" t="s">
        <v>25</v>
      </c>
      <c r="F3627">
        <v>635</v>
      </c>
      <c r="G3627">
        <v>635</v>
      </c>
      <c r="H3627" s="1" t="s">
        <v>25</v>
      </c>
      <c r="I3627" s="1" t="s">
        <v>1528</v>
      </c>
      <c r="J3627" s="1" t="s">
        <v>4105</v>
      </c>
      <c r="K3627" s="1" t="s">
        <v>25</v>
      </c>
      <c r="L3627">
        <v>-0.95</v>
      </c>
      <c r="M3627" t="str">
        <f t="shared" si="125"/>
        <v>44/40</v>
      </c>
      <c r="N3627" t="str">
        <f t="shared" si="126"/>
        <v>SW</v>
      </c>
      <c r="O3627" s="1" t="s">
        <v>25</v>
      </c>
      <c r="P3627" s="3" t="s">
        <v>25</v>
      </c>
      <c r="Q3627" s="37">
        <v>0.25</v>
      </c>
      <c r="R3627" t="str">
        <f t="shared" si="127"/>
        <v>mmol/mol</v>
      </c>
      <c r="S3627" s="13">
        <f t="shared" si="124"/>
        <v>-0.95</v>
      </c>
    </row>
    <row r="3628" spans="1:19">
      <c r="A3628" s="18" t="s">
        <v>3632</v>
      </c>
      <c r="B3628" s="1" t="s">
        <v>3781</v>
      </c>
      <c r="C3628" s="1" t="s">
        <v>4076</v>
      </c>
      <c r="D3628" s="1" t="s">
        <v>4077</v>
      </c>
      <c r="E3628" s="1" t="s">
        <v>25</v>
      </c>
      <c r="F3628">
        <v>635</v>
      </c>
      <c r="G3628">
        <v>635</v>
      </c>
      <c r="H3628" s="1" t="s">
        <v>25</v>
      </c>
      <c r="I3628" s="1" t="s">
        <v>1528</v>
      </c>
      <c r="J3628" s="1" t="s">
        <v>4105</v>
      </c>
      <c r="K3628" s="1" t="s">
        <v>25</v>
      </c>
      <c r="L3628">
        <v>-0.97</v>
      </c>
      <c r="M3628" t="str">
        <f t="shared" si="125"/>
        <v>44/40</v>
      </c>
      <c r="N3628" t="str">
        <f t="shared" si="126"/>
        <v>SW</v>
      </c>
      <c r="O3628" s="1" t="s">
        <v>25</v>
      </c>
      <c r="P3628" s="3" t="s">
        <v>25</v>
      </c>
      <c r="Q3628" s="37">
        <v>0.27</v>
      </c>
      <c r="R3628" t="str">
        <f t="shared" si="127"/>
        <v>mmol/mol</v>
      </c>
      <c r="S3628" s="13">
        <f t="shared" ref="S3628:S3691" si="128">IF(NOT(N3628="SW"),L3628-1.88,L3628)</f>
        <v>-0.97</v>
      </c>
    </row>
    <row r="3629" spans="1:19">
      <c r="A3629" s="18" t="s">
        <v>3632</v>
      </c>
      <c r="B3629" s="1" t="s">
        <v>3782</v>
      </c>
      <c r="C3629" s="1" t="s">
        <v>4076</v>
      </c>
      <c r="D3629" s="1" t="s">
        <v>4077</v>
      </c>
      <c r="E3629" s="1" t="s">
        <v>25</v>
      </c>
      <c r="F3629">
        <v>635</v>
      </c>
      <c r="G3629">
        <v>635</v>
      </c>
      <c r="H3629" s="1" t="s">
        <v>25</v>
      </c>
      <c r="I3629" s="1" t="s">
        <v>1528</v>
      </c>
      <c r="J3629" s="1" t="s">
        <v>4105</v>
      </c>
      <c r="K3629" s="1" t="s">
        <v>25</v>
      </c>
      <c r="L3629">
        <v>-1.21</v>
      </c>
      <c r="M3629" t="str">
        <f t="shared" si="125"/>
        <v>44/40</v>
      </c>
      <c r="N3629" t="str">
        <f t="shared" si="126"/>
        <v>SW</v>
      </c>
      <c r="O3629" s="1" t="s">
        <v>25</v>
      </c>
      <c r="P3629" s="3" t="s">
        <v>25</v>
      </c>
      <c r="Q3629" s="37">
        <v>0.18</v>
      </c>
      <c r="R3629" t="str">
        <f t="shared" si="127"/>
        <v>mmol/mol</v>
      </c>
      <c r="S3629" s="13">
        <f t="shared" si="128"/>
        <v>-1.21</v>
      </c>
    </row>
    <row r="3630" spans="1:19">
      <c r="A3630" s="18" t="s">
        <v>3632</v>
      </c>
      <c r="B3630" s="1" t="s">
        <v>3783</v>
      </c>
      <c r="C3630" s="1" t="s">
        <v>4076</v>
      </c>
      <c r="D3630" s="1" t="s">
        <v>4077</v>
      </c>
      <c r="E3630" s="1" t="s">
        <v>25</v>
      </c>
      <c r="F3630">
        <v>635</v>
      </c>
      <c r="G3630">
        <v>635</v>
      </c>
      <c r="H3630" s="1" t="s">
        <v>25</v>
      </c>
      <c r="I3630" s="1" t="s">
        <v>1528</v>
      </c>
      <c r="J3630" s="1" t="s">
        <v>4105</v>
      </c>
      <c r="K3630" s="1" t="s">
        <v>25</v>
      </c>
      <c r="L3630">
        <v>-1.29</v>
      </c>
      <c r="M3630" t="str">
        <f t="shared" si="125"/>
        <v>44/40</v>
      </c>
      <c r="N3630" t="str">
        <f t="shared" si="126"/>
        <v>SW</v>
      </c>
      <c r="O3630" s="1" t="s">
        <v>25</v>
      </c>
      <c r="P3630" s="3" t="s">
        <v>25</v>
      </c>
      <c r="Q3630" s="37">
        <v>0.17</v>
      </c>
      <c r="R3630" t="str">
        <f t="shared" si="127"/>
        <v>mmol/mol</v>
      </c>
      <c r="S3630" s="13">
        <f t="shared" si="128"/>
        <v>-1.29</v>
      </c>
    </row>
    <row r="3631" spans="1:19">
      <c r="A3631" s="18" t="s">
        <v>3632</v>
      </c>
      <c r="B3631" s="1" t="s">
        <v>3784</v>
      </c>
      <c r="C3631" s="1" t="s">
        <v>4076</v>
      </c>
      <c r="D3631" s="1" t="s">
        <v>4077</v>
      </c>
      <c r="E3631" s="1" t="s">
        <v>25</v>
      </c>
      <c r="F3631">
        <v>635</v>
      </c>
      <c r="G3631">
        <v>635</v>
      </c>
      <c r="H3631" s="1" t="s">
        <v>25</v>
      </c>
      <c r="I3631" s="1" t="s">
        <v>1528</v>
      </c>
      <c r="J3631" s="1" t="s">
        <v>4105</v>
      </c>
      <c r="K3631" s="1" t="s">
        <v>25</v>
      </c>
      <c r="L3631">
        <v>-1.27</v>
      </c>
      <c r="M3631" t="str">
        <f t="shared" si="125"/>
        <v>44/40</v>
      </c>
      <c r="N3631" t="str">
        <f t="shared" si="126"/>
        <v>SW</v>
      </c>
      <c r="O3631" s="1" t="s">
        <v>25</v>
      </c>
      <c r="P3631" s="3" t="s">
        <v>25</v>
      </c>
      <c r="Q3631" s="37">
        <v>0.25</v>
      </c>
      <c r="R3631" t="str">
        <f t="shared" si="127"/>
        <v>mmol/mol</v>
      </c>
      <c r="S3631" s="13">
        <f t="shared" si="128"/>
        <v>-1.27</v>
      </c>
    </row>
    <row r="3632" spans="1:19">
      <c r="A3632" s="18" t="s">
        <v>3632</v>
      </c>
      <c r="B3632" s="1" t="s">
        <v>3785</v>
      </c>
      <c r="C3632" s="1" t="s">
        <v>4076</v>
      </c>
      <c r="D3632" s="1" t="s">
        <v>4077</v>
      </c>
      <c r="E3632" s="1" t="s">
        <v>25</v>
      </c>
      <c r="F3632">
        <v>635</v>
      </c>
      <c r="G3632">
        <v>635</v>
      </c>
      <c r="H3632" s="1" t="s">
        <v>25</v>
      </c>
      <c r="I3632" s="1" t="s">
        <v>1528</v>
      </c>
      <c r="J3632" s="1" t="s">
        <v>4105</v>
      </c>
      <c r="K3632" s="1" t="s">
        <v>25</v>
      </c>
      <c r="L3632">
        <v>-1.08</v>
      </c>
      <c r="M3632" t="str">
        <f t="shared" ref="M3632:M3695" si="129">IF(L3632="Na","Na","44/40")</f>
        <v>44/40</v>
      </c>
      <c r="N3632" t="str">
        <f t="shared" ref="N3632:N3695" si="130">IF(M3632="Na","Na","SW")</f>
        <v>SW</v>
      </c>
      <c r="O3632" s="1" t="s">
        <v>25</v>
      </c>
      <c r="P3632" s="3" t="s">
        <v>25</v>
      </c>
      <c r="Q3632" s="37">
        <v>0.28999999999999998</v>
      </c>
      <c r="R3632" t="str">
        <f t="shared" si="127"/>
        <v>mmol/mol</v>
      </c>
      <c r="S3632" s="13">
        <f t="shared" si="128"/>
        <v>-1.08</v>
      </c>
    </row>
    <row r="3633" spans="1:19">
      <c r="A3633" s="18" t="s">
        <v>3632</v>
      </c>
      <c r="B3633" s="1" t="s">
        <v>3786</v>
      </c>
      <c r="C3633" s="1" t="s">
        <v>4076</v>
      </c>
      <c r="D3633" s="1" t="s">
        <v>4077</v>
      </c>
      <c r="E3633" s="1" t="s">
        <v>25</v>
      </c>
      <c r="F3633">
        <v>635</v>
      </c>
      <c r="G3633">
        <v>635</v>
      </c>
      <c r="H3633" s="1" t="s">
        <v>25</v>
      </c>
      <c r="I3633" s="1" t="s">
        <v>1528</v>
      </c>
      <c r="J3633" s="1" t="s">
        <v>4105</v>
      </c>
      <c r="K3633" s="1" t="s">
        <v>25</v>
      </c>
      <c r="L3633">
        <v>-1.24</v>
      </c>
      <c r="M3633" t="str">
        <f t="shared" si="129"/>
        <v>44/40</v>
      </c>
      <c r="N3633" t="str">
        <f t="shared" si="130"/>
        <v>SW</v>
      </c>
      <c r="O3633" s="1" t="s">
        <v>25</v>
      </c>
      <c r="P3633" s="3" t="s">
        <v>25</v>
      </c>
      <c r="Q3633" s="37">
        <v>0.3</v>
      </c>
      <c r="R3633" t="str">
        <f t="shared" si="127"/>
        <v>mmol/mol</v>
      </c>
      <c r="S3633" s="13">
        <f t="shared" si="128"/>
        <v>-1.24</v>
      </c>
    </row>
    <row r="3634" spans="1:19">
      <c r="A3634" s="18" t="s">
        <v>3632</v>
      </c>
      <c r="B3634" s="1" t="s">
        <v>3787</v>
      </c>
      <c r="C3634" s="1" t="s">
        <v>4076</v>
      </c>
      <c r="D3634" s="1" t="s">
        <v>4077</v>
      </c>
      <c r="E3634" s="1" t="s">
        <v>25</v>
      </c>
      <c r="F3634">
        <v>635</v>
      </c>
      <c r="G3634">
        <v>635</v>
      </c>
      <c r="H3634" s="1" t="s">
        <v>25</v>
      </c>
      <c r="I3634" s="1" t="s">
        <v>1528</v>
      </c>
      <c r="J3634" s="1" t="s">
        <v>4105</v>
      </c>
      <c r="K3634" s="1" t="s">
        <v>25</v>
      </c>
      <c r="L3634">
        <v>-1.17</v>
      </c>
      <c r="M3634" t="str">
        <f t="shared" si="129"/>
        <v>44/40</v>
      </c>
      <c r="N3634" t="str">
        <f t="shared" si="130"/>
        <v>SW</v>
      </c>
      <c r="O3634" s="1" t="s">
        <v>25</v>
      </c>
      <c r="P3634" s="3" t="s">
        <v>25</v>
      </c>
      <c r="Q3634" s="37">
        <v>0.27</v>
      </c>
      <c r="R3634" t="str">
        <f t="shared" si="127"/>
        <v>mmol/mol</v>
      </c>
      <c r="S3634" s="13">
        <f t="shared" si="128"/>
        <v>-1.17</v>
      </c>
    </row>
    <row r="3635" spans="1:19">
      <c r="A3635" s="18" t="s">
        <v>3632</v>
      </c>
      <c r="B3635" s="1" t="s">
        <v>3788</v>
      </c>
      <c r="C3635" s="1" t="s">
        <v>4076</v>
      </c>
      <c r="D3635" s="1" t="s">
        <v>4077</v>
      </c>
      <c r="E3635" s="1" t="s">
        <v>25</v>
      </c>
      <c r="F3635">
        <v>635</v>
      </c>
      <c r="G3635">
        <v>635</v>
      </c>
      <c r="H3635" s="1" t="s">
        <v>25</v>
      </c>
      <c r="I3635" s="1" t="s">
        <v>1528</v>
      </c>
      <c r="J3635" s="1" t="s">
        <v>4105</v>
      </c>
      <c r="K3635" s="1" t="s">
        <v>25</v>
      </c>
      <c r="L3635">
        <v>-1.25</v>
      </c>
      <c r="M3635" t="str">
        <f t="shared" si="129"/>
        <v>44/40</v>
      </c>
      <c r="N3635" t="str">
        <f t="shared" si="130"/>
        <v>SW</v>
      </c>
      <c r="O3635" s="1" t="s">
        <v>25</v>
      </c>
      <c r="P3635" s="3" t="s">
        <v>25</v>
      </c>
      <c r="Q3635" s="37">
        <v>0.33</v>
      </c>
      <c r="R3635" t="str">
        <f t="shared" si="127"/>
        <v>mmol/mol</v>
      </c>
      <c r="S3635" s="13">
        <f t="shared" si="128"/>
        <v>-1.25</v>
      </c>
    </row>
    <row r="3636" spans="1:19">
      <c r="A3636" s="18" t="s">
        <v>3632</v>
      </c>
      <c r="B3636" s="1" t="s">
        <v>3789</v>
      </c>
      <c r="C3636" s="1" t="s">
        <v>4076</v>
      </c>
      <c r="D3636" s="1" t="s">
        <v>4077</v>
      </c>
      <c r="E3636" s="1" t="s">
        <v>25</v>
      </c>
      <c r="F3636">
        <v>635</v>
      </c>
      <c r="G3636">
        <v>635</v>
      </c>
      <c r="H3636" s="1" t="s">
        <v>25</v>
      </c>
      <c r="I3636" s="1" t="s">
        <v>1528</v>
      </c>
      <c r="J3636" s="1" t="s">
        <v>4105</v>
      </c>
      <c r="K3636" s="1" t="s">
        <v>25</v>
      </c>
      <c r="L3636">
        <v>-1.0900000000000001</v>
      </c>
      <c r="M3636" t="str">
        <f t="shared" si="129"/>
        <v>44/40</v>
      </c>
      <c r="N3636" t="str">
        <f t="shared" si="130"/>
        <v>SW</v>
      </c>
      <c r="O3636" s="1" t="s">
        <v>25</v>
      </c>
      <c r="P3636" s="3" t="s">
        <v>25</v>
      </c>
      <c r="Q3636" s="37">
        <v>0.31</v>
      </c>
      <c r="R3636" t="str">
        <f t="shared" si="127"/>
        <v>mmol/mol</v>
      </c>
      <c r="S3636" s="13">
        <f t="shared" si="128"/>
        <v>-1.0900000000000001</v>
      </c>
    </row>
    <row r="3637" spans="1:19">
      <c r="A3637" s="18" t="s">
        <v>3632</v>
      </c>
      <c r="B3637" s="1" t="s">
        <v>3790</v>
      </c>
      <c r="C3637" s="1" t="s">
        <v>4076</v>
      </c>
      <c r="D3637" s="1" t="s">
        <v>4077</v>
      </c>
      <c r="E3637" s="1" t="s">
        <v>25</v>
      </c>
      <c r="F3637">
        <v>635</v>
      </c>
      <c r="G3637">
        <v>635</v>
      </c>
      <c r="H3637" s="1" t="s">
        <v>25</v>
      </c>
      <c r="I3637" s="1" t="s">
        <v>1528</v>
      </c>
      <c r="J3637" s="1" t="s">
        <v>4105</v>
      </c>
      <c r="K3637" s="1" t="s">
        <v>25</v>
      </c>
      <c r="L3637">
        <v>-1.08</v>
      </c>
      <c r="M3637" t="str">
        <f t="shared" si="129"/>
        <v>44/40</v>
      </c>
      <c r="N3637" t="str">
        <f t="shared" si="130"/>
        <v>SW</v>
      </c>
      <c r="O3637" s="1" t="s">
        <v>25</v>
      </c>
      <c r="P3637" s="3" t="s">
        <v>25</v>
      </c>
      <c r="Q3637" s="37">
        <v>0.34</v>
      </c>
      <c r="R3637" t="str">
        <f t="shared" si="127"/>
        <v>mmol/mol</v>
      </c>
      <c r="S3637" s="13">
        <f t="shared" si="128"/>
        <v>-1.08</v>
      </c>
    </row>
    <row r="3638" spans="1:19">
      <c r="A3638" s="18" t="s">
        <v>3632</v>
      </c>
      <c r="B3638" s="1" t="s">
        <v>3791</v>
      </c>
      <c r="C3638" s="1" t="s">
        <v>4076</v>
      </c>
      <c r="D3638" s="1" t="s">
        <v>4077</v>
      </c>
      <c r="E3638" s="1" t="s">
        <v>25</v>
      </c>
      <c r="F3638">
        <v>635</v>
      </c>
      <c r="G3638">
        <v>635</v>
      </c>
      <c r="H3638" s="1" t="s">
        <v>25</v>
      </c>
      <c r="I3638" s="1" t="s">
        <v>1528</v>
      </c>
      <c r="J3638" s="1" t="s">
        <v>4105</v>
      </c>
      <c r="K3638" s="1" t="s">
        <v>25</v>
      </c>
      <c r="L3638">
        <v>-1.1000000000000001</v>
      </c>
      <c r="M3638" t="str">
        <f t="shared" si="129"/>
        <v>44/40</v>
      </c>
      <c r="N3638" t="str">
        <f t="shared" si="130"/>
        <v>SW</v>
      </c>
      <c r="O3638" s="1" t="s">
        <v>25</v>
      </c>
      <c r="P3638" s="3" t="s">
        <v>25</v>
      </c>
      <c r="Q3638" s="37">
        <v>0.34</v>
      </c>
      <c r="R3638" t="str">
        <f t="shared" si="127"/>
        <v>mmol/mol</v>
      </c>
      <c r="S3638" s="13">
        <f t="shared" si="128"/>
        <v>-1.1000000000000001</v>
      </c>
    </row>
    <row r="3639" spans="1:19">
      <c r="A3639" s="18" t="s">
        <v>3632</v>
      </c>
      <c r="B3639" s="1" t="s">
        <v>3792</v>
      </c>
      <c r="C3639" s="1" t="s">
        <v>4076</v>
      </c>
      <c r="D3639" s="1" t="s">
        <v>4077</v>
      </c>
      <c r="E3639" s="1" t="s">
        <v>25</v>
      </c>
      <c r="F3639">
        <v>635</v>
      </c>
      <c r="G3639">
        <v>635</v>
      </c>
      <c r="H3639" s="1" t="s">
        <v>25</v>
      </c>
      <c r="I3639" s="1" t="s">
        <v>1528</v>
      </c>
      <c r="J3639" s="1" t="s">
        <v>4105</v>
      </c>
      <c r="K3639" s="1" t="s">
        <v>25</v>
      </c>
      <c r="L3639">
        <v>-1.35</v>
      </c>
      <c r="M3639" t="str">
        <f t="shared" si="129"/>
        <v>44/40</v>
      </c>
      <c r="N3639" t="str">
        <f t="shared" si="130"/>
        <v>SW</v>
      </c>
      <c r="O3639" s="1" t="s">
        <v>25</v>
      </c>
      <c r="P3639" s="3" t="s">
        <v>25</v>
      </c>
      <c r="Q3639" s="37">
        <v>0.36</v>
      </c>
      <c r="R3639" t="str">
        <f t="shared" si="127"/>
        <v>mmol/mol</v>
      </c>
      <c r="S3639" s="13">
        <f t="shared" si="128"/>
        <v>-1.35</v>
      </c>
    </row>
    <row r="3640" spans="1:19">
      <c r="A3640" s="18" t="s">
        <v>3632</v>
      </c>
      <c r="B3640" s="1" t="s">
        <v>3793</v>
      </c>
      <c r="C3640" s="1" t="s">
        <v>4076</v>
      </c>
      <c r="D3640" s="1" t="s">
        <v>4077</v>
      </c>
      <c r="E3640" s="1" t="s">
        <v>25</v>
      </c>
      <c r="F3640">
        <v>635</v>
      </c>
      <c r="G3640">
        <v>635</v>
      </c>
      <c r="H3640" s="1" t="s">
        <v>25</v>
      </c>
      <c r="I3640" s="1" t="s">
        <v>1528</v>
      </c>
      <c r="J3640" s="1" t="s">
        <v>4105</v>
      </c>
      <c r="K3640" s="1" t="s">
        <v>25</v>
      </c>
      <c r="L3640">
        <v>-1.1200000000000001</v>
      </c>
      <c r="M3640" t="str">
        <f t="shared" si="129"/>
        <v>44/40</v>
      </c>
      <c r="N3640" t="str">
        <f t="shared" si="130"/>
        <v>SW</v>
      </c>
      <c r="O3640" s="1" t="s">
        <v>25</v>
      </c>
      <c r="P3640" s="3" t="s">
        <v>25</v>
      </c>
      <c r="Q3640" s="37">
        <v>0.37</v>
      </c>
      <c r="R3640" t="str">
        <f t="shared" si="127"/>
        <v>mmol/mol</v>
      </c>
      <c r="S3640" s="13">
        <f t="shared" si="128"/>
        <v>-1.1200000000000001</v>
      </c>
    </row>
    <row r="3641" spans="1:19">
      <c r="A3641" s="18" t="s">
        <v>3632</v>
      </c>
      <c r="B3641" s="1" t="s">
        <v>3794</v>
      </c>
      <c r="C3641" s="1" t="s">
        <v>4076</v>
      </c>
      <c r="D3641" s="1" t="s">
        <v>4077</v>
      </c>
      <c r="E3641" s="1" t="s">
        <v>25</v>
      </c>
      <c r="F3641">
        <v>635</v>
      </c>
      <c r="G3641">
        <v>635</v>
      </c>
      <c r="H3641" s="1" t="s">
        <v>25</v>
      </c>
      <c r="I3641" s="1" t="s">
        <v>1528</v>
      </c>
      <c r="J3641" s="1" t="s">
        <v>4105</v>
      </c>
      <c r="K3641" s="1" t="s">
        <v>25</v>
      </c>
      <c r="L3641">
        <v>-1.21</v>
      </c>
      <c r="M3641" t="str">
        <f t="shared" si="129"/>
        <v>44/40</v>
      </c>
      <c r="N3641" t="str">
        <f t="shared" si="130"/>
        <v>SW</v>
      </c>
      <c r="O3641" s="1" t="s">
        <v>25</v>
      </c>
      <c r="P3641" s="3" t="s">
        <v>25</v>
      </c>
      <c r="Q3641" s="37">
        <v>0.36</v>
      </c>
      <c r="R3641" t="str">
        <f t="shared" si="127"/>
        <v>mmol/mol</v>
      </c>
      <c r="S3641" s="13">
        <f t="shared" si="128"/>
        <v>-1.21</v>
      </c>
    </row>
    <row r="3642" spans="1:19">
      <c r="A3642" s="18" t="s">
        <v>3632</v>
      </c>
      <c r="B3642" s="1" t="s">
        <v>3795</v>
      </c>
      <c r="C3642" s="1" t="s">
        <v>4076</v>
      </c>
      <c r="D3642" s="1" t="s">
        <v>4077</v>
      </c>
      <c r="E3642" s="1" t="s">
        <v>25</v>
      </c>
      <c r="F3642">
        <v>635</v>
      </c>
      <c r="G3642">
        <v>635</v>
      </c>
      <c r="H3642" s="1" t="s">
        <v>25</v>
      </c>
      <c r="I3642" s="1" t="s">
        <v>1528</v>
      </c>
      <c r="J3642" s="1" t="s">
        <v>4105</v>
      </c>
      <c r="K3642" s="1" t="s">
        <v>25</v>
      </c>
      <c r="L3642">
        <v>-1.1399999999999999</v>
      </c>
      <c r="M3642" t="str">
        <f t="shared" si="129"/>
        <v>44/40</v>
      </c>
      <c r="N3642" t="str">
        <f t="shared" si="130"/>
        <v>SW</v>
      </c>
      <c r="O3642" s="1" t="s">
        <v>25</v>
      </c>
      <c r="P3642" s="3" t="s">
        <v>25</v>
      </c>
      <c r="Q3642" s="37">
        <v>0.35</v>
      </c>
      <c r="R3642" t="str">
        <f t="shared" si="127"/>
        <v>mmol/mol</v>
      </c>
      <c r="S3642" s="13">
        <f t="shared" si="128"/>
        <v>-1.1399999999999999</v>
      </c>
    </row>
    <row r="3643" spans="1:19">
      <c r="A3643" s="18" t="s">
        <v>3632</v>
      </c>
      <c r="B3643" s="1" t="s">
        <v>3796</v>
      </c>
      <c r="C3643" s="1" t="s">
        <v>4076</v>
      </c>
      <c r="D3643" s="1" t="s">
        <v>4077</v>
      </c>
      <c r="E3643" s="1" t="s">
        <v>25</v>
      </c>
      <c r="F3643">
        <v>635</v>
      </c>
      <c r="G3643">
        <v>635</v>
      </c>
      <c r="H3643" s="1" t="s">
        <v>25</v>
      </c>
      <c r="I3643" s="1" t="s">
        <v>1528</v>
      </c>
      <c r="J3643" s="1" t="s">
        <v>4105</v>
      </c>
      <c r="K3643" s="1" t="s">
        <v>25</v>
      </c>
      <c r="L3643">
        <v>-1.1100000000000001</v>
      </c>
      <c r="M3643" t="str">
        <f t="shared" si="129"/>
        <v>44/40</v>
      </c>
      <c r="N3643" t="str">
        <f t="shared" si="130"/>
        <v>SW</v>
      </c>
      <c r="O3643" s="1" t="s">
        <v>25</v>
      </c>
      <c r="P3643" s="3" t="s">
        <v>25</v>
      </c>
      <c r="Q3643" s="37">
        <v>0.39</v>
      </c>
      <c r="R3643" t="str">
        <f t="shared" si="127"/>
        <v>mmol/mol</v>
      </c>
      <c r="S3643" s="13">
        <f t="shared" si="128"/>
        <v>-1.1100000000000001</v>
      </c>
    </row>
    <row r="3644" spans="1:19">
      <c r="A3644" s="18" t="s">
        <v>3632</v>
      </c>
      <c r="B3644" s="1" t="s">
        <v>3797</v>
      </c>
      <c r="C3644" s="1" t="s">
        <v>4076</v>
      </c>
      <c r="D3644" s="1" t="s">
        <v>4077</v>
      </c>
      <c r="E3644" s="1" t="s">
        <v>25</v>
      </c>
      <c r="F3644">
        <v>635</v>
      </c>
      <c r="G3644">
        <v>635</v>
      </c>
      <c r="H3644" s="1" t="s">
        <v>25</v>
      </c>
      <c r="I3644" s="1" t="s">
        <v>1528</v>
      </c>
      <c r="J3644" s="1" t="s">
        <v>4105</v>
      </c>
      <c r="K3644" s="1" t="s">
        <v>25</v>
      </c>
      <c r="L3644">
        <v>-1.17</v>
      </c>
      <c r="M3644" t="str">
        <f t="shared" si="129"/>
        <v>44/40</v>
      </c>
      <c r="N3644" t="str">
        <f t="shared" si="130"/>
        <v>SW</v>
      </c>
      <c r="O3644" s="1" t="s">
        <v>25</v>
      </c>
      <c r="P3644" s="3" t="s">
        <v>25</v>
      </c>
      <c r="Q3644" s="37">
        <v>0.41</v>
      </c>
      <c r="R3644" t="str">
        <f t="shared" si="127"/>
        <v>mmol/mol</v>
      </c>
      <c r="S3644" s="13">
        <f t="shared" si="128"/>
        <v>-1.17</v>
      </c>
    </row>
    <row r="3645" spans="1:19">
      <c r="A3645" s="18" t="s">
        <v>3632</v>
      </c>
      <c r="B3645" s="1" t="s">
        <v>3798</v>
      </c>
      <c r="C3645" s="1" t="s">
        <v>4076</v>
      </c>
      <c r="D3645" s="1" t="s">
        <v>4077</v>
      </c>
      <c r="E3645" s="1" t="s">
        <v>25</v>
      </c>
      <c r="F3645">
        <v>635</v>
      </c>
      <c r="G3645">
        <v>635</v>
      </c>
      <c r="H3645" s="1" t="s">
        <v>25</v>
      </c>
      <c r="I3645" s="1" t="s">
        <v>1528</v>
      </c>
      <c r="J3645" s="1" t="s">
        <v>4105</v>
      </c>
      <c r="K3645" s="1" t="s">
        <v>25</v>
      </c>
      <c r="L3645">
        <v>-1.33</v>
      </c>
      <c r="M3645" t="str">
        <f t="shared" si="129"/>
        <v>44/40</v>
      </c>
      <c r="N3645" t="str">
        <f t="shared" si="130"/>
        <v>SW</v>
      </c>
      <c r="O3645" s="1" t="s">
        <v>25</v>
      </c>
      <c r="P3645" s="3" t="s">
        <v>25</v>
      </c>
      <c r="Q3645" s="37">
        <v>0.4</v>
      </c>
      <c r="R3645" t="str">
        <f t="shared" si="127"/>
        <v>mmol/mol</v>
      </c>
      <c r="S3645" s="13">
        <f t="shared" si="128"/>
        <v>-1.33</v>
      </c>
    </row>
    <row r="3646" spans="1:19">
      <c r="A3646" s="18" t="s">
        <v>3632</v>
      </c>
      <c r="B3646" s="1" t="s">
        <v>3799</v>
      </c>
      <c r="C3646" s="1" t="s">
        <v>4076</v>
      </c>
      <c r="D3646" s="1" t="s">
        <v>4077</v>
      </c>
      <c r="E3646" s="1" t="s">
        <v>25</v>
      </c>
      <c r="F3646">
        <v>635</v>
      </c>
      <c r="G3646">
        <v>635</v>
      </c>
      <c r="H3646" s="1" t="s">
        <v>25</v>
      </c>
      <c r="I3646" s="1" t="s">
        <v>1528</v>
      </c>
      <c r="J3646" s="1" t="s">
        <v>4105</v>
      </c>
      <c r="K3646" s="1" t="s">
        <v>25</v>
      </c>
      <c r="L3646">
        <v>-1.2</v>
      </c>
      <c r="M3646" t="str">
        <f t="shared" si="129"/>
        <v>44/40</v>
      </c>
      <c r="N3646" t="str">
        <f t="shared" si="130"/>
        <v>SW</v>
      </c>
      <c r="O3646" s="1" t="s">
        <v>25</v>
      </c>
      <c r="P3646" s="3" t="s">
        <v>25</v>
      </c>
      <c r="Q3646" s="37">
        <v>0.44</v>
      </c>
      <c r="R3646" t="str">
        <f t="shared" si="127"/>
        <v>mmol/mol</v>
      </c>
      <c r="S3646" s="13">
        <f t="shared" si="128"/>
        <v>-1.2</v>
      </c>
    </row>
    <row r="3647" spans="1:19">
      <c r="A3647" s="18" t="s">
        <v>3632</v>
      </c>
      <c r="B3647" s="1" t="s">
        <v>3800</v>
      </c>
      <c r="C3647" s="1" t="s">
        <v>4076</v>
      </c>
      <c r="D3647" s="1" t="s">
        <v>4077</v>
      </c>
      <c r="E3647" s="1" t="s">
        <v>25</v>
      </c>
      <c r="F3647">
        <v>635</v>
      </c>
      <c r="G3647">
        <v>635</v>
      </c>
      <c r="H3647" s="1" t="s">
        <v>25</v>
      </c>
      <c r="I3647" s="1" t="s">
        <v>1528</v>
      </c>
      <c r="J3647" s="1" t="s">
        <v>4105</v>
      </c>
      <c r="K3647" s="1" t="s">
        <v>25</v>
      </c>
      <c r="L3647">
        <v>-1.18</v>
      </c>
      <c r="M3647" t="str">
        <f t="shared" si="129"/>
        <v>44/40</v>
      </c>
      <c r="N3647" t="str">
        <f t="shared" si="130"/>
        <v>SW</v>
      </c>
      <c r="O3647" s="1" t="s">
        <v>25</v>
      </c>
      <c r="P3647" s="3" t="s">
        <v>25</v>
      </c>
      <c r="Q3647" s="37">
        <v>0.38</v>
      </c>
      <c r="R3647" t="str">
        <f t="shared" si="127"/>
        <v>mmol/mol</v>
      </c>
      <c r="S3647" s="13">
        <f t="shared" si="128"/>
        <v>-1.18</v>
      </c>
    </row>
    <row r="3648" spans="1:19">
      <c r="A3648" s="18" t="s">
        <v>3632</v>
      </c>
      <c r="B3648" s="1" t="s">
        <v>3801</v>
      </c>
      <c r="C3648" s="1" t="s">
        <v>4076</v>
      </c>
      <c r="D3648" s="1" t="s">
        <v>4077</v>
      </c>
      <c r="E3648" s="1" t="s">
        <v>25</v>
      </c>
      <c r="F3648">
        <v>635</v>
      </c>
      <c r="G3648">
        <v>635</v>
      </c>
      <c r="H3648" s="1" t="s">
        <v>25</v>
      </c>
      <c r="I3648" s="1" t="s">
        <v>1528</v>
      </c>
      <c r="J3648" s="1" t="s">
        <v>4105</v>
      </c>
      <c r="K3648" s="1" t="s">
        <v>25</v>
      </c>
      <c r="L3648">
        <v>-1.07</v>
      </c>
      <c r="M3648" t="str">
        <f t="shared" si="129"/>
        <v>44/40</v>
      </c>
      <c r="N3648" t="str">
        <f t="shared" si="130"/>
        <v>SW</v>
      </c>
      <c r="O3648" s="1" t="s">
        <v>25</v>
      </c>
      <c r="P3648" s="3" t="s">
        <v>25</v>
      </c>
      <c r="Q3648" s="37">
        <v>0.42</v>
      </c>
      <c r="R3648" t="str">
        <f t="shared" si="127"/>
        <v>mmol/mol</v>
      </c>
      <c r="S3648" s="13">
        <f t="shared" si="128"/>
        <v>-1.07</v>
      </c>
    </row>
    <row r="3649" spans="1:19">
      <c r="A3649" s="18" t="s">
        <v>3632</v>
      </c>
      <c r="B3649" s="1" t="s">
        <v>3802</v>
      </c>
      <c r="C3649" s="1" t="s">
        <v>4076</v>
      </c>
      <c r="D3649" s="1" t="s">
        <v>4077</v>
      </c>
      <c r="E3649" s="1" t="s">
        <v>25</v>
      </c>
      <c r="F3649">
        <v>635</v>
      </c>
      <c r="G3649">
        <v>635</v>
      </c>
      <c r="H3649" s="1" t="s">
        <v>25</v>
      </c>
      <c r="I3649" s="1" t="s">
        <v>1528</v>
      </c>
      <c r="J3649" s="1" t="s">
        <v>4105</v>
      </c>
      <c r="K3649" s="1" t="s">
        <v>25</v>
      </c>
      <c r="L3649">
        <v>-1.1299999999999999</v>
      </c>
      <c r="M3649" t="str">
        <f t="shared" si="129"/>
        <v>44/40</v>
      </c>
      <c r="N3649" t="str">
        <f t="shared" si="130"/>
        <v>SW</v>
      </c>
      <c r="O3649" s="1" t="s">
        <v>25</v>
      </c>
      <c r="P3649" s="3" t="s">
        <v>25</v>
      </c>
      <c r="Q3649" s="37">
        <v>0.39</v>
      </c>
      <c r="R3649" t="str">
        <f t="shared" si="127"/>
        <v>mmol/mol</v>
      </c>
      <c r="S3649" s="13">
        <f t="shared" si="128"/>
        <v>-1.1299999999999999</v>
      </c>
    </row>
    <row r="3650" spans="1:19">
      <c r="A3650" s="18" t="s">
        <v>3632</v>
      </c>
      <c r="B3650" s="1" t="s">
        <v>3803</v>
      </c>
      <c r="C3650" s="1" t="s">
        <v>4076</v>
      </c>
      <c r="D3650" s="1" t="s">
        <v>4077</v>
      </c>
      <c r="E3650" s="1" t="s">
        <v>25</v>
      </c>
      <c r="F3650">
        <v>635</v>
      </c>
      <c r="G3650">
        <v>635</v>
      </c>
      <c r="H3650" s="1" t="s">
        <v>25</v>
      </c>
      <c r="I3650" s="1" t="s">
        <v>1528</v>
      </c>
      <c r="J3650" s="1" t="s">
        <v>4105</v>
      </c>
      <c r="K3650" s="1" t="s">
        <v>25</v>
      </c>
      <c r="L3650">
        <v>-1.0900000000000001</v>
      </c>
      <c r="M3650" t="str">
        <f t="shared" si="129"/>
        <v>44/40</v>
      </c>
      <c r="N3650" t="str">
        <f t="shared" si="130"/>
        <v>SW</v>
      </c>
      <c r="O3650" s="1" t="s">
        <v>25</v>
      </c>
      <c r="P3650" s="3" t="s">
        <v>25</v>
      </c>
      <c r="Q3650" s="37">
        <v>0.38</v>
      </c>
      <c r="R3650" t="str">
        <f t="shared" si="127"/>
        <v>mmol/mol</v>
      </c>
      <c r="S3650" s="13">
        <f t="shared" si="128"/>
        <v>-1.0900000000000001</v>
      </c>
    </row>
    <row r="3651" spans="1:19">
      <c r="A3651" s="18" t="s">
        <v>3632</v>
      </c>
      <c r="B3651" s="1" t="s">
        <v>3804</v>
      </c>
      <c r="C3651" s="1" t="s">
        <v>4076</v>
      </c>
      <c r="D3651" s="1" t="s">
        <v>4077</v>
      </c>
      <c r="E3651" s="1" t="s">
        <v>25</v>
      </c>
      <c r="F3651">
        <v>635</v>
      </c>
      <c r="G3651">
        <v>635</v>
      </c>
      <c r="H3651" s="1" t="s">
        <v>25</v>
      </c>
      <c r="I3651" s="1" t="s">
        <v>1528</v>
      </c>
      <c r="J3651" s="1" t="s">
        <v>4105</v>
      </c>
      <c r="K3651" s="1" t="s">
        <v>25</v>
      </c>
      <c r="L3651">
        <v>-1.01</v>
      </c>
      <c r="M3651" t="str">
        <f t="shared" si="129"/>
        <v>44/40</v>
      </c>
      <c r="N3651" t="str">
        <f t="shared" si="130"/>
        <v>SW</v>
      </c>
      <c r="O3651" s="1" t="s">
        <v>25</v>
      </c>
      <c r="P3651" s="3" t="s">
        <v>25</v>
      </c>
      <c r="Q3651" s="37">
        <v>0.4</v>
      </c>
      <c r="R3651" t="str">
        <f t="shared" si="127"/>
        <v>mmol/mol</v>
      </c>
      <c r="S3651" s="13">
        <f t="shared" si="128"/>
        <v>-1.01</v>
      </c>
    </row>
    <row r="3652" spans="1:19">
      <c r="A3652" s="18" t="s">
        <v>3632</v>
      </c>
      <c r="B3652" s="1" t="s">
        <v>3805</v>
      </c>
      <c r="C3652" s="1" t="s">
        <v>4076</v>
      </c>
      <c r="D3652" s="1" t="s">
        <v>4077</v>
      </c>
      <c r="E3652" s="1" t="s">
        <v>25</v>
      </c>
      <c r="F3652">
        <v>635</v>
      </c>
      <c r="G3652">
        <v>635</v>
      </c>
      <c r="H3652" s="1" t="s">
        <v>25</v>
      </c>
      <c r="I3652" s="1" t="s">
        <v>1528</v>
      </c>
      <c r="J3652" s="1" t="s">
        <v>4105</v>
      </c>
      <c r="K3652" s="1" t="s">
        <v>25</v>
      </c>
      <c r="L3652">
        <v>-1.1000000000000001</v>
      </c>
      <c r="M3652" t="str">
        <f t="shared" si="129"/>
        <v>44/40</v>
      </c>
      <c r="N3652" t="str">
        <f t="shared" si="130"/>
        <v>SW</v>
      </c>
      <c r="O3652" s="1" t="s">
        <v>25</v>
      </c>
      <c r="P3652" s="3" t="s">
        <v>25</v>
      </c>
      <c r="Q3652" s="37">
        <v>0.4</v>
      </c>
      <c r="R3652" t="str">
        <f t="shared" si="127"/>
        <v>mmol/mol</v>
      </c>
      <c r="S3652" s="13">
        <f t="shared" si="128"/>
        <v>-1.1000000000000001</v>
      </c>
    </row>
    <row r="3653" spans="1:19">
      <c r="A3653" s="18" t="s">
        <v>3632</v>
      </c>
      <c r="B3653" s="1" t="s">
        <v>3806</v>
      </c>
      <c r="C3653" s="1" t="s">
        <v>4076</v>
      </c>
      <c r="D3653" s="1" t="s">
        <v>4077</v>
      </c>
      <c r="E3653" s="1" t="s">
        <v>25</v>
      </c>
      <c r="F3653">
        <v>635</v>
      </c>
      <c r="G3653">
        <v>635</v>
      </c>
      <c r="H3653" s="1" t="s">
        <v>25</v>
      </c>
      <c r="I3653" s="1" t="s">
        <v>1528</v>
      </c>
      <c r="J3653" s="1" t="s">
        <v>4105</v>
      </c>
      <c r="K3653" s="1" t="s">
        <v>25</v>
      </c>
      <c r="L3653">
        <v>-1.05</v>
      </c>
      <c r="M3653" t="str">
        <f t="shared" si="129"/>
        <v>44/40</v>
      </c>
      <c r="N3653" t="str">
        <f t="shared" si="130"/>
        <v>SW</v>
      </c>
      <c r="O3653" s="1" t="s">
        <v>25</v>
      </c>
      <c r="P3653" s="3" t="s">
        <v>25</v>
      </c>
      <c r="Q3653" s="37">
        <v>0.39</v>
      </c>
      <c r="R3653" t="str">
        <f t="shared" si="127"/>
        <v>mmol/mol</v>
      </c>
      <c r="S3653" s="13">
        <f t="shared" si="128"/>
        <v>-1.05</v>
      </c>
    </row>
    <row r="3654" spans="1:19">
      <c r="A3654" s="18" t="s">
        <v>3632</v>
      </c>
      <c r="B3654" s="1" t="s">
        <v>3807</v>
      </c>
      <c r="C3654" s="1" t="s">
        <v>4076</v>
      </c>
      <c r="D3654" s="1" t="s">
        <v>4077</v>
      </c>
      <c r="E3654" s="1" t="s">
        <v>25</v>
      </c>
      <c r="F3654">
        <v>635</v>
      </c>
      <c r="G3654">
        <v>635</v>
      </c>
      <c r="H3654" s="1" t="s">
        <v>25</v>
      </c>
      <c r="I3654" s="1" t="s">
        <v>1528</v>
      </c>
      <c r="J3654" s="1" t="s">
        <v>4105</v>
      </c>
      <c r="K3654" s="1" t="s">
        <v>25</v>
      </c>
      <c r="L3654">
        <v>-1.08</v>
      </c>
      <c r="M3654" t="str">
        <f t="shared" si="129"/>
        <v>44/40</v>
      </c>
      <c r="N3654" t="str">
        <f t="shared" si="130"/>
        <v>SW</v>
      </c>
      <c r="O3654" s="1" t="s">
        <v>25</v>
      </c>
      <c r="P3654" s="3" t="s">
        <v>25</v>
      </c>
      <c r="Q3654" s="37">
        <v>0.39</v>
      </c>
      <c r="R3654" t="str">
        <f t="shared" si="127"/>
        <v>mmol/mol</v>
      </c>
      <c r="S3654" s="13">
        <f t="shared" si="128"/>
        <v>-1.08</v>
      </c>
    </row>
    <row r="3655" spans="1:19">
      <c r="A3655" s="18" t="s">
        <v>3632</v>
      </c>
      <c r="B3655" s="1" t="s">
        <v>3808</v>
      </c>
      <c r="C3655" s="1" t="s">
        <v>4076</v>
      </c>
      <c r="D3655" s="1" t="s">
        <v>4077</v>
      </c>
      <c r="E3655" s="1" t="s">
        <v>25</v>
      </c>
      <c r="F3655">
        <v>635</v>
      </c>
      <c r="G3655">
        <v>635</v>
      </c>
      <c r="H3655" s="1" t="s">
        <v>25</v>
      </c>
      <c r="I3655" s="1" t="s">
        <v>1528</v>
      </c>
      <c r="J3655" s="1" t="s">
        <v>4105</v>
      </c>
      <c r="K3655" s="1" t="s">
        <v>25</v>
      </c>
      <c r="L3655">
        <v>-1.03</v>
      </c>
      <c r="M3655" t="str">
        <f t="shared" si="129"/>
        <v>44/40</v>
      </c>
      <c r="N3655" t="str">
        <f t="shared" si="130"/>
        <v>SW</v>
      </c>
      <c r="O3655" s="1" t="s">
        <v>25</v>
      </c>
      <c r="P3655" s="3" t="s">
        <v>25</v>
      </c>
      <c r="Q3655" s="37">
        <v>0.35</v>
      </c>
      <c r="R3655" t="str">
        <f t="shared" si="127"/>
        <v>mmol/mol</v>
      </c>
      <c r="S3655" s="13">
        <f t="shared" si="128"/>
        <v>-1.03</v>
      </c>
    </row>
    <row r="3656" spans="1:19">
      <c r="A3656" s="18" t="s">
        <v>3632</v>
      </c>
      <c r="B3656" s="1" t="s">
        <v>3809</v>
      </c>
      <c r="C3656" s="1" t="s">
        <v>4076</v>
      </c>
      <c r="D3656" s="1" t="s">
        <v>4077</v>
      </c>
      <c r="E3656" s="1" t="s">
        <v>25</v>
      </c>
      <c r="F3656">
        <v>635</v>
      </c>
      <c r="G3656">
        <v>635</v>
      </c>
      <c r="H3656" s="1" t="s">
        <v>25</v>
      </c>
      <c r="I3656" s="1" t="s">
        <v>1528</v>
      </c>
      <c r="J3656" s="1" t="s">
        <v>4105</v>
      </c>
      <c r="K3656" s="1" t="s">
        <v>25</v>
      </c>
      <c r="L3656">
        <v>-0.95</v>
      </c>
      <c r="M3656" t="str">
        <f t="shared" si="129"/>
        <v>44/40</v>
      </c>
      <c r="N3656" t="str">
        <f t="shared" si="130"/>
        <v>SW</v>
      </c>
      <c r="O3656" s="1" t="s">
        <v>25</v>
      </c>
      <c r="P3656" s="3" t="s">
        <v>25</v>
      </c>
      <c r="Q3656" s="37">
        <v>0.4</v>
      </c>
      <c r="R3656" t="str">
        <f t="shared" si="127"/>
        <v>mmol/mol</v>
      </c>
      <c r="S3656" s="13">
        <f t="shared" si="128"/>
        <v>-0.95</v>
      </c>
    </row>
    <row r="3657" spans="1:19">
      <c r="A3657" s="18" t="s">
        <v>3632</v>
      </c>
      <c r="B3657" s="1" t="s">
        <v>3810</v>
      </c>
      <c r="C3657" s="1" t="s">
        <v>4076</v>
      </c>
      <c r="D3657" s="1" t="s">
        <v>4077</v>
      </c>
      <c r="E3657" s="1" t="s">
        <v>25</v>
      </c>
      <c r="F3657">
        <v>635</v>
      </c>
      <c r="G3657">
        <v>635</v>
      </c>
      <c r="H3657" s="1" t="s">
        <v>25</v>
      </c>
      <c r="I3657" s="1" t="s">
        <v>1528</v>
      </c>
      <c r="J3657" s="1" t="s">
        <v>4105</v>
      </c>
      <c r="K3657" s="1" t="s">
        <v>25</v>
      </c>
      <c r="L3657">
        <v>-1.05</v>
      </c>
      <c r="M3657" t="str">
        <f t="shared" si="129"/>
        <v>44/40</v>
      </c>
      <c r="N3657" t="str">
        <f t="shared" si="130"/>
        <v>SW</v>
      </c>
      <c r="O3657" s="1" t="s">
        <v>25</v>
      </c>
      <c r="P3657" s="3" t="s">
        <v>25</v>
      </c>
      <c r="Q3657" s="37">
        <v>0.34</v>
      </c>
      <c r="R3657" t="str">
        <f t="shared" si="127"/>
        <v>mmol/mol</v>
      </c>
      <c r="S3657" s="13">
        <f t="shared" si="128"/>
        <v>-1.05</v>
      </c>
    </row>
    <row r="3658" spans="1:19">
      <c r="A3658" s="18" t="s">
        <v>3632</v>
      </c>
      <c r="B3658" s="1" t="s">
        <v>3811</v>
      </c>
      <c r="C3658" s="1" t="s">
        <v>4076</v>
      </c>
      <c r="D3658" s="1" t="s">
        <v>4077</v>
      </c>
      <c r="E3658" s="1" t="s">
        <v>25</v>
      </c>
      <c r="F3658">
        <v>635</v>
      </c>
      <c r="G3658">
        <v>635</v>
      </c>
      <c r="H3658" s="1" t="s">
        <v>25</v>
      </c>
      <c r="I3658" s="1" t="s">
        <v>1528</v>
      </c>
      <c r="J3658" s="1" t="s">
        <v>4105</v>
      </c>
      <c r="K3658" s="1" t="s">
        <v>25</v>
      </c>
      <c r="L3658">
        <v>-1.03</v>
      </c>
      <c r="M3658" t="str">
        <f t="shared" si="129"/>
        <v>44/40</v>
      </c>
      <c r="N3658" t="str">
        <f t="shared" si="130"/>
        <v>SW</v>
      </c>
      <c r="O3658" s="1" t="s">
        <v>25</v>
      </c>
      <c r="P3658" s="3" t="s">
        <v>25</v>
      </c>
      <c r="Q3658" s="37">
        <v>0.39</v>
      </c>
      <c r="R3658" t="str">
        <f t="shared" si="127"/>
        <v>mmol/mol</v>
      </c>
      <c r="S3658" s="13">
        <f t="shared" si="128"/>
        <v>-1.03</v>
      </c>
    </row>
    <row r="3659" spans="1:19">
      <c r="A3659" s="18" t="s">
        <v>3632</v>
      </c>
      <c r="B3659" s="1" t="s">
        <v>3812</v>
      </c>
      <c r="C3659" s="1" t="s">
        <v>4076</v>
      </c>
      <c r="D3659" s="1" t="s">
        <v>4077</v>
      </c>
      <c r="E3659" s="1" t="s">
        <v>25</v>
      </c>
      <c r="F3659">
        <v>635</v>
      </c>
      <c r="G3659">
        <v>635</v>
      </c>
      <c r="H3659" s="1" t="s">
        <v>25</v>
      </c>
      <c r="I3659" s="1" t="s">
        <v>1528</v>
      </c>
      <c r="J3659" s="1" t="s">
        <v>4105</v>
      </c>
      <c r="K3659" s="1" t="s">
        <v>25</v>
      </c>
      <c r="L3659">
        <v>-0.81</v>
      </c>
      <c r="M3659" t="str">
        <f t="shared" si="129"/>
        <v>44/40</v>
      </c>
      <c r="N3659" t="str">
        <f t="shared" si="130"/>
        <v>SW</v>
      </c>
      <c r="O3659" s="1" t="s">
        <v>25</v>
      </c>
      <c r="P3659" s="3" t="s">
        <v>25</v>
      </c>
      <c r="Q3659" s="37">
        <v>0.43</v>
      </c>
      <c r="R3659" t="str">
        <f t="shared" si="127"/>
        <v>mmol/mol</v>
      </c>
      <c r="S3659" s="13">
        <f t="shared" si="128"/>
        <v>-0.81</v>
      </c>
    </row>
    <row r="3660" spans="1:19">
      <c r="A3660" s="18" t="s">
        <v>3632</v>
      </c>
      <c r="B3660" s="1" t="s">
        <v>3813</v>
      </c>
      <c r="C3660" s="1" t="s">
        <v>4076</v>
      </c>
      <c r="D3660" s="1" t="s">
        <v>4077</v>
      </c>
      <c r="E3660" s="1" t="s">
        <v>25</v>
      </c>
      <c r="F3660">
        <v>635</v>
      </c>
      <c r="G3660">
        <v>635</v>
      </c>
      <c r="H3660" s="1" t="s">
        <v>25</v>
      </c>
      <c r="I3660" s="1" t="s">
        <v>1528</v>
      </c>
      <c r="J3660" s="1" t="s">
        <v>4105</v>
      </c>
      <c r="K3660" s="1" t="s">
        <v>25</v>
      </c>
      <c r="L3660">
        <v>-1.03</v>
      </c>
      <c r="M3660" t="str">
        <f t="shared" si="129"/>
        <v>44/40</v>
      </c>
      <c r="N3660" t="str">
        <f t="shared" si="130"/>
        <v>SW</v>
      </c>
      <c r="O3660" s="1" t="s">
        <v>25</v>
      </c>
      <c r="P3660" s="3" t="s">
        <v>25</v>
      </c>
      <c r="Q3660" s="37">
        <v>0.45</v>
      </c>
      <c r="R3660" t="str">
        <f t="shared" si="127"/>
        <v>mmol/mol</v>
      </c>
      <c r="S3660" s="13">
        <f t="shared" si="128"/>
        <v>-1.03</v>
      </c>
    </row>
    <row r="3661" spans="1:19">
      <c r="A3661" s="18" t="s">
        <v>3632</v>
      </c>
      <c r="B3661" s="1" t="s">
        <v>3814</v>
      </c>
      <c r="C3661" s="1" t="s">
        <v>4076</v>
      </c>
      <c r="D3661" s="1" t="s">
        <v>4077</v>
      </c>
      <c r="E3661" s="1" t="s">
        <v>25</v>
      </c>
      <c r="F3661">
        <v>635</v>
      </c>
      <c r="G3661">
        <v>635</v>
      </c>
      <c r="H3661" s="1" t="s">
        <v>25</v>
      </c>
      <c r="I3661" s="1" t="s">
        <v>1528</v>
      </c>
      <c r="J3661" s="1" t="s">
        <v>4105</v>
      </c>
      <c r="K3661" s="1" t="s">
        <v>25</v>
      </c>
      <c r="L3661">
        <v>-1.23</v>
      </c>
      <c r="M3661" t="str">
        <f t="shared" si="129"/>
        <v>44/40</v>
      </c>
      <c r="N3661" t="str">
        <f t="shared" si="130"/>
        <v>SW</v>
      </c>
      <c r="O3661" s="1" t="s">
        <v>25</v>
      </c>
      <c r="P3661" s="3" t="s">
        <v>25</v>
      </c>
      <c r="Q3661" s="37">
        <v>0.56999999999999995</v>
      </c>
      <c r="R3661" t="str">
        <f t="shared" si="127"/>
        <v>mmol/mol</v>
      </c>
      <c r="S3661" s="13">
        <f t="shared" si="128"/>
        <v>-1.23</v>
      </c>
    </row>
    <row r="3662" spans="1:19">
      <c r="A3662" s="18" t="s">
        <v>3632</v>
      </c>
      <c r="B3662" s="1" t="s">
        <v>3815</v>
      </c>
      <c r="C3662" s="1" t="s">
        <v>4076</v>
      </c>
      <c r="D3662" s="1" t="s">
        <v>4077</v>
      </c>
      <c r="E3662" s="1" t="s">
        <v>25</v>
      </c>
      <c r="F3662">
        <v>635</v>
      </c>
      <c r="G3662">
        <v>635</v>
      </c>
      <c r="H3662" s="1" t="s">
        <v>25</v>
      </c>
      <c r="I3662" s="1" t="s">
        <v>1528</v>
      </c>
      <c r="J3662" s="1" t="s">
        <v>4105</v>
      </c>
      <c r="K3662" s="1" t="s">
        <v>25</v>
      </c>
      <c r="L3662">
        <v>-1.36</v>
      </c>
      <c r="M3662" t="str">
        <f t="shared" si="129"/>
        <v>44/40</v>
      </c>
      <c r="N3662" t="str">
        <f t="shared" si="130"/>
        <v>SW</v>
      </c>
      <c r="O3662" s="1" t="s">
        <v>25</v>
      </c>
      <c r="P3662" s="3" t="s">
        <v>25</v>
      </c>
      <c r="Q3662" s="37">
        <v>0.68</v>
      </c>
      <c r="R3662" t="str">
        <f t="shared" si="127"/>
        <v>mmol/mol</v>
      </c>
      <c r="S3662" s="13">
        <f t="shared" si="128"/>
        <v>-1.36</v>
      </c>
    </row>
    <row r="3663" spans="1:19">
      <c r="A3663" s="18" t="s">
        <v>3632</v>
      </c>
      <c r="B3663" s="1" t="s">
        <v>3816</v>
      </c>
      <c r="C3663" s="1" t="s">
        <v>4076</v>
      </c>
      <c r="D3663" s="1" t="s">
        <v>4077</v>
      </c>
      <c r="E3663" s="1" t="s">
        <v>25</v>
      </c>
      <c r="F3663">
        <v>635</v>
      </c>
      <c r="G3663">
        <v>635</v>
      </c>
      <c r="H3663" s="1" t="s">
        <v>25</v>
      </c>
      <c r="I3663" s="1" t="s">
        <v>1528</v>
      </c>
      <c r="J3663" s="1" t="s">
        <v>4105</v>
      </c>
      <c r="K3663" s="1" t="s">
        <v>25</v>
      </c>
      <c r="L3663">
        <v>-1.35</v>
      </c>
      <c r="M3663" t="str">
        <f t="shared" si="129"/>
        <v>44/40</v>
      </c>
      <c r="N3663" t="str">
        <f t="shared" si="130"/>
        <v>SW</v>
      </c>
      <c r="O3663" s="1" t="s">
        <v>25</v>
      </c>
      <c r="P3663" s="3" t="s">
        <v>25</v>
      </c>
      <c r="Q3663" s="37">
        <v>0.97</v>
      </c>
      <c r="R3663" t="str">
        <f t="shared" si="127"/>
        <v>mmol/mol</v>
      </c>
      <c r="S3663" s="13">
        <f t="shared" si="128"/>
        <v>-1.35</v>
      </c>
    </row>
    <row r="3664" spans="1:19">
      <c r="A3664" s="18" t="s">
        <v>3632</v>
      </c>
      <c r="B3664" s="1" t="s">
        <v>3817</v>
      </c>
      <c r="C3664" s="1" t="s">
        <v>4076</v>
      </c>
      <c r="D3664" s="1" t="s">
        <v>4077</v>
      </c>
      <c r="E3664" s="1" t="s">
        <v>25</v>
      </c>
      <c r="F3664">
        <v>635</v>
      </c>
      <c r="G3664">
        <v>635</v>
      </c>
      <c r="H3664" s="1" t="s">
        <v>25</v>
      </c>
      <c r="I3664" s="1" t="s">
        <v>1528</v>
      </c>
      <c r="J3664" s="1" t="s">
        <v>4105</v>
      </c>
      <c r="K3664" s="1" t="s">
        <v>25</v>
      </c>
      <c r="L3664">
        <v>-1.23</v>
      </c>
      <c r="M3664" t="str">
        <f t="shared" si="129"/>
        <v>44/40</v>
      </c>
      <c r="N3664" t="str">
        <f t="shared" si="130"/>
        <v>SW</v>
      </c>
      <c r="O3664" s="1" t="s">
        <v>25</v>
      </c>
      <c r="P3664" s="3" t="s">
        <v>25</v>
      </c>
      <c r="Q3664" s="37">
        <v>0.92</v>
      </c>
      <c r="R3664" t="str">
        <f t="shared" si="127"/>
        <v>mmol/mol</v>
      </c>
      <c r="S3664" s="13">
        <f t="shared" si="128"/>
        <v>-1.23</v>
      </c>
    </row>
    <row r="3665" spans="1:19">
      <c r="A3665" s="18" t="s">
        <v>3632</v>
      </c>
      <c r="B3665" s="1" t="s">
        <v>3818</v>
      </c>
      <c r="C3665" s="1" t="s">
        <v>4076</v>
      </c>
      <c r="D3665" s="1" t="s">
        <v>4077</v>
      </c>
      <c r="E3665" s="1" t="s">
        <v>25</v>
      </c>
      <c r="F3665">
        <v>635</v>
      </c>
      <c r="G3665">
        <v>635</v>
      </c>
      <c r="H3665" s="1" t="s">
        <v>25</v>
      </c>
      <c r="I3665" s="1" t="s">
        <v>1528</v>
      </c>
      <c r="J3665" s="1" t="s">
        <v>4105</v>
      </c>
      <c r="K3665" s="1" t="s">
        <v>25</v>
      </c>
      <c r="L3665">
        <v>-1.41</v>
      </c>
      <c r="M3665" t="str">
        <f t="shared" si="129"/>
        <v>44/40</v>
      </c>
      <c r="N3665" t="str">
        <f t="shared" si="130"/>
        <v>SW</v>
      </c>
      <c r="O3665" s="1" t="s">
        <v>25</v>
      </c>
      <c r="P3665" s="3" t="s">
        <v>25</v>
      </c>
      <c r="Q3665" s="37">
        <v>1.1299999999999999</v>
      </c>
      <c r="R3665" t="str">
        <f t="shared" si="127"/>
        <v>mmol/mol</v>
      </c>
      <c r="S3665" s="13">
        <f t="shared" si="128"/>
        <v>-1.41</v>
      </c>
    </row>
    <row r="3666" spans="1:19">
      <c r="A3666" s="18" t="s">
        <v>3632</v>
      </c>
      <c r="B3666" s="1" t="s">
        <v>3819</v>
      </c>
      <c r="C3666" s="1" t="s">
        <v>4076</v>
      </c>
      <c r="D3666" s="1" t="s">
        <v>4077</v>
      </c>
      <c r="E3666" s="1" t="s">
        <v>25</v>
      </c>
      <c r="F3666">
        <v>635</v>
      </c>
      <c r="G3666">
        <v>635</v>
      </c>
      <c r="H3666" s="1" t="s">
        <v>25</v>
      </c>
      <c r="I3666" s="1" t="s">
        <v>1528</v>
      </c>
      <c r="J3666" s="1" t="s">
        <v>4105</v>
      </c>
      <c r="K3666" s="1" t="s">
        <v>25</v>
      </c>
      <c r="L3666">
        <v>-1.42</v>
      </c>
      <c r="M3666" t="str">
        <f t="shared" si="129"/>
        <v>44/40</v>
      </c>
      <c r="N3666" t="str">
        <f t="shared" si="130"/>
        <v>SW</v>
      </c>
      <c r="O3666" s="1" t="s">
        <v>25</v>
      </c>
      <c r="P3666" s="3" t="s">
        <v>25</v>
      </c>
      <c r="Q3666" s="37">
        <v>1.21</v>
      </c>
      <c r="R3666" t="str">
        <f t="shared" si="127"/>
        <v>mmol/mol</v>
      </c>
      <c r="S3666" s="13">
        <f t="shared" si="128"/>
        <v>-1.42</v>
      </c>
    </row>
    <row r="3667" spans="1:19">
      <c r="A3667" s="18" t="s">
        <v>3632</v>
      </c>
      <c r="B3667" s="1" t="s">
        <v>3820</v>
      </c>
      <c r="C3667" s="1" t="s">
        <v>4076</v>
      </c>
      <c r="D3667" s="1" t="s">
        <v>4077</v>
      </c>
      <c r="E3667" s="1" t="s">
        <v>25</v>
      </c>
      <c r="F3667">
        <v>635</v>
      </c>
      <c r="G3667">
        <v>635</v>
      </c>
      <c r="H3667" s="1" t="s">
        <v>25</v>
      </c>
      <c r="I3667" s="1" t="s">
        <v>1528</v>
      </c>
      <c r="J3667" s="1" t="s">
        <v>4105</v>
      </c>
      <c r="K3667" s="1" t="s">
        <v>25</v>
      </c>
      <c r="L3667">
        <v>-1.41</v>
      </c>
      <c r="M3667" t="str">
        <f t="shared" si="129"/>
        <v>44/40</v>
      </c>
      <c r="N3667" t="str">
        <f t="shared" si="130"/>
        <v>SW</v>
      </c>
      <c r="O3667" s="1" t="s">
        <v>25</v>
      </c>
      <c r="P3667" s="3" t="s">
        <v>25</v>
      </c>
      <c r="Q3667" s="37">
        <v>1.2</v>
      </c>
      <c r="R3667" t="str">
        <f t="shared" si="127"/>
        <v>mmol/mol</v>
      </c>
      <c r="S3667" s="13">
        <f t="shared" si="128"/>
        <v>-1.41</v>
      </c>
    </row>
    <row r="3668" spans="1:19">
      <c r="A3668" s="18" t="s">
        <v>3632</v>
      </c>
      <c r="B3668" s="1" t="s">
        <v>3821</v>
      </c>
      <c r="C3668" s="1" t="s">
        <v>4076</v>
      </c>
      <c r="D3668" s="1" t="s">
        <v>4077</v>
      </c>
      <c r="E3668" s="1" t="s">
        <v>25</v>
      </c>
      <c r="F3668">
        <v>635</v>
      </c>
      <c r="G3668">
        <v>635</v>
      </c>
      <c r="H3668" s="1" t="s">
        <v>25</v>
      </c>
      <c r="I3668" s="1" t="s">
        <v>1528</v>
      </c>
      <c r="J3668" s="1" t="s">
        <v>4105</v>
      </c>
      <c r="K3668" s="1" t="s">
        <v>25</v>
      </c>
      <c r="L3668">
        <v>-0.88</v>
      </c>
      <c r="M3668" t="str">
        <f t="shared" si="129"/>
        <v>44/40</v>
      </c>
      <c r="N3668" t="str">
        <f t="shared" si="130"/>
        <v>SW</v>
      </c>
      <c r="O3668" s="1" t="s">
        <v>25</v>
      </c>
      <c r="P3668" s="3" t="s">
        <v>25</v>
      </c>
      <c r="Q3668" s="37">
        <v>0.15</v>
      </c>
      <c r="R3668" t="str">
        <f t="shared" si="127"/>
        <v>mmol/mol</v>
      </c>
      <c r="S3668" s="13">
        <f t="shared" si="128"/>
        <v>-0.88</v>
      </c>
    </row>
    <row r="3669" spans="1:19">
      <c r="A3669" s="18" t="s">
        <v>3632</v>
      </c>
      <c r="B3669" s="1" t="s">
        <v>3822</v>
      </c>
      <c r="C3669" s="1" t="s">
        <v>4076</v>
      </c>
      <c r="D3669" s="1" t="s">
        <v>4077</v>
      </c>
      <c r="E3669" s="1" t="s">
        <v>25</v>
      </c>
      <c r="F3669">
        <v>635</v>
      </c>
      <c r="G3669">
        <v>635</v>
      </c>
      <c r="H3669" s="1" t="s">
        <v>25</v>
      </c>
      <c r="I3669" s="1" t="s">
        <v>1528</v>
      </c>
      <c r="J3669" s="1" t="s">
        <v>4105</v>
      </c>
      <c r="K3669" s="1" t="s">
        <v>25</v>
      </c>
      <c r="L3669">
        <v>-0.97</v>
      </c>
      <c r="M3669" t="str">
        <f t="shared" si="129"/>
        <v>44/40</v>
      </c>
      <c r="N3669" t="str">
        <f t="shared" si="130"/>
        <v>SW</v>
      </c>
      <c r="O3669" s="1" t="s">
        <v>25</v>
      </c>
      <c r="P3669" s="3" t="s">
        <v>25</v>
      </c>
      <c r="Q3669" s="37">
        <v>0.13</v>
      </c>
      <c r="R3669" t="str">
        <f t="shared" si="127"/>
        <v>mmol/mol</v>
      </c>
      <c r="S3669" s="13">
        <f t="shared" si="128"/>
        <v>-0.97</v>
      </c>
    </row>
    <row r="3670" spans="1:19">
      <c r="A3670" s="18" t="s">
        <v>3632</v>
      </c>
      <c r="B3670" s="1" t="s">
        <v>3823</v>
      </c>
      <c r="C3670" s="1" t="s">
        <v>4076</v>
      </c>
      <c r="D3670" s="1" t="s">
        <v>4077</v>
      </c>
      <c r="E3670" s="1" t="s">
        <v>25</v>
      </c>
      <c r="F3670">
        <v>635</v>
      </c>
      <c r="G3670">
        <v>635</v>
      </c>
      <c r="H3670" s="1" t="s">
        <v>25</v>
      </c>
      <c r="I3670" s="1" t="s">
        <v>1528</v>
      </c>
      <c r="J3670" s="1" t="s">
        <v>4105</v>
      </c>
      <c r="K3670" s="1" t="s">
        <v>25</v>
      </c>
      <c r="L3670">
        <v>-1.04</v>
      </c>
      <c r="M3670" t="str">
        <f t="shared" si="129"/>
        <v>44/40</v>
      </c>
      <c r="N3670" t="str">
        <f t="shared" si="130"/>
        <v>SW</v>
      </c>
      <c r="O3670" s="1" t="s">
        <v>25</v>
      </c>
      <c r="P3670" s="3" t="s">
        <v>25</v>
      </c>
      <c r="Q3670" s="37">
        <v>0.13</v>
      </c>
      <c r="R3670" t="str">
        <f t="shared" si="127"/>
        <v>mmol/mol</v>
      </c>
      <c r="S3670" s="13">
        <f t="shared" si="128"/>
        <v>-1.04</v>
      </c>
    </row>
    <row r="3671" spans="1:19">
      <c r="A3671" s="18" t="s">
        <v>3632</v>
      </c>
      <c r="B3671" s="1" t="s">
        <v>3824</v>
      </c>
      <c r="C3671" s="1" t="s">
        <v>4076</v>
      </c>
      <c r="D3671" s="1" t="s">
        <v>4077</v>
      </c>
      <c r="E3671" s="1" t="s">
        <v>25</v>
      </c>
      <c r="F3671">
        <v>635</v>
      </c>
      <c r="G3671">
        <v>635</v>
      </c>
      <c r="H3671" s="1" t="s">
        <v>25</v>
      </c>
      <c r="I3671" s="1" t="s">
        <v>1528</v>
      </c>
      <c r="J3671" s="1" t="s">
        <v>4105</v>
      </c>
      <c r="K3671" s="1" t="s">
        <v>25</v>
      </c>
      <c r="L3671">
        <v>-0.86</v>
      </c>
      <c r="M3671" t="str">
        <f t="shared" si="129"/>
        <v>44/40</v>
      </c>
      <c r="N3671" t="str">
        <f t="shared" si="130"/>
        <v>SW</v>
      </c>
      <c r="O3671" s="1" t="s">
        <v>25</v>
      </c>
      <c r="P3671" s="3" t="s">
        <v>25</v>
      </c>
      <c r="Q3671" s="37">
        <v>0.14000000000000001</v>
      </c>
      <c r="R3671" t="str">
        <f t="shared" si="127"/>
        <v>mmol/mol</v>
      </c>
      <c r="S3671" s="13">
        <f t="shared" si="128"/>
        <v>-0.86</v>
      </c>
    </row>
    <row r="3672" spans="1:19">
      <c r="A3672" s="18" t="s">
        <v>3632</v>
      </c>
      <c r="B3672" s="1" t="s">
        <v>3825</v>
      </c>
      <c r="C3672" s="1" t="s">
        <v>4076</v>
      </c>
      <c r="D3672" s="1" t="s">
        <v>4077</v>
      </c>
      <c r="E3672" s="1" t="s">
        <v>25</v>
      </c>
      <c r="F3672">
        <v>635</v>
      </c>
      <c r="G3672">
        <v>635</v>
      </c>
      <c r="H3672" s="1" t="s">
        <v>25</v>
      </c>
      <c r="I3672" s="1" t="s">
        <v>1528</v>
      </c>
      <c r="J3672" s="1" t="s">
        <v>4105</v>
      </c>
      <c r="K3672" s="1" t="s">
        <v>25</v>
      </c>
      <c r="L3672">
        <v>-1.04</v>
      </c>
      <c r="M3672" t="str">
        <f t="shared" si="129"/>
        <v>44/40</v>
      </c>
      <c r="N3672" t="str">
        <f t="shared" si="130"/>
        <v>SW</v>
      </c>
      <c r="O3672" s="1" t="s">
        <v>25</v>
      </c>
      <c r="P3672" s="3" t="s">
        <v>25</v>
      </c>
      <c r="Q3672" s="37">
        <v>0.14000000000000001</v>
      </c>
      <c r="R3672" t="str">
        <f t="shared" si="127"/>
        <v>mmol/mol</v>
      </c>
      <c r="S3672" s="13">
        <f t="shared" si="128"/>
        <v>-1.04</v>
      </c>
    </row>
    <row r="3673" spans="1:19">
      <c r="A3673" s="18" t="s">
        <v>3632</v>
      </c>
      <c r="B3673" s="1" t="s">
        <v>3826</v>
      </c>
      <c r="C3673" s="1" t="s">
        <v>4076</v>
      </c>
      <c r="D3673" s="1" t="s">
        <v>4077</v>
      </c>
      <c r="E3673" s="1" t="s">
        <v>25</v>
      </c>
      <c r="F3673">
        <v>635</v>
      </c>
      <c r="G3673">
        <v>635</v>
      </c>
      <c r="H3673" s="1" t="s">
        <v>25</v>
      </c>
      <c r="I3673" s="1" t="s">
        <v>1528</v>
      </c>
      <c r="J3673" s="1" t="s">
        <v>4105</v>
      </c>
      <c r="K3673" s="1" t="s">
        <v>25</v>
      </c>
      <c r="L3673">
        <v>-0.96</v>
      </c>
      <c r="M3673" t="str">
        <f t="shared" si="129"/>
        <v>44/40</v>
      </c>
      <c r="N3673" t="str">
        <f t="shared" si="130"/>
        <v>SW</v>
      </c>
      <c r="O3673" s="1" t="s">
        <v>25</v>
      </c>
      <c r="P3673" s="3" t="s">
        <v>25</v>
      </c>
      <c r="Q3673" s="37">
        <v>0.16</v>
      </c>
      <c r="R3673" t="str">
        <f t="shared" ref="R3673:R3736" si="131">IF(Q3673="Na","Na","mmol/mol")</f>
        <v>mmol/mol</v>
      </c>
      <c r="S3673" s="13">
        <f t="shared" si="128"/>
        <v>-0.96</v>
      </c>
    </row>
    <row r="3674" spans="1:19">
      <c r="A3674" s="18" t="s">
        <v>3632</v>
      </c>
      <c r="B3674" s="1" t="s">
        <v>3827</v>
      </c>
      <c r="C3674" s="1" t="s">
        <v>4076</v>
      </c>
      <c r="D3674" s="1" t="s">
        <v>4077</v>
      </c>
      <c r="E3674" s="1" t="s">
        <v>25</v>
      </c>
      <c r="F3674">
        <v>635</v>
      </c>
      <c r="G3674">
        <v>635</v>
      </c>
      <c r="H3674" s="1" t="s">
        <v>25</v>
      </c>
      <c r="I3674" s="1" t="s">
        <v>1528</v>
      </c>
      <c r="J3674" s="1" t="s">
        <v>4105</v>
      </c>
      <c r="K3674" s="1" t="s">
        <v>25</v>
      </c>
      <c r="L3674">
        <v>-0.91</v>
      </c>
      <c r="M3674" t="str">
        <f t="shared" si="129"/>
        <v>44/40</v>
      </c>
      <c r="N3674" t="str">
        <f t="shared" si="130"/>
        <v>SW</v>
      </c>
      <c r="O3674" s="1" t="s">
        <v>25</v>
      </c>
      <c r="P3674" s="3" t="s">
        <v>25</v>
      </c>
      <c r="Q3674" s="37">
        <v>0.18</v>
      </c>
      <c r="R3674" t="str">
        <f t="shared" si="131"/>
        <v>mmol/mol</v>
      </c>
      <c r="S3674" s="13">
        <f t="shared" si="128"/>
        <v>-0.91</v>
      </c>
    </row>
    <row r="3675" spans="1:19">
      <c r="A3675" s="18" t="s">
        <v>3632</v>
      </c>
      <c r="B3675" s="1" t="s">
        <v>3828</v>
      </c>
      <c r="C3675" s="1" t="s">
        <v>4076</v>
      </c>
      <c r="D3675" s="1" t="s">
        <v>4077</v>
      </c>
      <c r="E3675" s="1" t="s">
        <v>25</v>
      </c>
      <c r="F3675">
        <v>635</v>
      </c>
      <c r="G3675">
        <v>635</v>
      </c>
      <c r="H3675" s="1" t="s">
        <v>25</v>
      </c>
      <c r="I3675" s="1" t="s">
        <v>1528</v>
      </c>
      <c r="J3675" s="1" t="s">
        <v>4105</v>
      </c>
      <c r="K3675" s="1" t="s">
        <v>25</v>
      </c>
      <c r="L3675">
        <v>-1.04</v>
      </c>
      <c r="M3675" t="str">
        <f t="shared" si="129"/>
        <v>44/40</v>
      </c>
      <c r="N3675" t="str">
        <f t="shared" si="130"/>
        <v>SW</v>
      </c>
      <c r="O3675" s="1" t="s">
        <v>25</v>
      </c>
      <c r="P3675" s="3" t="s">
        <v>25</v>
      </c>
      <c r="Q3675" s="37">
        <v>0.18</v>
      </c>
      <c r="R3675" t="str">
        <f t="shared" si="131"/>
        <v>mmol/mol</v>
      </c>
      <c r="S3675" s="13">
        <f t="shared" si="128"/>
        <v>-1.04</v>
      </c>
    </row>
    <row r="3676" spans="1:19">
      <c r="A3676" s="18" t="s">
        <v>3632</v>
      </c>
      <c r="B3676" s="1" t="s">
        <v>3829</v>
      </c>
      <c r="C3676" s="1" t="s">
        <v>4076</v>
      </c>
      <c r="D3676" s="1" t="s">
        <v>4077</v>
      </c>
      <c r="E3676" s="1" t="s">
        <v>25</v>
      </c>
      <c r="F3676">
        <v>635</v>
      </c>
      <c r="G3676">
        <v>635</v>
      </c>
      <c r="H3676" s="1" t="s">
        <v>25</v>
      </c>
      <c r="I3676" s="1" t="s">
        <v>1528</v>
      </c>
      <c r="J3676" s="1" t="s">
        <v>4105</v>
      </c>
      <c r="K3676" s="1" t="s">
        <v>25</v>
      </c>
      <c r="L3676">
        <v>-1</v>
      </c>
      <c r="M3676" t="str">
        <f t="shared" si="129"/>
        <v>44/40</v>
      </c>
      <c r="N3676" t="str">
        <f t="shared" si="130"/>
        <v>SW</v>
      </c>
      <c r="O3676" s="1" t="s">
        <v>25</v>
      </c>
      <c r="P3676" s="3" t="s">
        <v>25</v>
      </c>
      <c r="Q3676" s="37">
        <v>0.17</v>
      </c>
      <c r="R3676" t="str">
        <f t="shared" si="131"/>
        <v>mmol/mol</v>
      </c>
      <c r="S3676" s="13">
        <f t="shared" si="128"/>
        <v>-1</v>
      </c>
    </row>
    <row r="3677" spans="1:19">
      <c r="A3677" s="18" t="s">
        <v>3632</v>
      </c>
      <c r="B3677" s="1" t="s">
        <v>3830</v>
      </c>
      <c r="C3677" s="1" t="s">
        <v>4076</v>
      </c>
      <c r="D3677" s="1" t="s">
        <v>4077</v>
      </c>
      <c r="E3677" s="1" t="s">
        <v>25</v>
      </c>
      <c r="F3677">
        <v>635</v>
      </c>
      <c r="G3677">
        <v>635</v>
      </c>
      <c r="H3677" s="1" t="s">
        <v>25</v>
      </c>
      <c r="I3677" s="1" t="s">
        <v>1528</v>
      </c>
      <c r="J3677" s="1" t="s">
        <v>4105</v>
      </c>
      <c r="K3677" s="1" t="s">
        <v>25</v>
      </c>
      <c r="L3677">
        <v>-0.94</v>
      </c>
      <c r="M3677" t="str">
        <f t="shared" si="129"/>
        <v>44/40</v>
      </c>
      <c r="N3677" t="str">
        <f t="shared" si="130"/>
        <v>SW</v>
      </c>
      <c r="O3677" s="1" t="s">
        <v>25</v>
      </c>
      <c r="P3677" s="3" t="s">
        <v>25</v>
      </c>
      <c r="Q3677" s="37">
        <v>0.17</v>
      </c>
      <c r="R3677" t="str">
        <f t="shared" si="131"/>
        <v>mmol/mol</v>
      </c>
      <c r="S3677" s="13">
        <f t="shared" si="128"/>
        <v>-0.94</v>
      </c>
    </row>
    <row r="3678" spans="1:19">
      <c r="A3678" s="18" t="s">
        <v>3632</v>
      </c>
      <c r="B3678" s="1" t="s">
        <v>3831</v>
      </c>
      <c r="C3678" s="1" t="s">
        <v>4076</v>
      </c>
      <c r="D3678" s="1" t="s">
        <v>4077</v>
      </c>
      <c r="E3678" s="1" t="s">
        <v>25</v>
      </c>
      <c r="F3678">
        <v>635</v>
      </c>
      <c r="G3678">
        <v>635</v>
      </c>
      <c r="H3678" s="1" t="s">
        <v>25</v>
      </c>
      <c r="I3678" s="1" t="s">
        <v>1528</v>
      </c>
      <c r="J3678" s="1" t="s">
        <v>4105</v>
      </c>
      <c r="K3678" s="1" t="s">
        <v>25</v>
      </c>
      <c r="L3678">
        <v>-1.1399999999999999</v>
      </c>
      <c r="M3678" t="str">
        <f t="shared" si="129"/>
        <v>44/40</v>
      </c>
      <c r="N3678" t="str">
        <f t="shared" si="130"/>
        <v>SW</v>
      </c>
      <c r="O3678" s="1" t="s">
        <v>25</v>
      </c>
      <c r="P3678" s="3" t="s">
        <v>25</v>
      </c>
      <c r="Q3678" s="37">
        <v>0.16</v>
      </c>
      <c r="R3678" t="str">
        <f t="shared" si="131"/>
        <v>mmol/mol</v>
      </c>
      <c r="S3678" s="13">
        <f t="shared" si="128"/>
        <v>-1.1399999999999999</v>
      </c>
    </row>
    <row r="3679" spans="1:19">
      <c r="A3679" s="18" t="s">
        <v>3632</v>
      </c>
      <c r="B3679" s="1" t="s">
        <v>3832</v>
      </c>
      <c r="C3679" s="1" t="s">
        <v>4076</v>
      </c>
      <c r="D3679" s="1" t="s">
        <v>4077</v>
      </c>
      <c r="E3679" s="1" t="s">
        <v>25</v>
      </c>
      <c r="F3679">
        <v>635</v>
      </c>
      <c r="G3679">
        <v>635</v>
      </c>
      <c r="H3679" s="1" t="s">
        <v>25</v>
      </c>
      <c r="I3679" s="1" t="s">
        <v>1528</v>
      </c>
      <c r="J3679" s="1" t="s">
        <v>4105</v>
      </c>
      <c r="K3679" s="1" t="s">
        <v>25</v>
      </c>
      <c r="L3679">
        <v>-1.1299999999999999</v>
      </c>
      <c r="M3679" t="str">
        <f t="shared" si="129"/>
        <v>44/40</v>
      </c>
      <c r="N3679" t="str">
        <f t="shared" si="130"/>
        <v>SW</v>
      </c>
      <c r="O3679" s="1" t="s">
        <v>25</v>
      </c>
      <c r="P3679" s="3" t="s">
        <v>25</v>
      </c>
      <c r="Q3679" s="37">
        <v>0.17</v>
      </c>
      <c r="R3679" t="str">
        <f t="shared" si="131"/>
        <v>mmol/mol</v>
      </c>
      <c r="S3679" s="13">
        <f t="shared" si="128"/>
        <v>-1.1299999999999999</v>
      </c>
    </row>
    <row r="3680" spans="1:19">
      <c r="A3680" s="18" t="s">
        <v>3632</v>
      </c>
      <c r="B3680" s="1" t="s">
        <v>3833</v>
      </c>
      <c r="C3680" s="1" t="s">
        <v>4076</v>
      </c>
      <c r="D3680" s="1" t="s">
        <v>4077</v>
      </c>
      <c r="E3680" s="1" t="s">
        <v>25</v>
      </c>
      <c r="F3680">
        <v>635</v>
      </c>
      <c r="G3680">
        <v>635</v>
      </c>
      <c r="H3680" s="1" t="s">
        <v>25</v>
      </c>
      <c r="I3680" s="1" t="s">
        <v>1528</v>
      </c>
      <c r="J3680" s="1" t="s">
        <v>4105</v>
      </c>
      <c r="K3680" s="1" t="s">
        <v>25</v>
      </c>
      <c r="L3680">
        <v>-1.1399999999999999</v>
      </c>
      <c r="M3680" t="str">
        <f t="shared" si="129"/>
        <v>44/40</v>
      </c>
      <c r="N3680" t="str">
        <f t="shared" si="130"/>
        <v>SW</v>
      </c>
      <c r="O3680" s="1" t="s">
        <v>25</v>
      </c>
      <c r="P3680" s="3" t="s">
        <v>25</v>
      </c>
      <c r="Q3680" s="37">
        <v>0.17</v>
      </c>
      <c r="R3680" t="str">
        <f t="shared" si="131"/>
        <v>mmol/mol</v>
      </c>
      <c r="S3680" s="13">
        <f t="shared" si="128"/>
        <v>-1.1399999999999999</v>
      </c>
    </row>
    <row r="3681" spans="1:19">
      <c r="A3681" s="18" t="s">
        <v>3632</v>
      </c>
      <c r="B3681" s="1" t="s">
        <v>3834</v>
      </c>
      <c r="C3681" s="1" t="s">
        <v>4076</v>
      </c>
      <c r="D3681" s="1" t="s">
        <v>4077</v>
      </c>
      <c r="E3681" s="1" t="s">
        <v>25</v>
      </c>
      <c r="F3681">
        <v>635</v>
      </c>
      <c r="G3681">
        <v>635</v>
      </c>
      <c r="H3681" s="1" t="s">
        <v>25</v>
      </c>
      <c r="I3681" s="1" t="s">
        <v>1528</v>
      </c>
      <c r="J3681" s="1" t="s">
        <v>4105</v>
      </c>
      <c r="K3681" s="1" t="s">
        <v>25</v>
      </c>
      <c r="L3681">
        <v>-1.17</v>
      </c>
      <c r="M3681" t="str">
        <f t="shared" si="129"/>
        <v>44/40</v>
      </c>
      <c r="N3681" t="str">
        <f t="shared" si="130"/>
        <v>SW</v>
      </c>
      <c r="O3681" s="1" t="s">
        <v>25</v>
      </c>
      <c r="P3681" s="3" t="s">
        <v>25</v>
      </c>
      <c r="Q3681" s="37">
        <v>0.15</v>
      </c>
      <c r="R3681" t="str">
        <f t="shared" si="131"/>
        <v>mmol/mol</v>
      </c>
      <c r="S3681" s="13">
        <f t="shared" si="128"/>
        <v>-1.17</v>
      </c>
    </row>
    <row r="3682" spans="1:19">
      <c r="A3682" s="18" t="s">
        <v>3632</v>
      </c>
      <c r="B3682" s="1" t="s">
        <v>3835</v>
      </c>
      <c r="C3682" s="1" t="s">
        <v>4076</v>
      </c>
      <c r="D3682" s="1" t="s">
        <v>4077</v>
      </c>
      <c r="E3682" s="1" t="s">
        <v>25</v>
      </c>
      <c r="F3682">
        <v>635</v>
      </c>
      <c r="G3682">
        <v>635</v>
      </c>
      <c r="H3682" s="1" t="s">
        <v>25</v>
      </c>
      <c r="I3682" s="1" t="s">
        <v>1528</v>
      </c>
      <c r="J3682" s="1" t="s">
        <v>4105</v>
      </c>
      <c r="K3682" s="1" t="s">
        <v>25</v>
      </c>
      <c r="L3682">
        <v>-1.26</v>
      </c>
      <c r="M3682" t="str">
        <f t="shared" si="129"/>
        <v>44/40</v>
      </c>
      <c r="N3682" t="str">
        <f t="shared" si="130"/>
        <v>SW</v>
      </c>
      <c r="O3682" s="1" t="s">
        <v>25</v>
      </c>
      <c r="P3682" s="3" t="s">
        <v>25</v>
      </c>
      <c r="Q3682" s="37">
        <v>0.14000000000000001</v>
      </c>
      <c r="R3682" t="str">
        <f t="shared" si="131"/>
        <v>mmol/mol</v>
      </c>
      <c r="S3682" s="13">
        <f t="shared" si="128"/>
        <v>-1.26</v>
      </c>
    </row>
    <row r="3683" spans="1:19">
      <c r="A3683" s="18" t="s">
        <v>3632</v>
      </c>
      <c r="B3683" s="1" t="s">
        <v>3836</v>
      </c>
      <c r="C3683" s="1" t="s">
        <v>4076</v>
      </c>
      <c r="D3683" s="1" t="s">
        <v>4077</v>
      </c>
      <c r="E3683" s="1" t="s">
        <v>25</v>
      </c>
      <c r="F3683">
        <v>635</v>
      </c>
      <c r="G3683">
        <v>635</v>
      </c>
      <c r="H3683" s="1" t="s">
        <v>25</v>
      </c>
      <c r="I3683" s="1" t="s">
        <v>1528</v>
      </c>
      <c r="J3683" s="1" t="s">
        <v>4105</v>
      </c>
      <c r="K3683" s="1" t="s">
        <v>25</v>
      </c>
      <c r="L3683">
        <v>-1.22</v>
      </c>
      <c r="M3683" t="str">
        <f t="shared" si="129"/>
        <v>44/40</v>
      </c>
      <c r="N3683" t="str">
        <f t="shared" si="130"/>
        <v>SW</v>
      </c>
      <c r="O3683" s="1" t="s">
        <v>25</v>
      </c>
      <c r="P3683" s="3" t="s">
        <v>25</v>
      </c>
      <c r="Q3683" s="37">
        <v>0.15</v>
      </c>
      <c r="R3683" t="str">
        <f t="shared" si="131"/>
        <v>mmol/mol</v>
      </c>
      <c r="S3683" s="13">
        <f t="shared" si="128"/>
        <v>-1.22</v>
      </c>
    </row>
    <row r="3684" spans="1:19">
      <c r="A3684" s="18" t="s">
        <v>3632</v>
      </c>
      <c r="B3684" s="1" t="s">
        <v>3837</v>
      </c>
      <c r="C3684" s="1" t="s">
        <v>4076</v>
      </c>
      <c r="D3684" s="1" t="s">
        <v>4077</v>
      </c>
      <c r="E3684" s="1" t="s">
        <v>25</v>
      </c>
      <c r="F3684">
        <v>635</v>
      </c>
      <c r="G3684">
        <v>635</v>
      </c>
      <c r="H3684" s="1" t="s">
        <v>25</v>
      </c>
      <c r="I3684" s="1" t="s">
        <v>1528</v>
      </c>
      <c r="J3684" s="1" t="s">
        <v>4105</v>
      </c>
      <c r="K3684" s="1" t="s">
        <v>25</v>
      </c>
      <c r="L3684">
        <v>-1.27</v>
      </c>
      <c r="M3684" t="str">
        <f t="shared" si="129"/>
        <v>44/40</v>
      </c>
      <c r="N3684" t="str">
        <f t="shared" si="130"/>
        <v>SW</v>
      </c>
      <c r="O3684" s="1" t="s">
        <v>25</v>
      </c>
      <c r="P3684" s="3" t="s">
        <v>25</v>
      </c>
      <c r="Q3684" s="37">
        <v>0.17</v>
      </c>
      <c r="R3684" t="str">
        <f t="shared" si="131"/>
        <v>mmol/mol</v>
      </c>
      <c r="S3684" s="13">
        <f t="shared" si="128"/>
        <v>-1.27</v>
      </c>
    </row>
    <row r="3685" spans="1:19">
      <c r="A3685" s="18" t="s">
        <v>3632</v>
      </c>
      <c r="B3685" s="1" t="s">
        <v>3838</v>
      </c>
      <c r="C3685" s="1" t="s">
        <v>4076</v>
      </c>
      <c r="D3685" s="1" t="s">
        <v>4077</v>
      </c>
      <c r="E3685" s="1" t="s">
        <v>25</v>
      </c>
      <c r="F3685">
        <v>635</v>
      </c>
      <c r="G3685">
        <v>635</v>
      </c>
      <c r="H3685" s="1" t="s">
        <v>25</v>
      </c>
      <c r="I3685" s="1" t="s">
        <v>1528</v>
      </c>
      <c r="J3685" s="1" t="s">
        <v>4105</v>
      </c>
      <c r="K3685" s="1" t="s">
        <v>25</v>
      </c>
      <c r="L3685">
        <v>-1.2</v>
      </c>
      <c r="M3685" t="str">
        <f t="shared" si="129"/>
        <v>44/40</v>
      </c>
      <c r="N3685" t="str">
        <f t="shared" si="130"/>
        <v>SW</v>
      </c>
      <c r="O3685" s="1" t="s">
        <v>25</v>
      </c>
      <c r="P3685" s="3" t="s">
        <v>25</v>
      </c>
      <c r="Q3685" s="37">
        <v>0.11</v>
      </c>
      <c r="R3685" t="str">
        <f t="shared" si="131"/>
        <v>mmol/mol</v>
      </c>
      <c r="S3685" s="13">
        <f t="shared" si="128"/>
        <v>-1.2</v>
      </c>
    </row>
    <row r="3686" spans="1:19">
      <c r="A3686" s="18" t="s">
        <v>3632</v>
      </c>
      <c r="B3686" s="1" t="s">
        <v>3839</v>
      </c>
      <c r="C3686" s="1" t="s">
        <v>4076</v>
      </c>
      <c r="D3686" s="1" t="s">
        <v>4077</v>
      </c>
      <c r="E3686" s="1" t="s">
        <v>25</v>
      </c>
      <c r="F3686">
        <v>635</v>
      </c>
      <c r="G3686">
        <v>635</v>
      </c>
      <c r="H3686" s="1" t="s">
        <v>25</v>
      </c>
      <c r="I3686" s="1" t="s">
        <v>1528</v>
      </c>
      <c r="J3686" s="1" t="s">
        <v>4105</v>
      </c>
      <c r="K3686" s="1" t="s">
        <v>25</v>
      </c>
      <c r="L3686">
        <v>-1.19</v>
      </c>
      <c r="M3686" t="str">
        <f t="shared" si="129"/>
        <v>44/40</v>
      </c>
      <c r="N3686" t="str">
        <f t="shared" si="130"/>
        <v>SW</v>
      </c>
      <c r="O3686" s="1" t="s">
        <v>25</v>
      </c>
      <c r="P3686" s="3" t="s">
        <v>25</v>
      </c>
      <c r="Q3686" s="37">
        <v>0.12</v>
      </c>
      <c r="R3686" t="str">
        <f t="shared" si="131"/>
        <v>mmol/mol</v>
      </c>
      <c r="S3686" s="13">
        <f t="shared" si="128"/>
        <v>-1.19</v>
      </c>
    </row>
    <row r="3687" spans="1:19">
      <c r="A3687" s="18" t="s">
        <v>3632</v>
      </c>
      <c r="B3687" s="1" t="s">
        <v>3840</v>
      </c>
      <c r="C3687" s="1" t="s">
        <v>4081</v>
      </c>
      <c r="D3687" s="1" t="s">
        <v>4085</v>
      </c>
      <c r="E3687" s="1" t="s">
        <v>25</v>
      </c>
      <c r="F3687">
        <v>635</v>
      </c>
      <c r="G3687">
        <v>635</v>
      </c>
      <c r="H3687" s="1" t="s">
        <v>25</v>
      </c>
      <c r="I3687" s="1" t="s">
        <v>1528</v>
      </c>
      <c r="J3687" s="1" t="s">
        <v>4105</v>
      </c>
      <c r="K3687" s="1" t="s">
        <v>25</v>
      </c>
      <c r="L3687">
        <v>-0.83</v>
      </c>
      <c r="M3687" t="str">
        <f t="shared" si="129"/>
        <v>44/40</v>
      </c>
      <c r="N3687" t="str">
        <f t="shared" si="130"/>
        <v>SW</v>
      </c>
      <c r="O3687" s="1" t="s">
        <v>25</v>
      </c>
      <c r="P3687" s="3" t="s">
        <v>25</v>
      </c>
      <c r="Q3687" s="37">
        <v>0.43</v>
      </c>
      <c r="R3687" t="str">
        <f t="shared" si="131"/>
        <v>mmol/mol</v>
      </c>
      <c r="S3687" s="13">
        <f t="shared" si="128"/>
        <v>-0.83</v>
      </c>
    </row>
    <row r="3688" spans="1:19">
      <c r="A3688" s="18" t="s">
        <v>3632</v>
      </c>
      <c r="B3688" s="1" t="s">
        <v>3841</v>
      </c>
      <c r="C3688" s="1" t="s">
        <v>4081</v>
      </c>
      <c r="D3688" s="1" t="s">
        <v>4085</v>
      </c>
      <c r="E3688" s="1" t="s">
        <v>25</v>
      </c>
      <c r="F3688">
        <v>635</v>
      </c>
      <c r="G3688">
        <v>635</v>
      </c>
      <c r="H3688" s="1" t="s">
        <v>25</v>
      </c>
      <c r="I3688" s="1" t="s">
        <v>1528</v>
      </c>
      <c r="J3688" s="1" t="s">
        <v>4105</v>
      </c>
      <c r="K3688" s="1" t="s">
        <v>25</v>
      </c>
      <c r="L3688">
        <v>-0.82</v>
      </c>
      <c r="M3688" t="str">
        <f t="shared" si="129"/>
        <v>44/40</v>
      </c>
      <c r="N3688" t="str">
        <f t="shared" si="130"/>
        <v>SW</v>
      </c>
      <c r="O3688" s="1" t="s">
        <v>25</v>
      </c>
      <c r="P3688" s="3" t="s">
        <v>25</v>
      </c>
      <c r="Q3688" s="37">
        <v>0.28000000000000003</v>
      </c>
      <c r="R3688" t="str">
        <f t="shared" si="131"/>
        <v>mmol/mol</v>
      </c>
      <c r="S3688" s="13">
        <f t="shared" si="128"/>
        <v>-0.82</v>
      </c>
    </row>
    <row r="3689" spans="1:19">
      <c r="A3689" s="18" t="s">
        <v>3632</v>
      </c>
      <c r="B3689" s="1" t="s">
        <v>3842</v>
      </c>
      <c r="C3689" s="1" t="s">
        <v>4081</v>
      </c>
      <c r="D3689" s="1" t="s">
        <v>4085</v>
      </c>
      <c r="E3689" s="1" t="s">
        <v>25</v>
      </c>
      <c r="F3689">
        <v>635</v>
      </c>
      <c r="G3689">
        <v>635</v>
      </c>
      <c r="H3689" s="1" t="s">
        <v>25</v>
      </c>
      <c r="I3689" s="1" t="s">
        <v>1528</v>
      </c>
      <c r="J3689" s="1" t="s">
        <v>4105</v>
      </c>
      <c r="K3689" s="1" t="s">
        <v>25</v>
      </c>
      <c r="L3689">
        <v>-0.88</v>
      </c>
      <c r="M3689" t="str">
        <f t="shared" si="129"/>
        <v>44/40</v>
      </c>
      <c r="N3689" t="str">
        <f t="shared" si="130"/>
        <v>SW</v>
      </c>
      <c r="O3689" s="1" t="s">
        <v>25</v>
      </c>
      <c r="P3689" s="3" t="s">
        <v>25</v>
      </c>
      <c r="Q3689" s="37">
        <v>0.27</v>
      </c>
      <c r="R3689" t="str">
        <f t="shared" si="131"/>
        <v>mmol/mol</v>
      </c>
      <c r="S3689" s="13">
        <f t="shared" si="128"/>
        <v>-0.88</v>
      </c>
    </row>
    <row r="3690" spans="1:19">
      <c r="A3690" s="18" t="s">
        <v>3632</v>
      </c>
      <c r="B3690" s="1" t="s">
        <v>3843</v>
      </c>
      <c r="C3690" s="1" t="s">
        <v>4081</v>
      </c>
      <c r="D3690" s="1" t="s">
        <v>4085</v>
      </c>
      <c r="E3690" s="1" t="s">
        <v>25</v>
      </c>
      <c r="F3690">
        <v>635</v>
      </c>
      <c r="G3690">
        <v>635</v>
      </c>
      <c r="H3690" s="1" t="s">
        <v>25</v>
      </c>
      <c r="I3690" s="1" t="s">
        <v>1528</v>
      </c>
      <c r="J3690" s="1" t="s">
        <v>4105</v>
      </c>
      <c r="K3690" s="1" t="s">
        <v>25</v>
      </c>
      <c r="L3690">
        <v>-0.76</v>
      </c>
      <c r="M3690" t="str">
        <f t="shared" si="129"/>
        <v>44/40</v>
      </c>
      <c r="N3690" t="str">
        <f t="shared" si="130"/>
        <v>SW</v>
      </c>
      <c r="O3690" s="1" t="s">
        <v>25</v>
      </c>
      <c r="P3690" s="3" t="s">
        <v>25</v>
      </c>
      <c r="Q3690" s="37">
        <v>0.27</v>
      </c>
      <c r="R3690" t="str">
        <f t="shared" si="131"/>
        <v>mmol/mol</v>
      </c>
      <c r="S3690" s="13">
        <f t="shared" si="128"/>
        <v>-0.76</v>
      </c>
    </row>
    <row r="3691" spans="1:19">
      <c r="A3691" s="18" t="s">
        <v>3632</v>
      </c>
      <c r="B3691" s="1" t="s">
        <v>3844</v>
      </c>
      <c r="C3691" s="1" t="s">
        <v>4081</v>
      </c>
      <c r="D3691" s="1" t="s">
        <v>4085</v>
      </c>
      <c r="E3691" s="1" t="s">
        <v>25</v>
      </c>
      <c r="F3691">
        <v>635</v>
      </c>
      <c r="G3691">
        <v>635</v>
      </c>
      <c r="H3691" s="1" t="s">
        <v>25</v>
      </c>
      <c r="I3691" s="1" t="s">
        <v>1528</v>
      </c>
      <c r="J3691" s="1" t="s">
        <v>4105</v>
      </c>
      <c r="K3691" s="1" t="s">
        <v>25</v>
      </c>
      <c r="L3691">
        <v>-0.88</v>
      </c>
      <c r="M3691" t="str">
        <f t="shared" si="129"/>
        <v>44/40</v>
      </c>
      <c r="N3691" t="str">
        <f t="shared" si="130"/>
        <v>SW</v>
      </c>
      <c r="O3691" s="1" t="s">
        <v>25</v>
      </c>
      <c r="P3691" s="3" t="s">
        <v>25</v>
      </c>
      <c r="Q3691" s="37">
        <v>0.23</v>
      </c>
      <c r="R3691" t="str">
        <f t="shared" si="131"/>
        <v>mmol/mol</v>
      </c>
      <c r="S3691" s="13">
        <f t="shared" si="128"/>
        <v>-0.88</v>
      </c>
    </row>
    <row r="3692" spans="1:19">
      <c r="A3692" s="18" t="s">
        <v>3632</v>
      </c>
      <c r="B3692" s="1" t="s">
        <v>3845</v>
      </c>
      <c r="C3692" s="1" t="s">
        <v>4081</v>
      </c>
      <c r="D3692" s="1" t="s">
        <v>4085</v>
      </c>
      <c r="E3692" s="1" t="s">
        <v>25</v>
      </c>
      <c r="F3692">
        <v>635</v>
      </c>
      <c r="G3692">
        <v>635</v>
      </c>
      <c r="H3692" s="1" t="s">
        <v>25</v>
      </c>
      <c r="I3692" s="1" t="s">
        <v>1528</v>
      </c>
      <c r="J3692" s="1" t="s">
        <v>4105</v>
      </c>
      <c r="K3692" s="1" t="s">
        <v>25</v>
      </c>
      <c r="L3692">
        <v>-0.94</v>
      </c>
      <c r="M3692" t="str">
        <f t="shared" si="129"/>
        <v>44/40</v>
      </c>
      <c r="N3692" t="str">
        <f t="shared" si="130"/>
        <v>SW</v>
      </c>
      <c r="O3692" s="1" t="s">
        <v>25</v>
      </c>
      <c r="P3692" s="3" t="s">
        <v>25</v>
      </c>
      <c r="Q3692" s="37">
        <v>0.23</v>
      </c>
      <c r="R3692" t="str">
        <f t="shared" si="131"/>
        <v>mmol/mol</v>
      </c>
      <c r="S3692" s="13">
        <f t="shared" ref="S3692:S3755" si="132">IF(NOT(N3692="SW"),L3692-1.88,L3692)</f>
        <v>-0.94</v>
      </c>
    </row>
    <row r="3693" spans="1:19">
      <c r="A3693" s="18" t="s">
        <v>3632</v>
      </c>
      <c r="B3693" s="1" t="s">
        <v>3846</v>
      </c>
      <c r="C3693" s="1" t="s">
        <v>4081</v>
      </c>
      <c r="D3693" s="1" t="s">
        <v>4085</v>
      </c>
      <c r="E3693" s="1" t="s">
        <v>25</v>
      </c>
      <c r="F3693">
        <v>635</v>
      </c>
      <c r="G3693">
        <v>635</v>
      </c>
      <c r="H3693" s="1" t="s">
        <v>25</v>
      </c>
      <c r="I3693" s="1" t="s">
        <v>1528</v>
      </c>
      <c r="J3693" s="1" t="s">
        <v>4105</v>
      </c>
      <c r="K3693" s="1" t="s">
        <v>25</v>
      </c>
      <c r="L3693">
        <v>-0.77</v>
      </c>
      <c r="M3693" t="str">
        <f t="shared" si="129"/>
        <v>44/40</v>
      </c>
      <c r="N3693" t="str">
        <f t="shared" si="130"/>
        <v>SW</v>
      </c>
      <c r="O3693" s="1" t="s">
        <v>25</v>
      </c>
      <c r="P3693" s="3" t="s">
        <v>25</v>
      </c>
      <c r="Q3693" s="37">
        <v>0.22</v>
      </c>
      <c r="R3693" t="str">
        <f t="shared" si="131"/>
        <v>mmol/mol</v>
      </c>
      <c r="S3693" s="13">
        <f t="shared" si="132"/>
        <v>-0.77</v>
      </c>
    </row>
    <row r="3694" spans="1:19">
      <c r="A3694" s="18" t="s">
        <v>3632</v>
      </c>
      <c r="B3694" s="1" t="s">
        <v>3847</v>
      </c>
      <c r="C3694" s="1" t="s">
        <v>4081</v>
      </c>
      <c r="D3694" s="1" t="s">
        <v>4085</v>
      </c>
      <c r="E3694" s="1" t="s">
        <v>25</v>
      </c>
      <c r="F3694">
        <v>635</v>
      </c>
      <c r="G3694">
        <v>635</v>
      </c>
      <c r="H3694" s="1" t="s">
        <v>25</v>
      </c>
      <c r="I3694" s="1" t="s">
        <v>1528</v>
      </c>
      <c r="J3694" s="1" t="s">
        <v>4105</v>
      </c>
      <c r="K3694" s="1" t="s">
        <v>25</v>
      </c>
      <c r="L3694">
        <v>-0.88</v>
      </c>
      <c r="M3694" t="str">
        <f t="shared" si="129"/>
        <v>44/40</v>
      </c>
      <c r="N3694" t="str">
        <f t="shared" si="130"/>
        <v>SW</v>
      </c>
      <c r="O3694" s="1" t="s">
        <v>25</v>
      </c>
      <c r="P3694" s="3" t="s">
        <v>25</v>
      </c>
      <c r="Q3694" s="37">
        <v>0.21</v>
      </c>
      <c r="R3694" t="str">
        <f t="shared" si="131"/>
        <v>mmol/mol</v>
      </c>
      <c r="S3694" s="13">
        <f t="shared" si="132"/>
        <v>-0.88</v>
      </c>
    </row>
    <row r="3695" spans="1:19">
      <c r="A3695" s="18" t="s">
        <v>3632</v>
      </c>
      <c r="B3695" s="1" t="s">
        <v>3848</v>
      </c>
      <c r="C3695" s="1" t="s">
        <v>4081</v>
      </c>
      <c r="D3695" s="1" t="s">
        <v>4085</v>
      </c>
      <c r="E3695" s="1" t="s">
        <v>25</v>
      </c>
      <c r="F3695">
        <v>635</v>
      </c>
      <c r="G3695">
        <v>635</v>
      </c>
      <c r="H3695" s="1" t="s">
        <v>25</v>
      </c>
      <c r="I3695" s="1" t="s">
        <v>1528</v>
      </c>
      <c r="J3695" s="1" t="s">
        <v>4105</v>
      </c>
      <c r="K3695" s="1" t="s">
        <v>25</v>
      </c>
      <c r="L3695">
        <v>-0.92</v>
      </c>
      <c r="M3695" t="str">
        <f t="shared" si="129"/>
        <v>44/40</v>
      </c>
      <c r="N3695" t="str">
        <f t="shared" si="130"/>
        <v>SW</v>
      </c>
      <c r="O3695" s="1" t="s">
        <v>25</v>
      </c>
      <c r="P3695" s="3" t="s">
        <v>25</v>
      </c>
      <c r="Q3695" s="37">
        <v>0.2</v>
      </c>
      <c r="R3695" t="str">
        <f t="shared" si="131"/>
        <v>mmol/mol</v>
      </c>
      <c r="S3695" s="13">
        <f t="shared" si="132"/>
        <v>-0.92</v>
      </c>
    </row>
    <row r="3696" spans="1:19">
      <c r="A3696" s="18" t="s">
        <v>3632</v>
      </c>
      <c r="B3696" s="1" t="s">
        <v>3849</v>
      </c>
      <c r="C3696" s="1" t="s">
        <v>4081</v>
      </c>
      <c r="D3696" s="1" t="s">
        <v>4085</v>
      </c>
      <c r="E3696" s="1" t="s">
        <v>25</v>
      </c>
      <c r="F3696">
        <v>635</v>
      </c>
      <c r="G3696">
        <v>635</v>
      </c>
      <c r="H3696" s="1" t="s">
        <v>25</v>
      </c>
      <c r="I3696" s="1" t="s">
        <v>1528</v>
      </c>
      <c r="J3696" s="1" t="s">
        <v>4105</v>
      </c>
      <c r="K3696" s="1" t="s">
        <v>25</v>
      </c>
      <c r="L3696">
        <v>-0.79</v>
      </c>
      <c r="M3696" t="str">
        <f t="shared" ref="M3696:M3759" si="133">IF(L3696="Na","Na","44/40")</f>
        <v>44/40</v>
      </c>
      <c r="N3696" t="str">
        <f t="shared" ref="N3696:N3759" si="134">IF(M3696="Na","Na","SW")</f>
        <v>SW</v>
      </c>
      <c r="O3696" s="1" t="s">
        <v>25</v>
      </c>
      <c r="P3696" s="3" t="s">
        <v>25</v>
      </c>
      <c r="Q3696" s="37">
        <v>0.21</v>
      </c>
      <c r="R3696" t="str">
        <f t="shared" si="131"/>
        <v>mmol/mol</v>
      </c>
      <c r="S3696" s="13">
        <f t="shared" si="132"/>
        <v>-0.79</v>
      </c>
    </row>
    <row r="3697" spans="1:19">
      <c r="A3697" s="18" t="s">
        <v>3632</v>
      </c>
      <c r="B3697" s="1" t="s">
        <v>3850</v>
      </c>
      <c r="C3697" s="1" t="s">
        <v>4081</v>
      </c>
      <c r="D3697" s="1" t="s">
        <v>4085</v>
      </c>
      <c r="E3697" s="1" t="s">
        <v>25</v>
      </c>
      <c r="F3697">
        <v>635</v>
      </c>
      <c r="G3697">
        <v>635</v>
      </c>
      <c r="H3697" s="1" t="s">
        <v>25</v>
      </c>
      <c r="I3697" s="1" t="s">
        <v>1528</v>
      </c>
      <c r="J3697" s="1" t="s">
        <v>4105</v>
      </c>
      <c r="K3697" s="1" t="s">
        <v>25</v>
      </c>
      <c r="L3697">
        <v>-0.85</v>
      </c>
      <c r="M3697" t="str">
        <f t="shared" si="133"/>
        <v>44/40</v>
      </c>
      <c r="N3697" t="str">
        <f t="shared" si="134"/>
        <v>SW</v>
      </c>
      <c r="O3697" s="1" t="s">
        <v>25</v>
      </c>
      <c r="P3697" s="3" t="s">
        <v>25</v>
      </c>
      <c r="Q3697" s="37">
        <v>0.23</v>
      </c>
      <c r="R3697" t="str">
        <f t="shared" si="131"/>
        <v>mmol/mol</v>
      </c>
      <c r="S3697" s="13">
        <f t="shared" si="132"/>
        <v>-0.85</v>
      </c>
    </row>
    <row r="3698" spans="1:19">
      <c r="A3698" s="18" t="s">
        <v>3632</v>
      </c>
      <c r="B3698" s="1" t="s">
        <v>3851</v>
      </c>
      <c r="C3698" s="1" t="s">
        <v>4081</v>
      </c>
      <c r="D3698" s="1" t="s">
        <v>4085</v>
      </c>
      <c r="E3698" s="1" t="s">
        <v>25</v>
      </c>
      <c r="F3698">
        <v>635</v>
      </c>
      <c r="G3698">
        <v>635</v>
      </c>
      <c r="H3698" s="1" t="s">
        <v>25</v>
      </c>
      <c r="I3698" s="1" t="s">
        <v>1528</v>
      </c>
      <c r="J3698" s="1" t="s">
        <v>4105</v>
      </c>
      <c r="K3698" s="1" t="s">
        <v>25</v>
      </c>
      <c r="L3698">
        <v>-0.91</v>
      </c>
      <c r="M3698" t="str">
        <f t="shared" si="133"/>
        <v>44/40</v>
      </c>
      <c r="N3698" t="str">
        <f t="shared" si="134"/>
        <v>SW</v>
      </c>
      <c r="O3698" s="1" t="s">
        <v>25</v>
      </c>
      <c r="P3698" s="3" t="s">
        <v>25</v>
      </c>
      <c r="Q3698" s="37">
        <v>0.24</v>
      </c>
      <c r="R3698" t="str">
        <f t="shared" si="131"/>
        <v>mmol/mol</v>
      </c>
      <c r="S3698" s="13">
        <f t="shared" si="132"/>
        <v>-0.91</v>
      </c>
    </row>
    <row r="3699" spans="1:19">
      <c r="A3699" s="18" t="s">
        <v>3632</v>
      </c>
      <c r="B3699" s="1" t="s">
        <v>3852</v>
      </c>
      <c r="C3699" s="1" t="s">
        <v>4081</v>
      </c>
      <c r="D3699" s="1" t="s">
        <v>4085</v>
      </c>
      <c r="E3699" s="1" t="s">
        <v>25</v>
      </c>
      <c r="F3699">
        <v>635</v>
      </c>
      <c r="G3699">
        <v>635</v>
      </c>
      <c r="H3699" s="1" t="s">
        <v>25</v>
      </c>
      <c r="I3699" s="1" t="s">
        <v>1528</v>
      </c>
      <c r="J3699" s="1" t="s">
        <v>4105</v>
      </c>
      <c r="K3699" s="1" t="s">
        <v>25</v>
      </c>
      <c r="L3699">
        <v>-0.82</v>
      </c>
      <c r="M3699" t="str">
        <f t="shared" si="133"/>
        <v>44/40</v>
      </c>
      <c r="N3699" t="str">
        <f t="shared" si="134"/>
        <v>SW</v>
      </c>
      <c r="O3699" s="1" t="s">
        <v>25</v>
      </c>
      <c r="P3699" s="3" t="s">
        <v>25</v>
      </c>
      <c r="Q3699" s="37">
        <v>0.28999999999999998</v>
      </c>
      <c r="R3699" t="str">
        <f t="shared" si="131"/>
        <v>mmol/mol</v>
      </c>
      <c r="S3699" s="13">
        <f t="shared" si="132"/>
        <v>-0.82</v>
      </c>
    </row>
    <row r="3700" spans="1:19">
      <c r="A3700" s="18" t="s">
        <v>3632</v>
      </c>
      <c r="B3700" s="1" t="s">
        <v>3382</v>
      </c>
      <c r="C3700" s="1" t="s">
        <v>4081</v>
      </c>
      <c r="D3700" s="1" t="s">
        <v>4085</v>
      </c>
      <c r="E3700" s="1" t="s">
        <v>25</v>
      </c>
      <c r="F3700">
        <v>635</v>
      </c>
      <c r="G3700">
        <v>635</v>
      </c>
      <c r="H3700" s="1" t="s">
        <v>25</v>
      </c>
      <c r="I3700" s="1" t="s">
        <v>1528</v>
      </c>
      <c r="J3700" s="1" t="s">
        <v>4105</v>
      </c>
      <c r="K3700" s="1" t="s">
        <v>25</v>
      </c>
      <c r="L3700">
        <v>-0.78</v>
      </c>
      <c r="M3700" t="str">
        <f t="shared" si="133"/>
        <v>44/40</v>
      </c>
      <c r="N3700" t="str">
        <f t="shared" si="134"/>
        <v>SW</v>
      </c>
      <c r="O3700" s="1" t="s">
        <v>25</v>
      </c>
      <c r="P3700" s="3" t="s">
        <v>25</v>
      </c>
      <c r="Q3700" s="37">
        <v>0.25</v>
      </c>
      <c r="R3700" t="str">
        <f t="shared" si="131"/>
        <v>mmol/mol</v>
      </c>
      <c r="S3700" s="13">
        <f t="shared" si="132"/>
        <v>-0.78</v>
      </c>
    </row>
    <row r="3701" spans="1:19">
      <c r="A3701" s="18" t="s">
        <v>3632</v>
      </c>
      <c r="B3701" s="1" t="s">
        <v>3853</v>
      </c>
      <c r="C3701" s="1" t="s">
        <v>4081</v>
      </c>
      <c r="D3701" s="1" t="s">
        <v>4085</v>
      </c>
      <c r="E3701" s="1" t="s">
        <v>25</v>
      </c>
      <c r="F3701">
        <v>635</v>
      </c>
      <c r="G3701">
        <v>635</v>
      </c>
      <c r="H3701" s="1" t="s">
        <v>25</v>
      </c>
      <c r="I3701" s="1" t="s">
        <v>1528</v>
      </c>
      <c r="J3701" s="1" t="s">
        <v>4105</v>
      </c>
      <c r="K3701" s="1" t="s">
        <v>25</v>
      </c>
      <c r="L3701">
        <v>-0.88</v>
      </c>
      <c r="M3701" t="str">
        <f t="shared" si="133"/>
        <v>44/40</v>
      </c>
      <c r="N3701" t="str">
        <f t="shared" si="134"/>
        <v>SW</v>
      </c>
      <c r="O3701" s="1" t="s">
        <v>25</v>
      </c>
      <c r="P3701" s="3" t="s">
        <v>25</v>
      </c>
      <c r="Q3701" s="37">
        <v>0.27</v>
      </c>
      <c r="R3701" t="str">
        <f t="shared" si="131"/>
        <v>mmol/mol</v>
      </c>
      <c r="S3701" s="13">
        <f t="shared" si="132"/>
        <v>-0.88</v>
      </c>
    </row>
    <row r="3702" spans="1:19">
      <c r="A3702" s="18" t="s">
        <v>3632</v>
      </c>
      <c r="B3702" s="1" t="s">
        <v>3854</v>
      </c>
      <c r="C3702" s="1" t="s">
        <v>4081</v>
      </c>
      <c r="D3702" s="1" t="s">
        <v>4085</v>
      </c>
      <c r="E3702" s="1" t="s">
        <v>25</v>
      </c>
      <c r="F3702">
        <v>635</v>
      </c>
      <c r="G3702">
        <v>635</v>
      </c>
      <c r="H3702" s="1" t="s">
        <v>25</v>
      </c>
      <c r="I3702" s="1" t="s">
        <v>1528</v>
      </c>
      <c r="J3702" s="1" t="s">
        <v>4105</v>
      </c>
      <c r="K3702" s="1" t="s">
        <v>25</v>
      </c>
      <c r="L3702">
        <v>-0.85</v>
      </c>
      <c r="M3702" t="str">
        <f t="shared" si="133"/>
        <v>44/40</v>
      </c>
      <c r="N3702" t="str">
        <f t="shared" si="134"/>
        <v>SW</v>
      </c>
      <c r="O3702" s="1" t="s">
        <v>25</v>
      </c>
      <c r="P3702" s="3" t="s">
        <v>25</v>
      </c>
      <c r="Q3702" s="37">
        <v>0.18</v>
      </c>
      <c r="R3702" t="str">
        <f t="shared" si="131"/>
        <v>mmol/mol</v>
      </c>
      <c r="S3702" s="13">
        <f t="shared" si="132"/>
        <v>-0.85</v>
      </c>
    </row>
    <row r="3703" spans="1:19">
      <c r="A3703" s="18" t="s">
        <v>3632</v>
      </c>
      <c r="B3703" s="1" t="s">
        <v>3855</v>
      </c>
      <c r="C3703" s="1" t="s">
        <v>4081</v>
      </c>
      <c r="D3703" s="1" t="s">
        <v>4085</v>
      </c>
      <c r="E3703" s="1" t="s">
        <v>25</v>
      </c>
      <c r="F3703">
        <v>635</v>
      </c>
      <c r="G3703">
        <v>635</v>
      </c>
      <c r="H3703" s="1" t="s">
        <v>25</v>
      </c>
      <c r="I3703" s="1" t="s">
        <v>1528</v>
      </c>
      <c r="J3703" s="1" t="s">
        <v>4105</v>
      </c>
      <c r="K3703" s="1" t="s">
        <v>25</v>
      </c>
      <c r="L3703">
        <v>-0.8</v>
      </c>
      <c r="M3703" t="str">
        <f t="shared" si="133"/>
        <v>44/40</v>
      </c>
      <c r="N3703" t="str">
        <f t="shared" si="134"/>
        <v>SW</v>
      </c>
      <c r="O3703" s="1" t="s">
        <v>25</v>
      </c>
      <c r="P3703" s="3" t="s">
        <v>25</v>
      </c>
      <c r="Q3703" s="37">
        <v>0.19</v>
      </c>
      <c r="R3703" t="str">
        <f t="shared" si="131"/>
        <v>mmol/mol</v>
      </c>
      <c r="S3703" s="13">
        <f t="shared" si="132"/>
        <v>-0.8</v>
      </c>
    </row>
    <row r="3704" spans="1:19">
      <c r="A3704" s="18" t="s">
        <v>3632</v>
      </c>
      <c r="B3704" s="1" t="s">
        <v>3856</v>
      </c>
      <c r="C3704" s="1" t="s">
        <v>4081</v>
      </c>
      <c r="D3704" s="1" t="s">
        <v>4085</v>
      </c>
      <c r="E3704" s="1" t="s">
        <v>25</v>
      </c>
      <c r="F3704">
        <v>635</v>
      </c>
      <c r="G3704">
        <v>635</v>
      </c>
      <c r="H3704" s="1" t="s">
        <v>25</v>
      </c>
      <c r="I3704" s="1" t="s">
        <v>1528</v>
      </c>
      <c r="J3704" s="1" t="s">
        <v>4105</v>
      </c>
      <c r="K3704" s="1" t="s">
        <v>25</v>
      </c>
      <c r="L3704">
        <v>-0.72</v>
      </c>
      <c r="M3704" t="str">
        <f t="shared" si="133"/>
        <v>44/40</v>
      </c>
      <c r="N3704" t="str">
        <f t="shared" si="134"/>
        <v>SW</v>
      </c>
      <c r="O3704" s="1" t="s">
        <v>25</v>
      </c>
      <c r="P3704" s="3" t="s">
        <v>25</v>
      </c>
      <c r="Q3704" s="37">
        <v>0.19</v>
      </c>
      <c r="R3704" t="str">
        <f t="shared" si="131"/>
        <v>mmol/mol</v>
      </c>
      <c r="S3704" s="13">
        <f t="shared" si="132"/>
        <v>-0.72</v>
      </c>
    </row>
    <row r="3705" spans="1:19">
      <c r="A3705" s="18" t="s">
        <v>3632</v>
      </c>
      <c r="B3705" s="1" t="s">
        <v>3857</v>
      </c>
      <c r="C3705" s="1" t="s">
        <v>4081</v>
      </c>
      <c r="D3705" s="1" t="s">
        <v>4085</v>
      </c>
      <c r="E3705" s="1" t="s">
        <v>25</v>
      </c>
      <c r="F3705">
        <v>635</v>
      </c>
      <c r="G3705">
        <v>635</v>
      </c>
      <c r="H3705" s="1" t="s">
        <v>25</v>
      </c>
      <c r="I3705" s="1" t="s">
        <v>1528</v>
      </c>
      <c r="J3705" s="1" t="s">
        <v>4105</v>
      </c>
      <c r="K3705" s="1" t="s">
        <v>25</v>
      </c>
      <c r="L3705">
        <v>-0.82</v>
      </c>
      <c r="M3705" t="str">
        <f t="shared" si="133"/>
        <v>44/40</v>
      </c>
      <c r="N3705" t="str">
        <f t="shared" si="134"/>
        <v>SW</v>
      </c>
      <c r="O3705" s="1" t="s">
        <v>25</v>
      </c>
      <c r="P3705" s="3" t="s">
        <v>25</v>
      </c>
      <c r="Q3705" s="37">
        <v>0.19</v>
      </c>
      <c r="R3705" t="str">
        <f t="shared" si="131"/>
        <v>mmol/mol</v>
      </c>
      <c r="S3705" s="13">
        <f t="shared" si="132"/>
        <v>-0.82</v>
      </c>
    </row>
    <row r="3706" spans="1:19">
      <c r="A3706" s="18" t="s">
        <v>3632</v>
      </c>
      <c r="B3706" s="1" t="s">
        <v>3858</v>
      </c>
      <c r="C3706" s="1" t="s">
        <v>4081</v>
      </c>
      <c r="D3706" s="1" t="s">
        <v>4085</v>
      </c>
      <c r="E3706" s="1" t="s">
        <v>25</v>
      </c>
      <c r="F3706">
        <v>635</v>
      </c>
      <c r="G3706">
        <v>635</v>
      </c>
      <c r="H3706" s="1" t="s">
        <v>25</v>
      </c>
      <c r="I3706" s="1" t="s">
        <v>1528</v>
      </c>
      <c r="J3706" s="1" t="s">
        <v>4105</v>
      </c>
      <c r="K3706" s="1" t="s">
        <v>25</v>
      </c>
      <c r="L3706">
        <v>-0.67</v>
      </c>
      <c r="M3706" t="str">
        <f t="shared" si="133"/>
        <v>44/40</v>
      </c>
      <c r="N3706" t="str">
        <f t="shared" si="134"/>
        <v>SW</v>
      </c>
      <c r="O3706" s="1" t="s">
        <v>25</v>
      </c>
      <c r="P3706" s="3" t="s">
        <v>25</v>
      </c>
      <c r="Q3706" s="37">
        <v>0.2</v>
      </c>
      <c r="R3706" t="str">
        <f t="shared" si="131"/>
        <v>mmol/mol</v>
      </c>
      <c r="S3706" s="13">
        <f t="shared" si="132"/>
        <v>-0.67</v>
      </c>
    </row>
    <row r="3707" spans="1:19">
      <c r="A3707" s="18" t="s">
        <v>3632</v>
      </c>
      <c r="B3707" s="1" t="s">
        <v>3859</v>
      </c>
      <c r="C3707" s="1" t="s">
        <v>4081</v>
      </c>
      <c r="D3707" s="1" t="s">
        <v>4085</v>
      </c>
      <c r="E3707" s="1" t="s">
        <v>25</v>
      </c>
      <c r="F3707">
        <v>635</v>
      </c>
      <c r="G3707">
        <v>635</v>
      </c>
      <c r="H3707" s="1" t="s">
        <v>25</v>
      </c>
      <c r="I3707" s="1" t="s">
        <v>1528</v>
      </c>
      <c r="J3707" s="1" t="s">
        <v>4105</v>
      </c>
      <c r="K3707" s="1" t="s">
        <v>25</v>
      </c>
      <c r="L3707">
        <v>-0.66</v>
      </c>
      <c r="M3707" t="str">
        <f t="shared" si="133"/>
        <v>44/40</v>
      </c>
      <c r="N3707" t="str">
        <f t="shared" si="134"/>
        <v>SW</v>
      </c>
      <c r="O3707" s="1" t="s">
        <v>25</v>
      </c>
      <c r="P3707" s="3" t="s">
        <v>25</v>
      </c>
      <c r="Q3707" s="37">
        <v>0.18</v>
      </c>
      <c r="R3707" t="str">
        <f t="shared" si="131"/>
        <v>mmol/mol</v>
      </c>
      <c r="S3707" s="13">
        <f t="shared" si="132"/>
        <v>-0.66</v>
      </c>
    </row>
    <row r="3708" spans="1:19">
      <c r="A3708" s="18" t="s">
        <v>3632</v>
      </c>
      <c r="B3708" s="1" t="s">
        <v>3860</v>
      </c>
      <c r="C3708" s="1" t="s">
        <v>4081</v>
      </c>
      <c r="D3708" s="1" t="s">
        <v>4085</v>
      </c>
      <c r="E3708" s="1" t="s">
        <v>25</v>
      </c>
      <c r="F3708">
        <v>635</v>
      </c>
      <c r="G3708">
        <v>635</v>
      </c>
      <c r="H3708" s="1" t="s">
        <v>25</v>
      </c>
      <c r="I3708" s="1" t="s">
        <v>1528</v>
      </c>
      <c r="J3708" s="1" t="s">
        <v>4105</v>
      </c>
      <c r="K3708" s="1" t="s">
        <v>25</v>
      </c>
      <c r="L3708">
        <v>-0.72</v>
      </c>
      <c r="M3708" t="str">
        <f t="shared" si="133"/>
        <v>44/40</v>
      </c>
      <c r="N3708" t="str">
        <f t="shared" si="134"/>
        <v>SW</v>
      </c>
      <c r="O3708" s="1" t="s">
        <v>25</v>
      </c>
      <c r="P3708" s="3" t="s">
        <v>25</v>
      </c>
      <c r="Q3708" s="37">
        <v>0.19</v>
      </c>
      <c r="R3708" t="str">
        <f t="shared" si="131"/>
        <v>mmol/mol</v>
      </c>
      <c r="S3708" s="13">
        <f t="shared" si="132"/>
        <v>-0.72</v>
      </c>
    </row>
    <row r="3709" spans="1:19">
      <c r="A3709" s="18" t="s">
        <v>3632</v>
      </c>
      <c r="B3709" s="1" t="s">
        <v>3861</v>
      </c>
      <c r="C3709" s="1" t="s">
        <v>4081</v>
      </c>
      <c r="D3709" s="1" t="s">
        <v>4085</v>
      </c>
      <c r="E3709" s="1" t="s">
        <v>25</v>
      </c>
      <c r="F3709">
        <v>635</v>
      </c>
      <c r="G3709">
        <v>635</v>
      </c>
      <c r="H3709" s="1" t="s">
        <v>25</v>
      </c>
      <c r="I3709" s="1" t="s">
        <v>1528</v>
      </c>
      <c r="J3709" s="1" t="s">
        <v>4105</v>
      </c>
      <c r="K3709" s="1" t="s">
        <v>25</v>
      </c>
      <c r="L3709">
        <v>-0.77</v>
      </c>
      <c r="M3709" t="str">
        <f t="shared" si="133"/>
        <v>44/40</v>
      </c>
      <c r="N3709" t="str">
        <f t="shared" si="134"/>
        <v>SW</v>
      </c>
      <c r="O3709" s="1" t="s">
        <v>25</v>
      </c>
      <c r="P3709" s="3" t="s">
        <v>25</v>
      </c>
      <c r="Q3709" s="37">
        <v>0.21</v>
      </c>
      <c r="R3709" t="str">
        <f t="shared" si="131"/>
        <v>mmol/mol</v>
      </c>
      <c r="S3709" s="13">
        <f t="shared" si="132"/>
        <v>-0.77</v>
      </c>
    </row>
    <row r="3710" spans="1:19">
      <c r="A3710" s="18" t="s">
        <v>3632</v>
      </c>
      <c r="B3710" s="1" t="s">
        <v>3862</v>
      </c>
      <c r="C3710" s="1" t="s">
        <v>4081</v>
      </c>
      <c r="D3710" s="1" t="s">
        <v>4085</v>
      </c>
      <c r="E3710" s="1" t="s">
        <v>25</v>
      </c>
      <c r="F3710">
        <v>635</v>
      </c>
      <c r="G3710">
        <v>635</v>
      </c>
      <c r="H3710" s="1" t="s">
        <v>25</v>
      </c>
      <c r="I3710" s="1" t="s">
        <v>1528</v>
      </c>
      <c r="J3710" s="1" t="s">
        <v>4105</v>
      </c>
      <c r="K3710" s="1" t="s">
        <v>25</v>
      </c>
      <c r="L3710">
        <v>-0.75</v>
      </c>
      <c r="M3710" t="str">
        <f t="shared" si="133"/>
        <v>44/40</v>
      </c>
      <c r="N3710" t="str">
        <f t="shared" si="134"/>
        <v>SW</v>
      </c>
      <c r="O3710" s="1" t="s">
        <v>25</v>
      </c>
      <c r="P3710" s="3" t="s">
        <v>25</v>
      </c>
      <c r="Q3710" s="37">
        <v>0.17</v>
      </c>
      <c r="R3710" t="str">
        <f t="shared" si="131"/>
        <v>mmol/mol</v>
      </c>
      <c r="S3710" s="13">
        <f t="shared" si="132"/>
        <v>-0.75</v>
      </c>
    </row>
    <row r="3711" spans="1:19">
      <c r="A3711" s="18" t="s">
        <v>3632</v>
      </c>
      <c r="B3711" s="1" t="s">
        <v>3863</v>
      </c>
      <c r="C3711" s="1" t="s">
        <v>4081</v>
      </c>
      <c r="D3711" s="1" t="s">
        <v>4085</v>
      </c>
      <c r="E3711" s="1" t="s">
        <v>25</v>
      </c>
      <c r="F3711">
        <v>635</v>
      </c>
      <c r="G3711">
        <v>635</v>
      </c>
      <c r="H3711" s="1" t="s">
        <v>25</v>
      </c>
      <c r="I3711" s="1" t="s">
        <v>1528</v>
      </c>
      <c r="J3711" s="1" t="s">
        <v>4105</v>
      </c>
      <c r="K3711" s="1" t="s">
        <v>25</v>
      </c>
      <c r="L3711">
        <v>-0.81</v>
      </c>
      <c r="M3711" t="str">
        <f t="shared" si="133"/>
        <v>44/40</v>
      </c>
      <c r="N3711" t="str">
        <f t="shared" si="134"/>
        <v>SW</v>
      </c>
      <c r="O3711" s="1" t="s">
        <v>25</v>
      </c>
      <c r="P3711" s="3" t="s">
        <v>25</v>
      </c>
      <c r="Q3711" s="37">
        <v>0.2</v>
      </c>
      <c r="R3711" t="str">
        <f t="shared" si="131"/>
        <v>mmol/mol</v>
      </c>
      <c r="S3711" s="13">
        <f t="shared" si="132"/>
        <v>-0.81</v>
      </c>
    </row>
    <row r="3712" spans="1:19">
      <c r="A3712" s="18" t="s">
        <v>3632</v>
      </c>
      <c r="B3712" s="1" t="s">
        <v>3864</v>
      </c>
      <c r="C3712" s="1" t="s">
        <v>4081</v>
      </c>
      <c r="D3712" s="1" t="s">
        <v>4085</v>
      </c>
      <c r="E3712" s="1" t="s">
        <v>25</v>
      </c>
      <c r="F3712">
        <v>635</v>
      </c>
      <c r="G3712">
        <v>635</v>
      </c>
      <c r="H3712" s="1" t="s">
        <v>25</v>
      </c>
      <c r="I3712" s="1" t="s">
        <v>1528</v>
      </c>
      <c r="J3712" s="1" t="s">
        <v>4105</v>
      </c>
      <c r="K3712" s="1" t="s">
        <v>25</v>
      </c>
      <c r="L3712">
        <v>-0.84</v>
      </c>
      <c r="M3712" t="str">
        <f t="shared" si="133"/>
        <v>44/40</v>
      </c>
      <c r="N3712" t="str">
        <f t="shared" si="134"/>
        <v>SW</v>
      </c>
      <c r="O3712" s="1" t="s">
        <v>25</v>
      </c>
      <c r="P3712" s="3" t="s">
        <v>25</v>
      </c>
      <c r="Q3712" s="37">
        <v>0.22</v>
      </c>
      <c r="R3712" t="str">
        <f t="shared" si="131"/>
        <v>mmol/mol</v>
      </c>
      <c r="S3712" s="13">
        <f t="shared" si="132"/>
        <v>-0.84</v>
      </c>
    </row>
    <row r="3713" spans="1:19">
      <c r="A3713" s="18" t="s">
        <v>3632</v>
      </c>
      <c r="B3713" s="1" t="s">
        <v>3865</v>
      </c>
      <c r="C3713" s="1" t="s">
        <v>4081</v>
      </c>
      <c r="D3713" s="1" t="s">
        <v>4085</v>
      </c>
      <c r="E3713" s="1" t="s">
        <v>25</v>
      </c>
      <c r="F3713">
        <v>635</v>
      </c>
      <c r="G3713">
        <v>635</v>
      </c>
      <c r="H3713" s="1" t="s">
        <v>25</v>
      </c>
      <c r="I3713" s="1" t="s">
        <v>1528</v>
      </c>
      <c r="J3713" s="1" t="s">
        <v>4105</v>
      </c>
      <c r="K3713" s="1" t="s">
        <v>25</v>
      </c>
      <c r="L3713">
        <v>-0.7</v>
      </c>
      <c r="M3713" t="str">
        <f t="shared" si="133"/>
        <v>44/40</v>
      </c>
      <c r="N3713" t="str">
        <f t="shared" si="134"/>
        <v>SW</v>
      </c>
      <c r="O3713" s="1" t="s">
        <v>25</v>
      </c>
      <c r="P3713" s="3" t="s">
        <v>25</v>
      </c>
      <c r="Q3713" s="37">
        <v>0.21</v>
      </c>
      <c r="R3713" t="str">
        <f t="shared" si="131"/>
        <v>mmol/mol</v>
      </c>
      <c r="S3713" s="13">
        <f t="shared" si="132"/>
        <v>-0.7</v>
      </c>
    </row>
    <row r="3714" spans="1:19">
      <c r="A3714" s="18" t="s">
        <v>3632</v>
      </c>
      <c r="B3714" s="1" t="s">
        <v>3866</v>
      </c>
      <c r="C3714" s="1" t="s">
        <v>4081</v>
      </c>
      <c r="D3714" s="1" t="s">
        <v>4085</v>
      </c>
      <c r="E3714" s="1" t="s">
        <v>25</v>
      </c>
      <c r="F3714">
        <v>635</v>
      </c>
      <c r="G3714">
        <v>635</v>
      </c>
      <c r="H3714" s="1" t="s">
        <v>25</v>
      </c>
      <c r="I3714" s="1" t="s">
        <v>1528</v>
      </c>
      <c r="J3714" s="1" t="s">
        <v>4105</v>
      </c>
      <c r="K3714" s="1" t="s">
        <v>25</v>
      </c>
      <c r="L3714">
        <v>-0.8</v>
      </c>
      <c r="M3714" t="str">
        <f t="shared" si="133"/>
        <v>44/40</v>
      </c>
      <c r="N3714" t="str">
        <f t="shared" si="134"/>
        <v>SW</v>
      </c>
      <c r="O3714" s="1" t="s">
        <v>25</v>
      </c>
      <c r="P3714" s="3" t="s">
        <v>25</v>
      </c>
      <c r="Q3714" s="37">
        <v>0.19</v>
      </c>
      <c r="R3714" t="str">
        <f t="shared" si="131"/>
        <v>mmol/mol</v>
      </c>
      <c r="S3714" s="13">
        <f t="shared" si="132"/>
        <v>-0.8</v>
      </c>
    </row>
    <row r="3715" spans="1:19">
      <c r="A3715" s="18" t="s">
        <v>3632</v>
      </c>
      <c r="B3715" s="1" t="s">
        <v>3867</v>
      </c>
      <c r="C3715" s="1" t="s">
        <v>4081</v>
      </c>
      <c r="D3715" s="1" t="s">
        <v>4085</v>
      </c>
      <c r="E3715" s="1" t="s">
        <v>25</v>
      </c>
      <c r="F3715">
        <v>635</v>
      </c>
      <c r="G3715">
        <v>635</v>
      </c>
      <c r="H3715" s="1" t="s">
        <v>25</v>
      </c>
      <c r="I3715" s="1" t="s">
        <v>1528</v>
      </c>
      <c r="J3715" s="1" t="s">
        <v>4105</v>
      </c>
      <c r="K3715" s="1" t="s">
        <v>25</v>
      </c>
      <c r="L3715">
        <v>-0.72</v>
      </c>
      <c r="M3715" t="str">
        <f t="shared" si="133"/>
        <v>44/40</v>
      </c>
      <c r="N3715" t="str">
        <f t="shared" si="134"/>
        <v>SW</v>
      </c>
      <c r="O3715" s="1" t="s">
        <v>25</v>
      </c>
      <c r="P3715" s="3" t="s">
        <v>25</v>
      </c>
      <c r="Q3715" s="37">
        <v>0.22</v>
      </c>
      <c r="R3715" t="str">
        <f t="shared" si="131"/>
        <v>mmol/mol</v>
      </c>
      <c r="S3715" s="13">
        <f t="shared" si="132"/>
        <v>-0.72</v>
      </c>
    </row>
    <row r="3716" spans="1:19">
      <c r="A3716" s="18" t="s">
        <v>3632</v>
      </c>
      <c r="B3716" s="1" t="s">
        <v>3868</v>
      </c>
      <c r="C3716" s="1" t="s">
        <v>4081</v>
      </c>
      <c r="D3716" s="1" t="s">
        <v>4085</v>
      </c>
      <c r="E3716" s="1" t="s">
        <v>25</v>
      </c>
      <c r="F3716">
        <v>635</v>
      </c>
      <c r="G3716">
        <v>635</v>
      </c>
      <c r="H3716" s="1" t="s">
        <v>25</v>
      </c>
      <c r="I3716" s="1" t="s">
        <v>1528</v>
      </c>
      <c r="J3716" s="1" t="s">
        <v>4105</v>
      </c>
      <c r="K3716" s="1" t="s">
        <v>25</v>
      </c>
      <c r="L3716">
        <v>-0.79</v>
      </c>
      <c r="M3716" t="str">
        <f t="shared" si="133"/>
        <v>44/40</v>
      </c>
      <c r="N3716" t="str">
        <f t="shared" si="134"/>
        <v>SW</v>
      </c>
      <c r="O3716" s="1" t="s">
        <v>25</v>
      </c>
      <c r="P3716" s="3" t="s">
        <v>25</v>
      </c>
      <c r="Q3716" s="37">
        <v>0.23</v>
      </c>
      <c r="R3716" t="str">
        <f t="shared" si="131"/>
        <v>mmol/mol</v>
      </c>
      <c r="S3716" s="13">
        <f t="shared" si="132"/>
        <v>-0.79</v>
      </c>
    </row>
    <row r="3717" spans="1:19">
      <c r="A3717" s="18" t="s">
        <v>3632</v>
      </c>
      <c r="B3717" s="1" t="s">
        <v>3869</v>
      </c>
      <c r="C3717" s="1" t="s">
        <v>4081</v>
      </c>
      <c r="D3717" s="1" t="s">
        <v>4085</v>
      </c>
      <c r="E3717" s="1" t="s">
        <v>25</v>
      </c>
      <c r="F3717">
        <v>635</v>
      </c>
      <c r="G3717">
        <v>635</v>
      </c>
      <c r="H3717" s="1" t="s">
        <v>25</v>
      </c>
      <c r="I3717" s="1" t="s">
        <v>1528</v>
      </c>
      <c r="J3717" s="1" t="s">
        <v>4105</v>
      </c>
      <c r="K3717" s="1" t="s">
        <v>25</v>
      </c>
      <c r="L3717">
        <v>-0.79</v>
      </c>
      <c r="M3717" t="str">
        <f t="shared" si="133"/>
        <v>44/40</v>
      </c>
      <c r="N3717" t="str">
        <f t="shared" si="134"/>
        <v>SW</v>
      </c>
      <c r="O3717" s="1" t="s">
        <v>25</v>
      </c>
      <c r="P3717" s="3" t="s">
        <v>25</v>
      </c>
      <c r="Q3717" s="37">
        <v>0.23</v>
      </c>
      <c r="R3717" t="str">
        <f t="shared" si="131"/>
        <v>mmol/mol</v>
      </c>
      <c r="S3717" s="13">
        <f t="shared" si="132"/>
        <v>-0.79</v>
      </c>
    </row>
    <row r="3718" spans="1:19">
      <c r="A3718" s="18" t="s">
        <v>3632</v>
      </c>
      <c r="B3718" s="1" t="s">
        <v>3870</v>
      </c>
      <c r="C3718" s="1" t="s">
        <v>4081</v>
      </c>
      <c r="D3718" s="1" t="s">
        <v>4085</v>
      </c>
      <c r="E3718" s="1" t="s">
        <v>25</v>
      </c>
      <c r="F3718">
        <v>635</v>
      </c>
      <c r="G3718">
        <v>635</v>
      </c>
      <c r="H3718" s="1" t="s">
        <v>25</v>
      </c>
      <c r="I3718" s="1" t="s">
        <v>1528</v>
      </c>
      <c r="J3718" s="1" t="s">
        <v>4105</v>
      </c>
      <c r="K3718" s="1" t="s">
        <v>25</v>
      </c>
      <c r="L3718">
        <v>-0.95</v>
      </c>
      <c r="M3718" t="str">
        <f t="shared" si="133"/>
        <v>44/40</v>
      </c>
      <c r="N3718" t="str">
        <f t="shared" si="134"/>
        <v>SW</v>
      </c>
      <c r="O3718" s="1" t="s">
        <v>25</v>
      </c>
      <c r="P3718" s="3" t="s">
        <v>25</v>
      </c>
      <c r="Q3718" s="37">
        <v>0.53</v>
      </c>
      <c r="R3718" t="str">
        <f t="shared" si="131"/>
        <v>mmol/mol</v>
      </c>
      <c r="S3718" s="13">
        <f t="shared" si="132"/>
        <v>-0.95</v>
      </c>
    </row>
    <row r="3719" spans="1:19">
      <c r="A3719" s="18" t="s">
        <v>3632</v>
      </c>
      <c r="B3719" s="1" t="s">
        <v>3871</v>
      </c>
      <c r="C3719" s="1" t="s">
        <v>4081</v>
      </c>
      <c r="D3719" s="1" t="s">
        <v>4085</v>
      </c>
      <c r="E3719" s="1" t="s">
        <v>25</v>
      </c>
      <c r="F3719">
        <v>635</v>
      </c>
      <c r="G3719">
        <v>635</v>
      </c>
      <c r="H3719" s="1" t="s">
        <v>25</v>
      </c>
      <c r="I3719" s="1" t="s">
        <v>1528</v>
      </c>
      <c r="J3719" s="1" t="s">
        <v>4105</v>
      </c>
      <c r="K3719" s="1" t="s">
        <v>25</v>
      </c>
      <c r="L3719">
        <v>-1.06</v>
      </c>
      <c r="M3719" t="str">
        <f t="shared" si="133"/>
        <v>44/40</v>
      </c>
      <c r="N3719" t="str">
        <f t="shared" si="134"/>
        <v>SW</v>
      </c>
      <c r="O3719" s="1" t="s">
        <v>25</v>
      </c>
      <c r="P3719" s="3" t="s">
        <v>25</v>
      </c>
      <c r="Q3719" s="37">
        <v>0.48</v>
      </c>
      <c r="R3719" t="str">
        <f t="shared" si="131"/>
        <v>mmol/mol</v>
      </c>
      <c r="S3719" s="13">
        <f t="shared" si="132"/>
        <v>-1.06</v>
      </c>
    </row>
    <row r="3720" spans="1:19">
      <c r="A3720" s="18" t="s">
        <v>3632</v>
      </c>
      <c r="B3720" s="1" t="s">
        <v>3872</v>
      </c>
      <c r="C3720" s="1" t="s">
        <v>4081</v>
      </c>
      <c r="D3720" s="1" t="s">
        <v>4085</v>
      </c>
      <c r="E3720" s="1" t="s">
        <v>25</v>
      </c>
      <c r="F3720">
        <v>635</v>
      </c>
      <c r="G3720">
        <v>635</v>
      </c>
      <c r="H3720" s="1" t="s">
        <v>25</v>
      </c>
      <c r="I3720" s="1" t="s">
        <v>1528</v>
      </c>
      <c r="J3720" s="1" t="s">
        <v>4105</v>
      </c>
      <c r="K3720" s="1" t="s">
        <v>25</v>
      </c>
      <c r="L3720">
        <v>-0.95</v>
      </c>
      <c r="M3720" t="str">
        <f t="shared" si="133"/>
        <v>44/40</v>
      </c>
      <c r="N3720" t="str">
        <f t="shared" si="134"/>
        <v>SW</v>
      </c>
      <c r="O3720" s="1" t="s">
        <v>25</v>
      </c>
      <c r="P3720" s="3" t="s">
        <v>25</v>
      </c>
      <c r="Q3720" s="37">
        <v>0.54</v>
      </c>
      <c r="R3720" t="str">
        <f t="shared" si="131"/>
        <v>mmol/mol</v>
      </c>
      <c r="S3720" s="13">
        <f t="shared" si="132"/>
        <v>-0.95</v>
      </c>
    </row>
    <row r="3721" spans="1:19">
      <c r="A3721" s="18" t="s">
        <v>3632</v>
      </c>
      <c r="B3721" s="1" t="s">
        <v>3873</v>
      </c>
      <c r="C3721" s="1" t="s">
        <v>4081</v>
      </c>
      <c r="D3721" s="1" t="s">
        <v>4085</v>
      </c>
      <c r="E3721" s="1" t="s">
        <v>25</v>
      </c>
      <c r="F3721">
        <v>635</v>
      </c>
      <c r="G3721">
        <v>635</v>
      </c>
      <c r="H3721" s="1" t="s">
        <v>25</v>
      </c>
      <c r="I3721" s="1" t="s">
        <v>1528</v>
      </c>
      <c r="J3721" s="1" t="s">
        <v>4105</v>
      </c>
      <c r="K3721" s="1" t="s">
        <v>25</v>
      </c>
      <c r="L3721">
        <v>-0.65</v>
      </c>
      <c r="M3721" t="str">
        <f t="shared" si="133"/>
        <v>44/40</v>
      </c>
      <c r="N3721" t="str">
        <f t="shared" si="134"/>
        <v>SW</v>
      </c>
      <c r="O3721" s="1" t="s">
        <v>25</v>
      </c>
      <c r="P3721" s="3" t="s">
        <v>25</v>
      </c>
      <c r="Q3721" s="37">
        <v>0.25</v>
      </c>
      <c r="R3721" t="str">
        <f t="shared" si="131"/>
        <v>mmol/mol</v>
      </c>
      <c r="S3721" s="13">
        <f t="shared" si="132"/>
        <v>-0.65</v>
      </c>
    </row>
    <row r="3722" spans="1:19">
      <c r="A3722" s="18" t="s">
        <v>3632</v>
      </c>
      <c r="B3722" s="1" t="s">
        <v>3874</v>
      </c>
      <c r="C3722" s="1" t="s">
        <v>4081</v>
      </c>
      <c r="D3722" s="1" t="s">
        <v>4085</v>
      </c>
      <c r="E3722" s="1" t="s">
        <v>25</v>
      </c>
      <c r="F3722">
        <v>635</v>
      </c>
      <c r="G3722">
        <v>635</v>
      </c>
      <c r="H3722" s="1" t="s">
        <v>25</v>
      </c>
      <c r="I3722" s="1" t="s">
        <v>1528</v>
      </c>
      <c r="J3722" s="1" t="s">
        <v>4105</v>
      </c>
      <c r="K3722" s="1" t="s">
        <v>25</v>
      </c>
      <c r="L3722">
        <v>-0.68</v>
      </c>
      <c r="M3722" t="str">
        <f t="shared" si="133"/>
        <v>44/40</v>
      </c>
      <c r="N3722" t="str">
        <f t="shared" si="134"/>
        <v>SW</v>
      </c>
      <c r="O3722" s="1" t="s">
        <v>25</v>
      </c>
      <c r="P3722" s="3" t="s">
        <v>25</v>
      </c>
      <c r="Q3722" s="37">
        <v>0.26</v>
      </c>
      <c r="R3722" t="str">
        <f t="shared" si="131"/>
        <v>mmol/mol</v>
      </c>
      <c r="S3722" s="13">
        <f t="shared" si="132"/>
        <v>-0.68</v>
      </c>
    </row>
    <row r="3723" spans="1:19">
      <c r="A3723" s="18" t="s">
        <v>3632</v>
      </c>
      <c r="B3723" s="1" t="s">
        <v>3875</v>
      </c>
      <c r="C3723" s="1" t="s">
        <v>4081</v>
      </c>
      <c r="D3723" s="1" t="s">
        <v>4085</v>
      </c>
      <c r="E3723" s="1" t="s">
        <v>25</v>
      </c>
      <c r="F3723">
        <v>635</v>
      </c>
      <c r="G3723">
        <v>635</v>
      </c>
      <c r="H3723" s="1" t="s">
        <v>25</v>
      </c>
      <c r="I3723" s="1" t="s">
        <v>1528</v>
      </c>
      <c r="J3723" s="1" t="s">
        <v>4105</v>
      </c>
      <c r="K3723" s="1" t="s">
        <v>25</v>
      </c>
      <c r="L3723">
        <v>-0.67</v>
      </c>
      <c r="M3723" t="str">
        <f t="shared" si="133"/>
        <v>44/40</v>
      </c>
      <c r="N3723" t="str">
        <f t="shared" si="134"/>
        <v>SW</v>
      </c>
      <c r="O3723" s="1" t="s">
        <v>25</v>
      </c>
      <c r="P3723" s="3" t="s">
        <v>25</v>
      </c>
      <c r="Q3723" s="37">
        <v>0.16</v>
      </c>
      <c r="R3723" t="str">
        <f t="shared" si="131"/>
        <v>mmol/mol</v>
      </c>
      <c r="S3723" s="13">
        <f t="shared" si="132"/>
        <v>-0.67</v>
      </c>
    </row>
    <row r="3724" spans="1:19">
      <c r="A3724" s="18" t="s">
        <v>3632</v>
      </c>
      <c r="B3724" s="1" t="s">
        <v>3876</v>
      </c>
      <c r="C3724" s="1" t="s">
        <v>4081</v>
      </c>
      <c r="D3724" s="1" t="s">
        <v>4085</v>
      </c>
      <c r="E3724" s="1" t="s">
        <v>25</v>
      </c>
      <c r="F3724">
        <v>635</v>
      </c>
      <c r="G3724">
        <v>635</v>
      </c>
      <c r="H3724" s="1" t="s">
        <v>25</v>
      </c>
      <c r="I3724" s="1" t="s">
        <v>1528</v>
      </c>
      <c r="J3724" s="1" t="s">
        <v>4105</v>
      </c>
      <c r="K3724" s="1" t="s">
        <v>25</v>
      </c>
      <c r="L3724">
        <v>-0.71</v>
      </c>
      <c r="M3724" t="str">
        <f t="shared" si="133"/>
        <v>44/40</v>
      </c>
      <c r="N3724" t="str">
        <f t="shared" si="134"/>
        <v>SW</v>
      </c>
      <c r="O3724" s="1" t="s">
        <v>25</v>
      </c>
      <c r="P3724" s="3" t="s">
        <v>25</v>
      </c>
      <c r="Q3724" s="37">
        <v>0.1</v>
      </c>
      <c r="R3724" t="str">
        <f t="shared" si="131"/>
        <v>mmol/mol</v>
      </c>
      <c r="S3724" s="13">
        <f t="shared" si="132"/>
        <v>-0.71</v>
      </c>
    </row>
    <row r="3725" spans="1:19">
      <c r="A3725" s="18" t="s">
        <v>3632</v>
      </c>
      <c r="B3725" s="1" t="s">
        <v>3877</v>
      </c>
      <c r="C3725" s="1" t="s">
        <v>4081</v>
      </c>
      <c r="D3725" s="1" t="s">
        <v>4085</v>
      </c>
      <c r="E3725" s="1" t="s">
        <v>25</v>
      </c>
      <c r="F3725">
        <v>635</v>
      </c>
      <c r="G3725">
        <v>635</v>
      </c>
      <c r="H3725" s="1" t="s">
        <v>25</v>
      </c>
      <c r="I3725" s="1" t="s">
        <v>1528</v>
      </c>
      <c r="J3725" s="1" t="s">
        <v>4105</v>
      </c>
      <c r="K3725" s="1" t="s">
        <v>25</v>
      </c>
      <c r="L3725">
        <v>-0.59</v>
      </c>
      <c r="M3725" t="str">
        <f t="shared" si="133"/>
        <v>44/40</v>
      </c>
      <c r="N3725" t="str">
        <f t="shared" si="134"/>
        <v>SW</v>
      </c>
      <c r="O3725" s="1" t="s">
        <v>25</v>
      </c>
      <c r="P3725" s="3" t="s">
        <v>25</v>
      </c>
      <c r="Q3725" s="37">
        <v>0.23</v>
      </c>
      <c r="R3725" t="str">
        <f t="shared" si="131"/>
        <v>mmol/mol</v>
      </c>
      <c r="S3725" s="13">
        <f t="shared" si="132"/>
        <v>-0.59</v>
      </c>
    </row>
    <row r="3726" spans="1:19">
      <c r="A3726" s="18" t="s">
        <v>3632</v>
      </c>
      <c r="B3726" s="1" t="s">
        <v>3878</v>
      </c>
      <c r="C3726" s="1" t="s">
        <v>4081</v>
      </c>
      <c r="D3726" s="1" t="s">
        <v>4085</v>
      </c>
      <c r="E3726" s="1" t="s">
        <v>25</v>
      </c>
      <c r="F3726">
        <v>635</v>
      </c>
      <c r="G3726">
        <v>635</v>
      </c>
      <c r="H3726" s="1" t="s">
        <v>25</v>
      </c>
      <c r="I3726" s="1" t="s">
        <v>1528</v>
      </c>
      <c r="J3726" s="1" t="s">
        <v>4105</v>
      </c>
      <c r="K3726" s="1" t="s">
        <v>25</v>
      </c>
      <c r="L3726">
        <v>-0.73</v>
      </c>
      <c r="M3726" t="str">
        <f t="shared" si="133"/>
        <v>44/40</v>
      </c>
      <c r="N3726" t="str">
        <f t="shared" si="134"/>
        <v>SW</v>
      </c>
      <c r="O3726" s="1" t="s">
        <v>25</v>
      </c>
      <c r="P3726" s="3" t="s">
        <v>25</v>
      </c>
      <c r="Q3726" s="37">
        <v>0.17</v>
      </c>
      <c r="R3726" t="str">
        <f t="shared" si="131"/>
        <v>mmol/mol</v>
      </c>
      <c r="S3726" s="13">
        <f t="shared" si="132"/>
        <v>-0.73</v>
      </c>
    </row>
    <row r="3727" spans="1:19">
      <c r="A3727" s="18" t="s">
        <v>3632</v>
      </c>
      <c r="B3727" s="1" t="s">
        <v>3879</v>
      </c>
      <c r="C3727" s="1" t="s">
        <v>4081</v>
      </c>
      <c r="D3727" s="1" t="s">
        <v>4085</v>
      </c>
      <c r="E3727" s="1" t="s">
        <v>25</v>
      </c>
      <c r="F3727">
        <v>635</v>
      </c>
      <c r="G3727">
        <v>635</v>
      </c>
      <c r="H3727" s="1" t="s">
        <v>25</v>
      </c>
      <c r="I3727" s="1" t="s">
        <v>1528</v>
      </c>
      <c r="J3727" s="1" t="s">
        <v>4105</v>
      </c>
      <c r="K3727" s="1" t="s">
        <v>25</v>
      </c>
      <c r="L3727">
        <v>-0.61</v>
      </c>
      <c r="M3727" t="str">
        <f t="shared" si="133"/>
        <v>44/40</v>
      </c>
      <c r="N3727" t="str">
        <f t="shared" si="134"/>
        <v>SW</v>
      </c>
      <c r="O3727" s="1" t="s">
        <v>25</v>
      </c>
      <c r="P3727" s="3" t="s">
        <v>25</v>
      </c>
      <c r="Q3727" s="37">
        <v>0.09</v>
      </c>
      <c r="R3727" t="str">
        <f t="shared" si="131"/>
        <v>mmol/mol</v>
      </c>
      <c r="S3727" s="13">
        <f t="shared" si="132"/>
        <v>-0.61</v>
      </c>
    </row>
    <row r="3728" spans="1:19">
      <c r="A3728" s="18" t="s">
        <v>3632</v>
      </c>
      <c r="B3728" s="1" t="s">
        <v>3880</v>
      </c>
      <c r="C3728" s="1" t="s">
        <v>4081</v>
      </c>
      <c r="D3728" s="1" t="s">
        <v>4085</v>
      </c>
      <c r="E3728" s="1" t="s">
        <v>25</v>
      </c>
      <c r="F3728">
        <v>635</v>
      </c>
      <c r="G3728">
        <v>635</v>
      </c>
      <c r="H3728" s="1" t="s">
        <v>25</v>
      </c>
      <c r="I3728" s="1" t="s">
        <v>1528</v>
      </c>
      <c r="J3728" s="1" t="s">
        <v>4105</v>
      </c>
      <c r="K3728" s="1" t="s">
        <v>25</v>
      </c>
      <c r="L3728">
        <v>-0.65</v>
      </c>
      <c r="M3728" t="str">
        <f t="shared" si="133"/>
        <v>44/40</v>
      </c>
      <c r="N3728" t="str">
        <f t="shared" si="134"/>
        <v>SW</v>
      </c>
      <c r="O3728" s="1" t="s">
        <v>25</v>
      </c>
      <c r="P3728" s="3" t="s">
        <v>25</v>
      </c>
      <c r="Q3728" s="37">
        <v>7.0000000000000007E-2</v>
      </c>
      <c r="R3728" t="str">
        <f t="shared" si="131"/>
        <v>mmol/mol</v>
      </c>
      <c r="S3728" s="13">
        <f t="shared" si="132"/>
        <v>-0.65</v>
      </c>
    </row>
    <row r="3729" spans="1:19">
      <c r="A3729" s="18" t="s">
        <v>3632</v>
      </c>
      <c r="B3729" s="1" t="s">
        <v>3881</v>
      </c>
      <c r="C3729" s="1" t="s">
        <v>4081</v>
      </c>
      <c r="D3729" s="1" t="s">
        <v>4085</v>
      </c>
      <c r="E3729" s="1" t="s">
        <v>25</v>
      </c>
      <c r="F3729">
        <v>635</v>
      </c>
      <c r="G3729">
        <v>635</v>
      </c>
      <c r="H3729" s="1" t="s">
        <v>25</v>
      </c>
      <c r="I3729" s="1" t="s">
        <v>1528</v>
      </c>
      <c r="J3729" s="1" t="s">
        <v>4105</v>
      </c>
      <c r="K3729" s="1" t="s">
        <v>25</v>
      </c>
      <c r="L3729">
        <v>-0.69</v>
      </c>
      <c r="M3729" t="str">
        <f t="shared" si="133"/>
        <v>44/40</v>
      </c>
      <c r="N3729" t="str">
        <f t="shared" si="134"/>
        <v>SW</v>
      </c>
      <c r="O3729" s="1" t="s">
        <v>25</v>
      </c>
      <c r="P3729" s="3" t="s">
        <v>25</v>
      </c>
      <c r="Q3729" s="37">
        <v>0.1</v>
      </c>
      <c r="R3729" t="str">
        <f t="shared" si="131"/>
        <v>mmol/mol</v>
      </c>
      <c r="S3729" s="13">
        <f t="shared" si="132"/>
        <v>-0.69</v>
      </c>
    </row>
    <row r="3730" spans="1:19">
      <c r="A3730" s="18" t="s">
        <v>3632</v>
      </c>
      <c r="B3730" s="1" t="s">
        <v>3882</v>
      </c>
      <c r="C3730" s="1" t="s">
        <v>4081</v>
      </c>
      <c r="D3730" s="1" t="s">
        <v>4085</v>
      </c>
      <c r="E3730" s="1" t="s">
        <v>25</v>
      </c>
      <c r="F3730">
        <v>635</v>
      </c>
      <c r="G3730">
        <v>635</v>
      </c>
      <c r="H3730" s="1" t="s">
        <v>25</v>
      </c>
      <c r="I3730" s="1" t="s">
        <v>1528</v>
      </c>
      <c r="J3730" s="1" t="s">
        <v>4105</v>
      </c>
      <c r="K3730" s="1" t="s">
        <v>25</v>
      </c>
      <c r="L3730">
        <v>-0.66</v>
      </c>
      <c r="M3730" t="str">
        <f t="shared" si="133"/>
        <v>44/40</v>
      </c>
      <c r="N3730" t="str">
        <f t="shared" si="134"/>
        <v>SW</v>
      </c>
      <c r="O3730" s="1" t="s">
        <v>25</v>
      </c>
      <c r="P3730" s="3" t="s">
        <v>25</v>
      </c>
      <c r="Q3730" s="37">
        <v>0.12</v>
      </c>
      <c r="R3730" t="str">
        <f t="shared" si="131"/>
        <v>mmol/mol</v>
      </c>
      <c r="S3730" s="13">
        <f t="shared" si="132"/>
        <v>-0.66</v>
      </c>
    </row>
    <row r="3731" spans="1:19">
      <c r="A3731" s="18" t="s">
        <v>3632</v>
      </c>
      <c r="B3731" s="1" t="s">
        <v>3883</v>
      </c>
      <c r="C3731" s="1" t="s">
        <v>4081</v>
      </c>
      <c r="D3731" s="1" t="s">
        <v>4085</v>
      </c>
      <c r="E3731" s="1" t="s">
        <v>25</v>
      </c>
      <c r="F3731">
        <v>635</v>
      </c>
      <c r="G3731">
        <v>635</v>
      </c>
      <c r="H3731" s="1" t="s">
        <v>25</v>
      </c>
      <c r="I3731" s="1" t="s">
        <v>1528</v>
      </c>
      <c r="J3731" s="1" t="s">
        <v>4105</v>
      </c>
      <c r="K3731" s="1" t="s">
        <v>25</v>
      </c>
      <c r="L3731">
        <v>-0.63</v>
      </c>
      <c r="M3731" t="str">
        <f t="shared" si="133"/>
        <v>44/40</v>
      </c>
      <c r="N3731" t="str">
        <f t="shared" si="134"/>
        <v>SW</v>
      </c>
      <c r="O3731" s="1" t="s">
        <v>25</v>
      </c>
      <c r="P3731" s="3" t="s">
        <v>25</v>
      </c>
      <c r="Q3731" s="37">
        <v>0.12</v>
      </c>
      <c r="R3731" t="str">
        <f t="shared" si="131"/>
        <v>mmol/mol</v>
      </c>
      <c r="S3731" s="13">
        <f t="shared" si="132"/>
        <v>-0.63</v>
      </c>
    </row>
    <row r="3732" spans="1:19">
      <c r="A3732" s="18" t="s">
        <v>3632</v>
      </c>
      <c r="B3732" s="1" t="s">
        <v>3884</v>
      </c>
      <c r="C3732" s="1" t="s">
        <v>4081</v>
      </c>
      <c r="D3732" s="1" t="s">
        <v>4085</v>
      </c>
      <c r="E3732" s="1" t="s">
        <v>25</v>
      </c>
      <c r="F3732">
        <v>635</v>
      </c>
      <c r="G3732">
        <v>635</v>
      </c>
      <c r="H3732" s="1" t="s">
        <v>25</v>
      </c>
      <c r="I3732" s="1" t="s">
        <v>1528</v>
      </c>
      <c r="J3732" s="1" t="s">
        <v>4105</v>
      </c>
      <c r="K3732" s="1" t="s">
        <v>25</v>
      </c>
      <c r="L3732">
        <v>-0.79</v>
      </c>
      <c r="M3732" t="str">
        <f t="shared" si="133"/>
        <v>44/40</v>
      </c>
      <c r="N3732" t="str">
        <f t="shared" si="134"/>
        <v>SW</v>
      </c>
      <c r="O3732" s="1" t="s">
        <v>25</v>
      </c>
      <c r="P3732" s="3" t="s">
        <v>25</v>
      </c>
      <c r="Q3732" s="37">
        <v>0.09</v>
      </c>
      <c r="R3732" t="str">
        <f t="shared" si="131"/>
        <v>mmol/mol</v>
      </c>
      <c r="S3732" s="13">
        <f t="shared" si="132"/>
        <v>-0.79</v>
      </c>
    </row>
    <row r="3733" spans="1:19">
      <c r="A3733" s="18" t="s">
        <v>3632</v>
      </c>
      <c r="B3733" s="1" t="s">
        <v>3885</v>
      </c>
      <c r="C3733" s="1" t="s">
        <v>4081</v>
      </c>
      <c r="D3733" s="1" t="s">
        <v>4085</v>
      </c>
      <c r="E3733" s="1" t="s">
        <v>25</v>
      </c>
      <c r="F3733">
        <v>635</v>
      </c>
      <c r="G3733">
        <v>635</v>
      </c>
      <c r="H3733" s="1" t="s">
        <v>25</v>
      </c>
      <c r="I3733" s="1" t="s">
        <v>1528</v>
      </c>
      <c r="J3733" s="1" t="s">
        <v>4105</v>
      </c>
      <c r="K3733" s="1" t="s">
        <v>25</v>
      </c>
      <c r="L3733">
        <v>-0.61</v>
      </c>
      <c r="M3733" t="str">
        <f t="shared" si="133"/>
        <v>44/40</v>
      </c>
      <c r="N3733" t="str">
        <f t="shared" si="134"/>
        <v>SW</v>
      </c>
      <c r="O3733" s="1" t="s">
        <v>25</v>
      </c>
      <c r="P3733" s="3" t="s">
        <v>25</v>
      </c>
      <c r="Q3733" s="37">
        <v>0.18</v>
      </c>
      <c r="R3733" t="str">
        <f t="shared" si="131"/>
        <v>mmol/mol</v>
      </c>
      <c r="S3733" s="13">
        <f t="shared" si="132"/>
        <v>-0.61</v>
      </c>
    </row>
    <row r="3734" spans="1:19">
      <c r="A3734" s="18" t="s">
        <v>3632</v>
      </c>
      <c r="B3734" s="1" t="s">
        <v>3886</v>
      </c>
      <c r="C3734" s="1" t="s">
        <v>4081</v>
      </c>
      <c r="D3734" s="1" t="s">
        <v>4085</v>
      </c>
      <c r="E3734" s="1" t="s">
        <v>25</v>
      </c>
      <c r="F3734">
        <v>635</v>
      </c>
      <c r="G3734">
        <v>635</v>
      </c>
      <c r="H3734" s="1" t="s">
        <v>25</v>
      </c>
      <c r="I3734" s="1" t="s">
        <v>1528</v>
      </c>
      <c r="J3734" s="1" t="s">
        <v>4105</v>
      </c>
      <c r="K3734" s="1" t="s">
        <v>25</v>
      </c>
      <c r="L3734">
        <v>-0.67</v>
      </c>
      <c r="M3734" t="str">
        <f t="shared" si="133"/>
        <v>44/40</v>
      </c>
      <c r="N3734" t="str">
        <f t="shared" si="134"/>
        <v>SW</v>
      </c>
      <c r="O3734" s="1" t="s">
        <v>25</v>
      </c>
      <c r="P3734" s="3" t="s">
        <v>25</v>
      </c>
      <c r="Q3734" s="37">
        <v>0.18</v>
      </c>
      <c r="R3734" t="str">
        <f t="shared" si="131"/>
        <v>mmol/mol</v>
      </c>
      <c r="S3734" s="13">
        <f t="shared" si="132"/>
        <v>-0.67</v>
      </c>
    </row>
    <row r="3735" spans="1:19">
      <c r="A3735" s="18" t="s">
        <v>3632</v>
      </c>
      <c r="B3735" s="1" t="s">
        <v>3887</v>
      </c>
      <c r="C3735" s="1" t="s">
        <v>4081</v>
      </c>
      <c r="D3735" s="1" t="s">
        <v>4085</v>
      </c>
      <c r="E3735" s="1" t="s">
        <v>25</v>
      </c>
      <c r="F3735">
        <v>635</v>
      </c>
      <c r="G3735">
        <v>635</v>
      </c>
      <c r="H3735" s="1" t="s">
        <v>25</v>
      </c>
      <c r="I3735" s="1" t="s">
        <v>1528</v>
      </c>
      <c r="J3735" s="1" t="s">
        <v>4105</v>
      </c>
      <c r="K3735" s="1" t="s">
        <v>25</v>
      </c>
      <c r="L3735">
        <v>-0.64</v>
      </c>
      <c r="M3735" t="str">
        <f t="shared" si="133"/>
        <v>44/40</v>
      </c>
      <c r="N3735" t="str">
        <f t="shared" si="134"/>
        <v>SW</v>
      </c>
      <c r="O3735" s="1" t="s">
        <v>25</v>
      </c>
      <c r="P3735" s="3" t="s">
        <v>25</v>
      </c>
      <c r="Q3735" s="37">
        <v>0.18</v>
      </c>
      <c r="R3735" t="str">
        <f t="shared" si="131"/>
        <v>mmol/mol</v>
      </c>
      <c r="S3735" s="13">
        <f t="shared" si="132"/>
        <v>-0.64</v>
      </c>
    </row>
    <row r="3736" spans="1:19">
      <c r="A3736" s="18" t="s">
        <v>3632</v>
      </c>
      <c r="B3736" s="1" t="s">
        <v>3888</v>
      </c>
      <c r="C3736" s="1" t="s">
        <v>4081</v>
      </c>
      <c r="D3736" s="1" t="s">
        <v>4085</v>
      </c>
      <c r="E3736" s="1" t="s">
        <v>25</v>
      </c>
      <c r="F3736">
        <v>635</v>
      </c>
      <c r="G3736">
        <v>635</v>
      </c>
      <c r="H3736" s="1" t="s">
        <v>25</v>
      </c>
      <c r="I3736" s="1" t="s">
        <v>1528</v>
      </c>
      <c r="J3736" s="1" t="s">
        <v>4105</v>
      </c>
      <c r="K3736" s="1" t="s">
        <v>25</v>
      </c>
      <c r="L3736">
        <v>-0.63</v>
      </c>
      <c r="M3736" t="str">
        <f t="shared" si="133"/>
        <v>44/40</v>
      </c>
      <c r="N3736" t="str">
        <f t="shared" si="134"/>
        <v>SW</v>
      </c>
      <c r="O3736" s="1" t="s">
        <v>25</v>
      </c>
      <c r="P3736" s="3" t="s">
        <v>25</v>
      </c>
      <c r="Q3736" s="37">
        <v>0.11</v>
      </c>
      <c r="R3736" t="str">
        <f t="shared" si="131"/>
        <v>mmol/mol</v>
      </c>
      <c r="S3736" s="13">
        <f t="shared" si="132"/>
        <v>-0.63</v>
      </c>
    </row>
    <row r="3737" spans="1:19">
      <c r="A3737" s="18" t="s">
        <v>3632</v>
      </c>
      <c r="B3737" s="1" t="s">
        <v>3889</v>
      </c>
      <c r="C3737" s="1" t="s">
        <v>4081</v>
      </c>
      <c r="D3737" s="1" t="s">
        <v>4085</v>
      </c>
      <c r="E3737" s="1" t="s">
        <v>25</v>
      </c>
      <c r="F3737">
        <v>635</v>
      </c>
      <c r="G3737">
        <v>635</v>
      </c>
      <c r="H3737" s="1" t="s">
        <v>25</v>
      </c>
      <c r="I3737" s="1" t="s">
        <v>1528</v>
      </c>
      <c r="J3737" s="1" t="s">
        <v>4105</v>
      </c>
      <c r="K3737" s="1" t="s">
        <v>25</v>
      </c>
      <c r="L3737">
        <v>-0.43</v>
      </c>
      <c r="M3737" t="str">
        <f t="shared" si="133"/>
        <v>44/40</v>
      </c>
      <c r="N3737" t="str">
        <f t="shared" si="134"/>
        <v>SW</v>
      </c>
      <c r="O3737" s="1" t="s">
        <v>25</v>
      </c>
      <c r="P3737" s="3" t="s">
        <v>25</v>
      </c>
      <c r="Q3737" s="37">
        <v>0.16</v>
      </c>
      <c r="R3737" t="str">
        <f t="shared" ref="R3737:R3800" si="135">IF(Q3737="Na","Na","mmol/mol")</f>
        <v>mmol/mol</v>
      </c>
      <c r="S3737" s="13">
        <f t="shared" si="132"/>
        <v>-0.43</v>
      </c>
    </row>
    <row r="3738" spans="1:19">
      <c r="A3738" s="18" t="s">
        <v>3632</v>
      </c>
      <c r="B3738" s="1" t="s">
        <v>3890</v>
      </c>
      <c r="C3738" s="1" t="s">
        <v>4081</v>
      </c>
      <c r="D3738" s="1" t="s">
        <v>4085</v>
      </c>
      <c r="E3738" s="1" t="s">
        <v>25</v>
      </c>
      <c r="F3738">
        <v>635</v>
      </c>
      <c r="G3738">
        <v>635</v>
      </c>
      <c r="H3738" s="1" t="s">
        <v>25</v>
      </c>
      <c r="I3738" s="1" t="s">
        <v>1528</v>
      </c>
      <c r="J3738" s="1" t="s">
        <v>4105</v>
      </c>
      <c r="K3738" s="1" t="s">
        <v>25</v>
      </c>
      <c r="L3738">
        <v>-0.59</v>
      </c>
      <c r="M3738" t="str">
        <f t="shared" si="133"/>
        <v>44/40</v>
      </c>
      <c r="N3738" t="str">
        <f t="shared" si="134"/>
        <v>SW</v>
      </c>
      <c r="O3738" s="1" t="s">
        <v>25</v>
      </c>
      <c r="P3738" s="3" t="s">
        <v>25</v>
      </c>
      <c r="Q3738" s="37">
        <v>0.17</v>
      </c>
      <c r="R3738" t="str">
        <f t="shared" si="135"/>
        <v>mmol/mol</v>
      </c>
      <c r="S3738" s="13">
        <f t="shared" si="132"/>
        <v>-0.59</v>
      </c>
    </row>
    <row r="3739" spans="1:19">
      <c r="A3739" s="18" t="s">
        <v>3632</v>
      </c>
      <c r="B3739" s="1" t="s">
        <v>3891</v>
      </c>
      <c r="C3739" s="1" t="s">
        <v>4081</v>
      </c>
      <c r="D3739" s="1" t="s">
        <v>4085</v>
      </c>
      <c r="E3739" s="1" t="s">
        <v>25</v>
      </c>
      <c r="F3739">
        <v>635</v>
      </c>
      <c r="G3739">
        <v>635</v>
      </c>
      <c r="H3739" s="1" t="s">
        <v>25</v>
      </c>
      <c r="I3739" s="1" t="s">
        <v>1528</v>
      </c>
      <c r="J3739" s="1" t="s">
        <v>4105</v>
      </c>
      <c r="K3739" s="1" t="s">
        <v>25</v>
      </c>
      <c r="L3739">
        <v>-0.73</v>
      </c>
      <c r="M3739" t="str">
        <f t="shared" si="133"/>
        <v>44/40</v>
      </c>
      <c r="N3739" t="str">
        <f t="shared" si="134"/>
        <v>SW</v>
      </c>
      <c r="O3739" s="1" t="s">
        <v>25</v>
      </c>
      <c r="P3739" s="3" t="s">
        <v>25</v>
      </c>
      <c r="Q3739" s="37">
        <v>0.37</v>
      </c>
      <c r="R3739" t="str">
        <f t="shared" si="135"/>
        <v>mmol/mol</v>
      </c>
      <c r="S3739" s="13">
        <f t="shared" si="132"/>
        <v>-0.73</v>
      </c>
    </row>
    <row r="3740" spans="1:19">
      <c r="A3740" s="18" t="s">
        <v>3632</v>
      </c>
      <c r="B3740" s="1" t="s">
        <v>3892</v>
      </c>
      <c r="C3740" s="1" t="s">
        <v>4081</v>
      </c>
      <c r="D3740" s="1" t="s">
        <v>4085</v>
      </c>
      <c r="E3740" s="1" t="s">
        <v>25</v>
      </c>
      <c r="F3740">
        <v>635</v>
      </c>
      <c r="G3740">
        <v>635</v>
      </c>
      <c r="H3740" s="1" t="s">
        <v>25</v>
      </c>
      <c r="I3740" s="1" t="s">
        <v>1528</v>
      </c>
      <c r="J3740" s="1" t="s">
        <v>4105</v>
      </c>
      <c r="K3740" s="1" t="s">
        <v>25</v>
      </c>
      <c r="L3740">
        <v>-0.63</v>
      </c>
      <c r="M3740" t="str">
        <f t="shared" si="133"/>
        <v>44/40</v>
      </c>
      <c r="N3740" t="str">
        <f t="shared" si="134"/>
        <v>SW</v>
      </c>
      <c r="O3740" s="1" t="s">
        <v>25</v>
      </c>
      <c r="P3740" s="3" t="s">
        <v>25</v>
      </c>
      <c r="Q3740" s="37">
        <v>0.37</v>
      </c>
      <c r="R3740" t="str">
        <f t="shared" si="135"/>
        <v>mmol/mol</v>
      </c>
      <c r="S3740" s="13">
        <f t="shared" si="132"/>
        <v>-0.63</v>
      </c>
    </row>
    <row r="3741" spans="1:19">
      <c r="A3741" s="18" t="s">
        <v>3632</v>
      </c>
      <c r="B3741" s="1" t="s">
        <v>3893</v>
      </c>
      <c r="C3741" s="1" t="s">
        <v>4081</v>
      </c>
      <c r="D3741" s="1" t="s">
        <v>4085</v>
      </c>
      <c r="E3741" s="1" t="s">
        <v>25</v>
      </c>
      <c r="F3741">
        <v>635</v>
      </c>
      <c r="G3741">
        <v>635</v>
      </c>
      <c r="H3741" s="1" t="s">
        <v>25</v>
      </c>
      <c r="I3741" s="1" t="s">
        <v>1528</v>
      </c>
      <c r="J3741" s="1" t="s">
        <v>4105</v>
      </c>
      <c r="K3741" s="1" t="s">
        <v>25</v>
      </c>
      <c r="L3741">
        <v>-0.62</v>
      </c>
      <c r="M3741" t="str">
        <f t="shared" si="133"/>
        <v>44/40</v>
      </c>
      <c r="N3741" t="str">
        <f t="shared" si="134"/>
        <v>SW</v>
      </c>
      <c r="O3741" s="1" t="s">
        <v>25</v>
      </c>
      <c r="P3741" s="3" t="s">
        <v>25</v>
      </c>
      <c r="Q3741" s="37">
        <v>0.28000000000000003</v>
      </c>
      <c r="R3741" t="str">
        <f t="shared" si="135"/>
        <v>mmol/mol</v>
      </c>
      <c r="S3741" s="13">
        <f t="shared" si="132"/>
        <v>-0.62</v>
      </c>
    </row>
    <row r="3742" spans="1:19">
      <c r="A3742" s="18" t="s">
        <v>3632</v>
      </c>
      <c r="B3742" s="1" t="s">
        <v>3894</v>
      </c>
      <c r="C3742" s="1" t="s">
        <v>4081</v>
      </c>
      <c r="D3742" s="1" t="s">
        <v>4085</v>
      </c>
      <c r="E3742" s="1" t="s">
        <v>25</v>
      </c>
      <c r="F3742">
        <v>635</v>
      </c>
      <c r="G3742">
        <v>635</v>
      </c>
      <c r="H3742" s="1" t="s">
        <v>25</v>
      </c>
      <c r="I3742" s="1" t="s">
        <v>1528</v>
      </c>
      <c r="J3742" s="1" t="s">
        <v>4105</v>
      </c>
      <c r="K3742" s="1" t="s">
        <v>25</v>
      </c>
      <c r="L3742">
        <v>-0.92</v>
      </c>
      <c r="M3742" t="str">
        <f t="shared" si="133"/>
        <v>44/40</v>
      </c>
      <c r="N3742" t="str">
        <f t="shared" si="134"/>
        <v>SW</v>
      </c>
      <c r="O3742" s="1" t="s">
        <v>25</v>
      </c>
      <c r="P3742" s="3" t="s">
        <v>25</v>
      </c>
      <c r="Q3742" s="37">
        <v>0.7</v>
      </c>
      <c r="R3742" t="str">
        <f t="shared" si="135"/>
        <v>mmol/mol</v>
      </c>
      <c r="S3742" s="13">
        <f t="shared" si="132"/>
        <v>-0.92</v>
      </c>
    </row>
    <row r="3743" spans="1:19">
      <c r="A3743" s="18" t="s">
        <v>3632</v>
      </c>
      <c r="B3743" s="1" t="s">
        <v>3895</v>
      </c>
      <c r="C3743" s="1" t="s">
        <v>4081</v>
      </c>
      <c r="D3743" s="1" t="s">
        <v>4085</v>
      </c>
      <c r="E3743" s="1" t="s">
        <v>25</v>
      </c>
      <c r="F3743">
        <v>635</v>
      </c>
      <c r="G3743">
        <v>635</v>
      </c>
      <c r="H3743" s="1" t="s">
        <v>25</v>
      </c>
      <c r="I3743" s="1" t="s">
        <v>1528</v>
      </c>
      <c r="J3743" s="1" t="s">
        <v>4105</v>
      </c>
      <c r="K3743" s="1" t="s">
        <v>25</v>
      </c>
      <c r="L3743">
        <v>-0.92</v>
      </c>
      <c r="M3743" t="str">
        <f t="shared" si="133"/>
        <v>44/40</v>
      </c>
      <c r="N3743" t="str">
        <f t="shared" si="134"/>
        <v>SW</v>
      </c>
      <c r="O3743" s="1" t="s">
        <v>25</v>
      </c>
      <c r="P3743" s="3" t="s">
        <v>25</v>
      </c>
      <c r="Q3743" s="37">
        <v>0.64</v>
      </c>
      <c r="R3743" t="str">
        <f t="shared" si="135"/>
        <v>mmol/mol</v>
      </c>
      <c r="S3743" s="13">
        <f t="shared" si="132"/>
        <v>-0.92</v>
      </c>
    </row>
    <row r="3744" spans="1:19">
      <c r="A3744" s="18" t="s">
        <v>3632</v>
      </c>
      <c r="B3744" s="1" t="s">
        <v>3896</v>
      </c>
      <c r="C3744" s="1" t="s">
        <v>4081</v>
      </c>
      <c r="D3744" s="1" t="s">
        <v>4085</v>
      </c>
      <c r="E3744" s="1" t="s">
        <v>25</v>
      </c>
      <c r="F3744">
        <v>635</v>
      </c>
      <c r="G3744">
        <v>635</v>
      </c>
      <c r="H3744" s="1" t="s">
        <v>25</v>
      </c>
      <c r="I3744" s="1" t="s">
        <v>1528</v>
      </c>
      <c r="J3744" s="1" t="s">
        <v>4105</v>
      </c>
      <c r="K3744" s="1" t="s">
        <v>25</v>
      </c>
      <c r="L3744">
        <v>-1.04</v>
      </c>
      <c r="M3744" t="str">
        <f t="shared" si="133"/>
        <v>44/40</v>
      </c>
      <c r="N3744" t="str">
        <f t="shared" si="134"/>
        <v>SW</v>
      </c>
      <c r="O3744" s="1" t="s">
        <v>25</v>
      </c>
      <c r="P3744" s="3" t="s">
        <v>25</v>
      </c>
      <c r="Q3744" s="37">
        <v>0.71</v>
      </c>
      <c r="R3744" t="str">
        <f t="shared" si="135"/>
        <v>mmol/mol</v>
      </c>
      <c r="S3744" s="13">
        <f t="shared" si="132"/>
        <v>-1.04</v>
      </c>
    </row>
    <row r="3745" spans="1:19">
      <c r="A3745" s="18" t="s">
        <v>3632</v>
      </c>
      <c r="B3745" s="1" t="s">
        <v>3897</v>
      </c>
      <c r="C3745" s="1" t="s">
        <v>4081</v>
      </c>
      <c r="D3745" s="1" t="s">
        <v>4085</v>
      </c>
      <c r="E3745" s="1" t="s">
        <v>25</v>
      </c>
      <c r="F3745">
        <v>635</v>
      </c>
      <c r="G3745">
        <v>635</v>
      </c>
      <c r="H3745" s="1" t="s">
        <v>25</v>
      </c>
      <c r="I3745" s="1" t="s">
        <v>1528</v>
      </c>
      <c r="J3745" s="1" t="s">
        <v>4105</v>
      </c>
      <c r="K3745" s="1" t="s">
        <v>25</v>
      </c>
      <c r="L3745">
        <v>-0.97</v>
      </c>
      <c r="M3745" t="str">
        <f t="shared" si="133"/>
        <v>44/40</v>
      </c>
      <c r="N3745" t="str">
        <f t="shared" si="134"/>
        <v>SW</v>
      </c>
      <c r="O3745" s="1" t="s">
        <v>25</v>
      </c>
      <c r="P3745" s="3" t="s">
        <v>25</v>
      </c>
      <c r="Q3745" s="37">
        <v>0.62</v>
      </c>
      <c r="R3745" t="str">
        <f t="shared" si="135"/>
        <v>mmol/mol</v>
      </c>
      <c r="S3745" s="13">
        <f t="shared" si="132"/>
        <v>-0.97</v>
      </c>
    </row>
    <row r="3746" spans="1:19">
      <c r="A3746" s="18" t="s">
        <v>3632</v>
      </c>
      <c r="B3746" s="1" t="s">
        <v>3898</v>
      </c>
      <c r="C3746" s="1" t="s">
        <v>4081</v>
      </c>
      <c r="D3746" s="1" t="s">
        <v>4085</v>
      </c>
      <c r="E3746" s="1" t="s">
        <v>25</v>
      </c>
      <c r="F3746">
        <v>635</v>
      </c>
      <c r="G3746">
        <v>635</v>
      </c>
      <c r="H3746" s="1" t="s">
        <v>25</v>
      </c>
      <c r="I3746" s="1" t="s">
        <v>1528</v>
      </c>
      <c r="J3746" s="1" t="s">
        <v>4105</v>
      </c>
      <c r="K3746" s="1" t="s">
        <v>25</v>
      </c>
      <c r="L3746">
        <v>-1.07</v>
      </c>
      <c r="M3746" t="str">
        <f t="shared" si="133"/>
        <v>44/40</v>
      </c>
      <c r="N3746" t="str">
        <f t="shared" si="134"/>
        <v>SW</v>
      </c>
      <c r="O3746" s="1" t="s">
        <v>25</v>
      </c>
      <c r="P3746" s="3" t="s">
        <v>25</v>
      </c>
      <c r="Q3746" s="37">
        <v>0.57999999999999996</v>
      </c>
      <c r="R3746" t="str">
        <f t="shared" si="135"/>
        <v>mmol/mol</v>
      </c>
      <c r="S3746" s="13">
        <f t="shared" si="132"/>
        <v>-1.07</v>
      </c>
    </row>
    <row r="3747" spans="1:19">
      <c r="A3747" s="18" t="s">
        <v>3632</v>
      </c>
      <c r="B3747" s="1" t="s">
        <v>3899</v>
      </c>
      <c r="C3747" s="1" t="s">
        <v>4081</v>
      </c>
      <c r="D3747" s="1" t="s">
        <v>4085</v>
      </c>
      <c r="E3747" s="1" t="s">
        <v>25</v>
      </c>
      <c r="F3747">
        <v>635</v>
      </c>
      <c r="G3747">
        <v>635</v>
      </c>
      <c r="H3747" s="1" t="s">
        <v>25</v>
      </c>
      <c r="I3747" s="1" t="s">
        <v>1528</v>
      </c>
      <c r="J3747" s="1" t="s">
        <v>4105</v>
      </c>
      <c r="K3747" s="1" t="s">
        <v>25</v>
      </c>
      <c r="L3747">
        <v>-0.98</v>
      </c>
      <c r="M3747" t="str">
        <f t="shared" si="133"/>
        <v>44/40</v>
      </c>
      <c r="N3747" t="str">
        <f t="shared" si="134"/>
        <v>SW</v>
      </c>
      <c r="O3747" s="1" t="s">
        <v>25</v>
      </c>
      <c r="P3747" s="3" t="s">
        <v>25</v>
      </c>
      <c r="Q3747" s="37">
        <v>0.56999999999999995</v>
      </c>
      <c r="R3747" t="str">
        <f t="shared" si="135"/>
        <v>mmol/mol</v>
      </c>
      <c r="S3747" s="13">
        <f t="shared" si="132"/>
        <v>-0.98</v>
      </c>
    </row>
    <row r="3748" spans="1:19">
      <c r="A3748" s="18" t="s">
        <v>3632</v>
      </c>
      <c r="B3748" s="1" t="s">
        <v>3900</v>
      </c>
      <c r="C3748" s="1" t="s">
        <v>4081</v>
      </c>
      <c r="D3748" s="1" t="s">
        <v>4085</v>
      </c>
      <c r="E3748" s="1" t="s">
        <v>25</v>
      </c>
      <c r="F3748">
        <v>635</v>
      </c>
      <c r="G3748">
        <v>635</v>
      </c>
      <c r="H3748" s="1" t="s">
        <v>25</v>
      </c>
      <c r="I3748" s="1" t="s">
        <v>1528</v>
      </c>
      <c r="J3748" s="1" t="s">
        <v>4105</v>
      </c>
      <c r="K3748" s="1" t="s">
        <v>25</v>
      </c>
      <c r="L3748">
        <v>-0.95</v>
      </c>
      <c r="M3748" t="str">
        <f t="shared" si="133"/>
        <v>44/40</v>
      </c>
      <c r="N3748" t="str">
        <f t="shared" si="134"/>
        <v>SW</v>
      </c>
      <c r="O3748" s="1" t="s">
        <v>25</v>
      </c>
      <c r="P3748" s="3" t="s">
        <v>25</v>
      </c>
      <c r="Q3748" s="37">
        <v>0.57999999999999996</v>
      </c>
      <c r="R3748" t="str">
        <f t="shared" si="135"/>
        <v>mmol/mol</v>
      </c>
      <c r="S3748" s="13">
        <f t="shared" si="132"/>
        <v>-0.95</v>
      </c>
    </row>
    <row r="3749" spans="1:19">
      <c r="A3749" s="18" t="s">
        <v>3632</v>
      </c>
      <c r="B3749" s="1" t="s">
        <v>3901</v>
      </c>
      <c r="C3749" s="1" t="s">
        <v>2113</v>
      </c>
      <c r="D3749" s="1" t="s">
        <v>4088</v>
      </c>
      <c r="E3749" s="1" t="s">
        <v>25</v>
      </c>
      <c r="F3749">
        <v>635</v>
      </c>
      <c r="G3749">
        <v>635</v>
      </c>
      <c r="H3749" s="1" t="s">
        <v>25</v>
      </c>
      <c r="I3749" s="1" t="s">
        <v>1528</v>
      </c>
      <c r="J3749" s="1" t="s">
        <v>1491</v>
      </c>
      <c r="K3749" s="1" t="s">
        <v>25</v>
      </c>
      <c r="L3749">
        <v>-1.1599999999999999</v>
      </c>
      <c r="M3749" t="str">
        <f t="shared" si="133"/>
        <v>44/40</v>
      </c>
      <c r="N3749" t="str">
        <f t="shared" si="134"/>
        <v>SW</v>
      </c>
      <c r="O3749" s="1" t="s">
        <v>25</v>
      </c>
      <c r="P3749" s="3" t="s">
        <v>25</v>
      </c>
      <c r="Q3749" s="37">
        <v>0.17</v>
      </c>
      <c r="R3749" t="str">
        <f t="shared" si="135"/>
        <v>mmol/mol</v>
      </c>
      <c r="S3749" s="13">
        <f t="shared" si="132"/>
        <v>-1.1599999999999999</v>
      </c>
    </row>
    <row r="3750" spans="1:19">
      <c r="A3750" s="18" t="s">
        <v>3632</v>
      </c>
      <c r="B3750" s="1" t="s">
        <v>3902</v>
      </c>
      <c r="C3750" s="1" t="s">
        <v>2113</v>
      </c>
      <c r="D3750" s="1" t="s">
        <v>4088</v>
      </c>
      <c r="E3750" s="1" t="s">
        <v>25</v>
      </c>
      <c r="F3750">
        <v>635</v>
      </c>
      <c r="G3750">
        <v>635</v>
      </c>
      <c r="H3750" s="1" t="s">
        <v>25</v>
      </c>
      <c r="I3750" s="1" t="s">
        <v>1528</v>
      </c>
      <c r="J3750" s="1" t="s">
        <v>1491</v>
      </c>
      <c r="K3750" s="1" t="s">
        <v>25</v>
      </c>
      <c r="L3750">
        <v>-1</v>
      </c>
      <c r="M3750" t="str">
        <f t="shared" si="133"/>
        <v>44/40</v>
      </c>
      <c r="N3750" t="str">
        <f t="shared" si="134"/>
        <v>SW</v>
      </c>
      <c r="O3750" s="1" t="s">
        <v>25</v>
      </c>
      <c r="P3750" s="3" t="s">
        <v>25</v>
      </c>
      <c r="Q3750" s="37">
        <v>0.24</v>
      </c>
      <c r="R3750" t="str">
        <f t="shared" si="135"/>
        <v>mmol/mol</v>
      </c>
      <c r="S3750" s="13">
        <f t="shared" si="132"/>
        <v>-1</v>
      </c>
    </row>
    <row r="3751" spans="1:19">
      <c r="A3751" s="18" t="s">
        <v>3632</v>
      </c>
      <c r="B3751" s="1" t="s">
        <v>3903</v>
      </c>
      <c r="C3751" s="1" t="s">
        <v>2113</v>
      </c>
      <c r="D3751" s="1" t="s">
        <v>4088</v>
      </c>
      <c r="E3751" s="1" t="s">
        <v>25</v>
      </c>
      <c r="F3751">
        <v>635</v>
      </c>
      <c r="G3751">
        <v>635</v>
      </c>
      <c r="H3751" s="1" t="s">
        <v>25</v>
      </c>
      <c r="I3751" s="1" t="s">
        <v>1528</v>
      </c>
      <c r="J3751" s="1" t="s">
        <v>1491</v>
      </c>
      <c r="K3751" s="1" t="s">
        <v>25</v>
      </c>
      <c r="L3751">
        <v>-0.98</v>
      </c>
      <c r="M3751" t="str">
        <f t="shared" si="133"/>
        <v>44/40</v>
      </c>
      <c r="N3751" t="str">
        <f t="shared" si="134"/>
        <v>SW</v>
      </c>
      <c r="O3751" s="1" t="s">
        <v>25</v>
      </c>
      <c r="P3751" s="3" t="s">
        <v>25</v>
      </c>
      <c r="Q3751" s="37">
        <v>0.28999999999999998</v>
      </c>
      <c r="R3751" t="str">
        <f t="shared" si="135"/>
        <v>mmol/mol</v>
      </c>
      <c r="S3751" s="13">
        <f t="shared" si="132"/>
        <v>-0.98</v>
      </c>
    </row>
    <row r="3752" spans="1:19">
      <c r="A3752" s="18" t="s">
        <v>3632</v>
      </c>
      <c r="B3752" s="1" t="s">
        <v>3904</v>
      </c>
      <c r="C3752" s="1" t="s">
        <v>2113</v>
      </c>
      <c r="D3752" s="1" t="s">
        <v>4088</v>
      </c>
      <c r="E3752" s="1" t="s">
        <v>25</v>
      </c>
      <c r="F3752">
        <v>635</v>
      </c>
      <c r="G3752">
        <v>635</v>
      </c>
      <c r="H3752" s="1" t="s">
        <v>25</v>
      </c>
      <c r="I3752" s="1" t="s">
        <v>1528</v>
      </c>
      <c r="J3752" s="1" t="s">
        <v>1491</v>
      </c>
      <c r="K3752" s="1" t="s">
        <v>25</v>
      </c>
      <c r="L3752">
        <v>-0.99</v>
      </c>
      <c r="M3752" t="str">
        <f t="shared" si="133"/>
        <v>44/40</v>
      </c>
      <c r="N3752" t="str">
        <f t="shared" si="134"/>
        <v>SW</v>
      </c>
      <c r="O3752" s="1" t="s">
        <v>25</v>
      </c>
      <c r="P3752" s="3" t="s">
        <v>25</v>
      </c>
      <c r="Q3752" s="37">
        <v>0.24</v>
      </c>
      <c r="R3752" t="str">
        <f t="shared" si="135"/>
        <v>mmol/mol</v>
      </c>
      <c r="S3752" s="13">
        <f t="shared" si="132"/>
        <v>-0.99</v>
      </c>
    </row>
    <row r="3753" spans="1:19">
      <c r="A3753" s="18" t="s">
        <v>3632</v>
      </c>
      <c r="B3753" s="1" t="s">
        <v>3905</v>
      </c>
      <c r="C3753" s="1" t="s">
        <v>2113</v>
      </c>
      <c r="D3753" s="1" t="s">
        <v>4088</v>
      </c>
      <c r="E3753" s="1" t="s">
        <v>25</v>
      </c>
      <c r="F3753">
        <v>635</v>
      </c>
      <c r="G3753">
        <v>635</v>
      </c>
      <c r="H3753" s="1" t="s">
        <v>25</v>
      </c>
      <c r="I3753" s="1" t="s">
        <v>1528</v>
      </c>
      <c r="J3753" s="1" t="s">
        <v>1491</v>
      </c>
      <c r="K3753" s="1" t="s">
        <v>25</v>
      </c>
      <c r="L3753">
        <v>-0.89</v>
      </c>
      <c r="M3753" t="str">
        <f t="shared" si="133"/>
        <v>44/40</v>
      </c>
      <c r="N3753" t="str">
        <f t="shared" si="134"/>
        <v>SW</v>
      </c>
      <c r="O3753" s="1" t="s">
        <v>25</v>
      </c>
      <c r="P3753" s="3" t="s">
        <v>25</v>
      </c>
      <c r="Q3753" s="37">
        <v>0.3</v>
      </c>
      <c r="R3753" t="str">
        <f t="shared" si="135"/>
        <v>mmol/mol</v>
      </c>
      <c r="S3753" s="13">
        <f t="shared" si="132"/>
        <v>-0.89</v>
      </c>
    </row>
    <row r="3754" spans="1:19">
      <c r="A3754" s="18" t="s">
        <v>3632</v>
      </c>
      <c r="B3754" s="1" t="s">
        <v>3906</v>
      </c>
      <c r="C3754" s="1" t="s">
        <v>2113</v>
      </c>
      <c r="D3754" s="1" t="s">
        <v>4088</v>
      </c>
      <c r="E3754" s="1" t="s">
        <v>25</v>
      </c>
      <c r="F3754">
        <v>635</v>
      </c>
      <c r="G3754">
        <v>635</v>
      </c>
      <c r="H3754" s="1" t="s">
        <v>25</v>
      </c>
      <c r="I3754" s="1" t="s">
        <v>1528</v>
      </c>
      <c r="J3754" s="1" t="s">
        <v>1491</v>
      </c>
      <c r="K3754" s="1" t="s">
        <v>25</v>
      </c>
      <c r="L3754">
        <v>-0.99</v>
      </c>
      <c r="M3754" t="str">
        <f t="shared" si="133"/>
        <v>44/40</v>
      </c>
      <c r="N3754" t="str">
        <f t="shared" si="134"/>
        <v>SW</v>
      </c>
      <c r="O3754" s="1" t="s">
        <v>25</v>
      </c>
      <c r="P3754" s="3" t="s">
        <v>25</v>
      </c>
      <c r="Q3754" s="37">
        <v>0.26</v>
      </c>
      <c r="R3754" t="str">
        <f t="shared" si="135"/>
        <v>mmol/mol</v>
      </c>
      <c r="S3754" s="13">
        <f t="shared" si="132"/>
        <v>-0.99</v>
      </c>
    </row>
    <row r="3755" spans="1:19">
      <c r="A3755" s="18" t="s">
        <v>3632</v>
      </c>
      <c r="B3755" s="1" t="s">
        <v>3907</v>
      </c>
      <c r="C3755" s="1" t="s">
        <v>2113</v>
      </c>
      <c r="D3755" s="1" t="s">
        <v>4088</v>
      </c>
      <c r="E3755" s="1" t="s">
        <v>25</v>
      </c>
      <c r="F3755">
        <v>635</v>
      </c>
      <c r="G3755">
        <v>635</v>
      </c>
      <c r="H3755" s="1" t="s">
        <v>25</v>
      </c>
      <c r="I3755" s="1" t="s">
        <v>1528</v>
      </c>
      <c r="J3755" s="1" t="s">
        <v>1491</v>
      </c>
      <c r="K3755" s="1" t="s">
        <v>25</v>
      </c>
      <c r="L3755">
        <v>-0.96</v>
      </c>
      <c r="M3755" t="str">
        <f t="shared" si="133"/>
        <v>44/40</v>
      </c>
      <c r="N3755" t="str">
        <f t="shared" si="134"/>
        <v>SW</v>
      </c>
      <c r="O3755" s="1" t="s">
        <v>25</v>
      </c>
      <c r="P3755" s="3" t="s">
        <v>25</v>
      </c>
      <c r="Q3755" s="37">
        <v>0.31</v>
      </c>
      <c r="R3755" t="str">
        <f t="shared" si="135"/>
        <v>mmol/mol</v>
      </c>
      <c r="S3755" s="13">
        <f t="shared" si="132"/>
        <v>-0.96</v>
      </c>
    </row>
    <row r="3756" spans="1:19">
      <c r="A3756" s="18" t="s">
        <v>3632</v>
      </c>
      <c r="B3756" s="1" t="s">
        <v>3908</v>
      </c>
      <c r="C3756" s="1" t="s">
        <v>2113</v>
      </c>
      <c r="D3756" s="1" t="s">
        <v>4088</v>
      </c>
      <c r="E3756" s="1" t="s">
        <v>25</v>
      </c>
      <c r="F3756">
        <v>635</v>
      </c>
      <c r="G3756">
        <v>635</v>
      </c>
      <c r="H3756" s="1" t="s">
        <v>25</v>
      </c>
      <c r="I3756" s="1" t="s">
        <v>1528</v>
      </c>
      <c r="J3756" s="1" t="s">
        <v>1491</v>
      </c>
      <c r="K3756" s="1" t="s">
        <v>25</v>
      </c>
      <c r="L3756">
        <v>-1.06</v>
      </c>
      <c r="M3756" t="str">
        <f t="shared" si="133"/>
        <v>44/40</v>
      </c>
      <c r="N3756" t="str">
        <f t="shared" si="134"/>
        <v>SW</v>
      </c>
      <c r="O3756" s="1" t="s">
        <v>25</v>
      </c>
      <c r="P3756" s="3" t="s">
        <v>25</v>
      </c>
      <c r="Q3756" s="37">
        <v>0.24</v>
      </c>
      <c r="R3756" t="str">
        <f t="shared" si="135"/>
        <v>mmol/mol</v>
      </c>
      <c r="S3756" s="13">
        <f t="shared" ref="S3756:S3819" si="136">IF(NOT(N3756="SW"),L3756-1.88,L3756)</f>
        <v>-1.06</v>
      </c>
    </row>
    <row r="3757" spans="1:19">
      <c r="A3757" s="18" t="s">
        <v>3632</v>
      </c>
      <c r="B3757" s="1" t="s">
        <v>3909</v>
      </c>
      <c r="C3757" s="1" t="s">
        <v>2113</v>
      </c>
      <c r="D3757" s="1" t="s">
        <v>4088</v>
      </c>
      <c r="E3757" s="1" t="s">
        <v>25</v>
      </c>
      <c r="F3757">
        <v>635</v>
      </c>
      <c r="G3757">
        <v>635</v>
      </c>
      <c r="H3757" s="1" t="s">
        <v>25</v>
      </c>
      <c r="I3757" s="1" t="s">
        <v>1528</v>
      </c>
      <c r="J3757" s="1" t="s">
        <v>1491</v>
      </c>
      <c r="K3757" s="1" t="s">
        <v>25</v>
      </c>
      <c r="L3757">
        <v>-1</v>
      </c>
      <c r="M3757" t="str">
        <f t="shared" si="133"/>
        <v>44/40</v>
      </c>
      <c r="N3757" t="str">
        <f t="shared" si="134"/>
        <v>SW</v>
      </c>
      <c r="O3757" s="1" t="s">
        <v>25</v>
      </c>
      <c r="P3757" s="3" t="s">
        <v>25</v>
      </c>
      <c r="Q3757" s="37">
        <v>0.21</v>
      </c>
      <c r="R3757" t="str">
        <f t="shared" si="135"/>
        <v>mmol/mol</v>
      </c>
      <c r="S3757" s="13">
        <f t="shared" si="136"/>
        <v>-1</v>
      </c>
    </row>
    <row r="3758" spans="1:19">
      <c r="A3758" s="18" t="s">
        <v>3632</v>
      </c>
      <c r="B3758" s="1" t="s">
        <v>3910</v>
      </c>
      <c r="C3758" s="1" t="s">
        <v>2113</v>
      </c>
      <c r="D3758" s="1" t="s">
        <v>4088</v>
      </c>
      <c r="E3758" s="1" t="s">
        <v>25</v>
      </c>
      <c r="F3758">
        <v>635</v>
      </c>
      <c r="G3758">
        <v>635</v>
      </c>
      <c r="H3758" s="1" t="s">
        <v>25</v>
      </c>
      <c r="I3758" s="1" t="s">
        <v>1528</v>
      </c>
      <c r="J3758" s="1" t="s">
        <v>1491</v>
      </c>
      <c r="K3758" s="1" t="s">
        <v>25</v>
      </c>
      <c r="L3758">
        <v>-0.99</v>
      </c>
      <c r="M3758" t="str">
        <f t="shared" si="133"/>
        <v>44/40</v>
      </c>
      <c r="N3758" t="str">
        <f t="shared" si="134"/>
        <v>SW</v>
      </c>
      <c r="O3758" s="1" t="s">
        <v>25</v>
      </c>
      <c r="P3758" s="3" t="s">
        <v>25</v>
      </c>
      <c r="Q3758" s="37">
        <v>0.21</v>
      </c>
      <c r="R3758" t="str">
        <f t="shared" si="135"/>
        <v>mmol/mol</v>
      </c>
      <c r="S3758" s="13">
        <f t="shared" si="136"/>
        <v>-0.99</v>
      </c>
    </row>
    <row r="3759" spans="1:19">
      <c r="A3759" s="18" t="s">
        <v>3632</v>
      </c>
      <c r="B3759" s="1" t="s">
        <v>3911</v>
      </c>
      <c r="C3759" s="1" t="s">
        <v>2113</v>
      </c>
      <c r="D3759" s="1" t="s">
        <v>4088</v>
      </c>
      <c r="E3759" s="1" t="s">
        <v>25</v>
      </c>
      <c r="F3759">
        <v>635</v>
      </c>
      <c r="G3759">
        <v>635</v>
      </c>
      <c r="H3759" s="1" t="s">
        <v>25</v>
      </c>
      <c r="I3759" s="1" t="s">
        <v>1528</v>
      </c>
      <c r="J3759" s="1" t="s">
        <v>1491</v>
      </c>
      <c r="K3759" s="1" t="s">
        <v>25</v>
      </c>
      <c r="L3759">
        <v>-1.05</v>
      </c>
      <c r="M3759" t="str">
        <f t="shared" si="133"/>
        <v>44/40</v>
      </c>
      <c r="N3759" t="str">
        <f t="shared" si="134"/>
        <v>SW</v>
      </c>
      <c r="O3759" s="1" t="s">
        <v>25</v>
      </c>
      <c r="P3759" s="3" t="s">
        <v>25</v>
      </c>
      <c r="Q3759" s="37">
        <v>0.27</v>
      </c>
      <c r="R3759" t="str">
        <f t="shared" si="135"/>
        <v>mmol/mol</v>
      </c>
      <c r="S3759" s="13">
        <f t="shared" si="136"/>
        <v>-1.05</v>
      </c>
    </row>
    <row r="3760" spans="1:19">
      <c r="A3760" s="18" t="s">
        <v>3632</v>
      </c>
      <c r="B3760" s="1" t="s">
        <v>3912</v>
      </c>
      <c r="C3760" s="1" t="s">
        <v>2113</v>
      </c>
      <c r="D3760" s="1" t="s">
        <v>4088</v>
      </c>
      <c r="E3760" s="1" t="s">
        <v>25</v>
      </c>
      <c r="F3760">
        <v>635</v>
      </c>
      <c r="G3760">
        <v>635</v>
      </c>
      <c r="H3760" s="1" t="s">
        <v>25</v>
      </c>
      <c r="I3760" s="1" t="s">
        <v>1528</v>
      </c>
      <c r="J3760" s="1" t="s">
        <v>1491</v>
      </c>
      <c r="K3760" s="1" t="s">
        <v>25</v>
      </c>
      <c r="L3760">
        <v>-1.06</v>
      </c>
      <c r="M3760" t="str">
        <f t="shared" ref="M3760:M3823" si="137">IF(L3760="Na","Na","44/40")</f>
        <v>44/40</v>
      </c>
      <c r="N3760" t="str">
        <f t="shared" ref="N3760:N3823" si="138">IF(M3760="Na","Na","SW")</f>
        <v>SW</v>
      </c>
      <c r="O3760" s="1" t="s">
        <v>25</v>
      </c>
      <c r="P3760" s="3" t="s">
        <v>25</v>
      </c>
      <c r="Q3760" s="37">
        <v>0.22</v>
      </c>
      <c r="R3760" t="str">
        <f t="shared" si="135"/>
        <v>mmol/mol</v>
      </c>
      <c r="S3760" s="13">
        <f t="shared" si="136"/>
        <v>-1.06</v>
      </c>
    </row>
    <row r="3761" spans="1:19">
      <c r="A3761" s="18" t="s">
        <v>3632</v>
      </c>
      <c r="B3761" s="1" t="s">
        <v>3913</v>
      </c>
      <c r="C3761" s="1" t="s">
        <v>2113</v>
      </c>
      <c r="D3761" s="1" t="s">
        <v>4088</v>
      </c>
      <c r="E3761" s="1" t="s">
        <v>25</v>
      </c>
      <c r="F3761">
        <v>635</v>
      </c>
      <c r="G3761">
        <v>635</v>
      </c>
      <c r="H3761" s="1" t="s">
        <v>25</v>
      </c>
      <c r="I3761" s="1" t="s">
        <v>1528</v>
      </c>
      <c r="J3761" s="1" t="s">
        <v>1491</v>
      </c>
      <c r="K3761" s="1" t="s">
        <v>25</v>
      </c>
      <c r="L3761">
        <v>-1.03</v>
      </c>
      <c r="M3761" t="str">
        <f t="shared" si="137"/>
        <v>44/40</v>
      </c>
      <c r="N3761" t="str">
        <f t="shared" si="138"/>
        <v>SW</v>
      </c>
      <c r="O3761" s="1" t="s">
        <v>25</v>
      </c>
      <c r="P3761" s="3" t="s">
        <v>25</v>
      </c>
      <c r="Q3761" s="37">
        <v>0.28000000000000003</v>
      </c>
      <c r="R3761" t="str">
        <f t="shared" si="135"/>
        <v>mmol/mol</v>
      </c>
      <c r="S3761" s="13">
        <f t="shared" si="136"/>
        <v>-1.03</v>
      </c>
    </row>
    <row r="3762" spans="1:19">
      <c r="A3762" s="18" t="s">
        <v>3632</v>
      </c>
      <c r="B3762" s="1" t="s">
        <v>3914</v>
      </c>
      <c r="C3762" s="1" t="s">
        <v>2113</v>
      </c>
      <c r="D3762" s="1" t="s">
        <v>4088</v>
      </c>
      <c r="E3762" s="1" t="s">
        <v>25</v>
      </c>
      <c r="F3762">
        <v>635</v>
      </c>
      <c r="G3762">
        <v>635</v>
      </c>
      <c r="H3762" s="1" t="s">
        <v>25</v>
      </c>
      <c r="I3762" s="1" t="s">
        <v>1528</v>
      </c>
      <c r="J3762" s="1" t="s">
        <v>1491</v>
      </c>
      <c r="K3762" s="1" t="s">
        <v>25</v>
      </c>
      <c r="L3762">
        <v>-1</v>
      </c>
      <c r="M3762" t="str">
        <f t="shared" si="137"/>
        <v>44/40</v>
      </c>
      <c r="N3762" t="str">
        <f t="shared" si="138"/>
        <v>SW</v>
      </c>
      <c r="O3762" s="1" t="s">
        <v>25</v>
      </c>
      <c r="P3762" s="3" t="s">
        <v>25</v>
      </c>
      <c r="Q3762" s="37">
        <v>0.28000000000000003</v>
      </c>
      <c r="R3762" t="str">
        <f t="shared" si="135"/>
        <v>mmol/mol</v>
      </c>
      <c r="S3762" s="13">
        <f t="shared" si="136"/>
        <v>-1</v>
      </c>
    </row>
    <row r="3763" spans="1:19">
      <c r="A3763" s="18" t="s">
        <v>3632</v>
      </c>
      <c r="B3763" s="1" t="s">
        <v>3915</v>
      </c>
      <c r="C3763" s="1" t="s">
        <v>2113</v>
      </c>
      <c r="D3763" s="1" t="s">
        <v>4088</v>
      </c>
      <c r="E3763" s="1" t="s">
        <v>25</v>
      </c>
      <c r="F3763">
        <v>635</v>
      </c>
      <c r="G3763">
        <v>635</v>
      </c>
      <c r="H3763" s="1" t="s">
        <v>25</v>
      </c>
      <c r="I3763" s="1" t="s">
        <v>1528</v>
      </c>
      <c r="J3763" s="1" t="s">
        <v>1491</v>
      </c>
      <c r="K3763" s="1" t="s">
        <v>25</v>
      </c>
      <c r="L3763">
        <v>-1.0900000000000001</v>
      </c>
      <c r="M3763" t="str">
        <f t="shared" si="137"/>
        <v>44/40</v>
      </c>
      <c r="N3763" t="str">
        <f t="shared" si="138"/>
        <v>SW</v>
      </c>
      <c r="O3763" s="1" t="s">
        <v>25</v>
      </c>
      <c r="P3763" s="3" t="s">
        <v>25</v>
      </c>
      <c r="Q3763" s="37">
        <v>0.31</v>
      </c>
      <c r="R3763" t="str">
        <f t="shared" si="135"/>
        <v>mmol/mol</v>
      </c>
      <c r="S3763" s="13">
        <f t="shared" si="136"/>
        <v>-1.0900000000000001</v>
      </c>
    </row>
    <row r="3764" spans="1:19">
      <c r="A3764" s="18" t="s">
        <v>3632</v>
      </c>
      <c r="B3764" s="1" t="s">
        <v>3916</v>
      </c>
      <c r="C3764" s="1" t="s">
        <v>2113</v>
      </c>
      <c r="D3764" s="1" t="s">
        <v>4088</v>
      </c>
      <c r="E3764" s="1" t="s">
        <v>25</v>
      </c>
      <c r="F3764">
        <v>635</v>
      </c>
      <c r="G3764">
        <v>635</v>
      </c>
      <c r="H3764" s="1" t="s">
        <v>25</v>
      </c>
      <c r="I3764" s="1" t="s">
        <v>1528</v>
      </c>
      <c r="J3764" s="1" t="s">
        <v>1491</v>
      </c>
      <c r="K3764" s="1" t="s">
        <v>25</v>
      </c>
      <c r="L3764">
        <v>-1.08</v>
      </c>
      <c r="M3764" t="str">
        <f t="shared" si="137"/>
        <v>44/40</v>
      </c>
      <c r="N3764" t="str">
        <f t="shared" si="138"/>
        <v>SW</v>
      </c>
      <c r="O3764" s="1" t="s">
        <v>25</v>
      </c>
      <c r="P3764" s="3" t="s">
        <v>25</v>
      </c>
      <c r="Q3764" s="37">
        <v>0.25</v>
      </c>
      <c r="R3764" t="str">
        <f t="shared" si="135"/>
        <v>mmol/mol</v>
      </c>
      <c r="S3764" s="13">
        <f t="shared" si="136"/>
        <v>-1.08</v>
      </c>
    </row>
    <row r="3765" spans="1:19">
      <c r="A3765" s="18" t="s">
        <v>3632</v>
      </c>
      <c r="B3765" s="1" t="s">
        <v>3917</v>
      </c>
      <c r="C3765" s="1" t="s">
        <v>2113</v>
      </c>
      <c r="D3765" s="1" t="s">
        <v>4088</v>
      </c>
      <c r="E3765" s="1" t="s">
        <v>25</v>
      </c>
      <c r="F3765">
        <v>635</v>
      </c>
      <c r="G3765">
        <v>635</v>
      </c>
      <c r="H3765" s="1" t="s">
        <v>25</v>
      </c>
      <c r="I3765" s="1" t="s">
        <v>1528</v>
      </c>
      <c r="J3765" s="1" t="s">
        <v>1491</v>
      </c>
      <c r="K3765" s="1" t="s">
        <v>25</v>
      </c>
      <c r="L3765">
        <v>-0.66</v>
      </c>
      <c r="M3765" t="str">
        <f t="shared" si="137"/>
        <v>44/40</v>
      </c>
      <c r="N3765" t="str">
        <f t="shared" si="138"/>
        <v>SW</v>
      </c>
      <c r="O3765" s="1" t="s">
        <v>25</v>
      </c>
      <c r="P3765" s="3" t="s">
        <v>25</v>
      </c>
      <c r="Q3765" s="37">
        <v>0.16</v>
      </c>
      <c r="R3765" t="str">
        <f t="shared" si="135"/>
        <v>mmol/mol</v>
      </c>
      <c r="S3765" s="13">
        <f t="shared" si="136"/>
        <v>-0.66</v>
      </c>
    </row>
    <row r="3766" spans="1:19">
      <c r="A3766" s="18" t="s">
        <v>3632</v>
      </c>
      <c r="B3766" s="1" t="s">
        <v>3918</v>
      </c>
      <c r="C3766" s="1" t="s">
        <v>2113</v>
      </c>
      <c r="D3766" s="1" t="s">
        <v>4088</v>
      </c>
      <c r="E3766" s="1" t="s">
        <v>25</v>
      </c>
      <c r="F3766">
        <v>635</v>
      </c>
      <c r="G3766">
        <v>635</v>
      </c>
      <c r="H3766" s="1" t="s">
        <v>25</v>
      </c>
      <c r="I3766" s="1" t="s">
        <v>1528</v>
      </c>
      <c r="J3766" s="1" t="s">
        <v>1491</v>
      </c>
      <c r="K3766" s="1" t="s">
        <v>25</v>
      </c>
      <c r="L3766">
        <v>-0.69</v>
      </c>
      <c r="M3766" t="str">
        <f t="shared" si="137"/>
        <v>44/40</v>
      </c>
      <c r="N3766" t="str">
        <f t="shared" si="138"/>
        <v>SW</v>
      </c>
      <c r="O3766" s="1" t="s">
        <v>25</v>
      </c>
      <c r="P3766" s="3" t="s">
        <v>25</v>
      </c>
      <c r="Q3766" s="37">
        <v>0.19</v>
      </c>
      <c r="R3766" t="str">
        <f t="shared" si="135"/>
        <v>mmol/mol</v>
      </c>
      <c r="S3766" s="13">
        <f t="shared" si="136"/>
        <v>-0.69</v>
      </c>
    </row>
    <row r="3767" spans="1:19">
      <c r="A3767" s="18" t="s">
        <v>3632</v>
      </c>
      <c r="B3767" s="1" t="s">
        <v>3919</v>
      </c>
      <c r="C3767" s="1" t="s">
        <v>2113</v>
      </c>
      <c r="D3767" s="1" t="s">
        <v>4088</v>
      </c>
      <c r="E3767" s="1" t="s">
        <v>25</v>
      </c>
      <c r="F3767">
        <v>635</v>
      </c>
      <c r="G3767">
        <v>635</v>
      </c>
      <c r="H3767" s="1" t="s">
        <v>25</v>
      </c>
      <c r="I3767" s="1" t="s">
        <v>1528</v>
      </c>
      <c r="J3767" s="1" t="s">
        <v>1491</v>
      </c>
      <c r="K3767" s="1" t="s">
        <v>25</v>
      </c>
      <c r="L3767">
        <v>-0.69</v>
      </c>
      <c r="M3767" t="str">
        <f t="shared" si="137"/>
        <v>44/40</v>
      </c>
      <c r="N3767" t="str">
        <f t="shared" si="138"/>
        <v>SW</v>
      </c>
      <c r="O3767" s="1" t="s">
        <v>25</v>
      </c>
      <c r="P3767" s="3" t="s">
        <v>25</v>
      </c>
      <c r="Q3767" s="37">
        <v>0.23</v>
      </c>
      <c r="R3767" t="str">
        <f t="shared" si="135"/>
        <v>mmol/mol</v>
      </c>
      <c r="S3767" s="13">
        <f t="shared" si="136"/>
        <v>-0.69</v>
      </c>
    </row>
    <row r="3768" spans="1:19">
      <c r="A3768" s="18" t="s">
        <v>3632</v>
      </c>
      <c r="B3768" s="1" t="s">
        <v>3920</v>
      </c>
      <c r="C3768" s="1" t="s">
        <v>2113</v>
      </c>
      <c r="D3768" s="1" t="s">
        <v>4088</v>
      </c>
      <c r="E3768" s="1" t="s">
        <v>25</v>
      </c>
      <c r="F3768">
        <v>635</v>
      </c>
      <c r="G3768">
        <v>635</v>
      </c>
      <c r="H3768" s="1" t="s">
        <v>25</v>
      </c>
      <c r="I3768" s="1" t="s">
        <v>1528</v>
      </c>
      <c r="J3768" s="1" t="s">
        <v>1491</v>
      </c>
      <c r="K3768" s="1" t="s">
        <v>25</v>
      </c>
      <c r="L3768">
        <v>-0.79</v>
      </c>
      <c r="M3768" t="str">
        <f t="shared" si="137"/>
        <v>44/40</v>
      </c>
      <c r="N3768" t="str">
        <f t="shared" si="138"/>
        <v>SW</v>
      </c>
      <c r="O3768" s="1" t="s">
        <v>25</v>
      </c>
      <c r="P3768" s="3" t="s">
        <v>25</v>
      </c>
      <c r="Q3768" s="37">
        <v>0.25</v>
      </c>
      <c r="R3768" t="str">
        <f t="shared" si="135"/>
        <v>mmol/mol</v>
      </c>
      <c r="S3768" s="13">
        <f t="shared" si="136"/>
        <v>-0.79</v>
      </c>
    </row>
    <row r="3769" spans="1:19">
      <c r="A3769" s="18" t="s">
        <v>3632</v>
      </c>
      <c r="B3769" s="1" t="s">
        <v>3921</v>
      </c>
      <c r="C3769" s="1" t="s">
        <v>2113</v>
      </c>
      <c r="D3769" s="1" t="s">
        <v>4088</v>
      </c>
      <c r="E3769" s="1" t="s">
        <v>25</v>
      </c>
      <c r="F3769">
        <v>635</v>
      </c>
      <c r="G3769">
        <v>635</v>
      </c>
      <c r="H3769" s="1" t="s">
        <v>25</v>
      </c>
      <c r="I3769" s="1" t="s">
        <v>1528</v>
      </c>
      <c r="J3769" s="1" t="s">
        <v>1491</v>
      </c>
      <c r="K3769" s="1" t="s">
        <v>25</v>
      </c>
      <c r="L3769">
        <v>-0.96</v>
      </c>
      <c r="M3769" t="str">
        <f t="shared" si="137"/>
        <v>44/40</v>
      </c>
      <c r="N3769" t="str">
        <f t="shared" si="138"/>
        <v>SW</v>
      </c>
      <c r="O3769" s="1" t="s">
        <v>25</v>
      </c>
      <c r="P3769" s="3" t="s">
        <v>25</v>
      </c>
      <c r="Q3769" s="37">
        <v>0.25</v>
      </c>
      <c r="R3769" t="str">
        <f t="shared" si="135"/>
        <v>mmol/mol</v>
      </c>
      <c r="S3769" s="13">
        <f t="shared" si="136"/>
        <v>-0.96</v>
      </c>
    </row>
    <row r="3770" spans="1:19">
      <c r="A3770" s="18" t="s">
        <v>3632</v>
      </c>
      <c r="B3770" s="1" t="s">
        <v>3922</v>
      </c>
      <c r="C3770" s="1" t="s">
        <v>2113</v>
      </c>
      <c r="D3770" s="1" t="s">
        <v>4088</v>
      </c>
      <c r="E3770" s="1" t="s">
        <v>25</v>
      </c>
      <c r="F3770">
        <v>635</v>
      </c>
      <c r="G3770">
        <v>635</v>
      </c>
      <c r="H3770" s="1" t="s">
        <v>25</v>
      </c>
      <c r="I3770" s="1" t="s">
        <v>1528</v>
      </c>
      <c r="J3770" s="1" t="s">
        <v>4102</v>
      </c>
      <c r="K3770" t="s">
        <v>4103</v>
      </c>
      <c r="L3770">
        <v>-1.91</v>
      </c>
      <c r="M3770" t="str">
        <f t="shared" si="137"/>
        <v>44/40</v>
      </c>
      <c r="N3770" t="str">
        <f t="shared" si="138"/>
        <v>SW</v>
      </c>
      <c r="O3770" s="1" t="s">
        <v>25</v>
      </c>
      <c r="P3770" s="3" t="s">
        <v>25</v>
      </c>
      <c r="Q3770" s="37">
        <v>3.77</v>
      </c>
      <c r="R3770" t="str">
        <f t="shared" si="135"/>
        <v>mmol/mol</v>
      </c>
      <c r="S3770" s="13">
        <f t="shared" si="136"/>
        <v>-1.91</v>
      </c>
    </row>
    <row r="3771" spans="1:19">
      <c r="A3771" s="18" t="s">
        <v>3632</v>
      </c>
      <c r="B3771" s="1" t="s">
        <v>3923</v>
      </c>
      <c r="C3771" s="1" t="s">
        <v>2113</v>
      </c>
      <c r="D3771" s="1" t="s">
        <v>4088</v>
      </c>
      <c r="E3771" s="1" t="s">
        <v>25</v>
      </c>
      <c r="F3771">
        <v>635</v>
      </c>
      <c r="G3771">
        <v>635</v>
      </c>
      <c r="H3771" s="1" t="s">
        <v>25</v>
      </c>
      <c r="I3771" s="1" t="s">
        <v>1528</v>
      </c>
      <c r="J3771" s="1" t="s">
        <v>4102</v>
      </c>
      <c r="K3771" t="s">
        <v>4103</v>
      </c>
      <c r="L3771">
        <v>-1.92</v>
      </c>
      <c r="M3771" t="str">
        <f t="shared" si="137"/>
        <v>44/40</v>
      </c>
      <c r="N3771" t="str">
        <f t="shared" si="138"/>
        <v>SW</v>
      </c>
      <c r="O3771" s="1" t="s">
        <v>25</v>
      </c>
      <c r="P3771" s="3" t="s">
        <v>25</v>
      </c>
      <c r="Q3771" s="37">
        <v>3.05</v>
      </c>
      <c r="R3771" t="str">
        <f t="shared" si="135"/>
        <v>mmol/mol</v>
      </c>
      <c r="S3771" s="13">
        <f t="shared" si="136"/>
        <v>-1.92</v>
      </c>
    </row>
    <row r="3772" spans="1:19">
      <c r="A3772" s="18" t="s">
        <v>3632</v>
      </c>
      <c r="B3772" s="1" t="s">
        <v>3924</v>
      </c>
      <c r="C3772" s="1" t="s">
        <v>2113</v>
      </c>
      <c r="D3772" s="1" t="s">
        <v>4088</v>
      </c>
      <c r="E3772" s="1" t="s">
        <v>25</v>
      </c>
      <c r="F3772">
        <v>635</v>
      </c>
      <c r="G3772">
        <v>635</v>
      </c>
      <c r="H3772" s="1" t="s">
        <v>25</v>
      </c>
      <c r="I3772" s="1" t="s">
        <v>1528</v>
      </c>
      <c r="J3772" s="1" t="s">
        <v>4102</v>
      </c>
      <c r="K3772" t="s">
        <v>4103</v>
      </c>
      <c r="L3772">
        <v>-1.97</v>
      </c>
      <c r="M3772" t="str">
        <f t="shared" si="137"/>
        <v>44/40</v>
      </c>
      <c r="N3772" t="str">
        <f t="shared" si="138"/>
        <v>SW</v>
      </c>
      <c r="O3772" s="1" t="s">
        <v>25</v>
      </c>
      <c r="P3772" s="3" t="s">
        <v>25</v>
      </c>
      <c r="Q3772" s="37">
        <v>3.84</v>
      </c>
      <c r="R3772" t="str">
        <f t="shared" si="135"/>
        <v>mmol/mol</v>
      </c>
      <c r="S3772" s="13">
        <f t="shared" si="136"/>
        <v>-1.97</v>
      </c>
    </row>
    <row r="3773" spans="1:19">
      <c r="A3773" s="18" t="s">
        <v>3632</v>
      </c>
      <c r="B3773" s="1" t="s">
        <v>3925</v>
      </c>
      <c r="C3773" s="1" t="s">
        <v>2113</v>
      </c>
      <c r="D3773" s="1" t="s">
        <v>4088</v>
      </c>
      <c r="E3773" s="1" t="s">
        <v>25</v>
      </c>
      <c r="F3773">
        <v>635</v>
      </c>
      <c r="G3773">
        <v>635</v>
      </c>
      <c r="H3773" s="1" t="s">
        <v>25</v>
      </c>
      <c r="I3773" s="1" t="s">
        <v>1528</v>
      </c>
      <c r="J3773" s="1" t="s">
        <v>4102</v>
      </c>
      <c r="K3773" t="s">
        <v>4103</v>
      </c>
      <c r="L3773">
        <v>-1.91</v>
      </c>
      <c r="M3773" t="str">
        <f t="shared" si="137"/>
        <v>44/40</v>
      </c>
      <c r="N3773" t="str">
        <f t="shared" si="138"/>
        <v>SW</v>
      </c>
      <c r="O3773" s="1" t="s">
        <v>25</v>
      </c>
      <c r="P3773" s="3" t="s">
        <v>25</v>
      </c>
      <c r="Q3773" s="37">
        <v>3.22</v>
      </c>
      <c r="R3773" t="str">
        <f t="shared" si="135"/>
        <v>mmol/mol</v>
      </c>
      <c r="S3773" s="13">
        <f t="shared" si="136"/>
        <v>-1.91</v>
      </c>
    </row>
    <row r="3774" spans="1:19">
      <c r="A3774" s="18" t="s">
        <v>3632</v>
      </c>
      <c r="B3774" s="1" t="s">
        <v>3926</v>
      </c>
      <c r="C3774" s="1" t="s">
        <v>2113</v>
      </c>
      <c r="D3774" s="1" t="s">
        <v>4088</v>
      </c>
      <c r="E3774" s="1" t="s">
        <v>25</v>
      </c>
      <c r="F3774">
        <v>635</v>
      </c>
      <c r="G3774">
        <v>635</v>
      </c>
      <c r="H3774" s="1" t="s">
        <v>25</v>
      </c>
      <c r="I3774" s="1" t="s">
        <v>1528</v>
      </c>
      <c r="J3774" s="1" t="s">
        <v>4102</v>
      </c>
      <c r="K3774" t="s">
        <v>4103</v>
      </c>
      <c r="L3774">
        <v>-1.88</v>
      </c>
      <c r="M3774" t="str">
        <f t="shared" si="137"/>
        <v>44/40</v>
      </c>
      <c r="N3774" t="str">
        <f t="shared" si="138"/>
        <v>SW</v>
      </c>
      <c r="O3774" s="1" t="s">
        <v>25</v>
      </c>
      <c r="P3774" s="3" t="s">
        <v>25</v>
      </c>
      <c r="Q3774" s="37">
        <v>3.33</v>
      </c>
      <c r="R3774" t="str">
        <f t="shared" si="135"/>
        <v>mmol/mol</v>
      </c>
      <c r="S3774" s="13">
        <f t="shared" si="136"/>
        <v>-1.88</v>
      </c>
    </row>
    <row r="3775" spans="1:19">
      <c r="A3775" s="18" t="s">
        <v>3632</v>
      </c>
      <c r="B3775" s="1" t="s">
        <v>3927</v>
      </c>
      <c r="C3775" s="1" t="s">
        <v>2113</v>
      </c>
      <c r="D3775" s="1" t="s">
        <v>4088</v>
      </c>
      <c r="E3775" s="1" t="s">
        <v>25</v>
      </c>
      <c r="F3775">
        <v>635</v>
      </c>
      <c r="G3775">
        <v>635</v>
      </c>
      <c r="H3775" s="1" t="s">
        <v>25</v>
      </c>
      <c r="I3775" s="1" t="s">
        <v>1528</v>
      </c>
      <c r="J3775" s="1" t="s">
        <v>4102</v>
      </c>
      <c r="K3775" t="s">
        <v>4103</v>
      </c>
      <c r="L3775">
        <v>-1.9</v>
      </c>
      <c r="M3775" t="str">
        <f t="shared" si="137"/>
        <v>44/40</v>
      </c>
      <c r="N3775" t="str">
        <f t="shared" si="138"/>
        <v>SW</v>
      </c>
      <c r="O3775" s="1" t="s">
        <v>25</v>
      </c>
      <c r="P3775" s="3" t="s">
        <v>25</v>
      </c>
      <c r="Q3775" s="37">
        <v>3.56</v>
      </c>
      <c r="R3775" t="str">
        <f t="shared" si="135"/>
        <v>mmol/mol</v>
      </c>
      <c r="S3775" s="13">
        <f t="shared" si="136"/>
        <v>-1.9</v>
      </c>
    </row>
    <row r="3776" spans="1:19">
      <c r="A3776" s="18" t="s">
        <v>3632</v>
      </c>
      <c r="B3776" s="1" t="s">
        <v>3928</v>
      </c>
      <c r="C3776" s="1" t="s">
        <v>2113</v>
      </c>
      <c r="D3776" s="1" t="s">
        <v>4088</v>
      </c>
      <c r="E3776" s="1" t="s">
        <v>25</v>
      </c>
      <c r="F3776">
        <v>635</v>
      </c>
      <c r="G3776">
        <v>635</v>
      </c>
      <c r="H3776" s="1" t="s">
        <v>25</v>
      </c>
      <c r="I3776" s="1" t="s">
        <v>1528</v>
      </c>
      <c r="J3776" s="1" t="s">
        <v>4102</v>
      </c>
      <c r="K3776" t="s">
        <v>4103</v>
      </c>
      <c r="L3776">
        <v>-1.95</v>
      </c>
      <c r="M3776" t="str">
        <f t="shared" si="137"/>
        <v>44/40</v>
      </c>
      <c r="N3776" t="str">
        <f t="shared" si="138"/>
        <v>SW</v>
      </c>
      <c r="O3776" s="1" t="s">
        <v>25</v>
      </c>
      <c r="P3776" s="3" t="s">
        <v>25</v>
      </c>
      <c r="Q3776" s="37">
        <v>3.38</v>
      </c>
      <c r="R3776" t="str">
        <f t="shared" si="135"/>
        <v>mmol/mol</v>
      </c>
      <c r="S3776" s="13">
        <f t="shared" si="136"/>
        <v>-1.95</v>
      </c>
    </row>
    <row r="3777" spans="1:19">
      <c r="A3777" s="18" t="s">
        <v>3632</v>
      </c>
      <c r="B3777" s="1" t="s">
        <v>3929</v>
      </c>
      <c r="C3777" s="1" t="s">
        <v>2113</v>
      </c>
      <c r="D3777" s="1" t="s">
        <v>4088</v>
      </c>
      <c r="E3777" s="1" t="s">
        <v>25</v>
      </c>
      <c r="F3777">
        <v>635</v>
      </c>
      <c r="G3777">
        <v>635</v>
      </c>
      <c r="H3777" s="1" t="s">
        <v>25</v>
      </c>
      <c r="I3777" s="1" t="s">
        <v>1528</v>
      </c>
      <c r="J3777" s="1" t="s">
        <v>4102</v>
      </c>
      <c r="K3777" t="s">
        <v>4103</v>
      </c>
      <c r="L3777">
        <v>-1.63</v>
      </c>
      <c r="M3777" t="str">
        <f t="shared" si="137"/>
        <v>44/40</v>
      </c>
      <c r="N3777" t="str">
        <f t="shared" si="138"/>
        <v>SW</v>
      </c>
      <c r="O3777" s="1" t="s">
        <v>25</v>
      </c>
      <c r="P3777" s="3" t="s">
        <v>25</v>
      </c>
      <c r="Q3777" s="37">
        <v>1.24</v>
      </c>
      <c r="R3777" t="str">
        <f t="shared" si="135"/>
        <v>mmol/mol</v>
      </c>
      <c r="S3777" s="13">
        <f t="shared" si="136"/>
        <v>-1.63</v>
      </c>
    </row>
    <row r="3778" spans="1:19">
      <c r="A3778" s="18" t="s">
        <v>3632</v>
      </c>
      <c r="B3778" s="1" t="s">
        <v>3930</v>
      </c>
      <c r="C3778" s="1" t="s">
        <v>2113</v>
      </c>
      <c r="D3778" s="1" t="s">
        <v>4088</v>
      </c>
      <c r="E3778" s="1" t="s">
        <v>25</v>
      </c>
      <c r="F3778">
        <v>635</v>
      </c>
      <c r="G3778">
        <v>635</v>
      </c>
      <c r="H3778" s="1" t="s">
        <v>25</v>
      </c>
      <c r="I3778" s="1" t="s">
        <v>1528</v>
      </c>
      <c r="J3778" s="1" t="s">
        <v>4102</v>
      </c>
      <c r="K3778" t="s">
        <v>4103</v>
      </c>
      <c r="L3778">
        <v>-1.78</v>
      </c>
      <c r="M3778" t="str">
        <f t="shared" si="137"/>
        <v>44/40</v>
      </c>
      <c r="N3778" t="str">
        <f t="shared" si="138"/>
        <v>SW</v>
      </c>
      <c r="O3778" s="1" t="s">
        <v>25</v>
      </c>
      <c r="P3778" s="3" t="s">
        <v>25</v>
      </c>
      <c r="Q3778" s="37">
        <v>1.84</v>
      </c>
      <c r="R3778" t="str">
        <f t="shared" si="135"/>
        <v>mmol/mol</v>
      </c>
      <c r="S3778" s="13">
        <f t="shared" si="136"/>
        <v>-1.78</v>
      </c>
    </row>
    <row r="3779" spans="1:19">
      <c r="A3779" s="18" t="s">
        <v>3632</v>
      </c>
      <c r="B3779" s="1" t="s">
        <v>3931</v>
      </c>
      <c r="C3779" s="1" t="s">
        <v>2113</v>
      </c>
      <c r="D3779" s="1" t="s">
        <v>4088</v>
      </c>
      <c r="E3779" s="1" t="s">
        <v>25</v>
      </c>
      <c r="F3779">
        <v>635</v>
      </c>
      <c r="G3779">
        <v>635</v>
      </c>
      <c r="H3779" s="1" t="s">
        <v>25</v>
      </c>
      <c r="I3779" s="1" t="s">
        <v>1528</v>
      </c>
      <c r="J3779" s="1" t="s">
        <v>4102</v>
      </c>
      <c r="K3779" t="s">
        <v>4103</v>
      </c>
      <c r="L3779">
        <v>-1.75</v>
      </c>
      <c r="M3779" t="str">
        <f t="shared" si="137"/>
        <v>44/40</v>
      </c>
      <c r="N3779" t="str">
        <f t="shared" si="138"/>
        <v>SW</v>
      </c>
      <c r="O3779" s="1" t="s">
        <v>25</v>
      </c>
      <c r="P3779" s="3" t="s">
        <v>25</v>
      </c>
      <c r="Q3779" s="37">
        <v>1.64</v>
      </c>
      <c r="R3779" t="str">
        <f t="shared" si="135"/>
        <v>mmol/mol</v>
      </c>
      <c r="S3779" s="13">
        <f t="shared" si="136"/>
        <v>-1.75</v>
      </c>
    </row>
    <row r="3780" spans="1:19">
      <c r="A3780" s="18" t="s">
        <v>3632</v>
      </c>
      <c r="B3780" s="1" t="s">
        <v>3932</v>
      </c>
      <c r="C3780" s="1" t="s">
        <v>2113</v>
      </c>
      <c r="D3780" s="1" t="s">
        <v>4088</v>
      </c>
      <c r="E3780" s="1" t="s">
        <v>25</v>
      </c>
      <c r="F3780">
        <v>635</v>
      </c>
      <c r="G3780">
        <v>635</v>
      </c>
      <c r="H3780" s="1" t="s">
        <v>25</v>
      </c>
      <c r="I3780" s="1" t="s">
        <v>1528</v>
      </c>
      <c r="J3780" s="1" t="s">
        <v>4102</v>
      </c>
      <c r="K3780" t="s">
        <v>4103</v>
      </c>
      <c r="L3780">
        <v>-1.77</v>
      </c>
      <c r="M3780" t="str">
        <f t="shared" si="137"/>
        <v>44/40</v>
      </c>
      <c r="N3780" t="str">
        <f t="shared" si="138"/>
        <v>SW</v>
      </c>
      <c r="O3780" s="1" t="s">
        <v>25</v>
      </c>
      <c r="P3780" s="3" t="s">
        <v>25</v>
      </c>
      <c r="Q3780" s="37">
        <v>1.2</v>
      </c>
      <c r="R3780" t="str">
        <f t="shared" si="135"/>
        <v>mmol/mol</v>
      </c>
      <c r="S3780" s="13">
        <f t="shared" si="136"/>
        <v>-1.77</v>
      </c>
    </row>
    <row r="3781" spans="1:19">
      <c r="A3781" s="18" t="s">
        <v>3632</v>
      </c>
      <c r="B3781" s="1" t="s">
        <v>3933</v>
      </c>
      <c r="C3781" s="1" t="s">
        <v>2113</v>
      </c>
      <c r="D3781" s="1" t="s">
        <v>4088</v>
      </c>
      <c r="E3781" s="1" t="s">
        <v>25</v>
      </c>
      <c r="F3781">
        <v>635</v>
      </c>
      <c r="G3781">
        <v>635</v>
      </c>
      <c r="H3781" s="1" t="s">
        <v>25</v>
      </c>
      <c r="I3781" s="1" t="s">
        <v>1528</v>
      </c>
      <c r="J3781" s="1" t="s">
        <v>4102</v>
      </c>
      <c r="K3781" t="s">
        <v>4103</v>
      </c>
      <c r="L3781">
        <v>-1.81</v>
      </c>
      <c r="M3781" t="str">
        <f t="shared" si="137"/>
        <v>44/40</v>
      </c>
      <c r="N3781" t="str">
        <f t="shared" si="138"/>
        <v>SW</v>
      </c>
      <c r="O3781" s="1" t="s">
        <v>25</v>
      </c>
      <c r="P3781" s="3" t="s">
        <v>25</v>
      </c>
      <c r="Q3781" s="37">
        <v>1.59</v>
      </c>
      <c r="R3781" t="str">
        <f t="shared" si="135"/>
        <v>mmol/mol</v>
      </c>
      <c r="S3781" s="13">
        <f t="shared" si="136"/>
        <v>-1.81</v>
      </c>
    </row>
    <row r="3782" spans="1:19">
      <c r="A3782" s="18" t="s">
        <v>3632</v>
      </c>
      <c r="B3782" s="1" t="s">
        <v>3934</v>
      </c>
      <c r="C3782" s="1" t="s">
        <v>4079</v>
      </c>
      <c r="D3782" s="1" t="s">
        <v>4080</v>
      </c>
      <c r="E3782" s="1" t="s">
        <v>25</v>
      </c>
      <c r="F3782">
        <v>635</v>
      </c>
      <c r="G3782">
        <v>635</v>
      </c>
      <c r="H3782" s="1" t="s">
        <v>25</v>
      </c>
      <c r="I3782" s="1" t="s">
        <v>1528</v>
      </c>
      <c r="J3782" s="1" t="s">
        <v>1491</v>
      </c>
      <c r="K3782" s="1" t="s">
        <v>25</v>
      </c>
      <c r="L3782">
        <v>-1.03</v>
      </c>
      <c r="M3782" t="str">
        <f t="shared" si="137"/>
        <v>44/40</v>
      </c>
      <c r="N3782" t="str">
        <f t="shared" si="138"/>
        <v>SW</v>
      </c>
      <c r="O3782" s="1" t="s">
        <v>25</v>
      </c>
      <c r="P3782" s="3" t="s">
        <v>25</v>
      </c>
      <c r="Q3782" s="37">
        <v>0.6</v>
      </c>
      <c r="R3782" t="str">
        <f t="shared" si="135"/>
        <v>mmol/mol</v>
      </c>
      <c r="S3782" s="13">
        <f t="shared" si="136"/>
        <v>-1.03</v>
      </c>
    </row>
    <row r="3783" spans="1:19">
      <c r="A3783" s="18" t="s">
        <v>3632</v>
      </c>
      <c r="B3783" s="1" t="s">
        <v>3935</v>
      </c>
      <c r="C3783" s="1" t="s">
        <v>4079</v>
      </c>
      <c r="D3783" s="1" t="s">
        <v>4080</v>
      </c>
      <c r="E3783" s="1" t="s">
        <v>25</v>
      </c>
      <c r="F3783">
        <v>635</v>
      </c>
      <c r="G3783">
        <v>635</v>
      </c>
      <c r="H3783" s="1" t="s">
        <v>25</v>
      </c>
      <c r="I3783" s="1" t="s">
        <v>1528</v>
      </c>
      <c r="J3783" s="1" t="s">
        <v>1491</v>
      </c>
      <c r="K3783" s="1" t="s">
        <v>25</v>
      </c>
      <c r="L3783">
        <v>-1.1299999999999999</v>
      </c>
      <c r="M3783" t="str">
        <f t="shared" si="137"/>
        <v>44/40</v>
      </c>
      <c r="N3783" t="str">
        <f t="shared" si="138"/>
        <v>SW</v>
      </c>
      <c r="O3783" s="1" t="s">
        <v>25</v>
      </c>
      <c r="P3783" s="3" t="s">
        <v>25</v>
      </c>
      <c r="Q3783" s="37">
        <v>0.15</v>
      </c>
      <c r="R3783" t="str">
        <f t="shared" si="135"/>
        <v>mmol/mol</v>
      </c>
      <c r="S3783" s="13">
        <f t="shared" si="136"/>
        <v>-1.1299999999999999</v>
      </c>
    </row>
    <row r="3784" spans="1:19">
      <c r="A3784" s="18" t="s">
        <v>3632</v>
      </c>
      <c r="B3784" s="1" t="s">
        <v>3936</v>
      </c>
      <c r="C3784" s="1" t="s">
        <v>4079</v>
      </c>
      <c r="D3784" s="1" t="s">
        <v>4080</v>
      </c>
      <c r="E3784" s="1" t="s">
        <v>25</v>
      </c>
      <c r="F3784">
        <v>635</v>
      </c>
      <c r="G3784">
        <v>635</v>
      </c>
      <c r="H3784" s="1" t="s">
        <v>25</v>
      </c>
      <c r="I3784" s="1" t="s">
        <v>1528</v>
      </c>
      <c r="J3784" s="1" t="s">
        <v>1491</v>
      </c>
      <c r="K3784" s="1" t="s">
        <v>25</v>
      </c>
      <c r="L3784">
        <v>-1.02</v>
      </c>
      <c r="M3784" t="str">
        <f t="shared" si="137"/>
        <v>44/40</v>
      </c>
      <c r="N3784" t="str">
        <f t="shared" si="138"/>
        <v>SW</v>
      </c>
      <c r="O3784" s="1" t="s">
        <v>25</v>
      </c>
      <c r="P3784" s="3" t="s">
        <v>25</v>
      </c>
      <c r="Q3784" s="37">
        <v>0.15</v>
      </c>
      <c r="R3784" t="str">
        <f t="shared" si="135"/>
        <v>mmol/mol</v>
      </c>
      <c r="S3784" s="13">
        <f t="shared" si="136"/>
        <v>-1.02</v>
      </c>
    </row>
    <row r="3785" spans="1:19">
      <c r="A3785" s="18" t="s">
        <v>3632</v>
      </c>
      <c r="B3785" s="1" t="s">
        <v>3937</v>
      </c>
      <c r="C3785" s="1" t="s">
        <v>4079</v>
      </c>
      <c r="D3785" s="1" t="s">
        <v>4080</v>
      </c>
      <c r="E3785" s="1" t="s">
        <v>25</v>
      </c>
      <c r="F3785">
        <v>635</v>
      </c>
      <c r="G3785">
        <v>635</v>
      </c>
      <c r="H3785" s="1" t="s">
        <v>25</v>
      </c>
      <c r="I3785" s="1" t="s">
        <v>1528</v>
      </c>
      <c r="J3785" s="1" t="s">
        <v>1491</v>
      </c>
      <c r="K3785" s="1" t="s">
        <v>25</v>
      </c>
      <c r="L3785">
        <v>-1.04</v>
      </c>
      <c r="M3785" t="str">
        <f t="shared" si="137"/>
        <v>44/40</v>
      </c>
      <c r="N3785" t="str">
        <f t="shared" si="138"/>
        <v>SW</v>
      </c>
      <c r="O3785" s="1" t="s">
        <v>25</v>
      </c>
      <c r="P3785" s="3" t="s">
        <v>25</v>
      </c>
      <c r="Q3785" s="37">
        <v>0.16</v>
      </c>
      <c r="R3785" t="str">
        <f t="shared" si="135"/>
        <v>mmol/mol</v>
      </c>
      <c r="S3785" s="13">
        <f t="shared" si="136"/>
        <v>-1.04</v>
      </c>
    </row>
    <row r="3786" spans="1:19">
      <c r="A3786" s="18" t="s">
        <v>3632</v>
      </c>
      <c r="B3786" s="1" t="s">
        <v>3938</v>
      </c>
      <c r="C3786" s="1" t="s">
        <v>4079</v>
      </c>
      <c r="D3786" s="1" t="s">
        <v>4080</v>
      </c>
      <c r="E3786" s="1" t="s">
        <v>25</v>
      </c>
      <c r="F3786">
        <v>635</v>
      </c>
      <c r="G3786">
        <v>635</v>
      </c>
      <c r="H3786" s="1" t="s">
        <v>25</v>
      </c>
      <c r="I3786" s="1" t="s">
        <v>1528</v>
      </c>
      <c r="J3786" s="1" t="s">
        <v>1491</v>
      </c>
      <c r="K3786" s="1" t="s">
        <v>25</v>
      </c>
      <c r="L3786">
        <v>-1.1200000000000001</v>
      </c>
      <c r="M3786" t="str">
        <f t="shared" si="137"/>
        <v>44/40</v>
      </c>
      <c r="N3786" t="str">
        <f t="shared" si="138"/>
        <v>SW</v>
      </c>
      <c r="O3786" s="1" t="s">
        <v>25</v>
      </c>
      <c r="P3786" s="3" t="s">
        <v>25</v>
      </c>
      <c r="Q3786" s="37">
        <v>0.17</v>
      </c>
      <c r="R3786" t="str">
        <f t="shared" si="135"/>
        <v>mmol/mol</v>
      </c>
      <c r="S3786" s="13">
        <f t="shared" si="136"/>
        <v>-1.1200000000000001</v>
      </c>
    </row>
    <row r="3787" spans="1:19">
      <c r="A3787" s="18" t="s">
        <v>3632</v>
      </c>
      <c r="B3787" s="1" t="s">
        <v>3939</v>
      </c>
      <c r="C3787" s="1" t="s">
        <v>4079</v>
      </c>
      <c r="D3787" s="1" t="s">
        <v>4080</v>
      </c>
      <c r="E3787" s="1" t="s">
        <v>25</v>
      </c>
      <c r="F3787">
        <v>635</v>
      </c>
      <c r="G3787">
        <v>635</v>
      </c>
      <c r="H3787" s="1" t="s">
        <v>25</v>
      </c>
      <c r="I3787" s="1" t="s">
        <v>1528</v>
      </c>
      <c r="J3787" s="1" t="s">
        <v>1491</v>
      </c>
      <c r="K3787" s="1" t="s">
        <v>25</v>
      </c>
      <c r="L3787">
        <v>-1.1200000000000001</v>
      </c>
      <c r="M3787" t="str">
        <f t="shared" si="137"/>
        <v>44/40</v>
      </c>
      <c r="N3787" t="str">
        <f t="shared" si="138"/>
        <v>SW</v>
      </c>
      <c r="O3787" s="1" t="s">
        <v>25</v>
      </c>
      <c r="P3787" s="3" t="s">
        <v>25</v>
      </c>
      <c r="Q3787" s="37">
        <v>0.13</v>
      </c>
      <c r="R3787" t="str">
        <f t="shared" si="135"/>
        <v>mmol/mol</v>
      </c>
      <c r="S3787" s="13">
        <f t="shared" si="136"/>
        <v>-1.1200000000000001</v>
      </c>
    </row>
    <row r="3788" spans="1:19">
      <c r="A3788" s="18" t="s">
        <v>3632</v>
      </c>
      <c r="B3788" s="1" t="s">
        <v>3940</v>
      </c>
      <c r="C3788" s="1" t="s">
        <v>4079</v>
      </c>
      <c r="D3788" s="1" t="s">
        <v>4080</v>
      </c>
      <c r="E3788" s="1" t="s">
        <v>25</v>
      </c>
      <c r="F3788">
        <v>635</v>
      </c>
      <c r="G3788">
        <v>635</v>
      </c>
      <c r="H3788" s="1" t="s">
        <v>25</v>
      </c>
      <c r="I3788" s="1" t="s">
        <v>1528</v>
      </c>
      <c r="J3788" s="1" t="s">
        <v>1491</v>
      </c>
      <c r="K3788" s="1" t="s">
        <v>25</v>
      </c>
      <c r="L3788">
        <v>-1.2</v>
      </c>
      <c r="M3788" t="str">
        <f t="shared" si="137"/>
        <v>44/40</v>
      </c>
      <c r="N3788" t="str">
        <f t="shared" si="138"/>
        <v>SW</v>
      </c>
      <c r="O3788" s="1" t="s">
        <v>25</v>
      </c>
      <c r="P3788" s="3" t="s">
        <v>25</v>
      </c>
      <c r="Q3788" s="37">
        <v>0.11</v>
      </c>
      <c r="R3788" t="str">
        <f t="shared" si="135"/>
        <v>mmol/mol</v>
      </c>
      <c r="S3788" s="13">
        <f t="shared" si="136"/>
        <v>-1.2</v>
      </c>
    </row>
    <row r="3789" spans="1:19">
      <c r="A3789" s="18" t="s">
        <v>3632</v>
      </c>
      <c r="B3789" s="1" t="s">
        <v>3941</v>
      </c>
      <c r="C3789" s="1" t="s">
        <v>4079</v>
      </c>
      <c r="D3789" s="1" t="s">
        <v>4080</v>
      </c>
      <c r="E3789" s="1" t="s">
        <v>25</v>
      </c>
      <c r="F3789">
        <v>635</v>
      </c>
      <c r="G3789">
        <v>635</v>
      </c>
      <c r="H3789" s="1" t="s">
        <v>25</v>
      </c>
      <c r="I3789" s="1" t="s">
        <v>1528</v>
      </c>
      <c r="J3789" s="1" t="s">
        <v>1491</v>
      </c>
      <c r="K3789" s="1" t="s">
        <v>25</v>
      </c>
      <c r="L3789">
        <v>-1.18</v>
      </c>
      <c r="M3789" t="str">
        <f t="shared" si="137"/>
        <v>44/40</v>
      </c>
      <c r="N3789" t="str">
        <f t="shared" si="138"/>
        <v>SW</v>
      </c>
      <c r="O3789" s="1" t="s">
        <v>25</v>
      </c>
      <c r="P3789" s="3" t="s">
        <v>25</v>
      </c>
      <c r="Q3789" s="37">
        <v>0.13</v>
      </c>
      <c r="R3789" t="str">
        <f t="shared" si="135"/>
        <v>mmol/mol</v>
      </c>
      <c r="S3789" s="13">
        <f t="shared" si="136"/>
        <v>-1.18</v>
      </c>
    </row>
    <row r="3790" spans="1:19">
      <c r="A3790" s="18" t="s">
        <v>3632</v>
      </c>
      <c r="B3790" s="1" t="s">
        <v>3942</v>
      </c>
      <c r="C3790" s="1" t="s">
        <v>4079</v>
      </c>
      <c r="D3790" s="1" t="s">
        <v>4080</v>
      </c>
      <c r="E3790" s="1" t="s">
        <v>25</v>
      </c>
      <c r="F3790">
        <v>635</v>
      </c>
      <c r="G3790">
        <v>635</v>
      </c>
      <c r="H3790" s="1" t="s">
        <v>25</v>
      </c>
      <c r="I3790" s="1" t="s">
        <v>1528</v>
      </c>
      <c r="J3790" s="1" t="s">
        <v>1491</v>
      </c>
      <c r="K3790" s="1" t="s">
        <v>25</v>
      </c>
      <c r="L3790">
        <v>-0.99</v>
      </c>
      <c r="M3790" t="str">
        <f t="shared" si="137"/>
        <v>44/40</v>
      </c>
      <c r="N3790" t="str">
        <f t="shared" si="138"/>
        <v>SW</v>
      </c>
      <c r="O3790" s="1" t="s">
        <v>25</v>
      </c>
      <c r="P3790" s="3" t="s">
        <v>25</v>
      </c>
      <c r="Q3790" s="37">
        <v>0.13</v>
      </c>
      <c r="R3790" t="str">
        <f t="shared" si="135"/>
        <v>mmol/mol</v>
      </c>
      <c r="S3790" s="13">
        <f t="shared" si="136"/>
        <v>-0.99</v>
      </c>
    </row>
    <row r="3791" spans="1:19">
      <c r="A3791" s="18" t="s">
        <v>3632</v>
      </c>
      <c r="B3791" s="1" t="s">
        <v>3943</v>
      </c>
      <c r="C3791" s="1" t="s">
        <v>4079</v>
      </c>
      <c r="D3791" s="1" t="s">
        <v>4080</v>
      </c>
      <c r="E3791" s="1" t="s">
        <v>25</v>
      </c>
      <c r="F3791">
        <v>635</v>
      </c>
      <c r="G3791">
        <v>635</v>
      </c>
      <c r="H3791" s="1" t="s">
        <v>25</v>
      </c>
      <c r="I3791" s="1" t="s">
        <v>1528</v>
      </c>
      <c r="J3791" s="1" t="s">
        <v>1491</v>
      </c>
      <c r="K3791" s="1" t="s">
        <v>25</v>
      </c>
      <c r="L3791">
        <v>-1.03</v>
      </c>
      <c r="M3791" t="str">
        <f t="shared" si="137"/>
        <v>44/40</v>
      </c>
      <c r="N3791" t="str">
        <f t="shared" si="138"/>
        <v>SW</v>
      </c>
      <c r="O3791" s="1" t="s">
        <v>25</v>
      </c>
      <c r="P3791" s="3" t="s">
        <v>25</v>
      </c>
      <c r="Q3791" s="37">
        <v>0.1</v>
      </c>
      <c r="R3791" t="str">
        <f t="shared" si="135"/>
        <v>mmol/mol</v>
      </c>
      <c r="S3791" s="13">
        <f t="shared" si="136"/>
        <v>-1.03</v>
      </c>
    </row>
    <row r="3792" spans="1:19">
      <c r="A3792" s="18" t="s">
        <v>3632</v>
      </c>
      <c r="B3792" s="1" t="s">
        <v>3944</v>
      </c>
      <c r="C3792" s="1" t="s">
        <v>4079</v>
      </c>
      <c r="D3792" s="1" t="s">
        <v>4080</v>
      </c>
      <c r="E3792" s="1" t="s">
        <v>25</v>
      </c>
      <c r="F3792">
        <v>635</v>
      </c>
      <c r="G3792">
        <v>635</v>
      </c>
      <c r="H3792" s="1" t="s">
        <v>25</v>
      </c>
      <c r="I3792" s="1" t="s">
        <v>1528</v>
      </c>
      <c r="J3792" s="1" t="s">
        <v>1491</v>
      </c>
      <c r="K3792" s="1" t="s">
        <v>25</v>
      </c>
      <c r="L3792">
        <v>-1.0900000000000001</v>
      </c>
      <c r="M3792" t="str">
        <f t="shared" si="137"/>
        <v>44/40</v>
      </c>
      <c r="N3792" t="str">
        <f t="shared" si="138"/>
        <v>SW</v>
      </c>
      <c r="O3792" s="1" t="s">
        <v>25</v>
      </c>
      <c r="P3792" s="3" t="s">
        <v>25</v>
      </c>
      <c r="Q3792" s="37">
        <v>7.0000000000000007E-2</v>
      </c>
      <c r="R3792" t="str">
        <f t="shared" si="135"/>
        <v>mmol/mol</v>
      </c>
      <c r="S3792" s="13">
        <f t="shared" si="136"/>
        <v>-1.0900000000000001</v>
      </c>
    </row>
    <row r="3793" spans="1:19">
      <c r="A3793" s="18" t="s">
        <v>3632</v>
      </c>
      <c r="B3793" s="1" t="s">
        <v>3945</v>
      </c>
      <c r="C3793" s="1" t="s">
        <v>4079</v>
      </c>
      <c r="D3793" s="1" t="s">
        <v>4080</v>
      </c>
      <c r="E3793" s="1" t="s">
        <v>25</v>
      </c>
      <c r="F3793">
        <v>635</v>
      </c>
      <c r="G3793">
        <v>635</v>
      </c>
      <c r="H3793" s="1" t="s">
        <v>25</v>
      </c>
      <c r="I3793" s="1" t="s">
        <v>1528</v>
      </c>
      <c r="J3793" s="1" t="s">
        <v>1491</v>
      </c>
      <c r="K3793" s="1" t="s">
        <v>25</v>
      </c>
      <c r="L3793">
        <v>-0.99</v>
      </c>
      <c r="M3793" t="str">
        <f t="shared" si="137"/>
        <v>44/40</v>
      </c>
      <c r="N3793" t="str">
        <f t="shared" si="138"/>
        <v>SW</v>
      </c>
      <c r="O3793" s="1" t="s">
        <v>25</v>
      </c>
      <c r="P3793" s="3" t="s">
        <v>25</v>
      </c>
      <c r="Q3793" s="37">
        <v>0.44</v>
      </c>
      <c r="R3793" t="str">
        <f t="shared" si="135"/>
        <v>mmol/mol</v>
      </c>
      <c r="S3793" s="13">
        <f t="shared" si="136"/>
        <v>-0.99</v>
      </c>
    </row>
    <row r="3794" spans="1:19">
      <c r="A3794" s="18" t="s">
        <v>3632</v>
      </c>
      <c r="B3794" s="1" t="s">
        <v>3946</v>
      </c>
      <c r="C3794" s="1" t="s">
        <v>4079</v>
      </c>
      <c r="D3794" s="1" t="s">
        <v>4080</v>
      </c>
      <c r="E3794" s="1" t="s">
        <v>25</v>
      </c>
      <c r="F3794">
        <v>635</v>
      </c>
      <c r="G3794">
        <v>635</v>
      </c>
      <c r="H3794" s="1" t="s">
        <v>25</v>
      </c>
      <c r="I3794" s="1" t="s">
        <v>1528</v>
      </c>
      <c r="J3794" s="1" t="s">
        <v>1491</v>
      </c>
      <c r="K3794" s="1" t="s">
        <v>25</v>
      </c>
      <c r="L3794">
        <v>-1.01</v>
      </c>
      <c r="M3794" t="str">
        <f t="shared" si="137"/>
        <v>44/40</v>
      </c>
      <c r="N3794" t="str">
        <f t="shared" si="138"/>
        <v>SW</v>
      </c>
      <c r="O3794" s="1" t="s">
        <v>25</v>
      </c>
      <c r="P3794" s="3" t="s">
        <v>25</v>
      </c>
      <c r="Q3794" s="37">
        <v>0.14000000000000001</v>
      </c>
      <c r="R3794" t="str">
        <f t="shared" si="135"/>
        <v>mmol/mol</v>
      </c>
      <c r="S3794" s="13">
        <f t="shared" si="136"/>
        <v>-1.01</v>
      </c>
    </row>
    <row r="3795" spans="1:19">
      <c r="A3795" s="18" t="s">
        <v>3632</v>
      </c>
      <c r="B3795" s="1" t="s">
        <v>3947</v>
      </c>
      <c r="C3795" s="1" t="s">
        <v>4079</v>
      </c>
      <c r="D3795" s="1" t="s">
        <v>4080</v>
      </c>
      <c r="E3795" s="1" t="s">
        <v>25</v>
      </c>
      <c r="F3795">
        <v>635</v>
      </c>
      <c r="G3795">
        <v>635</v>
      </c>
      <c r="H3795" s="1" t="s">
        <v>25</v>
      </c>
      <c r="I3795" s="1" t="s">
        <v>1528</v>
      </c>
      <c r="J3795" s="1" t="s">
        <v>1491</v>
      </c>
      <c r="K3795" s="1" t="s">
        <v>25</v>
      </c>
      <c r="L3795">
        <v>-0.8</v>
      </c>
      <c r="M3795" t="str">
        <f t="shared" si="137"/>
        <v>44/40</v>
      </c>
      <c r="N3795" t="str">
        <f t="shared" si="138"/>
        <v>SW</v>
      </c>
      <c r="O3795" s="1" t="s">
        <v>25</v>
      </c>
      <c r="P3795" s="3" t="s">
        <v>25</v>
      </c>
      <c r="Q3795" s="37">
        <v>0.16</v>
      </c>
      <c r="R3795" t="str">
        <f t="shared" si="135"/>
        <v>mmol/mol</v>
      </c>
      <c r="S3795" s="13">
        <f t="shared" si="136"/>
        <v>-0.8</v>
      </c>
    </row>
    <row r="3796" spans="1:19">
      <c r="A3796" s="18" t="s">
        <v>3632</v>
      </c>
      <c r="B3796" s="1" t="s">
        <v>3948</v>
      </c>
      <c r="C3796" s="1" t="s">
        <v>4079</v>
      </c>
      <c r="D3796" s="1" t="s">
        <v>4080</v>
      </c>
      <c r="E3796" s="1" t="s">
        <v>25</v>
      </c>
      <c r="F3796">
        <v>635</v>
      </c>
      <c r="G3796">
        <v>635</v>
      </c>
      <c r="H3796" s="1" t="s">
        <v>25</v>
      </c>
      <c r="I3796" s="1" t="s">
        <v>1528</v>
      </c>
      <c r="J3796" s="1" t="s">
        <v>1491</v>
      </c>
      <c r="K3796" s="1" t="s">
        <v>25</v>
      </c>
      <c r="L3796">
        <v>-0.99</v>
      </c>
      <c r="M3796" t="str">
        <f t="shared" si="137"/>
        <v>44/40</v>
      </c>
      <c r="N3796" t="str">
        <f t="shared" si="138"/>
        <v>SW</v>
      </c>
      <c r="O3796" s="1" t="s">
        <v>25</v>
      </c>
      <c r="P3796" s="3" t="s">
        <v>25</v>
      </c>
      <c r="Q3796" s="37">
        <v>0.12</v>
      </c>
      <c r="R3796" t="str">
        <f t="shared" si="135"/>
        <v>mmol/mol</v>
      </c>
      <c r="S3796" s="13">
        <f t="shared" si="136"/>
        <v>-0.99</v>
      </c>
    </row>
    <row r="3797" spans="1:19">
      <c r="A3797" s="18" t="s">
        <v>3632</v>
      </c>
      <c r="B3797" s="1" t="s">
        <v>3949</v>
      </c>
      <c r="C3797" s="1" t="s">
        <v>4079</v>
      </c>
      <c r="D3797" s="1" t="s">
        <v>4080</v>
      </c>
      <c r="E3797" s="1" t="s">
        <v>25</v>
      </c>
      <c r="F3797">
        <v>635</v>
      </c>
      <c r="G3797">
        <v>635</v>
      </c>
      <c r="H3797" s="1" t="s">
        <v>25</v>
      </c>
      <c r="I3797" s="1" t="s">
        <v>1528</v>
      </c>
      <c r="J3797" s="1" t="s">
        <v>1491</v>
      </c>
      <c r="K3797" s="1" t="s">
        <v>25</v>
      </c>
      <c r="L3797">
        <v>-1.1000000000000001</v>
      </c>
      <c r="M3797" t="str">
        <f t="shared" si="137"/>
        <v>44/40</v>
      </c>
      <c r="N3797" t="str">
        <f t="shared" si="138"/>
        <v>SW</v>
      </c>
      <c r="O3797" s="1" t="s">
        <v>25</v>
      </c>
      <c r="P3797" s="3" t="s">
        <v>25</v>
      </c>
      <c r="Q3797" s="37">
        <v>0.15</v>
      </c>
      <c r="R3797" t="str">
        <f t="shared" si="135"/>
        <v>mmol/mol</v>
      </c>
      <c r="S3797" s="13">
        <f t="shared" si="136"/>
        <v>-1.1000000000000001</v>
      </c>
    </row>
    <row r="3798" spans="1:19">
      <c r="A3798" s="18" t="s">
        <v>3632</v>
      </c>
      <c r="B3798" s="1" t="s">
        <v>3950</v>
      </c>
      <c r="C3798" s="1" t="s">
        <v>4079</v>
      </c>
      <c r="D3798" s="1" t="s">
        <v>4080</v>
      </c>
      <c r="E3798" s="1" t="s">
        <v>25</v>
      </c>
      <c r="F3798">
        <v>635</v>
      </c>
      <c r="G3798">
        <v>635</v>
      </c>
      <c r="H3798" s="1" t="s">
        <v>25</v>
      </c>
      <c r="I3798" s="1" t="s">
        <v>1528</v>
      </c>
      <c r="J3798" s="1" t="s">
        <v>1491</v>
      </c>
      <c r="K3798" s="1" t="s">
        <v>25</v>
      </c>
      <c r="L3798">
        <v>-1.32</v>
      </c>
      <c r="M3798" t="str">
        <f t="shared" si="137"/>
        <v>44/40</v>
      </c>
      <c r="N3798" t="str">
        <f t="shared" si="138"/>
        <v>SW</v>
      </c>
      <c r="O3798" s="1" t="s">
        <v>25</v>
      </c>
      <c r="P3798" s="3" t="s">
        <v>25</v>
      </c>
      <c r="Q3798" s="37">
        <v>0.18</v>
      </c>
      <c r="R3798" t="str">
        <f t="shared" si="135"/>
        <v>mmol/mol</v>
      </c>
      <c r="S3798" s="13">
        <f t="shared" si="136"/>
        <v>-1.32</v>
      </c>
    </row>
    <row r="3799" spans="1:19">
      <c r="A3799" s="18" t="s">
        <v>3632</v>
      </c>
      <c r="B3799" s="1" t="s">
        <v>3951</v>
      </c>
      <c r="C3799" s="1" t="s">
        <v>4079</v>
      </c>
      <c r="D3799" s="1" t="s">
        <v>4080</v>
      </c>
      <c r="E3799" s="1" t="s">
        <v>25</v>
      </c>
      <c r="F3799">
        <v>635</v>
      </c>
      <c r="G3799">
        <v>635</v>
      </c>
      <c r="H3799" s="1" t="s">
        <v>25</v>
      </c>
      <c r="I3799" s="1" t="s">
        <v>1528</v>
      </c>
      <c r="J3799" s="1" t="s">
        <v>1491</v>
      </c>
      <c r="K3799" s="1" t="s">
        <v>25</v>
      </c>
      <c r="L3799">
        <v>-1.1200000000000001</v>
      </c>
      <c r="M3799" t="str">
        <f t="shared" si="137"/>
        <v>44/40</v>
      </c>
      <c r="N3799" t="str">
        <f t="shared" si="138"/>
        <v>SW</v>
      </c>
      <c r="O3799" s="1" t="s">
        <v>25</v>
      </c>
      <c r="P3799" s="3" t="s">
        <v>25</v>
      </c>
      <c r="Q3799" s="37">
        <v>0.19</v>
      </c>
      <c r="R3799" t="str">
        <f t="shared" si="135"/>
        <v>mmol/mol</v>
      </c>
      <c r="S3799" s="13">
        <f t="shared" si="136"/>
        <v>-1.1200000000000001</v>
      </c>
    </row>
    <row r="3800" spans="1:19">
      <c r="A3800" s="18" t="s">
        <v>3632</v>
      </c>
      <c r="B3800" s="1" t="s">
        <v>3952</v>
      </c>
      <c r="C3800" s="1" t="s">
        <v>4079</v>
      </c>
      <c r="D3800" s="1" t="s">
        <v>4080</v>
      </c>
      <c r="E3800" s="1" t="s">
        <v>25</v>
      </c>
      <c r="F3800">
        <v>635</v>
      </c>
      <c r="G3800">
        <v>635</v>
      </c>
      <c r="H3800" s="1" t="s">
        <v>25</v>
      </c>
      <c r="I3800" s="1" t="s">
        <v>1528</v>
      </c>
      <c r="J3800" s="1" t="s">
        <v>1491</v>
      </c>
      <c r="K3800" s="1" t="s">
        <v>25</v>
      </c>
      <c r="L3800">
        <v>-1.1100000000000001</v>
      </c>
      <c r="M3800" t="str">
        <f t="shared" si="137"/>
        <v>44/40</v>
      </c>
      <c r="N3800" t="str">
        <f t="shared" si="138"/>
        <v>SW</v>
      </c>
      <c r="O3800" s="1" t="s">
        <v>25</v>
      </c>
      <c r="P3800" s="3" t="s">
        <v>25</v>
      </c>
      <c r="Q3800" s="37">
        <v>0.19</v>
      </c>
      <c r="R3800" t="str">
        <f t="shared" si="135"/>
        <v>mmol/mol</v>
      </c>
      <c r="S3800" s="13">
        <f t="shared" si="136"/>
        <v>-1.1100000000000001</v>
      </c>
    </row>
    <row r="3801" spans="1:19">
      <c r="A3801" s="18" t="s">
        <v>3632</v>
      </c>
      <c r="B3801" s="1" t="s">
        <v>3953</v>
      </c>
      <c r="C3801" s="1" t="s">
        <v>4079</v>
      </c>
      <c r="D3801" s="1" t="s">
        <v>4080</v>
      </c>
      <c r="E3801" s="1" t="s">
        <v>25</v>
      </c>
      <c r="F3801">
        <v>635</v>
      </c>
      <c r="G3801">
        <v>635</v>
      </c>
      <c r="H3801" s="1" t="s">
        <v>25</v>
      </c>
      <c r="I3801" s="1" t="s">
        <v>1528</v>
      </c>
      <c r="J3801" s="1" t="s">
        <v>1491</v>
      </c>
      <c r="K3801" s="1" t="s">
        <v>25</v>
      </c>
      <c r="L3801">
        <v>-1.26</v>
      </c>
      <c r="M3801" t="str">
        <f t="shared" si="137"/>
        <v>44/40</v>
      </c>
      <c r="N3801" t="str">
        <f t="shared" si="138"/>
        <v>SW</v>
      </c>
      <c r="O3801" s="1" t="s">
        <v>25</v>
      </c>
      <c r="P3801" s="3" t="s">
        <v>25</v>
      </c>
      <c r="Q3801" s="37">
        <v>0.27</v>
      </c>
      <c r="R3801" t="str">
        <f t="shared" ref="R3801:R3864" si="139">IF(Q3801="Na","Na","mmol/mol")</f>
        <v>mmol/mol</v>
      </c>
      <c r="S3801" s="13">
        <f t="shared" si="136"/>
        <v>-1.26</v>
      </c>
    </row>
    <row r="3802" spans="1:19">
      <c r="A3802" s="18" t="s">
        <v>3632</v>
      </c>
      <c r="B3802" s="1" t="s">
        <v>3954</v>
      </c>
      <c r="C3802" s="1" t="s">
        <v>4079</v>
      </c>
      <c r="D3802" s="1" t="s">
        <v>4080</v>
      </c>
      <c r="E3802" s="1" t="s">
        <v>25</v>
      </c>
      <c r="F3802">
        <v>635</v>
      </c>
      <c r="G3802">
        <v>635</v>
      </c>
      <c r="H3802" s="1" t="s">
        <v>25</v>
      </c>
      <c r="I3802" s="1" t="s">
        <v>1528</v>
      </c>
      <c r="J3802" s="1" t="s">
        <v>1491</v>
      </c>
      <c r="K3802" s="1" t="s">
        <v>25</v>
      </c>
      <c r="L3802">
        <v>-1.36</v>
      </c>
      <c r="M3802" t="str">
        <f t="shared" si="137"/>
        <v>44/40</v>
      </c>
      <c r="N3802" t="str">
        <f t="shared" si="138"/>
        <v>SW</v>
      </c>
      <c r="O3802" s="1" t="s">
        <v>25</v>
      </c>
      <c r="P3802" s="3" t="s">
        <v>25</v>
      </c>
      <c r="Q3802" s="37">
        <v>0.25</v>
      </c>
      <c r="R3802" t="str">
        <f t="shared" si="139"/>
        <v>mmol/mol</v>
      </c>
      <c r="S3802" s="13">
        <f t="shared" si="136"/>
        <v>-1.36</v>
      </c>
    </row>
    <row r="3803" spans="1:19">
      <c r="A3803" s="18" t="s">
        <v>3632</v>
      </c>
      <c r="B3803" s="1" t="s">
        <v>3955</v>
      </c>
      <c r="C3803" s="1" t="s">
        <v>4079</v>
      </c>
      <c r="D3803" s="1" t="s">
        <v>4080</v>
      </c>
      <c r="E3803" s="1" t="s">
        <v>25</v>
      </c>
      <c r="F3803">
        <v>635</v>
      </c>
      <c r="G3803">
        <v>635</v>
      </c>
      <c r="H3803" s="1" t="s">
        <v>25</v>
      </c>
      <c r="I3803" s="1" t="s">
        <v>1528</v>
      </c>
      <c r="J3803" s="1" t="s">
        <v>1491</v>
      </c>
      <c r="K3803" s="1" t="s">
        <v>25</v>
      </c>
      <c r="L3803">
        <v>-1.38</v>
      </c>
      <c r="M3803" t="str">
        <f t="shared" si="137"/>
        <v>44/40</v>
      </c>
      <c r="N3803" t="str">
        <f t="shared" si="138"/>
        <v>SW</v>
      </c>
      <c r="O3803" s="1" t="s">
        <v>25</v>
      </c>
      <c r="P3803" s="3" t="s">
        <v>25</v>
      </c>
      <c r="Q3803" s="37">
        <v>0.21</v>
      </c>
      <c r="R3803" t="str">
        <f t="shared" si="139"/>
        <v>mmol/mol</v>
      </c>
      <c r="S3803" s="13">
        <f t="shared" si="136"/>
        <v>-1.38</v>
      </c>
    </row>
    <row r="3804" spans="1:19">
      <c r="A3804" s="18" t="s">
        <v>3632</v>
      </c>
      <c r="B3804" s="1" t="s">
        <v>3956</v>
      </c>
      <c r="C3804" s="1" t="s">
        <v>4079</v>
      </c>
      <c r="D3804" s="1" t="s">
        <v>4080</v>
      </c>
      <c r="E3804" s="1" t="s">
        <v>25</v>
      </c>
      <c r="F3804">
        <v>635</v>
      </c>
      <c r="G3804">
        <v>635</v>
      </c>
      <c r="H3804" s="1" t="s">
        <v>25</v>
      </c>
      <c r="I3804" s="1" t="s">
        <v>1528</v>
      </c>
      <c r="J3804" s="1" t="s">
        <v>1491</v>
      </c>
      <c r="K3804" s="1" t="s">
        <v>25</v>
      </c>
      <c r="L3804">
        <v>-1.07</v>
      </c>
      <c r="M3804" t="str">
        <f t="shared" si="137"/>
        <v>44/40</v>
      </c>
      <c r="N3804" t="str">
        <f t="shared" si="138"/>
        <v>SW</v>
      </c>
      <c r="O3804" s="1" t="s">
        <v>25</v>
      </c>
      <c r="P3804" s="3" t="s">
        <v>25</v>
      </c>
      <c r="Q3804" s="37">
        <v>0.18</v>
      </c>
      <c r="R3804" t="str">
        <f t="shared" si="139"/>
        <v>mmol/mol</v>
      </c>
      <c r="S3804" s="13">
        <f t="shared" si="136"/>
        <v>-1.07</v>
      </c>
    </row>
    <row r="3805" spans="1:19">
      <c r="A3805" s="18" t="s">
        <v>3632</v>
      </c>
      <c r="B3805" s="1" t="s">
        <v>3957</v>
      </c>
      <c r="C3805" s="1" t="s">
        <v>4079</v>
      </c>
      <c r="D3805" s="1" t="s">
        <v>4080</v>
      </c>
      <c r="E3805" s="1" t="s">
        <v>25</v>
      </c>
      <c r="F3805">
        <v>635</v>
      </c>
      <c r="G3805">
        <v>635</v>
      </c>
      <c r="H3805" s="1" t="s">
        <v>25</v>
      </c>
      <c r="I3805" s="1" t="s">
        <v>1528</v>
      </c>
      <c r="J3805" s="1" t="s">
        <v>1491</v>
      </c>
      <c r="K3805" s="1" t="s">
        <v>25</v>
      </c>
      <c r="L3805">
        <v>-1.34</v>
      </c>
      <c r="M3805" t="str">
        <f t="shared" si="137"/>
        <v>44/40</v>
      </c>
      <c r="N3805" t="str">
        <f t="shared" si="138"/>
        <v>SW</v>
      </c>
      <c r="O3805" s="1" t="s">
        <v>25</v>
      </c>
      <c r="P3805" s="3" t="s">
        <v>25</v>
      </c>
      <c r="Q3805" s="37">
        <v>0.27</v>
      </c>
      <c r="R3805" t="str">
        <f t="shared" si="139"/>
        <v>mmol/mol</v>
      </c>
      <c r="S3805" s="13">
        <f t="shared" si="136"/>
        <v>-1.34</v>
      </c>
    </row>
    <row r="3806" spans="1:19">
      <c r="A3806" s="18" t="s">
        <v>3632</v>
      </c>
      <c r="B3806" s="1" t="s">
        <v>3958</v>
      </c>
      <c r="C3806" s="1" t="s">
        <v>4079</v>
      </c>
      <c r="D3806" s="1" t="s">
        <v>4080</v>
      </c>
      <c r="E3806" s="1" t="s">
        <v>25</v>
      </c>
      <c r="F3806">
        <v>635</v>
      </c>
      <c r="G3806">
        <v>635</v>
      </c>
      <c r="H3806" s="1" t="s">
        <v>25</v>
      </c>
      <c r="I3806" s="1" t="s">
        <v>1528</v>
      </c>
      <c r="J3806" s="1" t="s">
        <v>1491</v>
      </c>
      <c r="K3806" s="1" t="s">
        <v>25</v>
      </c>
      <c r="L3806">
        <v>-1.1499999999999999</v>
      </c>
      <c r="M3806" t="str">
        <f t="shared" si="137"/>
        <v>44/40</v>
      </c>
      <c r="N3806" t="str">
        <f t="shared" si="138"/>
        <v>SW</v>
      </c>
      <c r="O3806" s="1" t="s">
        <v>25</v>
      </c>
      <c r="P3806" s="3" t="s">
        <v>25</v>
      </c>
      <c r="Q3806" s="37">
        <v>0.14000000000000001</v>
      </c>
      <c r="R3806" t="str">
        <f t="shared" si="139"/>
        <v>mmol/mol</v>
      </c>
      <c r="S3806" s="13">
        <f t="shared" si="136"/>
        <v>-1.1499999999999999</v>
      </c>
    </row>
    <row r="3807" spans="1:19">
      <c r="A3807" s="18" t="s">
        <v>3632</v>
      </c>
      <c r="B3807" s="1" t="s">
        <v>3959</v>
      </c>
      <c r="C3807" s="1" t="s">
        <v>4079</v>
      </c>
      <c r="D3807" s="1" t="s">
        <v>4080</v>
      </c>
      <c r="E3807" s="1" t="s">
        <v>25</v>
      </c>
      <c r="F3807">
        <v>635</v>
      </c>
      <c r="G3807">
        <v>635</v>
      </c>
      <c r="H3807" s="1" t="s">
        <v>25</v>
      </c>
      <c r="I3807" s="1" t="s">
        <v>1528</v>
      </c>
      <c r="J3807" s="1" t="s">
        <v>1491</v>
      </c>
      <c r="K3807" s="1" t="s">
        <v>25</v>
      </c>
      <c r="L3807">
        <v>-1.1100000000000001</v>
      </c>
      <c r="M3807" t="str">
        <f t="shared" si="137"/>
        <v>44/40</v>
      </c>
      <c r="N3807" t="str">
        <f t="shared" si="138"/>
        <v>SW</v>
      </c>
      <c r="O3807" s="1" t="s">
        <v>25</v>
      </c>
      <c r="P3807" s="3" t="s">
        <v>25</v>
      </c>
      <c r="Q3807" s="37">
        <v>0.28000000000000003</v>
      </c>
      <c r="R3807" t="str">
        <f t="shared" si="139"/>
        <v>mmol/mol</v>
      </c>
      <c r="S3807" s="13">
        <f t="shared" si="136"/>
        <v>-1.1100000000000001</v>
      </c>
    </row>
    <row r="3808" spans="1:19">
      <c r="A3808" s="18" t="s">
        <v>3632</v>
      </c>
      <c r="B3808" s="1" t="s">
        <v>3960</v>
      </c>
      <c r="C3808" s="1" t="s">
        <v>4079</v>
      </c>
      <c r="D3808" s="1" t="s">
        <v>4080</v>
      </c>
      <c r="E3808" s="1" t="s">
        <v>25</v>
      </c>
      <c r="F3808">
        <v>635</v>
      </c>
      <c r="G3808">
        <v>635</v>
      </c>
      <c r="H3808" s="1" t="s">
        <v>25</v>
      </c>
      <c r="I3808" s="1" t="s">
        <v>1528</v>
      </c>
      <c r="J3808" s="1" t="s">
        <v>1491</v>
      </c>
      <c r="K3808" s="1" t="s">
        <v>25</v>
      </c>
      <c r="L3808">
        <v>-1.22</v>
      </c>
      <c r="M3808" t="str">
        <f t="shared" si="137"/>
        <v>44/40</v>
      </c>
      <c r="N3808" t="str">
        <f t="shared" si="138"/>
        <v>SW</v>
      </c>
      <c r="O3808" s="1" t="s">
        <v>25</v>
      </c>
      <c r="P3808" s="3" t="s">
        <v>25</v>
      </c>
      <c r="Q3808" s="37">
        <v>0.18</v>
      </c>
      <c r="R3808" t="str">
        <f t="shared" si="139"/>
        <v>mmol/mol</v>
      </c>
      <c r="S3808" s="13">
        <f t="shared" si="136"/>
        <v>-1.22</v>
      </c>
    </row>
    <row r="3809" spans="1:19">
      <c r="A3809" s="18" t="s">
        <v>3632</v>
      </c>
      <c r="B3809" s="1" t="s">
        <v>3961</v>
      </c>
      <c r="C3809" s="1" t="s">
        <v>4079</v>
      </c>
      <c r="D3809" s="1" t="s">
        <v>4080</v>
      </c>
      <c r="E3809" s="1" t="s">
        <v>25</v>
      </c>
      <c r="F3809">
        <v>635</v>
      </c>
      <c r="G3809">
        <v>635</v>
      </c>
      <c r="H3809" s="1" t="s">
        <v>25</v>
      </c>
      <c r="I3809" s="1" t="s">
        <v>1528</v>
      </c>
      <c r="J3809" s="1" t="s">
        <v>1491</v>
      </c>
      <c r="K3809" s="1" t="s">
        <v>25</v>
      </c>
      <c r="L3809">
        <v>-1.1000000000000001</v>
      </c>
      <c r="M3809" t="str">
        <f t="shared" si="137"/>
        <v>44/40</v>
      </c>
      <c r="N3809" t="str">
        <f t="shared" si="138"/>
        <v>SW</v>
      </c>
      <c r="O3809" s="1" t="s">
        <v>25</v>
      </c>
      <c r="P3809" s="3" t="s">
        <v>25</v>
      </c>
      <c r="Q3809" s="37">
        <v>0.3</v>
      </c>
      <c r="R3809" t="str">
        <f t="shared" si="139"/>
        <v>mmol/mol</v>
      </c>
      <c r="S3809" s="13">
        <f t="shared" si="136"/>
        <v>-1.1000000000000001</v>
      </c>
    </row>
    <row r="3810" spans="1:19">
      <c r="A3810" s="18" t="s">
        <v>3632</v>
      </c>
      <c r="B3810" s="1" t="s">
        <v>3962</v>
      </c>
      <c r="C3810" s="1" t="s">
        <v>4079</v>
      </c>
      <c r="D3810" s="1" t="s">
        <v>4080</v>
      </c>
      <c r="E3810" s="1" t="s">
        <v>25</v>
      </c>
      <c r="F3810">
        <v>635</v>
      </c>
      <c r="G3810">
        <v>635</v>
      </c>
      <c r="H3810" s="1" t="s">
        <v>25</v>
      </c>
      <c r="I3810" s="1" t="s">
        <v>1528</v>
      </c>
      <c r="J3810" s="1" t="s">
        <v>1491</v>
      </c>
      <c r="K3810" s="1" t="s">
        <v>25</v>
      </c>
      <c r="L3810">
        <v>-0.99</v>
      </c>
      <c r="M3810" t="str">
        <f t="shared" si="137"/>
        <v>44/40</v>
      </c>
      <c r="N3810" t="str">
        <f t="shared" si="138"/>
        <v>SW</v>
      </c>
      <c r="O3810" s="1" t="s">
        <v>25</v>
      </c>
      <c r="P3810" s="3" t="s">
        <v>25</v>
      </c>
      <c r="Q3810" s="37">
        <v>0.36</v>
      </c>
      <c r="R3810" t="str">
        <f t="shared" si="139"/>
        <v>mmol/mol</v>
      </c>
      <c r="S3810" s="13">
        <f t="shared" si="136"/>
        <v>-0.99</v>
      </c>
    </row>
    <row r="3811" spans="1:19">
      <c r="A3811" s="18" t="s">
        <v>3632</v>
      </c>
      <c r="B3811" s="1" t="s">
        <v>3963</v>
      </c>
      <c r="C3811" s="1" t="s">
        <v>4079</v>
      </c>
      <c r="D3811" s="1" t="s">
        <v>4080</v>
      </c>
      <c r="E3811" s="1" t="s">
        <v>25</v>
      </c>
      <c r="F3811">
        <v>635</v>
      </c>
      <c r="G3811">
        <v>635</v>
      </c>
      <c r="H3811" s="1" t="s">
        <v>25</v>
      </c>
      <c r="I3811" s="1" t="s">
        <v>1528</v>
      </c>
      <c r="J3811" s="1" t="s">
        <v>1491</v>
      </c>
      <c r="K3811" s="1" t="s">
        <v>25</v>
      </c>
      <c r="L3811">
        <v>-1.1100000000000001</v>
      </c>
      <c r="M3811" t="str">
        <f t="shared" si="137"/>
        <v>44/40</v>
      </c>
      <c r="N3811" t="str">
        <f t="shared" si="138"/>
        <v>SW</v>
      </c>
      <c r="O3811" s="1" t="s">
        <v>25</v>
      </c>
      <c r="P3811" s="3" t="s">
        <v>25</v>
      </c>
      <c r="Q3811" s="37">
        <v>0.38</v>
      </c>
      <c r="R3811" t="str">
        <f t="shared" si="139"/>
        <v>mmol/mol</v>
      </c>
      <c r="S3811" s="13">
        <f t="shared" si="136"/>
        <v>-1.1100000000000001</v>
      </c>
    </row>
    <row r="3812" spans="1:19">
      <c r="A3812" s="18" t="s">
        <v>3632</v>
      </c>
      <c r="B3812" s="1" t="s">
        <v>3964</v>
      </c>
      <c r="C3812" s="1" t="s">
        <v>4079</v>
      </c>
      <c r="D3812" s="1" t="s">
        <v>4080</v>
      </c>
      <c r="E3812" s="1" t="s">
        <v>25</v>
      </c>
      <c r="F3812">
        <v>635</v>
      </c>
      <c r="G3812">
        <v>635</v>
      </c>
      <c r="H3812" s="1" t="s">
        <v>25</v>
      </c>
      <c r="I3812" s="1" t="s">
        <v>1528</v>
      </c>
      <c r="J3812" s="1" t="s">
        <v>1491</v>
      </c>
      <c r="K3812" s="1" t="s">
        <v>25</v>
      </c>
      <c r="L3812">
        <v>-1.22</v>
      </c>
      <c r="M3812" t="str">
        <f t="shared" si="137"/>
        <v>44/40</v>
      </c>
      <c r="N3812" t="str">
        <f t="shared" si="138"/>
        <v>SW</v>
      </c>
      <c r="O3812" s="1" t="s">
        <v>25</v>
      </c>
      <c r="P3812" s="3" t="s">
        <v>25</v>
      </c>
      <c r="Q3812" s="37">
        <v>0.32</v>
      </c>
      <c r="R3812" t="str">
        <f t="shared" si="139"/>
        <v>mmol/mol</v>
      </c>
      <c r="S3812" s="13">
        <f t="shared" si="136"/>
        <v>-1.22</v>
      </c>
    </row>
    <row r="3813" spans="1:19">
      <c r="A3813" s="18" t="s">
        <v>3632</v>
      </c>
      <c r="B3813" s="1" t="s">
        <v>3965</v>
      </c>
      <c r="C3813" s="1" t="s">
        <v>4079</v>
      </c>
      <c r="D3813" s="1" t="s">
        <v>4080</v>
      </c>
      <c r="E3813" s="1" t="s">
        <v>25</v>
      </c>
      <c r="F3813">
        <v>635</v>
      </c>
      <c r="G3813">
        <v>635</v>
      </c>
      <c r="H3813" s="1" t="s">
        <v>25</v>
      </c>
      <c r="I3813" s="1" t="s">
        <v>1528</v>
      </c>
      <c r="J3813" s="1" t="s">
        <v>1491</v>
      </c>
      <c r="K3813" s="1" t="s">
        <v>25</v>
      </c>
      <c r="L3813">
        <v>-1.34</v>
      </c>
      <c r="M3813" t="str">
        <f t="shared" si="137"/>
        <v>44/40</v>
      </c>
      <c r="N3813" t="str">
        <f t="shared" si="138"/>
        <v>SW</v>
      </c>
      <c r="O3813" s="1" t="s">
        <v>25</v>
      </c>
      <c r="P3813" s="3" t="s">
        <v>25</v>
      </c>
      <c r="Q3813" s="37">
        <v>0.24</v>
      </c>
      <c r="R3813" t="str">
        <f t="shared" si="139"/>
        <v>mmol/mol</v>
      </c>
      <c r="S3813" s="13">
        <f t="shared" si="136"/>
        <v>-1.34</v>
      </c>
    </row>
    <row r="3814" spans="1:19">
      <c r="A3814" s="18" t="s">
        <v>3632</v>
      </c>
      <c r="B3814" s="1" t="s">
        <v>3966</v>
      </c>
      <c r="C3814" s="1" t="s">
        <v>4079</v>
      </c>
      <c r="D3814" s="1" t="s">
        <v>4080</v>
      </c>
      <c r="E3814" s="1" t="s">
        <v>25</v>
      </c>
      <c r="F3814">
        <v>635</v>
      </c>
      <c r="G3814">
        <v>635</v>
      </c>
      <c r="H3814" s="1" t="s">
        <v>25</v>
      </c>
      <c r="I3814" s="1" t="s">
        <v>1528</v>
      </c>
      <c r="J3814" s="1" t="s">
        <v>1491</v>
      </c>
      <c r="K3814" s="1" t="s">
        <v>25</v>
      </c>
      <c r="L3814">
        <v>-0.99</v>
      </c>
      <c r="M3814" t="str">
        <f t="shared" si="137"/>
        <v>44/40</v>
      </c>
      <c r="N3814" t="str">
        <f t="shared" si="138"/>
        <v>SW</v>
      </c>
      <c r="O3814" s="1" t="s">
        <v>25</v>
      </c>
      <c r="P3814" s="3" t="s">
        <v>25</v>
      </c>
      <c r="Q3814" s="37">
        <v>0.19</v>
      </c>
      <c r="R3814" t="str">
        <f t="shared" si="139"/>
        <v>mmol/mol</v>
      </c>
      <c r="S3814" s="13">
        <f t="shared" si="136"/>
        <v>-0.99</v>
      </c>
    </row>
    <row r="3815" spans="1:19">
      <c r="A3815" s="18" t="s">
        <v>3632</v>
      </c>
      <c r="B3815" s="1" t="s">
        <v>3967</v>
      </c>
      <c r="C3815" s="1" t="s">
        <v>4076</v>
      </c>
      <c r="D3815" s="1" t="s">
        <v>4078</v>
      </c>
      <c r="E3815" s="1" t="s">
        <v>25</v>
      </c>
      <c r="F3815">
        <v>635</v>
      </c>
      <c r="G3815">
        <v>635</v>
      </c>
      <c r="H3815" s="1" t="s">
        <v>25</v>
      </c>
      <c r="I3815" s="1" t="s">
        <v>1528</v>
      </c>
      <c r="J3815" s="1" t="s">
        <v>4105</v>
      </c>
      <c r="K3815" s="1" t="s">
        <v>25</v>
      </c>
      <c r="L3815">
        <v>-1.35</v>
      </c>
      <c r="M3815" t="str">
        <f t="shared" si="137"/>
        <v>44/40</v>
      </c>
      <c r="N3815" t="str">
        <f t="shared" si="138"/>
        <v>SW</v>
      </c>
      <c r="O3815" s="1" t="s">
        <v>25</v>
      </c>
      <c r="P3815" s="3" t="s">
        <v>25</v>
      </c>
      <c r="Q3815" s="37">
        <v>0.91</v>
      </c>
      <c r="R3815" t="str">
        <f t="shared" si="139"/>
        <v>mmol/mol</v>
      </c>
      <c r="S3815" s="13">
        <f t="shared" si="136"/>
        <v>-1.35</v>
      </c>
    </row>
    <row r="3816" spans="1:19">
      <c r="A3816" s="18" t="s">
        <v>3632</v>
      </c>
      <c r="B3816" s="1" t="s">
        <v>3968</v>
      </c>
      <c r="C3816" s="1" t="s">
        <v>4076</v>
      </c>
      <c r="D3816" s="1" t="s">
        <v>4078</v>
      </c>
      <c r="E3816" s="1" t="s">
        <v>25</v>
      </c>
      <c r="F3816">
        <v>635</v>
      </c>
      <c r="G3816">
        <v>635</v>
      </c>
      <c r="H3816" s="1" t="s">
        <v>25</v>
      </c>
      <c r="I3816" s="1" t="s">
        <v>1528</v>
      </c>
      <c r="J3816" s="1" t="s">
        <v>4105</v>
      </c>
      <c r="K3816" s="1" t="s">
        <v>25</v>
      </c>
      <c r="L3816">
        <v>-1.34</v>
      </c>
      <c r="M3816" t="str">
        <f t="shared" si="137"/>
        <v>44/40</v>
      </c>
      <c r="N3816" t="str">
        <f t="shared" si="138"/>
        <v>SW</v>
      </c>
      <c r="O3816" s="1" t="s">
        <v>25</v>
      </c>
      <c r="P3816" s="3" t="s">
        <v>25</v>
      </c>
      <c r="Q3816" s="37">
        <v>0.83</v>
      </c>
      <c r="R3816" t="str">
        <f t="shared" si="139"/>
        <v>mmol/mol</v>
      </c>
      <c r="S3816" s="13">
        <f t="shared" si="136"/>
        <v>-1.34</v>
      </c>
    </row>
    <row r="3817" spans="1:19">
      <c r="A3817" s="18" t="s">
        <v>3632</v>
      </c>
      <c r="B3817" s="1" t="s">
        <v>3969</v>
      </c>
      <c r="C3817" s="1" t="s">
        <v>4076</v>
      </c>
      <c r="D3817" s="1" t="s">
        <v>4078</v>
      </c>
      <c r="E3817" s="1" t="s">
        <v>25</v>
      </c>
      <c r="F3817">
        <v>635</v>
      </c>
      <c r="G3817">
        <v>635</v>
      </c>
      <c r="H3817" s="1" t="s">
        <v>25</v>
      </c>
      <c r="I3817" s="1" t="s">
        <v>1528</v>
      </c>
      <c r="J3817" s="1" t="s">
        <v>4105</v>
      </c>
      <c r="K3817" s="1" t="s">
        <v>25</v>
      </c>
      <c r="L3817">
        <v>-1.1000000000000001</v>
      </c>
      <c r="M3817" t="str">
        <f t="shared" si="137"/>
        <v>44/40</v>
      </c>
      <c r="N3817" t="str">
        <f t="shared" si="138"/>
        <v>SW</v>
      </c>
      <c r="O3817" s="1" t="s">
        <v>25</v>
      </c>
      <c r="P3817" s="3" t="s">
        <v>25</v>
      </c>
      <c r="Q3817" s="37">
        <v>0.97</v>
      </c>
      <c r="R3817" t="str">
        <f t="shared" si="139"/>
        <v>mmol/mol</v>
      </c>
      <c r="S3817" s="13">
        <f t="shared" si="136"/>
        <v>-1.1000000000000001</v>
      </c>
    </row>
    <row r="3818" spans="1:19">
      <c r="A3818" s="18" t="s">
        <v>3632</v>
      </c>
      <c r="B3818" s="1" t="s">
        <v>3970</v>
      </c>
      <c r="C3818" s="1" t="s">
        <v>4076</v>
      </c>
      <c r="D3818" s="1" t="s">
        <v>4078</v>
      </c>
      <c r="E3818" s="1" t="s">
        <v>25</v>
      </c>
      <c r="F3818">
        <v>635</v>
      </c>
      <c r="G3818">
        <v>635</v>
      </c>
      <c r="H3818" s="1" t="s">
        <v>25</v>
      </c>
      <c r="I3818" s="1" t="s">
        <v>1528</v>
      </c>
      <c r="J3818" s="1" t="s">
        <v>4105</v>
      </c>
      <c r="K3818" s="1" t="s">
        <v>25</v>
      </c>
      <c r="L3818">
        <v>-1.3</v>
      </c>
      <c r="M3818" t="str">
        <f t="shared" si="137"/>
        <v>44/40</v>
      </c>
      <c r="N3818" t="str">
        <f t="shared" si="138"/>
        <v>SW</v>
      </c>
      <c r="O3818" s="1" t="s">
        <v>25</v>
      </c>
      <c r="P3818" s="3" t="s">
        <v>25</v>
      </c>
      <c r="Q3818" s="37">
        <v>0.91</v>
      </c>
      <c r="R3818" t="str">
        <f t="shared" si="139"/>
        <v>mmol/mol</v>
      </c>
      <c r="S3818" s="13">
        <f t="shared" si="136"/>
        <v>-1.3</v>
      </c>
    </row>
    <row r="3819" spans="1:19">
      <c r="A3819" s="18" t="s">
        <v>3632</v>
      </c>
      <c r="B3819" s="1" t="s">
        <v>3971</v>
      </c>
      <c r="C3819" s="1" t="s">
        <v>4076</v>
      </c>
      <c r="D3819" s="1" t="s">
        <v>4078</v>
      </c>
      <c r="E3819" s="1" t="s">
        <v>25</v>
      </c>
      <c r="F3819">
        <v>635</v>
      </c>
      <c r="G3819">
        <v>635</v>
      </c>
      <c r="H3819" s="1" t="s">
        <v>25</v>
      </c>
      <c r="I3819" s="1" t="s">
        <v>1528</v>
      </c>
      <c r="J3819" s="1" t="s">
        <v>4105</v>
      </c>
      <c r="K3819" s="1" t="s">
        <v>25</v>
      </c>
      <c r="L3819">
        <v>-1.29</v>
      </c>
      <c r="M3819" t="str">
        <f t="shared" si="137"/>
        <v>44/40</v>
      </c>
      <c r="N3819" t="str">
        <f t="shared" si="138"/>
        <v>SW</v>
      </c>
      <c r="O3819" s="1" t="s">
        <v>25</v>
      </c>
      <c r="P3819" s="3" t="s">
        <v>25</v>
      </c>
      <c r="Q3819" s="37">
        <v>0.75</v>
      </c>
      <c r="R3819" t="str">
        <f t="shared" si="139"/>
        <v>mmol/mol</v>
      </c>
      <c r="S3819" s="13">
        <f t="shared" si="136"/>
        <v>-1.29</v>
      </c>
    </row>
    <row r="3820" spans="1:19">
      <c r="A3820" s="18" t="s">
        <v>3632</v>
      </c>
      <c r="B3820" s="1" t="s">
        <v>3972</v>
      </c>
      <c r="C3820" s="1" t="s">
        <v>4076</v>
      </c>
      <c r="D3820" s="1" t="s">
        <v>4078</v>
      </c>
      <c r="E3820" s="1" t="s">
        <v>25</v>
      </c>
      <c r="F3820">
        <v>635</v>
      </c>
      <c r="G3820">
        <v>635</v>
      </c>
      <c r="H3820" s="1" t="s">
        <v>25</v>
      </c>
      <c r="I3820" s="1" t="s">
        <v>1528</v>
      </c>
      <c r="J3820" s="1" t="s">
        <v>4105</v>
      </c>
      <c r="K3820" s="1" t="s">
        <v>25</v>
      </c>
      <c r="L3820">
        <v>-1.25</v>
      </c>
      <c r="M3820" t="str">
        <f t="shared" si="137"/>
        <v>44/40</v>
      </c>
      <c r="N3820" t="str">
        <f t="shared" si="138"/>
        <v>SW</v>
      </c>
      <c r="O3820" s="1" t="s">
        <v>25</v>
      </c>
      <c r="P3820" s="3" t="s">
        <v>25</v>
      </c>
      <c r="Q3820" s="37">
        <v>0.59</v>
      </c>
      <c r="R3820" t="str">
        <f t="shared" si="139"/>
        <v>mmol/mol</v>
      </c>
      <c r="S3820" s="13">
        <f t="shared" ref="S3820:S3883" si="140">IF(NOT(N3820="SW"),L3820-1.88,L3820)</f>
        <v>-1.25</v>
      </c>
    </row>
    <row r="3821" spans="1:19">
      <c r="A3821" s="18" t="s">
        <v>3632</v>
      </c>
      <c r="B3821" s="1" t="s">
        <v>3973</v>
      </c>
      <c r="C3821" s="1" t="s">
        <v>4076</v>
      </c>
      <c r="D3821" s="1" t="s">
        <v>4078</v>
      </c>
      <c r="E3821" s="1" t="s">
        <v>25</v>
      </c>
      <c r="F3821">
        <v>635</v>
      </c>
      <c r="G3821">
        <v>635</v>
      </c>
      <c r="H3821" s="1" t="s">
        <v>25</v>
      </c>
      <c r="I3821" s="1" t="s">
        <v>1528</v>
      </c>
      <c r="J3821" s="1" t="s">
        <v>4105</v>
      </c>
      <c r="K3821" s="1" t="s">
        <v>25</v>
      </c>
      <c r="L3821">
        <v>-1.25</v>
      </c>
      <c r="M3821" t="str">
        <f t="shared" si="137"/>
        <v>44/40</v>
      </c>
      <c r="N3821" t="str">
        <f t="shared" si="138"/>
        <v>SW</v>
      </c>
      <c r="O3821" s="1" t="s">
        <v>25</v>
      </c>
      <c r="P3821" s="3" t="s">
        <v>25</v>
      </c>
      <c r="Q3821" s="37">
        <v>0.67</v>
      </c>
      <c r="R3821" t="str">
        <f t="shared" si="139"/>
        <v>mmol/mol</v>
      </c>
      <c r="S3821" s="13">
        <f t="shared" si="140"/>
        <v>-1.25</v>
      </c>
    </row>
    <row r="3822" spans="1:19">
      <c r="A3822" s="18" t="s">
        <v>3632</v>
      </c>
      <c r="B3822" s="1" t="s">
        <v>3974</v>
      </c>
      <c r="C3822" s="1" t="s">
        <v>4076</v>
      </c>
      <c r="D3822" s="1" t="s">
        <v>4078</v>
      </c>
      <c r="E3822" s="1" t="s">
        <v>25</v>
      </c>
      <c r="F3822">
        <v>635</v>
      </c>
      <c r="G3822">
        <v>635</v>
      </c>
      <c r="H3822" s="1" t="s">
        <v>25</v>
      </c>
      <c r="I3822" s="1" t="s">
        <v>1528</v>
      </c>
      <c r="J3822" s="1" t="s">
        <v>4105</v>
      </c>
      <c r="K3822" s="1" t="s">
        <v>25</v>
      </c>
      <c r="L3822">
        <v>-1.19</v>
      </c>
      <c r="M3822" t="str">
        <f t="shared" si="137"/>
        <v>44/40</v>
      </c>
      <c r="N3822" t="str">
        <f t="shared" si="138"/>
        <v>SW</v>
      </c>
      <c r="O3822" s="1" t="s">
        <v>25</v>
      </c>
      <c r="P3822" s="3" t="s">
        <v>25</v>
      </c>
      <c r="Q3822" s="37">
        <v>0.91</v>
      </c>
      <c r="R3822" t="str">
        <f t="shared" si="139"/>
        <v>mmol/mol</v>
      </c>
      <c r="S3822" s="13">
        <f t="shared" si="140"/>
        <v>-1.19</v>
      </c>
    </row>
    <row r="3823" spans="1:19">
      <c r="A3823" s="18" t="s">
        <v>3632</v>
      </c>
      <c r="B3823" s="1" t="s">
        <v>3975</v>
      </c>
      <c r="C3823" s="1" t="s">
        <v>4076</v>
      </c>
      <c r="D3823" s="1" t="s">
        <v>4078</v>
      </c>
      <c r="E3823" s="1" t="s">
        <v>25</v>
      </c>
      <c r="F3823">
        <v>635</v>
      </c>
      <c r="G3823">
        <v>635</v>
      </c>
      <c r="H3823" s="1" t="s">
        <v>25</v>
      </c>
      <c r="I3823" s="1" t="s">
        <v>1528</v>
      </c>
      <c r="J3823" s="1" t="s">
        <v>4105</v>
      </c>
      <c r="K3823" s="1" t="s">
        <v>25</v>
      </c>
      <c r="L3823">
        <v>-1.31</v>
      </c>
      <c r="M3823" t="str">
        <f t="shared" si="137"/>
        <v>44/40</v>
      </c>
      <c r="N3823" t="str">
        <f t="shared" si="138"/>
        <v>SW</v>
      </c>
      <c r="O3823" s="1" t="s">
        <v>25</v>
      </c>
      <c r="P3823" s="3" t="s">
        <v>25</v>
      </c>
      <c r="Q3823" s="37">
        <v>0.84</v>
      </c>
      <c r="R3823" t="str">
        <f t="shared" si="139"/>
        <v>mmol/mol</v>
      </c>
      <c r="S3823" s="13">
        <f t="shared" si="140"/>
        <v>-1.31</v>
      </c>
    </row>
    <row r="3824" spans="1:19">
      <c r="A3824" s="18" t="s">
        <v>3632</v>
      </c>
      <c r="B3824" s="1" t="s">
        <v>3976</v>
      </c>
      <c r="C3824" s="1" t="s">
        <v>4076</v>
      </c>
      <c r="D3824" s="1" t="s">
        <v>4078</v>
      </c>
      <c r="E3824" s="1" t="s">
        <v>25</v>
      </c>
      <c r="F3824">
        <v>635</v>
      </c>
      <c r="G3824">
        <v>635</v>
      </c>
      <c r="H3824" s="1" t="s">
        <v>25</v>
      </c>
      <c r="I3824" s="1" t="s">
        <v>1528</v>
      </c>
      <c r="J3824" s="1" t="s">
        <v>4105</v>
      </c>
      <c r="K3824" s="1" t="s">
        <v>25</v>
      </c>
      <c r="L3824">
        <v>-1.29</v>
      </c>
      <c r="M3824" t="str">
        <f t="shared" ref="M3824:M3887" si="141">IF(L3824="Na","Na","44/40")</f>
        <v>44/40</v>
      </c>
      <c r="N3824" t="str">
        <f t="shared" ref="N3824:N3887" si="142">IF(M3824="Na","Na","SW")</f>
        <v>SW</v>
      </c>
      <c r="O3824" s="1" t="s">
        <v>25</v>
      </c>
      <c r="P3824" s="3" t="s">
        <v>25</v>
      </c>
      <c r="Q3824" s="37">
        <v>0.62</v>
      </c>
      <c r="R3824" t="str">
        <f t="shared" si="139"/>
        <v>mmol/mol</v>
      </c>
      <c r="S3824" s="13">
        <f t="shared" si="140"/>
        <v>-1.29</v>
      </c>
    </row>
    <row r="3825" spans="1:19">
      <c r="A3825" s="18" t="s">
        <v>3632</v>
      </c>
      <c r="B3825" s="1" t="s">
        <v>3977</v>
      </c>
      <c r="C3825" s="1" t="s">
        <v>4076</v>
      </c>
      <c r="D3825" s="1" t="s">
        <v>4078</v>
      </c>
      <c r="E3825" s="1" t="s">
        <v>25</v>
      </c>
      <c r="F3825">
        <v>635</v>
      </c>
      <c r="G3825">
        <v>635</v>
      </c>
      <c r="H3825" s="1" t="s">
        <v>25</v>
      </c>
      <c r="I3825" s="1" t="s">
        <v>1528</v>
      </c>
      <c r="J3825" s="1" t="s">
        <v>4105</v>
      </c>
      <c r="K3825" s="1" t="s">
        <v>25</v>
      </c>
      <c r="L3825">
        <v>-1.2</v>
      </c>
      <c r="M3825" t="str">
        <f t="shared" si="141"/>
        <v>44/40</v>
      </c>
      <c r="N3825" t="str">
        <f t="shared" si="142"/>
        <v>SW</v>
      </c>
      <c r="O3825" s="1" t="s">
        <v>25</v>
      </c>
      <c r="P3825" s="3" t="s">
        <v>25</v>
      </c>
      <c r="Q3825" s="37">
        <v>0.52</v>
      </c>
      <c r="R3825" t="str">
        <f t="shared" si="139"/>
        <v>mmol/mol</v>
      </c>
      <c r="S3825" s="13">
        <f t="shared" si="140"/>
        <v>-1.2</v>
      </c>
    </row>
    <row r="3826" spans="1:19">
      <c r="A3826" s="18" t="s">
        <v>3632</v>
      </c>
      <c r="B3826" s="1" t="s">
        <v>3978</v>
      </c>
      <c r="C3826" s="1" t="s">
        <v>4076</v>
      </c>
      <c r="D3826" s="1" t="s">
        <v>4078</v>
      </c>
      <c r="E3826" s="1" t="s">
        <v>25</v>
      </c>
      <c r="F3826">
        <v>635</v>
      </c>
      <c r="G3826">
        <v>635</v>
      </c>
      <c r="H3826" s="1" t="s">
        <v>25</v>
      </c>
      <c r="I3826" s="1" t="s">
        <v>1528</v>
      </c>
      <c r="J3826" s="1" t="s">
        <v>4105</v>
      </c>
      <c r="K3826" s="1" t="s">
        <v>25</v>
      </c>
      <c r="L3826">
        <v>-1.22</v>
      </c>
      <c r="M3826" t="str">
        <f t="shared" si="141"/>
        <v>44/40</v>
      </c>
      <c r="N3826" t="str">
        <f t="shared" si="142"/>
        <v>SW</v>
      </c>
      <c r="O3826" s="1" t="s">
        <v>25</v>
      </c>
      <c r="P3826" s="3" t="s">
        <v>25</v>
      </c>
      <c r="Q3826" s="37">
        <v>0.63</v>
      </c>
      <c r="R3826" t="str">
        <f t="shared" si="139"/>
        <v>mmol/mol</v>
      </c>
      <c r="S3826" s="13">
        <f t="shared" si="140"/>
        <v>-1.22</v>
      </c>
    </row>
    <row r="3827" spans="1:19">
      <c r="A3827" s="18" t="s">
        <v>3632</v>
      </c>
      <c r="B3827" s="1" t="s">
        <v>3979</v>
      </c>
      <c r="C3827" s="1" t="s">
        <v>4076</v>
      </c>
      <c r="D3827" s="1" t="s">
        <v>4078</v>
      </c>
      <c r="E3827" s="1" t="s">
        <v>25</v>
      </c>
      <c r="F3827">
        <v>635</v>
      </c>
      <c r="G3827">
        <v>635</v>
      </c>
      <c r="H3827" s="1" t="s">
        <v>25</v>
      </c>
      <c r="I3827" s="1" t="s">
        <v>1528</v>
      </c>
      <c r="J3827" s="1" t="s">
        <v>4105</v>
      </c>
      <c r="K3827" s="1" t="s">
        <v>25</v>
      </c>
      <c r="L3827">
        <v>-1.22</v>
      </c>
      <c r="M3827" t="str">
        <f t="shared" si="141"/>
        <v>44/40</v>
      </c>
      <c r="N3827" t="str">
        <f t="shared" si="142"/>
        <v>SW</v>
      </c>
      <c r="O3827" s="1" t="s">
        <v>25</v>
      </c>
      <c r="P3827" s="3" t="s">
        <v>25</v>
      </c>
      <c r="Q3827" s="37">
        <v>0.48</v>
      </c>
      <c r="R3827" t="str">
        <f t="shared" si="139"/>
        <v>mmol/mol</v>
      </c>
      <c r="S3827" s="13">
        <f t="shared" si="140"/>
        <v>-1.22</v>
      </c>
    </row>
    <row r="3828" spans="1:19">
      <c r="A3828" s="18" t="s">
        <v>3632</v>
      </c>
      <c r="B3828" s="1" t="s">
        <v>3980</v>
      </c>
      <c r="C3828" s="1" t="s">
        <v>4076</v>
      </c>
      <c r="D3828" s="1" t="s">
        <v>4078</v>
      </c>
      <c r="E3828" s="1" t="s">
        <v>25</v>
      </c>
      <c r="F3828">
        <v>635</v>
      </c>
      <c r="G3828">
        <v>635</v>
      </c>
      <c r="H3828" s="1" t="s">
        <v>25</v>
      </c>
      <c r="I3828" s="1" t="s">
        <v>1528</v>
      </c>
      <c r="J3828" s="1" t="s">
        <v>4105</v>
      </c>
      <c r="K3828" s="1" t="s">
        <v>25</v>
      </c>
      <c r="L3828">
        <v>-1.26</v>
      </c>
      <c r="M3828" t="str">
        <f t="shared" si="141"/>
        <v>44/40</v>
      </c>
      <c r="N3828" t="str">
        <f t="shared" si="142"/>
        <v>SW</v>
      </c>
      <c r="O3828" s="1" t="s">
        <v>25</v>
      </c>
      <c r="P3828" s="3" t="s">
        <v>25</v>
      </c>
      <c r="Q3828" s="37">
        <v>0.49</v>
      </c>
      <c r="R3828" t="str">
        <f t="shared" si="139"/>
        <v>mmol/mol</v>
      </c>
      <c r="S3828" s="13">
        <f t="shared" si="140"/>
        <v>-1.26</v>
      </c>
    </row>
    <row r="3829" spans="1:19">
      <c r="A3829" s="18" t="s">
        <v>3632</v>
      </c>
      <c r="B3829" s="1" t="s">
        <v>3981</v>
      </c>
      <c r="C3829" s="1" t="s">
        <v>4076</v>
      </c>
      <c r="D3829" s="1" t="s">
        <v>4078</v>
      </c>
      <c r="E3829" s="1" t="s">
        <v>25</v>
      </c>
      <c r="F3829">
        <v>635</v>
      </c>
      <c r="G3829">
        <v>635</v>
      </c>
      <c r="H3829" s="1" t="s">
        <v>25</v>
      </c>
      <c r="I3829" s="1" t="s">
        <v>1528</v>
      </c>
      <c r="J3829" s="1" t="s">
        <v>4105</v>
      </c>
      <c r="K3829" s="1" t="s">
        <v>25</v>
      </c>
      <c r="L3829">
        <v>-1.1200000000000001</v>
      </c>
      <c r="M3829" t="str">
        <f t="shared" si="141"/>
        <v>44/40</v>
      </c>
      <c r="N3829" t="str">
        <f t="shared" si="142"/>
        <v>SW</v>
      </c>
      <c r="O3829" s="1" t="s">
        <v>25</v>
      </c>
      <c r="P3829" s="3" t="s">
        <v>25</v>
      </c>
      <c r="Q3829" s="37">
        <v>0.4</v>
      </c>
      <c r="R3829" t="str">
        <f t="shared" si="139"/>
        <v>mmol/mol</v>
      </c>
      <c r="S3829" s="13">
        <f t="shared" si="140"/>
        <v>-1.1200000000000001</v>
      </c>
    </row>
    <row r="3830" spans="1:19">
      <c r="A3830" s="18" t="s">
        <v>3632</v>
      </c>
      <c r="B3830" s="1" t="s">
        <v>3982</v>
      </c>
      <c r="C3830" s="1" t="s">
        <v>4076</v>
      </c>
      <c r="D3830" s="1" t="s">
        <v>4078</v>
      </c>
      <c r="E3830" s="1" t="s">
        <v>25</v>
      </c>
      <c r="F3830">
        <v>635</v>
      </c>
      <c r="G3830">
        <v>635</v>
      </c>
      <c r="H3830" s="1" t="s">
        <v>25</v>
      </c>
      <c r="I3830" s="1" t="s">
        <v>1528</v>
      </c>
      <c r="J3830" s="1" t="s">
        <v>4105</v>
      </c>
      <c r="K3830" s="1" t="s">
        <v>25</v>
      </c>
      <c r="L3830">
        <v>-1.18</v>
      </c>
      <c r="M3830" t="str">
        <f t="shared" si="141"/>
        <v>44/40</v>
      </c>
      <c r="N3830" t="str">
        <f t="shared" si="142"/>
        <v>SW</v>
      </c>
      <c r="O3830" s="1" t="s">
        <v>25</v>
      </c>
      <c r="P3830" s="3" t="s">
        <v>25</v>
      </c>
      <c r="Q3830" s="37">
        <v>0.41</v>
      </c>
      <c r="R3830" t="str">
        <f t="shared" si="139"/>
        <v>mmol/mol</v>
      </c>
      <c r="S3830" s="13">
        <f t="shared" si="140"/>
        <v>-1.18</v>
      </c>
    </row>
    <row r="3831" spans="1:19">
      <c r="A3831" s="18" t="s">
        <v>3632</v>
      </c>
      <c r="B3831" s="1" t="s">
        <v>3983</v>
      </c>
      <c r="C3831" s="1" t="s">
        <v>4076</v>
      </c>
      <c r="D3831" s="1" t="s">
        <v>4078</v>
      </c>
      <c r="E3831" s="1" t="s">
        <v>25</v>
      </c>
      <c r="F3831">
        <v>635</v>
      </c>
      <c r="G3831">
        <v>635</v>
      </c>
      <c r="H3831" s="1" t="s">
        <v>25</v>
      </c>
      <c r="I3831" s="1" t="s">
        <v>1528</v>
      </c>
      <c r="J3831" s="1" t="s">
        <v>4105</v>
      </c>
      <c r="K3831" s="1" t="s">
        <v>25</v>
      </c>
      <c r="L3831">
        <v>-1.28</v>
      </c>
      <c r="M3831" t="str">
        <f t="shared" si="141"/>
        <v>44/40</v>
      </c>
      <c r="N3831" t="str">
        <f t="shared" si="142"/>
        <v>SW</v>
      </c>
      <c r="O3831" s="1" t="s">
        <v>25</v>
      </c>
      <c r="P3831" s="3" t="s">
        <v>25</v>
      </c>
      <c r="Q3831" s="37">
        <v>0.45</v>
      </c>
      <c r="R3831" t="str">
        <f t="shared" si="139"/>
        <v>mmol/mol</v>
      </c>
      <c r="S3831" s="13">
        <f t="shared" si="140"/>
        <v>-1.28</v>
      </c>
    </row>
    <row r="3832" spans="1:19">
      <c r="A3832" s="18" t="s">
        <v>3632</v>
      </c>
      <c r="B3832" s="1" t="s">
        <v>3984</v>
      </c>
      <c r="C3832" s="1" t="s">
        <v>4076</v>
      </c>
      <c r="D3832" s="1" t="s">
        <v>4078</v>
      </c>
      <c r="E3832" s="1" t="s">
        <v>25</v>
      </c>
      <c r="F3832">
        <v>635</v>
      </c>
      <c r="G3832">
        <v>635</v>
      </c>
      <c r="H3832" s="1" t="s">
        <v>25</v>
      </c>
      <c r="I3832" s="1" t="s">
        <v>1528</v>
      </c>
      <c r="J3832" s="1" t="s">
        <v>4105</v>
      </c>
      <c r="K3832" s="1" t="s">
        <v>25</v>
      </c>
      <c r="L3832">
        <v>-1.23</v>
      </c>
      <c r="M3832" t="str">
        <f t="shared" si="141"/>
        <v>44/40</v>
      </c>
      <c r="N3832" t="str">
        <f t="shared" si="142"/>
        <v>SW</v>
      </c>
      <c r="O3832" s="1" t="s">
        <v>25</v>
      </c>
      <c r="P3832" s="3" t="s">
        <v>25</v>
      </c>
      <c r="Q3832" s="37">
        <v>0.43</v>
      </c>
      <c r="R3832" t="str">
        <f t="shared" si="139"/>
        <v>mmol/mol</v>
      </c>
      <c r="S3832" s="13">
        <f t="shared" si="140"/>
        <v>-1.23</v>
      </c>
    </row>
    <row r="3833" spans="1:19">
      <c r="A3833" s="18" t="s">
        <v>3632</v>
      </c>
      <c r="B3833" s="1" t="s">
        <v>3985</v>
      </c>
      <c r="C3833" s="1" t="s">
        <v>4076</v>
      </c>
      <c r="D3833" s="1" t="s">
        <v>4078</v>
      </c>
      <c r="E3833" s="1" t="s">
        <v>25</v>
      </c>
      <c r="F3833">
        <v>635</v>
      </c>
      <c r="G3833">
        <v>635</v>
      </c>
      <c r="H3833" s="1" t="s">
        <v>25</v>
      </c>
      <c r="I3833" s="1" t="s">
        <v>1528</v>
      </c>
      <c r="J3833" s="1" t="s">
        <v>4105</v>
      </c>
      <c r="K3833" s="1" t="s">
        <v>25</v>
      </c>
      <c r="L3833">
        <v>-1.22</v>
      </c>
      <c r="M3833" t="str">
        <f t="shared" si="141"/>
        <v>44/40</v>
      </c>
      <c r="N3833" t="str">
        <f t="shared" si="142"/>
        <v>SW</v>
      </c>
      <c r="O3833" s="1" t="s">
        <v>25</v>
      </c>
      <c r="P3833" s="3" t="s">
        <v>25</v>
      </c>
      <c r="Q3833" s="37">
        <v>0.42</v>
      </c>
      <c r="R3833" t="str">
        <f t="shared" si="139"/>
        <v>mmol/mol</v>
      </c>
      <c r="S3833" s="13">
        <f t="shared" si="140"/>
        <v>-1.22</v>
      </c>
    </row>
    <row r="3834" spans="1:19">
      <c r="A3834" s="18" t="s">
        <v>3632</v>
      </c>
      <c r="B3834" s="1" t="s">
        <v>3986</v>
      </c>
      <c r="C3834" s="1" t="s">
        <v>4076</v>
      </c>
      <c r="D3834" s="1" t="s">
        <v>4078</v>
      </c>
      <c r="E3834" s="1" t="s">
        <v>25</v>
      </c>
      <c r="F3834">
        <v>635</v>
      </c>
      <c r="G3834">
        <v>635</v>
      </c>
      <c r="H3834" s="1" t="s">
        <v>25</v>
      </c>
      <c r="I3834" s="1" t="s">
        <v>1528</v>
      </c>
      <c r="J3834" s="1" t="s">
        <v>4105</v>
      </c>
      <c r="K3834" s="1" t="s">
        <v>25</v>
      </c>
      <c r="L3834">
        <v>-1.24</v>
      </c>
      <c r="M3834" t="str">
        <f t="shared" si="141"/>
        <v>44/40</v>
      </c>
      <c r="N3834" t="str">
        <f t="shared" si="142"/>
        <v>SW</v>
      </c>
      <c r="O3834" s="1" t="s">
        <v>25</v>
      </c>
      <c r="P3834" s="3" t="s">
        <v>25</v>
      </c>
      <c r="Q3834" s="37">
        <v>0.37</v>
      </c>
      <c r="R3834" t="str">
        <f t="shared" si="139"/>
        <v>mmol/mol</v>
      </c>
      <c r="S3834" s="13">
        <f t="shared" si="140"/>
        <v>-1.24</v>
      </c>
    </row>
    <row r="3835" spans="1:19">
      <c r="A3835" s="18" t="s">
        <v>3632</v>
      </c>
      <c r="B3835" s="1" t="s">
        <v>3987</v>
      </c>
      <c r="C3835" s="1" t="s">
        <v>4076</v>
      </c>
      <c r="D3835" s="1" t="s">
        <v>4078</v>
      </c>
      <c r="E3835" s="1" t="s">
        <v>25</v>
      </c>
      <c r="F3835">
        <v>635</v>
      </c>
      <c r="G3835">
        <v>635</v>
      </c>
      <c r="H3835" s="1" t="s">
        <v>25</v>
      </c>
      <c r="I3835" s="1" t="s">
        <v>1528</v>
      </c>
      <c r="J3835" s="1" t="s">
        <v>4105</v>
      </c>
      <c r="K3835" s="1" t="s">
        <v>25</v>
      </c>
      <c r="L3835">
        <v>-1.19</v>
      </c>
      <c r="M3835" t="str">
        <f t="shared" si="141"/>
        <v>44/40</v>
      </c>
      <c r="N3835" t="str">
        <f t="shared" si="142"/>
        <v>SW</v>
      </c>
      <c r="O3835" s="1" t="s">
        <v>25</v>
      </c>
      <c r="P3835" s="3" t="s">
        <v>25</v>
      </c>
      <c r="Q3835" s="37">
        <v>0.35</v>
      </c>
      <c r="R3835" t="str">
        <f t="shared" si="139"/>
        <v>mmol/mol</v>
      </c>
      <c r="S3835" s="13">
        <f t="shared" si="140"/>
        <v>-1.19</v>
      </c>
    </row>
    <row r="3836" spans="1:19">
      <c r="A3836" s="18" t="s">
        <v>3632</v>
      </c>
      <c r="B3836" s="1" t="s">
        <v>3988</v>
      </c>
      <c r="C3836" s="1" t="s">
        <v>4076</v>
      </c>
      <c r="D3836" s="1" t="s">
        <v>4078</v>
      </c>
      <c r="E3836" s="1" t="s">
        <v>25</v>
      </c>
      <c r="F3836">
        <v>635</v>
      </c>
      <c r="G3836">
        <v>635</v>
      </c>
      <c r="H3836" s="1" t="s">
        <v>25</v>
      </c>
      <c r="I3836" s="1" t="s">
        <v>1528</v>
      </c>
      <c r="J3836" s="1" t="s">
        <v>4105</v>
      </c>
      <c r="K3836" s="1" t="s">
        <v>25</v>
      </c>
      <c r="L3836">
        <v>-1.1200000000000001</v>
      </c>
      <c r="M3836" t="str">
        <f t="shared" si="141"/>
        <v>44/40</v>
      </c>
      <c r="N3836" t="str">
        <f t="shared" si="142"/>
        <v>SW</v>
      </c>
      <c r="O3836" s="1" t="s">
        <v>25</v>
      </c>
      <c r="P3836" s="3" t="s">
        <v>25</v>
      </c>
      <c r="Q3836" s="37">
        <v>0.21</v>
      </c>
      <c r="R3836" t="str">
        <f t="shared" si="139"/>
        <v>mmol/mol</v>
      </c>
      <c r="S3836" s="13">
        <f t="shared" si="140"/>
        <v>-1.1200000000000001</v>
      </c>
    </row>
    <row r="3837" spans="1:19">
      <c r="A3837" s="18" t="s">
        <v>3632</v>
      </c>
      <c r="B3837" s="1" t="s">
        <v>3989</v>
      </c>
      <c r="C3837" s="1" t="s">
        <v>4076</v>
      </c>
      <c r="D3837" s="1" t="s">
        <v>4078</v>
      </c>
      <c r="E3837" s="1" t="s">
        <v>25</v>
      </c>
      <c r="F3837">
        <v>635</v>
      </c>
      <c r="G3837">
        <v>635</v>
      </c>
      <c r="H3837" s="1" t="s">
        <v>25</v>
      </c>
      <c r="I3837" s="1" t="s">
        <v>1528</v>
      </c>
      <c r="J3837" s="1" t="s">
        <v>4105</v>
      </c>
      <c r="K3837" s="1" t="s">
        <v>25</v>
      </c>
      <c r="L3837">
        <v>-1.04</v>
      </c>
      <c r="M3837" t="str">
        <f t="shared" si="141"/>
        <v>44/40</v>
      </c>
      <c r="N3837" t="str">
        <f t="shared" si="142"/>
        <v>SW</v>
      </c>
      <c r="O3837" s="1" t="s">
        <v>25</v>
      </c>
      <c r="P3837" s="3" t="s">
        <v>25</v>
      </c>
      <c r="Q3837" s="37">
        <v>0.22</v>
      </c>
      <c r="R3837" t="str">
        <f t="shared" si="139"/>
        <v>mmol/mol</v>
      </c>
      <c r="S3837" s="13">
        <f t="shared" si="140"/>
        <v>-1.04</v>
      </c>
    </row>
    <row r="3838" spans="1:19">
      <c r="A3838" s="18" t="s">
        <v>3632</v>
      </c>
      <c r="B3838" s="1" t="s">
        <v>3990</v>
      </c>
      <c r="C3838" s="1" t="s">
        <v>4076</v>
      </c>
      <c r="D3838" s="1" t="s">
        <v>4078</v>
      </c>
      <c r="E3838" s="1" t="s">
        <v>25</v>
      </c>
      <c r="F3838">
        <v>635</v>
      </c>
      <c r="G3838">
        <v>635</v>
      </c>
      <c r="H3838" s="1" t="s">
        <v>25</v>
      </c>
      <c r="I3838" s="1" t="s">
        <v>1528</v>
      </c>
      <c r="J3838" s="1" t="s">
        <v>4105</v>
      </c>
      <c r="K3838" s="1" t="s">
        <v>25</v>
      </c>
      <c r="L3838">
        <v>-1.1299999999999999</v>
      </c>
      <c r="M3838" t="str">
        <f t="shared" si="141"/>
        <v>44/40</v>
      </c>
      <c r="N3838" t="str">
        <f t="shared" si="142"/>
        <v>SW</v>
      </c>
      <c r="O3838" s="1" t="s">
        <v>25</v>
      </c>
      <c r="P3838" s="3" t="s">
        <v>25</v>
      </c>
      <c r="Q3838" s="37">
        <v>0.22</v>
      </c>
      <c r="R3838" t="str">
        <f t="shared" si="139"/>
        <v>mmol/mol</v>
      </c>
      <c r="S3838" s="13">
        <f t="shared" si="140"/>
        <v>-1.1299999999999999</v>
      </c>
    </row>
    <row r="3839" spans="1:19">
      <c r="A3839" s="18" t="s">
        <v>3632</v>
      </c>
      <c r="B3839" s="1" t="s">
        <v>3991</v>
      </c>
      <c r="C3839" s="1" t="s">
        <v>4076</v>
      </c>
      <c r="D3839" s="1" t="s">
        <v>4078</v>
      </c>
      <c r="E3839" s="1" t="s">
        <v>25</v>
      </c>
      <c r="F3839">
        <v>635</v>
      </c>
      <c r="G3839">
        <v>635</v>
      </c>
      <c r="H3839" s="1" t="s">
        <v>25</v>
      </c>
      <c r="I3839" s="1" t="s">
        <v>1528</v>
      </c>
      <c r="J3839" s="1" t="s">
        <v>4105</v>
      </c>
      <c r="K3839" s="1" t="s">
        <v>25</v>
      </c>
      <c r="L3839">
        <v>-1.1000000000000001</v>
      </c>
      <c r="M3839" t="str">
        <f t="shared" si="141"/>
        <v>44/40</v>
      </c>
      <c r="N3839" t="str">
        <f t="shared" si="142"/>
        <v>SW</v>
      </c>
      <c r="O3839" s="1" t="s">
        <v>25</v>
      </c>
      <c r="P3839" s="3" t="s">
        <v>25</v>
      </c>
      <c r="Q3839" s="37">
        <v>0.2</v>
      </c>
      <c r="R3839" t="str">
        <f t="shared" si="139"/>
        <v>mmol/mol</v>
      </c>
      <c r="S3839" s="13">
        <f t="shared" si="140"/>
        <v>-1.1000000000000001</v>
      </c>
    </row>
    <row r="3840" spans="1:19">
      <c r="A3840" s="18" t="s">
        <v>3632</v>
      </c>
      <c r="B3840" s="1" t="s">
        <v>3992</v>
      </c>
      <c r="C3840" s="1" t="s">
        <v>4076</v>
      </c>
      <c r="D3840" s="1" t="s">
        <v>4078</v>
      </c>
      <c r="E3840" s="1" t="s">
        <v>25</v>
      </c>
      <c r="F3840">
        <v>635</v>
      </c>
      <c r="G3840">
        <v>635</v>
      </c>
      <c r="H3840" s="1" t="s">
        <v>25</v>
      </c>
      <c r="I3840" s="1" t="s">
        <v>1528</v>
      </c>
      <c r="J3840" s="1" t="s">
        <v>4105</v>
      </c>
      <c r="K3840" s="1" t="s">
        <v>25</v>
      </c>
      <c r="L3840">
        <v>-1.06</v>
      </c>
      <c r="M3840" t="str">
        <f t="shared" si="141"/>
        <v>44/40</v>
      </c>
      <c r="N3840" t="str">
        <f t="shared" si="142"/>
        <v>SW</v>
      </c>
      <c r="O3840" s="1" t="s">
        <v>25</v>
      </c>
      <c r="P3840" s="3" t="s">
        <v>25</v>
      </c>
      <c r="Q3840" s="37">
        <v>0.21</v>
      </c>
      <c r="R3840" t="str">
        <f t="shared" si="139"/>
        <v>mmol/mol</v>
      </c>
      <c r="S3840" s="13">
        <f t="shared" si="140"/>
        <v>-1.06</v>
      </c>
    </row>
    <row r="3841" spans="1:19">
      <c r="A3841" s="18" t="s">
        <v>3632</v>
      </c>
      <c r="B3841" s="1" t="s">
        <v>3993</v>
      </c>
      <c r="C3841" s="1" t="s">
        <v>4076</v>
      </c>
      <c r="D3841" s="1" t="s">
        <v>4078</v>
      </c>
      <c r="E3841" s="1" t="s">
        <v>25</v>
      </c>
      <c r="F3841">
        <v>635</v>
      </c>
      <c r="G3841">
        <v>635</v>
      </c>
      <c r="H3841" s="1" t="s">
        <v>25</v>
      </c>
      <c r="I3841" s="1" t="s">
        <v>1528</v>
      </c>
      <c r="J3841" s="1" t="s">
        <v>4105</v>
      </c>
      <c r="K3841" s="1" t="s">
        <v>25</v>
      </c>
      <c r="L3841">
        <v>-1.03</v>
      </c>
      <c r="M3841" t="str">
        <f t="shared" si="141"/>
        <v>44/40</v>
      </c>
      <c r="N3841" t="str">
        <f t="shared" si="142"/>
        <v>SW</v>
      </c>
      <c r="O3841" s="1" t="s">
        <v>25</v>
      </c>
      <c r="P3841" s="3" t="s">
        <v>25</v>
      </c>
      <c r="Q3841" s="37">
        <v>0.17</v>
      </c>
      <c r="R3841" t="str">
        <f t="shared" si="139"/>
        <v>mmol/mol</v>
      </c>
      <c r="S3841" s="13">
        <f t="shared" si="140"/>
        <v>-1.03</v>
      </c>
    </row>
    <row r="3842" spans="1:19">
      <c r="A3842" s="18" t="s">
        <v>3632</v>
      </c>
      <c r="B3842" s="1" t="s">
        <v>3994</v>
      </c>
      <c r="C3842" s="1" t="s">
        <v>4076</v>
      </c>
      <c r="D3842" s="1" t="s">
        <v>4078</v>
      </c>
      <c r="E3842" s="1" t="s">
        <v>25</v>
      </c>
      <c r="F3842">
        <v>635</v>
      </c>
      <c r="G3842">
        <v>635</v>
      </c>
      <c r="H3842" s="1" t="s">
        <v>25</v>
      </c>
      <c r="I3842" s="1" t="s">
        <v>1528</v>
      </c>
      <c r="J3842" s="1" t="s">
        <v>4105</v>
      </c>
      <c r="K3842" s="1" t="s">
        <v>25</v>
      </c>
      <c r="L3842">
        <v>-0.97</v>
      </c>
      <c r="M3842" t="str">
        <f t="shared" si="141"/>
        <v>44/40</v>
      </c>
      <c r="N3842" t="str">
        <f t="shared" si="142"/>
        <v>SW</v>
      </c>
      <c r="O3842" s="1" t="s">
        <v>25</v>
      </c>
      <c r="P3842" s="3" t="s">
        <v>25</v>
      </c>
      <c r="Q3842" s="37">
        <v>0.23</v>
      </c>
      <c r="R3842" t="str">
        <f t="shared" si="139"/>
        <v>mmol/mol</v>
      </c>
      <c r="S3842" s="13">
        <f t="shared" si="140"/>
        <v>-0.97</v>
      </c>
    </row>
    <row r="3843" spans="1:19">
      <c r="A3843" s="18" t="s">
        <v>3632</v>
      </c>
      <c r="B3843" s="1" t="s">
        <v>3995</v>
      </c>
      <c r="C3843" s="1" t="s">
        <v>4087</v>
      </c>
      <c r="D3843" s="1" t="s">
        <v>4088</v>
      </c>
      <c r="E3843" s="1" t="s">
        <v>25</v>
      </c>
      <c r="F3843">
        <v>635</v>
      </c>
      <c r="G3843">
        <v>635</v>
      </c>
      <c r="H3843" s="1" t="s">
        <v>25</v>
      </c>
      <c r="I3843" s="1" t="s">
        <v>1528</v>
      </c>
      <c r="J3843" s="1" t="s">
        <v>1491</v>
      </c>
      <c r="K3843" s="1" t="s">
        <v>25</v>
      </c>
      <c r="L3843">
        <v>-0.91</v>
      </c>
      <c r="M3843" t="str">
        <f t="shared" si="141"/>
        <v>44/40</v>
      </c>
      <c r="N3843" t="str">
        <f t="shared" si="142"/>
        <v>SW</v>
      </c>
      <c r="O3843" s="1" t="s">
        <v>25</v>
      </c>
      <c r="P3843" s="3" t="s">
        <v>25</v>
      </c>
      <c r="Q3843" s="37">
        <v>0.04</v>
      </c>
      <c r="R3843" t="str">
        <f t="shared" si="139"/>
        <v>mmol/mol</v>
      </c>
      <c r="S3843" s="13">
        <f t="shared" si="140"/>
        <v>-0.91</v>
      </c>
    </row>
    <row r="3844" spans="1:19">
      <c r="A3844" s="18" t="s">
        <v>3632</v>
      </c>
      <c r="B3844" s="1" t="s">
        <v>3996</v>
      </c>
      <c r="C3844" s="1" t="s">
        <v>4087</v>
      </c>
      <c r="D3844" s="1" t="s">
        <v>4088</v>
      </c>
      <c r="E3844" s="1" t="s">
        <v>25</v>
      </c>
      <c r="F3844">
        <v>635</v>
      </c>
      <c r="G3844">
        <v>635</v>
      </c>
      <c r="H3844" s="1" t="s">
        <v>25</v>
      </c>
      <c r="I3844" s="1" t="s">
        <v>1528</v>
      </c>
      <c r="J3844" s="1" t="s">
        <v>1491</v>
      </c>
      <c r="K3844" s="1" t="s">
        <v>25</v>
      </c>
      <c r="L3844">
        <v>-1.1399999999999999</v>
      </c>
      <c r="M3844" t="str">
        <f t="shared" si="141"/>
        <v>44/40</v>
      </c>
      <c r="N3844" t="str">
        <f t="shared" si="142"/>
        <v>SW</v>
      </c>
      <c r="O3844" s="1" t="s">
        <v>25</v>
      </c>
      <c r="P3844" s="3" t="s">
        <v>25</v>
      </c>
      <c r="Q3844" s="37">
        <v>0.1</v>
      </c>
      <c r="R3844" t="str">
        <f t="shared" si="139"/>
        <v>mmol/mol</v>
      </c>
      <c r="S3844" s="13">
        <f t="shared" si="140"/>
        <v>-1.1399999999999999</v>
      </c>
    </row>
    <row r="3845" spans="1:19">
      <c r="A3845" s="18" t="s">
        <v>3632</v>
      </c>
      <c r="B3845" s="1" t="s">
        <v>3997</v>
      </c>
      <c r="C3845" s="1" t="s">
        <v>4087</v>
      </c>
      <c r="D3845" s="1" t="s">
        <v>4088</v>
      </c>
      <c r="E3845" s="1" t="s">
        <v>25</v>
      </c>
      <c r="F3845">
        <v>635</v>
      </c>
      <c r="G3845">
        <v>635</v>
      </c>
      <c r="H3845" s="1" t="s">
        <v>25</v>
      </c>
      <c r="I3845" s="1" t="s">
        <v>1528</v>
      </c>
      <c r="J3845" s="1" t="s">
        <v>1491</v>
      </c>
      <c r="K3845" s="1" t="s">
        <v>25</v>
      </c>
      <c r="L3845">
        <v>-0.8</v>
      </c>
      <c r="M3845" t="str">
        <f t="shared" si="141"/>
        <v>44/40</v>
      </c>
      <c r="N3845" t="str">
        <f t="shared" si="142"/>
        <v>SW</v>
      </c>
      <c r="O3845" s="1" t="s">
        <v>25</v>
      </c>
      <c r="P3845" s="3" t="s">
        <v>25</v>
      </c>
      <c r="Q3845" s="37">
        <v>0.18</v>
      </c>
      <c r="R3845" t="str">
        <f t="shared" si="139"/>
        <v>mmol/mol</v>
      </c>
      <c r="S3845" s="13">
        <f t="shared" si="140"/>
        <v>-0.8</v>
      </c>
    </row>
    <row r="3846" spans="1:19">
      <c r="A3846" s="18" t="s">
        <v>3632</v>
      </c>
      <c r="B3846" s="1" t="s">
        <v>3998</v>
      </c>
      <c r="C3846" s="1" t="s">
        <v>4087</v>
      </c>
      <c r="D3846" s="1" t="s">
        <v>4088</v>
      </c>
      <c r="E3846" s="1" t="s">
        <v>25</v>
      </c>
      <c r="F3846">
        <v>635</v>
      </c>
      <c r="G3846">
        <v>635</v>
      </c>
      <c r="H3846" s="1" t="s">
        <v>25</v>
      </c>
      <c r="I3846" s="1" t="s">
        <v>1528</v>
      </c>
      <c r="J3846" s="1" t="s">
        <v>1491</v>
      </c>
      <c r="K3846" s="1" t="s">
        <v>25</v>
      </c>
      <c r="L3846">
        <v>-0.89</v>
      </c>
      <c r="M3846" t="str">
        <f t="shared" si="141"/>
        <v>44/40</v>
      </c>
      <c r="N3846" t="str">
        <f t="shared" si="142"/>
        <v>SW</v>
      </c>
      <c r="O3846" s="1" t="s">
        <v>25</v>
      </c>
      <c r="P3846" s="3" t="s">
        <v>25</v>
      </c>
      <c r="Q3846" s="37">
        <v>0.13</v>
      </c>
      <c r="R3846" t="str">
        <f t="shared" si="139"/>
        <v>mmol/mol</v>
      </c>
      <c r="S3846" s="13">
        <f t="shared" si="140"/>
        <v>-0.89</v>
      </c>
    </row>
    <row r="3847" spans="1:19">
      <c r="A3847" s="18" t="s">
        <v>3632</v>
      </c>
      <c r="B3847" s="1" t="s">
        <v>3999</v>
      </c>
      <c r="C3847" s="1" t="s">
        <v>4087</v>
      </c>
      <c r="D3847" s="1" t="s">
        <v>4088</v>
      </c>
      <c r="E3847" s="1" t="s">
        <v>25</v>
      </c>
      <c r="F3847">
        <v>635</v>
      </c>
      <c r="G3847">
        <v>635</v>
      </c>
      <c r="H3847" s="1" t="s">
        <v>25</v>
      </c>
      <c r="I3847" s="1" t="s">
        <v>1528</v>
      </c>
      <c r="J3847" s="1" t="s">
        <v>1491</v>
      </c>
      <c r="K3847" s="1" t="s">
        <v>25</v>
      </c>
      <c r="L3847">
        <v>-1.3</v>
      </c>
      <c r="M3847" t="str">
        <f t="shared" si="141"/>
        <v>44/40</v>
      </c>
      <c r="N3847" t="str">
        <f t="shared" si="142"/>
        <v>SW</v>
      </c>
      <c r="O3847" s="1" t="s">
        <v>25</v>
      </c>
      <c r="P3847" s="3" t="s">
        <v>25</v>
      </c>
      <c r="Q3847" s="37">
        <v>0.15</v>
      </c>
      <c r="R3847" t="str">
        <f t="shared" si="139"/>
        <v>mmol/mol</v>
      </c>
      <c r="S3847" s="13">
        <f t="shared" si="140"/>
        <v>-1.3</v>
      </c>
    </row>
    <row r="3848" spans="1:19">
      <c r="A3848" s="18" t="s">
        <v>3632</v>
      </c>
      <c r="B3848" s="1" t="s">
        <v>4000</v>
      </c>
      <c r="C3848" s="1" t="s">
        <v>4087</v>
      </c>
      <c r="D3848" s="1" t="s">
        <v>4088</v>
      </c>
      <c r="E3848" s="1" t="s">
        <v>25</v>
      </c>
      <c r="F3848">
        <v>635</v>
      </c>
      <c r="G3848">
        <v>635</v>
      </c>
      <c r="H3848" s="1" t="s">
        <v>25</v>
      </c>
      <c r="I3848" s="1" t="s">
        <v>1528</v>
      </c>
      <c r="J3848" s="1" t="s">
        <v>1491</v>
      </c>
      <c r="K3848" s="1" t="s">
        <v>25</v>
      </c>
      <c r="L3848">
        <v>-1.1200000000000001</v>
      </c>
      <c r="M3848" t="str">
        <f t="shared" si="141"/>
        <v>44/40</v>
      </c>
      <c r="N3848" t="str">
        <f t="shared" si="142"/>
        <v>SW</v>
      </c>
      <c r="O3848" s="1" t="s">
        <v>25</v>
      </c>
      <c r="P3848" s="3" t="s">
        <v>25</v>
      </c>
      <c r="Q3848" s="37">
        <v>0.12</v>
      </c>
      <c r="R3848" t="str">
        <f t="shared" si="139"/>
        <v>mmol/mol</v>
      </c>
      <c r="S3848" s="13">
        <f t="shared" si="140"/>
        <v>-1.1200000000000001</v>
      </c>
    </row>
    <row r="3849" spans="1:19">
      <c r="A3849" s="18" t="s">
        <v>3632</v>
      </c>
      <c r="B3849" s="1" t="s">
        <v>4001</v>
      </c>
      <c r="C3849" s="1" t="s">
        <v>4079</v>
      </c>
      <c r="D3849" s="1" t="s">
        <v>4080</v>
      </c>
      <c r="E3849" s="1" t="s">
        <v>25</v>
      </c>
      <c r="F3849">
        <v>635</v>
      </c>
      <c r="G3849">
        <v>635</v>
      </c>
      <c r="H3849" s="1" t="s">
        <v>25</v>
      </c>
      <c r="I3849" s="1" t="s">
        <v>1528</v>
      </c>
      <c r="J3849" s="1" t="s">
        <v>1491</v>
      </c>
      <c r="K3849" s="1" t="s">
        <v>25</v>
      </c>
      <c r="L3849">
        <v>-1.05</v>
      </c>
      <c r="M3849" t="str">
        <f t="shared" si="141"/>
        <v>44/40</v>
      </c>
      <c r="N3849" t="str">
        <f t="shared" si="142"/>
        <v>SW</v>
      </c>
      <c r="O3849" s="1" t="s">
        <v>25</v>
      </c>
      <c r="P3849" s="3" t="s">
        <v>25</v>
      </c>
      <c r="Q3849" s="37">
        <v>0.48</v>
      </c>
      <c r="R3849" t="str">
        <f t="shared" si="139"/>
        <v>mmol/mol</v>
      </c>
      <c r="S3849" s="13">
        <f t="shared" si="140"/>
        <v>-1.05</v>
      </c>
    </row>
    <row r="3850" spans="1:19">
      <c r="A3850" s="18" t="s">
        <v>3632</v>
      </c>
      <c r="B3850" s="1" t="s">
        <v>4002</v>
      </c>
      <c r="C3850" s="1" t="s">
        <v>4079</v>
      </c>
      <c r="D3850" s="1" t="s">
        <v>4080</v>
      </c>
      <c r="E3850" s="1" t="s">
        <v>25</v>
      </c>
      <c r="F3850">
        <v>635</v>
      </c>
      <c r="G3850">
        <v>635</v>
      </c>
      <c r="H3850" s="1" t="s">
        <v>25</v>
      </c>
      <c r="I3850" s="1" t="s">
        <v>1528</v>
      </c>
      <c r="J3850" s="1" t="s">
        <v>1491</v>
      </c>
      <c r="K3850" s="1" t="s">
        <v>25</v>
      </c>
      <c r="L3850">
        <v>-1.21</v>
      </c>
      <c r="M3850" t="str">
        <f t="shared" si="141"/>
        <v>44/40</v>
      </c>
      <c r="N3850" t="str">
        <f t="shared" si="142"/>
        <v>SW</v>
      </c>
      <c r="O3850" s="1" t="s">
        <v>25</v>
      </c>
      <c r="P3850" s="3" t="s">
        <v>25</v>
      </c>
      <c r="Q3850" s="37">
        <v>0.12</v>
      </c>
      <c r="R3850" t="str">
        <f t="shared" si="139"/>
        <v>mmol/mol</v>
      </c>
      <c r="S3850" s="13">
        <f t="shared" si="140"/>
        <v>-1.21</v>
      </c>
    </row>
    <row r="3851" spans="1:19">
      <c r="A3851" s="18" t="s">
        <v>3632</v>
      </c>
      <c r="B3851" s="1" t="s">
        <v>4003</v>
      </c>
      <c r="C3851" s="1" t="s">
        <v>4079</v>
      </c>
      <c r="D3851" s="1" t="s">
        <v>4080</v>
      </c>
      <c r="E3851" s="1" t="s">
        <v>25</v>
      </c>
      <c r="F3851">
        <v>635</v>
      </c>
      <c r="G3851">
        <v>635</v>
      </c>
      <c r="H3851" s="1" t="s">
        <v>25</v>
      </c>
      <c r="I3851" s="1" t="s">
        <v>1528</v>
      </c>
      <c r="J3851" s="1" t="s">
        <v>1491</v>
      </c>
      <c r="K3851" s="1" t="s">
        <v>25</v>
      </c>
      <c r="L3851">
        <v>-1.38</v>
      </c>
      <c r="M3851" t="str">
        <f t="shared" si="141"/>
        <v>44/40</v>
      </c>
      <c r="N3851" t="str">
        <f t="shared" si="142"/>
        <v>SW</v>
      </c>
      <c r="O3851" s="1" t="s">
        <v>25</v>
      </c>
      <c r="P3851" s="3" t="s">
        <v>25</v>
      </c>
      <c r="Q3851" s="37">
        <v>0.09</v>
      </c>
      <c r="R3851" t="str">
        <f t="shared" si="139"/>
        <v>mmol/mol</v>
      </c>
      <c r="S3851" s="13">
        <f t="shared" si="140"/>
        <v>-1.38</v>
      </c>
    </row>
    <row r="3852" spans="1:19">
      <c r="A3852" s="18" t="s">
        <v>3632</v>
      </c>
      <c r="B3852" s="1" t="s">
        <v>4004</v>
      </c>
      <c r="C3852" s="1" t="s">
        <v>4079</v>
      </c>
      <c r="D3852" s="1" t="s">
        <v>4080</v>
      </c>
      <c r="E3852" s="1" t="s">
        <v>25</v>
      </c>
      <c r="F3852">
        <v>635</v>
      </c>
      <c r="G3852">
        <v>635</v>
      </c>
      <c r="H3852" s="1" t="s">
        <v>25</v>
      </c>
      <c r="I3852" s="1" t="s">
        <v>1528</v>
      </c>
      <c r="J3852" s="1" t="s">
        <v>1491</v>
      </c>
      <c r="K3852" s="1" t="s">
        <v>25</v>
      </c>
      <c r="L3852">
        <v>-1.27</v>
      </c>
      <c r="M3852" t="str">
        <f t="shared" si="141"/>
        <v>44/40</v>
      </c>
      <c r="N3852" t="str">
        <f t="shared" si="142"/>
        <v>SW</v>
      </c>
      <c r="O3852" s="1" t="s">
        <v>25</v>
      </c>
      <c r="P3852" s="3" t="s">
        <v>25</v>
      </c>
      <c r="Q3852" s="37">
        <v>0.2</v>
      </c>
      <c r="R3852" t="str">
        <f t="shared" si="139"/>
        <v>mmol/mol</v>
      </c>
      <c r="S3852" s="13">
        <f t="shared" si="140"/>
        <v>-1.27</v>
      </c>
    </row>
    <row r="3853" spans="1:19">
      <c r="A3853" s="18" t="s">
        <v>3632</v>
      </c>
      <c r="B3853" s="1" t="s">
        <v>4005</v>
      </c>
      <c r="C3853" s="1" t="s">
        <v>4079</v>
      </c>
      <c r="D3853" s="1" t="s">
        <v>4080</v>
      </c>
      <c r="E3853" s="1" t="s">
        <v>25</v>
      </c>
      <c r="F3853">
        <v>635</v>
      </c>
      <c r="G3853">
        <v>635</v>
      </c>
      <c r="H3853" s="1" t="s">
        <v>25</v>
      </c>
      <c r="I3853" s="1" t="s">
        <v>1528</v>
      </c>
      <c r="J3853" s="1" t="s">
        <v>1491</v>
      </c>
      <c r="K3853" s="1" t="s">
        <v>25</v>
      </c>
      <c r="L3853">
        <v>-1.41</v>
      </c>
      <c r="M3853" t="str">
        <f t="shared" si="141"/>
        <v>44/40</v>
      </c>
      <c r="N3853" t="str">
        <f t="shared" si="142"/>
        <v>SW</v>
      </c>
      <c r="O3853" s="1" t="s">
        <v>25</v>
      </c>
      <c r="P3853" s="3" t="s">
        <v>25</v>
      </c>
      <c r="Q3853" s="37">
        <v>0.25</v>
      </c>
      <c r="R3853" t="str">
        <f t="shared" si="139"/>
        <v>mmol/mol</v>
      </c>
      <c r="S3853" s="13">
        <f t="shared" si="140"/>
        <v>-1.41</v>
      </c>
    </row>
    <row r="3854" spans="1:19">
      <c r="A3854" s="18" t="s">
        <v>3632</v>
      </c>
      <c r="B3854" s="1" t="s">
        <v>4006</v>
      </c>
      <c r="C3854" s="1" t="s">
        <v>4079</v>
      </c>
      <c r="D3854" s="1" t="s">
        <v>4080</v>
      </c>
      <c r="E3854" s="1" t="s">
        <v>25</v>
      </c>
      <c r="F3854">
        <v>635</v>
      </c>
      <c r="G3854">
        <v>635</v>
      </c>
      <c r="H3854" s="1" t="s">
        <v>25</v>
      </c>
      <c r="I3854" s="1" t="s">
        <v>1528</v>
      </c>
      <c r="J3854" s="1" t="s">
        <v>1491</v>
      </c>
      <c r="K3854" s="1" t="s">
        <v>25</v>
      </c>
      <c r="L3854">
        <v>-1.2</v>
      </c>
      <c r="M3854" t="str">
        <f t="shared" si="141"/>
        <v>44/40</v>
      </c>
      <c r="N3854" t="str">
        <f t="shared" si="142"/>
        <v>SW</v>
      </c>
      <c r="O3854" s="1" t="s">
        <v>25</v>
      </c>
      <c r="P3854" s="3" t="s">
        <v>25</v>
      </c>
      <c r="Q3854" s="37">
        <v>0.16</v>
      </c>
      <c r="R3854" t="str">
        <f t="shared" si="139"/>
        <v>mmol/mol</v>
      </c>
      <c r="S3854" s="13">
        <f t="shared" si="140"/>
        <v>-1.2</v>
      </c>
    </row>
    <row r="3855" spans="1:19">
      <c r="A3855" s="18" t="s">
        <v>3632</v>
      </c>
      <c r="B3855" s="1" t="s">
        <v>4007</v>
      </c>
      <c r="C3855" s="1" t="s">
        <v>4079</v>
      </c>
      <c r="D3855" s="1" t="s">
        <v>4080</v>
      </c>
      <c r="E3855" s="1" t="s">
        <v>25</v>
      </c>
      <c r="F3855">
        <v>635</v>
      </c>
      <c r="G3855">
        <v>635</v>
      </c>
      <c r="H3855" s="1" t="s">
        <v>25</v>
      </c>
      <c r="I3855" s="1" t="s">
        <v>1528</v>
      </c>
      <c r="J3855" s="1" t="s">
        <v>1491</v>
      </c>
      <c r="K3855" s="1" t="s">
        <v>25</v>
      </c>
      <c r="L3855">
        <v>-1.24</v>
      </c>
      <c r="M3855" t="str">
        <f t="shared" si="141"/>
        <v>44/40</v>
      </c>
      <c r="N3855" t="str">
        <f t="shared" si="142"/>
        <v>SW</v>
      </c>
      <c r="O3855" s="1" t="s">
        <v>25</v>
      </c>
      <c r="P3855" s="3" t="s">
        <v>25</v>
      </c>
      <c r="Q3855" s="37">
        <v>0.12</v>
      </c>
      <c r="R3855" t="str">
        <f t="shared" si="139"/>
        <v>mmol/mol</v>
      </c>
      <c r="S3855" s="13">
        <f t="shared" si="140"/>
        <v>-1.24</v>
      </c>
    </row>
    <row r="3856" spans="1:19">
      <c r="A3856" s="18" t="s">
        <v>3632</v>
      </c>
      <c r="B3856" s="1" t="s">
        <v>4008</v>
      </c>
      <c r="C3856" s="1" t="s">
        <v>4079</v>
      </c>
      <c r="D3856" s="1" t="s">
        <v>4080</v>
      </c>
      <c r="E3856" s="1" t="s">
        <v>25</v>
      </c>
      <c r="F3856">
        <v>635</v>
      </c>
      <c r="G3856">
        <v>635</v>
      </c>
      <c r="H3856" s="1" t="s">
        <v>25</v>
      </c>
      <c r="I3856" s="1" t="s">
        <v>1528</v>
      </c>
      <c r="J3856" s="1" t="s">
        <v>1491</v>
      </c>
      <c r="K3856" s="1" t="s">
        <v>25</v>
      </c>
      <c r="L3856">
        <v>-1.04</v>
      </c>
      <c r="M3856" t="str">
        <f t="shared" si="141"/>
        <v>44/40</v>
      </c>
      <c r="N3856" t="str">
        <f t="shared" si="142"/>
        <v>SW</v>
      </c>
      <c r="O3856" s="1" t="s">
        <v>25</v>
      </c>
      <c r="P3856" s="3" t="s">
        <v>25</v>
      </c>
      <c r="Q3856" s="37">
        <v>0.09</v>
      </c>
      <c r="R3856" t="str">
        <f t="shared" si="139"/>
        <v>mmol/mol</v>
      </c>
      <c r="S3856" s="13">
        <f t="shared" si="140"/>
        <v>-1.04</v>
      </c>
    </row>
    <row r="3857" spans="1:19">
      <c r="A3857" s="18" t="s">
        <v>3632</v>
      </c>
      <c r="B3857" s="1" t="s">
        <v>4009</v>
      </c>
      <c r="C3857" s="1" t="s">
        <v>4079</v>
      </c>
      <c r="D3857" s="1" t="s">
        <v>4080</v>
      </c>
      <c r="E3857" s="1" t="s">
        <v>25</v>
      </c>
      <c r="F3857">
        <v>635</v>
      </c>
      <c r="G3857">
        <v>635</v>
      </c>
      <c r="H3857" s="1" t="s">
        <v>25</v>
      </c>
      <c r="I3857" s="1" t="s">
        <v>1528</v>
      </c>
      <c r="J3857" s="1" t="s">
        <v>1491</v>
      </c>
      <c r="K3857" s="1" t="s">
        <v>25</v>
      </c>
      <c r="L3857">
        <v>-1.28</v>
      </c>
      <c r="M3857" t="str">
        <f t="shared" si="141"/>
        <v>44/40</v>
      </c>
      <c r="N3857" t="str">
        <f t="shared" si="142"/>
        <v>SW</v>
      </c>
      <c r="O3857" s="1" t="s">
        <v>25</v>
      </c>
      <c r="P3857" s="3" t="s">
        <v>25</v>
      </c>
      <c r="Q3857" s="37">
        <v>0.15</v>
      </c>
      <c r="R3857" t="str">
        <f t="shared" si="139"/>
        <v>mmol/mol</v>
      </c>
      <c r="S3857" s="13">
        <f t="shared" si="140"/>
        <v>-1.28</v>
      </c>
    </row>
    <row r="3858" spans="1:19">
      <c r="A3858" s="18" t="s">
        <v>3632</v>
      </c>
      <c r="B3858" s="1" t="s">
        <v>4010</v>
      </c>
      <c r="C3858" s="1" t="s">
        <v>4079</v>
      </c>
      <c r="D3858" s="1" t="s">
        <v>4080</v>
      </c>
      <c r="E3858" s="1" t="s">
        <v>25</v>
      </c>
      <c r="F3858">
        <v>635</v>
      </c>
      <c r="G3858">
        <v>635</v>
      </c>
      <c r="H3858" s="1" t="s">
        <v>25</v>
      </c>
      <c r="I3858" s="1" t="s">
        <v>1528</v>
      </c>
      <c r="J3858" s="1" t="s">
        <v>1491</v>
      </c>
      <c r="K3858" s="1" t="s">
        <v>25</v>
      </c>
      <c r="L3858">
        <v>-1.04</v>
      </c>
      <c r="M3858" t="str">
        <f t="shared" si="141"/>
        <v>44/40</v>
      </c>
      <c r="N3858" t="str">
        <f t="shared" si="142"/>
        <v>SW</v>
      </c>
      <c r="O3858" s="1" t="s">
        <v>25</v>
      </c>
      <c r="P3858" s="3" t="s">
        <v>25</v>
      </c>
      <c r="Q3858" s="37">
        <v>0.14000000000000001</v>
      </c>
      <c r="R3858" t="str">
        <f t="shared" si="139"/>
        <v>mmol/mol</v>
      </c>
      <c r="S3858" s="13">
        <f t="shared" si="140"/>
        <v>-1.04</v>
      </c>
    </row>
    <row r="3859" spans="1:19">
      <c r="A3859" s="18" t="s">
        <v>3632</v>
      </c>
      <c r="B3859" s="1" t="s">
        <v>4011</v>
      </c>
      <c r="C3859" s="1" t="s">
        <v>4079</v>
      </c>
      <c r="D3859" s="1" t="s">
        <v>4080</v>
      </c>
      <c r="E3859" s="1" t="s">
        <v>25</v>
      </c>
      <c r="F3859">
        <v>635</v>
      </c>
      <c r="G3859">
        <v>635</v>
      </c>
      <c r="H3859" s="1" t="s">
        <v>25</v>
      </c>
      <c r="I3859" s="1" t="s">
        <v>1528</v>
      </c>
      <c r="J3859" s="1" t="s">
        <v>1491</v>
      </c>
      <c r="K3859" s="1" t="s">
        <v>25</v>
      </c>
      <c r="L3859">
        <v>-0.96</v>
      </c>
      <c r="M3859" t="str">
        <f t="shared" si="141"/>
        <v>44/40</v>
      </c>
      <c r="N3859" t="str">
        <f t="shared" si="142"/>
        <v>SW</v>
      </c>
      <c r="O3859" s="1" t="s">
        <v>25</v>
      </c>
      <c r="P3859" s="3" t="s">
        <v>25</v>
      </c>
      <c r="Q3859" s="37">
        <v>0.08</v>
      </c>
      <c r="R3859" t="str">
        <f t="shared" si="139"/>
        <v>mmol/mol</v>
      </c>
      <c r="S3859" s="13">
        <f t="shared" si="140"/>
        <v>-0.96</v>
      </c>
    </row>
    <row r="3860" spans="1:19">
      <c r="A3860" s="18" t="s">
        <v>3632</v>
      </c>
      <c r="B3860" s="1" t="s">
        <v>4012</v>
      </c>
      <c r="C3860" s="1" t="s">
        <v>4079</v>
      </c>
      <c r="D3860" s="1" t="s">
        <v>4080</v>
      </c>
      <c r="E3860" s="1" t="s">
        <v>25</v>
      </c>
      <c r="F3860">
        <v>635</v>
      </c>
      <c r="G3860">
        <v>635</v>
      </c>
      <c r="H3860" s="1" t="s">
        <v>25</v>
      </c>
      <c r="I3860" s="1" t="s">
        <v>1528</v>
      </c>
      <c r="J3860" s="1" t="s">
        <v>1491</v>
      </c>
      <c r="K3860" s="1" t="s">
        <v>25</v>
      </c>
      <c r="L3860">
        <v>-0.89</v>
      </c>
      <c r="M3860" t="str">
        <f t="shared" si="141"/>
        <v>44/40</v>
      </c>
      <c r="N3860" t="str">
        <f t="shared" si="142"/>
        <v>SW</v>
      </c>
      <c r="O3860" s="1" t="s">
        <v>25</v>
      </c>
      <c r="P3860" s="3" t="s">
        <v>25</v>
      </c>
      <c r="Q3860" s="37">
        <v>0.06</v>
      </c>
      <c r="R3860" t="str">
        <f t="shared" si="139"/>
        <v>mmol/mol</v>
      </c>
      <c r="S3860" s="13">
        <f t="shared" si="140"/>
        <v>-0.89</v>
      </c>
    </row>
    <row r="3861" spans="1:19">
      <c r="A3861" s="18" t="s">
        <v>3632</v>
      </c>
      <c r="B3861" s="1" t="s">
        <v>4013</v>
      </c>
      <c r="C3861" s="1" t="s">
        <v>4079</v>
      </c>
      <c r="D3861" s="1" t="s">
        <v>4080</v>
      </c>
      <c r="E3861" s="1" t="s">
        <v>25</v>
      </c>
      <c r="F3861">
        <v>635</v>
      </c>
      <c r="G3861">
        <v>635</v>
      </c>
      <c r="H3861" s="1" t="s">
        <v>25</v>
      </c>
      <c r="I3861" s="1" t="s">
        <v>1528</v>
      </c>
      <c r="J3861" s="1" t="s">
        <v>1491</v>
      </c>
      <c r="K3861" s="1" t="s">
        <v>25</v>
      </c>
      <c r="L3861">
        <v>-0.91</v>
      </c>
      <c r="M3861" t="str">
        <f t="shared" si="141"/>
        <v>44/40</v>
      </c>
      <c r="N3861" t="str">
        <f t="shared" si="142"/>
        <v>SW</v>
      </c>
      <c r="O3861" s="1" t="s">
        <v>25</v>
      </c>
      <c r="P3861" s="3" t="s">
        <v>25</v>
      </c>
      <c r="Q3861" s="37">
        <v>0.12</v>
      </c>
      <c r="R3861" t="str">
        <f t="shared" si="139"/>
        <v>mmol/mol</v>
      </c>
      <c r="S3861" s="13">
        <f t="shared" si="140"/>
        <v>-0.91</v>
      </c>
    </row>
    <row r="3862" spans="1:19">
      <c r="A3862" s="18" t="s">
        <v>3632</v>
      </c>
      <c r="B3862" s="1" t="s">
        <v>4014</v>
      </c>
      <c r="C3862" s="1" t="s">
        <v>4079</v>
      </c>
      <c r="D3862" s="1" t="s">
        <v>4080</v>
      </c>
      <c r="E3862" s="1" t="s">
        <v>25</v>
      </c>
      <c r="F3862">
        <v>635</v>
      </c>
      <c r="G3862">
        <v>635</v>
      </c>
      <c r="H3862" s="1" t="s">
        <v>25</v>
      </c>
      <c r="I3862" s="1" t="s">
        <v>1528</v>
      </c>
      <c r="J3862" s="1" t="s">
        <v>1491</v>
      </c>
      <c r="K3862" s="1" t="s">
        <v>25</v>
      </c>
      <c r="L3862">
        <v>-0.88</v>
      </c>
      <c r="M3862" t="str">
        <f t="shared" si="141"/>
        <v>44/40</v>
      </c>
      <c r="N3862" t="str">
        <f t="shared" si="142"/>
        <v>SW</v>
      </c>
      <c r="O3862" s="1" t="s">
        <v>25</v>
      </c>
      <c r="P3862" s="3" t="s">
        <v>25</v>
      </c>
      <c r="Q3862" s="37">
        <v>0.11</v>
      </c>
      <c r="R3862" t="str">
        <f t="shared" si="139"/>
        <v>mmol/mol</v>
      </c>
      <c r="S3862" s="13">
        <f t="shared" si="140"/>
        <v>-0.88</v>
      </c>
    </row>
    <row r="3863" spans="1:19">
      <c r="A3863" s="18" t="s">
        <v>3632</v>
      </c>
      <c r="B3863" s="1" t="s">
        <v>4015</v>
      </c>
      <c r="C3863" s="1" t="s">
        <v>4079</v>
      </c>
      <c r="D3863" s="1" t="s">
        <v>4080</v>
      </c>
      <c r="E3863" s="1" t="s">
        <v>25</v>
      </c>
      <c r="F3863">
        <v>635</v>
      </c>
      <c r="G3863">
        <v>635</v>
      </c>
      <c r="H3863" s="1" t="s">
        <v>25</v>
      </c>
      <c r="I3863" s="1" t="s">
        <v>1528</v>
      </c>
      <c r="J3863" s="1" t="s">
        <v>1491</v>
      </c>
      <c r="K3863" s="1" t="s">
        <v>25</v>
      </c>
      <c r="L3863">
        <v>-0.91</v>
      </c>
      <c r="M3863" t="str">
        <f t="shared" si="141"/>
        <v>44/40</v>
      </c>
      <c r="N3863" t="str">
        <f t="shared" si="142"/>
        <v>SW</v>
      </c>
      <c r="O3863" s="1" t="s">
        <v>25</v>
      </c>
      <c r="P3863" s="3" t="s">
        <v>25</v>
      </c>
      <c r="Q3863" s="37">
        <v>0.1</v>
      </c>
      <c r="R3863" t="str">
        <f t="shared" si="139"/>
        <v>mmol/mol</v>
      </c>
      <c r="S3863" s="13">
        <f t="shared" si="140"/>
        <v>-0.91</v>
      </c>
    </row>
    <row r="3864" spans="1:19">
      <c r="A3864" s="18" t="s">
        <v>3632</v>
      </c>
      <c r="B3864" s="1" t="s">
        <v>4016</v>
      </c>
      <c r="C3864" s="1" t="s">
        <v>4079</v>
      </c>
      <c r="D3864" s="1" t="s">
        <v>4080</v>
      </c>
      <c r="E3864" s="1" t="s">
        <v>25</v>
      </c>
      <c r="F3864">
        <v>635</v>
      </c>
      <c r="G3864">
        <v>635</v>
      </c>
      <c r="H3864" s="1" t="s">
        <v>25</v>
      </c>
      <c r="I3864" s="1" t="s">
        <v>1528</v>
      </c>
      <c r="J3864" s="1" t="s">
        <v>1491</v>
      </c>
      <c r="K3864" s="1" t="s">
        <v>25</v>
      </c>
      <c r="L3864">
        <v>-1.1499999999999999</v>
      </c>
      <c r="M3864" t="str">
        <f t="shared" si="141"/>
        <v>44/40</v>
      </c>
      <c r="N3864" t="str">
        <f t="shared" si="142"/>
        <v>SW</v>
      </c>
      <c r="O3864" s="1" t="s">
        <v>25</v>
      </c>
      <c r="P3864" s="3" t="s">
        <v>25</v>
      </c>
      <c r="Q3864" s="37">
        <v>7.0000000000000007E-2</v>
      </c>
      <c r="R3864" t="str">
        <f t="shared" si="139"/>
        <v>mmol/mol</v>
      </c>
      <c r="S3864" s="13">
        <f t="shared" si="140"/>
        <v>-1.1499999999999999</v>
      </c>
    </row>
    <row r="3865" spans="1:19">
      <c r="A3865" s="18" t="s">
        <v>3632</v>
      </c>
      <c r="B3865" s="1" t="s">
        <v>4017</v>
      </c>
      <c r="C3865" s="1" t="s">
        <v>4079</v>
      </c>
      <c r="D3865" s="1" t="s">
        <v>4080</v>
      </c>
      <c r="E3865" s="1" t="s">
        <v>25</v>
      </c>
      <c r="F3865">
        <v>635</v>
      </c>
      <c r="G3865">
        <v>635</v>
      </c>
      <c r="H3865" s="1" t="s">
        <v>25</v>
      </c>
      <c r="I3865" s="1" t="s">
        <v>1528</v>
      </c>
      <c r="J3865" s="1" t="s">
        <v>1491</v>
      </c>
      <c r="K3865" s="1" t="s">
        <v>25</v>
      </c>
      <c r="L3865">
        <v>-1.29</v>
      </c>
      <c r="M3865" t="str">
        <f t="shared" si="141"/>
        <v>44/40</v>
      </c>
      <c r="N3865" t="str">
        <f t="shared" si="142"/>
        <v>SW</v>
      </c>
      <c r="O3865" s="1" t="s">
        <v>25</v>
      </c>
      <c r="P3865" s="3" t="s">
        <v>25</v>
      </c>
      <c r="Q3865" s="37">
        <v>0.13</v>
      </c>
      <c r="R3865" t="str">
        <f t="shared" ref="R3865:R3928" si="143">IF(Q3865="Na","Na","mmol/mol")</f>
        <v>mmol/mol</v>
      </c>
      <c r="S3865" s="13">
        <f t="shared" si="140"/>
        <v>-1.29</v>
      </c>
    </row>
    <row r="3866" spans="1:19">
      <c r="A3866" s="18" t="s">
        <v>3632</v>
      </c>
      <c r="B3866" s="1" t="s">
        <v>4018</v>
      </c>
      <c r="C3866" s="1" t="s">
        <v>4079</v>
      </c>
      <c r="D3866" s="1" t="s">
        <v>4080</v>
      </c>
      <c r="E3866" s="1" t="s">
        <v>25</v>
      </c>
      <c r="F3866">
        <v>635</v>
      </c>
      <c r="G3866">
        <v>635</v>
      </c>
      <c r="H3866" s="1" t="s">
        <v>25</v>
      </c>
      <c r="I3866" s="1" t="s">
        <v>1528</v>
      </c>
      <c r="J3866" s="1" t="s">
        <v>1491</v>
      </c>
      <c r="K3866" s="1" t="s">
        <v>25</v>
      </c>
      <c r="L3866">
        <v>-1.1399999999999999</v>
      </c>
      <c r="M3866" t="str">
        <f t="shared" si="141"/>
        <v>44/40</v>
      </c>
      <c r="N3866" t="str">
        <f t="shared" si="142"/>
        <v>SW</v>
      </c>
      <c r="O3866" s="1" t="s">
        <v>25</v>
      </c>
      <c r="P3866" s="3" t="s">
        <v>25</v>
      </c>
      <c r="Q3866" s="37">
        <v>0.12</v>
      </c>
      <c r="R3866" t="str">
        <f t="shared" si="143"/>
        <v>mmol/mol</v>
      </c>
      <c r="S3866" s="13">
        <f t="shared" si="140"/>
        <v>-1.1399999999999999</v>
      </c>
    </row>
    <row r="3867" spans="1:19">
      <c r="A3867" s="18" t="s">
        <v>3632</v>
      </c>
      <c r="B3867" s="1" t="s">
        <v>4019</v>
      </c>
      <c r="C3867" s="1" t="s">
        <v>4079</v>
      </c>
      <c r="D3867" s="1" t="s">
        <v>4080</v>
      </c>
      <c r="E3867" s="1" t="s">
        <v>25</v>
      </c>
      <c r="F3867">
        <v>635</v>
      </c>
      <c r="G3867">
        <v>635</v>
      </c>
      <c r="H3867" s="1" t="s">
        <v>25</v>
      </c>
      <c r="I3867" s="1" t="s">
        <v>1528</v>
      </c>
      <c r="J3867" s="1" t="s">
        <v>1491</v>
      </c>
      <c r="K3867" s="1" t="s">
        <v>25</v>
      </c>
      <c r="L3867">
        <v>-0.92</v>
      </c>
      <c r="M3867" t="str">
        <f t="shared" si="141"/>
        <v>44/40</v>
      </c>
      <c r="N3867" t="str">
        <f t="shared" si="142"/>
        <v>SW</v>
      </c>
      <c r="O3867" s="1" t="s">
        <v>25</v>
      </c>
      <c r="P3867" s="3" t="s">
        <v>25</v>
      </c>
      <c r="Q3867" s="37">
        <v>0.16</v>
      </c>
      <c r="R3867" t="str">
        <f t="shared" si="143"/>
        <v>mmol/mol</v>
      </c>
      <c r="S3867" s="13">
        <f t="shared" si="140"/>
        <v>-0.92</v>
      </c>
    </row>
    <row r="3868" spans="1:19">
      <c r="A3868" s="18" t="s">
        <v>3632</v>
      </c>
      <c r="B3868" s="1" t="s">
        <v>4020</v>
      </c>
      <c r="C3868" s="1" t="s">
        <v>4079</v>
      </c>
      <c r="D3868" s="1" t="s">
        <v>4080</v>
      </c>
      <c r="E3868" s="1" t="s">
        <v>25</v>
      </c>
      <c r="F3868">
        <v>635</v>
      </c>
      <c r="G3868">
        <v>635</v>
      </c>
      <c r="H3868" s="1" t="s">
        <v>25</v>
      </c>
      <c r="I3868" s="1" t="s">
        <v>1528</v>
      </c>
      <c r="J3868" s="1" t="s">
        <v>1491</v>
      </c>
      <c r="K3868" s="1" t="s">
        <v>25</v>
      </c>
      <c r="L3868">
        <v>-1.1399999999999999</v>
      </c>
      <c r="M3868" t="str">
        <f t="shared" si="141"/>
        <v>44/40</v>
      </c>
      <c r="N3868" t="str">
        <f t="shared" si="142"/>
        <v>SW</v>
      </c>
      <c r="O3868" s="1" t="s">
        <v>25</v>
      </c>
      <c r="P3868" s="3" t="s">
        <v>25</v>
      </c>
      <c r="Q3868" s="37">
        <v>0.34</v>
      </c>
      <c r="R3868" t="str">
        <f t="shared" si="143"/>
        <v>mmol/mol</v>
      </c>
      <c r="S3868" s="13">
        <f t="shared" si="140"/>
        <v>-1.1399999999999999</v>
      </c>
    </row>
    <row r="3869" spans="1:19">
      <c r="A3869" s="18" t="s">
        <v>3632</v>
      </c>
      <c r="B3869" s="1" t="s">
        <v>4021</v>
      </c>
      <c r="C3869" s="1" t="s">
        <v>2113</v>
      </c>
      <c r="D3869" s="1" t="s">
        <v>4088</v>
      </c>
      <c r="E3869" s="1" t="s">
        <v>25</v>
      </c>
      <c r="F3869">
        <v>635</v>
      </c>
      <c r="G3869">
        <v>635</v>
      </c>
      <c r="H3869" s="1" t="s">
        <v>25</v>
      </c>
      <c r="I3869" s="1" t="s">
        <v>1528</v>
      </c>
      <c r="J3869" s="1" t="s">
        <v>1491</v>
      </c>
      <c r="K3869" s="1" t="s">
        <v>25</v>
      </c>
      <c r="L3869">
        <v>-1.05</v>
      </c>
      <c r="M3869" t="str">
        <f t="shared" si="141"/>
        <v>44/40</v>
      </c>
      <c r="N3869" t="str">
        <f t="shared" si="142"/>
        <v>SW</v>
      </c>
      <c r="O3869" s="1" t="s">
        <v>25</v>
      </c>
      <c r="P3869" s="3" t="s">
        <v>25</v>
      </c>
      <c r="Q3869" s="37">
        <v>0.28999999999999998</v>
      </c>
      <c r="R3869" t="str">
        <f t="shared" si="143"/>
        <v>mmol/mol</v>
      </c>
      <c r="S3869" s="13">
        <f t="shared" si="140"/>
        <v>-1.05</v>
      </c>
    </row>
    <row r="3870" spans="1:19">
      <c r="A3870" s="18" t="s">
        <v>3632</v>
      </c>
      <c r="B3870" s="1" t="s">
        <v>4022</v>
      </c>
      <c r="C3870" s="1" t="s">
        <v>2113</v>
      </c>
      <c r="D3870" s="1" t="s">
        <v>4088</v>
      </c>
      <c r="E3870" s="1" t="s">
        <v>25</v>
      </c>
      <c r="F3870">
        <v>635</v>
      </c>
      <c r="G3870">
        <v>635</v>
      </c>
      <c r="H3870" s="1" t="s">
        <v>25</v>
      </c>
      <c r="I3870" s="1" t="s">
        <v>1528</v>
      </c>
      <c r="J3870" s="1" t="s">
        <v>1491</v>
      </c>
      <c r="K3870" s="1" t="s">
        <v>25</v>
      </c>
      <c r="L3870">
        <v>-1.06</v>
      </c>
      <c r="M3870" t="str">
        <f t="shared" si="141"/>
        <v>44/40</v>
      </c>
      <c r="N3870" t="str">
        <f t="shared" si="142"/>
        <v>SW</v>
      </c>
      <c r="O3870" s="1" t="s">
        <v>25</v>
      </c>
      <c r="P3870" s="3" t="s">
        <v>25</v>
      </c>
      <c r="Q3870" s="37">
        <v>0.25</v>
      </c>
      <c r="R3870" t="str">
        <f t="shared" si="143"/>
        <v>mmol/mol</v>
      </c>
      <c r="S3870" s="13">
        <f t="shared" si="140"/>
        <v>-1.06</v>
      </c>
    </row>
    <row r="3871" spans="1:19">
      <c r="A3871" s="18" t="s">
        <v>3632</v>
      </c>
      <c r="B3871" s="1" t="s">
        <v>4023</v>
      </c>
      <c r="C3871" s="1" t="s">
        <v>2113</v>
      </c>
      <c r="D3871" s="1" t="s">
        <v>4088</v>
      </c>
      <c r="E3871" s="1" t="s">
        <v>25</v>
      </c>
      <c r="F3871">
        <v>635</v>
      </c>
      <c r="G3871">
        <v>635</v>
      </c>
      <c r="H3871" s="1" t="s">
        <v>25</v>
      </c>
      <c r="I3871" s="1" t="s">
        <v>1528</v>
      </c>
      <c r="J3871" s="1" t="s">
        <v>1491</v>
      </c>
      <c r="K3871" s="1" t="s">
        <v>25</v>
      </c>
      <c r="L3871">
        <v>-1.0900000000000001</v>
      </c>
      <c r="M3871" t="str">
        <f t="shared" si="141"/>
        <v>44/40</v>
      </c>
      <c r="N3871" t="str">
        <f t="shared" si="142"/>
        <v>SW</v>
      </c>
      <c r="O3871" s="1" t="s">
        <v>25</v>
      </c>
      <c r="P3871" s="3" t="s">
        <v>25</v>
      </c>
      <c r="Q3871" s="37">
        <v>0.35</v>
      </c>
      <c r="R3871" t="str">
        <f t="shared" si="143"/>
        <v>mmol/mol</v>
      </c>
      <c r="S3871" s="13">
        <f t="shared" si="140"/>
        <v>-1.0900000000000001</v>
      </c>
    </row>
    <row r="3872" spans="1:19">
      <c r="A3872" s="18" t="s">
        <v>3632</v>
      </c>
      <c r="B3872" s="1" t="s">
        <v>4024</v>
      </c>
      <c r="C3872" s="1" t="s">
        <v>2113</v>
      </c>
      <c r="D3872" s="1" t="s">
        <v>4088</v>
      </c>
      <c r="E3872" s="1" t="s">
        <v>25</v>
      </c>
      <c r="F3872">
        <v>635</v>
      </c>
      <c r="G3872">
        <v>635</v>
      </c>
      <c r="H3872" s="1" t="s">
        <v>25</v>
      </c>
      <c r="I3872" s="1" t="s">
        <v>1528</v>
      </c>
      <c r="J3872" s="1" t="s">
        <v>1491</v>
      </c>
      <c r="K3872" s="1" t="s">
        <v>25</v>
      </c>
      <c r="L3872">
        <v>-0.96</v>
      </c>
      <c r="M3872" t="str">
        <f t="shared" si="141"/>
        <v>44/40</v>
      </c>
      <c r="N3872" t="str">
        <f t="shared" si="142"/>
        <v>SW</v>
      </c>
      <c r="O3872" s="1" t="s">
        <v>25</v>
      </c>
      <c r="P3872" s="3" t="s">
        <v>25</v>
      </c>
      <c r="Q3872" s="37">
        <v>0.34</v>
      </c>
      <c r="R3872" t="str">
        <f t="shared" si="143"/>
        <v>mmol/mol</v>
      </c>
      <c r="S3872" s="13">
        <f t="shared" si="140"/>
        <v>-0.96</v>
      </c>
    </row>
    <row r="3873" spans="1:19">
      <c r="A3873" s="18" t="s">
        <v>3632</v>
      </c>
      <c r="B3873" s="1" t="s">
        <v>4025</v>
      </c>
      <c r="C3873" s="1" t="s">
        <v>2113</v>
      </c>
      <c r="D3873" s="1" t="s">
        <v>4088</v>
      </c>
      <c r="E3873" s="1" t="s">
        <v>25</v>
      </c>
      <c r="F3873">
        <v>635</v>
      </c>
      <c r="G3873">
        <v>635</v>
      </c>
      <c r="H3873" s="1" t="s">
        <v>25</v>
      </c>
      <c r="I3873" s="1" t="s">
        <v>1528</v>
      </c>
      <c r="J3873" s="1" t="s">
        <v>1491</v>
      </c>
      <c r="K3873" s="1" t="s">
        <v>25</v>
      </c>
      <c r="L3873">
        <v>-1.1599999999999999</v>
      </c>
      <c r="M3873" t="str">
        <f t="shared" si="141"/>
        <v>44/40</v>
      </c>
      <c r="N3873" t="str">
        <f t="shared" si="142"/>
        <v>SW</v>
      </c>
      <c r="O3873" s="1" t="s">
        <v>25</v>
      </c>
      <c r="P3873" s="3" t="s">
        <v>25</v>
      </c>
      <c r="Q3873" s="37">
        <v>0.19</v>
      </c>
      <c r="R3873" t="str">
        <f t="shared" si="143"/>
        <v>mmol/mol</v>
      </c>
      <c r="S3873" s="13">
        <f t="shared" si="140"/>
        <v>-1.1599999999999999</v>
      </c>
    </row>
    <row r="3874" spans="1:19">
      <c r="A3874" s="18" t="s">
        <v>3632</v>
      </c>
      <c r="B3874" s="1" t="s">
        <v>4026</v>
      </c>
      <c r="C3874" s="1" t="s">
        <v>2113</v>
      </c>
      <c r="D3874" s="1" t="s">
        <v>4088</v>
      </c>
      <c r="E3874" s="1" t="s">
        <v>25</v>
      </c>
      <c r="F3874">
        <v>635</v>
      </c>
      <c r="G3874">
        <v>635</v>
      </c>
      <c r="H3874" s="1" t="s">
        <v>25</v>
      </c>
      <c r="I3874" s="1" t="s">
        <v>1528</v>
      </c>
      <c r="J3874" s="1" t="s">
        <v>1491</v>
      </c>
      <c r="K3874" s="1" t="s">
        <v>25</v>
      </c>
      <c r="L3874">
        <v>-1.1200000000000001</v>
      </c>
      <c r="M3874" t="str">
        <f t="shared" si="141"/>
        <v>44/40</v>
      </c>
      <c r="N3874" t="str">
        <f t="shared" si="142"/>
        <v>SW</v>
      </c>
      <c r="O3874" s="1" t="s">
        <v>25</v>
      </c>
      <c r="P3874" s="3" t="s">
        <v>25</v>
      </c>
      <c r="Q3874" s="37">
        <v>0.2</v>
      </c>
      <c r="R3874" t="str">
        <f t="shared" si="143"/>
        <v>mmol/mol</v>
      </c>
      <c r="S3874" s="13">
        <f t="shared" si="140"/>
        <v>-1.1200000000000001</v>
      </c>
    </row>
    <row r="3875" spans="1:19">
      <c r="A3875" s="18" t="s">
        <v>3632</v>
      </c>
      <c r="B3875" s="1" t="s">
        <v>4027</v>
      </c>
      <c r="C3875" s="1" t="s">
        <v>2113</v>
      </c>
      <c r="D3875" s="1" t="s">
        <v>4088</v>
      </c>
      <c r="E3875" s="1" t="s">
        <v>25</v>
      </c>
      <c r="F3875">
        <v>635</v>
      </c>
      <c r="G3875">
        <v>635</v>
      </c>
      <c r="H3875" s="1" t="s">
        <v>25</v>
      </c>
      <c r="I3875" s="1" t="s">
        <v>1528</v>
      </c>
      <c r="J3875" s="1" t="s">
        <v>1491</v>
      </c>
      <c r="K3875" s="1" t="s">
        <v>25</v>
      </c>
      <c r="L3875">
        <v>-1.1399999999999999</v>
      </c>
      <c r="M3875" t="str">
        <f t="shared" si="141"/>
        <v>44/40</v>
      </c>
      <c r="N3875" t="str">
        <f t="shared" si="142"/>
        <v>SW</v>
      </c>
      <c r="O3875" s="1" t="s">
        <v>25</v>
      </c>
      <c r="P3875" s="3" t="s">
        <v>25</v>
      </c>
      <c r="Q3875" s="37">
        <v>0.18</v>
      </c>
      <c r="R3875" t="str">
        <f t="shared" si="143"/>
        <v>mmol/mol</v>
      </c>
      <c r="S3875" s="13">
        <f t="shared" si="140"/>
        <v>-1.1399999999999999</v>
      </c>
    </row>
    <row r="3876" spans="1:19">
      <c r="A3876" s="18" t="s">
        <v>3632</v>
      </c>
      <c r="B3876" s="1" t="s">
        <v>4028</v>
      </c>
      <c r="C3876" s="1" t="s">
        <v>2113</v>
      </c>
      <c r="D3876" s="1" t="s">
        <v>4088</v>
      </c>
      <c r="E3876" s="1" t="s">
        <v>25</v>
      </c>
      <c r="F3876">
        <v>635</v>
      </c>
      <c r="G3876">
        <v>635</v>
      </c>
      <c r="H3876" s="1" t="s">
        <v>25</v>
      </c>
      <c r="I3876" s="1" t="s">
        <v>1528</v>
      </c>
      <c r="J3876" s="1" t="s">
        <v>1491</v>
      </c>
      <c r="K3876" s="1" t="s">
        <v>25</v>
      </c>
      <c r="L3876">
        <v>-1.06</v>
      </c>
      <c r="M3876" t="str">
        <f t="shared" si="141"/>
        <v>44/40</v>
      </c>
      <c r="N3876" t="str">
        <f t="shared" si="142"/>
        <v>SW</v>
      </c>
      <c r="O3876" s="1" t="s">
        <v>25</v>
      </c>
      <c r="P3876" s="3" t="s">
        <v>25</v>
      </c>
      <c r="Q3876" s="37">
        <v>0.18</v>
      </c>
      <c r="R3876" t="str">
        <f t="shared" si="143"/>
        <v>mmol/mol</v>
      </c>
      <c r="S3876" s="13">
        <f t="shared" si="140"/>
        <v>-1.06</v>
      </c>
    </row>
    <row r="3877" spans="1:19">
      <c r="A3877" s="18" t="s">
        <v>3632</v>
      </c>
      <c r="B3877" s="1" t="s">
        <v>4029</v>
      </c>
      <c r="C3877" s="1" t="s">
        <v>2113</v>
      </c>
      <c r="D3877" s="1" t="s">
        <v>4088</v>
      </c>
      <c r="E3877" s="1" t="s">
        <v>25</v>
      </c>
      <c r="F3877">
        <v>635</v>
      </c>
      <c r="G3877">
        <v>635</v>
      </c>
      <c r="H3877" s="1" t="s">
        <v>25</v>
      </c>
      <c r="I3877" s="1" t="s">
        <v>1528</v>
      </c>
      <c r="J3877" s="1" t="s">
        <v>1491</v>
      </c>
      <c r="K3877" s="1" t="s">
        <v>25</v>
      </c>
      <c r="L3877">
        <v>-1.19</v>
      </c>
      <c r="M3877" t="str">
        <f t="shared" si="141"/>
        <v>44/40</v>
      </c>
      <c r="N3877" t="str">
        <f t="shared" si="142"/>
        <v>SW</v>
      </c>
      <c r="O3877" s="1" t="s">
        <v>25</v>
      </c>
      <c r="P3877" s="3" t="s">
        <v>25</v>
      </c>
      <c r="Q3877" s="37">
        <v>0.2</v>
      </c>
      <c r="R3877" t="str">
        <f t="shared" si="143"/>
        <v>mmol/mol</v>
      </c>
      <c r="S3877" s="13">
        <f t="shared" si="140"/>
        <v>-1.19</v>
      </c>
    </row>
    <row r="3878" spans="1:19">
      <c r="A3878" s="18" t="s">
        <v>3632</v>
      </c>
      <c r="B3878" s="1" t="s">
        <v>4030</v>
      </c>
      <c r="C3878" s="1" t="s">
        <v>2113</v>
      </c>
      <c r="D3878" s="1" t="s">
        <v>4088</v>
      </c>
      <c r="E3878" s="1" t="s">
        <v>25</v>
      </c>
      <c r="F3878">
        <v>635</v>
      </c>
      <c r="G3878">
        <v>635</v>
      </c>
      <c r="H3878" s="1" t="s">
        <v>25</v>
      </c>
      <c r="I3878" s="1" t="s">
        <v>1528</v>
      </c>
      <c r="J3878" s="1" t="s">
        <v>1491</v>
      </c>
      <c r="K3878" s="1" t="s">
        <v>25</v>
      </c>
      <c r="L3878">
        <v>-1.0900000000000001</v>
      </c>
      <c r="M3878" t="str">
        <f t="shared" si="141"/>
        <v>44/40</v>
      </c>
      <c r="N3878" t="str">
        <f t="shared" si="142"/>
        <v>SW</v>
      </c>
      <c r="O3878" s="1" t="s">
        <v>25</v>
      </c>
      <c r="P3878" s="3" t="s">
        <v>25</v>
      </c>
      <c r="Q3878" s="37">
        <v>0.19</v>
      </c>
      <c r="R3878" t="str">
        <f t="shared" si="143"/>
        <v>mmol/mol</v>
      </c>
      <c r="S3878" s="13">
        <f t="shared" si="140"/>
        <v>-1.0900000000000001</v>
      </c>
    </row>
    <row r="3879" spans="1:19">
      <c r="A3879" s="18" t="s">
        <v>3632</v>
      </c>
      <c r="B3879" s="1" t="s">
        <v>4031</v>
      </c>
      <c r="C3879" s="1" t="s">
        <v>2113</v>
      </c>
      <c r="D3879" s="1" t="s">
        <v>4088</v>
      </c>
      <c r="E3879" s="1" t="s">
        <v>25</v>
      </c>
      <c r="F3879">
        <v>635</v>
      </c>
      <c r="G3879">
        <v>635</v>
      </c>
      <c r="H3879" s="1" t="s">
        <v>25</v>
      </c>
      <c r="I3879" s="1" t="s">
        <v>1528</v>
      </c>
      <c r="J3879" s="1" t="s">
        <v>1491</v>
      </c>
      <c r="K3879" s="1" t="s">
        <v>25</v>
      </c>
      <c r="L3879">
        <v>-1.08</v>
      </c>
      <c r="M3879" t="str">
        <f t="shared" si="141"/>
        <v>44/40</v>
      </c>
      <c r="N3879" t="str">
        <f t="shared" si="142"/>
        <v>SW</v>
      </c>
      <c r="O3879" s="1" t="s">
        <v>25</v>
      </c>
      <c r="P3879" s="3" t="s">
        <v>25</v>
      </c>
      <c r="Q3879" s="37">
        <v>0.19</v>
      </c>
      <c r="R3879" t="str">
        <f t="shared" si="143"/>
        <v>mmol/mol</v>
      </c>
      <c r="S3879" s="13">
        <f t="shared" si="140"/>
        <v>-1.08</v>
      </c>
    </row>
    <row r="3880" spans="1:19">
      <c r="A3880" s="18" t="s">
        <v>3632</v>
      </c>
      <c r="B3880" s="1" t="s">
        <v>4032</v>
      </c>
      <c r="C3880" s="1" t="s">
        <v>2113</v>
      </c>
      <c r="D3880" s="1" t="s">
        <v>4088</v>
      </c>
      <c r="E3880" s="1" t="s">
        <v>25</v>
      </c>
      <c r="F3880">
        <v>635</v>
      </c>
      <c r="G3880">
        <v>635</v>
      </c>
      <c r="H3880" s="1" t="s">
        <v>25</v>
      </c>
      <c r="I3880" s="1" t="s">
        <v>1528</v>
      </c>
      <c r="J3880" s="1" t="s">
        <v>1491</v>
      </c>
      <c r="K3880" s="1" t="s">
        <v>25</v>
      </c>
      <c r="L3880">
        <v>-1.02</v>
      </c>
      <c r="M3880" t="str">
        <f t="shared" si="141"/>
        <v>44/40</v>
      </c>
      <c r="N3880" t="str">
        <f t="shared" si="142"/>
        <v>SW</v>
      </c>
      <c r="O3880" s="1" t="s">
        <v>25</v>
      </c>
      <c r="P3880" s="3" t="s">
        <v>25</v>
      </c>
      <c r="Q3880" s="37">
        <v>0.19</v>
      </c>
      <c r="R3880" t="str">
        <f t="shared" si="143"/>
        <v>mmol/mol</v>
      </c>
      <c r="S3880" s="13">
        <f t="shared" si="140"/>
        <v>-1.02</v>
      </c>
    </row>
    <row r="3881" spans="1:19">
      <c r="A3881" s="18" t="s">
        <v>3632</v>
      </c>
      <c r="B3881" s="1" t="s">
        <v>4033</v>
      </c>
      <c r="C3881" s="1" t="s">
        <v>2113</v>
      </c>
      <c r="D3881" s="1" t="s">
        <v>4088</v>
      </c>
      <c r="E3881" s="1" t="s">
        <v>25</v>
      </c>
      <c r="F3881">
        <v>635</v>
      </c>
      <c r="G3881">
        <v>635</v>
      </c>
      <c r="H3881" s="1" t="s">
        <v>25</v>
      </c>
      <c r="I3881" s="1" t="s">
        <v>1528</v>
      </c>
      <c r="J3881" s="1" t="s">
        <v>1491</v>
      </c>
      <c r="K3881" s="1" t="s">
        <v>25</v>
      </c>
      <c r="L3881">
        <v>-1.17</v>
      </c>
      <c r="M3881" t="str">
        <f t="shared" si="141"/>
        <v>44/40</v>
      </c>
      <c r="N3881" t="str">
        <f t="shared" si="142"/>
        <v>SW</v>
      </c>
      <c r="O3881" s="1" t="s">
        <v>25</v>
      </c>
      <c r="P3881" s="3" t="s">
        <v>25</v>
      </c>
      <c r="Q3881" s="37">
        <v>0.18</v>
      </c>
      <c r="R3881" t="str">
        <f t="shared" si="143"/>
        <v>mmol/mol</v>
      </c>
      <c r="S3881" s="13">
        <f t="shared" si="140"/>
        <v>-1.17</v>
      </c>
    </row>
    <row r="3882" spans="1:19">
      <c r="A3882" s="18" t="s">
        <v>3632</v>
      </c>
      <c r="B3882" s="1" t="s">
        <v>4034</v>
      </c>
      <c r="C3882" s="1" t="s">
        <v>2113</v>
      </c>
      <c r="D3882" s="1" t="s">
        <v>4088</v>
      </c>
      <c r="E3882" s="1" t="s">
        <v>25</v>
      </c>
      <c r="F3882">
        <v>635</v>
      </c>
      <c r="G3882">
        <v>635</v>
      </c>
      <c r="H3882" s="1" t="s">
        <v>25</v>
      </c>
      <c r="I3882" s="1" t="s">
        <v>1528</v>
      </c>
      <c r="J3882" s="1" t="s">
        <v>1491</v>
      </c>
      <c r="K3882" s="1" t="s">
        <v>25</v>
      </c>
      <c r="L3882">
        <v>-1.1200000000000001</v>
      </c>
      <c r="M3882" t="str">
        <f t="shared" si="141"/>
        <v>44/40</v>
      </c>
      <c r="N3882" t="str">
        <f t="shared" si="142"/>
        <v>SW</v>
      </c>
      <c r="O3882" s="1" t="s">
        <v>25</v>
      </c>
      <c r="P3882" s="3" t="s">
        <v>25</v>
      </c>
      <c r="Q3882" s="37">
        <v>0.16</v>
      </c>
      <c r="R3882" t="str">
        <f t="shared" si="143"/>
        <v>mmol/mol</v>
      </c>
      <c r="S3882" s="13">
        <f t="shared" si="140"/>
        <v>-1.1200000000000001</v>
      </c>
    </row>
    <row r="3883" spans="1:19">
      <c r="A3883" s="18" t="s">
        <v>3632</v>
      </c>
      <c r="B3883" s="1" t="s">
        <v>4035</v>
      </c>
      <c r="C3883" s="1" t="s">
        <v>2113</v>
      </c>
      <c r="D3883" s="1" t="s">
        <v>4088</v>
      </c>
      <c r="E3883" s="1" t="s">
        <v>25</v>
      </c>
      <c r="F3883">
        <v>635</v>
      </c>
      <c r="G3883">
        <v>635</v>
      </c>
      <c r="H3883" s="1" t="s">
        <v>25</v>
      </c>
      <c r="I3883" s="1" t="s">
        <v>1528</v>
      </c>
      <c r="J3883" s="1" t="s">
        <v>1491</v>
      </c>
      <c r="K3883" s="1" t="s">
        <v>25</v>
      </c>
      <c r="L3883">
        <v>-1.1200000000000001</v>
      </c>
      <c r="M3883" t="str">
        <f t="shared" si="141"/>
        <v>44/40</v>
      </c>
      <c r="N3883" t="str">
        <f t="shared" si="142"/>
        <v>SW</v>
      </c>
      <c r="O3883" s="1" t="s">
        <v>25</v>
      </c>
      <c r="P3883" s="3" t="s">
        <v>25</v>
      </c>
      <c r="Q3883" s="37">
        <v>0.17</v>
      </c>
      <c r="R3883" t="str">
        <f t="shared" si="143"/>
        <v>mmol/mol</v>
      </c>
      <c r="S3883" s="13">
        <f t="shared" si="140"/>
        <v>-1.1200000000000001</v>
      </c>
    </row>
    <row r="3884" spans="1:19">
      <c r="A3884" s="18" t="s">
        <v>3632</v>
      </c>
      <c r="B3884" s="1" t="s">
        <v>4036</v>
      </c>
      <c r="C3884" s="1" t="s">
        <v>2113</v>
      </c>
      <c r="D3884" s="1" t="s">
        <v>4088</v>
      </c>
      <c r="E3884" s="1" t="s">
        <v>25</v>
      </c>
      <c r="F3884">
        <v>635</v>
      </c>
      <c r="G3884">
        <v>635</v>
      </c>
      <c r="H3884" s="1" t="s">
        <v>25</v>
      </c>
      <c r="I3884" s="1" t="s">
        <v>1528</v>
      </c>
      <c r="J3884" s="1" t="s">
        <v>1491</v>
      </c>
      <c r="K3884" s="1" t="s">
        <v>25</v>
      </c>
      <c r="L3884">
        <v>-1.1499999999999999</v>
      </c>
      <c r="M3884" t="str">
        <f t="shared" si="141"/>
        <v>44/40</v>
      </c>
      <c r="N3884" t="str">
        <f t="shared" si="142"/>
        <v>SW</v>
      </c>
      <c r="O3884" s="1" t="s">
        <v>25</v>
      </c>
      <c r="P3884" s="3" t="s">
        <v>25</v>
      </c>
      <c r="Q3884" s="37">
        <v>0.17</v>
      </c>
      <c r="R3884" t="str">
        <f t="shared" si="143"/>
        <v>mmol/mol</v>
      </c>
      <c r="S3884" s="13">
        <f t="shared" ref="S3884:S3947" si="144">IF(NOT(N3884="SW"),L3884-1.88,L3884)</f>
        <v>-1.1499999999999999</v>
      </c>
    </row>
    <row r="3885" spans="1:19">
      <c r="A3885" s="18" t="s">
        <v>3632</v>
      </c>
      <c r="B3885" s="1" t="s">
        <v>4037</v>
      </c>
      <c r="C3885" s="1" t="s">
        <v>2113</v>
      </c>
      <c r="D3885" s="1" t="s">
        <v>4088</v>
      </c>
      <c r="E3885" s="1" t="s">
        <v>25</v>
      </c>
      <c r="F3885">
        <v>635</v>
      </c>
      <c r="G3885">
        <v>635</v>
      </c>
      <c r="H3885" s="1" t="s">
        <v>25</v>
      </c>
      <c r="I3885" s="1" t="s">
        <v>1528</v>
      </c>
      <c r="J3885" s="1" t="s">
        <v>1491</v>
      </c>
      <c r="K3885" s="1" t="s">
        <v>25</v>
      </c>
      <c r="L3885">
        <v>-1.04</v>
      </c>
      <c r="M3885" t="str">
        <f t="shared" si="141"/>
        <v>44/40</v>
      </c>
      <c r="N3885" t="str">
        <f t="shared" si="142"/>
        <v>SW</v>
      </c>
      <c r="O3885" s="1" t="s">
        <v>25</v>
      </c>
      <c r="P3885" s="3" t="s">
        <v>25</v>
      </c>
      <c r="Q3885" s="37">
        <v>0.16</v>
      </c>
      <c r="R3885" t="str">
        <f t="shared" si="143"/>
        <v>mmol/mol</v>
      </c>
      <c r="S3885" s="13">
        <f t="shared" si="144"/>
        <v>-1.04</v>
      </c>
    </row>
    <row r="3886" spans="1:19">
      <c r="A3886" s="18" t="s">
        <v>3632</v>
      </c>
      <c r="B3886" s="1" t="s">
        <v>4038</v>
      </c>
      <c r="C3886" s="1" t="s">
        <v>2113</v>
      </c>
      <c r="D3886" s="1" t="s">
        <v>4088</v>
      </c>
      <c r="E3886" s="1" t="s">
        <v>25</v>
      </c>
      <c r="F3886">
        <v>635</v>
      </c>
      <c r="G3886">
        <v>635</v>
      </c>
      <c r="H3886" s="1" t="s">
        <v>25</v>
      </c>
      <c r="I3886" s="1" t="s">
        <v>1528</v>
      </c>
      <c r="J3886" s="1" t="s">
        <v>1491</v>
      </c>
      <c r="K3886" s="1" t="s">
        <v>25</v>
      </c>
      <c r="L3886">
        <v>-1.02</v>
      </c>
      <c r="M3886" t="str">
        <f t="shared" si="141"/>
        <v>44/40</v>
      </c>
      <c r="N3886" t="str">
        <f t="shared" si="142"/>
        <v>SW</v>
      </c>
      <c r="O3886" s="1" t="s">
        <v>25</v>
      </c>
      <c r="P3886" s="3" t="s">
        <v>25</v>
      </c>
      <c r="Q3886" s="37">
        <v>0.19</v>
      </c>
      <c r="R3886" t="str">
        <f t="shared" si="143"/>
        <v>mmol/mol</v>
      </c>
      <c r="S3886" s="13">
        <f t="shared" si="144"/>
        <v>-1.02</v>
      </c>
    </row>
    <row r="3887" spans="1:19">
      <c r="A3887" s="18" t="s">
        <v>3632</v>
      </c>
      <c r="B3887" s="1" t="s">
        <v>4039</v>
      </c>
      <c r="C3887" s="1" t="s">
        <v>2113</v>
      </c>
      <c r="D3887" s="1" t="s">
        <v>4088</v>
      </c>
      <c r="E3887" s="1" t="s">
        <v>25</v>
      </c>
      <c r="F3887">
        <v>635</v>
      </c>
      <c r="G3887">
        <v>635</v>
      </c>
      <c r="H3887" s="1" t="s">
        <v>25</v>
      </c>
      <c r="I3887" s="1" t="s">
        <v>1528</v>
      </c>
      <c r="J3887" s="1" t="s">
        <v>1491</v>
      </c>
      <c r="K3887" s="1" t="s">
        <v>25</v>
      </c>
      <c r="L3887">
        <v>-0.97</v>
      </c>
      <c r="M3887" t="str">
        <f t="shared" si="141"/>
        <v>44/40</v>
      </c>
      <c r="N3887" t="str">
        <f t="shared" si="142"/>
        <v>SW</v>
      </c>
      <c r="O3887" s="1" t="s">
        <v>25</v>
      </c>
      <c r="P3887" s="3" t="s">
        <v>25</v>
      </c>
      <c r="Q3887" s="37">
        <v>0.18</v>
      </c>
      <c r="R3887" t="str">
        <f t="shared" si="143"/>
        <v>mmol/mol</v>
      </c>
      <c r="S3887" s="13">
        <f t="shared" si="144"/>
        <v>-0.97</v>
      </c>
    </row>
    <row r="3888" spans="1:19">
      <c r="A3888" s="18" t="s">
        <v>3632</v>
      </c>
      <c r="B3888" s="1" t="s">
        <v>4040</v>
      </c>
      <c r="C3888" s="1" t="s">
        <v>2113</v>
      </c>
      <c r="D3888" s="1" t="s">
        <v>4088</v>
      </c>
      <c r="E3888" s="1" t="s">
        <v>25</v>
      </c>
      <c r="F3888">
        <v>635</v>
      </c>
      <c r="G3888">
        <v>635</v>
      </c>
      <c r="H3888" s="1" t="s">
        <v>25</v>
      </c>
      <c r="I3888" s="1" t="s">
        <v>1528</v>
      </c>
      <c r="J3888" s="1" t="s">
        <v>1491</v>
      </c>
      <c r="K3888" s="1" t="s">
        <v>25</v>
      </c>
      <c r="L3888">
        <v>-1.05</v>
      </c>
      <c r="M3888" t="str">
        <f t="shared" ref="M3888:M3951" si="145">IF(L3888="Na","Na","44/40")</f>
        <v>44/40</v>
      </c>
      <c r="N3888" t="str">
        <f t="shared" ref="N3888:N3951" si="146">IF(M3888="Na","Na","SW")</f>
        <v>SW</v>
      </c>
      <c r="O3888" s="1" t="s">
        <v>25</v>
      </c>
      <c r="P3888" s="3" t="s">
        <v>25</v>
      </c>
      <c r="Q3888" s="37">
        <v>0.28999999999999998</v>
      </c>
      <c r="R3888" t="str">
        <f t="shared" si="143"/>
        <v>mmol/mol</v>
      </c>
      <c r="S3888" s="13">
        <f t="shared" si="144"/>
        <v>-1.05</v>
      </c>
    </row>
    <row r="3889" spans="1:19">
      <c r="A3889" s="18" t="s">
        <v>3632</v>
      </c>
      <c r="B3889" s="1" t="s">
        <v>4041</v>
      </c>
      <c r="C3889" s="1" t="s">
        <v>2113</v>
      </c>
      <c r="D3889" s="1" t="s">
        <v>4088</v>
      </c>
      <c r="E3889" s="1" t="s">
        <v>25</v>
      </c>
      <c r="F3889">
        <v>635</v>
      </c>
      <c r="G3889">
        <v>635</v>
      </c>
      <c r="H3889" s="1" t="s">
        <v>25</v>
      </c>
      <c r="I3889" s="1" t="s">
        <v>1528</v>
      </c>
      <c r="J3889" s="1" t="s">
        <v>1491</v>
      </c>
      <c r="K3889" s="1" t="s">
        <v>25</v>
      </c>
      <c r="L3889">
        <v>-1.08</v>
      </c>
      <c r="M3889" t="str">
        <f t="shared" si="145"/>
        <v>44/40</v>
      </c>
      <c r="N3889" t="str">
        <f t="shared" si="146"/>
        <v>SW</v>
      </c>
      <c r="O3889" s="1" t="s">
        <v>25</v>
      </c>
      <c r="P3889" s="3" t="s">
        <v>25</v>
      </c>
      <c r="Q3889" s="37">
        <v>0.16</v>
      </c>
      <c r="R3889" t="str">
        <f t="shared" si="143"/>
        <v>mmol/mol</v>
      </c>
      <c r="S3889" s="13">
        <f t="shared" si="144"/>
        <v>-1.08</v>
      </c>
    </row>
    <row r="3890" spans="1:19">
      <c r="A3890" s="18" t="s">
        <v>3632</v>
      </c>
      <c r="B3890" s="1" t="s">
        <v>4042</v>
      </c>
      <c r="C3890" s="1" t="s">
        <v>2113</v>
      </c>
      <c r="D3890" s="1" t="s">
        <v>4088</v>
      </c>
      <c r="E3890" s="1" t="s">
        <v>25</v>
      </c>
      <c r="F3890">
        <v>635</v>
      </c>
      <c r="G3890">
        <v>635</v>
      </c>
      <c r="H3890" s="1" t="s">
        <v>25</v>
      </c>
      <c r="I3890" s="1" t="s">
        <v>1528</v>
      </c>
      <c r="J3890" s="1" t="s">
        <v>1491</v>
      </c>
      <c r="K3890" s="1" t="s">
        <v>25</v>
      </c>
      <c r="L3890">
        <v>-0.92</v>
      </c>
      <c r="M3890" t="str">
        <f t="shared" si="145"/>
        <v>44/40</v>
      </c>
      <c r="N3890" t="str">
        <f t="shared" si="146"/>
        <v>SW</v>
      </c>
      <c r="O3890" s="1" t="s">
        <v>25</v>
      </c>
      <c r="P3890" s="3" t="s">
        <v>25</v>
      </c>
      <c r="Q3890" s="37">
        <v>0.21</v>
      </c>
      <c r="R3890" t="str">
        <f t="shared" si="143"/>
        <v>mmol/mol</v>
      </c>
      <c r="S3890" s="13">
        <f t="shared" si="144"/>
        <v>-0.92</v>
      </c>
    </row>
    <row r="3891" spans="1:19">
      <c r="A3891" s="18" t="s">
        <v>3632</v>
      </c>
      <c r="B3891" s="1" t="s">
        <v>4043</v>
      </c>
      <c r="C3891" s="1" t="s">
        <v>2113</v>
      </c>
      <c r="D3891" s="1" t="s">
        <v>4088</v>
      </c>
      <c r="E3891" s="1" t="s">
        <v>25</v>
      </c>
      <c r="F3891">
        <v>635</v>
      </c>
      <c r="G3891">
        <v>635</v>
      </c>
      <c r="H3891" s="1" t="s">
        <v>25</v>
      </c>
      <c r="I3891" s="1" t="s">
        <v>1528</v>
      </c>
      <c r="J3891" s="1" t="s">
        <v>1491</v>
      </c>
      <c r="K3891" s="1" t="s">
        <v>25</v>
      </c>
      <c r="L3891">
        <v>-0.94</v>
      </c>
      <c r="M3891" t="str">
        <f t="shared" si="145"/>
        <v>44/40</v>
      </c>
      <c r="N3891" t="str">
        <f t="shared" si="146"/>
        <v>SW</v>
      </c>
      <c r="O3891" s="1" t="s">
        <v>25</v>
      </c>
      <c r="P3891" s="3" t="s">
        <v>25</v>
      </c>
      <c r="Q3891" s="37">
        <v>0.15</v>
      </c>
      <c r="R3891" t="str">
        <f t="shared" si="143"/>
        <v>mmol/mol</v>
      </c>
      <c r="S3891" s="13">
        <f t="shared" si="144"/>
        <v>-0.94</v>
      </c>
    </row>
    <row r="3892" spans="1:19">
      <c r="A3892" s="18" t="s">
        <v>3632</v>
      </c>
      <c r="B3892" s="1" t="s">
        <v>4044</v>
      </c>
      <c r="C3892" s="1" t="s">
        <v>2113</v>
      </c>
      <c r="D3892" s="1" t="s">
        <v>4088</v>
      </c>
      <c r="E3892" s="1" t="s">
        <v>25</v>
      </c>
      <c r="F3892">
        <v>635</v>
      </c>
      <c r="G3892">
        <v>635</v>
      </c>
      <c r="H3892" s="1" t="s">
        <v>25</v>
      </c>
      <c r="I3892" s="1" t="s">
        <v>1528</v>
      </c>
      <c r="J3892" s="1" t="s">
        <v>1491</v>
      </c>
      <c r="K3892" s="1" t="s">
        <v>25</v>
      </c>
      <c r="L3892">
        <v>-0.98</v>
      </c>
      <c r="M3892" t="str">
        <f t="shared" si="145"/>
        <v>44/40</v>
      </c>
      <c r="N3892" t="str">
        <f t="shared" si="146"/>
        <v>SW</v>
      </c>
      <c r="O3892" s="1" t="s">
        <v>25</v>
      </c>
      <c r="P3892" s="3" t="s">
        <v>25</v>
      </c>
      <c r="Q3892" s="37">
        <v>0.2</v>
      </c>
      <c r="R3892" t="str">
        <f t="shared" si="143"/>
        <v>mmol/mol</v>
      </c>
      <c r="S3892" s="13">
        <f t="shared" si="144"/>
        <v>-0.98</v>
      </c>
    </row>
    <row r="3893" spans="1:19">
      <c r="A3893" s="18" t="s">
        <v>3632</v>
      </c>
      <c r="B3893" s="1" t="s">
        <v>4045</v>
      </c>
      <c r="C3893" s="1" t="s">
        <v>2113</v>
      </c>
      <c r="D3893" s="1" t="s">
        <v>4088</v>
      </c>
      <c r="E3893" s="1" t="s">
        <v>25</v>
      </c>
      <c r="F3893">
        <v>635</v>
      </c>
      <c r="G3893">
        <v>635</v>
      </c>
      <c r="H3893" s="1" t="s">
        <v>25</v>
      </c>
      <c r="I3893" s="1" t="s">
        <v>1528</v>
      </c>
      <c r="J3893" s="1" t="s">
        <v>1491</v>
      </c>
      <c r="K3893" s="1" t="s">
        <v>25</v>
      </c>
      <c r="L3893">
        <v>-0.7</v>
      </c>
      <c r="M3893" t="str">
        <f t="shared" si="145"/>
        <v>44/40</v>
      </c>
      <c r="N3893" t="str">
        <f t="shared" si="146"/>
        <v>SW</v>
      </c>
      <c r="O3893" s="1" t="s">
        <v>25</v>
      </c>
      <c r="P3893" s="3" t="s">
        <v>25</v>
      </c>
      <c r="Q3893" s="37">
        <v>0.18</v>
      </c>
      <c r="R3893" t="str">
        <f t="shared" si="143"/>
        <v>mmol/mol</v>
      </c>
      <c r="S3893" s="13">
        <f t="shared" si="144"/>
        <v>-0.7</v>
      </c>
    </row>
    <row r="3894" spans="1:19">
      <c r="A3894" s="18" t="s">
        <v>3632</v>
      </c>
      <c r="B3894" s="1" t="s">
        <v>4046</v>
      </c>
      <c r="C3894" s="1" t="s">
        <v>2113</v>
      </c>
      <c r="D3894" s="1" t="s">
        <v>4088</v>
      </c>
      <c r="E3894" s="1" t="s">
        <v>25</v>
      </c>
      <c r="F3894">
        <v>635</v>
      </c>
      <c r="G3894">
        <v>635</v>
      </c>
      <c r="H3894" s="1" t="s">
        <v>25</v>
      </c>
      <c r="I3894" s="1" t="s">
        <v>1528</v>
      </c>
      <c r="J3894" s="1" t="s">
        <v>1491</v>
      </c>
      <c r="K3894" s="1" t="s">
        <v>25</v>
      </c>
      <c r="L3894">
        <v>-0.73</v>
      </c>
      <c r="M3894" t="str">
        <f t="shared" si="145"/>
        <v>44/40</v>
      </c>
      <c r="N3894" t="str">
        <f t="shared" si="146"/>
        <v>SW</v>
      </c>
      <c r="O3894" s="1" t="s">
        <v>25</v>
      </c>
      <c r="P3894" s="3" t="s">
        <v>25</v>
      </c>
      <c r="Q3894" s="37">
        <v>0.18</v>
      </c>
      <c r="R3894" t="str">
        <f t="shared" si="143"/>
        <v>mmol/mol</v>
      </c>
      <c r="S3894" s="13">
        <f t="shared" si="144"/>
        <v>-0.73</v>
      </c>
    </row>
    <row r="3895" spans="1:19">
      <c r="A3895" s="18" t="s">
        <v>3632</v>
      </c>
      <c r="B3895" s="1" t="s">
        <v>4047</v>
      </c>
      <c r="C3895" s="1" t="s">
        <v>2113</v>
      </c>
      <c r="D3895" s="1" t="s">
        <v>4088</v>
      </c>
      <c r="E3895" s="1" t="s">
        <v>25</v>
      </c>
      <c r="F3895">
        <v>635</v>
      </c>
      <c r="G3895">
        <v>635</v>
      </c>
      <c r="H3895" s="1" t="s">
        <v>25</v>
      </c>
      <c r="I3895" s="1" t="s">
        <v>1528</v>
      </c>
      <c r="J3895" s="1" t="s">
        <v>1491</v>
      </c>
      <c r="K3895" s="1" t="s">
        <v>25</v>
      </c>
      <c r="L3895">
        <v>-0.82</v>
      </c>
      <c r="M3895" t="str">
        <f t="shared" si="145"/>
        <v>44/40</v>
      </c>
      <c r="N3895" t="str">
        <f t="shared" si="146"/>
        <v>SW</v>
      </c>
      <c r="O3895" s="1" t="s">
        <v>25</v>
      </c>
      <c r="P3895" s="3" t="s">
        <v>25</v>
      </c>
      <c r="Q3895" s="37">
        <v>0.21</v>
      </c>
      <c r="R3895" t="str">
        <f t="shared" si="143"/>
        <v>mmol/mol</v>
      </c>
      <c r="S3895" s="13">
        <f t="shared" si="144"/>
        <v>-0.82</v>
      </c>
    </row>
    <row r="3896" spans="1:19">
      <c r="A3896" s="18" t="s">
        <v>3632</v>
      </c>
      <c r="B3896" s="1" t="s">
        <v>4048</v>
      </c>
      <c r="C3896" s="1" t="s">
        <v>2113</v>
      </c>
      <c r="D3896" s="1" t="s">
        <v>4088</v>
      </c>
      <c r="E3896" s="1" t="s">
        <v>25</v>
      </c>
      <c r="F3896">
        <v>635</v>
      </c>
      <c r="G3896">
        <v>635</v>
      </c>
      <c r="H3896" s="1" t="s">
        <v>25</v>
      </c>
      <c r="I3896" s="1" t="s">
        <v>1528</v>
      </c>
      <c r="J3896" s="1" t="s">
        <v>1491</v>
      </c>
      <c r="K3896" s="1" t="s">
        <v>25</v>
      </c>
      <c r="L3896">
        <v>-0.77</v>
      </c>
      <c r="M3896" t="str">
        <f t="shared" si="145"/>
        <v>44/40</v>
      </c>
      <c r="N3896" t="str">
        <f t="shared" si="146"/>
        <v>SW</v>
      </c>
      <c r="O3896" s="1" t="s">
        <v>25</v>
      </c>
      <c r="P3896" s="3" t="s">
        <v>25</v>
      </c>
      <c r="Q3896" s="37">
        <v>0.18</v>
      </c>
      <c r="R3896" t="str">
        <f t="shared" si="143"/>
        <v>mmol/mol</v>
      </c>
      <c r="S3896" s="13">
        <f t="shared" si="144"/>
        <v>-0.77</v>
      </c>
    </row>
    <row r="3897" spans="1:19">
      <c r="A3897" s="18" t="s">
        <v>3632</v>
      </c>
      <c r="B3897" s="1" t="s">
        <v>4049</v>
      </c>
      <c r="C3897" s="1" t="s">
        <v>2113</v>
      </c>
      <c r="D3897" s="1" t="s">
        <v>4088</v>
      </c>
      <c r="E3897" s="1" t="s">
        <v>25</v>
      </c>
      <c r="F3897">
        <v>635</v>
      </c>
      <c r="G3897">
        <v>635</v>
      </c>
      <c r="H3897" s="1" t="s">
        <v>25</v>
      </c>
      <c r="I3897" s="1" t="s">
        <v>1528</v>
      </c>
      <c r="J3897" s="1" t="s">
        <v>1491</v>
      </c>
      <c r="K3897" s="1" t="s">
        <v>25</v>
      </c>
      <c r="L3897">
        <v>-1</v>
      </c>
      <c r="M3897" t="str">
        <f t="shared" si="145"/>
        <v>44/40</v>
      </c>
      <c r="N3897" t="str">
        <f t="shared" si="146"/>
        <v>SW</v>
      </c>
      <c r="O3897" s="1" t="s">
        <v>25</v>
      </c>
      <c r="P3897" s="3" t="s">
        <v>25</v>
      </c>
      <c r="Q3897" s="37">
        <v>0.22</v>
      </c>
      <c r="R3897" t="str">
        <f t="shared" si="143"/>
        <v>mmol/mol</v>
      </c>
      <c r="S3897" s="13">
        <f t="shared" si="144"/>
        <v>-1</v>
      </c>
    </row>
    <row r="3898" spans="1:19">
      <c r="A3898" s="18" t="s">
        <v>3632</v>
      </c>
      <c r="B3898" s="1" t="s">
        <v>4050</v>
      </c>
      <c r="C3898" s="1" t="s">
        <v>2113</v>
      </c>
      <c r="D3898" s="1" t="s">
        <v>4088</v>
      </c>
      <c r="E3898" s="1" t="s">
        <v>25</v>
      </c>
      <c r="F3898">
        <v>635</v>
      </c>
      <c r="G3898">
        <v>635</v>
      </c>
      <c r="H3898" s="1" t="s">
        <v>25</v>
      </c>
      <c r="I3898" s="1" t="s">
        <v>1528</v>
      </c>
      <c r="J3898" s="1" t="s">
        <v>1491</v>
      </c>
      <c r="K3898" s="1" t="s">
        <v>25</v>
      </c>
      <c r="L3898">
        <v>-0.89</v>
      </c>
      <c r="M3898" t="str">
        <f t="shared" si="145"/>
        <v>44/40</v>
      </c>
      <c r="N3898" t="str">
        <f t="shared" si="146"/>
        <v>SW</v>
      </c>
      <c r="O3898" s="1" t="s">
        <v>25</v>
      </c>
      <c r="P3898" s="3" t="s">
        <v>25</v>
      </c>
      <c r="Q3898" s="37">
        <v>0.22</v>
      </c>
      <c r="R3898" t="str">
        <f t="shared" si="143"/>
        <v>mmol/mol</v>
      </c>
      <c r="S3898" s="13">
        <f t="shared" si="144"/>
        <v>-0.89</v>
      </c>
    </row>
    <row r="3899" spans="1:19">
      <c r="A3899" s="18" t="s">
        <v>3632</v>
      </c>
      <c r="B3899" s="1" t="s">
        <v>4051</v>
      </c>
      <c r="C3899" s="1" t="s">
        <v>2113</v>
      </c>
      <c r="D3899" s="1" t="s">
        <v>4088</v>
      </c>
      <c r="E3899" s="1" t="s">
        <v>25</v>
      </c>
      <c r="F3899">
        <v>635</v>
      </c>
      <c r="G3899">
        <v>635</v>
      </c>
      <c r="H3899" s="1" t="s">
        <v>25</v>
      </c>
      <c r="I3899" s="1" t="s">
        <v>1528</v>
      </c>
      <c r="J3899" s="1" t="s">
        <v>1491</v>
      </c>
      <c r="K3899" s="1" t="s">
        <v>25</v>
      </c>
      <c r="L3899">
        <v>-1.07</v>
      </c>
      <c r="M3899" t="str">
        <f t="shared" si="145"/>
        <v>44/40</v>
      </c>
      <c r="N3899" t="str">
        <f t="shared" si="146"/>
        <v>SW</v>
      </c>
      <c r="O3899" s="1" t="s">
        <v>25</v>
      </c>
      <c r="P3899" s="3" t="s">
        <v>25</v>
      </c>
      <c r="Q3899" s="37">
        <v>0.18</v>
      </c>
      <c r="R3899" t="str">
        <f t="shared" si="143"/>
        <v>mmol/mol</v>
      </c>
      <c r="S3899" s="13">
        <f t="shared" si="144"/>
        <v>-1.07</v>
      </c>
    </row>
    <row r="3900" spans="1:19">
      <c r="A3900" s="18" t="s">
        <v>3632</v>
      </c>
      <c r="B3900" s="1" t="s">
        <v>4052</v>
      </c>
      <c r="C3900" s="1" t="s">
        <v>2113</v>
      </c>
      <c r="D3900" s="1" t="s">
        <v>4088</v>
      </c>
      <c r="E3900" s="1" t="s">
        <v>25</v>
      </c>
      <c r="F3900">
        <v>635</v>
      </c>
      <c r="G3900">
        <v>635</v>
      </c>
      <c r="H3900" s="1" t="s">
        <v>25</v>
      </c>
      <c r="I3900" s="1" t="s">
        <v>1528</v>
      </c>
      <c r="J3900" s="1" t="s">
        <v>1491</v>
      </c>
      <c r="K3900" s="1" t="s">
        <v>25</v>
      </c>
      <c r="L3900">
        <v>-1.08</v>
      </c>
      <c r="M3900" t="str">
        <f t="shared" si="145"/>
        <v>44/40</v>
      </c>
      <c r="N3900" t="str">
        <f t="shared" si="146"/>
        <v>SW</v>
      </c>
      <c r="O3900" s="1" t="s">
        <v>25</v>
      </c>
      <c r="P3900" s="3" t="s">
        <v>25</v>
      </c>
      <c r="Q3900" s="37">
        <v>0.21</v>
      </c>
      <c r="R3900" t="str">
        <f t="shared" si="143"/>
        <v>mmol/mol</v>
      </c>
      <c r="S3900" s="13">
        <f t="shared" si="144"/>
        <v>-1.08</v>
      </c>
    </row>
    <row r="3901" spans="1:19">
      <c r="A3901" s="18" t="s">
        <v>3632</v>
      </c>
      <c r="B3901" s="1" t="s">
        <v>4053</v>
      </c>
      <c r="C3901" s="1" t="s">
        <v>2113</v>
      </c>
      <c r="D3901" s="1" t="s">
        <v>4088</v>
      </c>
      <c r="E3901" s="1" t="s">
        <v>25</v>
      </c>
      <c r="F3901">
        <v>635</v>
      </c>
      <c r="G3901">
        <v>635</v>
      </c>
      <c r="H3901" s="1" t="s">
        <v>25</v>
      </c>
      <c r="I3901" s="1" t="s">
        <v>1528</v>
      </c>
      <c r="J3901" s="1" t="s">
        <v>1491</v>
      </c>
      <c r="K3901" s="1" t="s">
        <v>25</v>
      </c>
      <c r="L3901">
        <v>-0.89</v>
      </c>
      <c r="M3901" t="str">
        <f t="shared" si="145"/>
        <v>44/40</v>
      </c>
      <c r="N3901" t="str">
        <f t="shared" si="146"/>
        <v>SW</v>
      </c>
      <c r="O3901" s="1" t="s">
        <v>25</v>
      </c>
      <c r="P3901" s="3" t="s">
        <v>25</v>
      </c>
      <c r="Q3901" s="37">
        <v>0.24</v>
      </c>
      <c r="R3901" t="str">
        <f t="shared" si="143"/>
        <v>mmol/mol</v>
      </c>
      <c r="S3901" s="13">
        <f t="shared" si="144"/>
        <v>-0.89</v>
      </c>
    </row>
    <row r="3902" spans="1:19">
      <c r="A3902" s="18" t="s">
        <v>3632</v>
      </c>
      <c r="B3902" s="1" t="s">
        <v>4054</v>
      </c>
      <c r="C3902" s="1" t="s">
        <v>2113</v>
      </c>
      <c r="D3902" s="1" t="s">
        <v>4088</v>
      </c>
      <c r="E3902" s="1" t="s">
        <v>25</v>
      </c>
      <c r="F3902">
        <v>635</v>
      </c>
      <c r="G3902">
        <v>635</v>
      </c>
      <c r="H3902" s="1" t="s">
        <v>25</v>
      </c>
      <c r="I3902" s="1" t="s">
        <v>1528</v>
      </c>
      <c r="J3902" s="1" t="s">
        <v>1491</v>
      </c>
      <c r="K3902" s="1" t="s">
        <v>25</v>
      </c>
      <c r="L3902">
        <v>-1.1200000000000001</v>
      </c>
      <c r="M3902" t="str">
        <f t="shared" si="145"/>
        <v>44/40</v>
      </c>
      <c r="N3902" t="str">
        <f t="shared" si="146"/>
        <v>SW</v>
      </c>
      <c r="O3902" s="1" t="s">
        <v>25</v>
      </c>
      <c r="P3902" s="3" t="s">
        <v>25</v>
      </c>
      <c r="Q3902" s="37">
        <v>0.23</v>
      </c>
      <c r="R3902" t="str">
        <f t="shared" si="143"/>
        <v>mmol/mol</v>
      </c>
      <c r="S3902" s="13">
        <f t="shared" si="144"/>
        <v>-1.1200000000000001</v>
      </c>
    </row>
    <row r="3903" spans="1:19">
      <c r="A3903" s="18" t="s">
        <v>3632</v>
      </c>
      <c r="B3903" s="1" t="s">
        <v>4055</v>
      </c>
      <c r="C3903" s="1" t="s">
        <v>2113</v>
      </c>
      <c r="D3903" s="1" t="s">
        <v>4088</v>
      </c>
      <c r="E3903" s="1" t="s">
        <v>25</v>
      </c>
      <c r="F3903">
        <v>635</v>
      </c>
      <c r="G3903">
        <v>635</v>
      </c>
      <c r="H3903" s="1" t="s">
        <v>25</v>
      </c>
      <c r="I3903" s="1" t="s">
        <v>1528</v>
      </c>
      <c r="J3903" s="1" t="s">
        <v>1491</v>
      </c>
      <c r="K3903" s="1" t="s">
        <v>25</v>
      </c>
      <c r="L3903">
        <v>-1</v>
      </c>
      <c r="M3903" t="str">
        <f t="shared" si="145"/>
        <v>44/40</v>
      </c>
      <c r="N3903" t="str">
        <f t="shared" si="146"/>
        <v>SW</v>
      </c>
      <c r="O3903" s="1" t="s">
        <v>25</v>
      </c>
      <c r="P3903" s="3" t="s">
        <v>25</v>
      </c>
      <c r="Q3903" s="37">
        <v>0.23</v>
      </c>
      <c r="R3903" t="str">
        <f t="shared" si="143"/>
        <v>mmol/mol</v>
      </c>
      <c r="S3903" s="13">
        <f t="shared" si="144"/>
        <v>-1</v>
      </c>
    </row>
    <row r="3904" spans="1:19">
      <c r="A3904" s="18" t="s">
        <v>3632</v>
      </c>
      <c r="B3904" s="1" t="s">
        <v>4056</v>
      </c>
      <c r="C3904" s="1" t="s">
        <v>2113</v>
      </c>
      <c r="D3904" s="1" t="s">
        <v>4088</v>
      </c>
      <c r="E3904" s="1" t="s">
        <v>25</v>
      </c>
      <c r="F3904">
        <v>635</v>
      </c>
      <c r="G3904">
        <v>635</v>
      </c>
      <c r="H3904" s="1" t="s">
        <v>25</v>
      </c>
      <c r="I3904" s="1" t="s">
        <v>1528</v>
      </c>
      <c r="J3904" s="1" t="s">
        <v>1491</v>
      </c>
      <c r="K3904" s="1" t="s">
        <v>25</v>
      </c>
      <c r="L3904">
        <v>-0.74</v>
      </c>
      <c r="M3904" t="str">
        <f t="shared" si="145"/>
        <v>44/40</v>
      </c>
      <c r="N3904" t="str">
        <f t="shared" si="146"/>
        <v>SW</v>
      </c>
      <c r="O3904" s="1" t="s">
        <v>25</v>
      </c>
      <c r="P3904" s="3" t="s">
        <v>25</v>
      </c>
      <c r="Q3904" s="37">
        <v>0.14000000000000001</v>
      </c>
      <c r="R3904" t="str">
        <f t="shared" si="143"/>
        <v>mmol/mol</v>
      </c>
      <c r="S3904" s="13">
        <f t="shared" si="144"/>
        <v>-0.74</v>
      </c>
    </row>
    <row r="3905" spans="1:19">
      <c r="A3905" s="18" t="s">
        <v>3632</v>
      </c>
      <c r="B3905" s="1" t="s">
        <v>4057</v>
      </c>
      <c r="C3905" s="1" t="s">
        <v>2113</v>
      </c>
      <c r="D3905" s="1" t="s">
        <v>4088</v>
      </c>
      <c r="E3905" s="1" t="s">
        <v>25</v>
      </c>
      <c r="F3905">
        <v>635</v>
      </c>
      <c r="G3905">
        <v>635</v>
      </c>
      <c r="H3905" s="1" t="s">
        <v>25</v>
      </c>
      <c r="I3905" s="1" t="s">
        <v>1528</v>
      </c>
      <c r="J3905" s="1" t="s">
        <v>1491</v>
      </c>
      <c r="K3905" s="1" t="s">
        <v>25</v>
      </c>
      <c r="L3905">
        <v>-1.04</v>
      </c>
      <c r="M3905" t="str">
        <f t="shared" si="145"/>
        <v>44/40</v>
      </c>
      <c r="N3905" t="str">
        <f t="shared" si="146"/>
        <v>SW</v>
      </c>
      <c r="O3905" s="1" t="s">
        <v>25</v>
      </c>
      <c r="P3905" s="3" t="s">
        <v>25</v>
      </c>
      <c r="Q3905" s="37">
        <v>0.26</v>
      </c>
      <c r="R3905" t="str">
        <f t="shared" si="143"/>
        <v>mmol/mol</v>
      </c>
      <c r="S3905" s="13">
        <f t="shared" si="144"/>
        <v>-1.04</v>
      </c>
    </row>
    <row r="3906" spans="1:19">
      <c r="A3906" s="18" t="s">
        <v>3632</v>
      </c>
      <c r="B3906" s="1" t="s">
        <v>4058</v>
      </c>
      <c r="C3906" s="1" t="s">
        <v>2113</v>
      </c>
      <c r="D3906" s="1" t="s">
        <v>4088</v>
      </c>
      <c r="E3906" s="1" t="s">
        <v>25</v>
      </c>
      <c r="F3906">
        <v>635</v>
      </c>
      <c r="G3906">
        <v>635</v>
      </c>
      <c r="H3906" s="1" t="s">
        <v>25</v>
      </c>
      <c r="I3906" s="1" t="s">
        <v>1528</v>
      </c>
      <c r="J3906" s="1" t="s">
        <v>1491</v>
      </c>
      <c r="K3906" s="1" t="s">
        <v>25</v>
      </c>
      <c r="L3906">
        <v>-0.77</v>
      </c>
      <c r="M3906" t="str">
        <f t="shared" si="145"/>
        <v>44/40</v>
      </c>
      <c r="N3906" t="str">
        <f t="shared" si="146"/>
        <v>SW</v>
      </c>
      <c r="O3906" s="1" t="s">
        <v>25</v>
      </c>
      <c r="P3906" s="3" t="s">
        <v>25</v>
      </c>
      <c r="Q3906" s="37">
        <v>0.16</v>
      </c>
      <c r="R3906" t="str">
        <f t="shared" si="143"/>
        <v>mmol/mol</v>
      </c>
      <c r="S3906" s="13">
        <f t="shared" si="144"/>
        <v>-0.77</v>
      </c>
    </row>
    <row r="3907" spans="1:19">
      <c r="A3907" s="18" t="s">
        <v>3632</v>
      </c>
      <c r="B3907" s="1" t="s">
        <v>4059</v>
      </c>
      <c r="C3907" s="1" t="s">
        <v>2113</v>
      </c>
      <c r="D3907" s="1" t="s">
        <v>4088</v>
      </c>
      <c r="E3907" s="1" t="s">
        <v>25</v>
      </c>
      <c r="F3907">
        <v>635</v>
      </c>
      <c r="G3907">
        <v>635</v>
      </c>
      <c r="H3907" s="1" t="s">
        <v>25</v>
      </c>
      <c r="I3907" s="1" t="s">
        <v>1528</v>
      </c>
      <c r="J3907" s="1" t="s">
        <v>1491</v>
      </c>
      <c r="K3907" s="1" t="s">
        <v>25</v>
      </c>
      <c r="L3907">
        <v>-1.08</v>
      </c>
      <c r="M3907" t="str">
        <f t="shared" si="145"/>
        <v>44/40</v>
      </c>
      <c r="N3907" t="str">
        <f t="shared" si="146"/>
        <v>SW</v>
      </c>
      <c r="O3907" s="1" t="s">
        <v>25</v>
      </c>
      <c r="P3907" s="3" t="s">
        <v>25</v>
      </c>
      <c r="Q3907" s="37">
        <v>0.13</v>
      </c>
      <c r="R3907" t="str">
        <f t="shared" si="143"/>
        <v>mmol/mol</v>
      </c>
      <c r="S3907" s="13">
        <f t="shared" si="144"/>
        <v>-1.08</v>
      </c>
    </row>
    <row r="3908" spans="1:19">
      <c r="A3908" s="18" t="s">
        <v>3632</v>
      </c>
      <c r="B3908" s="1" t="s">
        <v>4060</v>
      </c>
      <c r="C3908" s="1" t="s">
        <v>2113</v>
      </c>
      <c r="D3908" s="1" t="s">
        <v>4088</v>
      </c>
      <c r="E3908" s="1" t="s">
        <v>25</v>
      </c>
      <c r="F3908">
        <v>635</v>
      </c>
      <c r="G3908">
        <v>635</v>
      </c>
      <c r="H3908" s="1" t="s">
        <v>25</v>
      </c>
      <c r="I3908" s="1" t="s">
        <v>1528</v>
      </c>
      <c r="J3908" s="1" t="s">
        <v>1491</v>
      </c>
      <c r="K3908" s="1" t="s">
        <v>25</v>
      </c>
      <c r="L3908">
        <v>-1.07</v>
      </c>
      <c r="M3908" t="str">
        <f t="shared" si="145"/>
        <v>44/40</v>
      </c>
      <c r="N3908" t="str">
        <f t="shared" si="146"/>
        <v>SW</v>
      </c>
      <c r="O3908" s="1" t="s">
        <v>25</v>
      </c>
      <c r="P3908" s="3" t="s">
        <v>25</v>
      </c>
      <c r="Q3908" s="37">
        <v>0.17</v>
      </c>
      <c r="R3908" t="str">
        <f t="shared" si="143"/>
        <v>mmol/mol</v>
      </c>
      <c r="S3908" s="13">
        <f t="shared" si="144"/>
        <v>-1.07</v>
      </c>
    </row>
    <row r="3909" spans="1:19">
      <c r="A3909" s="18" t="s">
        <v>3632</v>
      </c>
      <c r="B3909" s="1" t="s">
        <v>4061</v>
      </c>
      <c r="C3909" s="1" t="s">
        <v>2113</v>
      </c>
      <c r="D3909" s="1" t="s">
        <v>4088</v>
      </c>
      <c r="E3909" s="1" t="s">
        <v>25</v>
      </c>
      <c r="F3909">
        <v>635</v>
      </c>
      <c r="G3909">
        <v>635</v>
      </c>
      <c r="H3909" s="1" t="s">
        <v>25</v>
      </c>
      <c r="I3909" s="1" t="s">
        <v>1528</v>
      </c>
      <c r="J3909" s="1" t="s">
        <v>1491</v>
      </c>
      <c r="K3909" s="1" t="s">
        <v>25</v>
      </c>
      <c r="L3909">
        <v>-0.95</v>
      </c>
      <c r="M3909" t="str">
        <f t="shared" si="145"/>
        <v>44/40</v>
      </c>
      <c r="N3909" t="str">
        <f t="shared" si="146"/>
        <v>SW</v>
      </c>
      <c r="O3909" s="1" t="s">
        <v>25</v>
      </c>
      <c r="P3909" s="3" t="s">
        <v>25</v>
      </c>
      <c r="Q3909" s="37">
        <v>0.15</v>
      </c>
      <c r="R3909" t="str">
        <f t="shared" si="143"/>
        <v>mmol/mol</v>
      </c>
      <c r="S3909" s="13">
        <f t="shared" si="144"/>
        <v>-0.95</v>
      </c>
    </row>
    <row r="3910" spans="1:19">
      <c r="A3910" s="18" t="s">
        <v>3632</v>
      </c>
      <c r="B3910" s="1" t="s">
        <v>4062</v>
      </c>
      <c r="C3910" s="1" t="s">
        <v>2113</v>
      </c>
      <c r="D3910" s="1" t="s">
        <v>4088</v>
      </c>
      <c r="E3910" s="1" t="s">
        <v>25</v>
      </c>
      <c r="F3910">
        <v>635</v>
      </c>
      <c r="G3910">
        <v>635</v>
      </c>
      <c r="H3910" s="1" t="s">
        <v>25</v>
      </c>
      <c r="I3910" s="1" t="s">
        <v>1528</v>
      </c>
      <c r="J3910" s="1" t="s">
        <v>1491</v>
      </c>
      <c r="K3910" s="1" t="s">
        <v>25</v>
      </c>
      <c r="L3910">
        <v>-0.96</v>
      </c>
      <c r="M3910" t="str">
        <f t="shared" si="145"/>
        <v>44/40</v>
      </c>
      <c r="N3910" t="str">
        <f t="shared" si="146"/>
        <v>SW</v>
      </c>
      <c r="O3910" s="1" t="s">
        <v>25</v>
      </c>
      <c r="P3910" s="3" t="s">
        <v>25</v>
      </c>
      <c r="Q3910" s="37">
        <v>0.19</v>
      </c>
      <c r="R3910" t="str">
        <f t="shared" si="143"/>
        <v>mmol/mol</v>
      </c>
      <c r="S3910" s="13">
        <f t="shared" si="144"/>
        <v>-0.96</v>
      </c>
    </row>
    <row r="3911" spans="1:19">
      <c r="A3911" s="18" t="s">
        <v>3632</v>
      </c>
      <c r="B3911" s="1" t="s">
        <v>4063</v>
      </c>
      <c r="C3911" s="1" t="s">
        <v>2113</v>
      </c>
      <c r="D3911" s="1" t="s">
        <v>4088</v>
      </c>
      <c r="E3911" s="1" t="s">
        <v>25</v>
      </c>
      <c r="F3911">
        <v>635</v>
      </c>
      <c r="G3911">
        <v>635</v>
      </c>
      <c r="H3911" s="1" t="s">
        <v>25</v>
      </c>
      <c r="I3911" s="1" t="s">
        <v>1528</v>
      </c>
      <c r="J3911" s="1" t="s">
        <v>1491</v>
      </c>
      <c r="K3911" s="1" t="s">
        <v>25</v>
      </c>
      <c r="L3911">
        <v>-0.86</v>
      </c>
      <c r="M3911" t="str">
        <f t="shared" si="145"/>
        <v>44/40</v>
      </c>
      <c r="N3911" t="str">
        <f t="shared" si="146"/>
        <v>SW</v>
      </c>
      <c r="O3911" s="1" t="s">
        <v>25</v>
      </c>
      <c r="P3911" s="3" t="s">
        <v>25</v>
      </c>
      <c r="Q3911" s="37">
        <v>0.19</v>
      </c>
      <c r="R3911" t="str">
        <f t="shared" si="143"/>
        <v>mmol/mol</v>
      </c>
      <c r="S3911" s="13">
        <f t="shared" si="144"/>
        <v>-0.86</v>
      </c>
    </row>
    <row r="3912" spans="1:19">
      <c r="A3912" s="18" t="s">
        <v>3632</v>
      </c>
      <c r="B3912" s="1" t="s">
        <v>4064</v>
      </c>
      <c r="C3912" s="1" t="s">
        <v>2113</v>
      </c>
      <c r="D3912" s="1" t="s">
        <v>4088</v>
      </c>
      <c r="E3912" s="1" t="s">
        <v>25</v>
      </c>
      <c r="F3912">
        <v>635</v>
      </c>
      <c r="G3912">
        <v>635</v>
      </c>
      <c r="H3912" s="1" t="s">
        <v>25</v>
      </c>
      <c r="I3912" s="1" t="s">
        <v>1528</v>
      </c>
      <c r="J3912" s="1" t="s">
        <v>1491</v>
      </c>
      <c r="K3912" s="1" t="s">
        <v>25</v>
      </c>
      <c r="L3912">
        <v>-0.85</v>
      </c>
      <c r="M3912" t="str">
        <f t="shared" si="145"/>
        <v>44/40</v>
      </c>
      <c r="N3912" t="str">
        <f t="shared" si="146"/>
        <v>SW</v>
      </c>
      <c r="O3912" s="1" t="s">
        <v>25</v>
      </c>
      <c r="P3912" s="3" t="s">
        <v>25</v>
      </c>
      <c r="Q3912" s="37">
        <v>0.17</v>
      </c>
      <c r="R3912" t="str">
        <f t="shared" si="143"/>
        <v>mmol/mol</v>
      </c>
      <c r="S3912" s="13">
        <f t="shared" si="144"/>
        <v>-0.85</v>
      </c>
    </row>
    <row r="3913" spans="1:19">
      <c r="A3913" s="18" t="s">
        <v>3632</v>
      </c>
      <c r="B3913" s="1" t="s">
        <v>4065</v>
      </c>
      <c r="C3913" s="1" t="s">
        <v>2113</v>
      </c>
      <c r="D3913" s="1" t="s">
        <v>4088</v>
      </c>
      <c r="E3913" s="1" t="s">
        <v>25</v>
      </c>
      <c r="F3913">
        <v>635</v>
      </c>
      <c r="G3913">
        <v>635</v>
      </c>
      <c r="H3913" s="1" t="s">
        <v>25</v>
      </c>
      <c r="I3913" s="1" t="s">
        <v>1528</v>
      </c>
      <c r="J3913" s="1" t="s">
        <v>1491</v>
      </c>
      <c r="K3913" s="1" t="s">
        <v>25</v>
      </c>
      <c r="L3913">
        <v>-0.86</v>
      </c>
      <c r="M3913" t="str">
        <f t="shared" si="145"/>
        <v>44/40</v>
      </c>
      <c r="N3913" t="str">
        <f t="shared" si="146"/>
        <v>SW</v>
      </c>
      <c r="O3913" s="1" t="s">
        <v>25</v>
      </c>
      <c r="P3913" s="3" t="s">
        <v>25</v>
      </c>
      <c r="Q3913" s="37">
        <v>0.18</v>
      </c>
      <c r="R3913" t="str">
        <f t="shared" si="143"/>
        <v>mmol/mol</v>
      </c>
      <c r="S3913" s="13">
        <f t="shared" si="144"/>
        <v>-0.86</v>
      </c>
    </row>
    <row r="3914" spans="1:19">
      <c r="A3914" s="18" t="s">
        <v>3632</v>
      </c>
      <c r="B3914" s="1" t="s">
        <v>4066</v>
      </c>
      <c r="C3914" s="1" t="s">
        <v>2113</v>
      </c>
      <c r="D3914" s="1" t="s">
        <v>4088</v>
      </c>
      <c r="E3914" s="1" t="s">
        <v>25</v>
      </c>
      <c r="F3914">
        <v>635</v>
      </c>
      <c r="G3914">
        <v>635</v>
      </c>
      <c r="H3914" s="1" t="s">
        <v>25</v>
      </c>
      <c r="I3914" s="1" t="s">
        <v>1528</v>
      </c>
      <c r="J3914" s="1" t="s">
        <v>1491</v>
      </c>
      <c r="K3914" s="1" t="s">
        <v>25</v>
      </c>
      <c r="L3914">
        <v>-0.93</v>
      </c>
      <c r="M3914" t="str">
        <f t="shared" si="145"/>
        <v>44/40</v>
      </c>
      <c r="N3914" t="str">
        <f t="shared" si="146"/>
        <v>SW</v>
      </c>
      <c r="O3914" s="1" t="s">
        <v>25</v>
      </c>
      <c r="P3914" s="3" t="s">
        <v>25</v>
      </c>
      <c r="Q3914" s="37">
        <v>0.15</v>
      </c>
      <c r="R3914" t="str">
        <f t="shared" si="143"/>
        <v>mmol/mol</v>
      </c>
      <c r="S3914" s="13">
        <f t="shared" si="144"/>
        <v>-0.93</v>
      </c>
    </row>
    <row r="3915" spans="1:19">
      <c r="A3915" s="18" t="s">
        <v>3632</v>
      </c>
      <c r="B3915" s="1" t="s">
        <v>4067</v>
      </c>
      <c r="C3915" s="1" t="s">
        <v>2113</v>
      </c>
      <c r="D3915" s="1" t="s">
        <v>4088</v>
      </c>
      <c r="E3915" s="1" t="s">
        <v>25</v>
      </c>
      <c r="F3915">
        <v>635</v>
      </c>
      <c r="G3915">
        <v>635</v>
      </c>
      <c r="H3915" s="1" t="s">
        <v>25</v>
      </c>
      <c r="I3915" s="1" t="s">
        <v>1528</v>
      </c>
      <c r="J3915" s="1" t="s">
        <v>1491</v>
      </c>
      <c r="K3915" s="1" t="s">
        <v>25</v>
      </c>
      <c r="L3915">
        <v>-1.02</v>
      </c>
      <c r="M3915" t="str">
        <f t="shared" si="145"/>
        <v>44/40</v>
      </c>
      <c r="N3915" t="str">
        <f t="shared" si="146"/>
        <v>SW</v>
      </c>
      <c r="O3915" s="1" t="s">
        <v>25</v>
      </c>
      <c r="P3915" s="3" t="s">
        <v>25</v>
      </c>
      <c r="Q3915" s="37">
        <v>0.14000000000000001</v>
      </c>
      <c r="R3915" t="str">
        <f t="shared" si="143"/>
        <v>mmol/mol</v>
      </c>
      <c r="S3915" s="13">
        <f t="shared" si="144"/>
        <v>-1.02</v>
      </c>
    </row>
    <row r="3916" spans="1:19">
      <c r="A3916" s="18" t="s">
        <v>3632</v>
      </c>
      <c r="B3916" s="1" t="s">
        <v>4068</v>
      </c>
      <c r="C3916" s="1" t="s">
        <v>2113</v>
      </c>
      <c r="D3916" s="1" t="s">
        <v>4088</v>
      </c>
      <c r="E3916" s="1" t="s">
        <v>25</v>
      </c>
      <c r="F3916">
        <v>635</v>
      </c>
      <c r="G3916">
        <v>635</v>
      </c>
      <c r="H3916" s="1" t="s">
        <v>25</v>
      </c>
      <c r="I3916" s="1" t="s">
        <v>1528</v>
      </c>
      <c r="J3916" s="1" t="s">
        <v>1491</v>
      </c>
      <c r="K3916" s="1" t="s">
        <v>25</v>
      </c>
      <c r="L3916">
        <v>-0.9</v>
      </c>
      <c r="M3916" t="str">
        <f t="shared" si="145"/>
        <v>44/40</v>
      </c>
      <c r="N3916" t="str">
        <f t="shared" si="146"/>
        <v>SW</v>
      </c>
      <c r="O3916" s="1" t="s">
        <v>25</v>
      </c>
      <c r="P3916" s="3" t="s">
        <v>25</v>
      </c>
      <c r="Q3916" s="37">
        <v>0.21</v>
      </c>
      <c r="R3916" t="str">
        <f t="shared" si="143"/>
        <v>mmol/mol</v>
      </c>
      <c r="S3916" s="13">
        <f t="shared" si="144"/>
        <v>-0.9</v>
      </c>
    </row>
    <row r="3917" spans="1:19">
      <c r="A3917" s="18" t="s">
        <v>3632</v>
      </c>
      <c r="B3917" s="1" t="s">
        <v>4069</v>
      </c>
      <c r="C3917" s="1" t="s">
        <v>2113</v>
      </c>
      <c r="D3917" s="1" t="s">
        <v>4088</v>
      </c>
      <c r="E3917" s="1" t="s">
        <v>25</v>
      </c>
      <c r="F3917">
        <v>635</v>
      </c>
      <c r="G3917">
        <v>635</v>
      </c>
      <c r="H3917" s="1" t="s">
        <v>25</v>
      </c>
      <c r="I3917" s="1" t="s">
        <v>1528</v>
      </c>
      <c r="J3917" s="1" t="s">
        <v>1491</v>
      </c>
      <c r="K3917" s="1" t="s">
        <v>25</v>
      </c>
      <c r="L3917">
        <v>-0.77</v>
      </c>
      <c r="M3917" t="str">
        <f t="shared" si="145"/>
        <v>44/40</v>
      </c>
      <c r="N3917" t="str">
        <f t="shared" si="146"/>
        <v>SW</v>
      </c>
      <c r="O3917" s="1" t="s">
        <v>25</v>
      </c>
      <c r="P3917" s="3" t="s">
        <v>25</v>
      </c>
      <c r="Q3917" s="37">
        <v>0.22</v>
      </c>
      <c r="R3917" t="str">
        <f t="shared" si="143"/>
        <v>mmol/mol</v>
      </c>
      <c r="S3917" s="13">
        <f t="shared" si="144"/>
        <v>-0.77</v>
      </c>
    </row>
    <row r="3918" spans="1:19">
      <c r="A3918" s="18" t="s">
        <v>3632</v>
      </c>
      <c r="B3918" s="1" t="s">
        <v>4070</v>
      </c>
      <c r="C3918" s="1" t="s">
        <v>2113</v>
      </c>
      <c r="D3918" s="1" t="s">
        <v>4088</v>
      </c>
      <c r="E3918" s="1" t="s">
        <v>25</v>
      </c>
      <c r="F3918">
        <v>635</v>
      </c>
      <c r="G3918">
        <v>635</v>
      </c>
      <c r="H3918" s="1" t="s">
        <v>25</v>
      </c>
      <c r="I3918" s="1" t="s">
        <v>1528</v>
      </c>
      <c r="J3918" s="1" t="s">
        <v>1491</v>
      </c>
      <c r="K3918" s="1" t="s">
        <v>25</v>
      </c>
      <c r="L3918">
        <v>-0.88</v>
      </c>
      <c r="M3918" t="str">
        <f t="shared" si="145"/>
        <v>44/40</v>
      </c>
      <c r="N3918" t="str">
        <f t="shared" si="146"/>
        <v>SW</v>
      </c>
      <c r="O3918" s="1" t="s">
        <v>25</v>
      </c>
      <c r="P3918" s="3" t="s">
        <v>25</v>
      </c>
      <c r="Q3918" s="37">
        <v>0.22</v>
      </c>
      <c r="R3918" t="str">
        <f t="shared" si="143"/>
        <v>mmol/mol</v>
      </c>
      <c r="S3918" s="13">
        <f t="shared" si="144"/>
        <v>-0.88</v>
      </c>
    </row>
    <row r="3919" spans="1:19">
      <c r="A3919" s="18" t="s">
        <v>3632</v>
      </c>
      <c r="B3919" s="1" t="s">
        <v>4071</v>
      </c>
      <c r="C3919" s="1" t="s">
        <v>2113</v>
      </c>
      <c r="D3919" s="1" t="s">
        <v>4088</v>
      </c>
      <c r="E3919" s="1" t="s">
        <v>25</v>
      </c>
      <c r="F3919">
        <v>635</v>
      </c>
      <c r="G3919">
        <v>635</v>
      </c>
      <c r="H3919" s="1" t="s">
        <v>25</v>
      </c>
      <c r="I3919" s="1" t="s">
        <v>1528</v>
      </c>
      <c r="J3919" s="1" t="s">
        <v>1491</v>
      </c>
      <c r="K3919" s="1" t="s">
        <v>25</v>
      </c>
      <c r="L3919">
        <v>-0.83</v>
      </c>
      <c r="M3919" t="str">
        <f t="shared" si="145"/>
        <v>44/40</v>
      </c>
      <c r="N3919" t="str">
        <f t="shared" si="146"/>
        <v>SW</v>
      </c>
      <c r="O3919" s="1" t="s">
        <v>25</v>
      </c>
      <c r="P3919" s="3" t="s">
        <v>25</v>
      </c>
      <c r="Q3919" s="37">
        <v>0.33</v>
      </c>
      <c r="R3919" t="str">
        <f t="shared" si="143"/>
        <v>mmol/mol</v>
      </c>
      <c r="S3919" s="13">
        <f t="shared" si="144"/>
        <v>-0.83</v>
      </c>
    </row>
    <row r="3920" spans="1:19">
      <c r="A3920" s="18" t="s">
        <v>3632</v>
      </c>
      <c r="B3920" s="1" t="s">
        <v>4072</v>
      </c>
      <c r="C3920" s="1" t="s">
        <v>2113</v>
      </c>
      <c r="D3920" s="1" t="s">
        <v>4088</v>
      </c>
      <c r="E3920" s="1" t="s">
        <v>25</v>
      </c>
      <c r="F3920">
        <v>635</v>
      </c>
      <c r="G3920">
        <v>635</v>
      </c>
      <c r="H3920" s="1" t="s">
        <v>25</v>
      </c>
      <c r="I3920" s="1" t="s">
        <v>1528</v>
      </c>
      <c r="J3920" s="1" t="s">
        <v>1491</v>
      </c>
      <c r="K3920" s="1" t="s">
        <v>25</v>
      </c>
      <c r="L3920">
        <v>-0.83</v>
      </c>
      <c r="M3920" t="str">
        <f t="shared" si="145"/>
        <v>44/40</v>
      </c>
      <c r="N3920" t="str">
        <f t="shared" si="146"/>
        <v>SW</v>
      </c>
      <c r="O3920" s="1" t="s">
        <v>25</v>
      </c>
      <c r="P3920" s="3" t="s">
        <v>25</v>
      </c>
      <c r="Q3920" s="37">
        <v>0.42</v>
      </c>
      <c r="R3920" t="str">
        <f t="shared" si="143"/>
        <v>mmol/mol</v>
      </c>
      <c r="S3920" s="13">
        <f t="shared" si="144"/>
        <v>-0.83</v>
      </c>
    </row>
    <row r="3921" spans="1:19">
      <c r="A3921" s="18" t="s">
        <v>3632</v>
      </c>
      <c r="B3921" s="1" t="s">
        <v>4073</v>
      </c>
      <c r="C3921" s="1" t="s">
        <v>2113</v>
      </c>
      <c r="D3921" s="1" t="s">
        <v>4088</v>
      </c>
      <c r="E3921" s="1" t="s">
        <v>25</v>
      </c>
      <c r="F3921">
        <v>635</v>
      </c>
      <c r="G3921">
        <v>635</v>
      </c>
      <c r="H3921" s="1" t="s">
        <v>25</v>
      </c>
      <c r="I3921" s="1" t="s">
        <v>1528</v>
      </c>
      <c r="J3921" s="1" t="s">
        <v>1491</v>
      </c>
      <c r="K3921" s="1" t="s">
        <v>25</v>
      </c>
      <c r="L3921">
        <v>-0.85</v>
      </c>
      <c r="M3921" t="str">
        <f t="shared" si="145"/>
        <v>44/40</v>
      </c>
      <c r="N3921" t="str">
        <f t="shared" si="146"/>
        <v>SW</v>
      </c>
      <c r="O3921" s="1" t="s">
        <v>25</v>
      </c>
      <c r="P3921" s="3" t="s">
        <v>25</v>
      </c>
      <c r="Q3921" s="37">
        <v>0.31</v>
      </c>
      <c r="R3921" t="str">
        <f t="shared" si="143"/>
        <v>mmol/mol</v>
      </c>
      <c r="S3921" s="13">
        <f t="shared" si="144"/>
        <v>-0.85</v>
      </c>
    </row>
    <row r="3922" spans="1:19">
      <c r="A3922" s="18" t="s">
        <v>3632</v>
      </c>
      <c r="B3922" s="1" t="s">
        <v>4074</v>
      </c>
      <c r="C3922" s="1" t="s">
        <v>2113</v>
      </c>
      <c r="D3922" s="1" t="s">
        <v>4088</v>
      </c>
      <c r="E3922" s="1" t="s">
        <v>25</v>
      </c>
      <c r="F3922">
        <v>635</v>
      </c>
      <c r="G3922">
        <v>635</v>
      </c>
      <c r="H3922" s="1" t="s">
        <v>25</v>
      </c>
      <c r="I3922" s="1" t="s">
        <v>1528</v>
      </c>
      <c r="J3922" s="1" t="s">
        <v>1491</v>
      </c>
      <c r="K3922" s="1" t="s">
        <v>25</v>
      </c>
      <c r="L3922">
        <v>-0.82</v>
      </c>
      <c r="M3922" t="str">
        <f t="shared" si="145"/>
        <v>44/40</v>
      </c>
      <c r="N3922" t="str">
        <f t="shared" si="146"/>
        <v>SW</v>
      </c>
      <c r="O3922" s="1" t="s">
        <v>25</v>
      </c>
      <c r="P3922" s="3" t="s">
        <v>25</v>
      </c>
      <c r="Q3922" s="37">
        <v>0.32</v>
      </c>
      <c r="R3922" t="str">
        <f t="shared" si="143"/>
        <v>mmol/mol</v>
      </c>
      <c r="S3922" s="13">
        <f t="shared" si="144"/>
        <v>-0.82</v>
      </c>
    </row>
    <row r="3923" spans="1:19">
      <c r="A3923" s="18" t="s">
        <v>3632</v>
      </c>
      <c r="B3923" s="1" t="s">
        <v>4075</v>
      </c>
      <c r="C3923" s="1" t="s">
        <v>2113</v>
      </c>
      <c r="D3923" s="1" t="s">
        <v>4088</v>
      </c>
      <c r="E3923" s="1" t="s">
        <v>25</v>
      </c>
      <c r="F3923">
        <v>635</v>
      </c>
      <c r="G3923">
        <v>635</v>
      </c>
      <c r="H3923" s="1" t="s">
        <v>25</v>
      </c>
      <c r="I3923" s="1" t="s">
        <v>1528</v>
      </c>
      <c r="J3923" s="1" t="s">
        <v>1491</v>
      </c>
      <c r="K3923" s="1" t="s">
        <v>25</v>
      </c>
      <c r="L3923">
        <v>-0.82</v>
      </c>
      <c r="M3923" t="str">
        <f t="shared" si="145"/>
        <v>44/40</v>
      </c>
      <c r="N3923" t="str">
        <f t="shared" si="146"/>
        <v>SW</v>
      </c>
      <c r="O3923" s="1" t="s">
        <v>25</v>
      </c>
      <c r="P3923" s="3" t="s">
        <v>25</v>
      </c>
      <c r="Q3923" s="37">
        <v>0.34</v>
      </c>
      <c r="R3923" t="str">
        <f t="shared" si="143"/>
        <v>mmol/mol</v>
      </c>
      <c r="S3923" s="13">
        <f t="shared" si="144"/>
        <v>-0.82</v>
      </c>
    </row>
    <row r="3924" spans="1:19">
      <c r="A3924" s="18" t="s">
        <v>3632</v>
      </c>
      <c r="B3924" s="1" t="s">
        <v>4089</v>
      </c>
      <c r="C3924" s="1" t="s">
        <v>2113</v>
      </c>
      <c r="D3924" s="1" t="s">
        <v>4088</v>
      </c>
      <c r="E3924" s="1" t="s">
        <v>25</v>
      </c>
      <c r="F3924">
        <v>635</v>
      </c>
      <c r="G3924">
        <v>635</v>
      </c>
      <c r="H3924" s="1" t="s">
        <v>25</v>
      </c>
      <c r="I3924" s="1" t="s">
        <v>1528</v>
      </c>
      <c r="J3924" s="1" t="s">
        <v>1491</v>
      </c>
      <c r="K3924" s="1" t="s">
        <v>25</v>
      </c>
      <c r="L3924">
        <v>-0.97</v>
      </c>
      <c r="M3924" t="str">
        <f t="shared" si="145"/>
        <v>44/40</v>
      </c>
      <c r="N3924" t="str">
        <f t="shared" si="146"/>
        <v>SW</v>
      </c>
      <c r="O3924" s="1" t="s">
        <v>25</v>
      </c>
      <c r="P3924" s="3" t="s">
        <v>25</v>
      </c>
      <c r="Q3924" s="37">
        <v>0.32</v>
      </c>
      <c r="R3924" t="str">
        <f t="shared" si="143"/>
        <v>mmol/mol</v>
      </c>
      <c r="S3924" s="13">
        <f t="shared" si="144"/>
        <v>-0.97</v>
      </c>
    </row>
    <row r="3925" spans="1:19">
      <c r="A3925" s="18" t="s">
        <v>3632</v>
      </c>
      <c r="B3925" s="1" t="s">
        <v>4090</v>
      </c>
      <c r="C3925" s="1" t="s">
        <v>2113</v>
      </c>
      <c r="D3925" s="1" t="s">
        <v>4088</v>
      </c>
      <c r="E3925" s="1" t="s">
        <v>25</v>
      </c>
      <c r="F3925">
        <v>635</v>
      </c>
      <c r="G3925">
        <v>635</v>
      </c>
      <c r="H3925" s="1" t="s">
        <v>25</v>
      </c>
      <c r="I3925" s="1" t="s">
        <v>1528</v>
      </c>
      <c r="J3925" s="1" t="s">
        <v>1491</v>
      </c>
      <c r="K3925" s="1" t="s">
        <v>25</v>
      </c>
      <c r="L3925">
        <v>-0.98</v>
      </c>
      <c r="M3925" t="str">
        <f t="shared" si="145"/>
        <v>44/40</v>
      </c>
      <c r="N3925" t="str">
        <f t="shared" si="146"/>
        <v>SW</v>
      </c>
      <c r="O3925" s="1" t="s">
        <v>25</v>
      </c>
      <c r="P3925" s="3" t="s">
        <v>25</v>
      </c>
      <c r="Q3925" s="37">
        <v>0.43</v>
      </c>
      <c r="R3925" t="str">
        <f t="shared" si="143"/>
        <v>mmol/mol</v>
      </c>
      <c r="S3925" s="13">
        <f t="shared" si="144"/>
        <v>-0.98</v>
      </c>
    </row>
    <row r="3926" spans="1:19">
      <c r="A3926" s="18" t="s">
        <v>3632</v>
      </c>
      <c r="B3926" s="1" t="s">
        <v>4091</v>
      </c>
      <c r="C3926" s="1" t="s">
        <v>2113</v>
      </c>
      <c r="D3926" s="1" t="s">
        <v>4088</v>
      </c>
      <c r="E3926" s="1" t="s">
        <v>25</v>
      </c>
      <c r="F3926">
        <v>635</v>
      </c>
      <c r="G3926">
        <v>635</v>
      </c>
      <c r="H3926" s="1" t="s">
        <v>25</v>
      </c>
      <c r="I3926" s="1" t="s">
        <v>1528</v>
      </c>
      <c r="J3926" s="1" t="s">
        <v>1491</v>
      </c>
      <c r="K3926" s="1" t="s">
        <v>25</v>
      </c>
      <c r="L3926">
        <v>-1.3</v>
      </c>
      <c r="M3926" t="str">
        <f t="shared" si="145"/>
        <v>44/40</v>
      </c>
      <c r="N3926" t="str">
        <f t="shared" si="146"/>
        <v>SW</v>
      </c>
      <c r="O3926" s="1" t="s">
        <v>25</v>
      </c>
      <c r="P3926" s="3" t="s">
        <v>25</v>
      </c>
      <c r="Q3926" s="37">
        <v>0.63</v>
      </c>
      <c r="R3926" t="str">
        <f t="shared" si="143"/>
        <v>mmol/mol</v>
      </c>
      <c r="S3926" s="13">
        <f t="shared" si="144"/>
        <v>-1.3</v>
      </c>
    </row>
    <row r="3927" spans="1:19">
      <c r="A3927" s="18" t="s">
        <v>3632</v>
      </c>
      <c r="B3927" s="1" t="s">
        <v>4092</v>
      </c>
      <c r="C3927" s="1" t="s">
        <v>2113</v>
      </c>
      <c r="D3927" s="1" t="s">
        <v>4088</v>
      </c>
      <c r="E3927" s="1" t="s">
        <v>25</v>
      </c>
      <c r="F3927">
        <v>635</v>
      </c>
      <c r="G3927">
        <v>635</v>
      </c>
      <c r="H3927" s="1" t="s">
        <v>25</v>
      </c>
      <c r="I3927" s="1" t="s">
        <v>1528</v>
      </c>
      <c r="J3927" s="1" t="s">
        <v>1491</v>
      </c>
      <c r="K3927" s="1" t="s">
        <v>25</v>
      </c>
      <c r="L3927">
        <v>-1.45</v>
      </c>
      <c r="M3927" t="str">
        <f t="shared" si="145"/>
        <v>44/40</v>
      </c>
      <c r="N3927" t="str">
        <f t="shared" si="146"/>
        <v>SW</v>
      </c>
      <c r="O3927" s="1" t="s">
        <v>25</v>
      </c>
      <c r="P3927" s="3" t="s">
        <v>25</v>
      </c>
      <c r="Q3927" s="37">
        <v>0.59</v>
      </c>
      <c r="R3927" t="str">
        <f t="shared" si="143"/>
        <v>mmol/mol</v>
      </c>
      <c r="S3927" s="13">
        <f t="shared" si="144"/>
        <v>-1.45</v>
      </c>
    </row>
    <row r="3928" spans="1:19">
      <c r="A3928" s="18" t="s">
        <v>3632</v>
      </c>
      <c r="B3928" s="1" t="s">
        <v>4093</v>
      </c>
      <c r="C3928" s="1" t="s">
        <v>2113</v>
      </c>
      <c r="D3928" s="1" t="s">
        <v>4088</v>
      </c>
      <c r="E3928" s="1" t="s">
        <v>25</v>
      </c>
      <c r="F3928">
        <v>635</v>
      </c>
      <c r="G3928">
        <v>635</v>
      </c>
      <c r="H3928" s="1" t="s">
        <v>25</v>
      </c>
      <c r="I3928" s="1" t="s">
        <v>1528</v>
      </c>
      <c r="J3928" s="1" t="s">
        <v>1491</v>
      </c>
      <c r="K3928" s="1" t="s">
        <v>25</v>
      </c>
      <c r="L3928">
        <v>-0.97</v>
      </c>
      <c r="M3928" t="str">
        <f t="shared" si="145"/>
        <v>44/40</v>
      </c>
      <c r="N3928" t="str">
        <f t="shared" si="146"/>
        <v>SW</v>
      </c>
      <c r="O3928" s="1" t="s">
        <v>25</v>
      </c>
      <c r="P3928" s="3" t="s">
        <v>25</v>
      </c>
      <c r="Q3928" s="37">
        <v>2.1</v>
      </c>
      <c r="R3928" t="str">
        <f t="shared" si="143"/>
        <v>mmol/mol</v>
      </c>
      <c r="S3928" s="13">
        <f t="shared" si="144"/>
        <v>-0.97</v>
      </c>
    </row>
    <row r="3929" spans="1:19">
      <c r="A3929" s="18" t="s">
        <v>3632</v>
      </c>
      <c r="B3929" s="1" t="s">
        <v>4094</v>
      </c>
      <c r="C3929" s="1" t="s">
        <v>2113</v>
      </c>
      <c r="D3929" s="1" t="s">
        <v>4088</v>
      </c>
      <c r="E3929" s="1" t="s">
        <v>25</v>
      </c>
      <c r="F3929">
        <v>635</v>
      </c>
      <c r="G3929">
        <v>635</v>
      </c>
      <c r="H3929" s="1" t="s">
        <v>25</v>
      </c>
      <c r="I3929" s="1" t="s">
        <v>1528</v>
      </c>
      <c r="J3929" s="1" t="s">
        <v>1491</v>
      </c>
      <c r="K3929" s="1" t="s">
        <v>25</v>
      </c>
      <c r="L3929">
        <v>-0.96</v>
      </c>
      <c r="M3929" t="str">
        <f t="shared" si="145"/>
        <v>44/40</v>
      </c>
      <c r="N3929" t="str">
        <f t="shared" si="146"/>
        <v>SW</v>
      </c>
      <c r="O3929" s="1" t="s">
        <v>25</v>
      </c>
      <c r="P3929" s="3" t="s">
        <v>25</v>
      </c>
      <c r="Q3929" s="37">
        <v>0.36</v>
      </c>
      <c r="R3929" t="str">
        <f t="shared" ref="R3929:R3992" si="147">IF(Q3929="Na","Na","mmol/mol")</f>
        <v>mmol/mol</v>
      </c>
      <c r="S3929" s="13">
        <f t="shared" si="144"/>
        <v>-0.96</v>
      </c>
    </row>
    <row r="3930" spans="1:19">
      <c r="A3930" s="18" t="s">
        <v>3632</v>
      </c>
      <c r="B3930" s="1" t="s">
        <v>4095</v>
      </c>
      <c r="C3930" s="1" t="s">
        <v>2113</v>
      </c>
      <c r="D3930" s="1" t="s">
        <v>4088</v>
      </c>
      <c r="E3930" s="1" t="s">
        <v>25</v>
      </c>
      <c r="F3930">
        <v>635</v>
      </c>
      <c r="G3930">
        <v>635</v>
      </c>
      <c r="H3930" s="1" t="s">
        <v>25</v>
      </c>
      <c r="I3930" s="1" t="s">
        <v>1528</v>
      </c>
      <c r="J3930" s="1" t="s">
        <v>1491</v>
      </c>
      <c r="K3930" s="1" t="s">
        <v>25</v>
      </c>
      <c r="L3930">
        <v>-0.96</v>
      </c>
      <c r="M3930" t="str">
        <f t="shared" si="145"/>
        <v>44/40</v>
      </c>
      <c r="N3930" t="str">
        <f t="shared" si="146"/>
        <v>SW</v>
      </c>
      <c r="O3930" s="1" t="s">
        <v>25</v>
      </c>
      <c r="P3930" s="3" t="s">
        <v>25</v>
      </c>
      <c r="Q3930" s="37">
        <v>0.34</v>
      </c>
      <c r="R3930" t="str">
        <f t="shared" si="147"/>
        <v>mmol/mol</v>
      </c>
      <c r="S3930" s="13">
        <f t="shared" si="144"/>
        <v>-0.96</v>
      </c>
    </row>
    <row r="3931" spans="1:19">
      <c r="A3931" s="18" t="s">
        <v>3632</v>
      </c>
      <c r="B3931" s="1" t="s">
        <v>4096</v>
      </c>
      <c r="C3931" s="1" t="s">
        <v>2113</v>
      </c>
      <c r="D3931" s="1" t="s">
        <v>4088</v>
      </c>
      <c r="E3931" s="1" t="s">
        <v>25</v>
      </c>
      <c r="F3931">
        <v>635</v>
      </c>
      <c r="G3931">
        <v>635</v>
      </c>
      <c r="H3931" s="1" t="s">
        <v>25</v>
      </c>
      <c r="I3931" s="1" t="s">
        <v>1528</v>
      </c>
      <c r="J3931" s="1" t="s">
        <v>1491</v>
      </c>
      <c r="K3931" s="1" t="s">
        <v>25</v>
      </c>
      <c r="L3931">
        <v>-1.1499999999999999</v>
      </c>
      <c r="M3931" t="str">
        <f t="shared" si="145"/>
        <v>44/40</v>
      </c>
      <c r="N3931" t="str">
        <f t="shared" si="146"/>
        <v>SW</v>
      </c>
      <c r="O3931" s="1" t="s">
        <v>25</v>
      </c>
      <c r="P3931" s="3" t="s">
        <v>25</v>
      </c>
      <c r="Q3931" s="37">
        <v>0.66</v>
      </c>
      <c r="R3931" t="str">
        <f t="shared" si="147"/>
        <v>mmol/mol</v>
      </c>
      <c r="S3931" s="13">
        <f t="shared" si="144"/>
        <v>-1.1499999999999999</v>
      </c>
    </row>
    <row r="3932" spans="1:19">
      <c r="A3932" s="18" t="s">
        <v>3632</v>
      </c>
      <c r="B3932" s="1" t="s">
        <v>4097</v>
      </c>
      <c r="C3932" s="1" t="s">
        <v>2113</v>
      </c>
      <c r="D3932" s="1" t="s">
        <v>4088</v>
      </c>
      <c r="E3932" s="1" t="s">
        <v>25</v>
      </c>
      <c r="F3932">
        <v>635</v>
      </c>
      <c r="G3932">
        <v>635</v>
      </c>
      <c r="H3932" s="1" t="s">
        <v>25</v>
      </c>
      <c r="I3932" s="1" t="s">
        <v>1528</v>
      </c>
      <c r="J3932" s="1" t="s">
        <v>1491</v>
      </c>
      <c r="K3932" s="1" t="s">
        <v>25</v>
      </c>
      <c r="L3932">
        <v>-0.92</v>
      </c>
      <c r="M3932" t="str">
        <f t="shared" si="145"/>
        <v>44/40</v>
      </c>
      <c r="N3932" t="str">
        <f t="shared" si="146"/>
        <v>SW</v>
      </c>
      <c r="O3932" s="1" t="s">
        <v>25</v>
      </c>
      <c r="P3932" s="3" t="s">
        <v>25</v>
      </c>
      <c r="Q3932" s="37">
        <v>0.51</v>
      </c>
      <c r="R3932" t="str">
        <f t="shared" si="147"/>
        <v>mmol/mol</v>
      </c>
      <c r="S3932" s="13">
        <f t="shared" si="144"/>
        <v>-0.92</v>
      </c>
    </row>
    <row r="3933" spans="1:19">
      <c r="A3933" s="18" t="s">
        <v>3632</v>
      </c>
      <c r="B3933" s="1" t="s">
        <v>4098</v>
      </c>
      <c r="C3933" s="1" t="s">
        <v>2113</v>
      </c>
      <c r="D3933" s="1" t="s">
        <v>4088</v>
      </c>
      <c r="E3933" s="1" t="s">
        <v>25</v>
      </c>
      <c r="F3933">
        <v>635</v>
      </c>
      <c r="G3933">
        <v>635</v>
      </c>
      <c r="H3933" s="1" t="s">
        <v>25</v>
      </c>
      <c r="I3933" s="1" t="s">
        <v>1528</v>
      </c>
      <c r="J3933" s="1" t="s">
        <v>1491</v>
      </c>
      <c r="K3933" s="1" t="s">
        <v>25</v>
      </c>
      <c r="L3933">
        <v>-0.89</v>
      </c>
      <c r="M3933" t="str">
        <f t="shared" si="145"/>
        <v>44/40</v>
      </c>
      <c r="N3933" t="str">
        <f t="shared" si="146"/>
        <v>SW</v>
      </c>
      <c r="O3933" s="1" t="s">
        <v>25</v>
      </c>
      <c r="P3933" s="3" t="s">
        <v>25</v>
      </c>
      <c r="Q3933" s="37">
        <v>0.41</v>
      </c>
      <c r="R3933" t="str">
        <f t="shared" si="147"/>
        <v>mmol/mol</v>
      </c>
      <c r="S3933" s="13">
        <f t="shared" si="144"/>
        <v>-0.89</v>
      </c>
    </row>
    <row r="3934" spans="1:19">
      <c r="A3934" s="18" t="s">
        <v>3632</v>
      </c>
      <c r="B3934" s="1" t="s">
        <v>4099</v>
      </c>
      <c r="C3934" s="1" t="s">
        <v>2113</v>
      </c>
      <c r="D3934" s="1" t="s">
        <v>4088</v>
      </c>
      <c r="E3934" s="1" t="s">
        <v>25</v>
      </c>
      <c r="F3934">
        <v>635</v>
      </c>
      <c r="G3934">
        <v>635</v>
      </c>
      <c r="H3934" s="1" t="s">
        <v>25</v>
      </c>
      <c r="I3934" s="1" t="s">
        <v>1528</v>
      </c>
      <c r="J3934" s="1" t="s">
        <v>1491</v>
      </c>
      <c r="K3934" s="1" t="s">
        <v>25</v>
      </c>
      <c r="L3934">
        <v>-0.93</v>
      </c>
      <c r="M3934" t="str">
        <f t="shared" si="145"/>
        <v>44/40</v>
      </c>
      <c r="N3934" t="str">
        <f t="shared" si="146"/>
        <v>SW</v>
      </c>
      <c r="O3934" s="1" t="s">
        <v>25</v>
      </c>
      <c r="P3934" s="3" t="s">
        <v>25</v>
      </c>
      <c r="Q3934" s="37" t="s">
        <v>25</v>
      </c>
      <c r="R3934" t="str">
        <f t="shared" si="147"/>
        <v>Na</v>
      </c>
      <c r="S3934" s="13">
        <f t="shared" si="144"/>
        <v>-0.93</v>
      </c>
    </row>
    <row r="3935" spans="1:19">
      <c r="A3935" s="18" t="s">
        <v>3632</v>
      </c>
      <c r="B3935" s="1" t="s">
        <v>4100</v>
      </c>
      <c r="C3935" s="1" t="s">
        <v>2113</v>
      </c>
      <c r="D3935" s="1" t="s">
        <v>4088</v>
      </c>
      <c r="E3935" s="1" t="s">
        <v>25</v>
      </c>
      <c r="F3935">
        <v>635</v>
      </c>
      <c r="G3935">
        <v>635</v>
      </c>
      <c r="H3935" s="1" t="s">
        <v>25</v>
      </c>
      <c r="I3935" s="1" t="s">
        <v>1528</v>
      </c>
      <c r="J3935" s="1" t="s">
        <v>1491</v>
      </c>
      <c r="K3935" s="1" t="s">
        <v>25</v>
      </c>
      <c r="L3935">
        <v>-0.88</v>
      </c>
      <c r="M3935" t="str">
        <f t="shared" si="145"/>
        <v>44/40</v>
      </c>
      <c r="N3935" t="str">
        <f t="shared" si="146"/>
        <v>SW</v>
      </c>
      <c r="O3935" s="1" t="s">
        <v>25</v>
      </c>
      <c r="P3935" s="3" t="s">
        <v>25</v>
      </c>
      <c r="Q3935" s="37">
        <v>0.68</v>
      </c>
      <c r="R3935" t="str">
        <f t="shared" si="147"/>
        <v>mmol/mol</v>
      </c>
      <c r="S3935" s="13">
        <f t="shared" si="144"/>
        <v>-0.88</v>
      </c>
    </row>
    <row r="3936" spans="1:19">
      <c r="A3936" s="18" t="s">
        <v>3632</v>
      </c>
      <c r="B3936" s="1" t="s">
        <v>4101</v>
      </c>
      <c r="C3936" s="1" t="s">
        <v>2113</v>
      </c>
      <c r="D3936" s="1" t="s">
        <v>4088</v>
      </c>
      <c r="E3936" s="1" t="s">
        <v>25</v>
      </c>
      <c r="F3936">
        <v>635</v>
      </c>
      <c r="G3936">
        <v>635</v>
      </c>
      <c r="H3936" s="1" t="s">
        <v>25</v>
      </c>
      <c r="I3936" s="1" t="s">
        <v>1528</v>
      </c>
      <c r="J3936" s="1" t="s">
        <v>1491</v>
      </c>
      <c r="K3936" s="1" t="s">
        <v>25</v>
      </c>
      <c r="L3936">
        <v>-1.55</v>
      </c>
      <c r="M3936" t="str">
        <f t="shared" si="145"/>
        <v>44/40</v>
      </c>
      <c r="N3936" t="str">
        <f t="shared" si="146"/>
        <v>SW</v>
      </c>
      <c r="O3936" s="1" t="s">
        <v>25</v>
      </c>
      <c r="P3936" s="3" t="s">
        <v>25</v>
      </c>
      <c r="Q3936" s="37">
        <v>3.67</v>
      </c>
      <c r="R3936" t="str">
        <f t="shared" si="147"/>
        <v>mmol/mol</v>
      </c>
      <c r="S3936" s="13">
        <f t="shared" si="144"/>
        <v>-1.55</v>
      </c>
    </row>
    <row r="3937" spans="1:19" s="4" customFormat="1">
      <c r="B3937" s="5"/>
      <c r="C3937" s="5"/>
      <c r="D3937" s="5"/>
      <c r="E3937" s="5"/>
      <c r="I3937" s="5"/>
      <c r="J3937" s="5"/>
      <c r="M3937" s="5"/>
      <c r="O3937" s="5"/>
      <c r="P3937" s="6"/>
      <c r="Q3937" s="38"/>
      <c r="S3937" s="24"/>
    </row>
    <row r="3938" spans="1:19">
      <c r="A3938" s="18" t="s">
        <v>4106</v>
      </c>
      <c r="B3938" s="1" t="s">
        <v>4107</v>
      </c>
      <c r="C3938" s="1" t="s">
        <v>2635</v>
      </c>
      <c r="D3938" s="1" t="s">
        <v>5060</v>
      </c>
      <c r="E3938" s="1" t="s">
        <v>25</v>
      </c>
      <c r="F3938">
        <v>580</v>
      </c>
      <c r="G3938">
        <v>580</v>
      </c>
      <c r="H3938">
        <v>44.4</v>
      </c>
      <c r="I3938" s="1" t="s">
        <v>1528</v>
      </c>
      <c r="J3938" s="1" t="s">
        <v>1336</v>
      </c>
      <c r="K3938" s="1" t="s">
        <v>25</v>
      </c>
      <c r="L3938">
        <v>-0.89179090000000005</v>
      </c>
      <c r="M3938" t="str">
        <f t="shared" si="145"/>
        <v>44/40</v>
      </c>
      <c r="N3938" t="str">
        <f t="shared" si="146"/>
        <v>SW</v>
      </c>
      <c r="O3938" s="1" t="s">
        <v>25</v>
      </c>
      <c r="P3938" s="3" t="s">
        <v>25</v>
      </c>
      <c r="Q3938" s="37">
        <v>0.17436389999999999</v>
      </c>
      <c r="R3938" t="str">
        <f t="shared" si="147"/>
        <v>mmol/mol</v>
      </c>
      <c r="S3938" s="13">
        <f t="shared" si="144"/>
        <v>-0.89179090000000005</v>
      </c>
    </row>
    <row r="3939" spans="1:19">
      <c r="A3939" s="18" t="s">
        <v>4106</v>
      </c>
      <c r="B3939" s="1" t="s">
        <v>4108</v>
      </c>
      <c r="C3939" s="1" t="s">
        <v>2635</v>
      </c>
      <c r="D3939" s="1" t="s">
        <v>5060</v>
      </c>
      <c r="E3939" s="1" t="s">
        <v>25</v>
      </c>
      <c r="F3939">
        <v>580</v>
      </c>
      <c r="G3939">
        <v>580</v>
      </c>
      <c r="H3939">
        <v>59.1</v>
      </c>
      <c r="I3939" s="1" t="s">
        <v>1528</v>
      </c>
      <c r="J3939" s="1" t="s">
        <v>1336</v>
      </c>
      <c r="K3939" s="1" t="s">
        <v>25</v>
      </c>
      <c r="L3939">
        <v>-0.68169400000000002</v>
      </c>
      <c r="M3939" t="str">
        <f t="shared" si="145"/>
        <v>44/40</v>
      </c>
      <c r="N3939" t="str">
        <f t="shared" si="146"/>
        <v>SW</v>
      </c>
      <c r="O3939" s="1" t="s">
        <v>25</v>
      </c>
      <c r="P3939" s="3" t="s">
        <v>25</v>
      </c>
      <c r="Q3939" s="37">
        <v>0.17415310000000001</v>
      </c>
      <c r="R3939" t="str">
        <f t="shared" si="147"/>
        <v>mmol/mol</v>
      </c>
      <c r="S3939" s="13">
        <f t="shared" si="144"/>
        <v>-0.68169400000000002</v>
      </c>
    </row>
    <row r="3940" spans="1:19">
      <c r="A3940" s="18" t="s">
        <v>4106</v>
      </c>
      <c r="B3940" s="1" t="s">
        <v>4109</v>
      </c>
      <c r="C3940" s="1" t="s">
        <v>2635</v>
      </c>
      <c r="D3940" s="1" t="s">
        <v>5060</v>
      </c>
      <c r="E3940" s="1" t="s">
        <v>25</v>
      </c>
      <c r="F3940">
        <v>580</v>
      </c>
      <c r="G3940">
        <v>580</v>
      </c>
      <c r="H3940">
        <v>64.099999999999994</v>
      </c>
      <c r="I3940" s="1" t="s">
        <v>1528</v>
      </c>
      <c r="J3940" s="1" t="s">
        <v>1336</v>
      </c>
      <c r="K3940" s="1" t="s">
        <v>25</v>
      </c>
      <c r="L3940" t="s">
        <v>25</v>
      </c>
      <c r="M3940" t="str">
        <f t="shared" si="145"/>
        <v>Na</v>
      </c>
      <c r="N3940" t="str">
        <f t="shared" si="146"/>
        <v>Na</v>
      </c>
      <c r="O3940" s="1" t="s">
        <v>25</v>
      </c>
      <c r="P3940" s="3" t="s">
        <v>25</v>
      </c>
      <c r="Q3940" s="37">
        <v>0.193629</v>
      </c>
      <c r="R3940" t="str">
        <f t="shared" si="147"/>
        <v>mmol/mol</v>
      </c>
      <c r="S3940" s="13" t="s">
        <v>25</v>
      </c>
    </row>
    <row r="3941" spans="1:19">
      <c r="A3941" s="18" t="s">
        <v>4106</v>
      </c>
      <c r="B3941" s="1" t="s">
        <v>4110</v>
      </c>
      <c r="C3941" s="1" t="s">
        <v>2635</v>
      </c>
      <c r="D3941" s="1" t="s">
        <v>5060</v>
      </c>
      <c r="E3941" s="1" t="s">
        <v>25</v>
      </c>
      <c r="F3941">
        <v>580</v>
      </c>
      <c r="G3941">
        <v>580</v>
      </c>
      <c r="H3941">
        <v>76</v>
      </c>
      <c r="I3941" s="1" t="s">
        <v>1528</v>
      </c>
      <c r="J3941" s="1" t="s">
        <v>1336</v>
      </c>
      <c r="K3941" s="1" t="s">
        <v>25</v>
      </c>
      <c r="L3941">
        <v>-0.65985859999999996</v>
      </c>
      <c r="M3941" t="str">
        <f t="shared" si="145"/>
        <v>44/40</v>
      </c>
      <c r="N3941" t="str">
        <f t="shared" si="146"/>
        <v>SW</v>
      </c>
      <c r="O3941" s="1" t="s">
        <v>25</v>
      </c>
      <c r="P3941" s="3" t="s">
        <v>25</v>
      </c>
      <c r="Q3941" s="37">
        <v>0.22487960000000001</v>
      </c>
      <c r="R3941" t="str">
        <f t="shared" si="147"/>
        <v>mmol/mol</v>
      </c>
      <c r="S3941" s="13">
        <f t="shared" si="144"/>
        <v>-0.65985859999999996</v>
      </c>
    </row>
    <row r="3942" spans="1:19">
      <c r="A3942" s="18" t="s">
        <v>4106</v>
      </c>
      <c r="B3942" s="1" t="s">
        <v>4111</v>
      </c>
      <c r="C3942" s="1" t="s">
        <v>2635</v>
      </c>
      <c r="D3942" s="1" t="s">
        <v>5060</v>
      </c>
      <c r="E3942" s="1" t="s">
        <v>25</v>
      </c>
      <c r="F3942">
        <v>580</v>
      </c>
      <c r="G3942">
        <v>580</v>
      </c>
      <c r="H3942">
        <v>87.3</v>
      </c>
      <c r="I3942" s="1" t="s">
        <v>1528</v>
      </c>
      <c r="J3942" s="1" t="s">
        <v>1336</v>
      </c>
      <c r="K3942" s="1" t="s">
        <v>25</v>
      </c>
      <c r="L3942">
        <v>-1.0030542</v>
      </c>
      <c r="M3942" t="str">
        <f t="shared" si="145"/>
        <v>44/40</v>
      </c>
      <c r="N3942" t="str">
        <f t="shared" si="146"/>
        <v>SW</v>
      </c>
      <c r="O3942" s="1" t="s">
        <v>25</v>
      </c>
      <c r="P3942" s="3" t="s">
        <v>25</v>
      </c>
      <c r="Q3942" s="37">
        <v>0.2244572</v>
      </c>
      <c r="R3942" t="str">
        <f t="shared" si="147"/>
        <v>mmol/mol</v>
      </c>
      <c r="S3942" s="13">
        <f t="shared" si="144"/>
        <v>-1.0030542</v>
      </c>
    </row>
    <row r="3943" spans="1:19">
      <c r="A3943" s="18" t="s">
        <v>4106</v>
      </c>
      <c r="B3943" s="1" t="s">
        <v>4112</v>
      </c>
      <c r="C3943" s="1" t="s">
        <v>2635</v>
      </c>
      <c r="D3943" s="1" t="s">
        <v>5060</v>
      </c>
      <c r="E3943" s="1" t="s">
        <v>25</v>
      </c>
      <c r="F3943">
        <v>580</v>
      </c>
      <c r="G3943">
        <v>580</v>
      </c>
      <c r="H3943">
        <v>99.9</v>
      </c>
      <c r="I3943" s="1" t="s">
        <v>1528</v>
      </c>
      <c r="J3943" s="1" t="s">
        <v>1336</v>
      </c>
      <c r="K3943" s="1" t="s">
        <v>25</v>
      </c>
      <c r="L3943">
        <v>-0.89900780000000002</v>
      </c>
      <c r="M3943" t="str">
        <f t="shared" si="145"/>
        <v>44/40</v>
      </c>
      <c r="N3943" t="str">
        <f t="shared" si="146"/>
        <v>SW</v>
      </c>
      <c r="O3943" s="1" t="s">
        <v>25</v>
      </c>
      <c r="P3943" s="3" t="s">
        <v>25</v>
      </c>
      <c r="Q3943" s="37">
        <v>0.2143554</v>
      </c>
      <c r="R3943" t="str">
        <f t="shared" si="147"/>
        <v>mmol/mol</v>
      </c>
      <c r="S3943" s="13">
        <f t="shared" si="144"/>
        <v>-0.89900780000000002</v>
      </c>
    </row>
    <row r="3944" spans="1:19">
      <c r="A3944" s="18" t="s">
        <v>4106</v>
      </c>
      <c r="B3944" s="1" t="s">
        <v>4113</v>
      </c>
      <c r="C3944" s="1" t="s">
        <v>2635</v>
      </c>
      <c r="D3944" s="1" t="s">
        <v>5060</v>
      </c>
      <c r="E3944" s="1" t="s">
        <v>25</v>
      </c>
      <c r="F3944">
        <v>580</v>
      </c>
      <c r="G3944">
        <v>580</v>
      </c>
      <c r="H3944">
        <v>109.5</v>
      </c>
      <c r="I3944" s="1" t="s">
        <v>1528</v>
      </c>
      <c r="J3944" s="1" t="s">
        <v>1336</v>
      </c>
      <c r="K3944" s="1" t="s">
        <v>25</v>
      </c>
      <c r="L3944">
        <v>-0.898953</v>
      </c>
      <c r="M3944" t="str">
        <f t="shared" si="145"/>
        <v>44/40</v>
      </c>
      <c r="N3944" t="str">
        <f t="shared" si="146"/>
        <v>SW</v>
      </c>
      <c r="O3944" s="1" t="s">
        <v>25</v>
      </c>
      <c r="P3944" s="3" t="s">
        <v>25</v>
      </c>
      <c r="Q3944" s="37">
        <v>0.23453099999999999</v>
      </c>
      <c r="R3944" t="str">
        <f t="shared" si="147"/>
        <v>mmol/mol</v>
      </c>
      <c r="S3944" s="13">
        <f t="shared" si="144"/>
        <v>-0.898953</v>
      </c>
    </row>
    <row r="3945" spans="1:19">
      <c r="A3945" s="18" t="s">
        <v>4106</v>
      </c>
      <c r="B3945" s="1" t="s">
        <v>4114</v>
      </c>
      <c r="C3945" s="1" t="s">
        <v>2635</v>
      </c>
      <c r="D3945" s="1" t="s">
        <v>5060</v>
      </c>
      <c r="E3945" s="1" t="s">
        <v>25</v>
      </c>
      <c r="F3945">
        <v>580</v>
      </c>
      <c r="G3945">
        <v>580</v>
      </c>
      <c r="H3945">
        <v>119.4</v>
      </c>
      <c r="I3945" s="1" t="s">
        <v>1528</v>
      </c>
      <c r="J3945" s="1" t="s">
        <v>1336</v>
      </c>
      <c r="K3945" s="1" t="s">
        <v>25</v>
      </c>
      <c r="L3945">
        <v>-0.85542220000000002</v>
      </c>
      <c r="M3945" t="str">
        <f t="shared" si="145"/>
        <v>44/40</v>
      </c>
      <c r="N3945" t="str">
        <f t="shared" si="146"/>
        <v>SW</v>
      </c>
      <c r="O3945" s="1" t="s">
        <v>25</v>
      </c>
      <c r="P3945" s="3" t="s">
        <v>25</v>
      </c>
      <c r="Q3945" s="37">
        <v>0.21384510000000001</v>
      </c>
      <c r="R3945" t="str">
        <f t="shared" si="147"/>
        <v>mmol/mol</v>
      </c>
      <c r="S3945" s="13">
        <f t="shared" si="144"/>
        <v>-0.85542220000000002</v>
      </c>
    </row>
    <row r="3946" spans="1:19">
      <c r="A3946" s="18" t="s">
        <v>4106</v>
      </c>
      <c r="B3946" s="1" t="s">
        <v>4115</v>
      </c>
      <c r="C3946" s="1" t="s">
        <v>2635</v>
      </c>
      <c r="D3946" s="1" t="s">
        <v>5060</v>
      </c>
      <c r="E3946" s="1" t="s">
        <v>25</v>
      </c>
      <c r="F3946">
        <v>580</v>
      </c>
      <c r="G3946">
        <v>580</v>
      </c>
      <c r="H3946">
        <v>129.30000000000001</v>
      </c>
      <c r="I3946" s="1" t="s">
        <v>1528</v>
      </c>
      <c r="J3946" s="1" t="s">
        <v>1336</v>
      </c>
      <c r="K3946" s="1" t="s">
        <v>25</v>
      </c>
      <c r="L3946">
        <v>-0.65565399999999996</v>
      </c>
      <c r="M3946" t="str">
        <f t="shared" si="145"/>
        <v>44/40</v>
      </c>
      <c r="N3946" t="str">
        <f t="shared" si="146"/>
        <v>SW</v>
      </c>
      <c r="O3946" s="1" t="s">
        <v>25</v>
      </c>
      <c r="P3946" s="3" t="s">
        <v>25</v>
      </c>
      <c r="Q3946" s="37">
        <v>0.22390499999999999</v>
      </c>
      <c r="R3946" t="str">
        <f t="shared" si="147"/>
        <v>mmol/mol</v>
      </c>
      <c r="S3946" s="13">
        <f t="shared" si="144"/>
        <v>-0.65565399999999996</v>
      </c>
    </row>
    <row r="3947" spans="1:19">
      <c r="A3947" s="18" t="s">
        <v>4106</v>
      </c>
      <c r="B3947" s="1" t="s">
        <v>4116</v>
      </c>
      <c r="C3947" s="1" t="s">
        <v>2635</v>
      </c>
      <c r="D3947" s="1" t="s">
        <v>5060</v>
      </c>
      <c r="E3947" s="1" t="s">
        <v>25</v>
      </c>
      <c r="F3947">
        <v>580</v>
      </c>
      <c r="G3947">
        <v>580</v>
      </c>
      <c r="H3947">
        <v>139.6</v>
      </c>
      <c r="I3947" s="1" t="s">
        <v>1528</v>
      </c>
      <c r="J3947" s="1" t="s">
        <v>1336</v>
      </c>
      <c r="K3947" s="1" t="s">
        <v>25</v>
      </c>
      <c r="L3947">
        <v>-0.90514969999999995</v>
      </c>
      <c r="M3947" t="str">
        <f t="shared" si="145"/>
        <v>44/40</v>
      </c>
      <c r="N3947" t="str">
        <f t="shared" si="146"/>
        <v>SW</v>
      </c>
      <c r="O3947" s="1" t="s">
        <v>25</v>
      </c>
      <c r="P3947" s="3" t="s">
        <v>25</v>
      </c>
      <c r="Q3947" s="37">
        <v>0.21426300000000001</v>
      </c>
      <c r="R3947" t="str">
        <f t="shared" si="147"/>
        <v>mmol/mol</v>
      </c>
      <c r="S3947" s="13">
        <f t="shared" si="144"/>
        <v>-0.90514969999999995</v>
      </c>
    </row>
    <row r="3948" spans="1:19">
      <c r="A3948" s="18" t="s">
        <v>4106</v>
      </c>
      <c r="B3948" s="1" t="s">
        <v>4117</v>
      </c>
      <c r="C3948" s="1" t="s">
        <v>2635</v>
      </c>
      <c r="D3948" s="1" t="s">
        <v>5060</v>
      </c>
      <c r="E3948" s="1" t="s">
        <v>25</v>
      </c>
      <c r="F3948">
        <v>580</v>
      </c>
      <c r="G3948">
        <v>580</v>
      </c>
      <c r="H3948">
        <v>149.1</v>
      </c>
      <c r="I3948" s="1" t="s">
        <v>1528</v>
      </c>
      <c r="J3948" s="1" t="s">
        <v>1336</v>
      </c>
      <c r="K3948" s="1" t="s">
        <v>25</v>
      </c>
      <c r="L3948">
        <v>-0.88387649999999995</v>
      </c>
      <c r="M3948" t="str">
        <f t="shared" si="145"/>
        <v>44/40</v>
      </c>
      <c r="N3948" t="str">
        <f t="shared" si="146"/>
        <v>SW</v>
      </c>
      <c r="O3948" s="1" t="s">
        <v>25</v>
      </c>
      <c r="P3948" s="3" t="s">
        <v>25</v>
      </c>
      <c r="Q3948" s="37">
        <v>0.244476</v>
      </c>
      <c r="R3948" t="str">
        <f t="shared" si="147"/>
        <v>mmol/mol</v>
      </c>
      <c r="S3948" s="13">
        <f t="shared" ref="S3948:S4011" si="148">IF(NOT(N3948="SW"),L3948-1.88,L3948)</f>
        <v>-0.88387649999999995</v>
      </c>
    </row>
    <row r="3949" spans="1:19">
      <c r="A3949" s="18" t="s">
        <v>4106</v>
      </c>
      <c r="B3949" s="1" t="s">
        <v>4118</v>
      </c>
      <c r="C3949" s="1" t="s">
        <v>2635</v>
      </c>
      <c r="D3949" s="1" t="s">
        <v>5060</v>
      </c>
      <c r="E3949" s="1" t="s">
        <v>25</v>
      </c>
      <c r="F3949">
        <v>580</v>
      </c>
      <c r="G3949">
        <v>580</v>
      </c>
      <c r="H3949">
        <v>160.4</v>
      </c>
      <c r="I3949" s="1" t="s">
        <v>1528</v>
      </c>
      <c r="J3949" s="1" t="s">
        <v>1336</v>
      </c>
      <c r="K3949" s="1" t="s">
        <v>25</v>
      </c>
      <c r="L3949">
        <v>-0.76406419999999997</v>
      </c>
      <c r="M3949" t="str">
        <f t="shared" si="145"/>
        <v>44/40</v>
      </c>
      <c r="N3949" t="str">
        <f t="shared" si="146"/>
        <v>SW</v>
      </c>
      <c r="O3949" s="1" t="s">
        <v>25</v>
      </c>
      <c r="P3949" s="3" t="s">
        <v>25</v>
      </c>
      <c r="Q3949" s="37">
        <v>0.24447840000000001</v>
      </c>
      <c r="R3949" t="str">
        <f t="shared" si="147"/>
        <v>mmol/mol</v>
      </c>
      <c r="S3949" s="13">
        <f t="shared" si="148"/>
        <v>-0.76406419999999997</v>
      </c>
    </row>
    <row r="3950" spans="1:19">
      <c r="A3950" s="18" t="s">
        <v>4106</v>
      </c>
      <c r="B3950" s="1" t="s">
        <v>4119</v>
      </c>
      <c r="C3950" s="1" t="s">
        <v>2635</v>
      </c>
      <c r="D3950" s="1" t="s">
        <v>5060</v>
      </c>
      <c r="E3950" s="1" t="s">
        <v>25</v>
      </c>
      <c r="F3950">
        <v>580</v>
      </c>
      <c r="G3950">
        <v>580</v>
      </c>
      <c r="H3950">
        <v>173.7</v>
      </c>
      <c r="I3950" s="1" t="s">
        <v>1528</v>
      </c>
      <c r="J3950" s="1" t="s">
        <v>1336</v>
      </c>
      <c r="K3950" s="1" t="s">
        <v>25</v>
      </c>
      <c r="L3950">
        <v>-1.6381365000000001</v>
      </c>
      <c r="M3950" t="str">
        <f t="shared" si="145"/>
        <v>44/40</v>
      </c>
      <c r="N3950" t="str">
        <f t="shared" si="146"/>
        <v>SW</v>
      </c>
      <c r="O3950" s="1" t="s">
        <v>25</v>
      </c>
      <c r="P3950" s="3" t="s">
        <v>25</v>
      </c>
      <c r="Q3950" s="37">
        <v>2.5594720999999998</v>
      </c>
      <c r="R3950" t="str">
        <f t="shared" si="147"/>
        <v>mmol/mol</v>
      </c>
      <c r="S3950" s="13">
        <f t="shared" si="148"/>
        <v>-1.6381365000000001</v>
      </c>
    </row>
    <row r="3951" spans="1:19">
      <c r="A3951" s="18" t="s">
        <v>4106</v>
      </c>
      <c r="B3951" s="1" t="s">
        <v>4120</v>
      </c>
      <c r="C3951" s="1" t="s">
        <v>2635</v>
      </c>
      <c r="D3951" s="1" t="s">
        <v>5060</v>
      </c>
      <c r="E3951" s="1" t="s">
        <v>25</v>
      </c>
      <c r="F3951">
        <v>580</v>
      </c>
      <c r="G3951">
        <v>580</v>
      </c>
      <c r="H3951">
        <v>183.5</v>
      </c>
      <c r="I3951" s="1" t="s">
        <v>1528</v>
      </c>
      <c r="J3951" s="1" t="s">
        <v>1336</v>
      </c>
      <c r="K3951" s="1" t="s">
        <v>25</v>
      </c>
      <c r="L3951">
        <v>-1.7588866999999999</v>
      </c>
      <c r="M3951" t="str">
        <f t="shared" si="145"/>
        <v>44/40</v>
      </c>
      <c r="N3951" t="str">
        <f t="shared" si="146"/>
        <v>SW</v>
      </c>
      <c r="O3951" s="1" t="s">
        <v>25</v>
      </c>
      <c r="P3951" s="3" t="s">
        <v>25</v>
      </c>
      <c r="Q3951" s="37">
        <v>1.7225155999999999</v>
      </c>
      <c r="R3951" t="str">
        <f t="shared" si="147"/>
        <v>mmol/mol</v>
      </c>
      <c r="S3951" s="13">
        <f t="shared" si="148"/>
        <v>-1.7588866999999999</v>
      </c>
    </row>
    <row r="3952" spans="1:19">
      <c r="A3952" s="18" t="s">
        <v>4106</v>
      </c>
      <c r="B3952" s="1" t="s">
        <v>4121</v>
      </c>
      <c r="C3952" s="1" t="s">
        <v>2635</v>
      </c>
      <c r="D3952" s="1" t="s">
        <v>5060</v>
      </c>
      <c r="E3952" s="1" t="s">
        <v>25</v>
      </c>
      <c r="F3952">
        <v>580</v>
      </c>
      <c r="G3952">
        <v>580</v>
      </c>
      <c r="H3952">
        <v>194.4</v>
      </c>
      <c r="I3952" s="1" t="s">
        <v>1528</v>
      </c>
      <c r="J3952" s="1" t="s">
        <v>1336</v>
      </c>
      <c r="K3952" s="1" t="s">
        <v>25</v>
      </c>
      <c r="L3952" t="s">
        <v>25</v>
      </c>
      <c r="M3952" t="str">
        <f t="shared" ref="M3952:M4015" si="149">IF(L3952="Na","Na","44/40")</f>
        <v>Na</v>
      </c>
      <c r="N3952" t="str">
        <f t="shared" ref="N3952:N4015" si="150">IF(M3952="Na","Na","SW")</f>
        <v>Na</v>
      </c>
      <c r="O3952" s="1" t="s">
        <v>25</v>
      </c>
      <c r="P3952" s="3" t="s">
        <v>25</v>
      </c>
      <c r="Q3952" s="37">
        <v>2.4776522999999999</v>
      </c>
      <c r="R3952" t="str">
        <f t="shared" si="147"/>
        <v>mmol/mol</v>
      </c>
      <c r="S3952" s="13" t="s">
        <v>25</v>
      </c>
    </row>
    <row r="3953" spans="1:19">
      <c r="A3953" s="18" t="s">
        <v>4106</v>
      </c>
      <c r="B3953" s="1" t="s">
        <v>4122</v>
      </c>
      <c r="C3953" s="1" t="s">
        <v>2635</v>
      </c>
      <c r="D3953" s="1" t="s">
        <v>5060</v>
      </c>
      <c r="E3953" s="1" t="s">
        <v>25</v>
      </c>
      <c r="F3953">
        <v>580</v>
      </c>
      <c r="G3953">
        <v>580</v>
      </c>
      <c r="H3953">
        <v>204.6</v>
      </c>
      <c r="I3953" s="1" t="s">
        <v>1528</v>
      </c>
      <c r="J3953" s="1" t="s">
        <v>1336</v>
      </c>
      <c r="K3953" s="1" t="s">
        <v>25</v>
      </c>
      <c r="L3953">
        <v>-1.7496715</v>
      </c>
      <c r="M3953" t="str">
        <f t="shared" si="149"/>
        <v>44/40</v>
      </c>
      <c r="N3953" t="str">
        <f t="shared" si="150"/>
        <v>SW</v>
      </c>
      <c r="O3953" s="1" t="s">
        <v>25</v>
      </c>
      <c r="P3953" s="3" t="s">
        <v>25</v>
      </c>
      <c r="Q3953" s="37">
        <v>6.5536515</v>
      </c>
      <c r="R3953" t="str">
        <f t="shared" si="147"/>
        <v>mmol/mol</v>
      </c>
      <c r="S3953" s="13">
        <f t="shared" si="148"/>
        <v>-1.7496715</v>
      </c>
    </row>
    <row r="3954" spans="1:19">
      <c r="A3954" s="18" t="s">
        <v>4106</v>
      </c>
      <c r="B3954" s="1" t="s">
        <v>4123</v>
      </c>
      <c r="C3954" s="1" t="s">
        <v>2635</v>
      </c>
      <c r="D3954" s="1" t="s">
        <v>5060</v>
      </c>
      <c r="E3954" s="1" t="s">
        <v>25</v>
      </c>
      <c r="F3954">
        <v>580</v>
      </c>
      <c r="G3954">
        <v>580</v>
      </c>
      <c r="H3954">
        <v>226.3</v>
      </c>
      <c r="I3954" s="1" t="s">
        <v>1528</v>
      </c>
      <c r="J3954" s="1" t="s">
        <v>1336</v>
      </c>
      <c r="K3954" s="1" t="s">
        <v>25</v>
      </c>
      <c r="L3954">
        <v>-1.9279770000000001</v>
      </c>
      <c r="M3954" t="str">
        <f t="shared" si="149"/>
        <v>44/40</v>
      </c>
      <c r="N3954" t="str">
        <f t="shared" si="150"/>
        <v>SW</v>
      </c>
      <c r="O3954" s="1" t="s">
        <v>25</v>
      </c>
      <c r="P3954" s="3" t="s">
        <v>25</v>
      </c>
      <c r="Q3954" s="37">
        <v>2.9329055999999998</v>
      </c>
      <c r="R3954" t="str">
        <f t="shared" si="147"/>
        <v>mmol/mol</v>
      </c>
      <c r="S3954" s="13">
        <f t="shared" si="148"/>
        <v>-1.9279770000000001</v>
      </c>
    </row>
    <row r="3955" spans="1:19">
      <c r="A3955" s="18" t="s">
        <v>4106</v>
      </c>
      <c r="B3955" s="1" t="s">
        <v>4124</v>
      </c>
      <c r="C3955" s="1" t="s">
        <v>2635</v>
      </c>
      <c r="D3955" s="1" t="s">
        <v>5060</v>
      </c>
      <c r="E3955" s="1" t="s">
        <v>25</v>
      </c>
      <c r="F3955">
        <v>580</v>
      </c>
      <c r="G3955">
        <v>580</v>
      </c>
      <c r="H3955">
        <v>236.3</v>
      </c>
      <c r="I3955" s="1" t="s">
        <v>1528</v>
      </c>
      <c r="J3955" s="1" t="s">
        <v>1336</v>
      </c>
      <c r="K3955" s="1" t="s">
        <v>25</v>
      </c>
      <c r="L3955">
        <v>-1.6629697000000001</v>
      </c>
      <c r="M3955" t="str">
        <f t="shared" si="149"/>
        <v>44/40</v>
      </c>
      <c r="N3955" t="str">
        <f t="shared" si="150"/>
        <v>SW</v>
      </c>
      <c r="O3955" s="1" t="s">
        <v>25</v>
      </c>
      <c r="P3955" s="3" t="s">
        <v>25</v>
      </c>
      <c r="Q3955" s="37">
        <v>3.2395087999999999</v>
      </c>
      <c r="R3955" t="str">
        <f t="shared" si="147"/>
        <v>mmol/mol</v>
      </c>
      <c r="S3955" s="13">
        <f t="shared" si="148"/>
        <v>-1.6629697000000001</v>
      </c>
    </row>
    <row r="3956" spans="1:19">
      <c r="A3956" s="18" t="s">
        <v>4106</v>
      </c>
      <c r="B3956" s="1" t="s">
        <v>4125</v>
      </c>
      <c r="C3956" s="1" t="s">
        <v>2635</v>
      </c>
      <c r="D3956" s="1" t="s">
        <v>5060</v>
      </c>
      <c r="E3956" s="1" t="s">
        <v>25</v>
      </c>
      <c r="F3956">
        <v>580</v>
      </c>
      <c r="G3956">
        <v>580</v>
      </c>
      <c r="H3956">
        <v>246.2</v>
      </c>
      <c r="I3956" s="1" t="s">
        <v>1528</v>
      </c>
      <c r="J3956" s="1" t="s">
        <v>1336</v>
      </c>
      <c r="K3956" s="1" t="s">
        <v>25</v>
      </c>
      <c r="L3956">
        <v>-1.8814278</v>
      </c>
      <c r="M3956" t="str">
        <f t="shared" si="149"/>
        <v>44/40</v>
      </c>
      <c r="N3956" t="str">
        <f t="shared" si="150"/>
        <v>SW</v>
      </c>
      <c r="O3956" s="1" t="s">
        <v>25</v>
      </c>
      <c r="P3956" s="3" t="s">
        <v>25</v>
      </c>
      <c r="Q3956" s="37">
        <v>2.2671294999999998</v>
      </c>
      <c r="R3956" t="str">
        <f t="shared" si="147"/>
        <v>mmol/mol</v>
      </c>
      <c r="S3956" s="13">
        <f t="shared" si="148"/>
        <v>-1.8814278</v>
      </c>
    </row>
    <row r="3957" spans="1:19">
      <c r="A3957" s="18" t="s">
        <v>4106</v>
      </c>
      <c r="B3957" s="1" t="s">
        <v>4126</v>
      </c>
      <c r="C3957" s="1" t="s">
        <v>2635</v>
      </c>
      <c r="D3957" s="1" t="s">
        <v>5060</v>
      </c>
      <c r="E3957" s="1" t="s">
        <v>25</v>
      </c>
      <c r="F3957">
        <v>580</v>
      </c>
      <c r="G3957">
        <v>580</v>
      </c>
      <c r="H3957">
        <v>256.10000000000002</v>
      </c>
      <c r="I3957" s="1" t="s">
        <v>1528</v>
      </c>
      <c r="J3957" s="1" t="s">
        <v>1336</v>
      </c>
      <c r="K3957" s="1" t="s">
        <v>25</v>
      </c>
      <c r="L3957" t="s">
        <v>25</v>
      </c>
      <c r="M3957" t="str">
        <f t="shared" si="149"/>
        <v>Na</v>
      </c>
      <c r="N3957" t="str">
        <f t="shared" si="150"/>
        <v>Na</v>
      </c>
      <c r="O3957" s="1" t="s">
        <v>25</v>
      </c>
      <c r="P3957" s="3" t="s">
        <v>25</v>
      </c>
      <c r="Q3957" s="37">
        <v>5.0761320000000003</v>
      </c>
      <c r="R3957" t="str">
        <f t="shared" si="147"/>
        <v>mmol/mol</v>
      </c>
      <c r="S3957" s="13" t="s">
        <v>25</v>
      </c>
    </row>
    <row r="3958" spans="1:19">
      <c r="A3958" s="18" t="s">
        <v>4106</v>
      </c>
      <c r="B3958" s="1" t="s">
        <v>4127</v>
      </c>
      <c r="C3958" s="1" t="s">
        <v>2635</v>
      </c>
      <c r="D3958" s="1" t="s">
        <v>5060</v>
      </c>
      <c r="E3958" s="1" t="s">
        <v>25</v>
      </c>
      <c r="F3958">
        <v>580</v>
      </c>
      <c r="G3958">
        <v>580</v>
      </c>
      <c r="H3958">
        <v>269</v>
      </c>
      <c r="I3958" s="1" t="s">
        <v>1528</v>
      </c>
      <c r="J3958" s="1" t="s">
        <v>1336</v>
      </c>
      <c r="K3958" s="1" t="s">
        <v>25</v>
      </c>
      <c r="L3958">
        <v>-1.5581351000000001</v>
      </c>
      <c r="M3958" t="str">
        <f t="shared" si="149"/>
        <v>44/40</v>
      </c>
      <c r="N3958" t="str">
        <f t="shared" si="150"/>
        <v>SW</v>
      </c>
      <c r="O3958" s="1" t="s">
        <v>25</v>
      </c>
      <c r="P3958" s="3" t="s">
        <v>25</v>
      </c>
      <c r="Q3958" s="37">
        <v>2.3813407999999998</v>
      </c>
      <c r="R3958" t="str">
        <f t="shared" si="147"/>
        <v>mmol/mol</v>
      </c>
      <c r="S3958" s="13">
        <f t="shared" si="148"/>
        <v>-1.5581351000000001</v>
      </c>
    </row>
    <row r="3959" spans="1:19">
      <c r="A3959" s="18" t="s">
        <v>4106</v>
      </c>
      <c r="B3959" s="1" t="s">
        <v>4128</v>
      </c>
      <c r="C3959" s="1" t="s">
        <v>2635</v>
      </c>
      <c r="D3959" s="1" t="s">
        <v>5060</v>
      </c>
      <c r="E3959" s="1" t="s">
        <v>25</v>
      </c>
      <c r="F3959">
        <v>580</v>
      </c>
      <c r="G3959">
        <v>580</v>
      </c>
      <c r="H3959">
        <v>279.39999999999998</v>
      </c>
      <c r="I3959" s="1" t="s">
        <v>1528</v>
      </c>
      <c r="J3959" s="1" t="s">
        <v>1336</v>
      </c>
      <c r="K3959" s="1" t="s">
        <v>25</v>
      </c>
      <c r="L3959">
        <v>-1.4605444000000001</v>
      </c>
      <c r="M3959" t="str">
        <f t="shared" si="149"/>
        <v>44/40</v>
      </c>
      <c r="N3959" t="str">
        <f t="shared" si="150"/>
        <v>SW</v>
      </c>
      <c r="O3959" s="1" t="s">
        <v>25</v>
      </c>
      <c r="P3959" s="3" t="s">
        <v>25</v>
      </c>
      <c r="Q3959" s="37">
        <v>1.85185</v>
      </c>
      <c r="R3959" t="str">
        <f t="shared" si="147"/>
        <v>mmol/mol</v>
      </c>
      <c r="S3959" s="13">
        <f t="shared" si="148"/>
        <v>-1.4605444000000001</v>
      </c>
    </row>
    <row r="3960" spans="1:19">
      <c r="A3960" s="18" t="s">
        <v>4106</v>
      </c>
      <c r="B3960" s="1" t="s">
        <v>4129</v>
      </c>
      <c r="C3960" s="1" t="s">
        <v>2635</v>
      </c>
      <c r="D3960" s="1" t="s">
        <v>5060</v>
      </c>
      <c r="E3960" s="1" t="s">
        <v>25</v>
      </c>
      <c r="F3960">
        <v>580</v>
      </c>
      <c r="G3960">
        <v>580</v>
      </c>
      <c r="H3960">
        <v>288.60000000000002</v>
      </c>
      <c r="I3960" s="1" t="s">
        <v>1528</v>
      </c>
      <c r="J3960" s="1" t="s">
        <v>1336</v>
      </c>
      <c r="K3960" s="1" t="s">
        <v>25</v>
      </c>
      <c r="L3960">
        <v>-1.7338035999999999</v>
      </c>
      <c r="M3960" t="str">
        <f t="shared" si="149"/>
        <v>44/40</v>
      </c>
      <c r="N3960" t="str">
        <f t="shared" si="150"/>
        <v>SW</v>
      </c>
      <c r="O3960" s="1" t="s">
        <v>25</v>
      </c>
      <c r="P3960" s="3" t="s">
        <v>25</v>
      </c>
      <c r="Q3960" s="37">
        <v>4.4586079999999999</v>
      </c>
      <c r="R3960" t="str">
        <f t="shared" si="147"/>
        <v>mmol/mol</v>
      </c>
      <c r="S3960" s="13">
        <f t="shared" si="148"/>
        <v>-1.7338035999999999</v>
      </c>
    </row>
    <row r="3961" spans="1:19">
      <c r="A3961" s="18" t="s">
        <v>4106</v>
      </c>
      <c r="B3961" s="1" t="s">
        <v>4130</v>
      </c>
      <c r="C3961" s="1" t="s">
        <v>2635</v>
      </c>
      <c r="D3961" s="1" t="s">
        <v>5060</v>
      </c>
      <c r="E3961" s="1" t="s">
        <v>25</v>
      </c>
      <c r="F3961">
        <v>580</v>
      </c>
      <c r="G3961">
        <v>580</v>
      </c>
      <c r="H3961">
        <v>298.7</v>
      </c>
      <c r="I3961" s="1" t="s">
        <v>1528</v>
      </c>
      <c r="J3961" s="1" t="s">
        <v>1336</v>
      </c>
      <c r="K3961" s="1" t="s">
        <v>25</v>
      </c>
      <c r="L3961">
        <v>-1.8154013</v>
      </c>
      <c r="M3961" t="str">
        <f t="shared" si="149"/>
        <v>44/40</v>
      </c>
      <c r="N3961" t="str">
        <f t="shared" si="150"/>
        <v>SW</v>
      </c>
      <c r="O3961" s="1" t="s">
        <v>25</v>
      </c>
      <c r="P3961" s="3" t="s">
        <v>25</v>
      </c>
      <c r="Q3961" s="37">
        <v>4.9232291000000004</v>
      </c>
      <c r="R3961" t="str">
        <f t="shared" si="147"/>
        <v>mmol/mol</v>
      </c>
      <c r="S3961" s="13">
        <f t="shared" si="148"/>
        <v>-1.8154013</v>
      </c>
    </row>
    <row r="3962" spans="1:19">
      <c r="A3962" s="18" t="s">
        <v>4106</v>
      </c>
      <c r="B3962" s="1" t="s">
        <v>4131</v>
      </c>
      <c r="C3962" s="1" t="s">
        <v>2635</v>
      </c>
      <c r="D3962" s="1" t="s">
        <v>5060</v>
      </c>
      <c r="E3962" s="1" t="s">
        <v>25</v>
      </c>
      <c r="F3962">
        <v>580</v>
      </c>
      <c r="G3962">
        <v>580</v>
      </c>
      <c r="H3962">
        <v>304.7</v>
      </c>
      <c r="I3962" s="1" t="s">
        <v>1528</v>
      </c>
      <c r="J3962" s="1" t="s">
        <v>1336</v>
      </c>
      <c r="K3962" s="1" t="s">
        <v>25</v>
      </c>
      <c r="L3962">
        <v>-1.6282369999999999</v>
      </c>
      <c r="M3962" t="str">
        <f t="shared" si="149"/>
        <v>44/40</v>
      </c>
      <c r="N3962" t="str">
        <f t="shared" si="150"/>
        <v>SW</v>
      </c>
      <c r="O3962" s="1" t="s">
        <v>25</v>
      </c>
      <c r="P3962" s="3" t="s">
        <v>25</v>
      </c>
      <c r="Q3962" s="37">
        <v>3.9810431999999998</v>
      </c>
      <c r="R3962" t="str">
        <f t="shared" si="147"/>
        <v>mmol/mol</v>
      </c>
      <c r="S3962" s="13">
        <f t="shared" si="148"/>
        <v>-1.6282369999999999</v>
      </c>
    </row>
    <row r="3963" spans="1:19">
      <c r="A3963" s="18" t="s">
        <v>4106</v>
      </c>
      <c r="B3963" s="1" t="s">
        <v>4132</v>
      </c>
      <c r="C3963" s="1" t="s">
        <v>2635</v>
      </c>
      <c r="D3963" s="1" t="s">
        <v>5060</v>
      </c>
      <c r="E3963" s="1" t="s">
        <v>25</v>
      </c>
      <c r="F3963">
        <v>580</v>
      </c>
      <c r="G3963">
        <v>580</v>
      </c>
      <c r="H3963">
        <v>336.2</v>
      </c>
      <c r="I3963" s="1" t="s">
        <v>1528</v>
      </c>
      <c r="J3963" s="1" t="s">
        <v>1336</v>
      </c>
      <c r="K3963" s="1" t="s">
        <v>25</v>
      </c>
      <c r="L3963">
        <v>-1.6132671000000001</v>
      </c>
      <c r="M3963" t="str">
        <f t="shared" si="149"/>
        <v>44/40</v>
      </c>
      <c r="N3963" t="str">
        <f t="shared" si="150"/>
        <v>SW</v>
      </c>
      <c r="O3963" s="1" t="s">
        <v>25</v>
      </c>
      <c r="P3963" s="3" t="s">
        <v>25</v>
      </c>
      <c r="Q3963" s="37">
        <v>2.8986841000000001</v>
      </c>
      <c r="R3963" t="str">
        <f t="shared" si="147"/>
        <v>mmol/mol</v>
      </c>
      <c r="S3963" s="13">
        <f t="shared" si="148"/>
        <v>-1.6132671000000001</v>
      </c>
    </row>
    <row r="3964" spans="1:19">
      <c r="A3964" s="18" t="s">
        <v>4106</v>
      </c>
      <c r="B3964" s="1" t="s">
        <v>4133</v>
      </c>
      <c r="C3964" s="1" t="s">
        <v>2635</v>
      </c>
      <c r="D3964" s="1" t="s">
        <v>5060</v>
      </c>
      <c r="E3964" s="1" t="s">
        <v>25</v>
      </c>
      <c r="F3964">
        <v>580</v>
      </c>
      <c r="G3964">
        <v>580</v>
      </c>
      <c r="H3964">
        <v>345.6</v>
      </c>
      <c r="I3964" s="1" t="s">
        <v>1528</v>
      </c>
      <c r="J3964" s="1" t="s">
        <v>1336</v>
      </c>
      <c r="K3964" s="1" t="s">
        <v>25</v>
      </c>
      <c r="L3964">
        <v>-1.7524078000000001</v>
      </c>
      <c r="M3964" t="str">
        <f t="shared" si="149"/>
        <v>44/40</v>
      </c>
      <c r="N3964" t="str">
        <f t="shared" si="150"/>
        <v>SW</v>
      </c>
      <c r="O3964" s="1" t="s">
        <v>25</v>
      </c>
      <c r="P3964" s="3" t="s">
        <v>25</v>
      </c>
      <c r="Q3964" s="37">
        <v>5.0478614999999998</v>
      </c>
      <c r="R3964" t="str">
        <f t="shared" si="147"/>
        <v>mmol/mol</v>
      </c>
      <c r="S3964" s="13">
        <f t="shared" si="148"/>
        <v>-1.7524078000000001</v>
      </c>
    </row>
    <row r="3965" spans="1:19">
      <c r="A3965" s="18" t="s">
        <v>4106</v>
      </c>
      <c r="B3965" s="1" t="s">
        <v>4134</v>
      </c>
      <c r="C3965" s="1" t="s">
        <v>2635</v>
      </c>
      <c r="D3965" s="1" t="s">
        <v>5060</v>
      </c>
      <c r="E3965" s="1" t="s">
        <v>25</v>
      </c>
      <c r="F3965">
        <v>580</v>
      </c>
      <c r="G3965">
        <v>580</v>
      </c>
      <c r="H3965">
        <v>355.6</v>
      </c>
      <c r="I3965" s="1" t="s">
        <v>1528</v>
      </c>
      <c r="J3965" s="1" t="s">
        <v>1336</v>
      </c>
      <c r="K3965" s="1" t="s">
        <v>25</v>
      </c>
      <c r="L3965">
        <v>-1.8116325</v>
      </c>
      <c r="M3965" t="str">
        <f t="shared" si="149"/>
        <v>44/40</v>
      </c>
      <c r="N3965" t="str">
        <f t="shared" si="150"/>
        <v>SW</v>
      </c>
      <c r="O3965" s="1" t="s">
        <v>25</v>
      </c>
      <c r="P3965" s="3" t="s">
        <v>25</v>
      </c>
      <c r="Q3965" s="37">
        <v>5.7970079999999999</v>
      </c>
      <c r="R3965" t="str">
        <f t="shared" si="147"/>
        <v>mmol/mol</v>
      </c>
      <c r="S3965" s="13">
        <f t="shared" si="148"/>
        <v>-1.8116325</v>
      </c>
    </row>
    <row r="3966" spans="1:19">
      <c r="A3966" s="18" t="s">
        <v>4106</v>
      </c>
      <c r="B3966" s="1" t="s">
        <v>4135</v>
      </c>
      <c r="C3966" s="1" t="s">
        <v>2635</v>
      </c>
      <c r="D3966" s="1" t="s">
        <v>5060</v>
      </c>
      <c r="E3966" s="1" t="s">
        <v>25</v>
      </c>
      <c r="F3966">
        <v>580</v>
      </c>
      <c r="G3966">
        <v>580</v>
      </c>
      <c r="H3966">
        <v>365.8</v>
      </c>
      <c r="I3966" s="1" t="s">
        <v>1528</v>
      </c>
      <c r="J3966" s="1" t="s">
        <v>1336</v>
      </c>
      <c r="K3966" s="1" t="s">
        <v>25</v>
      </c>
      <c r="L3966">
        <v>-1.8603999</v>
      </c>
      <c r="M3966" t="str">
        <f t="shared" si="149"/>
        <v>44/40</v>
      </c>
      <c r="N3966" t="str">
        <f t="shared" si="150"/>
        <v>SW</v>
      </c>
      <c r="O3966" s="1" t="s">
        <v>25</v>
      </c>
      <c r="P3966" s="3" t="s">
        <v>25</v>
      </c>
      <c r="Q3966" s="37">
        <v>5.2115830000000001</v>
      </c>
      <c r="R3966" t="str">
        <f t="shared" si="147"/>
        <v>mmol/mol</v>
      </c>
      <c r="S3966" s="13">
        <f t="shared" si="148"/>
        <v>-1.8603999</v>
      </c>
    </row>
    <row r="3967" spans="1:19">
      <c r="A3967" s="18" t="s">
        <v>4106</v>
      </c>
      <c r="B3967" s="1" t="s">
        <v>4136</v>
      </c>
      <c r="C3967" s="1" t="s">
        <v>2635</v>
      </c>
      <c r="D3967" s="1" t="s">
        <v>5060</v>
      </c>
      <c r="E3967" s="1" t="s">
        <v>25</v>
      </c>
      <c r="F3967">
        <v>580</v>
      </c>
      <c r="G3967">
        <v>580</v>
      </c>
      <c r="H3967">
        <v>379.3</v>
      </c>
      <c r="I3967" s="1" t="s">
        <v>1528</v>
      </c>
      <c r="J3967" s="1" t="s">
        <v>1336</v>
      </c>
      <c r="K3967" s="1" t="s">
        <v>25</v>
      </c>
      <c r="L3967">
        <v>-1.6411502</v>
      </c>
      <c r="M3967" t="str">
        <f t="shared" si="149"/>
        <v>44/40</v>
      </c>
      <c r="N3967" t="str">
        <f t="shared" si="150"/>
        <v>SW</v>
      </c>
      <c r="O3967" s="1" t="s">
        <v>25</v>
      </c>
      <c r="P3967" s="3" t="s">
        <v>25</v>
      </c>
      <c r="Q3967" s="37">
        <v>4.911168</v>
      </c>
      <c r="R3967" t="str">
        <f t="shared" si="147"/>
        <v>mmol/mol</v>
      </c>
      <c r="S3967" s="13">
        <f t="shared" si="148"/>
        <v>-1.6411502</v>
      </c>
    </row>
    <row r="3968" spans="1:19">
      <c r="A3968" s="18" t="s">
        <v>4106</v>
      </c>
      <c r="B3968" s="1" t="s">
        <v>4137</v>
      </c>
      <c r="C3968" s="1" t="s">
        <v>2635</v>
      </c>
      <c r="D3968" s="1" t="s">
        <v>5060</v>
      </c>
      <c r="E3968" s="1" t="s">
        <v>25</v>
      </c>
      <c r="F3968">
        <v>580</v>
      </c>
      <c r="G3968">
        <v>580</v>
      </c>
      <c r="H3968">
        <v>394.4</v>
      </c>
      <c r="I3968" s="1" t="s">
        <v>1528</v>
      </c>
      <c r="J3968" s="1" t="s">
        <v>1336</v>
      </c>
      <c r="K3968" s="1" t="s">
        <v>25</v>
      </c>
      <c r="L3968">
        <v>-1.7779982000000001</v>
      </c>
      <c r="M3968" t="str">
        <f t="shared" si="149"/>
        <v>44/40</v>
      </c>
      <c r="N3968" t="str">
        <f t="shared" si="150"/>
        <v>SW</v>
      </c>
      <c r="O3968" s="1" t="s">
        <v>25</v>
      </c>
      <c r="P3968" s="3" t="s">
        <v>25</v>
      </c>
      <c r="Q3968" s="37">
        <v>5.5226813999999997</v>
      </c>
      <c r="R3968" t="str">
        <f t="shared" si="147"/>
        <v>mmol/mol</v>
      </c>
      <c r="S3968" s="13">
        <f t="shared" si="148"/>
        <v>-1.7779982000000001</v>
      </c>
    </row>
    <row r="3969" spans="1:19">
      <c r="A3969" s="18" t="s">
        <v>4106</v>
      </c>
      <c r="B3969" s="1" t="s">
        <v>4138</v>
      </c>
      <c r="C3969" s="1" t="s">
        <v>2635</v>
      </c>
      <c r="D3969" s="1" t="s">
        <v>5060</v>
      </c>
      <c r="E3969" s="1" t="s">
        <v>25</v>
      </c>
      <c r="F3969">
        <v>580</v>
      </c>
      <c r="G3969">
        <v>580</v>
      </c>
      <c r="H3969">
        <v>406.2</v>
      </c>
      <c r="I3969" s="1" t="s">
        <v>1528</v>
      </c>
      <c r="J3969" s="1" t="s">
        <v>1336</v>
      </c>
      <c r="K3969" s="1" t="s">
        <v>25</v>
      </c>
      <c r="L3969">
        <v>-1.8207297</v>
      </c>
      <c r="M3969" t="str">
        <f t="shared" si="149"/>
        <v>44/40</v>
      </c>
      <c r="N3969" t="str">
        <f t="shared" si="150"/>
        <v>SW</v>
      </c>
      <c r="O3969" s="1" t="s">
        <v>25</v>
      </c>
      <c r="P3969" s="3" t="s">
        <v>25</v>
      </c>
      <c r="Q3969" s="37">
        <v>4.5285484</v>
      </c>
      <c r="R3969" t="str">
        <f t="shared" si="147"/>
        <v>mmol/mol</v>
      </c>
      <c r="S3969" s="13">
        <f t="shared" si="148"/>
        <v>-1.8207297</v>
      </c>
    </row>
    <row r="3970" spans="1:19">
      <c r="A3970" s="18" t="s">
        <v>4106</v>
      </c>
      <c r="B3970" s="1" t="s">
        <v>4139</v>
      </c>
      <c r="C3970" s="1" t="s">
        <v>2635</v>
      </c>
      <c r="D3970" s="1" t="s">
        <v>5060</v>
      </c>
      <c r="E3970" s="1" t="s">
        <v>25</v>
      </c>
      <c r="F3970">
        <v>580</v>
      </c>
      <c r="G3970">
        <v>580</v>
      </c>
      <c r="H3970">
        <v>415</v>
      </c>
      <c r="I3970" s="1" t="s">
        <v>1528</v>
      </c>
      <c r="J3970" s="1" t="s">
        <v>1336</v>
      </c>
      <c r="K3970" s="1" t="s">
        <v>25</v>
      </c>
      <c r="L3970">
        <v>-1.808227</v>
      </c>
      <c r="M3970" t="str">
        <f t="shared" si="149"/>
        <v>44/40</v>
      </c>
      <c r="N3970" t="str">
        <f t="shared" si="150"/>
        <v>SW</v>
      </c>
      <c r="O3970" s="1" t="s">
        <v>25</v>
      </c>
      <c r="P3970" s="3" t="s">
        <v>25</v>
      </c>
      <c r="Q3970" s="37">
        <v>5.0774346000000001</v>
      </c>
      <c r="R3970" t="str">
        <f t="shared" si="147"/>
        <v>mmol/mol</v>
      </c>
      <c r="S3970" s="13">
        <f t="shared" si="148"/>
        <v>-1.808227</v>
      </c>
    </row>
    <row r="3971" spans="1:19">
      <c r="A3971" s="18" t="s">
        <v>4106</v>
      </c>
      <c r="B3971" s="1" t="s">
        <v>4140</v>
      </c>
      <c r="C3971" s="1" t="s">
        <v>2635</v>
      </c>
      <c r="D3971" s="1" t="s">
        <v>5060</v>
      </c>
      <c r="E3971" s="1" t="s">
        <v>25</v>
      </c>
      <c r="F3971">
        <v>580</v>
      </c>
      <c r="G3971">
        <v>580</v>
      </c>
      <c r="H3971">
        <v>425</v>
      </c>
      <c r="I3971" s="1" t="s">
        <v>1528</v>
      </c>
      <c r="J3971" s="1" t="s">
        <v>1336</v>
      </c>
      <c r="K3971" s="1" t="s">
        <v>25</v>
      </c>
      <c r="L3971" t="s">
        <v>25</v>
      </c>
      <c r="M3971" t="str">
        <f t="shared" si="149"/>
        <v>Na</v>
      </c>
      <c r="N3971" t="str">
        <f t="shared" si="150"/>
        <v>Na</v>
      </c>
      <c r="O3971" s="1" t="s">
        <v>25</v>
      </c>
      <c r="P3971" s="3" t="s">
        <v>25</v>
      </c>
      <c r="Q3971" s="37">
        <v>4.1065079999999998</v>
      </c>
      <c r="R3971" t="str">
        <f t="shared" si="147"/>
        <v>mmol/mol</v>
      </c>
      <c r="S3971" s="13" t="s">
        <v>25</v>
      </c>
    </row>
    <row r="3972" spans="1:19">
      <c r="A3972" s="18" t="s">
        <v>4106</v>
      </c>
      <c r="B3972" s="1" t="s">
        <v>4141</v>
      </c>
      <c r="C3972" s="1" t="s">
        <v>2635</v>
      </c>
      <c r="D3972" s="1" t="s">
        <v>5060</v>
      </c>
      <c r="E3972" s="1" t="s">
        <v>25</v>
      </c>
      <c r="F3972">
        <v>580</v>
      </c>
      <c r="G3972">
        <v>580</v>
      </c>
      <c r="H3972">
        <v>435.3</v>
      </c>
      <c r="I3972" s="1" t="s">
        <v>1528</v>
      </c>
      <c r="J3972" s="1" t="s">
        <v>1336</v>
      </c>
      <c r="K3972" s="1" t="s">
        <v>25</v>
      </c>
      <c r="L3972" t="s">
        <v>25</v>
      </c>
      <c r="M3972" t="str">
        <f t="shared" si="149"/>
        <v>Na</v>
      </c>
      <c r="N3972" t="str">
        <f t="shared" si="150"/>
        <v>Na</v>
      </c>
      <c r="O3972" s="1" t="s">
        <v>25</v>
      </c>
      <c r="P3972" s="3" t="s">
        <v>25</v>
      </c>
      <c r="Q3972" s="37">
        <v>4.154801</v>
      </c>
      <c r="R3972" t="str">
        <f t="shared" si="147"/>
        <v>mmol/mol</v>
      </c>
      <c r="S3972" s="13" t="s">
        <v>25</v>
      </c>
    </row>
    <row r="3973" spans="1:19">
      <c r="A3973" s="18" t="s">
        <v>4106</v>
      </c>
      <c r="B3973" s="1" t="s">
        <v>4142</v>
      </c>
      <c r="C3973" s="1" t="s">
        <v>2635</v>
      </c>
      <c r="D3973" s="1" t="s">
        <v>5060</v>
      </c>
      <c r="E3973" s="1" t="s">
        <v>25</v>
      </c>
      <c r="F3973">
        <v>580</v>
      </c>
      <c r="G3973">
        <v>580</v>
      </c>
      <c r="H3973">
        <v>459.5</v>
      </c>
      <c r="I3973" s="1" t="s">
        <v>1528</v>
      </c>
      <c r="J3973" s="1" t="s">
        <v>1336</v>
      </c>
      <c r="K3973" s="1" t="s">
        <v>25</v>
      </c>
      <c r="L3973">
        <v>-1.780138</v>
      </c>
      <c r="M3973" t="str">
        <f t="shared" si="149"/>
        <v>44/40</v>
      </c>
      <c r="N3973" t="str">
        <f t="shared" si="150"/>
        <v>SW</v>
      </c>
      <c r="O3973" s="1" t="s">
        <v>25</v>
      </c>
      <c r="P3973" s="3" t="s">
        <v>25</v>
      </c>
      <c r="Q3973" s="37">
        <v>3.57308</v>
      </c>
      <c r="R3973" t="str">
        <f t="shared" si="147"/>
        <v>mmol/mol</v>
      </c>
      <c r="S3973" s="13">
        <f t="shared" si="148"/>
        <v>-1.780138</v>
      </c>
    </row>
    <row r="3974" spans="1:19">
      <c r="A3974" s="18" t="s">
        <v>4106</v>
      </c>
      <c r="B3974" s="1" t="s">
        <v>4143</v>
      </c>
      <c r="C3974" s="1" t="s">
        <v>2635</v>
      </c>
      <c r="D3974" s="1" t="s">
        <v>5060</v>
      </c>
      <c r="E3974" s="1" t="s">
        <v>25</v>
      </c>
      <c r="F3974">
        <v>580</v>
      </c>
      <c r="G3974">
        <v>580</v>
      </c>
      <c r="H3974">
        <v>471.4</v>
      </c>
      <c r="I3974" s="1" t="s">
        <v>1528</v>
      </c>
      <c r="J3974" s="1" t="s">
        <v>1336</v>
      </c>
      <c r="K3974" s="1" t="s">
        <v>25</v>
      </c>
      <c r="L3974">
        <v>-1.6686000000000001</v>
      </c>
      <c r="M3974" t="str">
        <f t="shared" si="149"/>
        <v>44/40</v>
      </c>
      <c r="N3974" t="str">
        <f t="shared" si="150"/>
        <v>SW</v>
      </c>
      <c r="O3974" s="1" t="s">
        <v>25</v>
      </c>
      <c r="P3974" s="3" t="s">
        <v>25</v>
      </c>
      <c r="Q3974" s="37">
        <v>3.5530371000000001</v>
      </c>
      <c r="R3974" t="str">
        <f t="shared" si="147"/>
        <v>mmol/mol</v>
      </c>
      <c r="S3974" s="13">
        <f t="shared" si="148"/>
        <v>-1.6686000000000001</v>
      </c>
    </row>
    <row r="3975" spans="1:19">
      <c r="A3975" s="18" t="s">
        <v>4106</v>
      </c>
      <c r="B3975" s="1" t="s">
        <v>4144</v>
      </c>
      <c r="C3975" s="1" t="s">
        <v>2635</v>
      </c>
      <c r="D3975" s="1" t="s">
        <v>5060</v>
      </c>
      <c r="E3975" s="1" t="s">
        <v>25</v>
      </c>
      <c r="F3975">
        <v>580</v>
      </c>
      <c r="G3975">
        <v>580</v>
      </c>
      <c r="H3975">
        <v>482.3</v>
      </c>
      <c r="I3975" s="1" t="s">
        <v>1528</v>
      </c>
      <c r="J3975" s="1" t="s">
        <v>1336</v>
      </c>
      <c r="K3975" s="1" t="s">
        <v>25</v>
      </c>
      <c r="L3975">
        <v>-1.2650002</v>
      </c>
      <c r="M3975" t="str">
        <f t="shared" si="149"/>
        <v>44/40</v>
      </c>
      <c r="N3975" t="str">
        <f t="shared" si="150"/>
        <v>SW</v>
      </c>
      <c r="O3975" s="1" t="s">
        <v>25</v>
      </c>
      <c r="P3975" s="3" t="s">
        <v>25</v>
      </c>
      <c r="Q3975" s="37">
        <v>2.2796718</v>
      </c>
      <c r="R3975" t="str">
        <f t="shared" si="147"/>
        <v>mmol/mol</v>
      </c>
      <c r="S3975" s="13">
        <f t="shared" si="148"/>
        <v>-1.2650002</v>
      </c>
    </row>
    <row r="3976" spans="1:19">
      <c r="A3976" s="18" t="s">
        <v>4106</v>
      </c>
      <c r="B3976" s="1" t="s">
        <v>4145</v>
      </c>
      <c r="C3976" s="1" t="s">
        <v>2635</v>
      </c>
      <c r="D3976" s="1" t="s">
        <v>5060</v>
      </c>
      <c r="E3976" s="1" t="s">
        <v>25</v>
      </c>
      <c r="F3976">
        <v>580</v>
      </c>
      <c r="G3976">
        <v>580</v>
      </c>
      <c r="H3976">
        <v>493.6</v>
      </c>
      <c r="I3976" s="1" t="s">
        <v>1528</v>
      </c>
      <c r="J3976" s="1" t="s">
        <v>1336</v>
      </c>
      <c r="K3976" s="1" t="s">
        <v>25</v>
      </c>
      <c r="L3976">
        <v>-1.6240162</v>
      </c>
      <c r="M3976" t="str">
        <f t="shared" si="149"/>
        <v>44/40</v>
      </c>
      <c r="N3976" t="str">
        <f t="shared" si="150"/>
        <v>SW</v>
      </c>
      <c r="O3976" s="1" t="s">
        <v>25</v>
      </c>
      <c r="P3976" s="3" t="s">
        <v>25</v>
      </c>
      <c r="Q3976" s="37">
        <v>3.3052212000000001</v>
      </c>
      <c r="R3976" t="str">
        <f t="shared" si="147"/>
        <v>mmol/mol</v>
      </c>
      <c r="S3976" s="13">
        <f t="shared" si="148"/>
        <v>-1.6240162</v>
      </c>
    </row>
    <row r="3977" spans="1:19">
      <c r="A3977" s="18" t="s">
        <v>4106</v>
      </c>
      <c r="B3977" s="1" t="s">
        <v>4146</v>
      </c>
      <c r="C3977" s="1" t="s">
        <v>2635</v>
      </c>
      <c r="D3977" s="1" t="s">
        <v>5060</v>
      </c>
      <c r="E3977" s="1" t="s">
        <v>25</v>
      </c>
      <c r="F3977">
        <v>580</v>
      </c>
      <c r="G3977">
        <v>580</v>
      </c>
      <c r="H3977">
        <v>502.9</v>
      </c>
      <c r="I3977" s="1" t="s">
        <v>1528</v>
      </c>
      <c r="J3977" s="1" t="s">
        <v>1336</v>
      </c>
      <c r="K3977" s="1" t="s">
        <v>25</v>
      </c>
      <c r="L3977" t="s">
        <v>25</v>
      </c>
      <c r="M3977" t="str">
        <f t="shared" si="149"/>
        <v>Na</v>
      </c>
      <c r="N3977" t="str">
        <f t="shared" si="150"/>
        <v>Na</v>
      </c>
      <c r="O3977" s="1" t="s">
        <v>25</v>
      </c>
      <c r="P3977" s="3" t="s">
        <v>25</v>
      </c>
      <c r="Q3977" s="37">
        <v>2.0276176000000001</v>
      </c>
      <c r="R3977" t="str">
        <f t="shared" si="147"/>
        <v>mmol/mol</v>
      </c>
      <c r="S3977" s="13" t="s">
        <v>25</v>
      </c>
    </row>
    <row r="3978" spans="1:19">
      <c r="A3978" s="18" t="s">
        <v>4106</v>
      </c>
      <c r="B3978" s="1" t="s">
        <v>4147</v>
      </c>
      <c r="C3978" s="1" t="s">
        <v>2635</v>
      </c>
      <c r="D3978" s="1" t="s">
        <v>5060</v>
      </c>
      <c r="E3978" s="1" t="s">
        <v>25</v>
      </c>
      <c r="F3978">
        <v>580</v>
      </c>
      <c r="G3978">
        <v>580</v>
      </c>
      <c r="H3978">
        <v>514.70000000000005</v>
      </c>
      <c r="I3978" s="1" t="s">
        <v>1528</v>
      </c>
      <c r="J3978" s="1" t="s">
        <v>1336</v>
      </c>
      <c r="K3978" s="1" t="s">
        <v>25</v>
      </c>
      <c r="L3978">
        <v>-1.4186953</v>
      </c>
      <c r="M3978" t="str">
        <f t="shared" si="149"/>
        <v>44/40</v>
      </c>
      <c r="N3978" t="str">
        <f t="shared" si="150"/>
        <v>SW</v>
      </c>
      <c r="O3978" s="1" t="s">
        <v>25</v>
      </c>
      <c r="P3978" s="3" t="s">
        <v>25</v>
      </c>
      <c r="Q3978" s="37">
        <v>7.5476127999999996</v>
      </c>
      <c r="R3978" t="str">
        <f t="shared" si="147"/>
        <v>mmol/mol</v>
      </c>
      <c r="S3978" s="13">
        <f t="shared" si="148"/>
        <v>-1.4186953</v>
      </c>
    </row>
    <row r="3979" spans="1:19">
      <c r="A3979" s="18" t="s">
        <v>4106</v>
      </c>
      <c r="B3979" s="1" t="s">
        <v>4148</v>
      </c>
      <c r="C3979" s="1" t="s">
        <v>2635</v>
      </c>
      <c r="D3979" s="1" t="s">
        <v>5060</v>
      </c>
      <c r="E3979" s="1" t="s">
        <v>25</v>
      </c>
      <c r="F3979">
        <v>580</v>
      </c>
      <c r="G3979">
        <v>580</v>
      </c>
      <c r="H3979">
        <v>525.1</v>
      </c>
      <c r="I3979" s="1" t="s">
        <v>1528</v>
      </c>
      <c r="J3979" s="1" t="s">
        <v>1336</v>
      </c>
      <c r="K3979" s="1" t="s">
        <v>25</v>
      </c>
      <c r="L3979">
        <v>-1.4763710999999999</v>
      </c>
      <c r="M3979" t="str">
        <f t="shared" si="149"/>
        <v>44/40</v>
      </c>
      <c r="N3979" t="str">
        <f t="shared" si="150"/>
        <v>SW</v>
      </c>
      <c r="O3979" s="1" t="s">
        <v>25</v>
      </c>
      <c r="P3979" s="3" t="s">
        <v>25</v>
      </c>
      <c r="Q3979" s="37">
        <v>2.9967125999999999</v>
      </c>
      <c r="R3979" t="str">
        <f t="shared" si="147"/>
        <v>mmol/mol</v>
      </c>
      <c r="S3979" s="13">
        <f t="shared" si="148"/>
        <v>-1.4763710999999999</v>
      </c>
    </row>
    <row r="3980" spans="1:19">
      <c r="A3980" s="18" t="s">
        <v>4106</v>
      </c>
      <c r="B3980" s="1" t="s">
        <v>4149</v>
      </c>
      <c r="C3980" s="1" t="s">
        <v>2635</v>
      </c>
      <c r="D3980" s="1" t="s">
        <v>5060</v>
      </c>
      <c r="E3980" s="1" t="s">
        <v>25</v>
      </c>
      <c r="F3980">
        <v>580</v>
      </c>
      <c r="G3980">
        <v>580</v>
      </c>
      <c r="H3980">
        <v>540.9</v>
      </c>
      <c r="I3980" s="1" t="s">
        <v>1528</v>
      </c>
      <c r="J3980" s="1" t="s">
        <v>1336</v>
      </c>
      <c r="K3980" s="1" t="s">
        <v>25</v>
      </c>
      <c r="L3980">
        <v>-1.6228499999999999</v>
      </c>
      <c r="M3980" t="str">
        <f t="shared" si="149"/>
        <v>44/40</v>
      </c>
      <c r="N3980" t="str">
        <f t="shared" si="150"/>
        <v>SW</v>
      </c>
      <c r="O3980" s="1" t="s">
        <v>25</v>
      </c>
      <c r="P3980" s="3" t="s">
        <v>25</v>
      </c>
      <c r="Q3980" s="37">
        <v>1.4308691</v>
      </c>
      <c r="R3980" t="str">
        <f t="shared" si="147"/>
        <v>mmol/mol</v>
      </c>
      <c r="S3980" s="13">
        <f t="shared" si="148"/>
        <v>-1.6228499999999999</v>
      </c>
    </row>
    <row r="3981" spans="1:19">
      <c r="A3981" s="18" t="s">
        <v>4106</v>
      </c>
      <c r="B3981" s="1" t="s">
        <v>4150</v>
      </c>
      <c r="C3981" s="1" t="s">
        <v>2635</v>
      </c>
      <c r="D3981" s="1" t="s">
        <v>5060</v>
      </c>
      <c r="E3981" s="1" t="s">
        <v>25</v>
      </c>
      <c r="F3981">
        <v>580</v>
      </c>
      <c r="G3981">
        <v>580</v>
      </c>
      <c r="H3981">
        <v>553.20000000000005</v>
      </c>
      <c r="I3981" s="1" t="s">
        <v>1528</v>
      </c>
      <c r="J3981" s="1" t="s">
        <v>1336</v>
      </c>
      <c r="K3981" s="1" t="s">
        <v>25</v>
      </c>
      <c r="L3981">
        <v>-1.4654161999999999</v>
      </c>
      <c r="M3981" t="str">
        <f t="shared" si="149"/>
        <v>44/40</v>
      </c>
      <c r="N3981" t="str">
        <f t="shared" si="150"/>
        <v>SW</v>
      </c>
      <c r="O3981" s="1" t="s">
        <v>25</v>
      </c>
      <c r="P3981" s="3" t="s">
        <v>25</v>
      </c>
      <c r="Q3981" s="37">
        <v>4.2480785000000001</v>
      </c>
      <c r="R3981" t="str">
        <f t="shared" si="147"/>
        <v>mmol/mol</v>
      </c>
      <c r="S3981" s="13">
        <f t="shared" si="148"/>
        <v>-1.4654161999999999</v>
      </c>
    </row>
    <row r="3982" spans="1:19">
      <c r="A3982" s="18" t="s">
        <v>4106</v>
      </c>
      <c r="B3982" s="1" t="s">
        <v>4151</v>
      </c>
      <c r="C3982" s="1" t="s">
        <v>2635</v>
      </c>
      <c r="D3982" s="1" t="s">
        <v>5060</v>
      </c>
      <c r="E3982" s="1" t="s">
        <v>25</v>
      </c>
      <c r="F3982">
        <v>580</v>
      </c>
      <c r="G3982">
        <v>580</v>
      </c>
      <c r="H3982">
        <v>565.1</v>
      </c>
      <c r="I3982" s="1" t="s">
        <v>1528</v>
      </c>
      <c r="J3982" s="1" t="s">
        <v>1336</v>
      </c>
      <c r="K3982" s="1" t="s">
        <v>25</v>
      </c>
      <c r="L3982">
        <v>-1.4974890000000001</v>
      </c>
      <c r="M3982" t="str">
        <f t="shared" si="149"/>
        <v>44/40</v>
      </c>
      <c r="N3982" t="str">
        <f t="shared" si="150"/>
        <v>SW</v>
      </c>
      <c r="O3982" s="1" t="s">
        <v>25</v>
      </c>
      <c r="P3982" s="3" t="s">
        <v>25</v>
      </c>
      <c r="Q3982" s="37">
        <v>1.3274229</v>
      </c>
      <c r="R3982" t="str">
        <f t="shared" si="147"/>
        <v>mmol/mol</v>
      </c>
      <c r="S3982" s="13">
        <f t="shared" si="148"/>
        <v>-1.4974890000000001</v>
      </c>
    </row>
    <row r="3983" spans="1:19">
      <c r="A3983" s="18" t="s">
        <v>4106</v>
      </c>
      <c r="B3983" s="1" t="s">
        <v>4152</v>
      </c>
      <c r="C3983" s="1" t="s">
        <v>2635</v>
      </c>
      <c r="D3983" s="1" t="s">
        <v>5060</v>
      </c>
      <c r="E3983" s="1" t="s">
        <v>25</v>
      </c>
      <c r="F3983">
        <v>580</v>
      </c>
      <c r="G3983">
        <v>580</v>
      </c>
      <c r="H3983">
        <v>574.29999999999995</v>
      </c>
      <c r="I3983" s="1" t="s">
        <v>1528</v>
      </c>
      <c r="J3983" s="1" t="s">
        <v>1336</v>
      </c>
      <c r="K3983" s="1" t="s">
        <v>25</v>
      </c>
      <c r="L3983">
        <v>-1.3718372999999999</v>
      </c>
      <c r="M3983" t="str">
        <f t="shared" si="149"/>
        <v>44/40</v>
      </c>
      <c r="N3983" t="str">
        <f t="shared" si="150"/>
        <v>SW</v>
      </c>
      <c r="O3983" s="1" t="s">
        <v>25</v>
      </c>
      <c r="P3983" s="3" t="s">
        <v>25</v>
      </c>
      <c r="Q3983" s="37">
        <v>2.1842065000000002</v>
      </c>
      <c r="R3983" t="str">
        <f t="shared" si="147"/>
        <v>mmol/mol</v>
      </c>
      <c r="S3983" s="13">
        <f t="shared" si="148"/>
        <v>-1.3718372999999999</v>
      </c>
    </row>
    <row r="3984" spans="1:19">
      <c r="A3984" s="18" t="s">
        <v>4106</v>
      </c>
      <c r="B3984" s="1" t="s">
        <v>4153</v>
      </c>
      <c r="C3984" s="1" t="s">
        <v>2635</v>
      </c>
      <c r="D3984" s="1" t="s">
        <v>5060</v>
      </c>
      <c r="E3984" s="1" t="s">
        <v>25</v>
      </c>
      <c r="F3984">
        <v>580</v>
      </c>
      <c r="G3984">
        <v>580</v>
      </c>
      <c r="H3984">
        <v>589.20000000000005</v>
      </c>
      <c r="I3984" s="1" t="s">
        <v>1528</v>
      </c>
      <c r="J3984" s="1" t="s">
        <v>1336</v>
      </c>
      <c r="K3984" s="1" t="s">
        <v>25</v>
      </c>
      <c r="L3984">
        <v>-1.5123884999999999</v>
      </c>
      <c r="M3984" t="str">
        <f t="shared" si="149"/>
        <v>44/40</v>
      </c>
      <c r="N3984" t="str">
        <f t="shared" si="150"/>
        <v>SW</v>
      </c>
      <c r="O3984" s="1" t="s">
        <v>25</v>
      </c>
      <c r="P3984" s="3" t="s">
        <v>25</v>
      </c>
      <c r="Q3984" s="37">
        <v>1.1269728000000001</v>
      </c>
      <c r="R3984" t="str">
        <f t="shared" si="147"/>
        <v>mmol/mol</v>
      </c>
      <c r="S3984" s="13">
        <f t="shared" si="148"/>
        <v>-1.5123884999999999</v>
      </c>
    </row>
    <row r="3985" spans="1:19">
      <c r="A3985" s="18" t="s">
        <v>4106</v>
      </c>
      <c r="B3985" s="1" t="s">
        <v>4154</v>
      </c>
      <c r="C3985" s="1" t="s">
        <v>2635</v>
      </c>
      <c r="D3985" s="1" t="s">
        <v>5060</v>
      </c>
      <c r="E3985" s="1" t="s">
        <v>25</v>
      </c>
      <c r="F3985">
        <v>580</v>
      </c>
      <c r="G3985">
        <v>580</v>
      </c>
      <c r="H3985">
        <v>599.70000000000005</v>
      </c>
      <c r="I3985" s="1" t="s">
        <v>1528</v>
      </c>
      <c r="J3985" s="1" t="s">
        <v>1336</v>
      </c>
      <c r="K3985" s="1" t="s">
        <v>25</v>
      </c>
      <c r="L3985" t="s">
        <v>25</v>
      </c>
      <c r="M3985" t="str">
        <f t="shared" si="149"/>
        <v>Na</v>
      </c>
      <c r="N3985" t="str">
        <f t="shared" si="150"/>
        <v>Na</v>
      </c>
      <c r="O3985" s="1" t="s">
        <v>25</v>
      </c>
      <c r="P3985" s="3" t="s">
        <v>25</v>
      </c>
      <c r="Q3985" s="37">
        <v>0.63080760000000002</v>
      </c>
      <c r="R3985" t="str">
        <f t="shared" si="147"/>
        <v>mmol/mol</v>
      </c>
      <c r="S3985" s="13" t="s">
        <v>25</v>
      </c>
    </row>
    <row r="3986" spans="1:19">
      <c r="A3986" s="18" t="s">
        <v>4106</v>
      </c>
      <c r="B3986" s="1" t="s">
        <v>4155</v>
      </c>
      <c r="C3986" s="1" t="s">
        <v>2635</v>
      </c>
      <c r="D3986" s="1" t="s">
        <v>5060</v>
      </c>
      <c r="E3986" s="1" t="s">
        <v>25</v>
      </c>
      <c r="F3986">
        <v>580</v>
      </c>
      <c r="G3986">
        <v>580</v>
      </c>
      <c r="H3986">
        <v>612.70000000000005</v>
      </c>
      <c r="I3986" s="1" t="s">
        <v>1528</v>
      </c>
      <c r="J3986" s="1" t="s">
        <v>1336</v>
      </c>
      <c r="K3986" s="1" t="s">
        <v>25</v>
      </c>
      <c r="L3986">
        <v>-1.2713819</v>
      </c>
      <c r="M3986" t="str">
        <f t="shared" si="149"/>
        <v>44/40</v>
      </c>
      <c r="N3986" t="str">
        <f t="shared" si="150"/>
        <v>SW</v>
      </c>
      <c r="O3986" s="1" t="s">
        <v>25</v>
      </c>
      <c r="P3986" s="3" t="s">
        <v>25</v>
      </c>
      <c r="Q3986" s="37">
        <v>0.59420609999999996</v>
      </c>
      <c r="R3986" t="str">
        <f t="shared" si="147"/>
        <v>mmol/mol</v>
      </c>
      <c r="S3986" s="13">
        <f t="shared" si="148"/>
        <v>-1.2713819</v>
      </c>
    </row>
    <row r="3987" spans="1:19">
      <c r="A3987" s="18" t="s">
        <v>4106</v>
      </c>
      <c r="B3987" s="1" t="s">
        <v>4156</v>
      </c>
      <c r="C3987" s="1" t="s">
        <v>2635</v>
      </c>
      <c r="D3987" s="1" t="s">
        <v>5060</v>
      </c>
      <c r="E3987" s="1" t="s">
        <v>25</v>
      </c>
      <c r="F3987">
        <v>580</v>
      </c>
      <c r="G3987">
        <v>580</v>
      </c>
      <c r="H3987">
        <v>622.79999999999995</v>
      </c>
      <c r="I3987" s="1" t="s">
        <v>1528</v>
      </c>
      <c r="J3987" s="1" t="s">
        <v>1336</v>
      </c>
      <c r="K3987" s="1" t="s">
        <v>25</v>
      </c>
      <c r="L3987">
        <v>-1.2646014000000001</v>
      </c>
      <c r="M3987" t="str">
        <f t="shared" si="149"/>
        <v>44/40</v>
      </c>
      <c r="N3987" t="str">
        <f t="shared" si="150"/>
        <v>SW</v>
      </c>
      <c r="O3987" s="1" t="s">
        <v>25</v>
      </c>
      <c r="P3987" s="3" t="s">
        <v>25</v>
      </c>
      <c r="Q3987" s="37">
        <v>0.71317759999999997</v>
      </c>
      <c r="R3987" t="str">
        <f t="shared" si="147"/>
        <v>mmol/mol</v>
      </c>
      <c r="S3987" s="13">
        <f t="shared" si="148"/>
        <v>-1.2646014000000001</v>
      </c>
    </row>
    <row r="3988" spans="1:19">
      <c r="A3988" s="18" t="s">
        <v>4106</v>
      </c>
      <c r="B3988" s="1" t="s">
        <v>4157</v>
      </c>
      <c r="C3988" s="1" t="s">
        <v>2635</v>
      </c>
      <c r="D3988" s="1" t="s">
        <v>5060</v>
      </c>
      <c r="E3988" s="1" t="s">
        <v>25</v>
      </c>
      <c r="F3988">
        <v>580</v>
      </c>
      <c r="G3988">
        <v>580</v>
      </c>
      <c r="H3988">
        <v>632</v>
      </c>
      <c r="I3988" s="1" t="s">
        <v>1528</v>
      </c>
      <c r="J3988" s="1" t="s">
        <v>1491</v>
      </c>
      <c r="K3988" s="1" t="s">
        <v>25</v>
      </c>
      <c r="L3988">
        <v>-1.0711999999999999</v>
      </c>
      <c r="M3988" t="str">
        <f t="shared" si="149"/>
        <v>44/40</v>
      </c>
      <c r="N3988" t="str">
        <f t="shared" si="150"/>
        <v>SW</v>
      </c>
      <c r="O3988" s="1" t="s">
        <v>25</v>
      </c>
      <c r="P3988" s="3" t="s">
        <v>25</v>
      </c>
      <c r="Q3988" s="37">
        <v>0.114528</v>
      </c>
      <c r="R3988" t="str">
        <f t="shared" si="147"/>
        <v>mmol/mol</v>
      </c>
      <c r="S3988" s="13">
        <f t="shared" si="148"/>
        <v>-1.0711999999999999</v>
      </c>
    </row>
    <row r="3989" spans="1:19">
      <c r="A3989" s="18" t="s">
        <v>4106</v>
      </c>
      <c r="B3989" s="1" t="s">
        <v>4158</v>
      </c>
      <c r="C3989" s="1" t="s">
        <v>2635</v>
      </c>
      <c r="D3989" s="1" t="s">
        <v>5060</v>
      </c>
      <c r="E3989" s="1" t="s">
        <v>25</v>
      </c>
      <c r="F3989">
        <v>580</v>
      </c>
      <c r="G3989">
        <v>580</v>
      </c>
      <c r="H3989">
        <v>642.4</v>
      </c>
      <c r="I3989" s="1" t="s">
        <v>1528</v>
      </c>
      <c r="J3989" s="1" t="s">
        <v>1491</v>
      </c>
      <c r="K3989" s="1" t="s">
        <v>25</v>
      </c>
      <c r="L3989">
        <v>-1.3578678</v>
      </c>
      <c r="M3989" t="str">
        <f t="shared" si="149"/>
        <v>44/40</v>
      </c>
      <c r="N3989" t="str">
        <f t="shared" si="150"/>
        <v>SW</v>
      </c>
      <c r="O3989" s="1" t="s">
        <v>25</v>
      </c>
      <c r="P3989" s="3" t="s">
        <v>25</v>
      </c>
      <c r="Q3989" s="37">
        <v>0.1495088</v>
      </c>
      <c r="R3989" t="str">
        <f t="shared" si="147"/>
        <v>mmol/mol</v>
      </c>
      <c r="S3989" s="13">
        <f t="shared" si="148"/>
        <v>-1.3578678</v>
      </c>
    </row>
    <row r="3990" spans="1:19">
      <c r="A3990" s="18" t="s">
        <v>4106</v>
      </c>
      <c r="B3990" s="1" t="s">
        <v>4159</v>
      </c>
      <c r="C3990" s="1" t="s">
        <v>2635</v>
      </c>
      <c r="D3990" s="1" t="s">
        <v>5060</v>
      </c>
      <c r="E3990" s="1" t="s">
        <v>25</v>
      </c>
      <c r="F3990">
        <v>580</v>
      </c>
      <c r="G3990">
        <v>580</v>
      </c>
      <c r="H3990">
        <v>651.9</v>
      </c>
      <c r="I3990" s="1" t="s">
        <v>1528</v>
      </c>
      <c r="J3990" s="1" t="s">
        <v>1491</v>
      </c>
      <c r="K3990" s="1" t="s">
        <v>25</v>
      </c>
      <c r="L3990" t="s">
        <v>25</v>
      </c>
      <c r="M3990" t="str">
        <f t="shared" si="149"/>
        <v>Na</v>
      </c>
      <c r="N3990" t="str">
        <f t="shared" si="150"/>
        <v>Na</v>
      </c>
      <c r="O3990" s="1" t="s">
        <v>25</v>
      </c>
      <c r="P3990" s="3" t="s">
        <v>25</v>
      </c>
      <c r="Q3990" s="37">
        <v>0.28699200000000002</v>
      </c>
      <c r="R3990" t="str">
        <f t="shared" si="147"/>
        <v>mmol/mol</v>
      </c>
      <c r="S3990" s="13" t="s">
        <v>25</v>
      </c>
    </row>
    <row r="3991" spans="1:19">
      <c r="A3991" s="18" t="s">
        <v>4106</v>
      </c>
      <c r="B3991" s="1" t="s">
        <v>4160</v>
      </c>
      <c r="C3991" s="1" t="s">
        <v>2635</v>
      </c>
      <c r="D3991" s="1" t="s">
        <v>5060</v>
      </c>
      <c r="E3991" s="1" t="s">
        <v>25</v>
      </c>
      <c r="F3991">
        <v>580</v>
      </c>
      <c r="G3991">
        <v>580</v>
      </c>
      <c r="H3991">
        <v>663.4</v>
      </c>
      <c r="I3991" s="1" t="s">
        <v>1528</v>
      </c>
      <c r="J3991" s="1" t="s">
        <v>1336</v>
      </c>
      <c r="K3991" s="1" t="s">
        <v>25</v>
      </c>
      <c r="L3991">
        <v>-1.2945523999999999</v>
      </c>
      <c r="M3991" t="str">
        <f t="shared" si="149"/>
        <v>44/40</v>
      </c>
      <c r="N3991" t="str">
        <f t="shared" si="150"/>
        <v>SW</v>
      </c>
      <c r="O3991" s="1" t="s">
        <v>25</v>
      </c>
      <c r="P3991" s="3" t="s">
        <v>25</v>
      </c>
      <c r="Q3991" s="37">
        <v>0.52226870000000003</v>
      </c>
      <c r="R3991" t="str">
        <f t="shared" si="147"/>
        <v>mmol/mol</v>
      </c>
      <c r="S3991" s="13">
        <f t="shared" si="148"/>
        <v>-1.2945523999999999</v>
      </c>
    </row>
    <row r="3992" spans="1:19">
      <c r="A3992" s="18" t="s">
        <v>4106</v>
      </c>
      <c r="B3992" s="1" t="s">
        <v>4161</v>
      </c>
      <c r="C3992" s="1" t="s">
        <v>2635</v>
      </c>
      <c r="D3992" s="1" t="s">
        <v>5060</v>
      </c>
      <c r="E3992" s="1" t="s">
        <v>25</v>
      </c>
      <c r="F3992">
        <v>580</v>
      </c>
      <c r="G3992">
        <v>580</v>
      </c>
      <c r="H3992">
        <v>671.5</v>
      </c>
      <c r="I3992" s="1" t="s">
        <v>1528</v>
      </c>
      <c r="J3992" s="1" t="s">
        <v>1491</v>
      </c>
      <c r="K3992" s="1" t="s">
        <v>25</v>
      </c>
      <c r="L3992">
        <v>-0.89097979999999999</v>
      </c>
      <c r="M3992" t="str">
        <f t="shared" si="149"/>
        <v>44/40</v>
      </c>
      <c r="N3992" t="str">
        <f t="shared" si="150"/>
        <v>SW</v>
      </c>
      <c r="O3992" s="1" t="s">
        <v>25</v>
      </c>
      <c r="P3992" s="3" t="s">
        <v>25</v>
      </c>
      <c r="Q3992" s="37">
        <v>7.6279200000000005E-2</v>
      </c>
      <c r="R3992" t="str">
        <f t="shared" si="147"/>
        <v>mmol/mol</v>
      </c>
      <c r="S3992" s="13">
        <f t="shared" si="148"/>
        <v>-0.89097979999999999</v>
      </c>
    </row>
    <row r="3993" spans="1:19">
      <c r="A3993" s="18" t="s">
        <v>4106</v>
      </c>
      <c r="B3993" s="1" t="s">
        <v>4162</v>
      </c>
      <c r="C3993" s="1" t="s">
        <v>2635</v>
      </c>
      <c r="D3993" s="1" t="s">
        <v>5060</v>
      </c>
      <c r="E3993" s="1" t="s">
        <v>25</v>
      </c>
      <c r="F3993">
        <v>580</v>
      </c>
      <c r="G3993">
        <v>580</v>
      </c>
      <c r="H3993">
        <v>712.8</v>
      </c>
      <c r="I3993" s="1" t="s">
        <v>1528</v>
      </c>
      <c r="J3993" s="1" t="s">
        <v>1336</v>
      </c>
      <c r="K3993" s="1" t="s">
        <v>25</v>
      </c>
      <c r="L3993">
        <v>-1.1266750999999999</v>
      </c>
      <c r="M3993" t="str">
        <f t="shared" si="149"/>
        <v>44/40</v>
      </c>
      <c r="N3993" t="str">
        <f t="shared" si="150"/>
        <v>SW</v>
      </c>
      <c r="O3993" s="1" t="s">
        <v>25</v>
      </c>
      <c r="P3993" s="3" t="s">
        <v>25</v>
      </c>
      <c r="Q3993" s="37">
        <v>0.4448221</v>
      </c>
      <c r="R3993" t="str">
        <f t="shared" ref="R3993:R4056" si="151">IF(Q3993="Na","Na","mmol/mol")</f>
        <v>mmol/mol</v>
      </c>
      <c r="S3993" s="13">
        <f t="shared" si="148"/>
        <v>-1.1266750999999999</v>
      </c>
    </row>
    <row r="3994" spans="1:19">
      <c r="A3994" s="18" t="s">
        <v>4106</v>
      </c>
      <c r="B3994" s="1" t="s">
        <v>4163</v>
      </c>
      <c r="C3994" s="1" t="s">
        <v>2635</v>
      </c>
      <c r="D3994" s="1" t="s">
        <v>5060</v>
      </c>
      <c r="E3994" s="1" t="s">
        <v>25</v>
      </c>
      <c r="F3994">
        <v>580</v>
      </c>
      <c r="G3994">
        <v>580</v>
      </c>
      <c r="H3994">
        <v>719.7</v>
      </c>
      <c r="I3994" s="1" t="s">
        <v>1528</v>
      </c>
      <c r="J3994" s="1" t="s">
        <v>1336</v>
      </c>
      <c r="K3994" s="1" t="s">
        <v>25</v>
      </c>
      <c r="L3994">
        <v>-1.0851150000000001</v>
      </c>
      <c r="M3994" t="str">
        <f t="shared" si="149"/>
        <v>44/40</v>
      </c>
      <c r="N3994" t="str">
        <f t="shared" si="150"/>
        <v>SW</v>
      </c>
      <c r="O3994" s="1" t="s">
        <v>25</v>
      </c>
      <c r="P3994" s="3" t="s">
        <v>25</v>
      </c>
      <c r="Q3994" s="37">
        <v>0.5287982</v>
      </c>
      <c r="R3994" t="str">
        <f t="shared" si="151"/>
        <v>mmol/mol</v>
      </c>
      <c r="S3994" s="13">
        <f t="shared" si="148"/>
        <v>-1.0851150000000001</v>
      </c>
    </row>
    <row r="3995" spans="1:19">
      <c r="A3995" s="18" t="s">
        <v>4106</v>
      </c>
      <c r="B3995" s="1" t="s">
        <v>4164</v>
      </c>
      <c r="C3995" s="1" t="s">
        <v>2635</v>
      </c>
      <c r="D3995" s="1" t="s">
        <v>5060</v>
      </c>
      <c r="E3995" s="1" t="s">
        <v>25</v>
      </c>
      <c r="F3995">
        <v>580</v>
      </c>
      <c r="G3995">
        <v>580</v>
      </c>
      <c r="H3995">
        <v>775.4</v>
      </c>
      <c r="I3995" s="1" t="s">
        <v>1528</v>
      </c>
      <c r="J3995" s="1" t="s">
        <v>1336</v>
      </c>
      <c r="K3995" s="1" t="s">
        <v>25</v>
      </c>
      <c r="L3995">
        <v>-1.2286646000000001</v>
      </c>
      <c r="M3995" t="str">
        <f t="shared" si="149"/>
        <v>44/40</v>
      </c>
      <c r="N3995" t="str">
        <f t="shared" si="150"/>
        <v>SW</v>
      </c>
      <c r="O3995" s="1" t="s">
        <v>25</v>
      </c>
      <c r="P3995" s="3" t="s">
        <v>25</v>
      </c>
      <c r="Q3995" s="37">
        <v>0.69857449999999999</v>
      </c>
      <c r="R3995" t="str">
        <f t="shared" si="151"/>
        <v>mmol/mol</v>
      </c>
      <c r="S3995" s="13">
        <f t="shared" si="148"/>
        <v>-1.2286646000000001</v>
      </c>
    </row>
    <row r="3996" spans="1:19">
      <c r="A3996" s="18" t="s">
        <v>4106</v>
      </c>
      <c r="B3996" s="1" t="s">
        <v>4165</v>
      </c>
      <c r="C3996" s="1" t="s">
        <v>2635</v>
      </c>
      <c r="D3996" s="1" t="s">
        <v>5060</v>
      </c>
      <c r="E3996" s="1" t="s">
        <v>25</v>
      </c>
      <c r="F3996">
        <v>580</v>
      </c>
      <c r="G3996">
        <v>580</v>
      </c>
      <c r="H3996">
        <v>786.1</v>
      </c>
      <c r="I3996" s="1" t="s">
        <v>1528</v>
      </c>
      <c r="J3996" s="1" t="s">
        <v>1491</v>
      </c>
      <c r="K3996" s="1" t="s">
        <v>25</v>
      </c>
      <c r="L3996">
        <v>-1.0094000000000001</v>
      </c>
      <c r="M3996" t="str">
        <f t="shared" si="149"/>
        <v>44/40</v>
      </c>
      <c r="N3996" t="str">
        <f t="shared" si="150"/>
        <v>SW</v>
      </c>
      <c r="O3996" s="1" t="s">
        <v>25</v>
      </c>
      <c r="P3996" s="3" t="s">
        <v>25</v>
      </c>
      <c r="Q3996" s="37">
        <v>7.6077199999999998E-2</v>
      </c>
      <c r="R3996" t="str">
        <f t="shared" si="151"/>
        <v>mmol/mol</v>
      </c>
      <c r="S3996" s="13">
        <f t="shared" si="148"/>
        <v>-1.0094000000000001</v>
      </c>
    </row>
    <row r="3997" spans="1:19">
      <c r="A3997" s="18" t="s">
        <v>4106</v>
      </c>
      <c r="B3997" s="1" t="s">
        <v>4166</v>
      </c>
      <c r="C3997" s="1" t="s">
        <v>2635</v>
      </c>
      <c r="D3997" s="1" t="s">
        <v>5060</v>
      </c>
      <c r="E3997" s="1" t="s">
        <v>25</v>
      </c>
      <c r="F3997">
        <v>580</v>
      </c>
      <c r="G3997">
        <v>580</v>
      </c>
      <c r="H3997">
        <v>796.2</v>
      </c>
      <c r="I3997" s="1" t="s">
        <v>1528</v>
      </c>
      <c r="J3997" s="1" t="s">
        <v>1491</v>
      </c>
      <c r="K3997" s="1" t="s">
        <v>25</v>
      </c>
      <c r="L3997">
        <v>-1.2483293</v>
      </c>
      <c r="M3997" t="str">
        <f t="shared" si="149"/>
        <v>44/40</v>
      </c>
      <c r="N3997" t="str">
        <f t="shared" si="150"/>
        <v>SW</v>
      </c>
      <c r="O3997" s="1" t="s">
        <v>25</v>
      </c>
      <c r="P3997" s="3" t="s">
        <v>25</v>
      </c>
      <c r="Q3997" s="37">
        <v>7.6142000000000001E-2</v>
      </c>
      <c r="R3997" t="str">
        <f t="shared" si="151"/>
        <v>mmol/mol</v>
      </c>
      <c r="S3997" s="13">
        <f t="shared" si="148"/>
        <v>-1.2483293</v>
      </c>
    </row>
    <row r="3998" spans="1:19">
      <c r="A3998" s="18" t="s">
        <v>4106</v>
      </c>
      <c r="B3998" s="1" t="s">
        <v>4167</v>
      </c>
      <c r="C3998" s="1" t="s">
        <v>2635</v>
      </c>
      <c r="D3998" s="1" t="s">
        <v>5060</v>
      </c>
      <c r="E3998" s="1" t="s">
        <v>25</v>
      </c>
      <c r="F3998">
        <v>580</v>
      </c>
      <c r="G3998">
        <v>580</v>
      </c>
      <c r="H3998">
        <v>806.9</v>
      </c>
      <c r="I3998" s="1" t="s">
        <v>1528</v>
      </c>
      <c r="J3998" s="1" t="s">
        <v>1491</v>
      </c>
      <c r="K3998" s="1" t="s">
        <v>25</v>
      </c>
      <c r="L3998">
        <v>-1.0993687000000001</v>
      </c>
      <c r="M3998" t="str">
        <f t="shared" si="149"/>
        <v>44/40</v>
      </c>
      <c r="N3998" t="str">
        <f t="shared" si="150"/>
        <v>SW</v>
      </c>
      <c r="O3998" s="1" t="s">
        <v>25</v>
      </c>
      <c r="P3998" s="3" t="s">
        <v>25</v>
      </c>
      <c r="Q3998" s="37">
        <v>5.70711E-2</v>
      </c>
      <c r="R3998" t="str">
        <f t="shared" si="151"/>
        <v>mmol/mol</v>
      </c>
      <c r="S3998" s="13">
        <f t="shared" si="148"/>
        <v>-1.0993687000000001</v>
      </c>
    </row>
    <row r="3999" spans="1:19">
      <c r="A3999" s="18" t="s">
        <v>4106</v>
      </c>
      <c r="B3999" s="1" t="s">
        <v>4168</v>
      </c>
      <c r="C3999" s="1" t="s">
        <v>2635</v>
      </c>
      <c r="D3999" s="1" t="s">
        <v>5060</v>
      </c>
      <c r="E3999" s="1" t="s">
        <v>25</v>
      </c>
      <c r="F3999">
        <v>580</v>
      </c>
      <c r="G3999">
        <v>580</v>
      </c>
      <c r="H3999">
        <v>818.5</v>
      </c>
      <c r="I3999" s="1" t="s">
        <v>1528</v>
      </c>
      <c r="J3999" s="1" t="s">
        <v>1491</v>
      </c>
      <c r="K3999" s="1" t="s">
        <v>25</v>
      </c>
      <c r="L3999">
        <v>-0.82134799999999997</v>
      </c>
      <c r="M3999" t="str">
        <f t="shared" si="149"/>
        <v>44/40</v>
      </c>
      <c r="N3999" t="str">
        <f t="shared" si="150"/>
        <v>SW</v>
      </c>
      <c r="O3999" s="1" t="s">
        <v>25</v>
      </c>
      <c r="P3999" s="3" t="s">
        <v>25</v>
      </c>
      <c r="Q3999" s="37">
        <v>9.5277000000000001E-2</v>
      </c>
      <c r="R3999" t="str">
        <f t="shared" si="151"/>
        <v>mmol/mol</v>
      </c>
      <c r="S3999" s="13">
        <f t="shared" si="148"/>
        <v>-0.82134799999999997</v>
      </c>
    </row>
    <row r="4000" spans="1:19">
      <c r="A4000" s="18" t="s">
        <v>4106</v>
      </c>
      <c r="B4000" s="1" t="s">
        <v>4169</v>
      </c>
      <c r="C4000" s="1" t="s">
        <v>2635</v>
      </c>
      <c r="D4000" s="1" t="s">
        <v>5060</v>
      </c>
      <c r="E4000" s="1" t="s">
        <v>25</v>
      </c>
      <c r="F4000">
        <v>580</v>
      </c>
      <c r="G4000">
        <v>580</v>
      </c>
      <c r="H4000">
        <v>828.6</v>
      </c>
      <c r="I4000" s="1" t="s">
        <v>1528</v>
      </c>
      <c r="J4000" s="1" t="s">
        <v>1491</v>
      </c>
      <c r="K4000" s="1" t="s">
        <v>25</v>
      </c>
      <c r="L4000">
        <v>-1.051682</v>
      </c>
      <c r="M4000" t="str">
        <f t="shared" si="149"/>
        <v>44/40</v>
      </c>
      <c r="N4000" t="str">
        <f t="shared" si="150"/>
        <v>SW</v>
      </c>
      <c r="O4000" s="1" t="s">
        <v>25</v>
      </c>
      <c r="P4000" s="3" t="s">
        <v>25</v>
      </c>
      <c r="Q4000" s="37">
        <v>0.13260169999999999</v>
      </c>
      <c r="R4000" t="str">
        <f t="shared" si="151"/>
        <v>mmol/mol</v>
      </c>
      <c r="S4000" s="13">
        <f t="shared" si="148"/>
        <v>-1.051682</v>
      </c>
    </row>
    <row r="4001" spans="1:19">
      <c r="A4001" s="18" t="s">
        <v>4106</v>
      </c>
      <c r="B4001" s="1" t="s">
        <v>4170</v>
      </c>
      <c r="C4001" s="1" t="s">
        <v>2635</v>
      </c>
      <c r="D4001" s="1" t="s">
        <v>5060</v>
      </c>
      <c r="E4001" s="1" t="s">
        <v>25</v>
      </c>
      <c r="F4001">
        <v>580</v>
      </c>
      <c r="G4001">
        <v>580</v>
      </c>
      <c r="H4001">
        <v>835.7</v>
      </c>
      <c r="I4001" s="1" t="s">
        <v>1528</v>
      </c>
      <c r="J4001" s="1" t="s">
        <v>1491</v>
      </c>
      <c r="K4001" s="1" t="s">
        <v>25</v>
      </c>
      <c r="L4001">
        <v>-0.8361537</v>
      </c>
      <c r="M4001" t="str">
        <f t="shared" si="149"/>
        <v>44/40</v>
      </c>
      <c r="N4001" t="str">
        <f t="shared" si="150"/>
        <v>SW</v>
      </c>
      <c r="O4001" s="1" t="s">
        <v>25</v>
      </c>
      <c r="P4001" s="3" t="s">
        <v>25</v>
      </c>
      <c r="Q4001" s="37">
        <v>0.15098880000000001</v>
      </c>
      <c r="R4001" t="str">
        <f t="shared" si="151"/>
        <v>mmol/mol</v>
      </c>
      <c r="S4001" s="13">
        <f t="shared" si="148"/>
        <v>-0.8361537</v>
      </c>
    </row>
    <row r="4002" spans="1:19">
      <c r="A4002" s="18" t="s">
        <v>4106</v>
      </c>
      <c r="B4002" s="1" t="s">
        <v>4171</v>
      </c>
      <c r="C4002" s="1" t="s">
        <v>2635</v>
      </c>
      <c r="D4002" s="1" t="s">
        <v>5060</v>
      </c>
      <c r="E4002" s="1" t="s">
        <v>25</v>
      </c>
      <c r="F4002">
        <v>580</v>
      </c>
      <c r="G4002">
        <v>580</v>
      </c>
      <c r="H4002">
        <v>859.5</v>
      </c>
      <c r="I4002" s="1" t="s">
        <v>1528</v>
      </c>
      <c r="J4002" s="1" t="s">
        <v>1491</v>
      </c>
      <c r="K4002" s="1" t="s">
        <v>25</v>
      </c>
      <c r="L4002">
        <v>-0.82077460000000002</v>
      </c>
      <c r="M4002" t="str">
        <f t="shared" si="149"/>
        <v>44/40</v>
      </c>
      <c r="N4002" t="str">
        <f t="shared" si="150"/>
        <v>SW</v>
      </c>
      <c r="O4002" s="1" t="s">
        <v>25</v>
      </c>
      <c r="P4002" s="3" t="s">
        <v>25</v>
      </c>
      <c r="Q4002" s="37">
        <v>0.13230069999999999</v>
      </c>
      <c r="R4002" t="str">
        <f t="shared" si="151"/>
        <v>mmol/mol</v>
      </c>
      <c r="S4002" s="13">
        <f t="shared" si="148"/>
        <v>-0.82077460000000002</v>
      </c>
    </row>
    <row r="4003" spans="1:19">
      <c r="A4003" s="18" t="s">
        <v>4106</v>
      </c>
      <c r="B4003" s="1" t="s">
        <v>4172</v>
      </c>
      <c r="C4003" s="1" t="s">
        <v>2635</v>
      </c>
      <c r="D4003" s="1" t="s">
        <v>5060</v>
      </c>
      <c r="E4003" s="1" t="s">
        <v>25</v>
      </c>
      <c r="F4003">
        <v>580</v>
      </c>
      <c r="G4003">
        <v>580</v>
      </c>
      <c r="H4003">
        <v>0.2</v>
      </c>
      <c r="I4003" s="1" t="s">
        <v>1528</v>
      </c>
      <c r="J4003" s="1" t="s">
        <v>1491</v>
      </c>
      <c r="K4003" s="1" t="s">
        <v>25</v>
      </c>
      <c r="L4003">
        <v>-1.1073770000000001</v>
      </c>
      <c r="M4003" t="str">
        <f t="shared" si="149"/>
        <v>44/40</v>
      </c>
      <c r="N4003" t="str">
        <f t="shared" si="150"/>
        <v>SW</v>
      </c>
      <c r="O4003" s="1" t="s">
        <v>25</v>
      </c>
      <c r="P4003" s="3" t="s">
        <v>25</v>
      </c>
      <c r="Q4003" s="37">
        <v>0.196424979</v>
      </c>
      <c r="R4003" t="str">
        <f t="shared" si="151"/>
        <v>mmol/mol</v>
      </c>
      <c r="S4003" s="13">
        <f t="shared" si="148"/>
        <v>-1.1073770000000001</v>
      </c>
    </row>
    <row r="4004" spans="1:19">
      <c r="A4004" s="18" t="s">
        <v>4106</v>
      </c>
      <c r="B4004" s="1" t="s">
        <v>4173</v>
      </c>
      <c r="C4004" s="1" t="s">
        <v>2635</v>
      </c>
      <c r="D4004" s="1" t="s">
        <v>5060</v>
      </c>
      <c r="E4004" s="1" t="s">
        <v>25</v>
      </c>
      <c r="F4004">
        <v>580</v>
      </c>
      <c r="G4004">
        <v>580</v>
      </c>
      <c r="H4004">
        <v>53.6</v>
      </c>
      <c r="I4004" s="1" t="s">
        <v>1528</v>
      </c>
      <c r="J4004" s="1" t="s">
        <v>1491</v>
      </c>
      <c r="K4004" s="1" t="s">
        <v>25</v>
      </c>
      <c r="L4004">
        <v>-1.1156393</v>
      </c>
      <c r="M4004" t="str">
        <f t="shared" si="149"/>
        <v>44/40</v>
      </c>
      <c r="N4004" t="str">
        <f t="shared" si="150"/>
        <v>SW</v>
      </c>
      <c r="O4004" s="1" t="s">
        <v>25</v>
      </c>
      <c r="P4004" s="3" t="s">
        <v>25</v>
      </c>
      <c r="Q4004" s="37">
        <v>0.27355478300000002</v>
      </c>
      <c r="R4004" t="str">
        <f t="shared" si="151"/>
        <v>mmol/mol</v>
      </c>
      <c r="S4004" s="13">
        <f t="shared" si="148"/>
        <v>-1.1156393</v>
      </c>
    </row>
    <row r="4005" spans="1:19">
      <c r="A4005" s="18" t="s">
        <v>4106</v>
      </c>
      <c r="B4005" s="1" t="s">
        <v>4174</v>
      </c>
      <c r="C4005" s="1" t="s">
        <v>2635</v>
      </c>
      <c r="D4005" s="1" t="s">
        <v>5060</v>
      </c>
      <c r="E4005" s="1" t="s">
        <v>25</v>
      </c>
      <c r="F4005">
        <v>580</v>
      </c>
      <c r="G4005">
        <v>580</v>
      </c>
      <c r="H4005">
        <v>68.599999999999994</v>
      </c>
      <c r="I4005" s="1" t="s">
        <v>1528</v>
      </c>
      <c r="J4005" s="1" t="s">
        <v>1336</v>
      </c>
      <c r="K4005" s="1" t="s">
        <v>25</v>
      </c>
      <c r="L4005">
        <v>-0.89356760000000002</v>
      </c>
      <c r="M4005" t="str">
        <f t="shared" si="149"/>
        <v>44/40</v>
      </c>
      <c r="N4005" t="str">
        <f t="shared" si="150"/>
        <v>SW</v>
      </c>
      <c r="O4005" s="1" t="s">
        <v>25</v>
      </c>
      <c r="P4005" s="3" t="s">
        <v>25</v>
      </c>
      <c r="Q4005" s="37">
        <v>0.19452329300000001</v>
      </c>
      <c r="R4005" t="str">
        <f t="shared" si="151"/>
        <v>mmol/mol</v>
      </c>
      <c r="S4005" s="13">
        <f t="shared" si="148"/>
        <v>-0.89356760000000002</v>
      </c>
    </row>
    <row r="4006" spans="1:19">
      <c r="A4006" s="18" t="s">
        <v>4106</v>
      </c>
      <c r="B4006" s="1" t="s">
        <v>4175</v>
      </c>
      <c r="C4006" s="1" t="s">
        <v>2635</v>
      </c>
      <c r="D4006" s="1" t="s">
        <v>5060</v>
      </c>
      <c r="E4006" s="1" t="s">
        <v>25</v>
      </c>
      <c r="F4006">
        <v>580</v>
      </c>
      <c r="G4006">
        <v>580</v>
      </c>
      <c r="H4006">
        <v>73.900000000000006</v>
      </c>
      <c r="I4006" s="1" t="s">
        <v>1528</v>
      </c>
      <c r="J4006" s="1" t="s">
        <v>1336</v>
      </c>
      <c r="K4006" s="1" t="s">
        <v>25</v>
      </c>
      <c r="L4006">
        <v>-0.82400410000000002</v>
      </c>
      <c r="M4006" t="str">
        <f t="shared" si="149"/>
        <v>44/40</v>
      </c>
      <c r="N4006" t="str">
        <f t="shared" si="150"/>
        <v>SW</v>
      </c>
      <c r="O4006" s="1" t="s">
        <v>25</v>
      </c>
      <c r="P4006" s="3" t="s">
        <v>25</v>
      </c>
      <c r="Q4006" s="37">
        <v>0.174406643</v>
      </c>
      <c r="R4006" t="str">
        <f t="shared" si="151"/>
        <v>mmol/mol</v>
      </c>
      <c r="S4006" s="13">
        <f t="shared" si="148"/>
        <v>-0.82400410000000002</v>
      </c>
    </row>
    <row r="4007" spans="1:19">
      <c r="A4007" s="18" t="s">
        <v>4106</v>
      </c>
      <c r="B4007" s="1" t="s">
        <v>4176</v>
      </c>
      <c r="C4007" s="1" t="s">
        <v>2635</v>
      </c>
      <c r="D4007" s="1" t="s">
        <v>5060</v>
      </c>
      <c r="E4007" s="1" t="s">
        <v>25</v>
      </c>
      <c r="F4007">
        <v>580</v>
      </c>
      <c r="G4007">
        <v>580</v>
      </c>
      <c r="H4007">
        <v>87</v>
      </c>
      <c r="I4007" s="1" t="s">
        <v>1528</v>
      </c>
      <c r="J4007" s="1" t="s">
        <v>1336</v>
      </c>
      <c r="K4007" s="1" t="s">
        <v>25</v>
      </c>
      <c r="L4007">
        <v>-1.1551556999999999</v>
      </c>
      <c r="M4007" t="str">
        <f t="shared" si="149"/>
        <v>44/40</v>
      </c>
      <c r="N4007" t="str">
        <f t="shared" si="150"/>
        <v>SW</v>
      </c>
      <c r="O4007" s="1" t="s">
        <v>25</v>
      </c>
      <c r="P4007" s="3" t="s">
        <v>25</v>
      </c>
      <c r="Q4007" s="37">
        <v>0.23791720399999999</v>
      </c>
      <c r="R4007" t="str">
        <f t="shared" si="151"/>
        <v>mmol/mol</v>
      </c>
      <c r="S4007" s="13">
        <f t="shared" si="148"/>
        <v>-1.1551556999999999</v>
      </c>
    </row>
    <row r="4008" spans="1:19">
      <c r="A4008" s="18" t="s">
        <v>4106</v>
      </c>
      <c r="B4008" s="1" t="s">
        <v>4177</v>
      </c>
      <c r="C4008" s="1" t="s">
        <v>2635</v>
      </c>
      <c r="D4008" s="1" t="s">
        <v>5060</v>
      </c>
      <c r="E4008" s="1" t="s">
        <v>25</v>
      </c>
      <c r="F4008">
        <v>580</v>
      </c>
      <c r="G4008">
        <v>580</v>
      </c>
      <c r="H4008">
        <v>95.6</v>
      </c>
      <c r="I4008" s="1" t="s">
        <v>1528</v>
      </c>
      <c r="J4008" s="1" t="s">
        <v>1336</v>
      </c>
      <c r="K4008" s="1" t="s">
        <v>25</v>
      </c>
      <c r="L4008">
        <v>-0.79930939999999995</v>
      </c>
      <c r="M4008" t="str">
        <f t="shared" si="149"/>
        <v>44/40</v>
      </c>
      <c r="N4008" t="str">
        <f t="shared" si="150"/>
        <v>SW</v>
      </c>
      <c r="O4008" s="1" t="s">
        <v>25</v>
      </c>
      <c r="P4008" s="3" t="s">
        <v>25</v>
      </c>
      <c r="Q4008" s="37">
        <v>0.20030909799999999</v>
      </c>
      <c r="R4008" t="str">
        <f t="shared" si="151"/>
        <v>mmol/mol</v>
      </c>
      <c r="S4008" s="13">
        <f t="shared" si="148"/>
        <v>-0.79930939999999995</v>
      </c>
    </row>
    <row r="4009" spans="1:19">
      <c r="A4009" s="18" t="s">
        <v>4106</v>
      </c>
      <c r="B4009" s="1" t="s">
        <v>4178</v>
      </c>
      <c r="C4009" s="1" t="s">
        <v>2635</v>
      </c>
      <c r="D4009" s="1" t="s">
        <v>5060</v>
      </c>
      <c r="E4009" s="1" t="s">
        <v>25</v>
      </c>
      <c r="F4009">
        <v>580</v>
      </c>
      <c r="G4009">
        <v>580</v>
      </c>
      <c r="H4009">
        <v>108.3</v>
      </c>
      <c r="I4009" s="1" t="s">
        <v>1528</v>
      </c>
      <c r="J4009" s="1" t="s">
        <v>1336</v>
      </c>
      <c r="K4009" s="1" t="s">
        <v>25</v>
      </c>
      <c r="L4009">
        <v>-0.71752249999999995</v>
      </c>
      <c r="M4009" t="str">
        <f t="shared" si="149"/>
        <v>44/40</v>
      </c>
      <c r="N4009" t="str">
        <f t="shared" si="150"/>
        <v>SW</v>
      </c>
      <c r="O4009" s="1" t="s">
        <v>25</v>
      </c>
      <c r="P4009" s="3" t="s">
        <v>25</v>
      </c>
      <c r="Q4009" s="37">
        <v>0.23648657300000001</v>
      </c>
      <c r="R4009" t="str">
        <f t="shared" si="151"/>
        <v>mmol/mol</v>
      </c>
      <c r="S4009" s="13">
        <f t="shared" si="148"/>
        <v>-0.71752249999999995</v>
      </c>
    </row>
    <row r="4010" spans="1:19">
      <c r="A4010" s="18" t="s">
        <v>4106</v>
      </c>
      <c r="B4010" s="1" t="s">
        <v>4179</v>
      </c>
      <c r="C4010" s="1" t="s">
        <v>2635</v>
      </c>
      <c r="D4010" s="1" t="s">
        <v>5060</v>
      </c>
      <c r="E4010" s="1" t="s">
        <v>25</v>
      </c>
      <c r="F4010">
        <v>580</v>
      </c>
      <c r="G4010">
        <v>580</v>
      </c>
      <c r="H4010">
        <v>112.3</v>
      </c>
      <c r="I4010" s="1" t="s">
        <v>1528</v>
      </c>
      <c r="J4010" s="1" t="s">
        <v>1336</v>
      </c>
      <c r="K4010" s="1" t="s">
        <v>25</v>
      </c>
      <c r="L4010">
        <v>-1.1457417999999999</v>
      </c>
      <c r="M4010" t="str">
        <f t="shared" si="149"/>
        <v>44/40</v>
      </c>
      <c r="N4010" t="str">
        <f t="shared" si="150"/>
        <v>SW</v>
      </c>
      <c r="O4010" s="1" t="s">
        <v>25</v>
      </c>
      <c r="P4010" s="3" t="s">
        <v>25</v>
      </c>
      <c r="Q4010" s="37">
        <v>0.26693016800000002</v>
      </c>
      <c r="R4010" t="str">
        <f t="shared" si="151"/>
        <v>mmol/mol</v>
      </c>
      <c r="S4010" s="13">
        <f t="shared" si="148"/>
        <v>-1.1457417999999999</v>
      </c>
    </row>
    <row r="4011" spans="1:19">
      <c r="A4011" s="18" t="s">
        <v>4106</v>
      </c>
      <c r="B4011" s="1" t="s">
        <v>4180</v>
      </c>
      <c r="C4011" s="1" t="s">
        <v>2635</v>
      </c>
      <c r="D4011" s="1" t="s">
        <v>5060</v>
      </c>
      <c r="E4011" s="1" t="s">
        <v>25</v>
      </c>
      <c r="F4011">
        <v>580</v>
      </c>
      <c r="G4011">
        <v>580</v>
      </c>
      <c r="H4011">
        <v>124.1</v>
      </c>
      <c r="I4011" s="1" t="s">
        <v>1528</v>
      </c>
      <c r="J4011" s="1" t="s">
        <v>1336</v>
      </c>
      <c r="K4011" s="1" t="s">
        <v>25</v>
      </c>
      <c r="L4011">
        <v>-1.366377</v>
      </c>
      <c r="M4011" t="str">
        <f t="shared" si="149"/>
        <v>44/40</v>
      </c>
      <c r="N4011" t="str">
        <f t="shared" si="150"/>
        <v>SW</v>
      </c>
      <c r="O4011" s="1" t="s">
        <v>25</v>
      </c>
      <c r="P4011" s="3" t="s">
        <v>25</v>
      </c>
      <c r="Q4011" s="37">
        <v>0.63026403099999995</v>
      </c>
      <c r="R4011" t="str">
        <f t="shared" si="151"/>
        <v>mmol/mol</v>
      </c>
      <c r="S4011" s="13">
        <f t="shared" si="148"/>
        <v>-1.366377</v>
      </c>
    </row>
    <row r="4012" spans="1:19">
      <c r="A4012" s="18" t="s">
        <v>4106</v>
      </c>
      <c r="B4012" s="1" t="s">
        <v>4181</v>
      </c>
      <c r="C4012" s="1" t="s">
        <v>2635</v>
      </c>
      <c r="D4012" s="1" t="s">
        <v>5060</v>
      </c>
      <c r="E4012" s="1" t="s">
        <v>25</v>
      </c>
      <c r="F4012">
        <v>580</v>
      </c>
      <c r="G4012">
        <v>580</v>
      </c>
      <c r="H4012">
        <v>134.69999999999999</v>
      </c>
      <c r="I4012" s="1" t="s">
        <v>1528</v>
      </c>
      <c r="J4012" s="1" t="s">
        <v>1336</v>
      </c>
      <c r="K4012" s="1" t="s">
        <v>25</v>
      </c>
      <c r="L4012">
        <v>-1.3386803</v>
      </c>
      <c r="M4012" t="str">
        <f t="shared" si="149"/>
        <v>44/40</v>
      </c>
      <c r="N4012" t="str">
        <f t="shared" si="150"/>
        <v>SW</v>
      </c>
      <c r="O4012" s="1" t="s">
        <v>25</v>
      </c>
      <c r="P4012" s="3" t="s">
        <v>25</v>
      </c>
      <c r="Q4012" s="37">
        <v>0.49860593399999997</v>
      </c>
      <c r="R4012" t="str">
        <f t="shared" si="151"/>
        <v>mmol/mol</v>
      </c>
      <c r="S4012" s="13">
        <f t="shared" ref="S4012:S4075" si="152">IF(NOT(N4012="SW"),L4012-1.88,L4012)</f>
        <v>-1.3386803</v>
      </c>
    </row>
    <row r="4013" spans="1:19">
      <c r="A4013" s="18" t="s">
        <v>4106</v>
      </c>
      <c r="B4013" s="1" t="s">
        <v>4182</v>
      </c>
      <c r="C4013" s="1" t="s">
        <v>2635</v>
      </c>
      <c r="D4013" s="1" t="s">
        <v>5060</v>
      </c>
      <c r="E4013" s="1" t="s">
        <v>25</v>
      </c>
      <c r="F4013">
        <v>580</v>
      </c>
      <c r="G4013">
        <v>580</v>
      </c>
      <c r="H4013">
        <v>140.80000000000001</v>
      </c>
      <c r="I4013" s="1" t="s">
        <v>1528</v>
      </c>
      <c r="J4013" s="1" t="s">
        <v>1336</v>
      </c>
      <c r="K4013" s="1" t="s">
        <v>25</v>
      </c>
      <c r="L4013">
        <v>-1.2594365000000001</v>
      </c>
      <c r="M4013" t="str">
        <f t="shared" si="149"/>
        <v>44/40</v>
      </c>
      <c r="N4013" t="str">
        <f t="shared" si="150"/>
        <v>SW</v>
      </c>
      <c r="O4013" s="1" t="s">
        <v>25</v>
      </c>
      <c r="P4013" s="3" t="s">
        <v>25</v>
      </c>
      <c r="Q4013" s="37">
        <v>0.46389378199999998</v>
      </c>
      <c r="R4013" t="str">
        <f t="shared" si="151"/>
        <v>mmol/mol</v>
      </c>
      <c r="S4013" s="13">
        <f t="shared" si="152"/>
        <v>-1.2594365000000001</v>
      </c>
    </row>
    <row r="4014" spans="1:19">
      <c r="A4014" s="18" t="s">
        <v>4106</v>
      </c>
      <c r="B4014" s="1" t="s">
        <v>4183</v>
      </c>
      <c r="C4014" s="1" t="s">
        <v>2635</v>
      </c>
      <c r="D4014" s="1" t="s">
        <v>5060</v>
      </c>
      <c r="E4014" s="1" t="s">
        <v>25</v>
      </c>
      <c r="F4014">
        <v>580</v>
      </c>
      <c r="G4014">
        <v>580</v>
      </c>
      <c r="H4014">
        <v>157</v>
      </c>
      <c r="I4014" s="1" t="s">
        <v>1528</v>
      </c>
      <c r="J4014" s="1" t="s">
        <v>1336</v>
      </c>
      <c r="K4014" s="1" t="s">
        <v>25</v>
      </c>
      <c r="L4014">
        <v>-1.2406127</v>
      </c>
      <c r="M4014" t="str">
        <f t="shared" si="149"/>
        <v>44/40</v>
      </c>
      <c r="N4014" t="str">
        <f t="shared" si="150"/>
        <v>SW</v>
      </c>
      <c r="O4014" s="1" t="s">
        <v>25</v>
      </c>
      <c r="P4014" s="3" t="s">
        <v>25</v>
      </c>
      <c r="Q4014" s="37">
        <v>0.60341070399999996</v>
      </c>
      <c r="R4014" t="str">
        <f t="shared" si="151"/>
        <v>mmol/mol</v>
      </c>
      <c r="S4014" s="13">
        <f t="shared" si="152"/>
        <v>-1.2406127</v>
      </c>
    </row>
    <row r="4015" spans="1:19">
      <c r="A4015" s="18" t="s">
        <v>4106</v>
      </c>
      <c r="B4015" s="1" t="s">
        <v>4184</v>
      </c>
      <c r="C4015" s="1" t="s">
        <v>2635</v>
      </c>
      <c r="D4015" s="1" t="s">
        <v>5060</v>
      </c>
      <c r="E4015" s="1" t="s">
        <v>25</v>
      </c>
      <c r="F4015">
        <v>580</v>
      </c>
      <c r="G4015">
        <v>580</v>
      </c>
      <c r="H4015">
        <v>168.9</v>
      </c>
      <c r="I4015" s="1" t="s">
        <v>1528</v>
      </c>
      <c r="J4015" s="1" t="s">
        <v>1336</v>
      </c>
      <c r="K4015" s="1" t="s">
        <v>25</v>
      </c>
      <c r="L4015">
        <v>-1.4768914</v>
      </c>
      <c r="M4015" t="str">
        <f t="shared" si="149"/>
        <v>44/40</v>
      </c>
      <c r="N4015" t="str">
        <f t="shared" si="150"/>
        <v>SW</v>
      </c>
      <c r="O4015" s="1" t="s">
        <v>25</v>
      </c>
      <c r="P4015" s="3" t="s">
        <v>25</v>
      </c>
      <c r="Q4015" s="37">
        <v>0.65021961399999995</v>
      </c>
      <c r="R4015" t="str">
        <f t="shared" si="151"/>
        <v>mmol/mol</v>
      </c>
      <c r="S4015" s="13">
        <f t="shared" si="152"/>
        <v>-1.4768914</v>
      </c>
    </row>
    <row r="4016" spans="1:19">
      <c r="A4016" s="18" t="s">
        <v>4106</v>
      </c>
      <c r="B4016" s="1" t="s">
        <v>4185</v>
      </c>
      <c r="C4016" s="1" t="s">
        <v>2635</v>
      </c>
      <c r="D4016" s="1" t="s">
        <v>5060</v>
      </c>
      <c r="E4016" s="1" t="s">
        <v>25</v>
      </c>
      <c r="F4016">
        <v>580</v>
      </c>
      <c r="G4016">
        <v>580</v>
      </c>
      <c r="H4016">
        <v>177.8</v>
      </c>
      <c r="I4016" s="1" t="s">
        <v>1528</v>
      </c>
      <c r="J4016" s="1" t="s">
        <v>1336</v>
      </c>
      <c r="K4016" s="1" t="s">
        <v>25</v>
      </c>
      <c r="L4016">
        <v>-1.5144857</v>
      </c>
      <c r="M4016" t="str">
        <f t="shared" ref="M4016:M4079" si="153">IF(L4016="Na","Na","44/40")</f>
        <v>44/40</v>
      </c>
      <c r="N4016" t="str">
        <f t="shared" ref="N4016:N4079" si="154">IF(M4016="Na","Na","SW")</f>
        <v>SW</v>
      </c>
      <c r="O4016" s="1" t="s">
        <v>25</v>
      </c>
      <c r="P4016" s="3" t="s">
        <v>25</v>
      </c>
      <c r="Q4016" s="37">
        <v>0.61928075199999999</v>
      </c>
      <c r="R4016" t="str">
        <f t="shared" si="151"/>
        <v>mmol/mol</v>
      </c>
      <c r="S4016" s="13">
        <f t="shared" si="152"/>
        <v>-1.5144857</v>
      </c>
    </row>
    <row r="4017" spans="1:19">
      <c r="A4017" s="18" t="s">
        <v>4106</v>
      </c>
      <c r="B4017" s="1" t="s">
        <v>4186</v>
      </c>
      <c r="C4017" s="1" t="s">
        <v>2635</v>
      </c>
      <c r="D4017" s="1" t="s">
        <v>5060</v>
      </c>
      <c r="E4017" s="1" t="s">
        <v>25</v>
      </c>
      <c r="F4017">
        <v>580</v>
      </c>
      <c r="G4017">
        <v>580</v>
      </c>
      <c r="H4017">
        <v>206.4</v>
      </c>
      <c r="I4017" s="1" t="s">
        <v>1528</v>
      </c>
      <c r="J4017" s="1" t="s">
        <v>1336</v>
      </c>
      <c r="K4017" s="1" t="s">
        <v>25</v>
      </c>
      <c r="L4017">
        <v>-1.8642951000000001</v>
      </c>
      <c r="M4017" t="str">
        <f t="shared" si="153"/>
        <v>44/40</v>
      </c>
      <c r="N4017" t="str">
        <f t="shared" si="154"/>
        <v>SW</v>
      </c>
      <c r="O4017" s="1" t="s">
        <v>25</v>
      </c>
      <c r="P4017" s="3" t="s">
        <v>25</v>
      </c>
      <c r="Q4017" s="37">
        <v>1.141643567</v>
      </c>
      <c r="R4017" t="str">
        <f t="shared" si="151"/>
        <v>mmol/mol</v>
      </c>
      <c r="S4017" s="13">
        <f t="shared" si="152"/>
        <v>-1.8642951000000001</v>
      </c>
    </row>
    <row r="4018" spans="1:19">
      <c r="A4018" s="18" t="s">
        <v>4106</v>
      </c>
      <c r="B4018" s="1" t="s">
        <v>4187</v>
      </c>
      <c r="C4018" s="1" t="s">
        <v>2635</v>
      </c>
      <c r="D4018" s="1" t="s">
        <v>5060</v>
      </c>
      <c r="E4018" s="1" t="s">
        <v>25</v>
      </c>
      <c r="F4018">
        <v>580</v>
      </c>
      <c r="G4018">
        <v>580</v>
      </c>
      <c r="H4018">
        <v>219.3</v>
      </c>
      <c r="I4018" s="1" t="s">
        <v>1528</v>
      </c>
      <c r="J4018" s="1" t="s">
        <v>1336</v>
      </c>
      <c r="K4018" s="1" t="s">
        <v>25</v>
      </c>
      <c r="L4018">
        <v>-1.6961474999999999</v>
      </c>
      <c r="M4018" t="str">
        <f t="shared" si="153"/>
        <v>44/40</v>
      </c>
      <c r="N4018" t="str">
        <f t="shared" si="154"/>
        <v>SW</v>
      </c>
      <c r="O4018" s="1" t="s">
        <v>25</v>
      </c>
      <c r="P4018" s="3" t="s">
        <v>25</v>
      </c>
      <c r="Q4018" s="37">
        <v>7.1059710139999996</v>
      </c>
      <c r="R4018" t="str">
        <f t="shared" si="151"/>
        <v>mmol/mol</v>
      </c>
      <c r="S4018" s="13">
        <f t="shared" si="152"/>
        <v>-1.6961474999999999</v>
      </c>
    </row>
    <row r="4019" spans="1:19">
      <c r="A4019" s="18" t="s">
        <v>4106</v>
      </c>
      <c r="B4019" s="1" t="s">
        <v>4188</v>
      </c>
      <c r="C4019" s="1" t="s">
        <v>2635</v>
      </c>
      <c r="D4019" s="1" t="s">
        <v>5060</v>
      </c>
      <c r="E4019" s="1" t="s">
        <v>25</v>
      </c>
      <c r="F4019">
        <v>580</v>
      </c>
      <c r="G4019">
        <v>580</v>
      </c>
      <c r="H4019">
        <v>234.8</v>
      </c>
      <c r="I4019" s="1" t="s">
        <v>1528</v>
      </c>
      <c r="J4019" s="1" t="s">
        <v>1336</v>
      </c>
      <c r="K4019" s="1" t="s">
        <v>25</v>
      </c>
      <c r="L4019">
        <v>-1.6891885</v>
      </c>
      <c r="M4019" t="str">
        <f t="shared" si="153"/>
        <v>44/40</v>
      </c>
      <c r="N4019" t="str">
        <f t="shared" si="154"/>
        <v>SW</v>
      </c>
      <c r="O4019" s="1" t="s">
        <v>25</v>
      </c>
      <c r="P4019" s="3" t="s">
        <v>25</v>
      </c>
      <c r="Q4019" s="37">
        <v>1.073723808</v>
      </c>
      <c r="R4019" t="str">
        <f t="shared" si="151"/>
        <v>mmol/mol</v>
      </c>
      <c r="S4019" s="13">
        <f t="shared" si="152"/>
        <v>-1.6891885</v>
      </c>
    </row>
    <row r="4020" spans="1:19">
      <c r="A4020" s="18" t="s">
        <v>4106</v>
      </c>
      <c r="B4020" s="1" t="s">
        <v>4189</v>
      </c>
      <c r="C4020" s="1" t="s">
        <v>2635</v>
      </c>
      <c r="D4020" s="1" t="s">
        <v>5060</v>
      </c>
      <c r="E4020" s="1" t="s">
        <v>25</v>
      </c>
      <c r="F4020">
        <v>580</v>
      </c>
      <c r="G4020">
        <v>580</v>
      </c>
      <c r="H4020">
        <v>257.7</v>
      </c>
      <c r="I4020" s="1" t="s">
        <v>1528</v>
      </c>
      <c r="J4020" s="1" t="s">
        <v>1336</v>
      </c>
      <c r="K4020" s="1" t="s">
        <v>25</v>
      </c>
      <c r="L4020">
        <v>-1.4552746000000001</v>
      </c>
      <c r="M4020" t="str">
        <f t="shared" si="153"/>
        <v>44/40</v>
      </c>
      <c r="N4020" t="str">
        <f t="shared" si="154"/>
        <v>SW</v>
      </c>
      <c r="O4020" s="1" t="s">
        <v>25</v>
      </c>
      <c r="P4020" s="3" t="s">
        <v>25</v>
      </c>
      <c r="Q4020" s="37">
        <v>0.63276320100000005</v>
      </c>
      <c r="R4020" t="str">
        <f t="shared" si="151"/>
        <v>mmol/mol</v>
      </c>
      <c r="S4020" s="13">
        <f t="shared" si="152"/>
        <v>-1.4552746000000001</v>
      </c>
    </row>
    <row r="4021" spans="1:19">
      <c r="A4021" s="18" t="s">
        <v>4106</v>
      </c>
      <c r="B4021" s="1" t="s">
        <v>4190</v>
      </c>
      <c r="C4021" s="1" t="s">
        <v>2635</v>
      </c>
      <c r="D4021" s="1" t="s">
        <v>5060</v>
      </c>
      <c r="E4021" s="1" t="s">
        <v>25</v>
      </c>
      <c r="F4021">
        <v>580</v>
      </c>
      <c r="G4021">
        <v>580</v>
      </c>
      <c r="H4021">
        <v>265</v>
      </c>
      <c r="I4021" s="1" t="s">
        <v>1528</v>
      </c>
      <c r="J4021" s="1" t="s">
        <v>1336</v>
      </c>
      <c r="K4021" s="1" t="s">
        <v>25</v>
      </c>
      <c r="L4021">
        <v>-1.526877</v>
      </c>
      <c r="M4021" t="str">
        <f t="shared" si="153"/>
        <v>44/40</v>
      </c>
      <c r="N4021" t="str">
        <f t="shared" si="154"/>
        <v>SW</v>
      </c>
      <c r="O4021" s="1" t="s">
        <v>25</v>
      </c>
      <c r="P4021" s="3" t="s">
        <v>25</v>
      </c>
      <c r="Q4021" s="37">
        <v>2.2192155140000001</v>
      </c>
      <c r="R4021" t="str">
        <f t="shared" si="151"/>
        <v>mmol/mol</v>
      </c>
      <c r="S4021" s="13">
        <f t="shared" si="152"/>
        <v>-1.526877</v>
      </c>
    </row>
    <row r="4022" spans="1:19">
      <c r="A4022" s="18" t="s">
        <v>4106</v>
      </c>
      <c r="B4022" s="1" t="s">
        <v>4191</v>
      </c>
      <c r="C4022" s="1" t="s">
        <v>2635</v>
      </c>
      <c r="D4022" s="1" t="s">
        <v>5060</v>
      </c>
      <c r="E4022" s="1" t="s">
        <v>25</v>
      </c>
      <c r="F4022">
        <v>580</v>
      </c>
      <c r="G4022">
        <v>580</v>
      </c>
      <c r="H4022">
        <v>275.5</v>
      </c>
      <c r="I4022" s="1" t="s">
        <v>1528</v>
      </c>
      <c r="J4022" s="1" t="s">
        <v>1336</v>
      </c>
      <c r="K4022" s="1" t="s">
        <v>25</v>
      </c>
      <c r="L4022">
        <v>-1.5498320000000001</v>
      </c>
      <c r="M4022" t="str">
        <f t="shared" si="153"/>
        <v>44/40</v>
      </c>
      <c r="N4022" t="str">
        <f t="shared" si="154"/>
        <v>SW</v>
      </c>
      <c r="O4022" s="1" t="s">
        <v>25</v>
      </c>
      <c r="P4022" s="3" t="s">
        <v>25</v>
      </c>
      <c r="Q4022" s="37">
        <v>0.70208422299999995</v>
      </c>
      <c r="R4022" t="str">
        <f t="shared" si="151"/>
        <v>mmol/mol</v>
      </c>
      <c r="S4022" s="13">
        <f t="shared" si="152"/>
        <v>-1.5498320000000001</v>
      </c>
    </row>
    <row r="4023" spans="1:19">
      <c r="A4023" s="18" t="s">
        <v>4106</v>
      </c>
      <c r="B4023" s="1" t="s">
        <v>4192</v>
      </c>
      <c r="C4023" s="1" t="s">
        <v>2635</v>
      </c>
      <c r="D4023" s="1" t="s">
        <v>5060</v>
      </c>
      <c r="E4023" s="1" t="s">
        <v>25</v>
      </c>
      <c r="F4023">
        <v>580</v>
      </c>
      <c r="G4023">
        <v>580</v>
      </c>
      <c r="H4023">
        <v>287.3</v>
      </c>
      <c r="I4023" s="1" t="s">
        <v>1528</v>
      </c>
      <c r="J4023" s="1" t="s">
        <v>1336</v>
      </c>
      <c r="K4023" s="1" t="s">
        <v>25</v>
      </c>
      <c r="L4023">
        <v>-1.4944078000000001</v>
      </c>
      <c r="M4023" t="str">
        <f t="shared" si="153"/>
        <v>44/40</v>
      </c>
      <c r="N4023" t="str">
        <f t="shared" si="154"/>
        <v>SW</v>
      </c>
      <c r="O4023" s="1" t="s">
        <v>25</v>
      </c>
      <c r="P4023" s="3" t="s">
        <v>25</v>
      </c>
      <c r="Q4023" s="37">
        <v>0.84911343900000003</v>
      </c>
      <c r="R4023" t="str">
        <f t="shared" si="151"/>
        <v>mmol/mol</v>
      </c>
      <c r="S4023" s="13">
        <f t="shared" si="152"/>
        <v>-1.4944078000000001</v>
      </c>
    </row>
    <row r="4024" spans="1:19">
      <c r="A4024" s="18" t="s">
        <v>4106</v>
      </c>
      <c r="B4024" s="1" t="s">
        <v>4193</v>
      </c>
      <c r="C4024" s="1" t="s">
        <v>2635</v>
      </c>
      <c r="D4024" s="1" t="s">
        <v>5060</v>
      </c>
      <c r="E4024" s="1" t="s">
        <v>25</v>
      </c>
      <c r="F4024">
        <v>580</v>
      </c>
      <c r="G4024">
        <v>580</v>
      </c>
      <c r="H4024">
        <v>295.10000000000002</v>
      </c>
      <c r="I4024" s="1" t="s">
        <v>1528</v>
      </c>
      <c r="J4024" s="1" t="s">
        <v>1336</v>
      </c>
      <c r="K4024" s="1" t="s">
        <v>25</v>
      </c>
      <c r="L4024">
        <v>-1.6130061</v>
      </c>
      <c r="M4024" t="str">
        <f t="shared" si="153"/>
        <v>44/40</v>
      </c>
      <c r="N4024" t="str">
        <f t="shared" si="154"/>
        <v>SW</v>
      </c>
      <c r="O4024" s="1" t="s">
        <v>25</v>
      </c>
      <c r="P4024" s="3" t="s">
        <v>25</v>
      </c>
      <c r="Q4024" s="37">
        <v>0.89041402800000002</v>
      </c>
      <c r="R4024" t="str">
        <f t="shared" si="151"/>
        <v>mmol/mol</v>
      </c>
      <c r="S4024" s="13">
        <f t="shared" si="152"/>
        <v>-1.6130061</v>
      </c>
    </row>
    <row r="4025" spans="1:19">
      <c r="A4025" s="18" t="s">
        <v>4106</v>
      </c>
      <c r="B4025" s="1" t="s">
        <v>4194</v>
      </c>
      <c r="C4025" s="1" t="s">
        <v>2635</v>
      </c>
      <c r="D4025" s="1" t="s">
        <v>5060</v>
      </c>
      <c r="E4025" s="1" t="s">
        <v>25</v>
      </c>
      <c r="F4025">
        <v>580</v>
      </c>
      <c r="G4025">
        <v>580</v>
      </c>
      <c r="H4025">
        <v>306.8</v>
      </c>
      <c r="I4025" s="1" t="s">
        <v>1528</v>
      </c>
      <c r="J4025" s="1" t="s">
        <v>1336</v>
      </c>
      <c r="K4025" s="1" t="s">
        <v>25</v>
      </c>
      <c r="L4025">
        <v>-1.6326761999999999</v>
      </c>
      <c r="M4025" t="str">
        <f t="shared" si="153"/>
        <v>44/40</v>
      </c>
      <c r="N4025" t="str">
        <f t="shared" si="154"/>
        <v>SW</v>
      </c>
      <c r="O4025" s="1" t="s">
        <v>25</v>
      </c>
      <c r="P4025" s="3" t="s">
        <v>25</v>
      </c>
      <c r="Q4025" s="37">
        <v>0.69414988200000005</v>
      </c>
      <c r="R4025" t="str">
        <f t="shared" si="151"/>
        <v>mmol/mol</v>
      </c>
      <c r="S4025" s="13">
        <f t="shared" si="152"/>
        <v>-1.6326761999999999</v>
      </c>
    </row>
    <row r="4026" spans="1:19">
      <c r="A4026" s="18" t="s">
        <v>4106</v>
      </c>
      <c r="B4026" s="1" t="s">
        <v>4195</v>
      </c>
      <c r="C4026" s="1" t="s">
        <v>2635</v>
      </c>
      <c r="D4026" s="1" t="s">
        <v>5060</v>
      </c>
      <c r="E4026" s="1" t="s">
        <v>25</v>
      </c>
      <c r="F4026">
        <v>580</v>
      </c>
      <c r="G4026">
        <v>580</v>
      </c>
      <c r="H4026">
        <v>315</v>
      </c>
      <c r="I4026" s="1" t="s">
        <v>1528</v>
      </c>
      <c r="J4026" s="1" t="s">
        <v>1336</v>
      </c>
      <c r="K4026" s="1" t="s">
        <v>25</v>
      </c>
      <c r="L4026">
        <v>-1.5622316000000001</v>
      </c>
      <c r="M4026" t="str">
        <f t="shared" si="153"/>
        <v>44/40</v>
      </c>
      <c r="N4026" t="str">
        <f t="shared" si="154"/>
        <v>SW</v>
      </c>
      <c r="O4026" s="1" t="s">
        <v>25</v>
      </c>
      <c r="P4026" s="3" t="s">
        <v>25</v>
      </c>
      <c r="Q4026" s="37">
        <v>3.6739463630000002</v>
      </c>
      <c r="R4026" t="str">
        <f t="shared" si="151"/>
        <v>mmol/mol</v>
      </c>
      <c r="S4026" s="13">
        <f t="shared" si="152"/>
        <v>-1.5622316000000001</v>
      </c>
    </row>
    <row r="4027" spans="1:19">
      <c r="A4027" s="18" t="s">
        <v>4106</v>
      </c>
      <c r="B4027" s="1" t="s">
        <v>4196</v>
      </c>
      <c r="C4027" s="1" t="s">
        <v>2635</v>
      </c>
      <c r="D4027" s="1" t="s">
        <v>5060</v>
      </c>
      <c r="E4027" s="1" t="s">
        <v>25</v>
      </c>
      <c r="F4027">
        <v>580</v>
      </c>
      <c r="G4027">
        <v>580</v>
      </c>
      <c r="H4027">
        <v>324.7</v>
      </c>
      <c r="I4027" s="1" t="s">
        <v>1528</v>
      </c>
      <c r="J4027" s="1" t="s">
        <v>1336</v>
      </c>
      <c r="K4027" s="1" t="s">
        <v>25</v>
      </c>
      <c r="L4027">
        <v>-1.4790512</v>
      </c>
      <c r="M4027" t="str">
        <f t="shared" si="153"/>
        <v>44/40</v>
      </c>
      <c r="N4027" t="str">
        <f t="shared" si="154"/>
        <v>SW</v>
      </c>
      <c r="O4027" s="1" t="s">
        <v>25</v>
      </c>
      <c r="P4027" s="3" t="s">
        <v>25</v>
      </c>
      <c r="Q4027" s="37">
        <v>0.74072059899999998</v>
      </c>
      <c r="R4027" t="str">
        <f t="shared" si="151"/>
        <v>mmol/mol</v>
      </c>
      <c r="S4027" s="13">
        <f t="shared" si="152"/>
        <v>-1.4790512</v>
      </c>
    </row>
    <row r="4028" spans="1:19">
      <c r="A4028" s="18" t="s">
        <v>4106</v>
      </c>
      <c r="B4028" s="1" t="s">
        <v>4197</v>
      </c>
      <c r="C4028" s="1" t="s">
        <v>2635</v>
      </c>
      <c r="D4028" s="1" t="s">
        <v>5060</v>
      </c>
      <c r="E4028" s="1" t="s">
        <v>25</v>
      </c>
      <c r="F4028">
        <v>580</v>
      </c>
      <c r="G4028">
        <v>580</v>
      </c>
      <c r="H4028">
        <v>333.9</v>
      </c>
      <c r="I4028" s="1" t="s">
        <v>1528</v>
      </c>
      <c r="J4028" s="1" t="s">
        <v>1336</v>
      </c>
      <c r="K4028" s="1" t="s">
        <v>25</v>
      </c>
      <c r="L4028">
        <v>-1.6464098</v>
      </c>
      <c r="M4028" t="str">
        <f t="shared" si="153"/>
        <v>44/40</v>
      </c>
      <c r="N4028" t="str">
        <f t="shared" si="154"/>
        <v>SW</v>
      </c>
      <c r="O4028" s="1" t="s">
        <v>25</v>
      </c>
      <c r="P4028" s="3" t="s">
        <v>25</v>
      </c>
      <c r="Q4028" s="37">
        <v>1.111450555</v>
      </c>
      <c r="R4028" t="str">
        <f t="shared" si="151"/>
        <v>mmol/mol</v>
      </c>
      <c r="S4028" s="13">
        <f t="shared" si="152"/>
        <v>-1.6464098</v>
      </c>
    </row>
    <row r="4029" spans="1:19">
      <c r="A4029" s="18" t="s">
        <v>4106</v>
      </c>
      <c r="B4029" s="1" t="s">
        <v>4198</v>
      </c>
      <c r="C4029" s="1" t="s">
        <v>2635</v>
      </c>
      <c r="D4029" s="1" t="s">
        <v>5060</v>
      </c>
      <c r="E4029" s="1" t="s">
        <v>25</v>
      </c>
      <c r="F4029">
        <v>580</v>
      </c>
      <c r="G4029">
        <v>580</v>
      </c>
      <c r="H4029">
        <v>344</v>
      </c>
      <c r="I4029" s="1" t="s">
        <v>1528</v>
      </c>
      <c r="J4029" s="1" t="s">
        <v>1336</v>
      </c>
      <c r="K4029" s="1" t="s">
        <v>25</v>
      </c>
      <c r="L4029">
        <v>-1.1195573999999999</v>
      </c>
      <c r="M4029" t="str">
        <f t="shared" si="153"/>
        <v>44/40</v>
      </c>
      <c r="N4029" t="str">
        <f t="shared" si="154"/>
        <v>SW</v>
      </c>
      <c r="O4029" s="1" t="s">
        <v>25</v>
      </c>
      <c r="P4029" s="3" t="s">
        <v>25</v>
      </c>
      <c r="Q4029" s="37">
        <v>0.76263931100000004</v>
      </c>
      <c r="R4029" t="str">
        <f t="shared" si="151"/>
        <v>mmol/mol</v>
      </c>
      <c r="S4029" s="13">
        <f t="shared" si="152"/>
        <v>-1.1195573999999999</v>
      </c>
    </row>
    <row r="4030" spans="1:19">
      <c r="A4030" s="18" t="s">
        <v>4106</v>
      </c>
      <c r="B4030" s="1" t="s">
        <v>4199</v>
      </c>
      <c r="C4030" s="1" t="s">
        <v>2635</v>
      </c>
      <c r="D4030" s="1" t="s">
        <v>5060</v>
      </c>
      <c r="E4030" s="1" t="s">
        <v>25</v>
      </c>
      <c r="F4030">
        <v>580</v>
      </c>
      <c r="G4030">
        <v>580</v>
      </c>
      <c r="H4030">
        <v>352</v>
      </c>
      <c r="I4030" s="1" t="s">
        <v>1528</v>
      </c>
      <c r="J4030" s="1" t="s">
        <v>1336</v>
      </c>
      <c r="K4030" s="1" t="s">
        <v>25</v>
      </c>
      <c r="L4030">
        <v>-1.7380348000000001</v>
      </c>
      <c r="M4030" t="str">
        <f t="shared" si="153"/>
        <v>44/40</v>
      </c>
      <c r="N4030" t="str">
        <f t="shared" si="154"/>
        <v>SW</v>
      </c>
      <c r="O4030" s="1" t="s">
        <v>25</v>
      </c>
      <c r="P4030" s="3" t="s">
        <v>25</v>
      </c>
      <c r="Q4030" s="37">
        <v>5.607711482</v>
      </c>
      <c r="R4030" t="str">
        <f t="shared" si="151"/>
        <v>mmol/mol</v>
      </c>
      <c r="S4030" s="13">
        <f t="shared" si="152"/>
        <v>-1.7380348000000001</v>
      </c>
    </row>
    <row r="4031" spans="1:19">
      <c r="A4031" s="18" t="s">
        <v>4106</v>
      </c>
      <c r="B4031" s="1" t="s">
        <v>4200</v>
      </c>
      <c r="C4031" s="1" t="s">
        <v>2635</v>
      </c>
      <c r="D4031" s="1" t="s">
        <v>5060</v>
      </c>
      <c r="E4031" s="1" t="s">
        <v>25</v>
      </c>
      <c r="F4031">
        <v>580</v>
      </c>
      <c r="G4031">
        <v>580</v>
      </c>
      <c r="H4031">
        <v>367.4</v>
      </c>
      <c r="I4031" s="1" t="s">
        <v>1528</v>
      </c>
      <c r="J4031" s="1" t="s">
        <v>1336</v>
      </c>
      <c r="K4031" s="1" t="s">
        <v>25</v>
      </c>
      <c r="L4031">
        <v>-1.6968053000000001</v>
      </c>
      <c r="M4031" t="str">
        <f t="shared" si="153"/>
        <v>44/40</v>
      </c>
      <c r="N4031" t="str">
        <f t="shared" si="154"/>
        <v>SW</v>
      </c>
      <c r="O4031" s="1" t="s">
        <v>25</v>
      </c>
      <c r="P4031" s="3" t="s">
        <v>25</v>
      </c>
      <c r="Q4031" s="37">
        <v>1.676444431</v>
      </c>
      <c r="R4031" t="str">
        <f t="shared" si="151"/>
        <v>mmol/mol</v>
      </c>
      <c r="S4031" s="13">
        <f t="shared" si="152"/>
        <v>-1.6968053000000001</v>
      </c>
    </row>
    <row r="4032" spans="1:19">
      <c r="A4032" s="18" t="s">
        <v>4106</v>
      </c>
      <c r="B4032" s="1" t="s">
        <v>4201</v>
      </c>
      <c r="C4032" s="1" t="s">
        <v>2635</v>
      </c>
      <c r="D4032" s="1" t="s">
        <v>5060</v>
      </c>
      <c r="E4032" s="1" t="s">
        <v>25</v>
      </c>
      <c r="F4032">
        <v>580</v>
      </c>
      <c r="G4032">
        <v>580</v>
      </c>
      <c r="H4032">
        <v>373.3</v>
      </c>
      <c r="I4032" s="1" t="s">
        <v>1528</v>
      </c>
      <c r="J4032" s="1" t="s">
        <v>1336</v>
      </c>
      <c r="K4032" s="1" t="s">
        <v>25</v>
      </c>
      <c r="L4032">
        <v>-1.4686967</v>
      </c>
      <c r="M4032" t="str">
        <f t="shared" si="153"/>
        <v>44/40</v>
      </c>
      <c r="N4032" t="str">
        <f t="shared" si="154"/>
        <v>SW</v>
      </c>
      <c r="O4032" s="1" t="s">
        <v>25</v>
      </c>
      <c r="P4032" s="3" t="s">
        <v>25</v>
      </c>
      <c r="Q4032" s="37">
        <v>2.9916451770000001</v>
      </c>
      <c r="R4032" t="str">
        <f t="shared" si="151"/>
        <v>mmol/mol</v>
      </c>
      <c r="S4032" s="13">
        <f t="shared" si="152"/>
        <v>-1.4686967</v>
      </c>
    </row>
    <row r="4033" spans="1:19">
      <c r="A4033" s="18" t="s">
        <v>4106</v>
      </c>
      <c r="B4033" s="1" t="s">
        <v>4202</v>
      </c>
      <c r="C4033" s="1" t="s">
        <v>2635</v>
      </c>
      <c r="D4033" s="1" t="s">
        <v>5060</v>
      </c>
      <c r="E4033" s="1" t="s">
        <v>25</v>
      </c>
      <c r="F4033">
        <v>580</v>
      </c>
      <c r="G4033">
        <v>580</v>
      </c>
      <c r="H4033">
        <v>410.9</v>
      </c>
      <c r="I4033" s="1" t="s">
        <v>1528</v>
      </c>
      <c r="J4033" s="1" t="s">
        <v>1336</v>
      </c>
      <c r="K4033" s="1" t="s">
        <v>25</v>
      </c>
      <c r="L4033">
        <v>-1.0677643000000001</v>
      </c>
      <c r="M4033" t="str">
        <f t="shared" si="153"/>
        <v>44/40</v>
      </c>
      <c r="N4033" t="str">
        <f t="shared" si="154"/>
        <v>SW</v>
      </c>
      <c r="O4033" s="1" t="s">
        <v>25</v>
      </c>
      <c r="P4033" s="3" t="s">
        <v>25</v>
      </c>
      <c r="Q4033" s="37">
        <v>1.1847015409999999</v>
      </c>
      <c r="R4033" t="str">
        <f t="shared" si="151"/>
        <v>mmol/mol</v>
      </c>
      <c r="S4033" s="13">
        <f t="shared" si="152"/>
        <v>-1.0677643000000001</v>
      </c>
    </row>
    <row r="4034" spans="1:19">
      <c r="A4034" s="18" t="s">
        <v>4106</v>
      </c>
      <c r="B4034" s="1" t="s">
        <v>4203</v>
      </c>
      <c r="C4034" s="1" t="s">
        <v>2635</v>
      </c>
      <c r="D4034" s="1" t="s">
        <v>5060</v>
      </c>
      <c r="E4034" s="1" t="s">
        <v>25</v>
      </c>
      <c r="F4034">
        <v>580</v>
      </c>
      <c r="G4034">
        <v>580</v>
      </c>
      <c r="H4034">
        <v>423.2</v>
      </c>
      <c r="I4034" s="1" t="s">
        <v>1528</v>
      </c>
      <c r="J4034" s="1" t="s">
        <v>1336</v>
      </c>
      <c r="K4034" s="1" t="s">
        <v>25</v>
      </c>
      <c r="L4034">
        <v>-1.5471865</v>
      </c>
      <c r="M4034" t="str">
        <f t="shared" si="153"/>
        <v>44/40</v>
      </c>
      <c r="N4034" t="str">
        <f t="shared" si="154"/>
        <v>SW</v>
      </c>
      <c r="O4034" s="1" t="s">
        <v>25</v>
      </c>
      <c r="P4034" s="3" t="s">
        <v>25</v>
      </c>
      <c r="Q4034" s="37">
        <v>0.65185669499999999</v>
      </c>
      <c r="R4034" t="str">
        <f t="shared" si="151"/>
        <v>mmol/mol</v>
      </c>
      <c r="S4034" s="13">
        <f t="shared" si="152"/>
        <v>-1.5471865</v>
      </c>
    </row>
    <row r="4035" spans="1:19">
      <c r="A4035" s="18" t="s">
        <v>4106</v>
      </c>
      <c r="B4035" s="1" t="s">
        <v>4204</v>
      </c>
      <c r="C4035" s="1" t="s">
        <v>2635</v>
      </c>
      <c r="D4035" s="1" t="s">
        <v>5060</v>
      </c>
      <c r="E4035" s="1" t="s">
        <v>25</v>
      </c>
      <c r="F4035">
        <v>580</v>
      </c>
      <c r="G4035">
        <v>580</v>
      </c>
      <c r="H4035">
        <v>445.3</v>
      </c>
      <c r="I4035" s="1" t="s">
        <v>1528</v>
      </c>
      <c r="J4035" s="1" t="s">
        <v>1336</v>
      </c>
      <c r="K4035" s="1" t="s">
        <v>25</v>
      </c>
      <c r="L4035">
        <v>-1.6738093999999999</v>
      </c>
      <c r="M4035" t="str">
        <f t="shared" si="153"/>
        <v>44/40</v>
      </c>
      <c r="N4035" t="str">
        <f t="shared" si="154"/>
        <v>SW</v>
      </c>
      <c r="O4035" s="1" t="s">
        <v>25</v>
      </c>
      <c r="P4035" s="3" t="s">
        <v>25</v>
      </c>
      <c r="Q4035" s="37">
        <v>0.72338455199999996</v>
      </c>
      <c r="R4035" t="str">
        <f t="shared" si="151"/>
        <v>mmol/mol</v>
      </c>
      <c r="S4035" s="13">
        <f t="shared" si="152"/>
        <v>-1.6738093999999999</v>
      </c>
    </row>
    <row r="4036" spans="1:19">
      <c r="A4036" s="18" t="s">
        <v>4106</v>
      </c>
      <c r="B4036" s="1" t="s">
        <v>4205</v>
      </c>
      <c r="C4036" s="1" t="s">
        <v>2635</v>
      </c>
      <c r="D4036" s="1" t="s">
        <v>5060</v>
      </c>
      <c r="E4036" s="1" t="s">
        <v>25</v>
      </c>
      <c r="F4036">
        <v>580</v>
      </c>
      <c r="G4036">
        <v>580</v>
      </c>
      <c r="H4036">
        <v>456.9</v>
      </c>
      <c r="I4036" s="1" t="s">
        <v>1528</v>
      </c>
      <c r="J4036" s="1" t="s">
        <v>1336</v>
      </c>
      <c r="K4036" s="1" t="s">
        <v>25</v>
      </c>
      <c r="L4036">
        <v>-1.7115943</v>
      </c>
      <c r="M4036" t="str">
        <f t="shared" si="153"/>
        <v>44/40</v>
      </c>
      <c r="N4036" t="str">
        <f t="shared" si="154"/>
        <v>SW</v>
      </c>
      <c r="O4036" s="1" t="s">
        <v>25</v>
      </c>
      <c r="P4036" s="3" t="s">
        <v>25</v>
      </c>
      <c r="Q4036" s="37">
        <v>1.1736101910000001</v>
      </c>
      <c r="R4036" t="str">
        <f t="shared" si="151"/>
        <v>mmol/mol</v>
      </c>
      <c r="S4036" s="13">
        <f t="shared" si="152"/>
        <v>-1.7115943</v>
      </c>
    </row>
    <row r="4037" spans="1:19">
      <c r="A4037" s="18" t="s">
        <v>4106</v>
      </c>
      <c r="B4037" s="1" t="s">
        <v>4206</v>
      </c>
      <c r="C4037" s="1" t="s">
        <v>2635</v>
      </c>
      <c r="D4037" s="1" t="s">
        <v>5060</v>
      </c>
      <c r="E4037" s="1" t="s">
        <v>25</v>
      </c>
      <c r="F4037">
        <v>580</v>
      </c>
      <c r="G4037">
        <v>580</v>
      </c>
      <c r="H4037">
        <v>467</v>
      </c>
      <c r="I4037" s="1" t="s">
        <v>1528</v>
      </c>
      <c r="J4037" s="1" t="s">
        <v>1336</v>
      </c>
      <c r="K4037" s="1" t="s">
        <v>25</v>
      </c>
      <c r="L4037">
        <v>-1.7110717</v>
      </c>
      <c r="M4037" t="str">
        <f t="shared" si="153"/>
        <v>44/40</v>
      </c>
      <c r="N4037" t="str">
        <f t="shared" si="154"/>
        <v>SW</v>
      </c>
      <c r="O4037" s="1" t="s">
        <v>25</v>
      </c>
      <c r="P4037" s="3" t="s">
        <v>25</v>
      </c>
      <c r="Q4037" s="37">
        <v>0.99165940200000002</v>
      </c>
      <c r="R4037" t="str">
        <f t="shared" si="151"/>
        <v>mmol/mol</v>
      </c>
      <c r="S4037" s="13">
        <f t="shared" si="152"/>
        <v>-1.7110717</v>
      </c>
    </row>
    <row r="4038" spans="1:19">
      <c r="A4038" s="18" t="s">
        <v>4106</v>
      </c>
      <c r="B4038" s="1" t="s">
        <v>4207</v>
      </c>
      <c r="C4038" s="1" t="s">
        <v>2635</v>
      </c>
      <c r="D4038" s="1" t="s">
        <v>5060</v>
      </c>
      <c r="E4038" s="1" t="s">
        <v>25</v>
      </c>
      <c r="F4038">
        <v>580</v>
      </c>
      <c r="G4038">
        <v>580</v>
      </c>
      <c r="H4038">
        <v>479.3</v>
      </c>
      <c r="I4038" s="1" t="s">
        <v>1528</v>
      </c>
      <c r="J4038" s="1" t="s">
        <v>1336</v>
      </c>
      <c r="K4038" s="1" t="s">
        <v>25</v>
      </c>
      <c r="L4038">
        <v>-1.8593975</v>
      </c>
      <c r="M4038" t="str">
        <f t="shared" si="153"/>
        <v>44/40</v>
      </c>
      <c r="N4038" t="str">
        <f t="shared" si="154"/>
        <v>SW</v>
      </c>
      <c r="O4038" s="1" t="s">
        <v>25</v>
      </c>
      <c r="P4038" s="3" t="s">
        <v>25</v>
      </c>
      <c r="Q4038" s="37">
        <v>1.3558629719999999</v>
      </c>
      <c r="R4038" t="str">
        <f t="shared" si="151"/>
        <v>mmol/mol</v>
      </c>
      <c r="S4038" s="13">
        <f t="shared" si="152"/>
        <v>-1.8593975</v>
      </c>
    </row>
    <row r="4039" spans="1:19">
      <c r="A4039" s="18" t="s">
        <v>4106</v>
      </c>
      <c r="B4039" s="1" t="s">
        <v>4208</v>
      </c>
      <c r="C4039" s="1" t="s">
        <v>2635</v>
      </c>
      <c r="D4039" s="1" t="s">
        <v>5060</v>
      </c>
      <c r="E4039" s="1" t="s">
        <v>25</v>
      </c>
      <c r="F4039">
        <v>580</v>
      </c>
      <c r="G4039">
        <v>580</v>
      </c>
      <c r="H4039">
        <v>489.4</v>
      </c>
      <c r="I4039" s="1" t="s">
        <v>1528</v>
      </c>
      <c r="J4039" s="1" t="s">
        <v>1336</v>
      </c>
      <c r="K4039" s="1" t="s">
        <v>25</v>
      </c>
      <c r="L4039">
        <v>-1.6917582</v>
      </c>
      <c r="M4039" t="str">
        <f t="shared" si="153"/>
        <v>44/40</v>
      </c>
      <c r="N4039" t="str">
        <f t="shared" si="154"/>
        <v>SW</v>
      </c>
      <c r="O4039" s="1" t="s">
        <v>25</v>
      </c>
      <c r="P4039" s="3" t="s">
        <v>25</v>
      </c>
      <c r="Q4039" s="37">
        <v>1.4286889810000001</v>
      </c>
      <c r="R4039" t="str">
        <f t="shared" si="151"/>
        <v>mmol/mol</v>
      </c>
      <c r="S4039" s="13">
        <f t="shared" si="152"/>
        <v>-1.6917582</v>
      </c>
    </row>
    <row r="4040" spans="1:19">
      <c r="A4040" s="18" t="s">
        <v>4106</v>
      </c>
      <c r="B4040" s="1" t="s">
        <v>4209</v>
      </c>
      <c r="C4040" s="1" t="s">
        <v>2635</v>
      </c>
      <c r="D4040" s="1" t="s">
        <v>5060</v>
      </c>
      <c r="E4040" s="1" t="s">
        <v>25</v>
      </c>
      <c r="F4040">
        <v>580</v>
      </c>
      <c r="G4040">
        <v>580</v>
      </c>
      <c r="H4040">
        <v>498.8</v>
      </c>
      <c r="I4040" s="1" t="s">
        <v>1528</v>
      </c>
      <c r="J4040" s="1" t="s">
        <v>1336</v>
      </c>
      <c r="K4040" s="1" t="s">
        <v>25</v>
      </c>
      <c r="L4040">
        <v>-1.6366700999999999</v>
      </c>
      <c r="M4040" t="str">
        <f t="shared" si="153"/>
        <v>44/40</v>
      </c>
      <c r="N4040" t="str">
        <f t="shared" si="154"/>
        <v>SW</v>
      </c>
      <c r="O4040" s="1" t="s">
        <v>25</v>
      </c>
      <c r="P4040" s="3" t="s">
        <v>25</v>
      </c>
      <c r="Q4040" s="37">
        <v>1.747324125</v>
      </c>
      <c r="R4040" t="str">
        <f t="shared" si="151"/>
        <v>mmol/mol</v>
      </c>
      <c r="S4040" s="13">
        <f t="shared" si="152"/>
        <v>-1.6366700999999999</v>
      </c>
    </row>
    <row r="4041" spans="1:19">
      <c r="A4041" s="18" t="s">
        <v>4106</v>
      </c>
      <c r="B4041" s="1" t="s">
        <v>4210</v>
      </c>
      <c r="C4041" s="1" t="s">
        <v>2635</v>
      </c>
      <c r="D4041" s="1" t="s">
        <v>5060</v>
      </c>
      <c r="E4041" s="1" t="s">
        <v>25</v>
      </c>
      <c r="F4041">
        <v>580</v>
      </c>
      <c r="G4041">
        <v>580</v>
      </c>
      <c r="H4041">
        <v>513</v>
      </c>
      <c r="I4041" s="1" t="s">
        <v>1528</v>
      </c>
      <c r="J4041" s="1" t="s">
        <v>1336</v>
      </c>
      <c r="K4041" s="1" t="s">
        <v>25</v>
      </c>
      <c r="L4041" t="s">
        <v>25</v>
      </c>
      <c r="M4041" t="str">
        <f t="shared" si="153"/>
        <v>Na</v>
      </c>
      <c r="N4041" t="str">
        <f t="shared" si="154"/>
        <v>Na</v>
      </c>
      <c r="O4041" s="1" t="s">
        <v>25</v>
      </c>
      <c r="P4041" s="3" t="s">
        <v>25</v>
      </c>
      <c r="Q4041" s="37">
        <v>1.664040296</v>
      </c>
      <c r="R4041" t="str">
        <f t="shared" si="151"/>
        <v>mmol/mol</v>
      </c>
      <c r="S4041" s="13" t="s">
        <v>25</v>
      </c>
    </row>
    <row r="4042" spans="1:19">
      <c r="A4042" s="18" t="s">
        <v>4106</v>
      </c>
      <c r="B4042" s="1" t="s">
        <v>4211</v>
      </c>
      <c r="C4042" s="1" t="s">
        <v>2635</v>
      </c>
      <c r="D4042" s="1" t="s">
        <v>5060</v>
      </c>
      <c r="E4042" s="1" t="s">
        <v>25</v>
      </c>
      <c r="F4042">
        <v>580</v>
      </c>
      <c r="G4042">
        <v>580</v>
      </c>
      <c r="H4042">
        <v>522.79999999999995</v>
      </c>
      <c r="I4042" s="1" t="s">
        <v>1528</v>
      </c>
      <c r="J4042" s="1" t="s">
        <v>1336</v>
      </c>
      <c r="K4042" s="1" t="s">
        <v>25</v>
      </c>
      <c r="L4042" t="s">
        <v>25</v>
      </c>
      <c r="M4042" t="str">
        <f t="shared" si="153"/>
        <v>Na</v>
      </c>
      <c r="N4042" t="str">
        <f t="shared" si="154"/>
        <v>Na</v>
      </c>
      <c r="O4042" s="1" t="s">
        <v>25</v>
      </c>
      <c r="P4042" s="3" t="s">
        <v>25</v>
      </c>
      <c r="Q4042" s="37">
        <v>0.98301099400000003</v>
      </c>
      <c r="R4042" t="str">
        <f t="shared" si="151"/>
        <v>mmol/mol</v>
      </c>
      <c r="S4042" s="13" t="s">
        <v>25</v>
      </c>
    </row>
    <row r="4043" spans="1:19">
      <c r="A4043" s="18" t="s">
        <v>4106</v>
      </c>
      <c r="B4043" s="1" t="s">
        <v>4212</v>
      </c>
      <c r="C4043" s="1" t="s">
        <v>2635</v>
      </c>
      <c r="D4043" s="1" t="s">
        <v>5060</v>
      </c>
      <c r="E4043" s="1" t="s">
        <v>25</v>
      </c>
      <c r="F4043">
        <v>580</v>
      </c>
      <c r="G4043">
        <v>580</v>
      </c>
      <c r="H4043">
        <v>531.6</v>
      </c>
      <c r="I4043" s="1" t="s">
        <v>1528</v>
      </c>
      <c r="J4043" s="1" t="s">
        <v>1336</v>
      </c>
      <c r="K4043" s="1" t="s">
        <v>25</v>
      </c>
      <c r="L4043">
        <v>-1.6326700999999999</v>
      </c>
      <c r="M4043" t="str">
        <f t="shared" si="153"/>
        <v>44/40</v>
      </c>
      <c r="N4043" t="str">
        <f t="shared" si="154"/>
        <v>SW</v>
      </c>
      <c r="O4043" s="1" t="s">
        <v>25</v>
      </c>
      <c r="P4043" s="3" t="s">
        <v>25</v>
      </c>
      <c r="Q4043" s="37">
        <v>1.461593959</v>
      </c>
      <c r="R4043" t="str">
        <f t="shared" si="151"/>
        <v>mmol/mol</v>
      </c>
      <c r="S4043" s="13">
        <f t="shared" si="152"/>
        <v>-1.6326700999999999</v>
      </c>
    </row>
    <row r="4044" spans="1:19">
      <c r="A4044" s="18" t="s">
        <v>4106</v>
      </c>
      <c r="B4044" s="1" t="s">
        <v>4213</v>
      </c>
      <c r="C4044" s="1" t="s">
        <v>2635</v>
      </c>
      <c r="D4044" s="1" t="s">
        <v>5060</v>
      </c>
      <c r="E4044" s="1" t="s">
        <v>25</v>
      </c>
      <c r="F4044">
        <v>580</v>
      </c>
      <c r="G4044">
        <v>580</v>
      </c>
      <c r="H4044">
        <v>558.4</v>
      </c>
      <c r="I4044" s="1" t="s">
        <v>1528</v>
      </c>
      <c r="J4044" s="1" t="s">
        <v>1336</v>
      </c>
      <c r="K4044" s="1" t="s">
        <v>25</v>
      </c>
      <c r="L4044">
        <v>-1.4770962999999999</v>
      </c>
      <c r="M4044" t="str">
        <f t="shared" si="153"/>
        <v>44/40</v>
      </c>
      <c r="N4044" t="str">
        <f t="shared" si="154"/>
        <v>SW</v>
      </c>
      <c r="O4044" s="1" t="s">
        <v>25</v>
      </c>
      <c r="P4044" s="3" t="s">
        <v>25</v>
      </c>
      <c r="Q4044" s="37">
        <v>1.0741908149999999</v>
      </c>
      <c r="R4044" t="str">
        <f t="shared" si="151"/>
        <v>mmol/mol</v>
      </c>
      <c r="S4044" s="13">
        <f t="shared" si="152"/>
        <v>-1.4770962999999999</v>
      </c>
    </row>
    <row r="4045" spans="1:19">
      <c r="A4045" s="18" t="s">
        <v>4106</v>
      </c>
      <c r="B4045" s="1" t="s">
        <v>4214</v>
      </c>
      <c r="C4045" s="1" t="s">
        <v>2635</v>
      </c>
      <c r="D4045" s="1" t="s">
        <v>5060</v>
      </c>
      <c r="E4045" s="1" t="s">
        <v>25</v>
      </c>
      <c r="F4045">
        <v>580</v>
      </c>
      <c r="G4045">
        <v>580</v>
      </c>
      <c r="H4045">
        <v>568.70000000000005</v>
      </c>
      <c r="I4045" s="1" t="s">
        <v>1528</v>
      </c>
      <c r="J4045" s="1" t="s">
        <v>1336</v>
      </c>
      <c r="K4045" s="1" t="s">
        <v>25</v>
      </c>
      <c r="L4045">
        <v>-1.5627582</v>
      </c>
      <c r="M4045" t="str">
        <f t="shared" si="153"/>
        <v>44/40</v>
      </c>
      <c r="N4045" t="str">
        <f t="shared" si="154"/>
        <v>SW</v>
      </c>
      <c r="O4045" s="1" t="s">
        <v>25</v>
      </c>
      <c r="P4045" s="3" t="s">
        <v>25</v>
      </c>
      <c r="Q4045" s="37">
        <v>0.74070688900000003</v>
      </c>
      <c r="R4045" t="str">
        <f t="shared" si="151"/>
        <v>mmol/mol</v>
      </c>
      <c r="S4045" s="13">
        <f t="shared" si="152"/>
        <v>-1.5627582</v>
      </c>
    </row>
    <row r="4046" spans="1:19">
      <c r="A4046" s="18" t="s">
        <v>4106</v>
      </c>
      <c r="B4046" s="1" t="s">
        <v>4215</v>
      </c>
      <c r="C4046" s="1" t="s">
        <v>2635</v>
      </c>
      <c r="D4046" s="1" t="s">
        <v>5060</v>
      </c>
      <c r="E4046" s="1" t="s">
        <v>25</v>
      </c>
      <c r="F4046">
        <v>580</v>
      </c>
      <c r="G4046">
        <v>580</v>
      </c>
      <c r="H4046">
        <v>582</v>
      </c>
      <c r="I4046" s="1" t="s">
        <v>1528</v>
      </c>
      <c r="J4046" s="1" t="s">
        <v>1336</v>
      </c>
      <c r="K4046" s="1" t="s">
        <v>25</v>
      </c>
      <c r="L4046">
        <v>-1.3011352</v>
      </c>
      <c r="M4046" t="str">
        <f t="shared" si="153"/>
        <v>44/40</v>
      </c>
      <c r="N4046" t="str">
        <f t="shared" si="154"/>
        <v>SW</v>
      </c>
      <c r="O4046" s="1" t="s">
        <v>25</v>
      </c>
      <c r="P4046" s="3" t="s">
        <v>25</v>
      </c>
      <c r="Q4046" s="37">
        <v>0.57375721400000002</v>
      </c>
      <c r="R4046" t="str">
        <f t="shared" si="151"/>
        <v>mmol/mol</v>
      </c>
      <c r="S4046" s="13">
        <f t="shared" si="152"/>
        <v>-1.3011352</v>
      </c>
    </row>
    <row r="4047" spans="1:19">
      <c r="A4047" s="18" t="s">
        <v>4106</v>
      </c>
      <c r="B4047" s="1" t="s">
        <v>4216</v>
      </c>
      <c r="C4047" s="1" t="s">
        <v>2635</v>
      </c>
      <c r="D4047" s="1" t="s">
        <v>5060</v>
      </c>
      <c r="E4047" s="1" t="s">
        <v>25</v>
      </c>
      <c r="F4047">
        <v>580</v>
      </c>
      <c r="G4047">
        <v>580</v>
      </c>
      <c r="H4047">
        <v>590.5</v>
      </c>
      <c r="I4047" s="1" t="s">
        <v>1528</v>
      </c>
      <c r="J4047" s="1" t="s">
        <v>1336</v>
      </c>
      <c r="K4047" s="1" t="s">
        <v>25</v>
      </c>
      <c r="L4047">
        <v>-1.2354201</v>
      </c>
      <c r="M4047" t="str">
        <f t="shared" si="153"/>
        <v>44/40</v>
      </c>
      <c r="N4047" t="str">
        <f t="shared" si="154"/>
        <v>SW</v>
      </c>
      <c r="O4047" s="1" t="s">
        <v>25</v>
      </c>
      <c r="P4047" s="3" t="s">
        <v>25</v>
      </c>
      <c r="Q4047" s="37">
        <v>0.43412046300000001</v>
      </c>
      <c r="R4047" t="str">
        <f t="shared" si="151"/>
        <v>mmol/mol</v>
      </c>
      <c r="S4047" s="13">
        <f t="shared" si="152"/>
        <v>-1.2354201</v>
      </c>
    </row>
    <row r="4048" spans="1:19">
      <c r="A4048" s="18" t="s">
        <v>4106</v>
      </c>
      <c r="B4048" s="1" t="s">
        <v>4217</v>
      </c>
      <c r="C4048" s="1" t="s">
        <v>2635</v>
      </c>
      <c r="D4048" s="1" t="s">
        <v>5060</v>
      </c>
      <c r="E4048" s="1" t="s">
        <v>25</v>
      </c>
      <c r="F4048">
        <v>580</v>
      </c>
      <c r="G4048">
        <v>580</v>
      </c>
      <c r="H4048">
        <v>599</v>
      </c>
      <c r="I4048" s="1" t="s">
        <v>1528</v>
      </c>
      <c r="J4048" s="1" t="s">
        <v>1491</v>
      </c>
      <c r="K4048" s="1" t="s">
        <v>25</v>
      </c>
      <c r="L4048">
        <v>-1.2515369000000001</v>
      </c>
      <c r="M4048" t="str">
        <f t="shared" si="153"/>
        <v>44/40</v>
      </c>
      <c r="N4048" t="str">
        <f t="shared" si="154"/>
        <v>SW</v>
      </c>
      <c r="O4048" s="1" t="s">
        <v>25</v>
      </c>
      <c r="P4048" s="3" t="s">
        <v>25</v>
      </c>
      <c r="Q4048" s="37">
        <v>0.40791830899999998</v>
      </c>
      <c r="R4048" t="str">
        <f t="shared" si="151"/>
        <v>mmol/mol</v>
      </c>
      <c r="S4048" s="13">
        <f t="shared" si="152"/>
        <v>-1.2515369000000001</v>
      </c>
    </row>
    <row r="4049" spans="1:19">
      <c r="A4049" s="18" t="s">
        <v>4106</v>
      </c>
      <c r="B4049" s="1" t="s">
        <v>4218</v>
      </c>
      <c r="C4049" s="1" t="s">
        <v>2635</v>
      </c>
      <c r="D4049" s="1" t="s">
        <v>5060</v>
      </c>
      <c r="E4049" s="1" t="s">
        <v>25</v>
      </c>
      <c r="F4049">
        <v>580</v>
      </c>
      <c r="G4049">
        <v>580</v>
      </c>
      <c r="H4049">
        <v>619.79999999999995</v>
      </c>
      <c r="I4049" s="1" t="s">
        <v>1528</v>
      </c>
      <c r="J4049" s="1" t="s">
        <v>1491</v>
      </c>
      <c r="K4049" s="1" t="s">
        <v>25</v>
      </c>
      <c r="L4049">
        <v>-1.1688381000000001</v>
      </c>
      <c r="M4049" t="str">
        <f t="shared" si="153"/>
        <v>44/40</v>
      </c>
      <c r="N4049" t="str">
        <f t="shared" si="154"/>
        <v>SW</v>
      </c>
      <c r="O4049" s="1" t="s">
        <v>25</v>
      </c>
      <c r="P4049" s="3" t="s">
        <v>25</v>
      </c>
      <c r="Q4049" s="37">
        <v>0.392007775</v>
      </c>
      <c r="R4049" t="str">
        <f t="shared" si="151"/>
        <v>mmol/mol</v>
      </c>
      <c r="S4049" s="13">
        <f t="shared" si="152"/>
        <v>-1.1688381000000001</v>
      </c>
    </row>
    <row r="4050" spans="1:19">
      <c r="A4050" s="18" t="s">
        <v>4106</v>
      </c>
      <c r="B4050" s="1" t="s">
        <v>4219</v>
      </c>
      <c r="C4050" s="1" t="s">
        <v>2635</v>
      </c>
      <c r="D4050" s="1" t="s">
        <v>5060</v>
      </c>
      <c r="E4050" s="1" t="s">
        <v>25</v>
      </c>
      <c r="F4050">
        <v>580</v>
      </c>
      <c r="G4050">
        <v>580</v>
      </c>
      <c r="H4050">
        <v>629.29999999999995</v>
      </c>
      <c r="I4050" s="1" t="s">
        <v>1528</v>
      </c>
      <c r="J4050" s="1" t="s">
        <v>1491</v>
      </c>
      <c r="K4050" s="1" t="s">
        <v>25</v>
      </c>
      <c r="L4050">
        <v>-0.93665160000000003</v>
      </c>
      <c r="M4050" t="str">
        <f t="shared" si="153"/>
        <v>44/40</v>
      </c>
      <c r="N4050" t="str">
        <f t="shared" si="154"/>
        <v>SW</v>
      </c>
      <c r="O4050" s="1" t="s">
        <v>25</v>
      </c>
      <c r="P4050" s="3" t="s">
        <v>25</v>
      </c>
      <c r="Q4050" s="37">
        <v>6.9355430999999995E-2</v>
      </c>
      <c r="R4050" t="str">
        <f t="shared" si="151"/>
        <v>mmol/mol</v>
      </c>
      <c r="S4050" s="13">
        <f t="shared" si="152"/>
        <v>-0.93665160000000003</v>
      </c>
    </row>
    <row r="4051" spans="1:19">
      <c r="A4051" s="18" t="s">
        <v>4106</v>
      </c>
      <c r="B4051" s="1" t="s">
        <v>4220</v>
      </c>
      <c r="C4051" s="1" t="s">
        <v>2635</v>
      </c>
      <c r="D4051" s="1" t="s">
        <v>5060</v>
      </c>
      <c r="E4051" s="1" t="s">
        <v>25</v>
      </c>
      <c r="F4051">
        <v>580</v>
      </c>
      <c r="G4051">
        <v>580</v>
      </c>
      <c r="H4051">
        <v>667.9</v>
      </c>
      <c r="I4051" s="1" t="s">
        <v>1528</v>
      </c>
      <c r="J4051" s="1" t="s">
        <v>1491</v>
      </c>
      <c r="K4051" s="1" t="s">
        <v>25</v>
      </c>
      <c r="L4051">
        <v>-1.1854098</v>
      </c>
      <c r="M4051" t="str">
        <f t="shared" si="153"/>
        <v>44/40</v>
      </c>
      <c r="N4051" t="str">
        <f t="shared" si="154"/>
        <v>SW</v>
      </c>
      <c r="O4051" s="1" t="s">
        <v>25</v>
      </c>
      <c r="P4051" s="3" t="s">
        <v>25</v>
      </c>
      <c r="Q4051" s="37">
        <v>0.12156312599999999</v>
      </c>
      <c r="R4051" t="str">
        <f t="shared" si="151"/>
        <v>mmol/mol</v>
      </c>
      <c r="S4051" s="13">
        <f t="shared" si="152"/>
        <v>-1.1854098</v>
      </c>
    </row>
    <row r="4052" spans="1:19">
      <c r="A4052" s="18" t="s">
        <v>4106</v>
      </c>
      <c r="B4052" s="1" t="s">
        <v>4221</v>
      </c>
      <c r="C4052" s="1" t="s">
        <v>2635</v>
      </c>
      <c r="D4052" s="1" t="s">
        <v>5060</v>
      </c>
      <c r="E4052" s="1" t="s">
        <v>25</v>
      </c>
      <c r="F4052">
        <v>580</v>
      </c>
      <c r="G4052">
        <v>580</v>
      </c>
      <c r="H4052">
        <v>0</v>
      </c>
      <c r="I4052" s="1" t="s">
        <v>1528</v>
      </c>
      <c r="J4052" s="1" t="s">
        <v>1336</v>
      </c>
      <c r="K4052" s="1" t="s">
        <v>25</v>
      </c>
      <c r="L4052">
        <v>-0.84526520000000005</v>
      </c>
      <c r="M4052" t="str">
        <f t="shared" si="153"/>
        <v>44/40</v>
      </c>
      <c r="N4052" t="str">
        <f t="shared" si="154"/>
        <v>SW</v>
      </c>
      <c r="O4052" s="1" t="s">
        <v>25</v>
      </c>
      <c r="P4052" s="3" t="s">
        <v>25</v>
      </c>
      <c r="Q4052" s="37">
        <v>0.29745880000000002</v>
      </c>
      <c r="R4052" t="str">
        <f t="shared" si="151"/>
        <v>mmol/mol</v>
      </c>
      <c r="S4052" s="13">
        <f t="shared" si="152"/>
        <v>-0.84526520000000005</v>
      </c>
    </row>
    <row r="4053" spans="1:19">
      <c r="A4053" s="18" t="s">
        <v>4106</v>
      </c>
      <c r="B4053" s="1" t="s">
        <v>4222</v>
      </c>
      <c r="C4053" s="1" t="s">
        <v>2635</v>
      </c>
      <c r="D4053" s="1" t="s">
        <v>5060</v>
      </c>
      <c r="E4053" s="1" t="s">
        <v>25</v>
      </c>
      <c r="F4053">
        <v>580</v>
      </c>
      <c r="G4053">
        <v>580</v>
      </c>
      <c r="H4053">
        <v>9.6999999999999993</v>
      </c>
      <c r="I4053" s="1" t="s">
        <v>1528</v>
      </c>
      <c r="J4053" s="1" t="s">
        <v>1336</v>
      </c>
      <c r="K4053" s="1" t="s">
        <v>25</v>
      </c>
      <c r="L4053">
        <v>-0.6928706</v>
      </c>
      <c r="M4053" t="str">
        <f t="shared" si="153"/>
        <v>44/40</v>
      </c>
      <c r="N4053" t="str">
        <f t="shared" si="154"/>
        <v>SW</v>
      </c>
      <c r="O4053" s="1" t="s">
        <v>25</v>
      </c>
      <c r="P4053" s="3" t="s">
        <v>25</v>
      </c>
      <c r="Q4053" s="37">
        <v>0.24466560000000001</v>
      </c>
      <c r="R4053" t="str">
        <f t="shared" si="151"/>
        <v>mmol/mol</v>
      </c>
      <c r="S4053" s="13">
        <f t="shared" si="152"/>
        <v>-0.6928706</v>
      </c>
    </row>
    <row r="4054" spans="1:19">
      <c r="A4054" s="18" t="s">
        <v>4106</v>
      </c>
      <c r="B4054" s="1" t="s">
        <v>4223</v>
      </c>
      <c r="C4054" s="1" t="s">
        <v>2635</v>
      </c>
      <c r="D4054" s="1" t="s">
        <v>5060</v>
      </c>
      <c r="E4054" s="1" t="s">
        <v>25</v>
      </c>
      <c r="F4054">
        <v>580</v>
      </c>
      <c r="G4054">
        <v>580</v>
      </c>
      <c r="H4054">
        <v>21.5</v>
      </c>
      <c r="I4054" s="1" t="s">
        <v>1528</v>
      </c>
      <c r="J4054" s="1" t="s">
        <v>1336</v>
      </c>
      <c r="K4054" s="1" t="s">
        <v>25</v>
      </c>
      <c r="L4054" t="s">
        <v>25</v>
      </c>
      <c r="M4054" t="str">
        <f t="shared" si="153"/>
        <v>Na</v>
      </c>
      <c r="N4054" t="str">
        <f t="shared" si="154"/>
        <v>Na</v>
      </c>
      <c r="O4054" s="1" t="s">
        <v>25</v>
      </c>
      <c r="P4054" s="3" t="s">
        <v>25</v>
      </c>
      <c r="Q4054" s="37">
        <v>0.30787500000000001</v>
      </c>
      <c r="R4054" t="str">
        <f t="shared" si="151"/>
        <v>mmol/mol</v>
      </c>
      <c r="S4054" s="13" t="s">
        <v>25</v>
      </c>
    </row>
    <row r="4055" spans="1:19">
      <c r="A4055" s="18" t="s">
        <v>4106</v>
      </c>
      <c r="B4055" s="1" t="s">
        <v>4224</v>
      </c>
      <c r="C4055" s="1" t="s">
        <v>2635</v>
      </c>
      <c r="D4055" s="1" t="s">
        <v>5060</v>
      </c>
      <c r="E4055" s="1" t="s">
        <v>25</v>
      </c>
      <c r="F4055">
        <v>580</v>
      </c>
      <c r="G4055">
        <v>580</v>
      </c>
      <c r="H4055">
        <v>31.5</v>
      </c>
      <c r="I4055" s="1" t="s">
        <v>1528</v>
      </c>
      <c r="J4055" s="1" t="s">
        <v>1336</v>
      </c>
      <c r="K4055" s="1" t="s">
        <v>25</v>
      </c>
      <c r="L4055">
        <v>-0.73371980000000003</v>
      </c>
      <c r="M4055" t="str">
        <f t="shared" si="153"/>
        <v>44/40</v>
      </c>
      <c r="N4055" t="str">
        <f t="shared" si="154"/>
        <v>SW</v>
      </c>
      <c r="O4055" s="1" t="s">
        <v>25</v>
      </c>
      <c r="P4055" s="3" t="s">
        <v>25</v>
      </c>
      <c r="Q4055" s="37">
        <v>0.29772270000000001</v>
      </c>
      <c r="R4055" t="str">
        <f t="shared" si="151"/>
        <v>mmol/mol</v>
      </c>
      <c r="S4055" s="13">
        <f t="shared" si="152"/>
        <v>-0.73371980000000003</v>
      </c>
    </row>
    <row r="4056" spans="1:19">
      <c r="A4056" s="18" t="s">
        <v>4106</v>
      </c>
      <c r="B4056" s="1" t="s">
        <v>4225</v>
      </c>
      <c r="C4056" s="1" t="s">
        <v>2635</v>
      </c>
      <c r="D4056" s="1" t="s">
        <v>5060</v>
      </c>
      <c r="E4056" s="1" t="s">
        <v>25</v>
      </c>
      <c r="F4056">
        <v>580</v>
      </c>
      <c r="G4056">
        <v>580</v>
      </c>
      <c r="H4056">
        <v>45.4</v>
      </c>
      <c r="I4056" s="1" t="s">
        <v>1528</v>
      </c>
      <c r="J4056" s="1" t="s">
        <v>1336</v>
      </c>
      <c r="K4056" s="1" t="s">
        <v>25</v>
      </c>
      <c r="L4056">
        <v>-0.90587799999999996</v>
      </c>
      <c r="M4056" t="str">
        <f t="shared" si="153"/>
        <v>44/40</v>
      </c>
      <c r="N4056" t="str">
        <f t="shared" si="154"/>
        <v>SW</v>
      </c>
      <c r="O4056" s="1" t="s">
        <v>25</v>
      </c>
      <c r="P4056" s="3" t="s">
        <v>25</v>
      </c>
      <c r="Q4056" s="37">
        <v>0.36753479999999999</v>
      </c>
      <c r="R4056" t="str">
        <f t="shared" si="151"/>
        <v>mmol/mol</v>
      </c>
      <c r="S4056" s="13">
        <f t="shared" si="152"/>
        <v>-0.90587799999999996</v>
      </c>
    </row>
    <row r="4057" spans="1:19">
      <c r="A4057" s="18" t="s">
        <v>4106</v>
      </c>
      <c r="B4057" s="1" t="s">
        <v>4226</v>
      </c>
      <c r="C4057" s="1" t="s">
        <v>2635</v>
      </c>
      <c r="D4057" s="1" t="s">
        <v>5060</v>
      </c>
      <c r="E4057" s="1" t="s">
        <v>25</v>
      </c>
      <c r="F4057">
        <v>580</v>
      </c>
      <c r="G4057">
        <v>580</v>
      </c>
      <c r="H4057">
        <v>55.2</v>
      </c>
      <c r="I4057" s="1" t="s">
        <v>1528</v>
      </c>
      <c r="J4057" s="1" t="s">
        <v>1336</v>
      </c>
      <c r="K4057" s="1" t="s">
        <v>25</v>
      </c>
      <c r="L4057">
        <v>-1.1531228</v>
      </c>
      <c r="M4057" t="str">
        <f t="shared" si="153"/>
        <v>44/40</v>
      </c>
      <c r="N4057" t="str">
        <f t="shared" si="154"/>
        <v>SW</v>
      </c>
      <c r="O4057" s="1" t="s">
        <v>25</v>
      </c>
      <c r="P4057" s="3" t="s">
        <v>25</v>
      </c>
      <c r="Q4057" s="37">
        <v>0.45945000000000003</v>
      </c>
      <c r="R4057" t="str">
        <f t="shared" ref="R4057:R4120" si="155">IF(Q4057="Na","Na","mmol/mol")</f>
        <v>mmol/mol</v>
      </c>
      <c r="S4057" s="13">
        <f t="shared" si="152"/>
        <v>-1.1531228</v>
      </c>
    </row>
    <row r="4058" spans="1:19">
      <c r="A4058" s="18" t="s">
        <v>4106</v>
      </c>
      <c r="B4058" s="1" t="s">
        <v>4227</v>
      </c>
      <c r="C4058" s="1" t="s">
        <v>2635</v>
      </c>
      <c r="D4058" s="1" t="s">
        <v>5060</v>
      </c>
      <c r="E4058" s="1" t="s">
        <v>25</v>
      </c>
      <c r="F4058">
        <v>580</v>
      </c>
      <c r="G4058">
        <v>580</v>
      </c>
      <c r="H4058">
        <v>65.5</v>
      </c>
      <c r="I4058" s="1" t="s">
        <v>1528</v>
      </c>
      <c r="J4058" s="1" t="s">
        <v>1336</v>
      </c>
      <c r="K4058" s="1" t="s">
        <v>25</v>
      </c>
      <c r="L4058">
        <v>-0.7968288</v>
      </c>
      <c r="M4058" t="str">
        <f t="shared" si="153"/>
        <v>44/40</v>
      </c>
      <c r="N4058" t="str">
        <f t="shared" si="154"/>
        <v>SW</v>
      </c>
      <c r="O4058" s="1" t="s">
        <v>25</v>
      </c>
      <c r="P4058" s="3" t="s">
        <v>25</v>
      </c>
      <c r="Q4058" s="37">
        <v>0.37702999999999998</v>
      </c>
      <c r="R4058" t="str">
        <f t="shared" si="155"/>
        <v>mmol/mol</v>
      </c>
      <c r="S4058" s="13">
        <f t="shared" si="152"/>
        <v>-0.7968288</v>
      </c>
    </row>
    <row r="4059" spans="1:19">
      <c r="A4059" s="18" t="s">
        <v>4106</v>
      </c>
      <c r="B4059" s="1" t="s">
        <v>4228</v>
      </c>
      <c r="C4059" s="1" t="s">
        <v>2635</v>
      </c>
      <c r="D4059" s="1" t="s">
        <v>5060</v>
      </c>
      <c r="E4059" s="1" t="s">
        <v>25</v>
      </c>
      <c r="F4059">
        <v>580</v>
      </c>
      <c r="G4059">
        <v>580</v>
      </c>
      <c r="H4059">
        <v>75.400000000000006</v>
      </c>
      <c r="I4059" s="1" t="s">
        <v>1528</v>
      </c>
      <c r="J4059" s="1" t="s">
        <v>1336</v>
      </c>
      <c r="K4059" s="1" t="s">
        <v>25</v>
      </c>
      <c r="L4059">
        <v>-1.1971978000000001</v>
      </c>
      <c r="M4059" t="str">
        <f t="shared" si="153"/>
        <v>44/40</v>
      </c>
      <c r="N4059" t="str">
        <f t="shared" si="154"/>
        <v>SW</v>
      </c>
      <c r="O4059" s="1" t="s">
        <v>25</v>
      </c>
      <c r="P4059" s="3" t="s">
        <v>25</v>
      </c>
      <c r="Q4059" s="37">
        <v>0.61954719999999996</v>
      </c>
      <c r="R4059" t="str">
        <f t="shared" si="155"/>
        <v>mmol/mol</v>
      </c>
      <c r="S4059" s="13">
        <f t="shared" si="152"/>
        <v>-1.1971978000000001</v>
      </c>
    </row>
    <row r="4060" spans="1:19">
      <c r="A4060" s="18" t="s">
        <v>4106</v>
      </c>
      <c r="B4060" s="1" t="s">
        <v>4229</v>
      </c>
      <c r="C4060" s="1" t="s">
        <v>2635</v>
      </c>
      <c r="D4060" s="1" t="s">
        <v>5060</v>
      </c>
      <c r="E4060" s="1" t="s">
        <v>25</v>
      </c>
      <c r="F4060">
        <v>580</v>
      </c>
      <c r="G4060">
        <v>580</v>
      </c>
      <c r="H4060">
        <v>90.1</v>
      </c>
      <c r="I4060" s="1" t="s">
        <v>1528</v>
      </c>
      <c r="J4060" s="1" t="s">
        <v>1336</v>
      </c>
      <c r="K4060" s="1" t="s">
        <v>25</v>
      </c>
      <c r="L4060">
        <v>-1.3886274999999999</v>
      </c>
      <c r="M4060" t="str">
        <f t="shared" si="153"/>
        <v>44/40</v>
      </c>
      <c r="N4060" t="str">
        <f t="shared" si="154"/>
        <v>SW</v>
      </c>
      <c r="O4060" s="1" t="s">
        <v>25</v>
      </c>
      <c r="P4060" s="3" t="s">
        <v>25</v>
      </c>
      <c r="Q4060" s="37">
        <v>0.90326099999999998</v>
      </c>
      <c r="R4060" t="str">
        <f t="shared" si="155"/>
        <v>mmol/mol</v>
      </c>
      <c r="S4060" s="13">
        <f t="shared" si="152"/>
        <v>-1.3886274999999999</v>
      </c>
    </row>
    <row r="4061" spans="1:19">
      <c r="A4061" s="18" t="s">
        <v>4106</v>
      </c>
      <c r="B4061" s="1" t="s">
        <v>4230</v>
      </c>
      <c r="C4061" s="1" t="s">
        <v>2635</v>
      </c>
      <c r="D4061" s="1" t="s">
        <v>5060</v>
      </c>
      <c r="E4061" s="1" t="s">
        <v>25</v>
      </c>
      <c r="F4061">
        <v>580</v>
      </c>
      <c r="G4061">
        <v>580</v>
      </c>
      <c r="H4061">
        <v>102.3</v>
      </c>
      <c r="I4061" s="1" t="s">
        <v>1528</v>
      </c>
      <c r="J4061" s="1" t="s">
        <v>1336</v>
      </c>
      <c r="K4061" s="1" t="s">
        <v>25</v>
      </c>
      <c r="L4061">
        <v>-1.4296629000000001</v>
      </c>
      <c r="M4061" t="str">
        <f t="shared" si="153"/>
        <v>44/40</v>
      </c>
      <c r="N4061" t="str">
        <f t="shared" si="154"/>
        <v>SW</v>
      </c>
      <c r="O4061" s="1" t="s">
        <v>25</v>
      </c>
      <c r="P4061" s="3" t="s">
        <v>25</v>
      </c>
      <c r="Q4061" s="37">
        <v>1.01973</v>
      </c>
      <c r="R4061" t="str">
        <f t="shared" si="155"/>
        <v>mmol/mol</v>
      </c>
      <c r="S4061" s="13">
        <f t="shared" si="152"/>
        <v>-1.4296629000000001</v>
      </c>
    </row>
    <row r="4062" spans="1:19">
      <c r="A4062" s="18" t="s">
        <v>4106</v>
      </c>
      <c r="B4062" s="1" t="s">
        <v>4231</v>
      </c>
      <c r="C4062" s="1" t="s">
        <v>2635</v>
      </c>
      <c r="D4062" s="1" t="s">
        <v>5060</v>
      </c>
      <c r="E4062" s="1" t="s">
        <v>25</v>
      </c>
      <c r="F4062">
        <v>580</v>
      </c>
      <c r="G4062">
        <v>580</v>
      </c>
      <c r="H4062">
        <v>111.1</v>
      </c>
      <c r="I4062" s="1" t="s">
        <v>1528</v>
      </c>
      <c r="J4062" s="1" t="s">
        <v>1336</v>
      </c>
      <c r="K4062" s="1" t="s">
        <v>25</v>
      </c>
      <c r="L4062">
        <v>-1.0206584999999999</v>
      </c>
      <c r="M4062" t="str">
        <f t="shared" si="153"/>
        <v>44/40</v>
      </c>
      <c r="N4062" t="str">
        <f t="shared" si="154"/>
        <v>SW</v>
      </c>
      <c r="O4062" s="1" t="s">
        <v>25</v>
      </c>
      <c r="P4062" s="3" t="s">
        <v>25</v>
      </c>
      <c r="Q4062" s="37">
        <v>0.48009560000000001</v>
      </c>
      <c r="R4062" t="str">
        <f t="shared" si="155"/>
        <v>mmol/mol</v>
      </c>
      <c r="S4062" s="13">
        <f t="shared" si="152"/>
        <v>-1.0206584999999999</v>
      </c>
    </row>
    <row r="4063" spans="1:19">
      <c r="A4063" s="18" t="s">
        <v>4106</v>
      </c>
      <c r="B4063" s="1" t="s">
        <v>4232</v>
      </c>
      <c r="C4063" s="1" t="s">
        <v>2635</v>
      </c>
      <c r="D4063" s="1" t="s">
        <v>5060</v>
      </c>
      <c r="E4063" s="1" t="s">
        <v>25</v>
      </c>
      <c r="F4063">
        <v>580</v>
      </c>
      <c r="G4063">
        <v>580</v>
      </c>
      <c r="H4063">
        <v>136.1</v>
      </c>
      <c r="I4063" s="1" t="s">
        <v>1528</v>
      </c>
      <c r="J4063" s="1" t="s">
        <v>1336</v>
      </c>
      <c r="K4063" s="1" t="s">
        <v>25</v>
      </c>
      <c r="L4063">
        <v>-1.2917588</v>
      </c>
      <c r="M4063" t="str">
        <f t="shared" si="153"/>
        <v>44/40</v>
      </c>
      <c r="N4063" t="str">
        <f t="shared" si="154"/>
        <v>SW</v>
      </c>
      <c r="O4063" s="1" t="s">
        <v>25</v>
      </c>
      <c r="P4063" s="3" t="s">
        <v>25</v>
      </c>
      <c r="Q4063" s="37">
        <v>0.5850651</v>
      </c>
      <c r="R4063" t="str">
        <f t="shared" si="155"/>
        <v>mmol/mol</v>
      </c>
      <c r="S4063" s="13">
        <f t="shared" si="152"/>
        <v>-1.2917588</v>
      </c>
    </row>
    <row r="4064" spans="1:19">
      <c r="A4064" s="18" t="s">
        <v>4106</v>
      </c>
      <c r="B4064" s="1" t="s">
        <v>4233</v>
      </c>
      <c r="C4064" s="1" t="s">
        <v>2635</v>
      </c>
      <c r="D4064" s="1" t="s">
        <v>5060</v>
      </c>
      <c r="E4064" s="1" t="s">
        <v>25</v>
      </c>
      <c r="F4064">
        <v>580</v>
      </c>
      <c r="G4064">
        <v>580</v>
      </c>
      <c r="H4064">
        <v>156.30000000000001</v>
      </c>
      <c r="I4064" s="1" t="s">
        <v>1528</v>
      </c>
      <c r="J4064" s="1" t="s">
        <v>1336</v>
      </c>
      <c r="K4064" s="1" t="s">
        <v>25</v>
      </c>
      <c r="L4064">
        <v>-1.4675978000000001</v>
      </c>
      <c r="M4064" t="str">
        <f t="shared" si="153"/>
        <v>44/40</v>
      </c>
      <c r="N4064" t="str">
        <f t="shared" si="154"/>
        <v>SW</v>
      </c>
      <c r="O4064" s="1" t="s">
        <v>25</v>
      </c>
      <c r="P4064" s="3" t="s">
        <v>25</v>
      </c>
      <c r="Q4064" s="37">
        <v>0.77624119999999996</v>
      </c>
      <c r="R4064" t="str">
        <f t="shared" si="155"/>
        <v>mmol/mol</v>
      </c>
      <c r="S4064" s="13">
        <f t="shared" si="152"/>
        <v>-1.4675978000000001</v>
      </c>
    </row>
    <row r="4065" spans="1:19">
      <c r="A4065" s="18" t="s">
        <v>4106</v>
      </c>
      <c r="B4065" s="1" t="s">
        <v>4234</v>
      </c>
      <c r="C4065" s="1" t="s">
        <v>2635</v>
      </c>
      <c r="D4065" s="1" t="s">
        <v>5060</v>
      </c>
      <c r="E4065" s="1" t="s">
        <v>25</v>
      </c>
      <c r="F4065">
        <v>580</v>
      </c>
      <c r="G4065">
        <v>580</v>
      </c>
      <c r="H4065">
        <v>166.8</v>
      </c>
      <c r="I4065" s="1" t="s">
        <v>1528</v>
      </c>
      <c r="J4065" s="1" t="s">
        <v>1336</v>
      </c>
      <c r="K4065" s="1" t="s">
        <v>25</v>
      </c>
      <c r="L4065">
        <v>-1.4957488999999999</v>
      </c>
      <c r="M4065" t="str">
        <f t="shared" si="153"/>
        <v>44/40</v>
      </c>
      <c r="N4065" t="str">
        <f t="shared" si="154"/>
        <v>SW</v>
      </c>
      <c r="O4065" s="1" t="s">
        <v>25</v>
      </c>
      <c r="P4065" s="3" t="s">
        <v>25</v>
      </c>
      <c r="Q4065" s="37">
        <v>0.96034160000000002</v>
      </c>
      <c r="R4065" t="str">
        <f t="shared" si="155"/>
        <v>mmol/mol</v>
      </c>
      <c r="S4065" s="13">
        <f t="shared" si="152"/>
        <v>-1.4957488999999999</v>
      </c>
    </row>
    <row r="4066" spans="1:19">
      <c r="A4066" s="18" t="s">
        <v>4106</v>
      </c>
      <c r="B4066" s="1" t="s">
        <v>4235</v>
      </c>
      <c r="C4066" s="1" t="s">
        <v>2635</v>
      </c>
      <c r="D4066" s="1" t="s">
        <v>5060</v>
      </c>
      <c r="E4066" s="1" t="s">
        <v>25</v>
      </c>
      <c r="F4066">
        <v>580</v>
      </c>
      <c r="G4066">
        <v>580</v>
      </c>
      <c r="H4066">
        <v>178.3</v>
      </c>
      <c r="I4066" s="1" t="s">
        <v>1528</v>
      </c>
      <c r="J4066" s="1" t="s">
        <v>1336</v>
      </c>
      <c r="K4066" s="1" t="s">
        <v>25</v>
      </c>
      <c r="L4066">
        <v>-1.5175516</v>
      </c>
      <c r="M4066" t="str">
        <f t="shared" si="153"/>
        <v>44/40</v>
      </c>
      <c r="N4066" t="str">
        <f t="shared" si="154"/>
        <v>SW</v>
      </c>
      <c r="O4066" s="1" t="s">
        <v>25</v>
      </c>
      <c r="P4066" s="3" t="s">
        <v>25</v>
      </c>
      <c r="Q4066" s="37">
        <v>0.99389110000000003</v>
      </c>
      <c r="R4066" t="str">
        <f t="shared" si="155"/>
        <v>mmol/mol</v>
      </c>
      <c r="S4066" s="13">
        <f t="shared" si="152"/>
        <v>-1.5175516</v>
      </c>
    </row>
    <row r="4067" spans="1:19">
      <c r="A4067" s="18" t="s">
        <v>4106</v>
      </c>
      <c r="B4067" s="1" t="s">
        <v>4236</v>
      </c>
      <c r="C4067" s="1" t="s">
        <v>2635</v>
      </c>
      <c r="D4067" s="1" t="s">
        <v>5060</v>
      </c>
      <c r="E4067" s="1" t="s">
        <v>25</v>
      </c>
      <c r="F4067">
        <v>580</v>
      </c>
      <c r="G4067">
        <v>580</v>
      </c>
      <c r="H4067">
        <v>191.6</v>
      </c>
      <c r="I4067" s="1" t="s">
        <v>1528</v>
      </c>
      <c r="J4067" s="1" t="s">
        <v>1336</v>
      </c>
      <c r="K4067" s="1" t="s">
        <v>25</v>
      </c>
      <c r="L4067">
        <v>-1.5938950999999999</v>
      </c>
      <c r="M4067" t="str">
        <f t="shared" si="153"/>
        <v>44/40</v>
      </c>
      <c r="N4067" t="str">
        <f t="shared" si="154"/>
        <v>SW</v>
      </c>
      <c r="O4067" s="1" t="s">
        <v>25</v>
      </c>
      <c r="P4067" s="3" t="s">
        <v>25</v>
      </c>
      <c r="Q4067" s="37">
        <v>0.9159524</v>
      </c>
      <c r="R4067" t="str">
        <f t="shared" si="155"/>
        <v>mmol/mol</v>
      </c>
      <c r="S4067" s="13">
        <f t="shared" si="152"/>
        <v>-1.5938950999999999</v>
      </c>
    </row>
    <row r="4068" spans="1:19">
      <c r="A4068" s="18" t="s">
        <v>4106</v>
      </c>
      <c r="B4068" s="1" t="s">
        <v>4237</v>
      </c>
      <c r="C4068" s="1" t="s">
        <v>2635</v>
      </c>
      <c r="D4068" s="1" t="s">
        <v>5060</v>
      </c>
      <c r="E4068" s="1" t="s">
        <v>25</v>
      </c>
      <c r="F4068">
        <v>580</v>
      </c>
      <c r="G4068">
        <v>580</v>
      </c>
      <c r="H4068">
        <v>209</v>
      </c>
      <c r="I4068" s="1" t="s">
        <v>1528</v>
      </c>
      <c r="J4068" s="1" t="s">
        <v>1336</v>
      </c>
      <c r="K4068" s="1" t="s">
        <v>25</v>
      </c>
      <c r="L4068">
        <v>-1.8268807</v>
      </c>
      <c r="M4068" t="str">
        <f t="shared" si="153"/>
        <v>44/40</v>
      </c>
      <c r="N4068" t="str">
        <f t="shared" si="154"/>
        <v>SW</v>
      </c>
      <c r="O4068" s="1" t="s">
        <v>25</v>
      </c>
      <c r="P4068" s="3" t="s">
        <v>25</v>
      </c>
      <c r="Q4068" s="37">
        <v>0.68267639999999996</v>
      </c>
      <c r="R4068" t="str">
        <f t="shared" si="155"/>
        <v>mmol/mol</v>
      </c>
      <c r="S4068" s="13">
        <f t="shared" si="152"/>
        <v>-1.8268807</v>
      </c>
    </row>
    <row r="4069" spans="1:19">
      <c r="A4069" s="18" t="s">
        <v>4106</v>
      </c>
      <c r="B4069" s="1" t="s">
        <v>4238</v>
      </c>
      <c r="C4069" s="1" t="s">
        <v>2635</v>
      </c>
      <c r="D4069" s="1" t="s">
        <v>5060</v>
      </c>
      <c r="E4069" s="1" t="s">
        <v>25</v>
      </c>
      <c r="F4069">
        <v>580</v>
      </c>
      <c r="G4069">
        <v>580</v>
      </c>
      <c r="H4069">
        <v>229.9</v>
      </c>
      <c r="I4069" s="1" t="s">
        <v>1528</v>
      </c>
      <c r="J4069" s="1" t="s">
        <v>1336</v>
      </c>
      <c r="K4069" s="1" t="s">
        <v>25</v>
      </c>
      <c r="L4069">
        <v>-1.6363728</v>
      </c>
      <c r="M4069" t="str">
        <f t="shared" si="153"/>
        <v>44/40</v>
      </c>
      <c r="N4069" t="str">
        <f t="shared" si="154"/>
        <v>SW</v>
      </c>
      <c r="O4069" s="1" t="s">
        <v>25</v>
      </c>
      <c r="P4069" s="3" t="s">
        <v>25</v>
      </c>
      <c r="Q4069" s="37">
        <v>0.63045320000000005</v>
      </c>
      <c r="R4069" t="str">
        <f t="shared" si="155"/>
        <v>mmol/mol</v>
      </c>
      <c r="S4069" s="13">
        <f t="shared" si="152"/>
        <v>-1.6363728</v>
      </c>
    </row>
    <row r="4070" spans="1:19">
      <c r="A4070" s="18" t="s">
        <v>4106</v>
      </c>
      <c r="B4070" s="1" t="s">
        <v>4239</v>
      </c>
      <c r="C4070" s="1" t="s">
        <v>2635</v>
      </c>
      <c r="D4070" s="1" t="s">
        <v>5060</v>
      </c>
      <c r="E4070" s="1" t="s">
        <v>25</v>
      </c>
      <c r="F4070">
        <v>580</v>
      </c>
      <c r="G4070">
        <v>580</v>
      </c>
      <c r="H4070">
        <v>240.4</v>
      </c>
      <c r="I4070" s="1" t="s">
        <v>1528</v>
      </c>
      <c r="J4070" s="1" t="s">
        <v>1336</v>
      </c>
      <c r="K4070" s="1" t="s">
        <v>25</v>
      </c>
      <c r="L4070">
        <v>-1.7387547000000001</v>
      </c>
      <c r="M4070" t="str">
        <f t="shared" si="153"/>
        <v>44/40</v>
      </c>
      <c r="N4070" t="str">
        <f t="shared" si="154"/>
        <v>SW</v>
      </c>
      <c r="O4070" s="1" t="s">
        <v>25</v>
      </c>
      <c r="P4070" s="3" t="s">
        <v>25</v>
      </c>
      <c r="Q4070" s="37">
        <v>1.318889</v>
      </c>
      <c r="R4070" t="str">
        <f t="shared" si="155"/>
        <v>mmol/mol</v>
      </c>
      <c r="S4070" s="13">
        <f t="shared" si="152"/>
        <v>-1.7387547000000001</v>
      </c>
    </row>
    <row r="4071" spans="1:19">
      <c r="A4071" s="18" t="s">
        <v>4106</v>
      </c>
      <c r="B4071" s="1" t="s">
        <v>4240</v>
      </c>
      <c r="C4071" s="1" t="s">
        <v>2635</v>
      </c>
      <c r="D4071" s="1" t="s">
        <v>5060</v>
      </c>
      <c r="E4071" s="1" t="s">
        <v>25</v>
      </c>
      <c r="F4071">
        <v>580</v>
      </c>
      <c r="G4071">
        <v>580</v>
      </c>
      <c r="H4071">
        <v>252.8</v>
      </c>
      <c r="I4071" s="1" t="s">
        <v>1528</v>
      </c>
      <c r="J4071" s="1" t="s">
        <v>1336</v>
      </c>
      <c r="K4071" s="1" t="s">
        <v>25</v>
      </c>
      <c r="L4071">
        <v>-1.5846492000000001</v>
      </c>
      <c r="M4071" t="str">
        <f t="shared" si="153"/>
        <v>44/40</v>
      </c>
      <c r="N4071" t="str">
        <f t="shared" si="154"/>
        <v>SW</v>
      </c>
      <c r="O4071" s="1" t="s">
        <v>25</v>
      </c>
      <c r="P4071" s="3" t="s">
        <v>25</v>
      </c>
      <c r="Q4071" s="37">
        <v>0.86824950000000001</v>
      </c>
      <c r="R4071" t="str">
        <f t="shared" si="155"/>
        <v>mmol/mol</v>
      </c>
      <c r="S4071" s="13">
        <f t="shared" si="152"/>
        <v>-1.5846492000000001</v>
      </c>
    </row>
    <row r="4072" spans="1:19">
      <c r="A4072" s="18" t="s">
        <v>4106</v>
      </c>
      <c r="B4072" s="1" t="s">
        <v>4241</v>
      </c>
      <c r="C4072" s="1" t="s">
        <v>2635</v>
      </c>
      <c r="D4072" s="1" t="s">
        <v>5060</v>
      </c>
      <c r="E4072" s="1" t="s">
        <v>25</v>
      </c>
      <c r="F4072">
        <v>580</v>
      </c>
      <c r="G4072">
        <v>580</v>
      </c>
      <c r="H4072">
        <v>264</v>
      </c>
      <c r="I4072" s="1" t="s">
        <v>1528</v>
      </c>
      <c r="J4072" s="1" t="s">
        <v>1336</v>
      </c>
      <c r="K4072" s="1" t="s">
        <v>25</v>
      </c>
      <c r="L4072">
        <v>-1.7892598</v>
      </c>
      <c r="M4072" t="str">
        <f t="shared" si="153"/>
        <v>44/40</v>
      </c>
      <c r="N4072" t="str">
        <f t="shared" si="154"/>
        <v>SW</v>
      </c>
      <c r="O4072" s="1" t="s">
        <v>25</v>
      </c>
      <c r="P4072" s="3" t="s">
        <v>25</v>
      </c>
      <c r="Q4072" s="37">
        <v>1.2087425000000001</v>
      </c>
      <c r="R4072" t="str">
        <f t="shared" si="155"/>
        <v>mmol/mol</v>
      </c>
      <c r="S4072" s="13">
        <f t="shared" si="152"/>
        <v>-1.7892598</v>
      </c>
    </row>
    <row r="4073" spans="1:19">
      <c r="A4073" s="18" t="s">
        <v>4106</v>
      </c>
      <c r="B4073" s="1" t="s">
        <v>4242</v>
      </c>
      <c r="C4073" s="1" t="s">
        <v>2635</v>
      </c>
      <c r="D4073" s="1" t="s">
        <v>5060</v>
      </c>
      <c r="E4073" s="1" t="s">
        <v>25</v>
      </c>
      <c r="F4073">
        <v>580</v>
      </c>
      <c r="G4073">
        <v>580</v>
      </c>
      <c r="H4073">
        <v>278.10000000000002</v>
      </c>
      <c r="I4073" s="1" t="s">
        <v>1528</v>
      </c>
      <c r="J4073" s="1" t="s">
        <v>1336</v>
      </c>
      <c r="K4073" s="1" t="s">
        <v>25</v>
      </c>
      <c r="L4073">
        <v>-1.899168</v>
      </c>
      <c r="M4073" t="str">
        <f t="shared" si="153"/>
        <v>44/40</v>
      </c>
      <c r="N4073" t="str">
        <f t="shared" si="154"/>
        <v>SW</v>
      </c>
      <c r="O4073" s="1" t="s">
        <v>25</v>
      </c>
      <c r="P4073" s="3" t="s">
        <v>25</v>
      </c>
      <c r="Q4073" s="37">
        <v>1.2144188</v>
      </c>
      <c r="R4073" t="str">
        <f t="shared" si="155"/>
        <v>mmol/mol</v>
      </c>
      <c r="S4073" s="13">
        <f t="shared" si="152"/>
        <v>-1.899168</v>
      </c>
    </row>
    <row r="4074" spans="1:19">
      <c r="A4074" s="18" t="s">
        <v>4106</v>
      </c>
      <c r="B4074" s="1" t="s">
        <v>4243</v>
      </c>
      <c r="C4074" s="1" t="s">
        <v>2635</v>
      </c>
      <c r="D4074" s="1" t="s">
        <v>5060</v>
      </c>
      <c r="E4074" s="1" t="s">
        <v>25</v>
      </c>
      <c r="F4074">
        <v>580</v>
      </c>
      <c r="G4074">
        <v>580</v>
      </c>
      <c r="H4074">
        <v>284.3</v>
      </c>
      <c r="I4074" s="1" t="s">
        <v>1528</v>
      </c>
      <c r="J4074" s="1" t="s">
        <v>1336</v>
      </c>
      <c r="K4074" s="1" t="s">
        <v>25</v>
      </c>
      <c r="L4074">
        <v>-1.7936588</v>
      </c>
      <c r="M4074" t="str">
        <f t="shared" si="153"/>
        <v>44/40</v>
      </c>
      <c r="N4074" t="str">
        <f t="shared" si="154"/>
        <v>SW</v>
      </c>
      <c r="O4074" s="1" t="s">
        <v>25</v>
      </c>
      <c r="P4074" s="3" t="s">
        <v>25</v>
      </c>
      <c r="Q4074" s="37">
        <v>1.088355</v>
      </c>
      <c r="R4074" t="str">
        <f t="shared" si="155"/>
        <v>mmol/mol</v>
      </c>
      <c r="S4074" s="13">
        <f t="shared" si="152"/>
        <v>-1.7936588</v>
      </c>
    </row>
    <row r="4075" spans="1:19">
      <c r="A4075" s="18" t="s">
        <v>4106</v>
      </c>
      <c r="B4075" s="1" t="s">
        <v>4244</v>
      </c>
      <c r="C4075" s="1" t="s">
        <v>2635</v>
      </c>
      <c r="D4075" s="1" t="s">
        <v>5060</v>
      </c>
      <c r="E4075" s="1" t="s">
        <v>25</v>
      </c>
      <c r="F4075">
        <v>580</v>
      </c>
      <c r="G4075">
        <v>580</v>
      </c>
      <c r="H4075">
        <v>297.8</v>
      </c>
      <c r="I4075" s="1" t="s">
        <v>1528</v>
      </c>
      <c r="J4075" s="1" t="s">
        <v>1336</v>
      </c>
      <c r="K4075" s="1" t="s">
        <v>25</v>
      </c>
      <c r="L4075">
        <v>-1.9086727999999999</v>
      </c>
      <c r="M4075" t="str">
        <f t="shared" si="153"/>
        <v>44/40</v>
      </c>
      <c r="N4075" t="str">
        <f t="shared" si="154"/>
        <v>SW</v>
      </c>
      <c r="O4075" s="1" t="s">
        <v>25</v>
      </c>
      <c r="P4075" s="3" t="s">
        <v>25</v>
      </c>
      <c r="Q4075" s="37">
        <v>1.4898450000000001</v>
      </c>
      <c r="R4075" t="str">
        <f t="shared" si="155"/>
        <v>mmol/mol</v>
      </c>
      <c r="S4075" s="13">
        <f t="shared" si="152"/>
        <v>-1.9086727999999999</v>
      </c>
    </row>
    <row r="4076" spans="1:19">
      <c r="A4076" s="18" t="s">
        <v>4106</v>
      </c>
      <c r="B4076" s="1" t="s">
        <v>4245</v>
      </c>
      <c r="C4076" s="1" t="s">
        <v>2635</v>
      </c>
      <c r="D4076" s="1" t="s">
        <v>5060</v>
      </c>
      <c r="E4076" s="1" t="s">
        <v>25</v>
      </c>
      <c r="F4076">
        <v>580</v>
      </c>
      <c r="G4076">
        <v>580</v>
      </c>
      <c r="H4076">
        <v>313.3</v>
      </c>
      <c r="I4076" s="1" t="s">
        <v>1528</v>
      </c>
      <c r="J4076" s="1" t="s">
        <v>1336</v>
      </c>
      <c r="K4076" s="1" t="s">
        <v>25</v>
      </c>
      <c r="L4076">
        <v>-1.6892392000000001</v>
      </c>
      <c r="M4076" t="str">
        <f t="shared" si="153"/>
        <v>44/40</v>
      </c>
      <c r="N4076" t="str">
        <f t="shared" si="154"/>
        <v>SW</v>
      </c>
      <c r="O4076" s="1" t="s">
        <v>25</v>
      </c>
      <c r="P4076" s="3" t="s">
        <v>25</v>
      </c>
      <c r="Q4076" s="37">
        <v>0.98852700000000004</v>
      </c>
      <c r="R4076" t="str">
        <f t="shared" si="155"/>
        <v>mmol/mol</v>
      </c>
      <c r="S4076" s="13">
        <f t="shared" ref="S4076:S4139" si="156">IF(NOT(N4076="SW"),L4076-1.88,L4076)</f>
        <v>-1.6892392000000001</v>
      </c>
    </row>
    <row r="4077" spans="1:19">
      <c r="A4077" s="18" t="s">
        <v>4106</v>
      </c>
      <c r="B4077" s="1" t="s">
        <v>4246</v>
      </c>
      <c r="C4077" s="1" t="s">
        <v>2635</v>
      </c>
      <c r="D4077" s="1" t="s">
        <v>5060</v>
      </c>
      <c r="E4077" s="1" t="s">
        <v>25</v>
      </c>
      <c r="F4077">
        <v>580</v>
      </c>
      <c r="G4077">
        <v>580</v>
      </c>
      <c r="H4077">
        <v>328.5</v>
      </c>
      <c r="I4077" s="1" t="s">
        <v>1528</v>
      </c>
      <c r="J4077" s="1" t="s">
        <v>1336</v>
      </c>
      <c r="K4077" s="1" t="s">
        <v>25</v>
      </c>
      <c r="L4077">
        <v>-1.9194035</v>
      </c>
      <c r="M4077" t="str">
        <f t="shared" si="153"/>
        <v>44/40</v>
      </c>
      <c r="N4077" t="str">
        <f t="shared" si="154"/>
        <v>SW</v>
      </c>
      <c r="O4077" s="1" t="s">
        <v>25</v>
      </c>
      <c r="P4077" s="3" t="s">
        <v>25</v>
      </c>
      <c r="Q4077" s="37">
        <v>1.973517</v>
      </c>
      <c r="R4077" t="str">
        <f t="shared" si="155"/>
        <v>mmol/mol</v>
      </c>
      <c r="S4077" s="13">
        <f t="shared" si="156"/>
        <v>-1.9194035</v>
      </c>
    </row>
    <row r="4078" spans="1:19">
      <c r="A4078" s="18" t="s">
        <v>4106</v>
      </c>
      <c r="B4078" s="1" t="s">
        <v>4247</v>
      </c>
      <c r="C4078" s="1" t="s">
        <v>2635</v>
      </c>
      <c r="D4078" s="1" t="s">
        <v>5060</v>
      </c>
      <c r="E4078" s="1" t="s">
        <v>25</v>
      </c>
      <c r="F4078">
        <v>580</v>
      </c>
      <c r="G4078">
        <v>580</v>
      </c>
      <c r="H4078">
        <v>339.6</v>
      </c>
      <c r="I4078" s="1" t="s">
        <v>1528</v>
      </c>
      <c r="J4078" s="1" t="s">
        <v>1336</v>
      </c>
      <c r="K4078" s="1" t="s">
        <v>25</v>
      </c>
      <c r="L4078">
        <v>-1.8230826</v>
      </c>
      <c r="M4078" t="str">
        <f t="shared" si="153"/>
        <v>44/40</v>
      </c>
      <c r="N4078" t="str">
        <f t="shared" si="154"/>
        <v>SW</v>
      </c>
      <c r="O4078" s="1" t="s">
        <v>25</v>
      </c>
      <c r="P4078" s="3" t="s">
        <v>25</v>
      </c>
      <c r="Q4078" s="37">
        <v>1.5519095999999999</v>
      </c>
      <c r="R4078" t="str">
        <f t="shared" si="155"/>
        <v>mmol/mol</v>
      </c>
      <c r="S4078" s="13">
        <f t="shared" si="156"/>
        <v>-1.8230826</v>
      </c>
    </row>
    <row r="4079" spans="1:19">
      <c r="A4079" s="18" t="s">
        <v>4106</v>
      </c>
      <c r="B4079" s="1" t="s">
        <v>4248</v>
      </c>
      <c r="C4079" s="1" t="s">
        <v>2635</v>
      </c>
      <c r="D4079" s="1" t="s">
        <v>5060</v>
      </c>
      <c r="E4079" s="1" t="s">
        <v>25</v>
      </c>
      <c r="F4079">
        <v>580</v>
      </c>
      <c r="G4079">
        <v>580</v>
      </c>
      <c r="H4079">
        <v>353.1</v>
      </c>
      <c r="I4079" s="1" t="s">
        <v>1528</v>
      </c>
      <c r="J4079" s="1" t="s">
        <v>1336</v>
      </c>
      <c r="K4079" s="1" t="s">
        <v>25</v>
      </c>
      <c r="L4079">
        <v>-1.3731616</v>
      </c>
      <c r="M4079" t="str">
        <f t="shared" si="153"/>
        <v>44/40</v>
      </c>
      <c r="N4079" t="str">
        <f t="shared" si="154"/>
        <v>SW</v>
      </c>
      <c r="O4079" s="1" t="s">
        <v>25</v>
      </c>
      <c r="P4079" s="3" t="s">
        <v>25</v>
      </c>
      <c r="Q4079" s="37">
        <v>0.95938279999999998</v>
      </c>
      <c r="R4079" t="str">
        <f t="shared" si="155"/>
        <v>mmol/mol</v>
      </c>
      <c r="S4079" s="13">
        <f t="shared" si="156"/>
        <v>-1.3731616</v>
      </c>
    </row>
    <row r="4080" spans="1:19">
      <c r="A4080" s="18" t="s">
        <v>4106</v>
      </c>
      <c r="B4080" s="1" t="s">
        <v>4249</v>
      </c>
      <c r="C4080" s="1" t="s">
        <v>2635</v>
      </c>
      <c r="D4080" s="1" t="s">
        <v>5060</v>
      </c>
      <c r="E4080" s="1" t="s">
        <v>25</v>
      </c>
      <c r="F4080">
        <v>580</v>
      </c>
      <c r="G4080">
        <v>580</v>
      </c>
      <c r="H4080">
        <v>371.9</v>
      </c>
      <c r="I4080" s="1" t="s">
        <v>1528</v>
      </c>
      <c r="J4080" s="1" t="s">
        <v>1336</v>
      </c>
      <c r="K4080" s="1" t="s">
        <v>25</v>
      </c>
      <c r="L4080">
        <v>-1.5196947999999999</v>
      </c>
      <c r="M4080" t="str">
        <f t="shared" ref="M4080:M4143" si="157">IF(L4080="Na","Na","44/40")</f>
        <v>44/40</v>
      </c>
      <c r="N4080" t="str">
        <f t="shared" ref="N4080:N4143" si="158">IF(M4080="Na","Na","SW")</f>
        <v>SW</v>
      </c>
      <c r="O4080" s="1" t="s">
        <v>25</v>
      </c>
      <c r="P4080" s="3" t="s">
        <v>25</v>
      </c>
      <c r="Q4080" s="37">
        <v>1.1190921</v>
      </c>
      <c r="R4080" t="str">
        <f t="shared" si="155"/>
        <v>mmol/mol</v>
      </c>
      <c r="S4080" s="13">
        <f t="shared" si="156"/>
        <v>-1.5196947999999999</v>
      </c>
    </row>
    <row r="4081" spans="1:19">
      <c r="A4081" s="18" t="s">
        <v>4106</v>
      </c>
      <c r="B4081" s="1" t="s">
        <v>4250</v>
      </c>
      <c r="C4081" s="1" t="s">
        <v>2635</v>
      </c>
      <c r="D4081" s="1" t="s">
        <v>5060</v>
      </c>
      <c r="E4081" s="1" t="s">
        <v>25</v>
      </c>
      <c r="F4081">
        <v>580</v>
      </c>
      <c r="G4081">
        <v>580</v>
      </c>
      <c r="H4081">
        <v>387.1</v>
      </c>
      <c r="I4081" s="1" t="s">
        <v>1528</v>
      </c>
      <c r="J4081" s="1" t="s">
        <v>1336</v>
      </c>
      <c r="K4081" s="1" t="s">
        <v>25</v>
      </c>
      <c r="L4081">
        <v>-1.2395532</v>
      </c>
      <c r="M4081" t="str">
        <f t="shared" si="157"/>
        <v>44/40</v>
      </c>
      <c r="N4081" t="str">
        <f t="shared" si="158"/>
        <v>SW</v>
      </c>
      <c r="O4081" s="1" t="s">
        <v>25</v>
      </c>
      <c r="P4081" s="3" t="s">
        <v>25</v>
      </c>
      <c r="Q4081" s="37">
        <v>0.57173200000000002</v>
      </c>
      <c r="R4081" t="str">
        <f t="shared" si="155"/>
        <v>mmol/mol</v>
      </c>
      <c r="S4081" s="13">
        <f t="shared" si="156"/>
        <v>-1.2395532</v>
      </c>
    </row>
    <row r="4082" spans="1:19">
      <c r="A4082" s="18" t="s">
        <v>4106</v>
      </c>
      <c r="B4082" s="1" t="s">
        <v>4251</v>
      </c>
      <c r="C4082" s="1" t="s">
        <v>2635</v>
      </c>
      <c r="D4082" s="1" t="s">
        <v>5060</v>
      </c>
      <c r="E4082" s="1" t="s">
        <v>25</v>
      </c>
      <c r="F4082">
        <v>580</v>
      </c>
      <c r="G4082">
        <v>580</v>
      </c>
      <c r="H4082">
        <v>399</v>
      </c>
      <c r="I4082" s="1" t="s">
        <v>1528</v>
      </c>
      <c r="J4082" s="1" t="s">
        <v>1336</v>
      </c>
      <c r="K4082" s="1" t="s">
        <v>25</v>
      </c>
      <c r="L4082">
        <v>-1.2346709</v>
      </c>
      <c r="M4082" t="str">
        <f t="shared" si="157"/>
        <v>44/40</v>
      </c>
      <c r="N4082" t="str">
        <f t="shared" si="158"/>
        <v>SW</v>
      </c>
      <c r="O4082" s="1" t="s">
        <v>25</v>
      </c>
      <c r="P4082" s="3" t="s">
        <v>25</v>
      </c>
      <c r="Q4082" s="37">
        <v>0.66704640000000004</v>
      </c>
      <c r="R4082" t="str">
        <f t="shared" si="155"/>
        <v>mmol/mol</v>
      </c>
      <c r="S4082" s="13">
        <f t="shared" si="156"/>
        <v>-1.2346709</v>
      </c>
    </row>
    <row r="4083" spans="1:19">
      <c r="A4083" s="18" t="s">
        <v>4106</v>
      </c>
      <c r="B4083" s="1" t="s">
        <v>4252</v>
      </c>
      <c r="C4083" s="1" t="s">
        <v>2635</v>
      </c>
      <c r="D4083" s="1" t="s">
        <v>5060</v>
      </c>
      <c r="E4083" s="1" t="s">
        <v>25</v>
      </c>
      <c r="F4083">
        <v>580</v>
      </c>
      <c r="G4083">
        <v>580</v>
      </c>
      <c r="H4083">
        <v>410.8</v>
      </c>
      <c r="I4083" s="1" t="s">
        <v>1528</v>
      </c>
      <c r="J4083" s="1" t="s">
        <v>1336</v>
      </c>
      <c r="K4083" s="1" t="s">
        <v>25</v>
      </c>
      <c r="L4083">
        <v>-1.5417437000000001</v>
      </c>
      <c r="M4083" t="str">
        <f t="shared" si="157"/>
        <v>44/40</v>
      </c>
      <c r="N4083" t="str">
        <f t="shared" si="158"/>
        <v>SW</v>
      </c>
      <c r="O4083" s="1" t="s">
        <v>25</v>
      </c>
      <c r="P4083" s="3" t="s">
        <v>25</v>
      </c>
      <c r="Q4083" s="37">
        <v>0.76658249999999994</v>
      </c>
      <c r="R4083" t="str">
        <f t="shared" si="155"/>
        <v>mmol/mol</v>
      </c>
      <c r="S4083" s="13">
        <f t="shared" si="156"/>
        <v>-1.5417437000000001</v>
      </c>
    </row>
    <row r="4084" spans="1:19">
      <c r="A4084" s="18" t="s">
        <v>4106</v>
      </c>
      <c r="B4084" s="1" t="s">
        <v>4253</v>
      </c>
      <c r="C4084" s="1" t="s">
        <v>2635</v>
      </c>
      <c r="D4084" s="1" t="s">
        <v>5060</v>
      </c>
      <c r="E4084" s="1" t="s">
        <v>25</v>
      </c>
      <c r="F4084">
        <v>580</v>
      </c>
      <c r="G4084">
        <v>580</v>
      </c>
      <c r="H4084">
        <v>419.5</v>
      </c>
      <c r="I4084" s="1" t="s">
        <v>1528</v>
      </c>
      <c r="J4084" s="1" t="s">
        <v>1336</v>
      </c>
      <c r="K4084" s="1" t="s">
        <v>25</v>
      </c>
      <c r="L4084">
        <v>-1.6833954</v>
      </c>
      <c r="M4084" t="str">
        <f t="shared" si="157"/>
        <v>44/40</v>
      </c>
      <c r="N4084" t="str">
        <f t="shared" si="158"/>
        <v>SW</v>
      </c>
      <c r="O4084" s="1" t="s">
        <v>25</v>
      </c>
      <c r="P4084" s="3" t="s">
        <v>25</v>
      </c>
      <c r="Q4084" s="37">
        <v>1.6345525000000001</v>
      </c>
      <c r="R4084" t="str">
        <f t="shared" si="155"/>
        <v>mmol/mol</v>
      </c>
      <c r="S4084" s="13">
        <f t="shared" si="156"/>
        <v>-1.6833954</v>
      </c>
    </row>
    <row r="4085" spans="1:19">
      <c r="A4085" s="18" t="s">
        <v>4106</v>
      </c>
      <c r="B4085" s="1" t="s">
        <v>4254</v>
      </c>
      <c r="C4085" s="1" t="s">
        <v>2635</v>
      </c>
      <c r="D4085" s="1" t="s">
        <v>5060</v>
      </c>
      <c r="E4085" s="1" t="s">
        <v>25</v>
      </c>
      <c r="F4085">
        <v>580</v>
      </c>
      <c r="G4085">
        <v>580</v>
      </c>
      <c r="H4085">
        <v>430.1</v>
      </c>
      <c r="I4085" s="1" t="s">
        <v>1528</v>
      </c>
      <c r="J4085" s="1" t="s">
        <v>1336</v>
      </c>
      <c r="K4085" s="1" t="s">
        <v>25</v>
      </c>
      <c r="L4085">
        <v>-1.5938108</v>
      </c>
      <c r="M4085" t="str">
        <f t="shared" si="157"/>
        <v>44/40</v>
      </c>
      <c r="N4085" t="str">
        <f t="shared" si="158"/>
        <v>SW</v>
      </c>
      <c r="O4085" s="1" t="s">
        <v>25</v>
      </c>
      <c r="P4085" s="3" t="s">
        <v>25</v>
      </c>
      <c r="Q4085" s="37">
        <v>1.220232</v>
      </c>
      <c r="R4085" t="str">
        <f t="shared" si="155"/>
        <v>mmol/mol</v>
      </c>
      <c r="S4085" s="13">
        <f t="shared" si="156"/>
        <v>-1.5938108</v>
      </c>
    </row>
    <row r="4086" spans="1:19">
      <c r="A4086" s="18" t="s">
        <v>4106</v>
      </c>
      <c r="B4086" s="1" t="s">
        <v>4255</v>
      </c>
      <c r="C4086" s="1" t="s">
        <v>2635</v>
      </c>
      <c r="D4086" s="1" t="s">
        <v>5060</v>
      </c>
      <c r="E4086" s="1" t="s">
        <v>25</v>
      </c>
      <c r="F4086">
        <v>580</v>
      </c>
      <c r="G4086">
        <v>580</v>
      </c>
      <c r="H4086">
        <v>440.6</v>
      </c>
      <c r="I4086" s="1" t="s">
        <v>1528</v>
      </c>
      <c r="J4086" s="1" t="s">
        <v>1336</v>
      </c>
      <c r="K4086" s="1" t="s">
        <v>25</v>
      </c>
      <c r="L4086">
        <v>-1.6199665000000001</v>
      </c>
      <c r="M4086" t="str">
        <f t="shared" si="157"/>
        <v>44/40</v>
      </c>
      <c r="N4086" t="str">
        <f t="shared" si="158"/>
        <v>SW</v>
      </c>
      <c r="O4086" s="1" t="s">
        <v>25</v>
      </c>
      <c r="P4086" s="3" t="s">
        <v>25</v>
      </c>
      <c r="Q4086" s="37">
        <v>1.732572</v>
      </c>
      <c r="R4086" t="str">
        <f t="shared" si="155"/>
        <v>mmol/mol</v>
      </c>
      <c r="S4086" s="13">
        <f t="shared" si="156"/>
        <v>-1.6199665000000001</v>
      </c>
    </row>
    <row r="4087" spans="1:19">
      <c r="A4087" s="18" t="s">
        <v>4106</v>
      </c>
      <c r="B4087" s="1" t="s">
        <v>4256</v>
      </c>
      <c r="C4087" s="1" t="s">
        <v>2635</v>
      </c>
      <c r="D4087" s="1" t="s">
        <v>5060</v>
      </c>
      <c r="E4087" s="1" t="s">
        <v>25</v>
      </c>
      <c r="F4087">
        <v>580</v>
      </c>
      <c r="G4087">
        <v>580</v>
      </c>
      <c r="H4087">
        <v>451.3</v>
      </c>
      <c r="I4087" s="1" t="s">
        <v>1528</v>
      </c>
      <c r="J4087" s="1" t="s">
        <v>1336</v>
      </c>
      <c r="K4087" s="1" t="s">
        <v>25</v>
      </c>
      <c r="L4087">
        <v>-1.5660437</v>
      </c>
      <c r="M4087" t="str">
        <f t="shared" si="157"/>
        <v>44/40</v>
      </c>
      <c r="N4087" t="str">
        <f t="shared" si="158"/>
        <v>SW</v>
      </c>
      <c r="O4087" s="1" t="s">
        <v>25</v>
      </c>
      <c r="P4087" s="3" t="s">
        <v>25</v>
      </c>
      <c r="Q4087" s="37">
        <v>1.5639778</v>
      </c>
      <c r="R4087" t="str">
        <f t="shared" si="155"/>
        <v>mmol/mol</v>
      </c>
      <c r="S4087" s="13">
        <f t="shared" si="156"/>
        <v>-1.5660437</v>
      </c>
    </row>
    <row r="4088" spans="1:19">
      <c r="A4088" s="18" t="s">
        <v>4106</v>
      </c>
      <c r="B4088" s="1" t="s">
        <v>4257</v>
      </c>
      <c r="C4088" s="1" t="s">
        <v>2635</v>
      </c>
      <c r="D4088" s="1" t="s">
        <v>5060</v>
      </c>
      <c r="E4088" s="1" t="s">
        <v>25</v>
      </c>
      <c r="F4088">
        <v>580</v>
      </c>
      <c r="G4088">
        <v>580</v>
      </c>
      <c r="H4088">
        <v>461.4</v>
      </c>
      <c r="I4088" s="1" t="s">
        <v>1528</v>
      </c>
      <c r="J4088" s="1" t="s">
        <v>1336</v>
      </c>
      <c r="K4088" s="1" t="s">
        <v>25</v>
      </c>
      <c r="L4088">
        <v>-1.4854069000000001</v>
      </c>
      <c r="M4088" t="str">
        <f t="shared" si="157"/>
        <v>44/40</v>
      </c>
      <c r="N4088" t="str">
        <f t="shared" si="158"/>
        <v>SW</v>
      </c>
      <c r="O4088" s="1" t="s">
        <v>25</v>
      </c>
      <c r="P4088" s="3" t="s">
        <v>25</v>
      </c>
      <c r="Q4088" s="37">
        <v>1.0304222000000001</v>
      </c>
      <c r="R4088" t="str">
        <f t="shared" si="155"/>
        <v>mmol/mol</v>
      </c>
      <c r="S4088" s="13">
        <f t="shared" si="156"/>
        <v>-1.4854069000000001</v>
      </c>
    </row>
    <row r="4089" spans="1:19">
      <c r="A4089" s="18" t="s">
        <v>4106</v>
      </c>
      <c r="B4089" s="1" t="s">
        <v>4258</v>
      </c>
      <c r="C4089" s="1" t="s">
        <v>2635</v>
      </c>
      <c r="D4089" s="1" t="s">
        <v>5060</v>
      </c>
      <c r="E4089" s="1" t="s">
        <v>25</v>
      </c>
      <c r="F4089">
        <v>580</v>
      </c>
      <c r="G4089">
        <v>580</v>
      </c>
      <c r="H4089">
        <v>471.8</v>
      </c>
      <c r="I4089" s="1" t="s">
        <v>1528</v>
      </c>
      <c r="J4089" s="1" t="s">
        <v>1336</v>
      </c>
      <c r="K4089" s="1" t="s">
        <v>25</v>
      </c>
      <c r="L4089">
        <v>-1.4750513000000001</v>
      </c>
      <c r="M4089" t="str">
        <f t="shared" si="157"/>
        <v>44/40</v>
      </c>
      <c r="N4089" t="str">
        <f t="shared" si="158"/>
        <v>SW</v>
      </c>
      <c r="O4089" s="1" t="s">
        <v>25</v>
      </c>
      <c r="P4089" s="3" t="s">
        <v>25</v>
      </c>
      <c r="Q4089" s="37">
        <v>1.1176219999999999</v>
      </c>
      <c r="R4089" t="str">
        <f t="shared" si="155"/>
        <v>mmol/mol</v>
      </c>
      <c r="S4089" s="13">
        <f t="shared" si="156"/>
        <v>-1.4750513000000001</v>
      </c>
    </row>
    <row r="4090" spans="1:19">
      <c r="A4090" s="18" t="s">
        <v>4106</v>
      </c>
      <c r="B4090" s="1" t="s">
        <v>4259</v>
      </c>
      <c r="C4090" s="1" t="s">
        <v>2635</v>
      </c>
      <c r="D4090" s="1" t="s">
        <v>5060</v>
      </c>
      <c r="E4090" s="1" t="s">
        <v>25</v>
      </c>
      <c r="F4090">
        <v>580</v>
      </c>
      <c r="G4090">
        <v>580</v>
      </c>
      <c r="H4090">
        <v>488.7</v>
      </c>
      <c r="I4090" s="1" t="s">
        <v>1528</v>
      </c>
      <c r="J4090" s="1" t="s">
        <v>1336</v>
      </c>
      <c r="K4090" s="1" t="s">
        <v>25</v>
      </c>
      <c r="L4090">
        <v>-1.6041422999999999</v>
      </c>
      <c r="M4090" t="str">
        <f t="shared" si="157"/>
        <v>44/40</v>
      </c>
      <c r="N4090" t="str">
        <f t="shared" si="158"/>
        <v>SW</v>
      </c>
      <c r="O4090" s="1" t="s">
        <v>25</v>
      </c>
      <c r="P4090" s="3" t="s">
        <v>25</v>
      </c>
      <c r="Q4090" s="37">
        <v>1.6097988000000001</v>
      </c>
      <c r="R4090" t="str">
        <f t="shared" si="155"/>
        <v>mmol/mol</v>
      </c>
      <c r="S4090" s="13">
        <f t="shared" si="156"/>
        <v>-1.6041422999999999</v>
      </c>
    </row>
    <row r="4091" spans="1:19">
      <c r="A4091" s="18" t="s">
        <v>4106</v>
      </c>
      <c r="B4091" s="1" t="s">
        <v>4260</v>
      </c>
      <c r="C4091" s="1" t="s">
        <v>2635</v>
      </c>
      <c r="D4091" s="1" t="s">
        <v>5060</v>
      </c>
      <c r="E4091" s="1" t="s">
        <v>25</v>
      </c>
      <c r="F4091">
        <v>580</v>
      </c>
      <c r="G4091">
        <v>580</v>
      </c>
      <c r="H4091">
        <v>499.8</v>
      </c>
      <c r="I4091" s="1" t="s">
        <v>1528</v>
      </c>
      <c r="J4091" s="1" t="s">
        <v>1336</v>
      </c>
      <c r="K4091" s="1" t="s">
        <v>25</v>
      </c>
      <c r="L4091">
        <v>-1.6009781999999999</v>
      </c>
      <c r="M4091" t="str">
        <f t="shared" si="157"/>
        <v>44/40</v>
      </c>
      <c r="N4091" t="str">
        <f t="shared" si="158"/>
        <v>SW</v>
      </c>
      <c r="O4091" s="1" t="s">
        <v>25</v>
      </c>
      <c r="P4091" s="3" t="s">
        <v>25</v>
      </c>
      <c r="Q4091" s="37">
        <v>2.0967444</v>
      </c>
      <c r="R4091" t="str">
        <f t="shared" si="155"/>
        <v>mmol/mol</v>
      </c>
      <c r="S4091" s="13">
        <f t="shared" si="156"/>
        <v>-1.6009781999999999</v>
      </c>
    </row>
    <row r="4092" spans="1:19">
      <c r="A4092" s="18" t="s">
        <v>4106</v>
      </c>
      <c r="B4092" s="1" t="s">
        <v>4261</v>
      </c>
      <c r="C4092" s="1" t="s">
        <v>2635</v>
      </c>
      <c r="D4092" s="1" t="s">
        <v>5060</v>
      </c>
      <c r="E4092" s="1" t="s">
        <v>25</v>
      </c>
      <c r="F4092">
        <v>580</v>
      </c>
      <c r="G4092">
        <v>580</v>
      </c>
      <c r="H4092">
        <v>509.4</v>
      </c>
      <c r="I4092" s="1" t="s">
        <v>1528</v>
      </c>
      <c r="J4092" s="1" t="s">
        <v>1336</v>
      </c>
      <c r="K4092" s="1" t="s">
        <v>25</v>
      </c>
      <c r="L4092">
        <v>-1.4591350999999999</v>
      </c>
      <c r="M4092" t="str">
        <f t="shared" si="157"/>
        <v>44/40</v>
      </c>
      <c r="N4092" t="str">
        <f t="shared" si="158"/>
        <v>SW</v>
      </c>
      <c r="O4092" s="1" t="s">
        <v>25</v>
      </c>
      <c r="P4092" s="3" t="s">
        <v>25</v>
      </c>
      <c r="Q4092" s="37">
        <v>1.2938655999999999</v>
      </c>
      <c r="R4092" t="str">
        <f t="shared" si="155"/>
        <v>mmol/mol</v>
      </c>
      <c r="S4092" s="13">
        <f t="shared" si="156"/>
        <v>-1.4591350999999999</v>
      </c>
    </row>
    <row r="4093" spans="1:19">
      <c r="A4093" s="18" t="s">
        <v>4106</v>
      </c>
      <c r="B4093" s="1" t="s">
        <v>4262</v>
      </c>
      <c r="C4093" s="1" t="s">
        <v>2635</v>
      </c>
      <c r="D4093" s="1" t="s">
        <v>5060</v>
      </c>
      <c r="E4093" s="1" t="s">
        <v>25</v>
      </c>
      <c r="F4093">
        <v>580</v>
      </c>
      <c r="G4093">
        <v>580</v>
      </c>
      <c r="H4093">
        <v>519.1</v>
      </c>
      <c r="I4093" s="1" t="s">
        <v>1528</v>
      </c>
      <c r="J4093" s="1" t="s">
        <v>1336</v>
      </c>
      <c r="K4093" s="1" t="s">
        <v>25</v>
      </c>
      <c r="L4093">
        <v>-1.3789640000000001</v>
      </c>
      <c r="M4093" t="str">
        <f t="shared" si="157"/>
        <v>44/40</v>
      </c>
      <c r="N4093" t="str">
        <f t="shared" si="158"/>
        <v>SW</v>
      </c>
      <c r="O4093" s="1" t="s">
        <v>25</v>
      </c>
      <c r="P4093" s="3" t="s">
        <v>25</v>
      </c>
      <c r="Q4093" s="37">
        <v>0.8418776</v>
      </c>
      <c r="R4093" t="str">
        <f t="shared" si="155"/>
        <v>mmol/mol</v>
      </c>
      <c r="S4093" s="13">
        <f t="shared" si="156"/>
        <v>-1.3789640000000001</v>
      </c>
    </row>
    <row r="4094" spans="1:19">
      <c r="A4094" s="18" t="s">
        <v>4106</v>
      </c>
      <c r="B4094" s="1" t="s">
        <v>4263</v>
      </c>
      <c r="C4094" s="1" t="s">
        <v>2635</v>
      </c>
      <c r="D4094" s="1" t="s">
        <v>5060</v>
      </c>
      <c r="E4094" s="1" t="s">
        <v>25</v>
      </c>
      <c r="F4094">
        <v>580</v>
      </c>
      <c r="G4094">
        <v>580</v>
      </c>
      <c r="H4094">
        <v>529.5</v>
      </c>
      <c r="I4094" s="1" t="s">
        <v>1528</v>
      </c>
      <c r="J4094" s="1" t="s">
        <v>1336</v>
      </c>
      <c r="K4094" s="1" t="s">
        <v>25</v>
      </c>
      <c r="L4094">
        <v>-1.3418561</v>
      </c>
      <c r="M4094" t="str">
        <f t="shared" si="157"/>
        <v>44/40</v>
      </c>
      <c r="N4094" t="str">
        <f t="shared" si="158"/>
        <v>SW</v>
      </c>
      <c r="O4094" s="1" t="s">
        <v>25</v>
      </c>
      <c r="P4094" s="3" t="s">
        <v>25</v>
      </c>
      <c r="Q4094" s="37">
        <v>0.70739490000000005</v>
      </c>
      <c r="R4094" t="str">
        <f t="shared" si="155"/>
        <v>mmol/mol</v>
      </c>
      <c r="S4094" s="13">
        <f t="shared" si="156"/>
        <v>-1.3418561</v>
      </c>
    </row>
    <row r="4095" spans="1:19">
      <c r="A4095" s="18" t="s">
        <v>4106</v>
      </c>
      <c r="B4095" s="1" t="s">
        <v>4264</v>
      </c>
      <c r="C4095" s="1" t="s">
        <v>2635</v>
      </c>
      <c r="D4095" s="1" t="s">
        <v>5060</v>
      </c>
      <c r="E4095" s="1" t="s">
        <v>25</v>
      </c>
      <c r="F4095">
        <v>580</v>
      </c>
      <c r="G4095">
        <v>580</v>
      </c>
      <c r="H4095">
        <v>539.9</v>
      </c>
      <c r="I4095" s="1" t="s">
        <v>1528</v>
      </c>
      <c r="J4095" s="1" t="s">
        <v>1336</v>
      </c>
      <c r="K4095" s="1" t="s">
        <v>25</v>
      </c>
      <c r="L4095">
        <v>-1.1496887</v>
      </c>
      <c r="M4095" t="str">
        <f t="shared" si="157"/>
        <v>44/40</v>
      </c>
      <c r="N4095" t="str">
        <f t="shared" si="158"/>
        <v>SW</v>
      </c>
      <c r="O4095" s="1" t="s">
        <v>25</v>
      </c>
      <c r="P4095" s="3" t="s">
        <v>25</v>
      </c>
      <c r="Q4095" s="37">
        <v>0.62992800000000004</v>
      </c>
      <c r="R4095" t="str">
        <f t="shared" si="155"/>
        <v>mmol/mol</v>
      </c>
      <c r="S4095" s="13">
        <f t="shared" si="156"/>
        <v>-1.1496887</v>
      </c>
    </row>
    <row r="4096" spans="1:19">
      <c r="A4096" s="18" t="s">
        <v>4106</v>
      </c>
      <c r="B4096" s="1" t="s">
        <v>4265</v>
      </c>
      <c r="C4096" s="1" t="s">
        <v>2635</v>
      </c>
      <c r="D4096" s="1" t="s">
        <v>5060</v>
      </c>
      <c r="E4096" s="1" t="s">
        <v>25</v>
      </c>
      <c r="F4096">
        <v>580</v>
      </c>
      <c r="G4096">
        <v>580</v>
      </c>
      <c r="H4096">
        <v>549.79999999999995</v>
      </c>
      <c r="I4096" s="1" t="s">
        <v>1528</v>
      </c>
      <c r="J4096" s="1" t="s">
        <v>1336</v>
      </c>
      <c r="K4096" s="1" t="s">
        <v>25</v>
      </c>
      <c r="L4096">
        <v>-1.21045</v>
      </c>
      <c r="M4096" t="str">
        <f t="shared" si="157"/>
        <v>44/40</v>
      </c>
      <c r="N4096" t="str">
        <f t="shared" si="158"/>
        <v>SW</v>
      </c>
      <c r="O4096" s="1" t="s">
        <v>25</v>
      </c>
      <c r="P4096" s="3" t="s">
        <v>25</v>
      </c>
      <c r="Q4096" s="37">
        <v>0.58904279999999998</v>
      </c>
      <c r="R4096" t="str">
        <f t="shared" si="155"/>
        <v>mmol/mol</v>
      </c>
      <c r="S4096" s="13">
        <f t="shared" si="156"/>
        <v>-1.21045</v>
      </c>
    </row>
    <row r="4097" spans="1:19">
      <c r="A4097" s="18" t="s">
        <v>4106</v>
      </c>
      <c r="B4097" s="1" t="s">
        <v>4266</v>
      </c>
      <c r="C4097" s="1" t="s">
        <v>2635</v>
      </c>
      <c r="D4097" s="1" t="s">
        <v>5060</v>
      </c>
      <c r="E4097" s="1" t="s">
        <v>25</v>
      </c>
      <c r="F4097">
        <v>580</v>
      </c>
      <c r="G4097">
        <v>580</v>
      </c>
      <c r="H4097">
        <v>553.4</v>
      </c>
      <c r="I4097" s="1" t="s">
        <v>1528</v>
      </c>
      <c r="J4097" s="1" t="s">
        <v>1336</v>
      </c>
      <c r="K4097" s="1" t="s">
        <v>25</v>
      </c>
      <c r="L4097">
        <v>-0.91867969999999999</v>
      </c>
      <c r="M4097" t="str">
        <f t="shared" si="157"/>
        <v>44/40</v>
      </c>
      <c r="N4097" t="str">
        <f t="shared" si="158"/>
        <v>SW</v>
      </c>
      <c r="O4097" s="1" t="s">
        <v>25</v>
      </c>
      <c r="P4097" s="3" t="s">
        <v>25</v>
      </c>
      <c r="Q4097" s="37">
        <v>0.41566350000000002</v>
      </c>
      <c r="R4097" t="str">
        <f t="shared" si="155"/>
        <v>mmol/mol</v>
      </c>
      <c r="S4097" s="13">
        <f t="shared" si="156"/>
        <v>-0.91867969999999999</v>
      </c>
    </row>
    <row r="4098" spans="1:19">
      <c r="A4098" s="18" t="s">
        <v>4106</v>
      </c>
      <c r="B4098" s="1" t="s">
        <v>4267</v>
      </c>
      <c r="C4098" s="1" t="s">
        <v>2635</v>
      </c>
      <c r="D4098" s="1" t="s">
        <v>5060</v>
      </c>
      <c r="E4098" s="1" t="s">
        <v>25</v>
      </c>
      <c r="F4098">
        <v>580</v>
      </c>
      <c r="G4098">
        <v>580</v>
      </c>
      <c r="H4098">
        <v>613.6</v>
      </c>
      <c r="I4098" s="1" t="s">
        <v>1528</v>
      </c>
      <c r="J4098" s="1" t="s">
        <v>1336</v>
      </c>
      <c r="K4098" s="1" t="s">
        <v>25</v>
      </c>
      <c r="L4098">
        <v>-1.1594295999999999</v>
      </c>
      <c r="M4098" t="str">
        <f t="shared" si="157"/>
        <v>44/40</v>
      </c>
      <c r="N4098" t="str">
        <f t="shared" si="158"/>
        <v>SW</v>
      </c>
      <c r="O4098" s="1" t="s">
        <v>25</v>
      </c>
      <c r="P4098" s="3" t="s">
        <v>25</v>
      </c>
      <c r="Q4098" s="37">
        <v>0.33363520000000002</v>
      </c>
      <c r="R4098" t="str">
        <f t="shared" si="155"/>
        <v>mmol/mol</v>
      </c>
      <c r="S4098" s="13">
        <f t="shared" si="156"/>
        <v>-1.1594295999999999</v>
      </c>
    </row>
    <row r="4099" spans="1:19">
      <c r="A4099" s="18" t="s">
        <v>4106</v>
      </c>
      <c r="B4099" s="1" t="s">
        <v>4268</v>
      </c>
      <c r="C4099" s="1" t="s">
        <v>2635</v>
      </c>
      <c r="D4099" s="1" t="s">
        <v>5060</v>
      </c>
      <c r="E4099" s="1" t="s">
        <v>25</v>
      </c>
      <c r="F4099">
        <v>580</v>
      </c>
      <c r="G4099">
        <v>580</v>
      </c>
      <c r="H4099">
        <v>618.79999999999995</v>
      </c>
      <c r="I4099" s="1" t="s">
        <v>1528</v>
      </c>
      <c r="J4099" s="1" t="s">
        <v>1336</v>
      </c>
      <c r="K4099" s="1" t="s">
        <v>25</v>
      </c>
      <c r="L4099">
        <v>-1.0625545000000001</v>
      </c>
      <c r="M4099" t="str">
        <f t="shared" si="157"/>
        <v>44/40</v>
      </c>
      <c r="N4099" t="str">
        <f t="shared" si="158"/>
        <v>SW</v>
      </c>
      <c r="O4099" s="1" t="s">
        <v>25</v>
      </c>
      <c r="P4099" s="3" t="s">
        <v>25</v>
      </c>
      <c r="Q4099" s="37">
        <v>0.33711479999999999</v>
      </c>
      <c r="R4099" t="str">
        <f t="shared" si="155"/>
        <v>mmol/mol</v>
      </c>
      <c r="S4099" s="13">
        <f t="shared" si="156"/>
        <v>-1.0625545000000001</v>
      </c>
    </row>
    <row r="4100" spans="1:19">
      <c r="A4100" s="18" t="s">
        <v>4106</v>
      </c>
      <c r="B4100" s="1" t="s">
        <v>4269</v>
      </c>
      <c r="C4100" s="1" t="s">
        <v>2635</v>
      </c>
      <c r="D4100" s="1" t="s">
        <v>5060</v>
      </c>
      <c r="E4100" s="1" t="s">
        <v>25</v>
      </c>
      <c r="F4100">
        <v>580</v>
      </c>
      <c r="G4100">
        <v>580</v>
      </c>
      <c r="H4100">
        <v>7.5</v>
      </c>
      <c r="I4100" s="1" t="s">
        <v>1528</v>
      </c>
      <c r="J4100" s="1" t="s">
        <v>1336</v>
      </c>
      <c r="K4100" s="1" t="s">
        <v>25</v>
      </c>
      <c r="L4100">
        <v>-0.93902050000000004</v>
      </c>
      <c r="M4100" t="str">
        <f t="shared" si="157"/>
        <v>44/40</v>
      </c>
      <c r="N4100" t="str">
        <f t="shared" si="158"/>
        <v>SW</v>
      </c>
      <c r="O4100" s="1" t="s">
        <v>25</v>
      </c>
      <c r="P4100" s="3" t="s">
        <v>25</v>
      </c>
      <c r="Q4100" s="37">
        <v>0.248325353</v>
      </c>
      <c r="R4100" t="str">
        <f t="shared" si="155"/>
        <v>mmol/mol</v>
      </c>
      <c r="S4100" s="13">
        <f t="shared" si="156"/>
        <v>-0.93902050000000004</v>
      </c>
    </row>
    <row r="4101" spans="1:19">
      <c r="A4101" s="18" t="s">
        <v>4106</v>
      </c>
      <c r="B4101" s="1" t="s">
        <v>4270</v>
      </c>
      <c r="C4101" s="1" t="s">
        <v>2635</v>
      </c>
      <c r="D4101" s="1" t="s">
        <v>5060</v>
      </c>
      <c r="E4101" s="1" t="s">
        <v>25</v>
      </c>
      <c r="F4101">
        <v>580</v>
      </c>
      <c r="G4101">
        <v>580</v>
      </c>
      <c r="H4101">
        <v>23</v>
      </c>
      <c r="I4101" s="1" t="s">
        <v>1528</v>
      </c>
      <c r="J4101" s="1" t="s">
        <v>1336</v>
      </c>
      <c r="K4101" s="1" t="s">
        <v>25</v>
      </c>
      <c r="L4101">
        <v>-0.93324799999999997</v>
      </c>
      <c r="M4101" t="str">
        <f t="shared" si="157"/>
        <v>44/40</v>
      </c>
      <c r="N4101" t="str">
        <f t="shared" si="158"/>
        <v>SW</v>
      </c>
      <c r="O4101" s="1" t="s">
        <v>25</v>
      </c>
      <c r="P4101" s="3" t="s">
        <v>25</v>
      </c>
      <c r="Q4101" s="37">
        <v>0.33735795000000002</v>
      </c>
      <c r="R4101" t="str">
        <f t="shared" si="155"/>
        <v>mmol/mol</v>
      </c>
      <c r="S4101" s="13">
        <f t="shared" si="156"/>
        <v>-0.93324799999999997</v>
      </c>
    </row>
    <row r="4102" spans="1:19">
      <c r="A4102" s="18" t="s">
        <v>4106</v>
      </c>
      <c r="B4102" s="1" t="s">
        <v>4271</v>
      </c>
      <c r="C4102" s="1" t="s">
        <v>2635</v>
      </c>
      <c r="D4102" s="1" t="s">
        <v>5060</v>
      </c>
      <c r="E4102" s="1" t="s">
        <v>25</v>
      </c>
      <c r="F4102">
        <v>580</v>
      </c>
      <c r="G4102">
        <v>580</v>
      </c>
      <c r="H4102">
        <v>51.8</v>
      </c>
      <c r="I4102" s="1" t="s">
        <v>1528</v>
      </c>
      <c r="J4102" s="1" t="s">
        <v>1336</v>
      </c>
      <c r="K4102" s="1" t="s">
        <v>25</v>
      </c>
      <c r="L4102">
        <v>-0.79990779999999995</v>
      </c>
      <c r="M4102" t="str">
        <f t="shared" si="157"/>
        <v>44/40</v>
      </c>
      <c r="N4102" t="str">
        <f t="shared" si="158"/>
        <v>SW</v>
      </c>
      <c r="O4102" s="1" t="s">
        <v>25</v>
      </c>
      <c r="P4102" s="3" t="s">
        <v>25</v>
      </c>
      <c r="Q4102" s="37">
        <v>0.20656828399999999</v>
      </c>
      <c r="R4102" t="str">
        <f t="shared" si="155"/>
        <v>mmol/mol</v>
      </c>
      <c r="S4102" s="13">
        <f t="shared" si="156"/>
        <v>-0.79990779999999995</v>
      </c>
    </row>
    <row r="4103" spans="1:19">
      <c r="A4103" s="18" t="s">
        <v>4106</v>
      </c>
      <c r="B4103" s="1" t="s">
        <v>4272</v>
      </c>
      <c r="C4103" s="1" t="s">
        <v>2635</v>
      </c>
      <c r="D4103" s="1" t="s">
        <v>5060</v>
      </c>
      <c r="E4103" s="1" t="s">
        <v>25</v>
      </c>
      <c r="F4103">
        <v>580</v>
      </c>
      <c r="G4103">
        <v>580</v>
      </c>
      <c r="H4103">
        <v>70.099999999999994</v>
      </c>
      <c r="I4103" s="1" t="s">
        <v>1528</v>
      </c>
      <c r="J4103" s="1" t="s">
        <v>1336</v>
      </c>
      <c r="K4103" s="1" t="s">
        <v>25</v>
      </c>
      <c r="L4103">
        <v>-0.8214631</v>
      </c>
      <c r="M4103" t="str">
        <f t="shared" si="157"/>
        <v>44/40</v>
      </c>
      <c r="N4103" t="str">
        <f t="shared" si="158"/>
        <v>SW</v>
      </c>
      <c r="O4103" s="1" t="s">
        <v>25</v>
      </c>
      <c r="P4103" s="3" t="s">
        <v>25</v>
      </c>
      <c r="Q4103" s="37">
        <v>0.24651121400000001</v>
      </c>
      <c r="R4103" t="str">
        <f t="shared" si="155"/>
        <v>mmol/mol</v>
      </c>
      <c r="S4103" s="13">
        <f t="shared" si="156"/>
        <v>-0.8214631</v>
      </c>
    </row>
    <row r="4104" spans="1:19">
      <c r="A4104" s="18" t="s">
        <v>4106</v>
      </c>
      <c r="B4104" s="1" t="s">
        <v>4273</v>
      </c>
      <c r="C4104" s="1" t="s">
        <v>2635</v>
      </c>
      <c r="D4104" s="1" t="s">
        <v>5060</v>
      </c>
      <c r="E4104" s="1" t="s">
        <v>25</v>
      </c>
      <c r="F4104">
        <v>580</v>
      </c>
      <c r="G4104">
        <v>580</v>
      </c>
      <c r="H4104">
        <v>90.8</v>
      </c>
      <c r="I4104" s="1" t="s">
        <v>1528</v>
      </c>
      <c r="J4104" s="1" t="s">
        <v>1336</v>
      </c>
      <c r="K4104" s="1" t="s">
        <v>25</v>
      </c>
      <c r="L4104">
        <v>-1.0207766</v>
      </c>
      <c r="M4104" t="str">
        <f t="shared" si="157"/>
        <v>44/40</v>
      </c>
      <c r="N4104" t="str">
        <f t="shared" si="158"/>
        <v>SW</v>
      </c>
      <c r="O4104" s="1" t="s">
        <v>25</v>
      </c>
      <c r="P4104" s="3" t="s">
        <v>25</v>
      </c>
      <c r="Q4104" s="37">
        <v>0.31913297899999998</v>
      </c>
      <c r="R4104" t="str">
        <f t="shared" si="155"/>
        <v>mmol/mol</v>
      </c>
      <c r="S4104" s="13">
        <f t="shared" si="156"/>
        <v>-1.0207766</v>
      </c>
    </row>
    <row r="4105" spans="1:19">
      <c r="A4105" s="18" t="s">
        <v>4106</v>
      </c>
      <c r="B4105" s="1" t="s">
        <v>4274</v>
      </c>
      <c r="C4105" s="1" t="s">
        <v>2635</v>
      </c>
      <c r="D4105" s="1" t="s">
        <v>5060</v>
      </c>
      <c r="E4105" s="1" t="s">
        <v>25</v>
      </c>
      <c r="F4105">
        <v>580</v>
      </c>
      <c r="G4105">
        <v>580</v>
      </c>
      <c r="H4105">
        <v>101.6</v>
      </c>
      <c r="I4105" s="1" t="s">
        <v>1528</v>
      </c>
      <c r="J4105" s="1" t="s">
        <v>1336</v>
      </c>
      <c r="K4105" s="1" t="s">
        <v>25</v>
      </c>
      <c r="L4105" t="s">
        <v>25</v>
      </c>
      <c r="M4105" t="str">
        <f t="shared" si="157"/>
        <v>Na</v>
      </c>
      <c r="N4105" t="str">
        <f t="shared" si="158"/>
        <v>Na</v>
      </c>
      <c r="O4105" s="1" t="s">
        <v>25</v>
      </c>
      <c r="P4105" s="3" t="s">
        <v>25</v>
      </c>
      <c r="Q4105" s="37">
        <v>0.84136223899999996</v>
      </c>
      <c r="R4105" t="str">
        <f t="shared" si="155"/>
        <v>mmol/mol</v>
      </c>
      <c r="S4105" s="13" t="s">
        <v>25</v>
      </c>
    </row>
    <row r="4106" spans="1:19">
      <c r="A4106" s="18" t="s">
        <v>4106</v>
      </c>
      <c r="B4106" s="1" t="s">
        <v>4275</v>
      </c>
      <c r="C4106" s="1" t="s">
        <v>2635</v>
      </c>
      <c r="D4106" s="1" t="s">
        <v>5060</v>
      </c>
      <c r="E4106" s="1" t="s">
        <v>25</v>
      </c>
      <c r="F4106">
        <v>580</v>
      </c>
      <c r="G4106">
        <v>580</v>
      </c>
      <c r="H4106">
        <v>117.9</v>
      </c>
      <c r="I4106" s="1" t="s">
        <v>1528</v>
      </c>
      <c r="J4106" s="1" t="s">
        <v>1336</v>
      </c>
      <c r="K4106" s="1" t="s">
        <v>25</v>
      </c>
      <c r="L4106">
        <v>-1.2879406</v>
      </c>
      <c r="M4106" t="str">
        <f t="shared" si="157"/>
        <v>44/40</v>
      </c>
      <c r="N4106" t="str">
        <f t="shared" si="158"/>
        <v>SW</v>
      </c>
      <c r="O4106" s="1" t="s">
        <v>25</v>
      </c>
      <c r="P4106" s="3" t="s">
        <v>25</v>
      </c>
      <c r="Q4106" s="37">
        <v>0.78222411400000003</v>
      </c>
      <c r="R4106" t="str">
        <f t="shared" si="155"/>
        <v>mmol/mol</v>
      </c>
      <c r="S4106" s="13">
        <f t="shared" si="156"/>
        <v>-1.2879406</v>
      </c>
    </row>
    <row r="4107" spans="1:19">
      <c r="A4107" s="18" t="s">
        <v>4106</v>
      </c>
      <c r="B4107" s="1" t="s">
        <v>4276</v>
      </c>
      <c r="C4107" s="1" t="s">
        <v>2635</v>
      </c>
      <c r="D4107" s="1" t="s">
        <v>5060</v>
      </c>
      <c r="E4107" s="1" t="s">
        <v>25</v>
      </c>
      <c r="F4107">
        <v>580</v>
      </c>
      <c r="G4107">
        <v>580</v>
      </c>
      <c r="H4107">
        <v>123.5</v>
      </c>
      <c r="I4107" s="1" t="s">
        <v>1528</v>
      </c>
      <c r="J4107" s="1" t="s">
        <v>1336</v>
      </c>
      <c r="K4107" s="1" t="s">
        <v>25</v>
      </c>
      <c r="L4107">
        <v>-1.4322561</v>
      </c>
      <c r="M4107" t="str">
        <f t="shared" si="157"/>
        <v>44/40</v>
      </c>
      <c r="N4107" t="str">
        <f t="shared" si="158"/>
        <v>SW</v>
      </c>
      <c r="O4107" s="1" t="s">
        <v>25</v>
      </c>
      <c r="P4107" s="3" t="s">
        <v>25</v>
      </c>
      <c r="Q4107" s="37">
        <v>0.73387678199999995</v>
      </c>
      <c r="R4107" t="str">
        <f t="shared" si="155"/>
        <v>mmol/mol</v>
      </c>
      <c r="S4107" s="13">
        <f t="shared" si="156"/>
        <v>-1.4322561</v>
      </c>
    </row>
    <row r="4108" spans="1:19">
      <c r="A4108" s="18" t="s">
        <v>4106</v>
      </c>
      <c r="B4108" s="1" t="s">
        <v>4277</v>
      </c>
      <c r="C4108" s="1" t="s">
        <v>2635</v>
      </c>
      <c r="D4108" s="1" t="s">
        <v>5060</v>
      </c>
      <c r="E4108" s="1" t="s">
        <v>25</v>
      </c>
      <c r="F4108">
        <v>580</v>
      </c>
      <c r="G4108">
        <v>580</v>
      </c>
      <c r="H4108">
        <v>136.19999999999999</v>
      </c>
      <c r="I4108" s="1" t="s">
        <v>1528</v>
      </c>
      <c r="J4108" s="1" t="s">
        <v>1336</v>
      </c>
      <c r="K4108" s="1" t="s">
        <v>25</v>
      </c>
      <c r="L4108">
        <v>-1.6003607</v>
      </c>
      <c r="M4108" t="str">
        <f t="shared" si="157"/>
        <v>44/40</v>
      </c>
      <c r="N4108" t="str">
        <f t="shared" si="158"/>
        <v>SW</v>
      </c>
      <c r="O4108" s="1" t="s">
        <v>25</v>
      </c>
      <c r="P4108" s="3" t="s">
        <v>25</v>
      </c>
      <c r="Q4108" s="37">
        <v>0.718122441</v>
      </c>
      <c r="R4108" t="str">
        <f t="shared" si="155"/>
        <v>mmol/mol</v>
      </c>
      <c r="S4108" s="13">
        <f t="shared" si="156"/>
        <v>-1.6003607</v>
      </c>
    </row>
    <row r="4109" spans="1:19">
      <c r="A4109" s="18" t="s">
        <v>4106</v>
      </c>
      <c r="B4109" s="1" t="s">
        <v>4278</v>
      </c>
      <c r="C4109" s="1" t="s">
        <v>2635</v>
      </c>
      <c r="D4109" s="1" t="s">
        <v>5060</v>
      </c>
      <c r="E4109" s="1" t="s">
        <v>25</v>
      </c>
      <c r="F4109">
        <v>580</v>
      </c>
      <c r="G4109">
        <v>580</v>
      </c>
      <c r="H4109">
        <v>149.5</v>
      </c>
      <c r="I4109" s="1" t="s">
        <v>1528</v>
      </c>
      <c r="J4109" s="1" t="s">
        <v>1336</v>
      </c>
      <c r="K4109" s="1" t="s">
        <v>25</v>
      </c>
      <c r="L4109">
        <v>-1.5850533</v>
      </c>
      <c r="M4109" t="str">
        <f t="shared" si="157"/>
        <v>44/40</v>
      </c>
      <c r="N4109" t="str">
        <f t="shared" si="158"/>
        <v>SW</v>
      </c>
      <c r="O4109" s="1" t="s">
        <v>25</v>
      </c>
      <c r="P4109" s="3" t="s">
        <v>25</v>
      </c>
      <c r="Q4109" s="37">
        <v>0.82443792000000005</v>
      </c>
      <c r="R4109" t="str">
        <f t="shared" si="155"/>
        <v>mmol/mol</v>
      </c>
      <c r="S4109" s="13">
        <f t="shared" si="156"/>
        <v>-1.5850533</v>
      </c>
    </row>
    <row r="4110" spans="1:19">
      <c r="A4110" s="18" t="s">
        <v>4106</v>
      </c>
      <c r="B4110" s="1" t="s">
        <v>4279</v>
      </c>
      <c r="C4110" s="1" t="s">
        <v>2635</v>
      </c>
      <c r="D4110" s="1" t="s">
        <v>5060</v>
      </c>
      <c r="E4110" s="1" t="s">
        <v>25</v>
      </c>
      <c r="F4110">
        <v>580</v>
      </c>
      <c r="G4110">
        <v>580</v>
      </c>
      <c r="H4110">
        <v>168.4</v>
      </c>
      <c r="I4110" s="1" t="s">
        <v>1528</v>
      </c>
      <c r="J4110" s="1" t="s">
        <v>1336</v>
      </c>
      <c r="K4110" s="1" t="s">
        <v>25</v>
      </c>
      <c r="L4110">
        <v>-1.6207828</v>
      </c>
      <c r="M4110" t="str">
        <f t="shared" si="157"/>
        <v>44/40</v>
      </c>
      <c r="N4110" t="str">
        <f t="shared" si="158"/>
        <v>SW</v>
      </c>
      <c r="O4110" s="1" t="s">
        <v>25</v>
      </c>
      <c r="P4110" s="3" t="s">
        <v>25</v>
      </c>
      <c r="Q4110" s="37">
        <v>0.70723356999999998</v>
      </c>
      <c r="R4110" t="str">
        <f t="shared" si="155"/>
        <v>mmol/mol</v>
      </c>
      <c r="S4110" s="13">
        <f t="shared" si="156"/>
        <v>-1.6207828</v>
      </c>
    </row>
    <row r="4111" spans="1:19">
      <c r="A4111" s="18" t="s">
        <v>4106</v>
      </c>
      <c r="B4111" s="1" t="s">
        <v>4280</v>
      </c>
      <c r="C4111" s="1" t="s">
        <v>2635</v>
      </c>
      <c r="D4111" s="1" t="s">
        <v>5060</v>
      </c>
      <c r="E4111" s="1" t="s">
        <v>25</v>
      </c>
      <c r="F4111">
        <v>580</v>
      </c>
      <c r="G4111">
        <v>580</v>
      </c>
      <c r="H4111">
        <v>178.7</v>
      </c>
      <c r="I4111" s="1" t="s">
        <v>1528</v>
      </c>
      <c r="J4111" s="1" t="s">
        <v>1336</v>
      </c>
      <c r="K4111" s="1" t="s">
        <v>25</v>
      </c>
      <c r="L4111">
        <v>-1.6424323999999999</v>
      </c>
      <c r="M4111" t="str">
        <f t="shared" si="157"/>
        <v>44/40</v>
      </c>
      <c r="N4111" t="str">
        <f t="shared" si="158"/>
        <v>SW</v>
      </c>
      <c r="O4111" s="1" t="s">
        <v>25</v>
      </c>
      <c r="P4111" s="3" t="s">
        <v>25</v>
      </c>
      <c r="Q4111" s="37">
        <v>0.73289333700000003</v>
      </c>
      <c r="R4111" t="str">
        <f t="shared" si="155"/>
        <v>mmol/mol</v>
      </c>
      <c r="S4111" s="13">
        <f t="shared" si="156"/>
        <v>-1.6424323999999999</v>
      </c>
    </row>
    <row r="4112" spans="1:19">
      <c r="A4112" s="18" t="s">
        <v>4106</v>
      </c>
      <c r="B4112" s="1" t="s">
        <v>4281</v>
      </c>
      <c r="C4112" s="1" t="s">
        <v>2635</v>
      </c>
      <c r="D4112" s="1" t="s">
        <v>5060</v>
      </c>
      <c r="E4112" s="1" t="s">
        <v>25</v>
      </c>
      <c r="F4112">
        <v>580</v>
      </c>
      <c r="G4112">
        <v>580</v>
      </c>
      <c r="H4112">
        <v>193.6</v>
      </c>
      <c r="I4112" s="1" t="s">
        <v>1528</v>
      </c>
      <c r="J4112" s="1" t="s">
        <v>1336</v>
      </c>
      <c r="K4112" s="1" t="s">
        <v>25</v>
      </c>
      <c r="L4112">
        <v>-1.5987807000000001</v>
      </c>
      <c r="M4112" t="str">
        <f t="shared" si="157"/>
        <v>44/40</v>
      </c>
      <c r="N4112" t="str">
        <f t="shared" si="158"/>
        <v>SW</v>
      </c>
      <c r="O4112" s="1" t="s">
        <v>25</v>
      </c>
      <c r="P4112" s="3" t="s">
        <v>25</v>
      </c>
      <c r="Q4112" s="37">
        <v>0.96914228599999996</v>
      </c>
      <c r="R4112" t="str">
        <f t="shared" si="155"/>
        <v>mmol/mol</v>
      </c>
      <c r="S4112" s="13">
        <f t="shared" si="156"/>
        <v>-1.5987807000000001</v>
      </c>
    </row>
    <row r="4113" spans="1:19">
      <c r="A4113" s="18" t="s">
        <v>4106</v>
      </c>
      <c r="B4113" s="1" t="s">
        <v>4282</v>
      </c>
      <c r="C4113" s="1" t="s">
        <v>2635</v>
      </c>
      <c r="D4113" s="1" t="s">
        <v>5060</v>
      </c>
      <c r="E4113" s="1" t="s">
        <v>25</v>
      </c>
      <c r="F4113">
        <v>580</v>
      </c>
      <c r="G4113">
        <v>580</v>
      </c>
      <c r="H4113">
        <v>206.5</v>
      </c>
      <c r="I4113" s="1" t="s">
        <v>1528</v>
      </c>
      <c r="J4113" s="1" t="s">
        <v>1336</v>
      </c>
      <c r="K4113" s="1" t="s">
        <v>25</v>
      </c>
      <c r="L4113">
        <v>-1.5579016000000001</v>
      </c>
      <c r="M4113" t="str">
        <f t="shared" si="157"/>
        <v>44/40</v>
      </c>
      <c r="N4113" t="str">
        <f t="shared" si="158"/>
        <v>SW</v>
      </c>
      <c r="O4113" s="1" t="s">
        <v>25</v>
      </c>
      <c r="P4113" s="3" t="s">
        <v>25</v>
      </c>
      <c r="Q4113" s="37">
        <v>0.78039449299999997</v>
      </c>
      <c r="R4113" t="str">
        <f t="shared" si="155"/>
        <v>mmol/mol</v>
      </c>
      <c r="S4113" s="13">
        <f t="shared" si="156"/>
        <v>-1.5579016000000001</v>
      </c>
    </row>
    <row r="4114" spans="1:19">
      <c r="A4114" s="18" t="s">
        <v>4106</v>
      </c>
      <c r="B4114" s="1" t="s">
        <v>4283</v>
      </c>
      <c r="C4114" s="1" t="s">
        <v>2635</v>
      </c>
      <c r="D4114" s="1" t="s">
        <v>5060</v>
      </c>
      <c r="E4114" s="1" t="s">
        <v>25</v>
      </c>
      <c r="F4114">
        <v>580</v>
      </c>
      <c r="G4114">
        <v>580</v>
      </c>
      <c r="H4114">
        <v>220.9</v>
      </c>
      <c r="I4114" s="1" t="s">
        <v>1528</v>
      </c>
      <c r="J4114" s="1" t="s">
        <v>1336</v>
      </c>
      <c r="K4114" s="1" t="s">
        <v>25</v>
      </c>
      <c r="L4114">
        <v>-1.5678033</v>
      </c>
      <c r="M4114" t="str">
        <f t="shared" si="157"/>
        <v>44/40</v>
      </c>
      <c r="N4114" t="str">
        <f t="shared" si="158"/>
        <v>SW</v>
      </c>
      <c r="O4114" s="1" t="s">
        <v>25</v>
      </c>
      <c r="P4114" s="3" t="s">
        <v>25</v>
      </c>
      <c r="Q4114" s="37">
        <v>0.64388418999999997</v>
      </c>
      <c r="R4114" t="str">
        <f t="shared" si="155"/>
        <v>mmol/mol</v>
      </c>
      <c r="S4114" s="13">
        <f t="shared" si="156"/>
        <v>-1.5678033</v>
      </c>
    </row>
    <row r="4115" spans="1:19">
      <c r="A4115" s="18" t="s">
        <v>4106</v>
      </c>
      <c r="B4115" s="1" t="s">
        <v>4284</v>
      </c>
      <c r="C4115" s="1" t="s">
        <v>2635</v>
      </c>
      <c r="D4115" s="1" t="s">
        <v>5060</v>
      </c>
      <c r="E4115" s="1" t="s">
        <v>25</v>
      </c>
      <c r="F4115">
        <v>580</v>
      </c>
      <c r="G4115">
        <v>580</v>
      </c>
      <c r="H4115">
        <v>238.4</v>
      </c>
      <c r="I4115" s="1" t="s">
        <v>1528</v>
      </c>
      <c r="J4115" s="1" t="s">
        <v>1336</v>
      </c>
      <c r="K4115" s="1" t="s">
        <v>25</v>
      </c>
      <c r="L4115">
        <v>-1.5624754000000001</v>
      </c>
      <c r="M4115" t="str">
        <f t="shared" si="157"/>
        <v>44/40</v>
      </c>
      <c r="N4115" t="str">
        <f t="shared" si="158"/>
        <v>SW</v>
      </c>
      <c r="O4115" s="1" t="s">
        <v>25</v>
      </c>
      <c r="P4115" s="3" t="s">
        <v>25</v>
      </c>
      <c r="Q4115" s="37">
        <v>0.63814124000000005</v>
      </c>
      <c r="R4115" t="str">
        <f t="shared" si="155"/>
        <v>mmol/mol</v>
      </c>
      <c r="S4115" s="13">
        <f t="shared" si="156"/>
        <v>-1.5624754000000001</v>
      </c>
    </row>
    <row r="4116" spans="1:19">
      <c r="A4116" s="18" t="s">
        <v>4106</v>
      </c>
      <c r="B4116" s="1" t="s">
        <v>4285</v>
      </c>
      <c r="C4116" s="1" t="s">
        <v>2635</v>
      </c>
      <c r="D4116" s="1" t="s">
        <v>5060</v>
      </c>
      <c r="E4116" s="1" t="s">
        <v>25</v>
      </c>
      <c r="F4116">
        <v>580</v>
      </c>
      <c r="G4116">
        <v>580</v>
      </c>
      <c r="H4116">
        <v>255.1</v>
      </c>
      <c r="I4116" s="1" t="s">
        <v>1528</v>
      </c>
      <c r="J4116" s="1" t="s">
        <v>1336</v>
      </c>
      <c r="K4116" s="1" t="s">
        <v>25</v>
      </c>
      <c r="L4116">
        <v>-1.4417111</v>
      </c>
      <c r="M4116" t="str">
        <f t="shared" si="157"/>
        <v>44/40</v>
      </c>
      <c r="N4116" t="str">
        <f t="shared" si="158"/>
        <v>SW</v>
      </c>
      <c r="O4116" s="1" t="s">
        <v>25</v>
      </c>
      <c r="P4116" s="3" t="s">
        <v>25</v>
      </c>
      <c r="Q4116" s="37">
        <v>0.59276000299999998</v>
      </c>
      <c r="R4116" t="str">
        <f t="shared" si="155"/>
        <v>mmol/mol</v>
      </c>
      <c r="S4116" s="13">
        <f t="shared" si="156"/>
        <v>-1.4417111</v>
      </c>
    </row>
    <row r="4117" spans="1:19">
      <c r="A4117" s="18" t="s">
        <v>4106</v>
      </c>
      <c r="B4117" s="1" t="s">
        <v>4286</v>
      </c>
      <c r="C4117" s="1" t="s">
        <v>2635</v>
      </c>
      <c r="D4117" s="1" t="s">
        <v>5060</v>
      </c>
      <c r="E4117" s="1" t="s">
        <v>25</v>
      </c>
      <c r="F4117">
        <v>580</v>
      </c>
      <c r="G4117">
        <v>580</v>
      </c>
      <c r="H4117">
        <v>277.8</v>
      </c>
      <c r="I4117" s="1" t="s">
        <v>1528</v>
      </c>
      <c r="J4117" s="1" t="s">
        <v>1336</v>
      </c>
      <c r="K4117" s="1" t="s">
        <v>25</v>
      </c>
      <c r="L4117">
        <v>-1.5548525</v>
      </c>
      <c r="M4117" t="str">
        <f t="shared" si="157"/>
        <v>44/40</v>
      </c>
      <c r="N4117" t="str">
        <f t="shared" si="158"/>
        <v>SW</v>
      </c>
      <c r="O4117" s="1" t="s">
        <v>25</v>
      </c>
      <c r="P4117" s="3" t="s">
        <v>25</v>
      </c>
      <c r="Q4117" s="37">
        <v>0.75138485899999996</v>
      </c>
      <c r="R4117" t="str">
        <f t="shared" si="155"/>
        <v>mmol/mol</v>
      </c>
      <c r="S4117" s="13">
        <f t="shared" si="156"/>
        <v>-1.5548525</v>
      </c>
    </row>
    <row r="4118" spans="1:19">
      <c r="A4118" s="18" t="s">
        <v>4106</v>
      </c>
      <c r="B4118" s="1" t="s">
        <v>4287</v>
      </c>
      <c r="C4118" s="1" t="s">
        <v>2635</v>
      </c>
      <c r="D4118" s="1" t="s">
        <v>5060</v>
      </c>
      <c r="E4118" s="1" t="s">
        <v>25</v>
      </c>
      <c r="F4118">
        <v>580</v>
      </c>
      <c r="G4118">
        <v>580</v>
      </c>
      <c r="H4118">
        <v>306.60000000000002</v>
      </c>
      <c r="I4118" s="1" t="s">
        <v>1528</v>
      </c>
      <c r="J4118" s="1" t="s">
        <v>1336</v>
      </c>
      <c r="K4118" s="1" t="s">
        <v>25</v>
      </c>
      <c r="L4118">
        <v>-1.5865697000000001</v>
      </c>
      <c r="M4118" t="str">
        <f t="shared" si="157"/>
        <v>44/40</v>
      </c>
      <c r="N4118" t="str">
        <f t="shared" si="158"/>
        <v>SW</v>
      </c>
      <c r="O4118" s="1" t="s">
        <v>25</v>
      </c>
      <c r="P4118" s="3" t="s">
        <v>25</v>
      </c>
      <c r="Q4118" s="37">
        <v>0.55355653500000002</v>
      </c>
      <c r="R4118" t="str">
        <f t="shared" si="155"/>
        <v>mmol/mol</v>
      </c>
      <c r="S4118" s="13">
        <f t="shared" si="156"/>
        <v>-1.5865697000000001</v>
      </c>
    </row>
    <row r="4119" spans="1:19">
      <c r="A4119" s="18" t="s">
        <v>4106</v>
      </c>
      <c r="B4119" s="1" t="s">
        <v>4288</v>
      </c>
      <c r="C4119" s="1" t="s">
        <v>2635</v>
      </c>
      <c r="D4119" s="1" t="s">
        <v>5060</v>
      </c>
      <c r="E4119" s="1" t="s">
        <v>25</v>
      </c>
      <c r="F4119">
        <v>580</v>
      </c>
      <c r="G4119">
        <v>580</v>
      </c>
      <c r="H4119">
        <v>316.60000000000002</v>
      </c>
      <c r="I4119" s="1" t="s">
        <v>1528</v>
      </c>
      <c r="J4119" s="1" t="s">
        <v>1336</v>
      </c>
      <c r="K4119" s="1" t="s">
        <v>25</v>
      </c>
      <c r="L4119">
        <v>-1.6538811</v>
      </c>
      <c r="M4119" t="str">
        <f t="shared" si="157"/>
        <v>44/40</v>
      </c>
      <c r="N4119" t="str">
        <f t="shared" si="158"/>
        <v>SW</v>
      </c>
      <c r="O4119" s="1" t="s">
        <v>25</v>
      </c>
      <c r="P4119" s="3" t="s">
        <v>25</v>
      </c>
      <c r="Q4119" s="37">
        <v>0.685058151</v>
      </c>
      <c r="R4119" t="str">
        <f t="shared" si="155"/>
        <v>mmol/mol</v>
      </c>
      <c r="S4119" s="13">
        <f t="shared" si="156"/>
        <v>-1.6538811</v>
      </c>
    </row>
    <row r="4120" spans="1:19">
      <c r="A4120" s="18" t="s">
        <v>4106</v>
      </c>
      <c r="B4120" s="1" t="s">
        <v>4289</v>
      </c>
      <c r="C4120" s="1" t="s">
        <v>2635</v>
      </c>
      <c r="D4120" s="1" t="s">
        <v>5060</v>
      </c>
      <c r="E4120" s="1" t="s">
        <v>25</v>
      </c>
      <c r="F4120">
        <v>580</v>
      </c>
      <c r="G4120">
        <v>580</v>
      </c>
      <c r="H4120">
        <v>326.10000000000002</v>
      </c>
      <c r="I4120" s="1" t="s">
        <v>1528</v>
      </c>
      <c r="J4120" s="1" t="s">
        <v>1336</v>
      </c>
      <c r="K4120" s="1" t="s">
        <v>25</v>
      </c>
      <c r="L4120">
        <v>-1.5593668000000001</v>
      </c>
      <c r="M4120" t="str">
        <f t="shared" si="157"/>
        <v>44/40</v>
      </c>
      <c r="N4120" t="str">
        <f t="shared" si="158"/>
        <v>SW</v>
      </c>
      <c r="O4120" s="1" t="s">
        <v>25</v>
      </c>
      <c r="P4120" s="3" t="s">
        <v>25</v>
      </c>
      <c r="Q4120" s="37">
        <v>0.84365234099999997</v>
      </c>
      <c r="R4120" t="str">
        <f t="shared" si="155"/>
        <v>mmol/mol</v>
      </c>
      <c r="S4120" s="13">
        <f t="shared" si="156"/>
        <v>-1.5593668000000001</v>
      </c>
    </row>
    <row r="4121" spans="1:19">
      <c r="A4121" s="18" t="s">
        <v>4106</v>
      </c>
      <c r="B4121" s="1" t="s">
        <v>4290</v>
      </c>
      <c r="C4121" s="1" t="s">
        <v>2635</v>
      </c>
      <c r="D4121" s="1" t="s">
        <v>5060</v>
      </c>
      <c r="E4121" s="1" t="s">
        <v>25</v>
      </c>
      <c r="F4121">
        <v>580</v>
      </c>
      <c r="G4121">
        <v>580</v>
      </c>
      <c r="H4121">
        <v>336.2</v>
      </c>
      <c r="I4121" s="1" t="s">
        <v>1528</v>
      </c>
      <c r="J4121" s="1" t="s">
        <v>1336</v>
      </c>
      <c r="K4121" s="1" t="s">
        <v>25</v>
      </c>
      <c r="L4121">
        <v>-1.8526475</v>
      </c>
      <c r="M4121" t="str">
        <f t="shared" si="157"/>
        <v>44/40</v>
      </c>
      <c r="N4121" t="str">
        <f t="shared" si="158"/>
        <v>SW</v>
      </c>
      <c r="O4121" s="1" t="s">
        <v>25</v>
      </c>
      <c r="P4121" s="3" t="s">
        <v>25</v>
      </c>
      <c r="Q4121" s="37">
        <v>1.0633713140000001</v>
      </c>
      <c r="R4121" t="str">
        <f t="shared" ref="R4121:R4184" si="159">IF(Q4121="Na","Na","mmol/mol")</f>
        <v>mmol/mol</v>
      </c>
      <c r="S4121" s="13">
        <f t="shared" si="156"/>
        <v>-1.8526475</v>
      </c>
    </row>
    <row r="4122" spans="1:19">
      <c r="A4122" s="18" t="s">
        <v>4106</v>
      </c>
      <c r="B4122" s="1" t="s">
        <v>4291</v>
      </c>
      <c r="C4122" s="1" t="s">
        <v>2635</v>
      </c>
      <c r="D4122" s="1" t="s">
        <v>5060</v>
      </c>
      <c r="E4122" s="1" t="s">
        <v>25</v>
      </c>
      <c r="F4122">
        <v>580</v>
      </c>
      <c r="G4122">
        <v>580</v>
      </c>
      <c r="H4122">
        <v>349</v>
      </c>
      <c r="I4122" s="1" t="s">
        <v>1528</v>
      </c>
      <c r="J4122" s="1" t="s">
        <v>1336</v>
      </c>
      <c r="K4122" s="1" t="s">
        <v>25</v>
      </c>
      <c r="L4122">
        <v>-1.7418032999999999</v>
      </c>
      <c r="M4122" t="str">
        <f t="shared" si="157"/>
        <v>44/40</v>
      </c>
      <c r="N4122" t="str">
        <f t="shared" si="158"/>
        <v>SW</v>
      </c>
      <c r="O4122" s="1" t="s">
        <v>25</v>
      </c>
      <c r="P4122" s="3" t="s">
        <v>25</v>
      </c>
      <c r="Q4122" s="37">
        <v>1.8536509430000001</v>
      </c>
      <c r="R4122" t="str">
        <f t="shared" si="159"/>
        <v>mmol/mol</v>
      </c>
      <c r="S4122" s="13">
        <f t="shared" si="156"/>
        <v>-1.7418032999999999</v>
      </c>
    </row>
    <row r="4123" spans="1:19">
      <c r="A4123" s="18" t="s">
        <v>4106</v>
      </c>
      <c r="B4123" s="1" t="s">
        <v>4292</v>
      </c>
      <c r="C4123" s="1" t="s">
        <v>2635</v>
      </c>
      <c r="D4123" s="1" t="s">
        <v>5060</v>
      </c>
      <c r="E4123" s="1" t="s">
        <v>25</v>
      </c>
      <c r="F4123">
        <v>580</v>
      </c>
      <c r="G4123">
        <v>580</v>
      </c>
      <c r="H4123">
        <v>355.5</v>
      </c>
      <c r="I4123" s="1" t="s">
        <v>1528</v>
      </c>
      <c r="J4123" s="1" t="s">
        <v>1336</v>
      </c>
      <c r="K4123" s="1" t="s">
        <v>25</v>
      </c>
      <c r="L4123">
        <v>-1.6109405999999999</v>
      </c>
      <c r="M4123" t="str">
        <f t="shared" si="157"/>
        <v>44/40</v>
      </c>
      <c r="N4123" t="str">
        <f t="shared" si="158"/>
        <v>SW</v>
      </c>
      <c r="O4123" s="1" t="s">
        <v>25</v>
      </c>
      <c r="P4123" s="3" t="s">
        <v>25</v>
      </c>
      <c r="Q4123" s="37">
        <v>0.79287687299999998</v>
      </c>
      <c r="R4123" t="str">
        <f t="shared" si="159"/>
        <v>mmol/mol</v>
      </c>
      <c r="S4123" s="13">
        <f t="shared" si="156"/>
        <v>-1.6109405999999999</v>
      </c>
    </row>
    <row r="4124" spans="1:19">
      <c r="A4124" s="18" t="s">
        <v>4106</v>
      </c>
      <c r="B4124" s="1" t="s">
        <v>4293</v>
      </c>
      <c r="C4124" s="1" t="s">
        <v>2635</v>
      </c>
      <c r="D4124" s="1" t="s">
        <v>5060</v>
      </c>
      <c r="E4124" s="1" t="s">
        <v>25</v>
      </c>
      <c r="F4124">
        <v>580</v>
      </c>
      <c r="G4124">
        <v>580</v>
      </c>
      <c r="H4124">
        <v>365.4</v>
      </c>
      <c r="I4124" s="1" t="s">
        <v>1528</v>
      </c>
      <c r="J4124" s="1" t="s">
        <v>1336</v>
      </c>
      <c r="K4124" s="1" t="s">
        <v>25</v>
      </c>
      <c r="L4124" t="s">
        <v>25</v>
      </c>
      <c r="M4124" t="str">
        <f t="shared" si="157"/>
        <v>Na</v>
      </c>
      <c r="N4124" t="str">
        <f t="shared" si="158"/>
        <v>Na</v>
      </c>
      <c r="O4124" s="1" t="s">
        <v>25</v>
      </c>
      <c r="P4124" s="3" t="s">
        <v>25</v>
      </c>
      <c r="Q4124" s="37">
        <v>4.0012952589999999</v>
      </c>
      <c r="R4124" t="str">
        <f t="shared" si="159"/>
        <v>mmol/mol</v>
      </c>
      <c r="S4124" s="13" t="s">
        <v>25</v>
      </c>
    </row>
    <row r="4125" spans="1:19">
      <c r="A4125" s="18" t="s">
        <v>4106</v>
      </c>
      <c r="B4125" s="1" t="s">
        <v>4294</v>
      </c>
      <c r="C4125" s="1" t="s">
        <v>2635</v>
      </c>
      <c r="D4125" s="1" t="s">
        <v>5060</v>
      </c>
      <c r="E4125" s="1" t="s">
        <v>25</v>
      </c>
      <c r="F4125">
        <v>580</v>
      </c>
      <c r="G4125">
        <v>580</v>
      </c>
      <c r="H4125">
        <v>377.5</v>
      </c>
      <c r="I4125" s="1" t="s">
        <v>1528</v>
      </c>
      <c r="J4125" s="1" t="s">
        <v>1336</v>
      </c>
      <c r="K4125" s="1" t="s">
        <v>25</v>
      </c>
      <c r="L4125">
        <v>-1.2170901999999999</v>
      </c>
      <c r="M4125" t="str">
        <f t="shared" si="157"/>
        <v>44/40</v>
      </c>
      <c r="N4125" t="str">
        <f t="shared" si="158"/>
        <v>SW</v>
      </c>
      <c r="O4125" s="1" t="s">
        <v>25</v>
      </c>
      <c r="P4125" s="3" t="s">
        <v>25</v>
      </c>
      <c r="Q4125" s="37">
        <v>1.0717262089999999</v>
      </c>
      <c r="R4125" t="str">
        <f t="shared" si="159"/>
        <v>mmol/mol</v>
      </c>
      <c r="S4125" s="13">
        <f t="shared" si="156"/>
        <v>-1.2170901999999999</v>
      </c>
    </row>
    <row r="4126" spans="1:19">
      <c r="A4126" s="18" t="s">
        <v>4106</v>
      </c>
      <c r="B4126" s="1" t="s">
        <v>4295</v>
      </c>
      <c r="C4126" s="1" t="s">
        <v>2635</v>
      </c>
      <c r="D4126" s="1" t="s">
        <v>5060</v>
      </c>
      <c r="E4126" s="1" t="s">
        <v>25</v>
      </c>
      <c r="F4126">
        <v>580</v>
      </c>
      <c r="G4126">
        <v>580</v>
      </c>
      <c r="H4126">
        <v>382.1</v>
      </c>
      <c r="I4126" s="1" t="s">
        <v>1528</v>
      </c>
      <c r="J4126" s="1" t="s">
        <v>1336</v>
      </c>
      <c r="K4126" s="1" t="s">
        <v>25</v>
      </c>
      <c r="L4126">
        <v>-1.6188525</v>
      </c>
      <c r="M4126" t="str">
        <f t="shared" si="157"/>
        <v>44/40</v>
      </c>
      <c r="N4126" t="str">
        <f t="shared" si="158"/>
        <v>SW</v>
      </c>
      <c r="O4126" s="1" t="s">
        <v>25</v>
      </c>
      <c r="P4126" s="3" t="s">
        <v>25</v>
      </c>
      <c r="Q4126" s="37">
        <v>1.091055584</v>
      </c>
      <c r="R4126" t="str">
        <f t="shared" si="159"/>
        <v>mmol/mol</v>
      </c>
      <c r="S4126" s="13">
        <f t="shared" si="156"/>
        <v>-1.6188525</v>
      </c>
    </row>
    <row r="4127" spans="1:19">
      <c r="A4127" s="18" t="s">
        <v>4106</v>
      </c>
      <c r="B4127" s="1" t="s">
        <v>4296</v>
      </c>
      <c r="C4127" s="1" t="s">
        <v>2635</v>
      </c>
      <c r="D4127" s="1" t="s">
        <v>5060</v>
      </c>
      <c r="E4127" s="1" t="s">
        <v>25</v>
      </c>
      <c r="F4127">
        <v>580</v>
      </c>
      <c r="G4127">
        <v>580</v>
      </c>
      <c r="H4127">
        <v>392.4</v>
      </c>
      <c r="I4127" s="1" t="s">
        <v>1528</v>
      </c>
      <c r="J4127" s="1" t="s">
        <v>1336</v>
      </c>
      <c r="K4127" s="1" t="s">
        <v>25</v>
      </c>
      <c r="L4127" t="s">
        <v>25</v>
      </c>
      <c r="M4127" t="str">
        <f t="shared" si="157"/>
        <v>Na</v>
      </c>
      <c r="N4127" t="str">
        <f t="shared" si="158"/>
        <v>Na</v>
      </c>
      <c r="O4127" s="1" t="s">
        <v>25</v>
      </c>
      <c r="P4127" s="3" t="s">
        <v>25</v>
      </c>
      <c r="Q4127" s="37">
        <v>1.05179705</v>
      </c>
      <c r="R4127" t="str">
        <f t="shared" si="159"/>
        <v>mmol/mol</v>
      </c>
      <c r="S4127" s="13" t="s">
        <v>25</v>
      </c>
    </row>
    <row r="4128" spans="1:19">
      <c r="A4128" s="18" t="s">
        <v>4106</v>
      </c>
      <c r="B4128" s="1" t="s">
        <v>4297</v>
      </c>
      <c r="C4128" s="1" t="s">
        <v>2635</v>
      </c>
      <c r="D4128" s="1" t="s">
        <v>5060</v>
      </c>
      <c r="E4128" s="1" t="s">
        <v>25</v>
      </c>
      <c r="F4128">
        <v>580</v>
      </c>
      <c r="G4128">
        <v>580</v>
      </c>
      <c r="H4128">
        <v>402.2</v>
      </c>
      <c r="I4128" s="1" t="s">
        <v>1528</v>
      </c>
      <c r="J4128" s="1" t="s">
        <v>1336</v>
      </c>
      <c r="K4128" s="1" t="s">
        <v>25</v>
      </c>
      <c r="L4128" t="s">
        <v>25</v>
      </c>
      <c r="M4128" t="str">
        <f t="shared" si="157"/>
        <v>Na</v>
      </c>
      <c r="N4128" t="str">
        <f t="shared" si="158"/>
        <v>Na</v>
      </c>
      <c r="O4128" s="1" t="s">
        <v>25</v>
      </c>
      <c r="P4128" s="3" t="s">
        <v>25</v>
      </c>
      <c r="Q4128" s="37">
        <v>1.9230581229999999</v>
      </c>
      <c r="R4128" t="str">
        <f t="shared" si="159"/>
        <v>mmol/mol</v>
      </c>
      <c r="S4128" s="13" t="s">
        <v>25</v>
      </c>
    </row>
    <row r="4129" spans="1:19">
      <c r="A4129" s="18" t="s">
        <v>4106</v>
      </c>
      <c r="B4129" s="1" t="s">
        <v>4298</v>
      </c>
      <c r="C4129" s="1" t="s">
        <v>2635</v>
      </c>
      <c r="D4129" s="1" t="s">
        <v>5060</v>
      </c>
      <c r="E4129" s="1" t="s">
        <v>25</v>
      </c>
      <c r="F4129">
        <v>580</v>
      </c>
      <c r="G4129">
        <v>580</v>
      </c>
      <c r="H4129">
        <v>411.3</v>
      </c>
      <c r="I4129" s="1" t="s">
        <v>1528</v>
      </c>
      <c r="J4129" s="1" t="s">
        <v>1336</v>
      </c>
      <c r="K4129" s="1" t="s">
        <v>25</v>
      </c>
      <c r="L4129">
        <v>-1.557377</v>
      </c>
      <c r="M4129" t="str">
        <f t="shared" si="157"/>
        <v>44/40</v>
      </c>
      <c r="N4129" t="str">
        <f t="shared" si="158"/>
        <v>SW</v>
      </c>
      <c r="O4129" s="1" t="s">
        <v>25</v>
      </c>
      <c r="P4129" s="3" t="s">
        <v>25</v>
      </c>
      <c r="Q4129" s="37">
        <v>1.110003997</v>
      </c>
      <c r="R4129" t="str">
        <f t="shared" si="159"/>
        <v>mmol/mol</v>
      </c>
      <c r="S4129" s="13">
        <f t="shared" si="156"/>
        <v>-1.557377</v>
      </c>
    </row>
    <row r="4130" spans="1:19">
      <c r="A4130" s="18" t="s">
        <v>4106</v>
      </c>
      <c r="B4130" s="1" t="s">
        <v>4299</v>
      </c>
      <c r="C4130" s="1" t="s">
        <v>2635</v>
      </c>
      <c r="D4130" s="1" t="s">
        <v>5060</v>
      </c>
      <c r="E4130" s="1" t="s">
        <v>25</v>
      </c>
      <c r="F4130">
        <v>580</v>
      </c>
      <c r="G4130">
        <v>580</v>
      </c>
      <c r="H4130">
        <v>422.6</v>
      </c>
      <c r="I4130" s="1" t="s">
        <v>1528</v>
      </c>
      <c r="J4130" s="1" t="s">
        <v>1336</v>
      </c>
      <c r="K4130" s="1" t="s">
        <v>25</v>
      </c>
      <c r="L4130">
        <v>-1.5108668000000001</v>
      </c>
      <c r="M4130" t="str">
        <f t="shared" si="157"/>
        <v>44/40</v>
      </c>
      <c r="N4130" t="str">
        <f t="shared" si="158"/>
        <v>SW</v>
      </c>
      <c r="O4130" s="1" t="s">
        <v>25</v>
      </c>
      <c r="P4130" s="3" t="s">
        <v>25</v>
      </c>
      <c r="Q4130" s="37">
        <v>0.93875111300000003</v>
      </c>
      <c r="R4130" t="str">
        <f t="shared" si="159"/>
        <v>mmol/mol</v>
      </c>
      <c r="S4130" s="13">
        <f t="shared" si="156"/>
        <v>-1.5108668000000001</v>
      </c>
    </row>
    <row r="4131" spans="1:19">
      <c r="A4131" s="18" t="s">
        <v>4106</v>
      </c>
      <c r="B4131" s="1" t="s">
        <v>4300</v>
      </c>
      <c r="C4131" s="1" t="s">
        <v>2635</v>
      </c>
      <c r="D4131" s="1" t="s">
        <v>5060</v>
      </c>
      <c r="E4131" s="1" t="s">
        <v>25</v>
      </c>
      <c r="F4131">
        <v>580</v>
      </c>
      <c r="G4131">
        <v>580</v>
      </c>
      <c r="H4131">
        <v>432.3</v>
      </c>
      <c r="I4131" s="1" t="s">
        <v>1528</v>
      </c>
      <c r="J4131" s="1" t="s">
        <v>1336</v>
      </c>
      <c r="K4131" s="1" t="s">
        <v>25</v>
      </c>
      <c r="L4131">
        <v>-0.98838519999999996</v>
      </c>
      <c r="M4131" t="str">
        <f t="shared" si="157"/>
        <v>44/40</v>
      </c>
      <c r="N4131" t="str">
        <f t="shared" si="158"/>
        <v>SW</v>
      </c>
      <c r="O4131" s="1" t="s">
        <v>25</v>
      </c>
      <c r="P4131" s="3" t="s">
        <v>25</v>
      </c>
      <c r="Q4131" s="37">
        <v>0.43071909800000002</v>
      </c>
      <c r="R4131" t="str">
        <f t="shared" si="159"/>
        <v>mmol/mol</v>
      </c>
      <c r="S4131" s="13">
        <f t="shared" si="156"/>
        <v>-0.98838519999999996</v>
      </c>
    </row>
    <row r="4132" spans="1:19">
      <c r="A4132" s="18" t="s">
        <v>4106</v>
      </c>
      <c r="B4132" s="1" t="s">
        <v>4301</v>
      </c>
      <c r="C4132" s="1" t="s">
        <v>2635</v>
      </c>
      <c r="D4132" s="1" t="s">
        <v>5060</v>
      </c>
      <c r="E4132" s="1" t="s">
        <v>25</v>
      </c>
      <c r="F4132">
        <v>580</v>
      </c>
      <c r="G4132">
        <v>580</v>
      </c>
      <c r="H4132">
        <v>441.7</v>
      </c>
      <c r="I4132" s="1" t="s">
        <v>1528</v>
      </c>
      <c r="J4132" s="1" t="s">
        <v>1336</v>
      </c>
      <c r="K4132" s="1" t="s">
        <v>25</v>
      </c>
      <c r="L4132">
        <v>-0.80684840000000002</v>
      </c>
      <c r="M4132" t="str">
        <f t="shared" si="157"/>
        <v>44/40</v>
      </c>
      <c r="N4132" t="str">
        <f t="shared" si="158"/>
        <v>SW</v>
      </c>
      <c r="O4132" s="1" t="s">
        <v>25</v>
      </c>
      <c r="P4132" s="3" t="s">
        <v>25</v>
      </c>
      <c r="Q4132" s="37">
        <v>0.43505376499999998</v>
      </c>
      <c r="R4132" t="str">
        <f t="shared" si="159"/>
        <v>mmol/mol</v>
      </c>
      <c r="S4132" s="13">
        <f t="shared" si="156"/>
        <v>-0.80684840000000002</v>
      </c>
    </row>
    <row r="4133" spans="1:19">
      <c r="A4133" s="18" t="s">
        <v>4106</v>
      </c>
      <c r="B4133" s="1" t="s">
        <v>4302</v>
      </c>
      <c r="C4133" s="1" t="s">
        <v>2635</v>
      </c>
      <c r="D4133" s="1" t="s">
        <v>5060</v>
      </c>
      <c r="E4133" s="1" t="s">
        <v>25</v>
      </c>
      <c r="F4133">
        <v>580</v>
      </c>
      <c r="G4133">
        <v>580</v>
      </c>
      <c r="H4133">
        <v>448.9</v>
      </c>
      <c r="I4133" s="1" t="s">
        <v>1528</v>
      </c>
      <c r="J4133" s="1" t="s">
        <v>1336</v>
      </c>
      <c r="K4133" s="1" t="s">
        <v>25</v>
      </c>
      <c r="L4133">
        <v>-0.99676019999999999</v>
      </c>
      <c r="M4133" t="str">
        <f t="shared" si="157"/>
        <v>44/40</v>
      </c>
      <c r="N4133" t="str">
        <f t="shared" si="158"/>
        <v>SW</v>
      </c>
      <c r="O4133" s="1" t="s">
        <v>25</v>
      </c>
      <c r="P4133" s="3" t="s">
        <v>25</v>
      </c>
      <c r="Q4133" s="37">
        <v>1.121190621</v>
      </c>
      <c r="R4133" t="str">
        <f t="shared" si="159"/>
        <v>mmol/mol</v>
      </c>
      <c r="S4133" s="13">
        <f t="shared" si="156"/>
        <v>-0.99676019999999999</v>
      </c>
    </row>
    <row r="4134" spans="1:19">
      <c r="A4134" s="18" t="s">
        <v>4106</v>
      </c>
      <c r="B4134" s="1" t="s">
        <v>4303</v>
      </c>
      <c r="C4134" s="1" t="s">
        <v>2635</v>
      </c>
      <c r="D4134" s="1" t="s">
        <v>5060</v>
      </c>
      <c r="E4134" s="1" t="s">
        <v>25</v>
      </c>
      <c r="F4134">
        <v>580</v>
      </c>
      <c r="G4134">
        <v>580</v>
      </c>
      <c r="H4134">
        <v>457.9</v>
      </c>
      <c r="I4134" s="1" t="s">
        <v>1528</v>
      </c>
      <c r="J4134" s="1" t="s">
        <v>1491</v>
      </c>
      <c r="K4134" s="1" t="s">
        <v>25</v>
      </c>
      <c r="L4134">
        <v>-1.0108052999999999</v>
      </c>
      <c r="M4134" t="str">
        <f t="shared" si="157"/>
        <v>44/40</v>
      </c>
      <c r="N4134" t="str">
        <f t="shared" si="158"/>
        <v>SW</v>
      </c>
      <c r="O4134" s="1" t="s">
        <v>25</v>
      </c>
      <c r="P4134" s="3" t="s">
        <v>25</v>
      </c>
      <c r="Q4134" s="37">
        <v>0.171924614</v>
      </c>
      <c r="R4134" t="str">
        <f t="shared" si="159"/>
        <v>mmol/mol</v>
      </c>
      <c r="S4134" s="13">
        <f t="shared" si="156"/>
        <v>-1.0108052999999999</v>
      </c>
    </row>
    <row r="4135" spans="1:19">
      <c r="A4135" s="18" t="s">
        <v>4106</v>
      </c>
      <c r="B4135" s="1" t="s">
        <v>4304</v>
      </c>
      <c r="C4135" s="1" t="s">
        <v>2635</v>
      </c>
      <c r="D4135" s="1" t="s">
        <v>5060</v>
      </c>
      <c r="E4135" s="1" t="s">
        <v>25</v>
      </c>
      <c r="F4135">
        <v>580</v>
      </c>
      <c r="G4135">
        <v>580</v>
      </c>
      <c r="H4135">
        <v>467.9</v>
      </c>
      <c r="I4135" s="1" t="s">
        <v>1528</v>
      </c>
      <c r="J4135" s="1" t="s">
        <v>1491</v>
      </c>
      <c r="K4135" s="1" t="s">
        <v>25</v>
      </c>
      <c r="L4135" t="s">
        <v>25</v>
      </c>
      <c r="M4135" t="str">
        <f t="shared" si="157"/>
        <v>Na</v>
      </c>
      <c r="N4135" t="str">
        <f t="shared" si="158"/>
        <v>Na</v>
      </c>
      <c r="O4135" s="1" t="s">
        <v>25</v>
      </c>
      <c r="P4135" s="3" t="s">
        <v>25</v>
      </c>
      <c r="Q4135" s="37">
        <v>0.17331970399999999</v>
      </c>
      <c r="R4135" t="str">
        <f t="shared" si="159"/>
        <v>mmol/mol</v>
      </c>
      <c r="S4135" s="13" t="s">
        <v>25</v>
      </c>
    </row>
    <row r="4136" spans="1:19">
      <c r="A4136" s="18" t="s">
        <v>4106</v>
      </c>
      <c r="B4136" s="1" t="s">
        <v>4305</v>
      </c>
      <c r="C4136" s="1" t="s">
        <v>2635</v>
      </c>
      <c r="D4136" s="1" t="s">
        <v>5060</v>
      </c>
      <c r="E4136" s="1" t="s">
        <v>25</v>
      </c>
      <c r="F4136">
        <v>580</v>
      </c>
      <c r="G4136">
        <v>580</v>
      </c>
      <c r="H4136">
        <v>484.1</v>
      </c>
      <c r="I4136" s="1" t="s">
        <v>1528</v>
      </c>
      <c r="J4136" s="1" t="s">
        <v>1491</v>
      </c>
      <c r="K4136" s="1" t="s">
        <v>25</v>
      </c>
      <c r="L4136">
        <v>-1.1306126999999999</v>
      </c>
      <c r="M4136" t="str">
        <f t="shared" si="157"/>
        <v>44/40</v>
      </c>
      <c r="N4136" t="str">
        <f t="shared" si="158"/>
        <v>SW</v>
      </c>
      <c r="O4136" s="1" t="s">
        <v>25</v>
      </c>
      <c r="P4136" s="3" t="s">
        <v>25</v>
      </c>
      <c r="Q4136" s="37">
        <v>0.168589502</v>
      </c>
      <c r="R4136" t="str">
        <f t="shared" si="159"/>
        <v>mmol/mol</v>
      </c>
      <c r="S4136" s="13">
        <f t="shared" si="156"/>
        <v>-1.1306126999999999</v>
      </c>
    </row>
    <row r="4137" spans="1:19">
      <c r="A4137" s="18" t="s">
        <v>4106</v>
      </c>
      <c r="B4137" s="1" t="s">
        <v>4306</v>
      </c>
      <c r="C4137" s="1" t="s">
        <v>2635</v>
      </c>
      <c r="D4137" s="1" t="s">
        <v>5060</v>
      </c>
      <c r="E4137" s="1" t="s">
        <v>25</v>
      </c>
      <c r="F4137">
        <v>580</v>
      </c>
      <c r="G4137">
        <v>580</v>
      </c>
      <c r="H4137">
        <v>496.8</v>
      </c>
      <c r="I4137" s="1" t="s">
        <v>1528</v>
      </c>
      <c r="J4137" s="1" t="s">
        <v>1491</v>
      </c>
      <c r="K4137" s="1" t="s">
        <v>25</v>
      </c>
      <c r="L4137">
        <v>-0.77463320000000002</v>
      </c>
      <c r="M4137" t="str">
        <f t="shared" si="157"/>
        <v>44/40</v>
      </c>
      <c r="N4137" t="str">
        <f t="shared" si="158"/>
        <v>SW</v>
      </c>
      <c r="O4137" s="1" t="s">
        <v>25</v>
      </c>
      <c r="P4137" s="3" t="s">
        <v>25</v>
      </c>
      <c r="Q4137" s="37">
        <v>0.15952625600000001</v>
      </c>
      <c r="R4137" t="str">
        <f t="shared" si="159"/>
        <v>mmol/mol</v>
      </c>
      <c r="S4137" s="13">
        <f t="shared" si="156"/>
        <v>-0.77463320000000002</v>
      </c>
    </row>
    <row r="4138" spans="1:19">
      <c r="A4138" s="18" t="s">
        <v>4106</v>
      </c>
      <c r="B4138" s="1" t="s">
        <v>4307</v>
      </c>
      <c r="C4138" s="1" t="s">
        <v>2635</v>
      </c>
      <c r="D4138" s="1" t="s">
        <v>5060</v>
      </c>
      <c r="E4138" s="1" t="s">
        <v>25</v>
      </c>
      <c r="F4138">
        <v>580</v>
      </c>
      <c r="G4138">
        <v>580</v>
      </c>
      <c r="H4138">
        <v>505.2</v>
      </c>
      <c r="I4138" s="1" t="s">
        <v>1528</v>
      </c>
      <c r="J4138" s="1" t="s">
        <v>1491</v>
      </c>
      <c r="K4138" s="1" t="s">
        <v>25</v>
      </c>
      <c r="L4138">
        <v>-0.79025409999999996</v>
      </c>
      <c r="M4138" t="str">
        <f t="shared" si="157"/>
        <v>44/40</v>
      </c>
      <c r="N4138" t="str">
        <f t="shared" si="158"/>
        <v>SW</v>
      </c>
      <c r="O4138" s="1" t="s">
        <v>25</v>
      </c>
      <c r="P4138" s="3" t="s">
        <v>25</v>
      </c>
      <c r="Q4138" s="37">
        <v>0.20008754400000001</v>
      </c>
      <c r="R4138" t="str">
        <f t="shared" si="159"/>
        <v>mmol/mol</v>
      </c>
      <c r="S4138" s="13">
        <f t="shared" si="156"/>
        <v>-0.79025409999999996</v>
      </c>
    </row>
    <row r="4139" spans="1:19">
      <c r="A4139" s="18" t="s">
        <v>4106</v>
      </c>
      <c r="B4139" s="1" t="s">
        <v>4308</v>
      </c>
      <c r="C4139" s="1" t="s">
        <v>2635</v>
      </c>
      <c r="D4139" s="1" t="s">
        <v>5060</v>
      </c>
      <c r="E4139" s="1" t="s">
        <v>25</v>
      </c>
      <c r="F4139">
        <v>580</v>
      </c>
      <c r="G4139">
        <v>580</v>
      </c>
      <c r="H4139">
        <v>518.4</v>
      </c>
      <c r="I4139" s="1" t="s">
        <v>1528</v>
      </c>
      <c r="J4139" s="1" t="s">
        <v>1491</v>
      </c>
      <c r="K4139" s="1" t="s">
        <v>25</v>
      </c>
      <c r="L4139">
        <v>-0.8011393</v>
      </c>
      <c r="M4139" t="str">
        <f t="shared" si="157"/>
        <v>44/40</v>
      </c>
      <c r="N4139" t="str">
        <f t="shared" si="158"/>
        <v>SW</v>
      </c>
      <c r="O4139" s="1" t="s">
        <v>25</v>
      </c>
      <c r="P4139" s="3" t="s">
        <v>25</v>
      </c>
      <c r="Q4139" s="37">
        <v>0.370403443</v>
      </c>
      <c r="R4139" t="str">
        <f t="shared" si="159"/>
        <v>mmol/mol</v>
      </c>
      <c r="S4139" s="13">
        <f t="shared" si="156"/>
        <v>-0.8011393</v>
      </c>
    </row>
    <row r="4140" spans="1:19">
      <c r="A4140" s="18" t="s">
        <v>4106</v>
      </c>
      <c r="B4140" s="1" t="s">
        <v>4309</v>
      </c>
      <c r="C4140" s="1" t="s">
        <v>5057</v>
      </c>
      <c r="D4140" s="1" t="s">
        <v>5061</v>
      </c>
      <c r="E4140" s="1" t="s">
        <v>25</v>
      </c>
      <c r="F4140">
        <v>580</v>
      </c>
      <c r="G4140">
        <v>580</v>
      </c>
      <c r="H4140">
        <v>0.2</v>
      </c>
      <c r="I4140" s="1" t="s">
        <v>1528</v>
      </c>
      <c r="J4140" s="1" t="s">
        <v>1491</v>
      </c>
      <c r="K4140" s="1" t="s">
        <v>25</v>
      </c>
      <c r="L4140">
        <v>-0.87836349999999996</v>
      </c>
      <c r="M4140" t="str">
        <f t="shared" si="157"/>
        <v>44/40</v>
      </c>
      <c r="N4140" t="str">
        <f t="shared" si="158"/>
        <v>SW</v>
      </c>
      <c r="O4140" s="1" t="s">
        <v>25</v>
      </c>
      <c r="P4140" s="3" t="s">
        <v>25</v>
      </c>
      <c r="Q4140" s="37" t="s">
        <v>25</v>
      </c>
      <c r="R4140" t="str">
        <f t="shared" si="159"/>
        <v>Na</v>
      </c>
      <c r="S4140" s="13">
        <f t="shared" ref="S4140:S4203" si="160">IF(NOT(N4140="SW"),L4140-1.88,L4140)</f>
        <v>-0.87836349999999996</v>
      </c>
    </row>
    <row r="4141" spans="1:19">
      <c r="A4141" s="18" t="s">
        <v>4106</v>
      </c>
      <c r="B4141" s="1" t="s">
        <v>4310</v>
      </c>
      <c r="C4141" s="1" t="s">
        <v>5057</v>
      </c>
      <c r="D4141" s="1" t="s">
        <v>5061</v>
      </c>
      <c r="E4141" s="1" t="s">
        <v>25</v>
      </c>
      <c r="F4141">
        <v>580</v>
      </c>
      <c r="G4141">
        <v>580</v>
      </c>
      <c r="H4141">
        <v>0.4</v>
      </c>
      <c r="I4141" s="1" t="s">
        <v>1528</v>
      </c>
      <c r="J4141" s="1" t="s">
        <v>1491</v>
      </c>
      <c r="K4141" s="1" t="s">
        <v>25</v>
      </c>
      <c r="L4141">
        <v>-0.9343631</v>
      </c>
      <c r="M4141" t="str">
        <f t="shared" si="157"/>
        <v>44/40</v>
      </c>
      <c r="N4141" t="str">
        <f t="shared" si="158"/>
        <v>SW</v>
      </c>
      <c r="O4141" s="1" t="s">
        <v>25</v>
      </c>
      <c r="P4141" s="3" t="s">
        <v>25</v>
      </c>
      <c r="Q4141" s="37" t="s">
        <v>25</v>
      </c>
      <c r="R4141" t="str">
        <f t="shared" si="159"/>
        <v>Na</v>
      </c>
      <c r="S4141" s="13">
        <f t="shared" si="160"/>
        <v>-0.9343631</v>
      </c>
    </row>
    <row r="4142" spans="1:19">
      <c r="A4142" s="18" t="s">
        <v>4106</v>
      </c>
      <c r="B4142" s="1" t="s">
        <v>4311</v>
      </c>
      <c r="C4142" s="1" t="s">
        <v>5057</v>
      </c>
      <c r="D4142" s="1" t="s">
        <v>5061</v>
      </c>
      <c r="E4142" s="1" t="s">
        <v>25</v>
      </c>
      <c r="F4142">
        <v>580</v>
      </c>
      <c r="G4142">
        <v>580</v>
      </c>
      <c r="H4142">
        <v>1</v>
      </c>
      <c r="I4142" s="1" t="s">
        <v>1528</v>
      </c>
      <c r="J4142" s="1" t="s">
        <v>1336</v>
      </c>
      <c r="K4142" s="1" t="s">
        <v>25</v>
      </c>
      <c r="L4142">
        <v>-0.79264120000000005</v>
      </c>
      <c r="M4142" t="str">
        <f t="shared" si="157"/>
        <v>44/40</v>
      </c>
      <c r="N4142" t="str">
        <f t="shared" si="158"/>
        <v>SW</v>
      </c>
      <c r="O4142" s="1" t="s">
        <v>25</v>
      </c>
      <c r="P4142" s="3" t="s">
        <v>25</v>
      </c>
      <c r="Q4142" s="37" t="s">
        <v>25</v>
      </c>
      <c r="R4142" t="str">
        <f t="shared" si="159"/>
        <v>Na</v>
      </c>
      <c r="S4142" s="13">
        <f t="shared" si="160"/>
        <v>-0.79264120000000005</v>
      </c>
    </row>
    <row r="4143" spans="1:19">
      <c r="A4143" s="18" t="s">
        <v>4106</v>
      </c>
      <c r="B4143" s="1" t="s">
        <v>4312</v>
      </c>
      <c r="C4143" s="1" t="s">
        <v>5057</v>
      </c>
      <c r="D4143" s="1" t="s">
        <v>5061</v>
      </c>
      <c r="E4143" s="1" t="s">
        <v>25</v>
      </c>
      <c r="F4143">
        <v>580</v>
      </c>
      <c r="G4143">
        <v>580</v>
      </c>
      <c r="H4143">
        <v>1.2</v>
      </c>
      <c r="I4143" s="1" t="s">
        <v>1528</v>
      </c>
      <c r="J4143" s="1" t="s">
        <v>1491</v>
      </c>
      <c r="K4143" s="1" t="s">
        <v>25</v>
      </c>
      <c r="L4143">
        <v>-0.8779555</v>
      </c>
      <c r="M4143" t="str">
        <f t="shared" si="157"/>
        <v>44/40</v>
      </c>
      <c r="N4143" t="str">
        <f t="shared" si="158"/>
        <v>SW</v>
      </c>
      <c r="O4143" s="1" t="s">
        <v>25</v>
      </c>
      <c r="P4143" s="3" t="s">
        <v>25</v>
      </c>
      <c r="Q4143" s="37" t="s">
        <v>25</v>
      </c>
      <c r="R4143" t="str">
        <f t="shared" si="159"/>
        <v>Na</v>
      </c>
      <c r="S4143" s="13">
        <f t="shared" si="160"/>
        <v>-0.8779555</v>
      </c>
    </row>
    <row r="4144" spans="1:19">
      <c r="A4144" s="18" t="s">
        <v>4106</v>
      </c>
      <c r="B4144" s="1" t="s">
        <v>4313</v>
      </c>
      <c r="C4144" s="1" t="s">
        <v>5057</v>
      </c>
      <c r="D4144" s="1" t="s">
        <v>5061</v>
      </c>
      <c r="E4144" s="1" t="s">
        <v>25</v>
      </c>
      <c r="F4144">
        <v>580</v>
      </c>
      <c r="G4144">
        <v>580</v>
      </c>
      <c r="H4144">
        <v>1.4</v>
      </c>
      <c r="I4144" s="1" t="s">
        <v>1528</v>
      </c>
      <c r="J4144" s="1" t="s">
        <v>1491</v>
      </c>
      <c r="K4144" s="1" t="s">
        <v>25</v>
      </c>
      <c r="L4144">
        <v>-0.90976760000000001</v>
      </c>
      <c r="M4144" t="str">
        <f t="shared" ref="M4144:M4207" si="161">IF(L4144="Na","Na","44/40")</f>
        <v>44/40</v>
      </c>
      <c r="N4144" t="str">
        <f t="shared" ref="N4144:N4207" si="162">IF(M4144="Na","Na","SW")</f>
        <v>SW</v>
      </c>
      <c r="O4144" s="1" t="s">
        <v>25</v>
      </c>
      <c r="P4144" s="3" t="s">
        <v>25</v>
      </c>
      <c r="Q4144" s="37" t="s">
        <v>25</v>
      </c>
      <c r="R4144" t="str">
        <f t="shared" si="159"/>
        <v>Na</v>
      </c>
      <c r="S4144" s="13">
        <f t="shared" si="160"/>
        <v>-0.90976760000000001</v>
      </c>
    </row>
    <row r="4145" spans="1:19">
      <c r="A4145" s="18" t="s">
        <v>4106</v>
      </c>
      <c r="B4145" s="1" t="s">
        <v>4314</v>
      </c>
      <c r="C4145" s="1" t="s">
        <v>5057</v>
      </c>
      <c r="D4145" s="1" t="s">
        <v>5061</v>
      </c>
      <c r="E4145" s="1" t="s">
        <v>25</v>
      </c>
      <c r="F4145">
        <v>580</v>
      </c>
      <c r="G4145">
        <v>580</v>
      </c>
      <c r="H4145">
        <v>1.6</v>
      </c>
      <c r="I4145" s="1" t="s">
        <v>1528</v>
      </c>
      <c r="J4145" s="1" t="s">
        <v>1491</v>
      </c>
      <c r="K4145" s="1" t="s">
        <v>25</v>
      </c>
      <c r="L4145">
        <v>-1.1109077999999999</v>
      </c>
      <c r="M4145" t="str">
        <f t="shared" si="161"/>
        <v>44/40</v>
      </c>
      <c r="N4145" t="str">
        <f t="shared" si="162"/>
        <v>SW</v>
      </c>
      <c r="O4145" s="1" t="s">
        <v>25</v>
      </c>
      <c r="P4145" s="3" t="s">
        <v>25</v>
      </c>
      <c r="Q4145" s="37" t="s">
        <v>25</v>
      </c>
      <c r="R4145" t="str">
        <f t="shared" si="159"/>
        <v>Na</v>
      </c>
      <c r="S4145" s="13">
        <f t="shared" si="160"/>
        <v>-1.1109077999999999</v>
      </c>
    </row>
    <row r="4146" spans="1:19">
      <c r="A4146" s="18" t="s">
        <v>4106</v>
      </c>
      <c r="B4146" s="1" t="s">
        <v>4315</v>
      </c>
      <c r="C4146" s="1" t="s">
        <v>5057</v>
      </c>
      <c r="D4146" s="1" t="s">
        <v>5061</v>
      </c>
      <c r="E4146" s="1" t="s">
        <v>25</v>
      </c>
      <c r="F4146">
        <v>580</v>
      </c>
      <c r="G4146">
        <v>580</v>
      </c>
      <c r="H4146">
        <v>1.8</v>
      </c>
      <c r="I4146" s="1" t="s">
        <v>1528</v>
      </c>
      <c r="J4146" s="1" t="s">
        <v>1491</v>
      </c>
      <c r="K4146" s="1" t="s">
        <v>25</v>
      </c>
      <c r="L4146">
        <v>-0.91588029999999998</v>
      </c>
      <c r="M4146" t="str">
        <f t="shared" si="161"/>
        <v>44/40</v>
      </c>
      <c r="N4146" t="str">
        <f t="shared" si="162"/>
        <v>SW</v>
      </c>
      <c r="O4146" s="1" t="s">
        <v>25</v>
      </c>
      <c r="P4146" s="3" t="s">
        <v>25</v>
      </c>
      <c r="Q4146" s="37" t="s">
        <v>25</v>
      </c>
      <c r="R4146" t="str">
        <f t="shared" si="159"/>
        <v>Na</v>
      </c>
      <c r="S4146" s="13">
        <f t="shared" si="160"/>
        <v>-0.91588029999999998</v>
      </c>
    </row>
    <row r="4147" spans="1:19">
      <c r="A4147" s="18" t="s">
        <v>4106</v>
      </c>
      <c r="B4147" s="1" t="s">
        <v>4316</v>
      </c>
      <c r="C4147" s="1" t="s">
        <v>5057</v>
      </c>
      <c r="D4147" s="1" t="s">
        <v>5061</v>
      </c>
      <c r="E4147" s="1" t="s">
        <v>25</v>
      </c>
      <c r="F4147">
        <v>580</v>
      </c>
      <c r="G4147">
        <v>580</v>
      </c>
      <c r="H4147">
        <v>2</v>
      </c>
      <c r="I4147" s="1" t="s">
        <v>1528</v>
      </c>
      <c r="J4147" s="1" t="s">
        <v>1491</v>
      </c>
      <c r="K4147" s="1" t="s">
        <v>25</v>
      </c>
      <c r="L4147">
        <v>-0.82164769999999998</v>
      </c>
      <c r="M4147" t="str">
        <f t="shared" si="161"/>
        <v>44/40</v>
      </c>
      <c r="N4147" t="str">
        <f t="shared" si="162"/>
        <v>SW</v>
      </c>
      <c r="O4147" s="1" t="s">
        <v>25</v>
      </c>
      <c r="P4147" s="3" t="s">
        <v>25</v>
      </c>
      <c r="Q4147" s="37" t="s">
        <v>25</v>
      </c>
      <c r="R4147" t="str">
        <f t="shared" si="159"/>
        <v>Na</v>
      </c>
      <c r="S4147" s="13">
        <f t="shared" si="160"/>
        <v>-0.82164769999999998</v>
      </c>
    </row>
    <row r="4148" spans="1:19">
      <c r="A4148" s="18" t="s">
        <v>4106</v>
      </c>
      <c r="B4148" s="1" t="s">
        <v>4317</v>
      </c>
      <c r="C4148" s="1" t="s">
        <v>5057</v>
      </c>
      <c r="D4148" s="1" t="s">
        <v>5061</v>
      </c>
      <c r="E4148" s="1" t="s">
        <v>25</v>
      </c>
      <c r="F4148">
        <v>580</v>
      </c>
      <c r="G4148">
        <v>580</v>
      </c>
      <c r="H4148">
        <v>21.2</v>
      </c>
      <c r="I4148" s="1" t="s">
        <v>1528</v>
      </c>
      <c r="J4148" s="1" t="s">
        <v>1336</v>
      </c>
      <c r="K4148" s="1" t="s">
        <v>25</v>
      </c>
      <c r="L4148">
        <v>-1.2680035999999999</v>
      </c>
      <c r="M4148" t="str">
        <f t="shared" si="161"/>
        <v>44/40</v>
      </c>
      <c r="N4148" t="str">
        <f t="shared" si="162"/>
        <v>SW</v>
      </c>
      <c r="O4148" s="1" t="s">
        <v>25</v>
      </c>
      <c r="P4148" s="3" t="s">
        <v>25</v>
      </c>
      <c r="Q4148" s="37" t="s">
        <v>25</v>
      </c>
      <c r="R4148" t="str">
        <f t="shared" si="159"/>
        <v>Na</v>
      </c>
      <c r="S4148" s="13">
        <f t="shared" si="160"/>
        <v>-1.2680035999999999</v>
      </c>
    </row>
    <row r="4149" spans="1:19">
      <c r="A4149" s="18" t="s">
        <v>4106</v>
      </c>
      <c r="B4149" s="1" t="s">
        <v>4318</v>
      </c>
      <c r="C4149" s="1" t="s">
        <v>5057</v>
      </c>
      <c r="D4149" s="1" t="s">
        <v>5061</v>
      </c>
      <c r="E4149" s="1" t="s">
        <v>25</v>
      </c>
      <c r="F4149">
        <v>580</v>
      </c>
      <c r="G4149">
        <v>580</v>
      </c>
      <c r="H4149">
        <v>28.8</v>
      </c>
      <c r="I4149" s="1" t="s">
        <v>1528</v>
      </c>
      <c r="J4149" s="1" t="s">
        <v>1336</v>
      </c>
      <c r="K4149" s="1" t="s">
        <v>25</v>
      </c>
      <c r="L4149">
        <v>-1.2880431999999999</v>
      </c>
      <c r="M4149" t="str">
        <f t="shared" si="161"/>
        <v>44/40</v>
      </c>
      <c r="N4149" t="str">
        <f t="shared" si="162"/>
        <v>SW</v>
      </c>
      <c r="O4149" s="1" t="s">
        <v>25</v>
      </c>
      <c r="P4149" s="3" t="s">
        <v>25</v>
      </c>
      <c r="Q4149" s="37" t="s">
        <v>25</v>
      </c>
      <c r="R4149" t="str">
        <f t="shared" si="159"/>
        <v>Na</v>
      </c>
      <c r="S4149" s="13">
        <f t="shared" si="160"/>
        <v>-1.2880431999999999</v>
      </c>
    </row>
    <row r="4150" spans="1:19">
      <c r="A4150" s="18" t="s">
        <v>4106</v>
      </c>
      <c r="B4150" s="1" t="s">
        <v>4318</v>
      </c>
      <c r="C4150" s="1" t="s">
        <v>5057</v>
      </c>
      <c r="D4150" s="1" t="s">
        <v>5061</v>
      </c>
      <c r="E4150" s="1" t="s">
        <v>25</v>
      </c>
      <c r="F4150">
        <v>580</v>
      </c>
      <c r="G4150">
        <v>580</v>
      </c>
      <c r="H4150">
        <v>28.8</v>
      </c>
      <c r="I4150" s="1" t="s">
        <v>1528</v>
      </c>
      <c r="J4150" s="1" t="s">
        <v>1336</v>
      </c>
      <c r="K4150" s="1" t="s">
        <v>25</v>
      </c>
      <c r="L4150">
        <v>-1.1454869999999999</v>
      </c>
      <c r="M4150" t="str">
        <f t="shared" si="161"/>
        <v>44/40</v>
      </c>
      <c r="N4150" t="str">
        <f t="shared" si="162"/>
        <v>SW</v>
      </c>
      <c r="O4150" s="1" t="s">
        <v>25</v>
      </c>
      <c r="P4150" s="3" t="s">
        <v>25</v>
      </c>
      <c r="Q4150" s="37" t="s">
        <v>25</v>
      </c>
      <c r="R4150" t="str">
        <f t="shared" si="159"/>
        <v>Na</v>
      </c>
      <c r="S4150" s="13">
        <f t="shared" si="160"/>
        <v>-1.1454869999999999</v>
      </c>
    </row>
    <row r="4151" spans="1:19">
      <c r="A4151" s="18" t="s">
        <v>4106</v>
      </c>
      <c r="B4151" s="1" t="s">
        <v>4319</v>
      </c>
      <c r="C4151" s="1" t="s">
        <v>5057</v>
      </c>
      <c r="D4151" s="1" t="s">
        <v>5061</v>
      </c>
      <c r="E4151" s="1" t="s">
        <v>25</v>
      </c>
      <c r="F4151">
        <v>580</v>
      </c>
      <c r="G4151">
        <v>580</v>
      </c>
      <c r="H4151">
        <v>35</v>
      </c>
      <c r="I4151" s="1" t="s">
        <v>1528</v>
      </c>
      <c r="J4151" s="1" t="s">
        <v>1336</v>
      </c>
      <c r="K4151" s="1" t="s">
        <v>25</v>
      </c>
      <c r="L4151">
        <v>-1.1348031999999999</v>
      </c>
      <c r="M4151" t="str">
        <f t="shared" si="161"/>
        <v>44/40</v>
      </c>
      <c r="N4151" t="str">
        <f t="shared" si="162"/>
        <v>SW</v>
      </c>
      <c r="O4151" s="1" t="s">
        <v>25</v>
      </c>
      <c r="P4151" s="3" t="s">
        <v>25</v>
      </c>
      <c r="Q4151" s="37" t="s">
        <v>25</v>
      </c>
      <c r="R4151" t="str">
        <f t="shared" si="159"/>
        <v>Na</v>
      </c>
      <c r="S4151" s="13">
        <f t="shared" si="160"/>
        <v>-1.1348031999999999</v>
      </c>
    </row>
    <row r="4152" spans="1:19">
      <c r="A4152" s="18" t="s">
        <v>4106</v>
      </c>
      <c r="B4152" s="1" t="s">
        <v>4320</v>
      </c>
      <c r="C4152" s="1" t="s">
        <v>5057</v>
      </c>
      <c r="D4152" s="1" t="s">
        <v>5061</v>
      </c>
      <c r="E4152" s="1" t="s">
        <v>25</v>
      </c>
      <c r="F4152">
        <v>580</v>
      </c>
      <c r="G4152">
        <v>580</v>
      </c>
      <c r="H4152">
        <v>40</v>
      </c>
      <c r="I4152" s="1" t="s">
        <v>1528</v>
      </c>
      <c r="J4152" s="1" t="s">
        <v>1336</v>
      </c>
      <c r="K4152" s="1" t="s">
        <v>25</v>
      </c>
      <c r="L4152">
        <v>-1.2153214999999999</v>
      </c>
      <c r="M4152" t="str">
        <f t="shared" si="161"/>
        <v>44/40</v>
      </c>
      <c r="N4152" t="str">
        <f t="shared" si="162"/>
        <v>SW</v>
      </c>
      <c r="O4152" s="1" t="s">
        <v>25</v>
      </c>
      <c r="P4152" s="3" t="s">
        <v>25</v>
      </c>
      <c r="Q4152" s="37" t="s">
        <v>25</v>
      </c>
      <c r="R4152" t="str">
        <f t="shared" si="159"/>
        <v>Na</v>
      </c>
      <c r="S4152" s="13">
        <f t="shared" si="160"/>
        <v>-1.2153214999999999</v>
      </c>
    </row>
    <row r="4153" spans="1:19">
      <c r="A4153" s="18" t="s">
        <v>4106</v>
      </c>
      <c r="B4153" s="1" t="s">
        <v>4321</v>
      </c>
      <c r="C4153" s="1" t="s">
        <v>5057</v>
      </c>
      <c r="D4153" s="1" t="s">
        <v>5061</v>
      </c>
      <c r="E4153" s="1" t="s">
        <v>25</v>
      </c>
      <c r="F4153">
        <v>580</v>
      </c>
      <c r="G4153">
        <v>580</v>
      </c>
      <c r="H4153">
        <v>41.6</v>
      </c>
      <c r="I4153" s="1" t="s">
        <v>1528</v>
      </c>
      <c r="J4153" s="1" t="s">
        <v>1336</v>
      </c>
      <c r="K4153" s="1" t="s">
        <v>25</v>
      </c>
      <c r="L4153">
        <v>-0.9810236</v>
      </c>
      <c r="M4153" t="str">
        <f t="shared" si="161"/>
        <v>44/40</v>
      </c>
      <c r="N4153" t="str">
        <f t="shared" si="162"/>
        <v>SW</v>
      </c>
      <c r="O4153" s="1" t="s">
        <v>25</v>
      </c>
      <c r="P4153" s="3" t="s">
        <v>25</v>
      </c>
      <c r="Q4153" s="37" t="s">
        <v>25</v>
      </c>
      <c r="R4153" t="str">
        <f t="shared" si="159"/>
        <v>Na</v>
      </c>
      <c r="S4153" s="13">
        <f t="shared" si="160"/>
        <v>-0.9810236</v>
      </c>
    </row>
    <row r="4154" spans="1:19">
      <c r="A4154" s="18" t="s">
        <v>4106</v>
      </c>
      <c r="B4154" s="1" t="s">
        <v>4322</v>
      </c>
      <c r="C4154" s="1" t="s">
        <v>5057</v>
      </c>
      <c r="D4154" s="1" t="s">
        <v>5061</v>
      </c>
      <c r="E4154" s="1" t="s">
        <v>25</v>
      </c>
      <c r="F4154">
        <v>580</v>
      </c>
      <c r="G4154">
        <v>580</v>
      </c>
      <c r="H4154">
        <v>45</v>
      </c>
      <c r="I4154" s="1" t="s">
        <v>1528</v>
      </c>
      <c r="J4154" s="1" t="s">
        <v>1336</v>
      </c>
      <c r="K4154" s="1" t="s">
        <v>25</v>
      </c>
      <c r="L4154">
        <v>-1.2667482000000001</v>
      </c>
      <c r="M4154" t="str">
        <f t="shared" si="161"/>
        <v>44/40</v>
      </c>
      <c r="N4154" t="str">
        <f t="shared" si="162"/>
        <v>SW</v>
      </c>
      <c r="O4154" s="1" t="s">
        <v>25</v>
      </c>
      <c r="P4154" s="3" t="s">
        <v>25</v>
      </c>
      <c r="Q4154" s="37" t="s">
        <v>25</v>
      </c>
      <c r="R4154" t="str">
        <f t="shared" si="159"/>
        <v>Na</v>
      </c>
      <c r="S4154" s="13">
        <f t="shared" si="160"/>
        <v>-1.2667482000000001</v>
      </c>
    </row>
    <row r="4155" spans="1:19">
      <c r="A4155" s="18" t="s">
        <v>4106</v>
      </c>
      <c r="B4155" s="1" t="s">
        <v>4323</v>
      </c>
      <c r="C4155" s="1" t="s">
        <v>5057</v>
      </c>
      <c r="D4155" s="1" t="s">
        <v>5061</v>
      </c>
      <c r="E4155" s="1" t="s">
        <v>25</v>
      </c>
      <c r="F4155">
        <v>580</v>
      </c>
      <c r="G4155">
        <v>580</v>
      </c>
      <c r="H4155">
        <v>46</v>
      </c>
      <c r="I4155" s="1" t="s">
        <v>1528</v>
      </c>
      <c r="J4155" s="1" t="s">
        <v>1336</v>
      </c>
      <c r="K4155" s="1" t="s">
        <v>25</v>
      </c>
      <c r="L4155">
        <v>-1.0236187000000001</v>
      </c>
      <c r="M4155" t="str">
        <f t="shared" si="161"/>
        <v>44/40</v>
      </c>
      <c r="N4155" t="str">
        <f t="shared" si="162"/>
        <v>SW</v>
      </c>
      <c r="O4155" s="1" t="s">
        <v>25</v>
      </c>
      <c r="P4155" s="3" t="s">
        <v>25</v>
      </c>
      <c r="Q4155" s="37" t="s">
        <v>25</v>
      </c>
      <c r="R4155" t="str">
        <f t="shared" si="159"/>
        <v>Na</v>
      </c>
      <c r="S4155" s="13">
        <f t="shared" si="160"/>
        <v>-1.0236187000000001</v>
      </c>
    </row>
    <row r="4156" spans="1:19">
      <c r="A4156" s="18" t="s">
        <v>4106</v>
      </c>
      <c r="B4156" s="1" t="s">
        <v>4323</v>
      </c>
      <c r="C4156" s="1" t="s">
        <v>5057</v>
      </c>
      <c r="D4156" s="1" t="s">
        <v>5061</v>
      </c>
      <c r="E4156" s="1" t="s">
        <v>25</v>
      </c>
      <c r="F4156">
        <v>580</v>
      </c>
      <c r="G4156">
        <v>580</v>
      </c>
      <c r="H4156">
        <v>46</v>
      </c>
      <c r="I4156" s="1" t="s">
        <v>1528</v>
      </c>
      <c r="J4156" s="1" t="s">
        <v>1336</v>
      </c>
      <c r="K4156" s="1" t="s">
        <v>25</v>
      </c>
      <c r="L4156">
        <v>-0.93140520000000004</v>
      </c>
      <c r="M4156" t="str">
        <f t="shared" si="161"/>
        <v>44/40</v>
      </c>
      <c r="N4156" t="str">
        <f t="shared" si="162"/>
        <v>SW</v>
      </c>
      <c r="O4156" s="1" t="s">
        <v>25</v>
      </c>
      <c r="P4156" s="3" t="s">
        <v>25</v>
      </c>
      <c r="Q4156" s="37" t="s">
        <v>25</v>
      </c>
      <c r="R4156" t="str">
        <f t="shared" si="159"/>
        <v>Na</v>
      </c>
      <c r="S4156" s="13">
        <f t="shared" si="160"/>
        <v>-0.93140520000000004</v>
      </c>
    </row>
    <row r="4157" spans="1:19">
      <c r="A4157" s="18" t="s">
        <v>4106</v>
      </c>
      <c r="B4157" s="1" t="s">
        <v>4324</v>
      </c>
      <c r="C4157" s="1" t="s">
        <v>5057</v>
      </c>
      <c r="D4157" s="1" t="s">
        <v>5061</v>
      </c>
      <c r="E4157" s="1" t="s">
        <v>25</v>
      </c>
      <c r="F4157">
        <v>580</v>
      </c>
      <c r="G4157">
        <v>580</v>
      </c>
      <c r="H4157">
        <v>46.7</v>
      </c>
      <c r="I4157" s="1" t="s">
        <v>1528</v>
      </c>
      <c r="J4157" s="1" t="s">
        <v>1336</v>
      </c>
      <c r="K4157" s="1" t="s">
        <v>25</v>
      </c>
      <c r="L4157">
        <v>-0.99342410000000003</v>
      </c>
      <c r="M4157" t="str">
        <f t="shared" si="161"/>
        <v>44/40</v>
      </c>
      <c r="N4157" t="str">
        <f t="shared" si="162"/>
        <v>SW</v>
      </c>
      <c r="O4157" s="1" t="s">
        <v>25</v>
      </c>
      <c r="P4157" s="3" t="s">
        <v>25</v>
      </c>
      <c r="Q4157" s="37" t="s">
        <v>25</v>
      </c>
      <c r="R4157" t="str">
        <f t="shared" si="159"/>
        <v>Na</v>
      </c>
      <c r="S4157" s="13">
        <f t="shared" si="160"/>
        <v>-0.99342410000000003</v>
      </c>
    </row>
    <row r="4158" spans="1:19">
      <c r="A4158" s="18" t="s">
        <v>4106</v>
      </c>
      <c r="B4158" s="1" t="s">
        <v>4325</v>
      </c>
      <c r="C4158" s="1" t="s">
        <v>5057</v>
      </c>
      <c r="D4158" s="1" t="s">
        <v>5061</v>
      </c>
      <c r="E4158" s="1" t="s">
        <v>25</v>
      </c>
      <c r="F4158">
        <v>580</v>
      </c>
      <c r="G4158">
        <v>580</v>
      </c>
      <c r="H4158">
        <v>49</v>
      </c>
      <c r="I4158" s="1" t="s">
        <v>1528</v>
      </c>
      <c r="J4158" s="1" t="s">
        <v>1336</v>
      </c>
      <c r="K4158" s="1" t="s">
        <v>25</v>
      </c>
      <c r="L4158">
        <v>-1.0813826</v>
      </c>
      <c r="M4158" t="str">
        <f t="shared" si="161"/>
        <v>44/40</v>
      </c>
      <c r="N4158" t="str">
        <f t="shared" si="162"/>
        <v>SW</v>
      </c>
      <c r="O4158" s="1" t="s">
        <v>25</v>
      </c>
      <c r="P4158" s="3" t="s">
        <v>25</v>
      </c>
      <c r="Q4158" s="37" t="s">
        <v>25</v>
      </c>
      <c r="R4158" t="str">
        <f t="shared" si="159"/>
        <v>Na</v>
      </c>
      <c r="S4158" s="13">
        <f t="shared" si="160"/>
        <v>-1.0813826</v>
      </c>
    </row>
    <row r="4159" spans="1:19">
      <c r="A4159" s="18" t="s">
        <v>4106</v>
      </c>
      <c r="B4159" s="1" t="s">
        <v>4326</v>
      </c>
      <c r="C4159" s="1" t="s">
        <v>5057</v>
      </c>
      <c r="D4159" s="1" t="s">
        <v>5061</v>
      </c>
      <c r="E4159" s="1" t="s">
        <v>25</v>
      </c>
      <c r="F4159">
        <v>580</v>
      </c>
      <c r="G4159">
        <v>580</v>
      </c>
      <c r="H4159">
        <v>49.8</v>
      </c>
      <c r="I4159" s="1" t="s">
        <v>1528</v>
      </c>
      <c r="J4159" s="1" t="s">
        <v>1336</v>
      </c>
      <c r="K4159" s="1" t="s">
        <v>25</v>
      </c>
      <c r="L4159">
        <v>-1.1813859</v>
      </c>
      <c r="M4159" t="str">
        <f t="shared" si="161"/>
        <v>44/40</v>
      </c>
      <c r="N4159" t="str">
        <f t="shared" si="162"/>
        <v>SW</v>
      </c>
      <c r="O4159" s="1" t="s">
        <v>25</v>
      </c>
      <c r="P4159" s="3" t="s">
        <v>25</v>
      </c>
      <c r="Q4159" s="37" t="s">
        <v>25</v>
      </c>
      <c r="R4159" t="str">
        <f t="shared" si="159"/>
        <v>Na</v>
      </c>
      <c r="S4159" s="13">
        <f t="shared" si="160"/>
        <v>-1.1813859</v>
      </c>
    </row>
    <row r="4160" spans="1:19">
      <c r="A4160" s="18" t="s">
        <v>4106</v>
      </c>
      <c r="B4160" s="1" t="s">
        <v>4327</v>
      </c>
      <c r="C4160" s="1" t="s">
        <v>5057</v>
      </c>
      <c r="D4160" s="1" t="s">
        <v>5061</v>
      </c>
      <c r="E4160" s="1" t="s">
        <v>25</v>
      </c>
      <c r="F4160">
        <v>580</v>
      </c>
      <c r="G4160">
        <v>580</v>
      </c>
      <c r="H4160">
        <v>52</v>
      </c>
      <c r="I4160" s="1" t="s">
        <v>1528</v>
      </c>
      <c r="J4160" s="1" t="s">
        <v>1336</v>
      </c>
      <c r="K4160" s="1" t="s">
        <v>25</v>
      </c>
      <c r="L4160">
        <v>-1.0836157</v>
      </c>
      <c r="M4160" t="str">
        <f t="shared" si="161"/>
        <v>44/40</v>
      </c>
      <c r="N4160" t="str">
        <f t="shared" si="162"/>
        <v>SW</v>
      </c>
      <c r="O4160" s="1" t="s">
        <v>25</v>
      </c>
      <c r="P4160" s="3" t="s">
        <v>25</v>
      </c>
      <c r="Q4160" s="37" t="s">
        <v>25</v>
      </c>
      <c r="R4160" t="str">
        <f t="shared" si="159"/>
        <v>Na</v>
      </c>
      <c r="S4160" s="13">
        <f t="shared" si="160"/>
        <v>-1.0836157</v>
      </c>
    </row>
    <row r="4161" spans="1:19">
      <c r="A4161" s="18" t="s">
        <v>4106</v>
      </c>
      <c r="B4161" s="1" t="s">
        <v>4328</v>
      </c>
      <c r="C4161" s="1" t="s">
        <v>5057</v>
      </c>
      <c r="D4161" s="1" t="s">
        <v>5061</v>
      </c>
      <c r="E4161" s="1" t="s">
        <v>25</v>
      </c>
      <c r="F4161">
        <v>580</v>
      </c>
      <c r="G4161">
        <v>580</v>
      </c>
      <c r="H4161">
        <v>53</v>
      </c>
      <c r="I4161" s="1" t="s">
        <v>1528</v>
      </c>
      <c r="J4161" s="1" t="s">
        <v>1336</v>
      </c>
      <c r="K4161" s="1" t="s">
        <v>25</v>
      </c>
      <c r="L4161">
        <v>-0.7795974</v>
      </c>
      <c r="M4161" t="str">
        <f t="shared" si="161"/>
        <v>44/40</v>
      </c>
      <c r="N4161" t="str">
        <f t="shared" si="162"/>
        <v>SW</v>
      </c>
      <c r="O4161" s="1" t="s">
        <v>25</v>
      </c>
      <c r="P4161" s="3" t="s">
        <v>25</v>
      </c>
      <c r="Q4161" s="37" t="s">
        <v>25</v>
      </c>
      <c r="R4161" t="str">
        <f t="shared" si="159"/>
        <v>Na</v>
      </c>
      <c r="S4161" s="13">
        <f t="shared" si="160"/>
        <v>-0.7795974</v>
      </c>
    </row>
    <row r="4162" spans="1:19">
      <c r="A4162" s="18" t="s">
        <v>4106</v>
      </c>
      <c r="B4162" s="1" t="s">
        <v>4329</v>
      </c>
      <c r="C4162" s="1" t="s">
        <v>5057</v>
      </c>
      <c r="D4162" s="1" t="s">
        <v>5061</v>
      </c>
      <c r="E4162" s="1" t="s">
        <v>25</v>
      </c>
      <c r="F4162">
        <v>580</v>
      </c>
      <c r="G4162">
        <v>580</v>
      </c>
      <c r="H4162">
        <v>66</v>
      </c>
      <c r="I4162" s="1" t="s">
        <v>1528</v>
      </c>
      <c r="J4162" s="1" t="s">
        <v>1336</v>
      </c>
      <c r="K4162" s="1" t="s">
        <v>25</v>
      </c>
      <c r="L4162">
        <v>-0.80850840000000002</v>
      </c>
      <c r="M4162" t="str">
        <f t="shared" si="161"/>
        <v>44/40</v>
      </c>
      <c r="N4162" t="str">
        <f t="shared" si="162"/>
        <v>SW</v>
      </c>
      <c r="O4162" s="1" t="s">
        <v>25</v>
      </c>
      <c r="P4162" s="3" t="s">
        <v>25</v>
      </c>
      <c r="Q4162" s="37" t="s">
        <v>25</v>
      </c>
      <c r="R4162" t="str">
        <f t="shared" si="159"/>
        <v>Na</v>
      </c>
      <c r="S4162" s="13">
        <f t="shared" si="160"/>
        <v>-0.80850840000000002</v>
      </c>
    </row>
    <row r="4163" spans="1:19">
      <c r="A4163" s="18" t="s">
        <v>4106</v>
      </c>
      <c r="B4163" s="1" t="s">
        <v>4330</v>
      </c>
      <c r="C4163" s="1" t="s">
        <v>5058</v>
      </c>
      <c r="D4163" s="1" t="s">
        <v>5062</v>
      </c>
      <c r="E4163" s="1" t="s">
        <v>25</v>
      </c>
      <c r="F4163">
        <v>580</v>
      </c>
      <c r="G4163">
        <v>580</v>
      </c>
      <c r="H4163">
        <v>0.1</v>
      </c>
      <c r="I4163" s="1" t="s">
        <v>1528</v>
      </c>
      <c r="J4163" s="1" t="s">
        <v>1336</v>
      </c>
      <c r="K4163" s="1" t="s">
        <v>25</v>
      </c>
      <c r="L4163">
        <v>-1.4783366</v>
      </c>
      <c r="M4163" t="str">
        <f t="shared" si="161"/>
        <v>44/40</v>
      </c>
      <c r="N4163" t="str">
        <f t="shared" si="162"/>
        <v>SW</v>
      </c>
      <c r="O4163" s="1" t="s">
        <v>25</v>
      </c>
      <c r="P4163" s="3" t="s">
        <v>25</v>
      </c>
      <c r="Q4163" s="37">
        <v>2.0128760190000001</v>
      </c>
      <c r="R4163" t="str">
        <f t="shared" si="159"/>
        <v>mmol/mol</v>
      </c>
      <c r="S4163" s="13">
        <f t="shared" si="160"/>
        <v>-1.4783366</v>
      </c>
    </row>
    <row r="4164" spans="1:19">
      <c r="A4164" s="18" t="s">
        <v>4106</v>
      </c>
      <c r="B4164" s="1" t="s">
        <v>4331</v>
      </c>
      <c r="C4164" s="1" t="s">
        <v>5058</v>
      </c>
      <c r="D4164" s="1" t="s">
        <v>5062</v>
      </c>
      <c r="E4164" s="1" t="s">
        <v>25</v>
      </c>
      <c r="F4164">
        <v>580</v>
      </c>
      <c r="G4164">
        <v>580</v>
      </c>
      <c r="H4164">
        <v>3.6</v>
      </c>
      <c r="I4164" s="1" t="s">
        <v>1528</v>
      </c>
      <c r="J4164" s="1" t="s">
        <v>1336</v>
      </c>
      <c r="K4164" s="1" t="s">
        <v>25</v>
      </c>
      <c r="L4164">
        <v>-1.5699384999999999</v>
      </c>
      <c r="M4164" t="str">
        <f t="shared" si="161"/>
        <v>44/40</v>
      </c>
      <c r="N4164" t="str">
        <f t="shared" si="162"/>
        <v>SW</v>
      </c>
      <c r="O4164" s="1" t="s">
        <v>25</v>
      </c>
      <c r="P4164" s="3" t="s">
        <v>25</v>
      </c>
      <c r="Q4164" s="37">
        <v>0.66814581699999998</v>
      </c>
      <c r="R4164" t="str">
        <f t="shared" si="159"/>
        <v>mmol/mol</v>
      </c>
      <c r="S4164" s="13">
        <f t="shared" si="160"/>
        <v>-1.5699384999999999</v>
      </c>
    </row>
    <row r="4165" spans="1:19">
      <c r="A4165" s="18" t="s">
        <v>4106</v>
      </c>
      <c r="B4165" s="1" t="s">
        <v>4332</v>
      </c>
      <c r="C4165" s="1" t="s">
        <v>5058</v>
      </c>
      <c r="D4165" s="1" t="s">
        <v>5062</v>
      </c>
      <c r="E4165" s="1" t="s">
        <v>25</v>
      </c>
      <c r="F4165">
        <v>580</v>
      </c>
      <c r="G4165">
        <v>580</v>
      </c>
      <c r="H4165">
        <v>5.4</v>
      </c>
      <c r="I4165" s="1" t="s">
        <v>1528</v>
      </c>
      <c r="J4165" s="1" t="s">
        <v>1336</v>
      </c>
      <c r="K4165" s="1" t="s">
        <v>25</v>
      </c>
      <c r="L4165">
        <v>-1.4035538999999999</v>
      </c>
      <c r="M4165" t="str">
        <f t="shared" si="161"/>
        <v>44/40</v>
      </c>
      <c r="N4165" t="str">
        <f t="shared" si="162"/>
        <v>SW</v>
      </c>
      <c r="O4165" s="1" t="s">
        <v>25</v>
      </c>
      <c r="P4165" s="3" t="s">
        <v>25</v>
      </c>
      <c r="Q4165" s="37">
        <v>0.41066039599999998</v>
      </c>
      <c r="R4165" t="str">
        <f t="shared" si="159"/>
        <v>mmol/mol</v>
      </c>
      <c r="S4165" s="13">
        <f t="shared" si="160"/>
        <v>-1.4035538999999999</v>
      </c>
    </row>
    <row r="4166" spans="1:19">
      <c r="A4166" s="18" t="s">
        <v>4106</v>
      </c>
      <c r="B4166" s="1" t="s">
        <v>4333</v>
      </c>
      <c r="C4166" s="1" t="s">
        <v>5058</v>
      </c>
      <c r="D4166" s="1" t="s">
        <v>5062</v>
      </c>
      <c r="E4166" s="1" t="s">
        <v>25</v>
      </c>
      <c r="F4166">
        <v>580</v>
      </c>
      <c r="G4166">
        <v>580</v>
      </c>
      <c r="H4166">
        <v>8.6</v>
      </c>
      <c r="I4166" s="1" t="s">
        <v>1528</v>
      </c>
      <c r="J4166" s="1" t="s">
        <v>1336</v>
      </c>
      <c r="K4166" s="1" t="s">
        <v>25</v>
      </c>
      <c r="L4166">
        <v>-1.717635</v>
      </c>
      <c r="M4166" t="str">
        <f t="shared" si="161"/>
        <v>44/40</v>
      </c>
      <c r="N4166" t="str">
        <f t="shared" si="162"/>
        <v>SW</v>
      </c>
      <c r="O4166" s="1" t="s">
        <v>25</v>
      </c>
      <c r="P4166" s="3" t="s">
        <v>25</v>
      </c>
      <c r="Q4166" s="37">
        <v>0.76685075199999997</v>
      </c>
      <c r="R4166" t="str">
        <f t="shared" si="159"/>
        <v>mmol/mol</v>
      </c>
      <c r="S4166" s="13">
        <f t="shared" si="160"/>
        <v>-1.717635</v>
      </c>
    </row>
    <row r="4167" spans="1:19">
      <c r="A4167" s="18" t="s">
        <v>4106</v>
      </c>
      <c r="B4167" s="1" t="s">
        <v>4334</v>
      </c>
      <c r="C4167" s="1" t="s">
        <v>5058</v>
      </c>
      <c r="D4167" s="1" t="s">
        <v>5062</v>
      </c>
      <c r="E4167" s="1" t="s">
        <v>25</v>
      </c>
      <c r="F4167">
        <v>580</v>
      </c>
      <c r="G4167">
        <v>580</v>
      </c>
      <c r="H4167">
        <v>11.3</v>
      </c>
      <c r="I4167" s="1" t="s">
        <v>1528</v>
      </c>
      <c r="J4167" s="1" t="s">
        <v>1336</v>
      </c>
      <c r="K4167" s="1" t="s">
        <v>25</v>
      </c>
      <c r="L4167">
        <v>-1.5196158</v>
      </c>
      <c r="M4167" t="str">
        <f t="shared" si="161"/>
        <v>44/40</v>
      </c>
      <c r="N4167" t="str">
        <f t="shared" si="162"/>
        <v>SW</v>
      </c>
      <c r="O4167" s="1" t="s">
        <v>25</v>
      </c>
      <c r="P4167" s="3" t="s">
        <v>25</v>
      </c>
      <c r="Q4167" s="37">
        <v>0.91602639200000002</v>
      </c>
      <c r="R4167" t="str">
        <f t="shared" si="159"/>
        <v>mmol/mol</v>
      </c>
      <c r="S4167" s="13">
        <f t="shared" si="160"/>
        <v>-1.5196158</v>
      </c>
    </row>
    <row r="4168" spans="1:19">
      <c r="A4168" s="18" t="s">
        <v>4106</v>
      </c>
      <c r="B4168" s="1" t="s">
        <v>4335</v>
      </c>
      <c r="C4168" s="1" t="s">
        <v>5058</v>
      </c>
      <c r="D4168" s="1" t="s">
        <v>5062</v>
      </c>
      <c r="E4168" s="1" t="s">
        <v>25</v>
      </c>
      <c r="F4168">
        <v>580</v>
      </c>
      <c r="G4168">
        <v>580</v>
      </c>
      <c r="H4168">
        <v>15.4</v>
      </c>
      <c r="I4168" s="1" t="s">
        <v>1528</v>
      </c>
      <c r="J4168" s="1" t="s">
        <v>1336</v>
      </c>
      <c r="K4168" s="1" t="s">
        <v>25</v>
      </c>
      <c r="L4168">
        <v>-1.3332835000000001</v>
      </c>
      <c r="M4168" t="str">
        <f t="shared" si="161"/>
        <v>44/40</v>
      </c>
      <c r="N4168" t="str">
        <f t="shared" si="162"/>
        <v>SW</v>
      </c>
      <c r="O4168" s="1" t="s">
        <v>25</v>
      </c>
      <c r="P4168" s="3" t="s">
        <v>25</v>
      </c>
      <c r="Q4168" s="37">
        <v>0.41614478100000002</v>
      </c>
      <c r="R4168" t="str">
        <f t="shared" si="159"/>
        <v>mmol/mol</v>
      </c>
      <c r="S4168" s="13">
        <f t="shared" si="160"/>
        <v>-1.3332835000000001</v>
      </c>
    </row>
    <row r="4169" spans="1:19">
      <c r="A4169" s="18" t="s">
        <v>4106</v>
      </c>
      <c r="B4169" s="1" t="s">
        <v>4336</v>
      </c>
      <c r="C4169" s="1" t="s">
        <v>5058</v>
      </c>
      <c r="D4169" s="1" t="s">
        <v>5062</v>
      </c>
      <c r="E4169" s="1" t="s">
        <v>25</v>
      </c>
      <c r="F4169">
        <v>580</v>
      </c>
      <c r="G4169">
        <v>580</v>
      </c>
      <c r="H4169">
        <v>18.899999999999999</v>
      </c>
      <c r="I4169" s="1" t="s">
        <v>1528</v>
      </c>
      <c r="J4169" s="1" t="s">
        <v>1336</v>
      </c>
      <c r="K4169" s="1" t="s">
        <v>25</v>
      </c>
      <c r="L4169">
        <v>-1.2501180999999999</v>
      </c>
      <c r="M4169" t="str">
        <f t="shared" si="161"/>
        <v>44/40</v>
      </c>
      <c r="N4169" t="str">
        <f t="shared" si="162"/>
        <v>SW</v>
      </c>
      <c r="O4169" s="1" t="s">
        <v>25</v>
      </c>
      <c r="P4169" s="3" t="s">
        <v>25</v>
      </c>
      <c r="Q4169" s="37">
        <v>0.43086060799999998</v>
      </c>
      <c r="R4169" t="str">
        <f t="shared" si="159"/>
        <v>mmol/mol</v>
      </c>
      <c r="S4169" s="13">
        <f t="shared" si="160"/>
        <v>-1.2501180999999999</v>
      </c>
    </row>
    <row r="4170" spans="1:19">
      <c r="A4170" s="18" t="s">
        <v>4106</v>
      </c>
      <c r="B4170" s="1" t="s">
        <v>4337</v>
      </c>
      <c r="C4170" s="1" t="s">
        <v>5058</v>
      </c>
      <c r="D4170" s="1" t="s">
        <v>5062</v>
      </c>
      <c r="E4170" s="1" t="s">
        <v>25</v>
      </c>
      <c r="F4170">
        <v>580</v>
      </c>
      <c r="G4170">
        <v>580</v>
      </c>
      <c r="H4170">
        <v>23.1</v>
      </c>
      <c r="I4170" s="1" t="s">
        <v>1528</v>
      </c>
      <c r="J4170" s="1" t="s">
        <v>1336</v>
      </c>
      <c r="K4170" s="1" t="s">
        <v>25</v>
      </c>
      <c r="L4170">
        <v>-1.3453857</v>
      </c>
      <c r="M4170" t="str">
        <f t="shared" si="161"/>
        <v>44/40</v>
      </c>
      <c r="N4170" t="str">
        <f t="shared" si="162"/>
        <v>SW</v>
      </c>
      <c r="O4170" s="1" t="s">
        <v>25</v>
      </c>
      <c r="P4170" s="3" t="s">
        <v>25</v>
      </c>
      <c r="Q4170" s="37">
        <v>0.53644085500000005</v>
      </c>
      <c r="R4170" t="str">
        <f t="shared" si="159"/>
        <v>mmol/mol</v>
      </c>
      <c r="S4170" s="13">
        <f t="shared" si="160"/>
        <v>-1.3453857</v>
      </c>
    </row>
    <row r="4171" spans="1:19">
      <c r="A4171" s="18" t="s">
        <v>4106</v>
      </c>
      <c r="B4171" s="1" t="s">
        <v>4338</v>
      </c>
      <c r="C4171" s="1" t="s">
        <v>5058</v>
      </c>
      <c r="D4171" s="1" t="s">
        <v>5062</v>
      </c>
      <c r="E4171" s="1" t="s">
        <v>25</v>
      </c>
      <c r="F4171">
        <v>580</v>
      </c>
      <c r="G4171">
        <v>580</v>
      </c>
      <c r="H4171">
        <v>39.1</v>
      </c>
      <c r="I4171" s="1" t="s">
        <v>1528</v>
      </c>
      <c r="J4171" s="1" t="s">
        <v>1336</v>
      </c>
      <c r="K4171" s="1" t="s">
        <v>25</v>
      </c>
      <c r="L4171">
        <v>-1.53807</v>
      </c>
      <c r="M4171" t="str">
        <f t="shared" si="161"/>
        <v>44/40</v>
      </c>
      <c r="N4171" t="str">
        <f t="shared" si="162"/>
        <v>SW</v>
      </c>
      <c r="O4171" s="1" t="s">
        <v>25</v>
      </c>
      <c r="P4171" s="3" t="s">
        <v>25</v>
      </c>
      <c r="Q4171" s="37">
        <v>1.678342177</v>
      </c>
      <c r="R4171" t="str">
        <f t="shared" si="159"/>
        <v>mmol/mol</v>
      </c>
      <c r="S4171" s="13">
        <f t="shared" si="160"/>
        <v>-1.53807</v>
      </c>
    </row>
    <row r="4172" spans="1:19">
      <c r="A4172" s="18" t="s">
        <v>4106</v>
      </c>
      <c r="B4172" s="1" t="s">
        <v>4339</v>
      </c>
      <c r="C4172" s="1" t="s">
        <v>5058</v>
      </c>
      <c r="D4172" s="1" t="s">
        <v>5062</v>
      </c>
      <c r="E4172" s="1" t="s">
        <v>25</v>
      </c>
      <c r="F4172">
        <v>580</v>
      </c>
      <c r="G4172">
        <v>580</v>
      </c>
      <c r="H4172">
        <v>41.7</v>
      </c>
      <c r="I4172" s="1" t="s">
        <v>1528</v>
      </c>
      <c r="J4172" s="1" t="s">
        <v>1336</v>
      </c>
      <c r="K4172" s="1" t="s">
        <v>25</v>
      </c>
      <c r="L4172" t="s">
        <v>25</v>
      </c>
      <c r="M4172" t="str">
        <f t="shared" si="161"/>
        <v>Na</v>
      </c>
      <c r="N4172" t="str">
        <f t="shared" si="162"/>
        <v>Na</v>
      </c>
      <c r="O4172" s="1" t="s">
        <v>25</v>
      </c>
      <c r="P4172" s="3" t="s">
        <v>25</v>
      </c>
      <c r="Q4172" s="37">
        <v>1.7830233360000001</v>
      </c>
      <c r="R4172" t="str">
        <f t="shared" si="159"/>
        <v>mmol/mol</v>
      </c>
      <c r="S4172" s="13" t="s">
        <v>25</v>
      </c>
    </row>
    <row r="4173" spans="1:19">
      <c r="A4173" s="18" t="s">
        <v>4106</v>
      </c>
      <c r="B4173" s="1" t="s">
        <v>4340</v>
      </c>
      <c r="C4173" s="1" t="s">
        <v>5058</v>
      </c>
      <c r="D4173" s="1" t="s">
        <v>5062</v>
      </c>
      <c r="E4173" s="1" t="s">
        <v>25</v>
      </c>
      <c r="F4173">
        <v>580</v>
      </c>
      <c r="G4173">
        <v>580</v>
      </c>
      <c r="H4173">
        <v>64.099999999999994</v>
      </c>
      <c r="I4173" s="1" t="s">
        <v>1528</v>
      </c>
      <c r="J4173" s="1" t="s">
        <v>1336</v>
      </c>
      <c r="K4173" s="1" t="s">
        <v>25</v>
      </c>
      <c r="L4173">
        <v>-1.6421287</v>
      </c>
      <c r="M4173" t="str">
        <f t="shared" si="161"/>
        <v>44/40</v>
      </c>
      <c r="N4173" t="str">
        <f t="shared" si="162"/>
        <v>SW</v>
      </c>
      <c r="O4173" s="1" t="s">
        <v>25</v>
      </c>
      <c r="P4173" s="3" t="s">
        <v>25</v>
      </c>
      <c r="Q4173" s="37">
        <v>1.43877184</v>
      </c>
      <c r="R4173" t="str">
        <f t="shared" si="159"/>
        <v>mmol/mol</v>
      </c>
      <c r="S4173" s="13">
        <f t="shared" si="160"/>
        <v>-1.6421287</v>
      </c>
    </row>
    <row r="4174" spans="1:19">
      <c r="A4174" s="18" t="s">
        <v>4106</v>
      </c>
      <c r="B4174" s="1" t="s">
        <v>4341</v>
      </c>
      <c r="C4174" s="1" t="s">
        <v>5058</v>
      </c>
      <c r="D4174" s="1" t="s">
        <v>5062</v>
      </c>
      <c r="E4174" s="1" t="s">
        <v>25</v>
      </c>
      <c r="F4174">
        <v>580</v>
      </c>
      <c r="G4174">
        <v>580</v>
      </c>
      <c r="H4174">
        <v>66.900000000000006</v>
      </c>
      <c r="I4174" s="1" t="s">
        <v>1528</v>
      </c>
      <c r="J4174" s="1" t="s">
        <v>1336</v>
      </c>
      <c r="K4174" s="1" t="s">
        <v>25</v>
      </c>
      <c r="L4174">
        <v>-1.5063853</v>
      </c>
      <c r="M4174" t="str">
        <f t="shared" si="161"/>
        <v>44/40</v>
      </c>
      <c r="N4174" t="str">
        <f t="shared" si="162"/>
        <v>SW</v>
      </c>
      <c r="O4174" s="1" t="s">
        <v>25</v>
      </c>
      <c r="P4174" s="3" t="s">
        <v>25</v>
      </c>
      <c r="Q4174" s="37">
        <v>1.2511603689999999</v>
      </c>
      <c r="R4174" t="str">
        <f t="shared" si="159"/>
        <v>mmol/mol</v>
      </c>
      <c r="S4174" s="13">
        <f t="shared" si="160"/>
        <v>-1.5063853</v>
      </c>
    </row>
    <row r="4175" spans="1:19">
      <c r="A4175" s="18" t="s">
        <v>4106</v>
      </c>
      <c r="B4175" s="1" t="s">
        <v>4342</v>
      </c>
      <c r="C4175" s="1" t="s">
        <v>5058</v>
      </c>
      <c r="D4175" s="1" t="s">
        <v>5062</v>
      </c>
      <c r="E4175" s="1" t="s">
        <v>25</v>
      </c>
      <c r="F4175">
        <v>580</v>
      </c>
      <c r="G4175">
        <v>580</v>
      </c>
      <c r="H4175">
        <v>68.8</v>
      </c>
      <c r="I4175" s="1" t="s">
        <v>1528</v>
      </c>
      <c r="J4175" s="1" t="s">
        <v>1336</v>
      </c>
      <c r="K4175" s="1" t="s">
        <v>25</v>
      </c>
      <c r="L4175">
        <v>-1.5517453999999999</v>
      </c>
      <c r="M4175" t="str">
        <f t="shared" si="161"/>
        <v>44/40</v>
      </c>
      <c r="N4175" t="str">
        <f t="shared" si="162"/>
        <v>SW</v>
      </c>
      <c r="O4175" s="1" t="s">
        <v>25</v>
      </c>
      <c r="P4175" s="3" t="s">
        <v>25</v>
      </c>
      <c r="Q4175" s="37">
        <v>1.2181817850000001</v>
      </c>
      <c r="R4175" t="str">
        <f t="shared" si="159"/>
        <v>mmol/mol</v>
      </c>
      <c r="S4175" s="13">
        <f t="shared" si="160"/>
        <v>-1.5517453999999999</v>
      </c>
    </row>
    <row r="4176" spans="1:19">
      <c r="A4176" s="18" t="s">
        <v>4106</v>
      </c>
      <c r="B4176" s="1" t="s">
        <v>4343</v>
      </c>
      <c r="C4176" s="1" t="s">
        <v>5058</v>
      </c>
      <c r="D4176" s="1" t="s">
        <v>5062</v>
      </c>
      <c r="E4176" s="1" t="s">
        <v>25</v>
      </c>
      <c r="F4176">
        <v>580</v>
      </c>
      <c r="G4176">
        <v>580</v>
      </c>
      <c r="H4176">
        <v>105.9</v>
      </c>
      <c r="I4176" s="1" t="s">
        <v>1528</v>
      </c>
      <c r="J4176" s="1" t="s">
        <v>1336</v>
      </c>
      <c r="K4176" s="1" t="s">
        <v>25</v>
      </c>
      <c r="L4176">
        <v>-1.5294447</v>
      </c>
      <c r="M4176" t="str">
        <f t="shared" si="161"/>
        <v>44/40</v>
      </c>
      <c r="N4176" t="str">
        <f t="shared" si="162"/>
        <v>SW</v>
      </c>
      <c r="O4176" s="1" t="s">
        <v>25</v>
      </c>
      <c r="P4176" s="3" t="s">
        <v>25</v>
      </c>
      <c r="Q4176" s="37">
        <v>1.858294128</v>
      </c>
      <c r="R4176" t="str">
        <f t="shared" si="159"/>
        <v>mmol/mol</v>
      </c>
      <c r="S4176" s="13">
        <f t="shared" si="160"/>
        <v>-1.5294447</v>
      </c>
    </row>
    <row r="4177" spans="1:19">
      <c r="A4177" s="18" t="s">
        <v>4106</v>
      </c>
      <c r="B4177" s="1" t="s">
        <v>4344</v>
      </c>
      <c r="C4177" s="1" t="s">
        <v>5058</v>
      </c>
      <c r="D4177" s="1" t="s">
        <v>5062</v>
      </c>
      <c r="E4177" s="1" t="s">
        <v>25</v>
      </c>
      <c r="F4177">
        <v>580</v>
      </c>
      <c r="G4177">
        <v>580</v>
      </c>
      <c r="H4177">
        <v>109.1</v>
      </c>
      <c r="I4177" s="1" t="s">
        <v>1528</v>
      </c>
      <c r="J4177" s="1" t="s">
        <v>1336</v>
      </c>
      <c r="K4177" s="1" t="s">
        <v>25</v>
      </c>
      <c r="L4177">
        <v>-1.3442582000000001</v>
      </c>
      <c r="M4177" t="str">
        <f t="shared" si="161"/>
        <v>44/40</v>
      </c>
      <c r="N4177" t="str">
        <f t="shared" si="162"/>
        <v>SW</v>
      </c>
      <c r="O4177" s="1" t="s">
        <v>25</v>
      </c>
      <c r="P4177" s="3" t="s">
        <v>25</v>
      </c>
      <c r="Q4177" s="37">
        <v>1.742265161</v>
      </c>
      <c r="R4177" t="str">
        <f t="shared" si="159"/>
        <v>mmol/mol</v>
      </c>
      <c r="S4177" s="13">
        <f t="shared" si="160"/>
        <v>-1.3442582000000001</v>
      </c>
    </row>
    <row r="4178" spans="1:19">
      <c r="A4178" s="18" t="s">
        <v>4106</v>
      </c>
      <c r="B4178" s="1" t="s">
        <v>4345</v>
      </c>
      <c r="C4178" s="1" t="s">
        <v>5058</v>
      </c>
      <c r="D4178" s="1" t="s">
        <v>5062</v>
      </c>
      <c r="E4178" s="1" t="s">
        <v>25</v>
      </c>
      <c r="F4178">
        <v>580</v>
      </c>
      <c r="G4178">
        <v>580</v>
      </c>
      <c r="H4178">
        <v>112.2</v>
      </c>
      <c r="I4178" s="1" t="s">
        <v>1528</v>
      </c>
      <c r="J4178" s="1" t="s">
        <v>1336</v>
      </c>
      <c r="K4178" s="1" t="s">
        <v>25</v>
      </c>
      <c r="L4178">
        <v>-1.7249075</v>
      </c>
      <c r="M4178" t="str">
        <f t="shared" si="161"/>
        <v>44/40</v>
      </c>
      <c r="N4178" t="str">
        <f t="shared" si="162"/>
        <v>SW</v>
      </c>
      <c r="O4178" s="1" t="s">
        <v>25</v>
      </c>
      <c r="P4178" s="3" t="s">
        <v>25</v>
      </c>
      <c r="Q4178" s="37">
        <v>3.412159779</v>
      </c>
      <c r="R4178" t="str">
        <f t="shared" si="159"/>
        <v>mmol/mol</v>
      </c>
      <c r="S4178" s="13">
        <f t="shared" si="160"/>
        <v>-1.7249075</v>
      </c>
    </row>
    <row r="4179" spans="1:19">
      <c r="A4179" s="18" t="s">
        <v>4106</v>
      </c>
      <c r="B4179" s="1" t="s">
        <v>4346</v>
      </c>
      <c r="C4179" s="1" t="s">
        <v>5058</v>
      </c>
      <c r="D4179" s="1" t="s">
        <v>5062</v>
      </c>
      <c r="E4179" s="1" t="s">
        <v>25</v>
      </c>
      <c r="F4179">
        <v>580</v>
      </c>
      <c r="G4179">
        <v>580</v>
      </c>
      <c r="H4179">
        <v>117.2</v>
      </c>
      <c r="I4179" s="1" t="s">
        <v>1528</v>
      </c>
      <c r="J4179" s="1" t="s">
        <v>1336</v>
      </c>
      <c r="K4179" s="1" t="s">
        <v>25</v>
      </c>
      <c r="L4179">
        <v>-1.7823450999999999</v>
      </c>
      <c r="M4179" t="str">
        <f t="shared" si="161"/>
        <v>44/40</v>
      </c>
      <c r="N4179" t="str">
        <f t="shared" si="162"/>
        <v>SW</v>
      </c>
      <c r="O4179" s="1" t="s">
        <v>25</v>
      </c>
      <c r="P4179" s="3" t="s">
        <v>25</v>
      </c>
      <c r="Q4179" s="37">
        <v>3.1300814560000001</v>
      </c>
      <c r="R4179" t="str">
        <f t="shared" si="159"/>
        <v>mmol/mol</v>
      </c>
      <c r="S4179" s="13">
        <f t="shared" si="160"/>
        <v>-1.7823450999999999</v>
      </c>
    </row>
    <row r="4180" spans="1:19">
      <c r="A4180" s="18" t="s">
        <v>4106</v>
      </c>
      <c r="B4180" s="1" t="s">
        <v>4347</v>
      </c>
      <c r="C4180" s="1" t="s">
        <v>5058</v>
      </c>
      <c r="D4180" s="1" t="s">
        <v>5062</v>
      </c>
      <c r="E4180" s="1" t="s">
        <v>25</v>
      </c>
      <c r="F4180">
        <v>580</v>
      </c>
      <c r="G4180">
        <v>580</v>
      </c>
      <c r="H4180">
        <v>120.2</v>
      </c>
      <c r="I4180" s="1" t="s">
        <v>1528</v>
      </c>
      <c r="J4180" s="1" t="s">
        <v>1336</v>
      </c>
      <c r="K4180" s="1" t="s">
        <v>25</v>
      </c>
      <c r="L4180">
        <v>-1.8522406</v>
      </c>
      <c r="M4180" t="str">
        <f t="shared" si="161"/>
        <v>44/40</v>
      </c>
      <c r="N4180" t="str">
        <f t="shared" si="162"/>
        <v>SW</v>
      </c>
      <c r="O4180" s="1" t="s">
        <v>25</v>
      </c>
      <c r="P4180" s="3" t="s">
        <v>25</v>
      </c>
      <c r="Q4180" s="37">
        <v>3.7943568330000002</v>
      </c>
      <c r="R4180" t="str">
        <f t="shared" si="159"/>
        <v>mmol/mol</v>
      </c>
      <c r="S4180" s="13">
        <f t="shared" si="160"/>
        <v>-1.8522406</v>
      </c>
    </row>
    <row r="4181" spans="1:19">
      <c r="A4181" s="18" t="s">
        <v>4106</v>
      </c>
      <c r="B4181" s="1" t="s">
        <v>4348</v>
      </c>
      <c r="C4181" s="1" t="s">
        <v>5058</v>
      </c>
      <c r="D4181" s="1" t="s">
        <v>5062</v>
      </c>
      <c r="E4181" s="1" t="s">
        <v>25</v>
      </c>
      <c r="F4181">
        <v>580</v>
      </c>
      <c r="G4181">
        <v>580</v>
      </c>
      <c r="H4181">
        <v>123.3</v>
      </c>
      <c r="I4181" s="1" t="s">
        <v>1528</v>
      </c>
      <c r="J4181" s="1" t="s">
        <v>1336</v>
      </c>
      <c r="K4181" s="1" t="s">
        <v>25</v>
      </c>
      <c r="L4181">
        <v>-1.7729086000000001</v>
      </c>
      <c r="M4181" t="str">
        <f t="shared" si="161"/>
        <v>44/40</v>
      </c>
      <c r="N4181" t="str">
        <f t="shared" si="162"/>
        <v>SW</v>
      </c>
      <c r="O4181" s="1" t="s">
        <v>25</v>
      </c>
      <c r="P4181" s="3" t="s">
        <v>25</v>
      </c>
      <c r="Q4181" s="37">
        <v>4.0906709980000002</v>
      </c>
      <c r="R4181" t="str">
        <f t="shared" si="159"/>
        <v>mmol/mol</v>
      </c>
      <c r="S4181" s="13">
        <f t="shared" si="160"/>
        <v>-1.7729086000000001</v>
      </c>
    </row>
    <row r="4182" spans="1:19">
      <c r="A4182" s="18" t="s">
        <v>4106</v>
      </c>
      <c r="B4182" s="1" t="s">
        <v>4349</v>
      </c>
      <c r="C4182" s="1" t="s">
        <v>5058</v>
      </c>
      <c r="D4182" s="1" t="s">
        <v>5062</v>
      </c>
      <c r="E4182" s="1" t="s">
        <v>25</v>
      </c>
      <c r="F4182">
        <v>580</v>
      </c>
      <c r="G4182">
        <v>580</v>
      </c>
      <c r="H4182">
        <v>127.5</v>
      </c>
      <c r="I4182" s="1" t="s">
        <v>1528</v>
      </c>
      <c r="J4182" s="1" t="s">
        <v>1336</v>
      </c>
      <c r="K4182" s="1" t="s">
        <v>25</v>
      </c>
      <c r="L4182">
        <v>-1.6897127000000001</v>
      </c>
      <c r="M4182" t="str">
        <f t="shared" si="161"/>
        <v>44/40</v>
      </c>
      <c r="N4182" t="str">
        <f t="shared" si="162"/>
        <v>SW</v>
      </c>
      <c r="O4182" s="1" t="s">
        <v>25</v>
      </c>
      <c r="P4182" s="3" t="s">
        <v>25</v>
      </c>
      <c r="Q4182" s="37">
        <v>4.5906788939999998</v>
      </c>
      <c r="R4182" t="str">
        <f t="shared" si="159"/>
        <v>mmol/mol</v>
      </c>
      <c r="S4182" s="13">
        <f t="shared" si="160"/>
        <v>-1.6897127000000001</v>
      </c>
    </row>
    <row r="4183" spans="1:19">
      <c r="A4183" s="18" t="s">
        <v>4106</v>
      </c>
      <c r="B4183" s="1" t="s">
        <v>4350</v>
      </c>
      <c r="C4183" s="1" t="s">
        <v>5058</v>
      </c>
      <c r="D4183" s="1" t="s">
        <v>5062</v>
      </c>
      <c r="E4183" s="1" t="s">
        <v>25</v>
      </c>
      <c r="F4183">
        <v>580</v>
      </c>
      <c r="G4183">
        <v>580</v>
      </c>
      <c r="H4183">
        <v>132.5</v>
      </c>
      <c r="I4183" s="1" t="s">
        <v>1528</v>
      </c>
      <c r="J4183" s="1" t="s">
        <v>1336</v>
      </c>
      <c r="K4183" s="1" t="s">
        <v>25</v>
      </c>
      <c r="L4183">
        <v>-1.6990734000000001</v>
      </c>
      <c r="M4183" t="str">
        <f t="shared" si="161"/>
        <v>44/40</v>
      </c>
      <c r="N4183" t="str">
        <f t="shared" si="162"/>
        <v>SW</v>
      </c>
      <c r="O4183" s="1" t="s">
        <v>25</v>
      </c>
      <c r="P4183" s="3" t="s">
        <v>25</v>
      </c>
      <c r="Q4183" s="37">
        <v>4.0685475169999998</v>
      </c>
      <c r="R4183" t="str">
        <f t="shared" si="159"/>
        <v>mmol/mol</v>
      </c>
      <c r="S4183" s="13">
        <f t="shared" si="160"/>
        <v>-1.6990734000000001</v>
      </c>
    </row>
    <row r="4184" spans="1:19">
      <c r="A4184" s="18" t="s">
        <v>4106</v>
      </c>
      <c r="B4184" s="1" t="s">
        <v>4351</v>
      </c>
      <c r="C4184" s="1" t="s">
        <v>5058</v>
      </c>
      <c r="D4184" s="1" t="s">
        <v>5062</v>
      </c>
      <c r="E4184" s="1" t="s">
        <v>25</v>
      </c>
      <c r="F4184">
        <v>580</v>
      </c>
      <c r="G4184">
        <v>580</v>
      </c>
      <c r="H4184">
        <v>135.19999999999999</v>
      </c>
      <c r="I4184" s="1" t="s">
        <v>1528</v>
      </c>
      <c r="J4184" s="1" t="s">
        <v>1336</v>
      </c>
      <c r="K4184" s="1" t="s">
        <v>25</v>
      </c>
      <c r="L4184">
        <v>-1.6341266000000001</v>
      </c>
      <c r="M4184" t="str">
        <f t="shared" si="161"/>
        <v>44/40</v>
      </c>
      <c r="N4184" t="str">
        <f t="shared" si="162"/>
        <v>SW</v>
      </c>
      <c r="O4184" s="1" t="s">
        <v>25</v>
      </c>
      <c r="P4184" s="3" t="s">
        <v>25</v>
      </c>
      <c r="Q4184" s="37">
        <v>2.1469312899999999</v>
      </c>
      <c r="R4184" t="str">
        <f t="shared" si="159"/>
        <v>mmol/mol</v>
      </c>
      <c r="S4184" s="13">
        <f t="shared" si="160"/>
        <v>-1.6341266000000001</v>
      </c>
    </row>
    <row r="4185" spans="1:19">
      <c r="A4185" s="18" t="s">
        <v>4106</v>
      </c>
      <c r="B4185" s="1" t="s">
        <v>4352</v>
      </c>
      <c r="C4185" s="1" t="s">
        <v>5058</v>
      </c>
      <c r="D4185" s="1" t="s">
        <v>5062</v>
      </c>
      <c r="E4185" s="1" t="s">
        <v>25</v>
      </c>
      <c r="F4185">
        <v>580</v>
      </c>
      <c r="G4185">
        <v>580</v>
      </c>
      <c r="H4185">
        <v>137.19999999999999</v>
      </c>
      <c r="I4185" s="1" t="s">
        <v>1528</v>
      </c>
      <c r="J4185" s="1" t="s">
        <v>1336</v>
      </c>
      <c r="K4185" s="1" t="s">
        <v>25</v>
      </c>
      <c r="L4185">
        <v>-1.6312420000000001</v>
      </c>
      <c r="M4185" t="str">
        <f t="shared" si="161"/>
        <v>44/40</v>
      </c>
      <c r="N4185" t="str">
        <f t="shared" si="162"/>
        <v>SW</v>
      </c>
      <c r="O4185" s="1" t="s">
        <v>25</v>
      </c>
      <c r="P4185" s="3" t="s">
        <v>25</v>
      </c>
      <c r="Q4185" s="37">
        <v>2.9700772440000001</v>
      </c>
      <c r="R4185" t="str">
        <f t="shared" ref="R4185:R4248" si="163">IF(Q4185="Na","Na","mmol/mol")</f>
        <v>mmol/mol</v>
      </c>
      <c r="S4185" s="13">
        <f t="shared" si="160"/>
        <v>-1.6312420000000001</v>
      </c>
    </row>
    <row r="4186" spans="1:19">
      <c r="A4186" s="18" t="s">
        <v>4106</v>
      </c>
      <c r="B4186" s="1" t="s">
        <v>4353</v>
      </c>
      <c r="C4186" s="1" t="s">
        <v>5058</v>
      </c>
      <c r="D4186" s="1" t="s">
        <v>5062</v>
      </c>
      <c r="E4186" s="1" t="s">
        <v>25</v>
      </c>
      <c r="F4186">
        <v>580</v>
      </c>
      <c r="G4186">
        <v>580</v>
      </c>
      <c r="H4186">
        <v>139.19999999999999</v>
      </c>
      <c r="I4186" s="1" t="s">
        <v>1528</v>
      </c>
      <c r="J4186" s="1" t="s">
        <v>1336</v>
      </c>
      <c r="K4186" s="1" t="s">
        <v>25</v>
      </c>
      <c r="L4186">
        <v>-1.6191850000000001</v>
      </c>
      <c r="M4186" t="str">
        <f t="shared" si="161"/>
        <v>44/40</v>
      </c>
      <c r="N4186" t="str">
        <f t="shared" si="162"/>
        <v>SW</v>
      </c>
      <c r="O4186" s="1" t="s">
        <v>25</v>
      </c>
      <c r="P4186" s="3" t="s">
        <v>25</v>
      </c>
      <c r="Q4186" s="37">
        <v>2.5880972519999998</v>
      </c>
      <c r="R4186" t="str">
        <f t="shared" si="163"/>
        <v>mmol/mol</v>
      </c>
      <c r="S4186" s="13">
        <f t="shared" si="160"/>
        <v>-1.6191850000000001</v>
      </c>
    </row>
    <row r="4187" spans="1:19">
      <c r="A4187" s="18" t="s">
        <v>4106</v>
      </c>
      <c r="B4187" s="1" t="s">
        <v>4354</v>
      </c>
      <c r="C4187" s="1" t="s">
        <v>5058</v>
      </c>
      <c r="D4187" s="1" t="s">
        <v>5062</v>
      </c>
      <c r="E4187" s="1" t="s">
        <v>25</v>
      </c>
      <c r="F4187">
        <v>580</v>
      </c>
      <c r="G4187">
        <v>580</v>
      </c>
      <c r="H4187">
        <v>146.5</v>
      </c>
      <c r="I4187" s="1" t="s">
        <v>1528</v>
      </c>
      <c r="J4187" s="1" t="s">
        <v>1336</v>
      </c>
      <c r="K4187" s="1" t="s">
        <v>25</v>
      </c>
      <c r="L4187">
        <v>-1.8163765000000001</v>
      </c>
      <c r="M4187" t="str">
        <f t="shared" si="161"/>
        <v>44/40</v>
      </c>
      <c r="N4187" t="str">
        <f t="shared" si="162"/>
        <v>SW</v>
      </c>
      <c r="O4187" s="1" t="s">
        <v>25</v>
      </c>
      <c r="P4187" s="3" t="s">
        <v>25</v>
      </c>
      <c r="Q4187" s="37">
        <v>3.23492932</v>
      </c>
      <c r="R4187" t="str">
        <f t="shared" si="163"/>
        <v>mmol/mol</v>
      </c>
      <c r="S4187" s="13">
        <f t="shared" si="160"/>
        <v>-1.8163765000000001</v>
      </c>
    </row>
    <row r="4188" spans="1:19">
      <c r="A4188" s="18" t="s">
        <v>4106</v>
      </c>
      <c r="B4188" s="1" t="s">
        <v>4355</v>
      </c>
      <c r="C4188" s="1" t="s">
        <v>5058</v>
      </c>
      <c r="D4188" s="1" t="s">
        <v>5062</v>
      </c>
      <c r="E4188" s="1" t="s">
        <v>25</v>
      </c>
      <c r="F4188">
        <v>580</v>
      </c>
      <c r="G4188">
        <v>580</v>
      </c>
      <c r="H4188">
        <v>154.80000000000001</v>
      </c>
      <c r="I4188" s="1" t="s">
        <v>1528</v>
      </c>
      <c r="J4188" s="1" t="s">
        <v>1336</v>
      </c>
      <c r="K4188" s="1" t="s">
        <v>25</v>
      </c>
      <c r="L4188">
        <v>-1.6668874</v>
      </c>
      <c r="M4188" t="str">
        <f t="shared" si="161"/>
        <v>44/40</v>
      </c>
      <c r="N4188" t="str">
        <f t="shared" si="162"/>
        <v>SW</v>
      </c>
      <c r="O4188" s="1" t="s">
        <v>25</v>
      </c>
      <c r="P4188" s="3" t="s">
        <v>25</v>
      </c>
      <c r="Q4188" s="37">
        <v>1.661401471</v>
      </c>
      <c r="R4188" t="str">
        <f t="shared" si="163"/>
        <v>mmol/mol</v>
      </c>
      <c r="S4188" s="13">
        <f t="shared" si="160"/>
        <v>-1.6668874</v>
      </c>
    </row>
    <row r="4189" spans="1:19">
      <c r="A4189" s="18" t="s">
        <v>4106</v>
      </c>
      <c r="B4189" s="1" t="s">
        <v>4356</v>
      </c>
      <c r="C4189" s="1" t="s">
        <v>5058</v>
      </c>
      <c r="D4189" s="1" t="s">
        <v>5062</v>
      </c>
      <c r="E4189" s="1" t="s">
        <v>25</v>
      </c>
      <c r="F4189">
        <v>580</v>
      </c>
      <c r="G4189">
        <v>580</v>
      </c>
      <c r="H4189">
        <v>160.4</v>
      </c>
      <c r="I4189" s="1" t="s">
        <v>1528</v>
      </c>
      <c r="J4189" s="1" t="s">
        <v>1336</v>
      </c>
      <c r="K4189" s="1" t="s">
        <v>25</v>
      </c>
      <c r="L4189">
        <v>-1.7318222000000001</v>
      </c>
      <c r="M4189" t="str">
        <f t="shared" si="161"/>
        <v>44/40</v>
      </c>
      <c r="N4189" t="str">
        <f t="shared" si="162"/>
        <v>SW</v>
      </c>
      <c r="O4189" s="1" t="s">
        <v>25</v>
      </c>
      <c r="P4189" s="3" t="s">
        <v>25</v>
      </c>
      <c r="Q4189" s="37">
        <v>2.1171257799999998</v>
      </c>
      <c r="R4189" t="str">
        <f t="shared" si="163"/>
        <v>mmol/mol</v>
      </c>
      <c r="S4189" s="13">
        <f t="shared" si="160"/>
        <v>-1.7318222000000001</v>
      </c>
    </row>
    <row r="4190" spans="1:19">
      <c r="A4190" s="18" t="s">
        <v>4106</v>
      </c>
      <c r="B4190" s="1" t="s">
        <v>4357</v>
      </c>
      <c r="C4190" s="1" t="s">
        <v>5058</v>
      </c>
      <c r="D4190" s="1" t="s">
        <v>5062</v>
      </c>
      <c r="E4190" s="1" t="s">
        <v>25</v>
      </c>
      <c r="F4190">
        <v>580</v>
      </c>
      <c r="G4190">
        <v>580</v>
      </c>
      <c r="H4190">
        <v>161.6</v>
      </c>
      <c r="I4190" s="1" t="s">
        <v>1528</v>
      </c>
      <c r="J4190" s="1" t="s">
        <v>1336</v>
      </c>
      <c r="K4190" s="1" t="s">
        <v>25</v>
      </c>
      <c r="L4190">
        <v>-1.7055157000000001</v>
      </c>
      <c r="M4190" t="str">
        <f t="shared" si="161"/>
        <v>44/40</v>
      </c>
      <c r="N4190" t="str">
        <f t="shared" si="162"/>
        <v>SW</v>
      </c>
      <c r="O4190" s="1" t="s">
        <v>25</v>
      </c>
      <c r="P4190" s="3" t="s">
        <v>25</v>
      </c>
      <c r="Q4190" s="37">
        <v>2.4994425489999998</v>
      </c>
      <c r="R4190" t="str">
        <f t="shared" si="163"/>
        <v>mmol/mol</v>
      </c>
      <c r="S4190" s="13">
        <f t="shared" si="160"/>
        <v>-1.7055157000000001</v>
      </c>
    </row>
    <row r="4191" spans="1:19">
      <c r="A4191" s="18" t="s">
        <v>4106</v>
      </c>
      <c r="B4191" s="1" t="s">
        <v>4358</v>
      </c>
      <c r="C4191" s="1" t="s">
        <v>5058</v>
      </c>
      <c r="D4191" s="1" t="s">
        <v>5062</v>
      </c>
      <c r="E4191" s="1" t="s">
        <v>25</v>
      </c>
      <c r="F4191">
        <v>580</v>
      </c>
      <c r="G4191">
        <v>580</v>
      </c>
      <c r="H4191">
        <v>163.4</v>
      </c>
      <c r="I4191" s="1" t="s">
        <v>1528</v>
      </c>
      <c r="J4191" s="1" t="s">
        <v>1336</v>
      </c>
      <c r="K4191" s="1" t="s">
        <v>25</v>
      </c>
      <c r="L4191">
        <v>-1.5595213000000001</v>
      </c>
      <c r="M4191" t="str">
        <f t="shared" si="161"/>
        <v>44/40</v>
      </c>
      <c r="N4191" t="str">
        <f t="shared" si="162"/>
        <v>SW</v>
      </c>
      <c r="O4191" s="1" t="s">
        <v>25</v>
      </c>
      <c r="P4191" s="3" t="s">
        <v>25</v>
      </c>
      <c r="Q4191" s="37">
        <v>1.6079445510000001</v>
      </c>
      <c r="R4191" t="str">
        <f t="shared" si="163"/>
        <v>mmol/mol</v>
      </c>
      <c r="S4191" s="13">
        <f t="shared" si="160"/>
        <v>-1.5595213000000001</v>
      </c>
    </row>
    <row r="4192" spans="1:19">
      <c r="A4192" s="18" t="s">
        <v>4106</v>
      </c>
      <c r="B4192" s="1" t="s">
        <v>4359</v>
      </c>
      <c r="C4192" s="1" t="s">
        <v>5058</v>
      </c>
      <c r="D4192" s="1" t="s">
        <v>5062</v>
      </c>
      <c r="E4192" s="1" t="s">
        <v>25</v>
      </c>
      <c r="F4192">
        <v>580</v>
      </c>
      <c r="G4192">
        <v>580</v>
      </c>
      <c r="H4192">
        <v>170.1</v>
      </c>
      <c r="I4192" s="1" t="s">
        <v>1528</v>
      </c>
      <c r="J4192" s="1" t="s">
        <v>1336</v>
      </c>
      <c r="K4192" s="1" t="s">
        <v>25</v>
      </c>
      <c r="L4192">
        <v>-1.4485802999999999</v>
      </c>
      <c r="M4192" t="str">
        <f t="shared" si="161"/>
        <v>44/40</v>
      </c>
      <c r="N4192" t="str">
        <f t="shared" si="162"/>
        <v>SW</v>
      </c>
      <c r="O4192" s="1" t="s">
        <v>25</v>
      </c>
      <c r="P4192" s="3" t="s">
        <v>25</v>
      </c>
      <c r="Q4192" s="37">
        <v>1.3197732719999999</v>
      </c>
      <c r="R4192" t="str">
        <f t="shared" si="163"/>
        <v>mmol/mol</v>
      </c>
      <c r="S4192" s="13">
        <f t="shared" si="160"/>
        <v>-1.4485802999999999</v>
      </c>
    </row>
    <row r="4193" spans="1:19">
      <c r="A4193" s="18" t="s">
        <v>4106</v>
      </c>
      <c r="B4193" s="1" t="s">
        <v>4360</v>
      </c>
      <c r="C4193" s="1" t="s">
        <v>5058</v>
      </c>
      <c r="D4193" s="1" t="s">
        <v>5062</v>
      </c>
      <c r="E4193" s="1" t="s">
        <v>25</v>
      </c>
      <c r="F4193">
        <v>580</v>
      </c>
      <c r="G4193">
        <v>580</v>
      </c>
      <c r="H4193">
        <v>181.9</v>
      </c>
      <c r="I4193" s="1" t="s">
        <v>1528</v>
      </c>
      <c r="J4193" s="1" t="s">
        <v>1336</v>
      </c>
      <c r="K4193" s="1" t="s">
        <v>25</v>
      </c>
      <c r="L4193">
        <v>-1.3408533</v>
      </c>
      <c r="M4193" t="str">
        <f t="shared" si="161"/>
        <v>44/40</v>
      </c>
      <c r="N4193" t="str">
        <f t="shared" si="162"/>
        <v>SW</v>
      </c>
      <c r="O4193" s="1" t="s">
        <v>25</v>
      </c>
      <c r="P4193" s="3" t="s">
        <v>25</v>
      </c>
      <c r="Q4193" s="37">
        <v>1.8833168709999999</v>
      </c>
      <c r="R4193" t="str">
        <f t="shared" si="163"/>
        <v>mmol/mol</v>
      </c>
      <c r="S4193" s="13">
        <f t="shared" si="160"/>
        <v>-1.3408533</v>
      </c>
    </row>
    <row r="4194" spans="1:19">
      <c r="A4194" s="18" t="s">
        <v>4106</v>
      </c>
      <c r="B4194" s="1" t="s">
        <v>4361</v>
      </c>
      <c r="C4194" s="1" t="s">
        <v>5058</v>
      </c>
      <c r="D4194" s="1" t="s">
        <v>5062</v>
      </c>
      <c r="E4194" s="1" t="s">
        <v>25</v>
      </c>
      <c r="F4194">
        <v>580</v>
      </c>
      <c r="G4194">
        <v>580</v>
      </c>
      <c r="H4194">
        <v>189.5</v>
      </c>
      <c r="I4194" s="1" t="s">
        <v>1528</v>
      </c>
      <c r="J4194" s="1" t="s">
        <v>1336</v>
      </c>
      <c r="K4194" s="1" t="s">
        <v>25</v>
      </c>
      <c r="L4194">
        <v>-1.2954844999999999</v>
      </c>
      <c r="M4194" t="str">
        <f t="shared" si="161"/>
        <v>44/40</v>
      </c>
      <c r="N4194" t="str">
        <f t="shared" si="162"/>
        <v>SW</v>
      </c>
      <c r="O4194" s="1" t="s">
        <v>25</v>
      </c>
      <c r="P4194" s="3" t="s">
        <v>25</v>
      </c>
      <c r="Q4194" s="37">
        <v>1.1902484179999999</v>
      </c>
      <c r="R4194" t="str">
        <f t="shared" si="163"/>
        <v>mmol/mol</v>
      </c>
      <c r="S4194" s="13">
        <f t="shared" si="160"/>
        <v>-1.2954844999999999</v>
      </c>
    </row>
    <row r="4195" spans="1:19">
      <c r="A4195" s="18" t="s">
        <v>4106</v>
      </c>
      <c r="B4195" s="1" t="s">
        <v>4362</v>
      </c>
      <c r="C4195" s="1" t="s">
        <v>5058</v>
      </c>
      <c r="D4195" s="1" t="s">
        <v>5062</v>
      </c>
      <c r="E4195" s="1" t="s">
        <v>25</v>
      </c>
      <c r="F4195">
        <v>580</v>
      </c>
      <c r="G4195">
        <v>580</v>
      </c>
      <c r="H4195">
        <v>192.3</v>
      </c>
      <c r="I4195" s="1" t="s">
        <v>1528</v>
      </c>
      <c r="J4195" s="1" t="s">
        <v>1336</v>
      </c>
      <c r="K4195" s="1" t="s">
        <v>25</v>
      </c>
      <c r="L4195">
        <v>-1.1905473</v>
      </c>
      <c r="M4195" t="str">
        <f t="shared" si="161"/>
        <v>44/40</v>
      </c>
      <c r="N4195" t="str">
        <f t="shared" si="162"/>
        <v>SW</v>
      </c>
      <c r="O4195" s="1" t="s">
        <v>25</v>
      </c>
      <c r="P4195" s="3" t="s">
        <v>25</v>
      </c>
      <c r="Q4195" s="37">
        <v>2.6528752789999999</v>
      </c>
      <c r="R4195" t="str">
        <f t="shared" si="163"/>
        <v>mmol/mol</v>
      </c>
      <c r="S4195" s="13">
        <f t="shared" si="160"/>
        <v>-1.1905473</v>
      </c>
    </row>
    <row r="4196" spans="1:19">
      <c r="A4196" s="18" t="s">
        <v>4106</v>
      </c>
      <c r="B4196" s="1" t="s">
        <v>4363</v>
      </c>
      <c r="C4196" s="1" t="s">
        <v>5058</v>
      </c>
      <c r="D4196" s="1" t="s">
        <v>5062</v>
      </c>
      <c r="E4196" s="1" t="s">
        <v>25</v>
      </c>
      <c r="F4196">
        <v>580</v>
      </c>
      <c r="G4196">
        <v>580</v>
      </c>
      <c r="H4196">
        <v>197.2</v>
      </c>
      <c r="I4196" s="1" t="s">
        <v>1528</v>
      </c>
      <c r="J4196" s="1" t="s">
        <v>1336</v>
      </c>
      <c r="K4196" s="1" t="s">
        <v>25</v>
      </c>
      <c r="L4196">
        <v>-1.2348024</v>
      </c>
      <c r="M4196" t="str">
        <f t="shared" si="161"/>
        <v>44/40</v>
      </c>
      <c r="N4196" t="str">
        <f t="shared" si="162"/>
        <v>SW</v>
      </c>
      <c r="O4196" s="1" t="s">
        <v>25</v>
      </c>
      <c r="P4196" s="3" t="s">
        <v>25</v>
      </c>
      <c r="Q4196" s="37">
        <v>1.605392132</v>
      </c>
      <c r="R4196" t="str">
        <f t="shared" si="163"/>
        <v>mmol/mol</v>
      </c>
      <c r="S4196" s="13">
        <f t="shared" si="160"/>
        <v>-1.2348024</v>
      </c>
    </row>
    <row r="4197" spans="1:19">
      <c r="A4197" s="18" t="s">
        <v>4106</v>
      </c>
      <c r="B4197" s="1" t="s">
        <v>4364</v>
      </c>
      <c r="C4197" s="1" t="s">
        <v>5058</v>
      </c>
      <c r="D4197" s="1" t="s">
        <v>5062</v>
      </c>
      <c r="E4197" s="1" t="s">
        <v>25</v>
      </c>
      <c r="F4197">
        <v>580</v>
      </c>
      <c r="G4197">
        <v>580</v>
      </c>
      <c r="H4197">
        <v>203.7</v>
      </c>
      <c r="I4197" s="1" t="s">
        <v>1528</v>
      </c>
      <c r="J4197" s="1" t="s">
        <v>1336</v>
      </c>
      <c r="K4197" s="1" t="s">
        <v>25</v>
      </c>
      <c r="L4197">
        <v>-1.2802903000000001</v>
      </c>
      <c r="M4197" t="str">
        <f t="shared" si="161"/>
        <v>44/40</v>
      </c>
      <c r="N4197" t="str">
        <f t="shared" si="162"/>
        <v>SW</v>
      </c>
      <c r="O4197" s="1" t="s">
        <v>25</v>
      </c>
      <c r="P4197" s="3" t="s">
        <v>25</v>
      </c>
      <c r="Q4197" s="37">
        <v>2.1174822120000001</v>
      </c>
      <c r="R4197" t="str">
        <f t="shared" si="163"/>
        <v>mmol/mol</v>
      </c>
      <c r="S4197" s="13">
        <f t="shared" si="160"/>
        <v>-1.2802903000000001</v>
      </c>
    </row>
    <row r="4198" spans="1:19">
      <c r="A4198" s="18" t="s">
        <v>4106</v>
      </c>
      <c r="B4198" s="1" t="s">
        <v>4365</v>
      </c>
      <c r="C4198" s="1" t="s">
        <v>5058</v>
      </c>
      <c r="D4198" s="1" t="s">
        <v>5062</v>
      </c>
      <c r="E4198" s="1" t="s">
        <v>25</v>
      </c>
      <c r="F4198">
        <v>580</v>
      </c>
      <c r="G4198">
        <v>580</v>
      </c>
      <c r="H4198">
        <v>1</v>
      </c>
      <c r="I4198" s="1" t="s">
        <v>1528</v>
      </c>
      <c r="J4198" s="1" t="s">
        <v>1491</v>
      </c>
      <c r="K4198" s="1" t="s">
        <v>25</v>
      </c>
      <c r="L4198">
        <v>-1.0404538999999999</v>
      </c>
      <c r="M4198" t="str">
        <f t="shared" si="161"/>
        <v>44/40</v>
      </c>
      <c r="N4198" t="str">
        <f t="shared" si="162"/>
        <v>SW</v>
      </c>
      <c r="O4198" s="1" t="s">
        <v>25</v>
      </c>
      <c r="P4198" s="3" t="s">
        <v>25</v>
      </c>
      <c r="Q4198" s="37">
        <v>0.68645577300000005</v>
      </c>
      <c r="R4198" t="str">
        <f t="shared" si="163"/>
        <v>mmol/mol</v>
      </c>
      <c r="S4198" s="13">
        <f t="shared" si="160"/>
        <v>-1.0404538999999999</v>
      </c>
    </row>
    <row r="4199" spans="1:19">
      <c r="A4199" s="18" t="s">
        <v>4106</v>
      </c>
      <c r="B4199" s="1" t="s">
        <v>4366</v>
      </c>
      <c r="C4199" s="1" t="s">
        <v>5058</v>
      </c>
      <c r="D4199" s="1" t="s">
        <v>5062</v>
      </c>
      <c r="E4199" s="1" t="s">
        <v>25</v>
      </c>
      <c r="F4199">
        <v>580</v>
      </c>
      <c r="G4199">
        <v>580</v>
      </c>
      <c r="H4199">
        <v>2.2999999999999998</v>
      </c>
      <c r="I4199" s="1" t="s">
        <v>1528</v>
      </c>
      <c r="J4199" s="1" t="s">
        <v>1491</v>
      </c>
      <c r="K4199" s="1" t="s">
        <v>25</v>
      </c>
      <c r="L4199">
        <v>-0.96114730000000004</v>
      </c>
      <c r="M4199" t="str">
        <f t="shared" si="161"/>
        <v>44/40</v>
      </c>
      <c r="N4199" t="str">
        <f t="shared" si="162"/>
        <v>SW</v>
      </c>
      <c r="O4199" s="1" t="s">
        <v>25</v>
      </c>
      <c r="P4199" s="3" t="s">
        <v>25</v>
      </c>
      <c r="Q4199" s="37">
        <v>0.77325987200000001</v>
      </c>
      <c r="R4199" t="str">
        <f t="shared" si="163"/>
        <v>mmol/mol</v>
      </c>
      <c r="S4199" s="13">
        <f t="shared" si="160"/>
        <v>-0.96114730000000004</v>
      </c>
    </row>
    <row r="4200" spans="1:19">
      <c r="A4200" s="18" t="s">
        <v>4106</v>
      </c>
      <c r="B4200" s="1" t="s">
        <v>4367</v>
      </c>
      <c r="C4200" s="1" t="s">
        <v>5058</v>
      </c>
      <c r="D4200" s="1" t="s">
        <v>5062</v>
      </c>
      <c r="E4200" s="1" t="s">
        <v>25</v>
      </c>
      <c r="F4200">
        <v>580</v>
      </c>
      <c r="G4200">
        <v>580</v>
      </c>
      <c r="H4200">
        <v>3</v>
      </c>
      <c r="I4200" s="1" t="s">
        <v>1528</v>
      </c>
      <c r="J4200" s="1" t="s">
        <v>1491</v>
      </c>
      <c r="K4200" s="1" t="s">
        <v>25</v>
      </c>
      <c r="L4200">
        <v>-1.0837543000000001</v>
      </c>
      <c r="M4200" t="str">
        <f t="shared" si="161"/>
        <v>44/40</v>
      </c>
      <c r="N4200" t="str">
        <f t="shared" si="162"/>
        <v>SW</v>
      </c>
      <c r="O4200" s="1" t="s">
        <v>25</v>
      </c>
      <c r="P4200" s="3" t="s">
        <v>25</v>
      </c>
      <c r="Q4200" s="37">
        <v>0.443116226</v>
      </c>
      <c r="R4200" t="str">
        <f t="shared" si="163"/>
        <v>mmol/mol</v>
      </c>
      <c r="S4200" s="13">
        <f t="shared" si="160"/>
        <v>-1.0837543000000001</v>
      </c>
    </row>
    <row r="4201" spans="1:19">
      <c r="A4201" s="18" t="s">
        <v>4106</v>
      </c>
      <c r="B4201" s="1" t="s">
        <v>4368</v>
      </c>
      <c r="C4201" s="1" t="s">
        <v>5058</v>
      </c>
      <c r="D4201" s="1" t="s">
        <v>5062</v>
      </c>
      <c r="E4201" s="1" t="s">
        <v>25</v>
      </c>
      <c r="F4201">
        <v>580</v>
      </c>
      <c r="G4201">
        <v>580</v>
      </c>
      <c r="H4201">
        <v>4</v>
      </c>
      <c r="I4201" s="1" t="s">
        <v>1528</v>
      </c>
      <c r="J4201" s="1" t="s">
        <v>1491</v>
      </c>
      <c r="K4201" s="1" t="s">
        <v>25</v>
      </c>
      <c r="L4201">
        <v>-1.1038171999999999</v>
      </c>
      <c r="M4201" t="str">
        <f t="shared" si="161"/>
        <v>44/40</v>
      </c>
      <c r="N4201" t="str">
        <f t="shared" si="162"/>
        <v>SW</v>
      </c>
      <c r="O4201" s="1" t="s">
        <v>25</v>
      </c>
      <c r="P4201" s="3" t="s">
        <v>25</v>
      </c>
      <c r="Q4201" s="37">
        <v>0.14525854299999999</v>
      </c>
      <c r="R4201" t="str">
        <f t="shared" si="163"/>
        <v>mmol/mol</v>
      </c>
      <c r="S4201" s="13">
        <f t="shared" si="160"/>
        <v>-1.1038171999999999</v>
      </c>
    </row>
    <row r="4202" spans="1:19">
      <c r="A4202" s="18" t="s">
        <v>4106</v>
      </c>
      <c r="B4202" s="1" t="s">
        <v>4369</v>
      </c>
      <c r="C4202" s="1" t="s">
        <v>5058</v>
      </c>
      <c r="D4202" s="1" t="s">
        <v>5062</v>
      </c>
      <c r="E4202" s="1" t="s">
        <v>25</v>
      </c>
      <c r="F4202">
        <v>580</v>
      </c>
      <c r="G4202">
        <v>580</v>
      </c>
      <c r="H4202">
        <v>4.4000000000000004</v>
      </c>
      <c r="I4202" s="1" t="s">
        <v>1528</v>
      </c>
      <c r="J4202" s="1" t="s">
        <v>1491</v>
      </c>
      <c r="K4202" s="1" t="s">
        <v>25</v>
      </c>
      <c r="L4202">
        <v>-0.88679149999999995</v>
      </c>
      <c r="M4202" t="str">
        <f t="shared" si="161"/>
        <v>44/40</v>
      </c>
      <c r="N4202" t="str">
        <f t="shared" si="162"/>
        <v>SW</v>
      </c>
      <c r="O4202" s="1" t="s">
        <v>25</v>
      </c>
      <c r="P4202" s="3" t="s">
        <v>25</v>
      </c>
      <c r="Q4202" s="37">
        <v>0.690478971</v>
      </c>
      <c r="R4202" t="str">
        <f t="shared" si="163"/>
        <v>mmol/mol</v>
      </c>
      <c r="S4202" s="13">
        <f t="shared" si="160"/>
        <v>-0.88679149999999995</v>
      </c>
    </row>
    <row r="4203" spans="1:19">
      <c r="A4203" s="18" t="s">
        <v>4106</v>
      </c>
      <c r="B4203" s="1" t="s">
        <v>4370</v>
      </c>
      <c r="C4203" s="1" t="s">
        <v>5058</v>
      </c>
      <c r="D4203" s="1" t="s">
        <v>5062</v>
      </c>
      <c r="E4203" s="1" t="s">
        <v>25</v>
      </c>
      <c r="F4203">
        <v>580</v>
      </c>
      <c r="G4203">
        <v>580</v>
      </c>
      <c r="H4203">
        <v>5.3</v>
      </c>
      <c r="I4203" s="1" t="s">
        <v>1528</v>
      </c>
      <c r="J4203" s="1" t="s">
        <v>1491</v>
      </c>
      <c r="K4203" s="1" t="s">
        <v>25</v>
      </c>
      <c r="L4203">
        <v>-1.0511181999999999</v>
      </c>
      <c r="M4203" t="str">
        <f t="shared" si="161"/>
        <v>44/40</v>
      </c>
      <c r="N4203" t="str">
        <f t="shared" si="162"/>
        <v>SW</v>
      </c>
      <c r="O4203" s="1" t="s">
        <v>25</v>
      </c>
      <c r="P4203" s="3" t="s">
        <v>25</v>
      </c>
      <c r="Q4203" s="37">
        <v>0.62902360700000004</v>
      </c>
      <c r="R4203" t="str">
        <f t="shared" si="163"/>
        <v>mmol/mol</v>
      </c>
      <c r="S4203" s="13">
        <f t="shared" si="160"/>
        <v>-1.0511181999999999</v>
      </c>
    </row>
    <row r="4204" spans="1:19">
      <c r="A4204" s="18" t="s">
        <v>4106</v>
      </c>
      <c r="B4204" s="1" t="s">
        <v>4371</v>
      </c>
      <c r="C4204" s="1" t="s">
        <v>5058</v>
      </c>
      <c r="D4204" s="1" t="s">
        <v>5062</v>
      </c>
      <c r="E4204" s="1" t="s">
        <v>25</v>
      </c>
      <c r="F4204">
        <v>580</v>
      </c>
      <c r="G4204">
        <v>580</v>
      </c>
      <c r="H4204">
        <v>6</v>
      </c>
      <c r="I4204" s="1" t="s">
        <v>1528</v>
      </c>
      <c r="J4204" s="1" t="s">
        <v>1491</v>
      </c>
      <c r="K4204" s="1" t="s">
        <v>25</v>
      </c>
      <c r="L4204" t="s">
        <v>25</v>
      </c>
      <c r="M4204" t="str">
        <f t="shared" si="161"/>
        <v>Na</v>
      </c>
      <c r="N4204" t="str">
        <f t="shared" si="162"/>
        <v>Na</v>
      </c>
      <c r="O4204" s="1" t="s">
        <v>25</v>
      </c>
      <c r="P4204" s="3" t="s">
        <v>25</v>
      </c>
      <c r="Q4204" s="37">
        <v>0.70713666799999997</v>
      </c>
      <c r="R4204" t="str">
        <f t="shared" si="163"/>
        <v>mmol/mol</v>
      </c>
      <c r="S4204" s="13" t="s">
        <v>25</v>
      </c>
    </row>
    <row r="4205" spans="1:19">
      <c r="A4205" s="18" t="s">
        <v>4106</v>
      </c>
      <c r="B4205" s="1" t="s">
        <v>4372</v>
      </c>
      <c r="C4205" s="1" t="s">
        <v>5058</v>
      </c>
      <c r="D4205" s="1" t="s">
        <v>5062</v>
      </c>
      <c r="E4205" s="1" t="s">
        <v>25</v>
      </c>
      <c r="F4205">
        <v>580</v>
      </c>
      <c r="G4205">
        <v>580</v>
      </c>
      <c r="H4205">
        <v>7</v>
      </c>
      <c r="I4205" s="1" t="s">
        <v>1528</v>
      </c>
      <c r="J4205" s="1" t="s">
        <v>1491</v>
      </c>
      <c r="K4205" s="1" t="s">
        <v>25</v>
      </c>
      <c r="L4205">
        <v>-0.82991009999999998</v>
      </c>
      <c r="M4205" t="str">
        <f t="shared" si="161"/>
        <v>44/40</v>
      </c>
      <c r="N4205" t="str">
        <f t="shared" si="162"/>
        <v>SW</v>
      </c>
      <c r="O4205" s="1" t="s">
        <v>25</v>
      </c>
      <c r="P4205" s="3" t="s">
        <v>25</v>
      </c>
      <c r="Q4205" s="37">
        <v>0.64968788099999997</v>
      </c>
      <c r="R4205" t="str">
        <f t="shared" si="163"/>
        <v>mmol/mol</v>
      </c>
      <c r="S4205" s="13">
        <f t="shared" ref="S4205:S4256" si="164">IF(NOT(N4205="SW"),L4205-1.88,L4205)</f>
        <v>-0.82991009999999998</v>
      </c>
    </row>
    <row r="4206" spans="1:19">
      <c r="A4206" s="18" t="s">
        <v>4106</v>
      </c>
      <c r="B4206" s="1" t="s">
        <v>4373</v>
      </c>
      <c r="C4206" s="1" t="s">
        <v>5058</v>
      </c>
      <c r="D4206" s="1" t="s">
        <v>5062</v>
      </c>
      <c r="E4206" s="1" t="s">
        <v>25</v>
      </c>
      <c r="F4206">
        <v>580</v>
      </c>
      <c r="G4206">
        <v>580</v>
      </c>
      <c r="H4206">
        <v>8</v>
      </c>
      <c r="I4206" s="1" t="s">
        <v>1528</v>
      </c>
      <c r="J4206" s="1" t="s">
        <v>1491</v>
      </c>
      <c r="K4206" s="1" t="s">
        <v>25</v>
      </c>
      <c r="L4206">
        <v>-1.0691301</v>
      </c>
      <c r="M4206" t="str">
        <f t="shared" si="161"/>
        <v>44/40</v>
      </c>
      <c r="N4206" t="str">
        <f t="shared" si="162"/>
        <v>SW</v>
      </c>
      <c r="O4206" s="1" t="s">
        <v>25</v>
      </c>
      <c r="P4206" s="3" t="s">
        <v>25</v>
      </c>
      <c r="Q4206" s="37">
        <v>0.69663817299999997</v>
      </c>
      <c r="R4206" t="str">
        <f t="shared" si="163"/>
        <v>mmol/mol</v>
      </c>
      <c r="S4206" s="13">
        <f t="shared" si="164"/>
        <v>-1.0691301</v>
      </c>
    </row>
    <row r="4207" spans="1:19">
      <c r="A4207" s="18" t="s">
        <v>4106</v>
      </c>
      <c r="B4207" s="1" t="s">
        <v>4374</v>
      </c>
      <c r="C4207" s="1" t="s">
        <v>5058</v>
      </c>
      <c r="D4207" s="1" t="s">
        <v>5062</v>
      </c>
      <c r="E4207" s="1" t="s">
        <v>25</v>
      </c>
      <c r="F4207">
        <v>580</v>
      </c>
      <c r="G4207">
        <v>580</v>
      </c>
      <c r="H4207">
        <v>9.1</v>
      </c>
      <c r="I4207" s="1" t="s">
        <v>1528</v>
      </c>
      <c r="J4207" s="1" t="s">
        <v>1491</v>
      </c>
      <c r="K4207" s="1" t="s">
        <v>25</v>
      </c>
      <c r="L4207">
        <v>-0.93625849999999999</v>
      </c>
      <c r="M4207" t="str">
        <f t="shared" si="161"/>
        <v>44/40</v>
      </c>
      <c r="N4207" t="str">
        <f t="shared" si="162"/>
        <v>SW</v>
      </c>
      <c r="O4207" s="1" t="s">
        <v>25</v>
      </c>
      <c r="P4207" s="3" t="s">
        <v>25</v>
      </c>
      <c r="Q4207" s="37">
        <v>0.48664276899999998</v>
      </c>
      <c r="R4207" t="str">
        <f t="shared" si="163"/>
        <v>mmol/mol</v>
      </c>
      <c r="S4207" s="13">
        <f t="shared" si="164"/>
        <v>-0.93625849999999999</v>
      </c>
    </row>
    <row r="4208" spans="1:19">
      <c r="A4208" s="18" t="s">
        <v>4106</v>
      </c>
      <c r="B4208" s="1" t="s">
        <v>4375</v>
      </c>
      <c r="C4208" s="1" t="s">
        <v>5058</v>
      </c>
      <c r="D4208" s="1" t="s">
        <v>5062</v>
      </c>
      <c r="E4208" s="1" t="s">
        <v>25</v>
      </c>
      <c r="F4208">
        <v>580</v>
      </c>
      <c r="G4208">
        <v>580</v>
      </c>
      <c r="H4208">
        <v>10</v>
      </c>
      <c r="I4208" s="1" t="s">
        <v>1528</v>
      </c>
      <c r="J4208" s="1" t="s">
        <v>1491</v>
      </c>
      <c r="K4208" s="1" t="s">
        <v>25</v>
      </c>
      <c r="L4208" t="s">
        <v>25</v>
      </c>
      <c r="M4208" t="str">
        <f t="shared" ref="M4208:M4271" si="165">IF(L4208="Na","Na","44/40")</f>
        <v>Na</v>
      </c>
      <c r="N4208" t="str">
        <f t="shared" ref="N4208:N4271" si="166">IF(M4208="Na","Na","SW")</f>
        <v>Na</v>
      </c>
      <c r="O4208" s="1" t="s">
        <v>25</v>
      </c>
      <c r="P4208" s="3" t="s">
        <v>25</v>
      </c>
      <c r="Q4208" s="37">
        <v>0.43146742999999999</v>
      </c>
      <c r="R4208" t="str">
        <f t="shared" si="163"/>
        <v>mmol/mol</v>
      </c>
      <c r="S4208" s="13" t="s">
        <v>25</v>
      </c>
    </row>
    <row r="4209" spans="1:19">
      <c r="A4209" s="18" t="s">
        <v>4106</v>
      </c>
      <c r="B4209" s="1" t="s">
        <v>4376</v>
      </c>
      <c r="C4209" s="1" t="s">
        <v>5058</v>
      </c>
      <c r="D4209" s="1" t="s">
        <v>5062</v>
      </c>
      <c r="E4209" s="1" t="s">
        <v>25</v>
      </c>
      <c r="F4209">
        <v>580</v>
      </c>
      <c r="G4209">
        <v>580</v>
      </c>
      <c r="H4209">
        <v>11.4</v>
      </c>
      <c r="I4209" s="1" t="s">
        <v>1528</v>
      </c>
      <c r="J4209" s="1" t="s">
        <v>1491</v>
      </c>
      <c r="K4209" s="1" t="s">
        <v>25</v>
      </c>
      <c r="L4209">
        <v>-0.95173070000000004</v>
      </c>
      <c r="M4209" t="str">
        <f t="shared" si="165"/>
        <v>44/40</v>
      </c>
      <c r="N4209" t="str">
        <f t="shared" si="166"/>
        <v>SW</v>
      </c>
      <c r="O4209" s="1" t="s">
        <v>25</v>
      </c>
      <c r="P4209" s="3" t="s">
        <v>25</v>
      </c>
      <c r="Q4209" s="37">
        <v>0.54359262399999997</v>
      </c>
      <c r="R4209" t="str">
        <f t="shared" si="163"/>
        <v>mmol/mol</v>
      </c>
      <c r="S4209" s="13">
        <f t="shared" si="164"/>
        <v>-0.95173070000000004</v>
      </c>
    </row>
    <row r="4210" spans="1:19">
      <c r="A4210" s="18" t="s">
        <v>4106</v>
      </c>
      <c r="B4210" s="1" t="s">
        <v>4377</v>
      </c>
      <c r="C4210" s="1" t="s">
        <v>5058</v>
      </c>
      <c r="D4210" s="1" t="s">
        <v>5062</v>
      </c>
      <c r="E4210" s="1" t="s">
        <v>25</v>
      </c>
      <c r="F4210">
        <v>580</v>
      </c>
      <c r="G4210">
        <v>580</v>
      </c>
      <c r="H4210">
        <v>12.8</v>
      </c>
      <c r="I4210" s="1" t="s">
        <v>1528</v>
      </c>
      <c r="J4210" s="1" t="s">
        <v>1491</v>
      </c>
      <c r="K4210" s="1" t="s">
        <v>25</v>
      </c>
      <c r="L4210">
        <v>-0.99038530000000002</v>
      </c>
      <c r="M4210" t="str">
        <f t="shared" si="165"/>
        <v>44/40</v>
      </c>
      <c r="N4210" t="str">
        <f t="shared" si="166"/>
        <v>SW</v>
      </c>
      <c r="O4210" s="1" t="s">
        <v>25</v>
      </c>
      <c r="P4210" s="3" t="s">
        <v>25</v>
      </c>
      <c r="Q4210" s="37">
        <v>0.46523156999999998</v>
      </c>
      <c r="R4210" t="str">
        <f t="shared" si="163"/>
        <v>mmol/mol</v>
      </c>
      <c r="S4210" s="13">
        <f t="shared" si="164"/>
        <v>-0.99038530000000002</v>
      </c>
    </row>
    <row r="4211" spans="1:19">
      <c r="A4211" s="18" t="s">
        <v>4106</v>
      </c>
      <c r="B4211" s="1" t="s">
        <v>4378</v>
      </c>
      <c r="C4211" s="1" t="s">
        <v>5058</v>
      </c>
      <c r="D4211" s="1" t="s">
        <v>5062</v>
      </c>
      <c r="E4211" s="1" t="s">
        <v>25</v>
      </c>
      <c r="F4211">
        <v>580</v>
      </c>
      <c r="G4211">
        <v>580</v>
      </c>
      <c r="H4211">
        <v>14.1</v>
      </c>
      <c r="I4211" s="1" t="s">
        <v>1528</v>
      </c>
      <c r="J4211" s="1" t="s">
        <v>1491</v>
      </c>
      <c r="K4211" s="1" t="s">
        <v>25</v>
      </c>
      <c r="L4211">
        <v>-0.91898069999999998</v>
      </c>
      <c r="M4211" t="str">
        <f t="shared" si="165"/>
        <v>44/40</v>
      </c>
      <c r="N4211" t="str">
        <f t="shared" si="166"/>
        <v>SW</v>
      </c>
      <c r="O4211" s="1" t="s">
        <v>25</v>
      </c>
      <c r="P4211" s="3" t="s">
        <v>25</v>
      </c>
      <c r="Q4211" s="37">
        <v>0.72911550599999997</v>
      </c>
      <c r="R4211" t="str">
        <f t="shared" si="163"/>
        <v>mmol/mol</v>
      </c>
      <c r="S4211" s="13">
        <f t="shared" si="164"/>
        <v>-0.91898069999999998</v>
      </c>
    </row>
    <row r="4212" spans="1:19">
      <c r="A4212" s="18" t="s">
        <v>4106</v>
      </c>
      <c r="B4212" s="1" t="s">
        <v>4379</v>
      </c>
      <c r="C4212" s="1" t="s">
        <v>5058</v>
      </c>
      <c r="D4212" s="1" t="s">
        <v>5062</v>
      </c>
      <c r="E4212" s="1" t="s">
        <v>25</v>
      </c>
      <c r="F4212">
        <v>580</v>
      </c>
      <c r="G4212">
        <v>580</v>
      </c>
      <c r="H4212">
        <v>16</v>
      </c>
      <c r="I4212" s="1" t="s">
        <v>1528</v>
      </c>
      <c r="J4212" s="1" t="s">
        <v>1491</v>
      </c>
      <c r="K4212" s="1" t="s">
        <v>25</v>
      </c>
      <c r="L4212" t="s">
        <v>25</v>
      </c>
      <c r="M4212" t="str">
        <f t="shared" si="165"/>
        <v>Na</v>
      </c>
      <c r="N4212" t="str">
        <f t="shared" si="166"/>
        <v>Na</v>
      </c>
      <c r="O4212" s="1" t="s">
        <v>25</v>
      </c>
      <c r="P4212" s="3" t="s">
        <v>25</v>
      </c>
      <c r="Q4212" s="37">
        <v>0.42513499300000002</v>
      </c>
      <c r="R4212" t="str">
        <f t="shared" si="163"/>
        <v>mmol/mol</v>
      </c>
      <c r="S4212" s="13" t="s">
        <v>25</v>
      </c>
    </row>
    <row r="4213" spans="1:19">
      <c r="A4213" s="18" t="s">
        <v>4106</v>
      </c>
      <c r="B4213" s="1" t="s">
        <v>4380</v>
      </c>
      <c r="C4213" s="1" t="s">
        <v>5058</v>
      </c>
      <c r="D4213" s="1" t="s">
        <v>5062</v>
      </c>
      <c r="E4213" s="1" t="s">
        <v>25</v>
      </c>
      <c r="F4213">
        <v>580</v>
      </c>
      <c r="G4213">
        <v>580</v>
      </c>
      <c r="H4213">
        <v>17</v>
      </c>
      <c r="I4213" s="1" t="s">
        <v>1528</v>
      </c>
      <c r="J4213" s="1" t="s">
        <v>1491</v>
      </c>
      <c r="K4213" s="1" t="s">
        <v>25</v>
      </c>
      <c r="L4213">
        <v>-0.95475460000000001</v>
      </c>
      <c r="M4213" t="str">
        <f t="shared" si="165"/>
        <v>44/40</v>
      </c>
      <c r="N4213" t="str">
        <f t="shared" si="166"/>
        <v>SW</v>
      </c>
      <c r="O4213" s="1" t="s">
        <v>25</v>
      </c>
      <c r="P4213" s="3" t="s">
        <v>25</v>
      </c>
      <c r="Q4213" s="37">
        <v>0.59629096800000003</v>
      </c>
      <c r="R4213" t="str">
        <f t="shared" si="163"/>
        <v>mmol/mol</v>
      </c>
      <c r="S4213" s="13">
        <f t="shared" si="164"/>
        <v>-0.95475460000000001</v>
      </c>
    </row>
    <row r="4214" spans="1:19">
      <c r="A4214" s="18" t="s">
        <v>4106</v>
      </c>
      <c r="B4214" s="1" t="s">
        <v>4381</v>
      </c>
      <c r="C4214" s="1" t="s">
        <v>5058</v>
      </c>
      <c r="D4214" s="1" t="s">
        <v>5062</v>
      </c>
      <c r="E4214" s="1" t="s">
        <v>25</v>
      </c>
      <c r="F4214">
        <v>580</v>
      </c>
      <c r="G4214">
        <v>580</v>
      </c>
      <c r="H4214">
        <v>18</v>
      </c>
      <c r="I4214" s="1" t="s">
        <v>1528</v>
      </c>
      <c r="J4214" s="1" t="s">
        <v>1491</v>
      </c>
      <c r="K4214" s="1" t="s">
        <v>25</v>
      </c>
      <c r="L4214" t="s">
        <v>25</v>
      </c>
      <c r="M4214" t="str">
        <f t="shared" si="165"/>
        <v>Na</v>
      </c>
      <c r="N4214" t="str">
        <f t="shared" si="166"/>
        <v>Na</v>
      </c>
      <c r="O4214" s="1" t="s">
        <v>25</v>
      </c>
      <c r="P4214" s="3" t="s">
        <v>25</v>
      </c>
      <c r="Q4214" s="37">
        <v>0.53942776599999998</v>
      </c>
      <c r="R4214" t="str">
        <f t="shared" si="163"/>
        <v>mmol/mol</v>
      </c>
      <c r="S4214" s="13" t="s">
        <v>25</v>
      </c>
    </row>
    <row r="4215" spans="1:19">
      <c r="A4215" s="18" t="s">
        <v>4106</v>
      </c>
      <c r="B4215" s="1" t="s">
        <v>4382</v>
      </c>
      <c r="C4215" s="1" t="s">
        <v>5058</v>
      </c>
      <c r="D4215" s="1" t="s">
        <v>5062</v>
      </c>
      <c r="E4215" s="1" t="s">
        <v>25</v>
      </c>
      <c r="F4215">
        <v>580</v>
      </c>
      <c r="G4215">
        <v>580</v>
      </c>
      <c r="H4215">
        <v>19</v>
      </c>
      <c r="I4215" s="1" t="s">
        <v>1528</v>
      </c>
      <c r="J4215" s="1" t="s">
        <v>1491</v>
      </c>
      <c r="K4215" s="1" t="s">
        <v>25</v>
      </c>
      <c r="L4215">
        <v>-0.84487500000000004</v>
      </c>
      <c r="M4215" t="str">
        <f t="shared" si="165"/>
        <v>44/40</v>
      </c>
      <c r="N4215" t="str">
        <f t="shared" si="166"/>
        <v>SW</v>
      </c>
      <c r="O4215" s="1" t="s">
        <v>25</v>
      </c>
      <c r="P4215" s="3" t="s">
        <v>25</v>
      </c>
      <c r="Q4215" s="37">
        <v>0.55941726199999997</v>
      </c>
      <c r="R4215" t="str">
        <f t="shared" si="163"/>
        <v>mmol/mol</v>
      </c>
      <c r="S4215" s="13">
        <f t="shared" si="164"/>
        <v>-0.84487500000000004</v>
      </c>
    </row>
    <row r="4216" spans="1:19">
      <c r="A4216" s="18" t="s">
        <v>4106</v>
      </c>
      <c r="B4216" s="1" t="s">
        <v>4383</v>
      </c>
      <c r="C4216" s="1" t="s">
        <v>5058</v>
      </c>
      <c r="D4216" s="1" t="s">
        <v>5062</v>
      </c>
      <c r="E4216" s="1" t="s">
        <v>25</v>
      </c>
      <c r="F4216">
        <v>580</v>
      </c>
      <c r="G4216">
        <v>580</v>
      </c>
      <c r="H4216">
        <v>20.2</v>
      </c>
      <c r="I4216" s="1" t="s">
        <v>1528</v>
      </c>
      <c r="J4216" s="1" t="s">
        <v>1491</v>
      </c>
      <c r="K4216" s="1" t="s">
        <v>25</v>
      </c>
      <c r="L4216">
        <v>-0.77469370000000004</v>
      </c>
      <c r="M4216" t="str">
        <f t="shared" si="165"/>
        <v>44/40</v>
      </c>
      <c r="N4216" t="str">
        <f t="shared" si="166"/>
        <v>SW</v>
      </c>
      <c r="O4216" s="1" t="s">
        <v>25</v>
      </c>
      <c r="P4216" s="3" t="s">
        <v>25</v>
      </c>
      <c r="Q4216" s="37">
        <v>0.76889097200000001</v>
      </c>
      <c r="R4216" t="str">
        <f t="shared" si="163"/>
        <v>mmol/mol</v>
      </c>
      <c r="S4216" s="13">
        <f t="shared" si="164"/>
        <v>-0.77469370000000004</v>
      </c>
    </row>
    <row r="4217" spans="1:19">
      <c r="A4217" s="18" t="s">
        <v>4106</v>
      </c>
      <c r="B4217" s="1" t="s">
        <v>4384</v>
      </c>
      <c r="C4217" s="1" t="s">
        <v>5058</v>
      </c>
      <c r="D4217" s="1" t="s">
        <v>5062</v>
      </c>
      <c r="E4217" s="1" t="s">
        <v>25</v>
      </c>
      <c r="F4217">
        <v>580</v>
      </c>
      <c r="G4217">
        <v>580</v>
      </c>
      <c r="H4217">
        <v>21.6</v>
      </c>
      <c r="I4217" s="1" t="s">
        <v>1528</v>
      </c>
      <c r="J4217" s="1" t="s">
        <v>1491</v>
      </c>
      <c r="K4217" s="1" t="s">
        <v>25</v>
      </c>
      <c r="L4217">
        <v>-0.86282179999999997</v>
      </c>
      <c r="M4217" t="str">
        <f t="shared" si="165"/>
        <v>44/40</v>
      </c>
      <c r="N4217" t="str">
        <f t="shared" si="166"/>
        <v>SW</v>
      </c>
      <c r="O4217" s="1" t="s">
        <v>25</v>
      </c>
      <c r="P4217" s="3" t="s">
        <v>25</v>
      </c>
      <c r="Q4217" s="37">
        <v>0.31863875800000002</v>
      </c>
      <c r="R4217" t="str">
        <f t="shared" si="163"/>
        <v>mmol/mol</v>
      </c>
      <c r="S4217" s="13">
        <f t="shared" si="164"/>
        <v>-0.86282179999999997</v>
      </c>
    </row>
    <row r="4218" spans="1:19">
      <c r="A4218" s="18" t="s">
        <v>4106</v>
      </c>
      <c r="B4218" s="1" t="s">
        <v>4385</v>
      </c>
      <c r="C4218" s="1" t="s">
        <v>5058</v>
      </c>
      <c r="D4218" s="1" t="s">
        <v>5062</v>
      </c>
      <c r="E4218" s="1" t="s">
        <v>25</v>
      </c>
      <c r="F4218">
        <v>580</v>
      </c>
      <c r="G4218">
        <v>580</v>
      </c>
      <c r="H4218">
        <v>22.5</v>
      </c>
      <c r="I4218" s="1" t="s">
        <v>1528</v>
      </c>
      <c r="J4218" s="1" t="s">
        <v>1491</v>
      </c>
      <c r="K4218" s="1" t="s">
        <v>25</v>
      </c>
      <c r="L4218">
        <v>-0.7161807</v>
      </c>
      <c r="M4218" t="str">
        <f t="shared" si="165"/>
        <v>44/40</v>
      </c>
      <c r="N4218" t="str">
        <f t="shared" si="166"/>
        <v>SW</v>
      </c>
      <c r="O4218" s="1" t="s">
        <v>25</v>
      </c>
      <c r="P4218" s="3" t="s">
        <v>25</v>
      </c>
      <c r="Q4218" s="37">
        <v>0.382650924</v>
      </c>
      <c r="R4218" t="str">
        <f t="shared" si="163"/>
        <v>mmol/mol</v>
      </c>
      <c r="S4218" s="13">
        <f t="shared" si="164"/>
        <v>-0.7161807</v>
      </c>
    </row>
    <row r="4219" spans="1:19">
      <c r="A4219" s="18" t="s">
        <v>4106</v>
      </c>
      <c r="B4219" s="1" t="s">
        <v>4386</v>
      </c>
      <c r="C4219" s="1" t="s">
        <v>5058</v>
      </c>
      <c r="D4219" s="1" t="s">
        <v>5062</v>
      </c>
      <c r="E4219" s="1" t="s">
        <v>25</v>
      </c>
      <c r="F4219">
        <v>580</v>
      </c>
      <c r="G4219">
        <v>580</v>
      </c>
      <c r="H4219">
        <v>23.6</v>
      </c>
      <c r="I4219" s="1" t="s">
        <v>1528</v>
      </c>
      <c r="J4219" s="1" t="s">
        <v>1491</v>
      </c>
      <c r="K4219" s="1" t="s">
        <v>25</v>
      </c>
      <c r="L4219">
        <v>-0.90179670000000001</v>
      </c>
      <c r="M4219" t="str">
        <f t="shared" si="165"/>
        <v>44/40</v>
      </c>
      <c r="N4219" t="str">
        <f t="shared" si="166"/>
        <v>SW</v>
      </c>
      <c r="O4219" s="1" t="s">
        <v>25</v>
      </c>
      <c r="P4219" s="3" t="s">
        <v>25</v>
      </c>
      <c r="Q4219" s="37">
        <v>0.425041962</v>
      </c>
      <c r="R4219" t="str">
        <f t="shared" si="163"/>
        <v>mmol/mol</v>
      </c>
      <c r="S4219" s="13">
        <f t="shared" si="164"/>
        <v>-0.90179670000000001</v>
      </c>
    </row>
    <row r="4220" spans="1:19">
      <c r="A4220" s="18" t="s">
        <v>4106</v>
      </c>
      <c r="B4220" s="1" t="s">
        <v>4387</v>
      </c>
      <c r="C4220" s="1" t="s">
        <v>5058</v>
      </c>
      <c r="D4220" s="1" t="s">
        <v>5062</v>
      </c>
      <c r="E4220" s="1" t="s">
        <v>25</v>
      </c>
      <c r="F4220">
        <v>580</v>
      </c>
      <c r="G4220">
        <v>580</v>
      </c>
      <c r="H4220">
        <v>24.7</v>
      </c>
      <c r="I4220" s="1" t="s">
        <v>1528</v>
      </c>
      <c r="J4220" s="1" t="s">
        <v>1491</v>
      </c>
      <c r="K4220" s="1" t="s">
        <v>25</v>
      </c>
      <c r="L4220">
        <v>-0.77725489999999997</v>
      </c>
      <c r="M4220" t="str">
        <f t="shared" si="165"/>
        <v>44/40</v>
      </c>
      <c r="N4220" t="str">
        <f t="shared" si="166"/>
        <v>SW</v>
      </c>
      <c r="O4220" s="1" t="s">
        <v>25</v>
      </c>
      <c r="P4220" s="3" t="s">
        <v>25</v>
      </c>
      <c r="Q4220" s="37">
        <v>0.42035715899999998</v>
      </c>
      <c r="R4220" t="str">
        <f t="shared" si="163"/>
        <v>mmol/mol</v>
      </c>
      <c r="S4220" s="13">
        <f t="shared" si="164"/>
        <v>-0.77725489999999997</v>
      </c>
    </row>
    <row r="4221" spans="1:19">
      <c r="A4221" s="18" t="s">
        <v>4106</v>
      </c>
      <c r="B4221" s="1" t="s">
        <v>4388</v>
      </c>
      <c r="C4221" s="1" t="s">
        <v>5058</v>
      </c>
      <c r="D4221" s="1" t="s">
        <v>5062</v>
      </c>
      <c r="E4221" s="1" t="s">
        <v>25</v>
      </c>
      <c r="F4221">
        <v>580</v>
      </c>
      <c r="G4221">
        <v>580</v>
      </c>
      <c r="H4221">
        <v>25.8</v>
      </c>
      <c r="I4221" s="1" t="s">
        <v>1528</v>
      </c>
      <c r="J4221" s="1" t="s">
        <v>1491</v>
      </c>
      <c r="K4221" s="1" t="s">
        <v>25</v>
      </c>
      <c r="L4221">
        <v>-0.63252940000000002</v>
      </c>
      <c r="M4221" t="str">
        <f t="shared" si="165"/>
        <v>44/40</v>
      </c>
      <c r="N4221" t="str">
        <f t="shared" si="166"/>
        <v>SW</v>
      </c>
      <c r="O4221" s="1" t="s">
        <v>25</v>
      </c>
      <c r="P4221" s="3" t="s">
        <v>25</v>
      </c>
      <c r="Q4221" s="37">
        <v>0.58908054799999998</v>
      </c>
      <c r="R4221" t="str">
        <f t="shared" si="163"/>
        <v>mmol/mol</v>
      </c>
      <c r="S4221" s="13">
        <f t="shared" si="164"/>
        <v>-0.63252940000000002</v>
      </c>
    </row>
    <row r="4222" spans="1:19">
      <c r="A4222" s="18" t="s">
        <v>4106</v>
      </c>
      <c r="B4222" s="1" t="s">
        <v>4389</v>
      </c>
      <c r="C4222" s="1" t="s">
        <v>5058</v>
      </c>
      <c r="D4222" s="1" t="s">
        <v>5062</v>
      </c>
      <c r="E4222" s="1" t="s">
        <v>25</v>
      </c>
      <c r="F4222">
        <v>580</v>
      </c>
      <c r="G4222">
        <v>580</v>
      </c>
      <c r="H4222">
        <v>27.9</v>
      </c>
      <c r="I4222" s="1" t="s">
        <v>1528</v>
      </c>
      <c r="J4222" s="1" t="s">
        <v>1491</v>
      </c>
      <c r="K4222" s="1" t="s">
        <v>25</v>
      </c>
      <c r="L4222">
        <v>-0.76417440000000003</v>
      </c>
      <c r="M4222" t="str">
        <f t="shared" si="165"/>
        <v>44/40</v>
      </c>
      <c r="N4222" t="str">
        <f t="shared" si="166"/>
        <v>SW</v>
      </c>
      <c r="O4222" s="1" t="s">
        <v>25</v>
      </c>
      <c r="P4222" s="3" t="s">
        <v>25</v>
      </c>
      <c r="Q4222" s="37">
        <v>0.38975781999999998</v>
      </c>
      <c r="R4222" t="str">
        <f t="shared" si="163"/>
        <v>mmol/mol</v>
      </c>
      <c r="S4222" s="13">
        <f t="shared" si="164"/>
        <v>-0.76417440000000003</v>
      </c>
    </row>
    <row r="4223" spans="1:19">
      <c r="A4223" s="18" t="s">
        <v>4106</v>
      </c>
      <c r="B4223" s="1" t="s">
        <v>4390</v>
      </c>
      <c r="C4223" s="1" t="s">
        <v>5058</v>
      </c>
      <c r="D4223" s="1" t="s">
        <v>5062</v>
      </c>
      <c r="E4223" s="1" t="s">
        <v>25</v>
      </c>
      <c r="F4223">
        <v>580</v>
      </c>
      <c r="G4223">
        <v>580</v>
      </c>
      <c r="H4223">
        <v>29</v>
      </c>
      <c r="I4223" s="1" t="s">
        <v>1528</v>
      </c>
      <c r="J4223" s="1" t="s">
        <v>1491</v>
      </c>
      <c r="K4223" s="1" t="s">
        <v>25</v>
      </c>
      <c r="L4223">
        <v>-0.78061979999999997</v>
      </c>
      <c r="M4223" t="str">
        <f t="shared" si="165"/>
        <v>44/40</v>
      </c>
      <c r="N4223" t="str">
        <f t="shared" si="166"/>
        <v>SW</v>
      </c>
      <c r="O4223" s="1" t="s">
        <v>25</v>
      </c>
      <c r="P4223" s="3" t="s">
        <v>25</v>
      </c>
      <c r="Q4223" s="37">
        <v>0.38841035000000002</v>
      </c>
      <c r="R4223" t="str">
        <f t="shared" si="163"/>
        <v>mmol/mol</v>
      </c>
      <c r="S4223" s="13">
        <f t="shared" si="164"/>
        <v>-0.78061979999999997</v>
      </c>
    </row>
    <row r="4224" spans="1:19">
      <c r="A4224" s="18" t="s">
        <v>4106</v>
      </c>
      <c r="B4224" s="1" t="s">
        <v>4391</v>
      </c>
      <c r="C4224" s="1" t="s">
        <v>5058</v>
      </c>
      <c r="D4224" s="1" t="s">
        <v>5062</v>
      </c>
      <c r="E4224" s="1" t="s">
        <v>25</v>
      </c>
      <c r="F4224">
        <v>580</v>
      </c>
      <c r="G4224">
        <v>580</v>
      </c>
      <c r="H4224">
        <v>30.2</v>
      </c>
      <c r="I4224" s="1" t="s">
        <v>1528</v>
      </c>
      <c r="J4224" s="1" t="s">
        <v>1491</v>
      </c>
      <c r="K4224" s="1" t="s">
        <v>25</v>
      </c>
      <c r="L4224">
        <v>-0.93811279999999997</v>
      </c>
      <c r="M4224" t="str">
        <f t="shared" si="165"/>
        <v>44/40</v>
      </c>
      <c r="N4224" t="str">
        <f t="shared" si="166"/>
        <v>SW</v>
      </c>
      <c r="O4224" s="1" t="s">
        <v>25</v>
      </c>
      <c r="P4224" s="3" t="s">
        <v>25</v>
      </c>
      <c r="Q4224" s="37">
        <v>0.42159808300000001</v>
      </c>
      <c r="R4224" t="str">
        <f t="shared" si="163"/>
        <v>mmol/mol</v>
      </c>
      <c r="S4224" s="13">
        <f t="shared" si="164"/>
        <v>-0.93811279999999997</v>
      </c>
    </row>
    <row r="4225" spans="1:19">
      <c r="A4225" s="18" t="s">
        <v>4106</v>
      </c>
      <c r="B4225" s="1" t="s">
        <v>4392</v>
      </c>
      <c r="C4225" s="1" t="s">
        <v>5058</v>
      </c>
      <c r="D4225" s="1" t="s">
        <v>5062</v>
      </c>
      <c r="E4225" s="1" t="s">
        <v>25</v>
      </c>
      <c r="F4225">
        <v>580</v>
      </c>
      <c r="G4225">
        <v>580</v>
      </c>
      <c r="H4225">
        <v>31.6</v>
      </c>
      <c r="I4225" s="1" t="s">
        <v>1528</v>
      </c>
      <c r="J4225" s="1" t="s">
        <v>1491</v>
      </c>
      <c r="K4225" s="1" t="s">
        <v>25</v>
      </c>
      <c r="L4225">
        <v>-0.76302270000000005</v>
      </c>
      <c r="M4225" t="str">
        <f t="shared" si="165"/>
        <v>44/40</v>
      </c>
      <c r="N4225" t="str">
        <f t="shared" si="166"/>
        <v>SW</v>
      </c>
      <c r="O4225" s="1" t="s">
        <v>25</v>
      </c>
      <c r="P4225" s="3" t="s">
        <v>25</v>
      </c>
      <c r="Q4225" s="37">
        <v>0.430178911</v>
      </c>
      <c r="R4225" t="str">
        <f t="shared" si="163"/>
        <v>mmol/mol</v>
      </c>
      <c r="S4225" s="13">
        <f t="shared" si="164"/>
        <v>-0.76302270000000005</v>
      </c>
    </row>
    <row r="4226" spans="1:19">
      <c r="A4226" s="18" t="s">
        <v>4106</v>
      </c>
      <c r="B4226" s="1" t="s">
        <v>4393</v>
      </c>
      <c r="C4226" s="1" t="s">
        <v>5058</v>
      </c>
      <c r="D4226" s="1" t="s">
        <v>5062</v>
      </c>
      <c r="E4226" s="1" t="s">
        <v>25</v>
      </c>
      <c r="F4226">
        <v>580</v>
      </c>
      <c r="G4226">
        <v>580</v>
      </c>
      <c r="H4226">
        <v>33</v>
      </c>
      <c r="I4226" s="1" t="s">
        <v>1528</v>
      </c>
      <c r="J4226" s="1" t="s">
        <v>1491</v>
      </c>
      <c r="K4226" s="1" t="s">
        <v>25</v>
      </c>
      <c r="L4226">
        <v>-0.90402579999999999</v>
      </c>
      <c r="M4226" t="str">
        <f t="shared" si="165"/>
        <v>44/40</v>
      </c>
      <c r="N4226" t="str">
        <f t="shared" si="166"/>
        <v>SW</v>
      </c>
      <c r="O4226" s="1" t="s">
        <v>25</v>
      </c>
      <c r="P4226" s="3" t="s">
        <v>25</v>
      </c>
      <c r="Q4226" s="37">
        <v>0.400886458</v>
      </c>
      <c r="R4226" t="str">
        <f t="shared" si="163"/>
        <v>mmol/mol</v>
      </c>
      <c r="S4226" s="13">
        <f t="shared" si="164"/>
        <v>-0.90402579999999999</v>
      </c>
    </row>
    <row r="4227" spans="1:19">
      <c r="A4227" s="18" t="s">
        <v>4106</v>
      </c>
      <c r="B4227" s="1" t="s">
        <v>4394</v>
      </c>
      <c r="C4227" s="1" t="s">
        <v>5058</v>
      </c>
      <c r="D4227" s="1" t="s">
        <v>5062</v>
      </c>
      <c r="E4227" s="1" t="s">
        <v>25</v>
      </c>
      <c r="F4227">
        <v>580</v>
      </c>
      <c r="G4227">
        <v>580</v>
      </c>
      <c r="H4227">
        <v>34.4</v>
      </c>
      <c r="I4227" s="1" t="s">
        <v>1528</v>
      </c>
      <c r="J4227" s="1" t="s">
        <v>1491</v>
      </c>
      <c r="K4227" s="1" t="s">
        <v>25</v>
      </c>
      <c r="L4227">
        <v>-0.98380639999999997</v>
      </c>
      <c r="M4227" t="str">
        <f t="shared" si="165"/>
        <v>44/40</v>
      </c>
      <c r="N4227" t="str">
        <f t="shared" si="166"/>
        <v>SW</v>
      </c>
      <c r="O4227" s="1" t="s">
        <v>25</v>
      </c>
      <c r="P4227" s="3" t="s">
        <v>25</v>
      </c>
      <c r="Q4227" s="37">
        <v>0.48453014100000003</v>
      </c>
      <c r="R4227" t="str">
        <f t="shared" si="163"/>
        <v>mmol/mol</v>
      </c>
      <c r="S4227" s="13">
        <f t="shared" si="164"/>
        <v>-0.98380639999999997</v>
      </c>
    </row>
    <row r="4228" spans="1:19">
      <c r="A4228" s="18" t="s">
        <v>4106</v>
      </c>
      <c r="B4228" s="1" t="s">
        <v>4395</v>
      </c>
      <c r="C4228" s="1" t="s">
        <v>5058</v>
      </c>
      <c r="D4228" s="1" t="s">
        <v>5062</v>
      </c>
      <c r="E4228" s="1" t="s">
        <v>25</v>
      </c>
      <c r="F4228">
        <v>580</v>
      </c>
      <c r="G4228">
        <v>580</v>
      </c>
      <c r="H4228">
        <v>35.9</v>
      </c>
      <c r="I4228" s="1" t="s">
        <v>1528</v>
      </c>
      <c r="J4228" s="1" t="s">
        <v>1336</v>
      </c>
      <c r="K4228" s="1" t="s">
        <v>25</v>
      </c>
      <c r="L4228">
        <v>-0.68338370000000004</v>
      </c>
      <c r="M4228" t="str">
        <f t="shared" si="165"/>
        <v>44/40</v>
      </c>
      <c r="N4228" t="str">
        <f t="shared" si="166"/>
        <v>SW</v>
      </c>
      <c r="O4228" s="1" t="s">
        <v>25</v>
      </c>
      <c r="P4228" s="3" t="s">
        <v>25</v>
      </c>
      <c r="Q4228" s="37">
        <v>0.29652225300000001</v>
      </c>
      <c r="R4228" t="str">
        <f t="shared" si="163"/>
        <v>mmol/mol</v>
      </c>
      <c r="S4228" s="13">
        <f t="shared" si="164"/>
        <v>-0.68338370000000004</v>
      </c>
    </row>
    <row r="4229" spans="1:19">
      <c r="A4229" s="18" t="s">
        <v>4106</v>
      </c>
      <c r="B4229" s="1" t="s">
        <v>4396</v>
      </c>
      <c r="C4229" s="1" t="s">
        <v>5058</v>
      </c>
      <c r="D4229" s="1" t="s">
        <v>5062</v>
      </c>
      <c r="E4229" s="1" t="s">
        <v>25</v>
      </c>
      <c r="F4229">
        <v>580</v>
      </c>
      <c r="G4229">
        <v>580</v>
      </c>
      <c r="H4229">
        <v>36.9</v>
      </c>
      <c r="I4229" s="1" t="s">
        <v>1528</v>
      </c>
      <c r="J4229" s="1" t="s">
        <v>1336</v>
      </c>
      <c r="K4229" s="1" t="s">
        <v>25</v>
      </c>
      <c r="L4229">
        <v>-0.66244979999999998</v>
      </c>
      <c r="M4229" t="str">
        <f t="shared" si="165"/>
        <v>44/40</v>
      </c>
      <c r="N4229" t="str">
        <f t="shared" si="166"/>
        <v>SW</v>
      </c>
      <c r="O4229" s="1" t="s">
        <v>25</v>
      </c>
      <c r="P4229" s="3" t="s">
        <v>25</v>
      </c>
      <c r="Q4229" s="37">
        <v>0.35535084099999997</v>
      </c>
      <c r="R4229" t="str">
        <f t="shared" si="163"/>
        <v>mmol/mol</v>
      </c>
      <c r="S4229" s="13">
        <f t="shared" si="164"/>
        <v>-0.66244979999999998</v>
      </c>
    </row>
    <row r="4230" spans="1:19">
      <c r="A4230" s="18" t="s">
        <v>4106</v>
      </c>
      <c r="B4230" s="1" t="s">
        <v>4397</v>
      </c>
      <c r="C4230" s="1" t="s">
        <v>5058</v>
      </c>
      <c r="D4230" s="1" t="s">
        <v>5062</v>
      </c>
      <c r="E4230" s="1" t="s">
        <v>25</v>
      </c>
      <c r="F4230">
        <v>580</v>
      </c>
      <c r="G4230">
        <v>580</v>
      </c>
      <c r="H4230">
        <v>38.299999999999997</v>
      </c>
      <c r="I4230" s="1" t="s">
        <v>1528</v>
      </c>
      <c r="J4230" s="1" t="s">
        <v>1336</v>
      </c>
      <c r="K4230" s="1" t="s">
        <v>25</v>
      </c>
      <c r="L4230">
        <v>-0.72641230000000001</v>
      </c>
      <c r="M4230" t="str">
        <f t="shared" si="165"/>
        <v>44/40</v>
      </c>
      <c r="N4230" t="str">
        <f t="shared" si="166"/>
        <v>SW</v>
      </c>
      <c r="O4230" s="1" t="s">
        <v>25</v>
      </c>
      <c r="P4230" s="3" t="s">
        <v>25</v>
      </c>
      <c r="Q4230" s="37">
        <v>0.35558458599999998</v>
      </c>
      <c r="R4230" t="str">
        <f t="shared" si="163"/>
        <v>mmol/mol</v>
      </c>
      <c r="S4230" s="13">
        <f t="shared" si="164"/>
        <v>-0.72641230000000001</v>
      </c>
    </row>
    <row r="4231" spans="1:19">
      <c r="A4231" s="18" t="s">
        <v>4106</v>
      </c>
      <c r="B4231" s="1" t="s">
        <v>4398</v>
      </c>
      <c r="C4231" s="1" t="s">
        <v>5058</v>
      </c>
      <c r="D4231" s="1" t="s">
        <v>5062</v>
      </c>
      <c r="E4231" s="1" t="s">
        <v>25</v>
      </c>
      <c r="F4231">
        <v>580</v>
      </c>
      <c r="G4231">
        <v>580</v>
      </c>
      <c r="H4231">
        <v>39.4</v>
      </c>
      <c r="I4231" s="1" t="s">
        <v>1528</v>
      </c>
      <c r="J4231" s="1" t="s">
        <v>1336</v>
      </c>
      <c r="K4231" s="1" t="s">
        <v>25</v>
      </c>
      <c r="L4231">
        <v>-0.73341250000000002</v>
      </c>
      <c r="M4231" t="str">
        <f t="shared" si="165"/>
        <v>44/40</v>
      </c>
      <c r="N4231" t="str">
        <f t="shared" si="166"/>
        <v>SW</v>
      </c>
      <c r="O4231" s="1" t="s">
        <v>25</v>
      </c>
      <c r="P4231" s="3" t="s">
        <v>25</v>
      </c>
      <c r="Q4231" s="37">
        <v>0.42829382300000002</v>
      </c>
      <c r="R4231" t="str">
        <f t="shared" si="163"/>
        <v>mmol/mol</v>
      </c>
      <c r="S4231" s="13">
        <f t="shared" si="164"/>
        <v>-0.73341250000000002</v>
      </c>
    </row>
    <row r="4232" spans="1:19">
      <c r="A4232" s="18" t="s">
        <v>4106</v>
      </c>
      <c r="B4232" s="1" t="s">
        <v>4399</v>
      </c>
      <c r="C4232" s="1" t="s">
        <v>5058</v>
      </c>
      <c r="D4232" s="1" t="s">
        <v>5062</v>
      </c>
      <c r="E4232" s="1" t="s">
        <v>25</v>
      </c>
      <c r="F4232">
        <v>580</v>
      </c>
      <c r="G4232">
        <v>580</v>
      </c>
      <c r="H4232">
        <v>40.6</v>
      </c>
      <c r="I4232" s="1" t="s">
        <v>1528</v>
      </c>
      <c r="J4232" s="1" t="s">
        <v>1336</v>
      </c>
      <c r="K4232" s="1" t="s">
        <v>25</v>
      </c>
      <c r="L4232">
        <v>-0.75568239999999998</v>
      </c>
      <c r="M4232" t="str">
        <f t="shared" si="165"/>
        <v>44/40</v>
      </c>
      <c r="N4232" t="str">
        <f t="shared" si="166"/>
        <v>SW</v>
      </c>
      <c r="O4232" s="1" t="s">
        <v>25</v>
      </c>
      <c r="P4232" s="3" t="s">
        <v>25</v>
      </c>
      <c r="Q4232" s="37">
        <v>0.361530026</v>
      </c>
      <c r="R4232" t="str">
        <f t="shared" si="163"/>
        <v>mmol/mol</v>
      </c>
      <c r="S4232" s="13">
        <f t="shared" si="164"/>
        <v>-0.75568239999999998</v>
      </c>
    </row>
    <row r="4233" spans="1:19">
      <c r="A4233" s="18" t="s">
        <v>4106</v>
      </c>
      <c r="B4233" s="1" t="s">
        <v>4400</v>
      </c>
      <c r="C4233" s="1" t="s">
        <v>5058</v>
      </c>
      <c r="D4233" s="1" t="s">
        <v>5062</v>
      </c>
      <c r="E4233" s="1" t="s">
        <v>25</v>
      </c>
      <c r="F4233">
        <v>580</v>
      </c>
      <c r="G4233">
        <v>580</v>
      </c>
      <c r="H4233">
        <v>41.6</v>
      </c>
      <c r="I4233" s="1" t="s">
        <v>1528</v>
      </c>
      <c r="J4233" s="1" t="s">
        <v>1336</v>
      </c>
      <c r="K4233" s="1" t="s">
        <v>25</v>
      </c>
      <c r="L4233">
        <v>-0.5644342</v>
      </c>
      <c r="M4233" t="str">
        <f t="shared" si="165"/>
        <v>44/40</v>
      </c>
      <c r="N4233" t="str">
        <f t="shared" si="166"/>
        <v>SW</v>
      </c>
      <c r="O4233" s="1" t="s">
        <v>25</v>
      </c>
      <c r="P4233" s="3" t="s">
        <v>25</v>
      </c>
      <c r="Q4233" s="37">
        <v>0.39311083099999999</v>
      </c>
      <c r="R4233" t="str">
        <f t="shared" si="163"/>
        <v>mmol/mol</v>
      </c>
      <c r="S4233" s="13">
        <f t="shared" si="164"/>
        <v>-0.5644342</v>
      </c>
    </row>
    <row r="4234" spans="1:19">
      <c r="A4234" s="18" t="s">
        <v>4106</v>
      </c>
      <c r="B4234" s="1" t="s">
        <v>4401</v>
      </c>
      <c r="C4234" s="1" t="s">
        <v>5058</v>
      </c>
      <c r="D4234" s="1" t="s">
        <v>5062</v>
      </c>
      <c r="E4234" s="1" t="s">
        <v>25</v>
      </c>
      <c r="F4234">
        <v>580</v>
      </c>
      <c r="G4234">
        <v>580</v>
      </c>
      <c r="H4234">
        <v>43.6</v>
      </c>
      <c r="I4234" s="1" t="s">
        <v>1528</v>
      </c>
      <c r="J4234" s="1" t="s">
        <v>1336</v>
      </c>
      <c r="K4234" s="1" t="s">
        <v>25</v>
      </c>
      <c r="L4234">
        <v>-0.66718480000000002</v>
      </c>
      <c r="M4234" t="str">
        <f t="shared" si="165"/>
        <v>44/40</v>
      </c>
      <c r="N4234" t="str">
        <f t="shared" si="166"/>
        <v>SW</v>
      </c>
      <c r="O4234" s="1" t="s">
        <v>25</v>
      </c>
      <c r="P4234" s="3" t="s">
        <v>25</v>
      </c>
      <c r="Q4234" s="37">
        <v>0.389659476</v>
      </c>
      <c r="R4234" t="str">
        <f t="shared" si="163"/>
        <v>mmol/mol</v>
      </c>
      <c r="S4234" s="13">
        <f t="shared" si="164"/>
        <v>-0.66718480000000002</v>
      </c>
    </row>
    <row r="4235" spans="1:19">
      <c r="A4235" s="18" t="s">
        <v>4106</v>
      </c>
      <c r="B4235" s="1" t="s">
        <v>4402</v>
      </c>
      <c r="C4235" s="1" t="s">
        <v>5058</v>
      </c>
      <c r="D4235" s="1" t="s">
        <v>5062</v>
      </c>
      <c r="E4235" s="1" t="s">
        <v>25</v>
      </c>
      <c r="F4235">
        <v>580</v>
      </c>
      <c r="G4235">
        <v>580</v>
      </c>
      <c r="H4235">
        <v>45.6</v>
      </c>
      <c r="I4235" s="1" t="s">
        <v>1528</v>
      </c>
      <c r="J4235" s="1" t="s">
        <v>1336</v>
      </c>
      <c r="K4235" s="1" t="s">
        <v>25</v>
      </c>
      <c r="L4235" t="s">
        <v>25</v>
      </c>
      <c r="M4235" t="str">
        <f t="shared" si="165"/>
        <v>Na</v>
      </c>
      <c r="N4235" t="str">
        <f t="shared" si="166"/>
        <v>Na</v>
      </c>
      <c r="O4235" s="1" t="s">
        <v>25</v>
      </c>
      <c r="P4235" s="3" t="s">
        <v>25</v>
      </c>
      <c r="Q4235" s="37">
        <v>0.310655972</v>
      </c>
      <c r="R4235" t="str">
        <f t="shared" si="163"/>
        <v>mmol/mol</v>
      </c>
      <c r="S4235" s="13" t="s">
        <v>25</v>
      </c>
    </row>
    <row r="4236" spans="1:19">
      <c r="A4236" s="18" t="s">
        <v>4106</v>
      </c>
      <c r="B4236" s="1" t="s">
        <v>4403</v>
      </c>
      <c r="C4236" s="1" t="s">
        <v>5058</v>
      </c>
      <c r="D4236" s="1" t="s">
        <v>5062</v>
      </c>
      <c r="E4236" s="1" t="s">
        <v>25</v>
      </c>
      <c r="F4236">
        <v>580</v>
      </c>
      <c r="G4236">
        <v>580</v>
      </c>
      <c r="H4236">
        <v>46.8</v>
      </c>
      <c r="I4236" s="1" t="s">
        <v>1528</v>
      </c>
      <c r="J4236" s="1" t="s">
        <v>1491</v>
      </c>
      <c r="K4236" s="1" t="s">
        <v>25</v>
      </c>
      <c r="L4236">
        <v>-0.95712889999999995</v>
      </c>
      <c r="M4236" t="str">
        <f t="shared" si="165"/>
        <v>44/40</v>
      </c>
      <c r="N4236" t="str">
        <f t="shared" si="166"/>
        <v>SW</v>
      </c>
      <c r="O4236" s="1" t="s">
        <v>25</v>
      </c>
      <c r="P4236" s="3" t="s">
        <v>25</v>
      </c>
      <c r="Q4236" s="37">
        <v>0.55921665899999995</v>
      </c>
      <c r="R4236" t="str">
        <f t="shared" si="163"/>
        <v>mmol/mol</v>
      </c>
      <c r="S4236" s="13">
        <f t="shared" si="164"/>
        <v>-0.95712889999999995</v>
      </c>
    </row>
    <row r="4237" spans="1:19">
      <c r="A4237" s="18" t="s">
        <v>4106</v>
      </c>
      <c r="B4237" s="1" t="s">
        <v>4404</v>
      </c>
      <c r="C4237" s="1" t="s">
        <v>5058</v>
      </c>
      <c r="D4237" s="1" t="s">
        <v>5062</v>
      </c>
      <c r="E4237" s="1" t="s">
        <v>25</v>
      </c>
      <c r="F4237">
        <v>580</v>
      </c>
      <c r="G4237">
        <v>580</v>
      </c>
      <c r="H4237">
        <v>48.2</v>
      </c>
      <c r="I4237" s="1" t="s">
        <v>1528</v>
      </c>
      <c r="J4237" s="1" t="s">
        <v>1491</v>
      </c>
      <c r="K4237" s="1" t="s">
        <v>25</v>
      </c>
      <c r="L4237">
        <v>-0.71848250000000002</v>
      </c>
      <c r="M4237" t="str">
        <f t="shared" si="165"/>
        <v>44/40</v>
      </c>
      <c r="N4237" t="str">
        <f t="shared" si="166"/>
        <v>SW</v>
      </c>
      <c r="O4237" s="1" t="s">
        <v>25</v>
      </c>
      <c r="P4237" s="3" t="s">
        <v>25</v>
      </c>
      <c r="Q4237" s="37">
        <v>0.38350509500000002</v>
      </c>
      <c r="R4237" t="str">
        <f t="shared" si="163"/>
        <v>mmol/mol</v>
      </c>
      <c r="S4237" s="13">
        <f t="shared" si="164"/>
        <v>-0.71848250000000002</v>
      </c>
    </row>
    <row r="4238" spans="1:19">
      <c r="A4238" s="18" t="s">
        <v>4106</v>
      </c>
      <c r="B4238" s="1" t="s">
        <v>4405</v>
      </c>
      <c r="C4238" s="1" t="s">
        <v>5058</v>
      </c>
      <c r="D4238" s="1" t="s">
        <v>5062</v>
      </c>
      <c r="E4238" s="1" t="s">
        <v>25</v>
      </c>
      <c r="F4238">
        <v>580</v>
      </c>
      <c r="G4238">
        <v>580</v>
      </c>
      <c r="H4238">
        <v>49.2</v>
      </c>
      <c r="I4238" s="1" t="s">
        <v>1528</v>
      </c>
      <c r="J4238" s="1" t="s">
        <v>1336</v>
      </c>
      <c r="K4238" s="1" t="s">
        <v>25</v>
      </c>
      <c r="L4238">
        <v>-0.73735430000000002</v>
      </c>
      <c r="M4238" t="str">
        <f t="shared" si="165"/>
        <v>44/40</v>
      </c>
      <c r="N4238" t="str">
        <f t="shared" si="166"/>
        <v>SW</v>
      </c>
      <c r="O4238" s="1" t="s">
        <v>25</v>
      </c>
      <c r="P4238" s="3" t="s">
        <v>25</v>
      </c>
      <c r="Q4238" s="37">
        <v>0.33665580499999997</v>
      </c>
      <c r="R4238" t="str">
        <f t="shared" si="163"/>
        <v>mmol/mol</v>
      </c>
      <c r="S4238" s="13">
        <f t="shared" si="164"/>
        <v>-0.73735430000000002</v>
      </c>
    </row>
    <row r="4239" spans="1:19">
      <c r="A4239" s="18" t="s">
        <v>4106</v>
      </c>
      <c r="B4239" s="1" t="s">
        <v>4406</v>
      </c>
      <c r="C4239" s="1" t="s">
        <v>5058</v>
      </c>
      <c r="D4239" s="1" t="s">
        <v>5062</v>
      </c>
      <c r="E4239" s="1" t="s">
        <v>25</v>
      </c>
      <c r="F4239">
        <v>580</v>
      </c>
      <c r="G4239">
        <v>580</v>
      </c>
      <c r="H4239">
        <v>50.2</v>
      </c>
      <c r="I4239" s="1" t="s">
        <v>1528</v>
      </c>
      <c r="J4239" s="1" t="s">
        <v>1336</v>
      </c>
      <c r="K4239" s="1" t="s">
        <v>25</v>
      </c>
      <c r="L4239">
        <v>-0.68947579999999997</v>
      </c>
      <c r="M4239" t="str">
        <f t="shared" si="165"/>
        <v>44/40</v>
      </c>
      <c r="N4239" t="str">
        <f t="shared" si="166"/>
        <v>SW</v>
      </c>
      <c r="O4239" s="1" t="s">
        <v>25</v>
      </c>
      <c r="P4239" s="3" t="s">
        <v>25</v>
      </c>
      <c r="Q4239" s="37">
        <v>0.42707624700000002</v>
      </c>
      <c r="R4239" t="str">
        <f t="shared" si="163"/>
        <v>mmol/mol</v>
      </c>
      <c r="S4239" s="13">
        <f t="shared" si="164"/>
        <v>-0.68947579999999997</v>
      </c>
    </row>
    <row r="4240" spans="1:19">
      <c r="A4240" s="18" t="s">
        <v>4106</v>
      </c>
      <c r="B4240" s="1" t="s">
        <v>4407</v>
      </c>
      <c r="C4240" s="1" t="s">
        <v>5058</v>
      </c>
      <c r="D4240" s="1" t="s">
        <v>5062</v>
      </c>
      <c r="E4240" s="1" t="s">
        <v>25</v>
      </c>
      <c r="F4240">
        <v>580</v>
      </c>
      <c r="G4240">
        <v>580</v>
      </c>
      <c r="H4240">
        <v>51.3</v>
      </c>
      <c r="I4240" s="1" t="s">
        <v>1528</v>
      </c>
      <c r="J4240" s="1" t="s">
        <v>1336</v>
      </c>
      <c r="K4240" s="1" t="s">
        <v>25</v>
      </c>
      <c r="L4240">
        <v>-0.55475379999999996</v>
      </c>
      <c r="M4240" t="str">
        <f t="shared" si="165"/>
        <v>44/40</v>
      </c>
      <c r="N4240" t="str">
        <f t="shared" si="166"/>
        <v>SW</v>
      </c>
      <c r="O4240" s="1" t="s">
        <v>25</v>
      </c>
      <c r="P4240" s="3" t="s">
        <v>25</v>
      </c>
      <c r="Q4240" s="37">
        <v>0.33591560300000001</v>
      </c>
      <c r="R4240" t="str">
        <f t="shared" si="163"/>
        <v>mmol/mol</v>
      </c>
      <c r="S4240" s="13">
        <f t="shared" si="164"/>
        <v>-0.55475379999999996</v>
      </c>
    </row>
    <row r="4241" spans="1:19">
      <c r="A4241" s="18" t="s">
        <v>4106</v>
      </c>
      <c r="B4241" s="1" t="s">
        <v>4408</v>
      </c>
      <c r="C4241" s="1" t="s">
        <v>5058</v>
      </c>
      <c r="D4241" s="1" t="s">
        <v>5062</v>
      </c>
      <c r="E4241" s="1" t="s">
        <v>25</v>
      </c>
      <c r="F4241">
        <v>580</v>
      </c>
      <c r="G4241">
        <v>580</v>
      </c>
      <c r="H4241">
        <v>52.8</v>
      </c>
      <c r="I4241" s="1" t="s">
        <v>1528</v>
      </c>
      <c r="J4241" s="1" t="s">
        <v>1336</v>
      </c>
      <c r="K4241" s="1" t="s">
        <v>25</v>
      </c>
      <c r="L4241">
        <v>-0.56848690000000002</v>
      </c>
      <c r="M4241" t="str">
        <f t="shared" si="165"/>
        <v>44/40</v>
      </c>
      <c r="N4241" t="str">
        <f t="shared" si="166"/>
        <v>SW</v>
      </c>
      <c r="O4241" s="1" t="s">
        <v>25</v>
      </c>
      <c r="P4241" s="3" t="s">
        <v>25</v>
      </c>
      <c r="Q4241" s="37">
        <v>0.34445009700000001</v>
      </c>
      <c r="R4241" t="str">
        <f t="shared" si="163"/>
        <v>mmol/mol</v>
      </c>
      <c r="S4241" s="13">
        <f t="shared" si="164"/>
        <v>-0.56848690000000002</v>
      </c>
    </row>
    <row r="4242" spans="1:19">
      <c r="A4242" s="18" t="s">
        <v>4106</v>
      </c>
      <c r="B4242" s="1" t="s">
        <v>4409</v>
      </c>
      <c r="C4242" s="1" t="s">
        <v>5058</v>
      </c>
      <c r="D4242" s="1" t="s">
        <v>5062</v>
      </c>
      <c r="E4242" s="1" t="s">
        <v>25</v>
      </c>
      <c r="F4242">
        <v>580</v>
      </c>
      <c r="G4242">
        <v>580</v>
      </c>
      <c r="H4242">
        <v>53.8</v>
      </c>
      <c r="I4242" s="1" t="s">
        <v>1528</v>
      </c>
      <c r="J4242" s="1" t="s">
        <v>1336</v>
      </c>
      <c r="K4242" s="1" t="s">
        <v>25</v>
      </c>
      <c r="L4242" t="s">
        <v>25</v>
      </c>
      <c r="M4242" t="str">
        <f t="shared" si="165"/>
        <v>Na</v>
      </c>
      <c r="N4242" t="str">
        <f t="shared" si="166"/>
        <v>Na</v>
      </c>
      <c r="O4242" s="1" t="s">
        <v>25</v>
      </c>
      <c r="P4242" s="3" t="s">
        <v>25</v>
      </c>
      <c r="Q4242" s="37">
        <v>0.42394752200000002</v>
      </c>
      <c r="R4242" t="str">
        <f t="shared" si="163"/>
        <v>mmol/mol</v>
      </c>
      <c r="S4242" s="13" t="s">
        <v>25</v>
      </c>
    </row>
    <row r="4243" spans="1:19">
      <c r="A4243" s="18" t="s">
        <v>4106</v>
      </c>
      <c r="B4243" s="1" t="s">
        <v>4410</v>
      </c>
      <c r="C4243" s="1" t="s">
        <v>5058</v>
      </c>
      <c r="D4243" s="1" t="s">
        <v>5062</v>
      </c>
      <c r="E4243" s="1" t="s">
        <v>25</v>
      </c>
      <c r="F4243">
        <v>580</v>
      </c>
      <c r="G4243">
        <v>580</v>
      </c>
      <c r="H4243">
        <v>55</v>
      </c>
      <c r="I4243" s="1" t="s">
        <v>1528</v>
      </c>
      <c r="J4243" s="1" t="s">
        <v>1336</v>
      </c>
      <c r="K4243" s="1" t="s">
        <v>25</v>
      </c>
      <c r="L4243">
        <v>-0.73861310000000002</v>
      </c>
      <c r="M4243" t="str">
        <f t="shared" si="165"/>
        <v>44/40</v>
      </c>
      <c r="N4243" t="str">
        <f t="shared" si="166"/>
        <v>SW</v>
      </c>
      <c r="O4243" s="1" t="s">
        <v>25</v>
      </c>
      <c r="P4243" s="3" t="s">
        <v>25</v>
      </c>
      <c r="Q4243" s="37">
        <v>0.32988425700000001</v>
      </c>
      <c r="R4243" t="str">
        <f t="shared" si="163"/>
        <v>mmol/mol</v>
      </c>
      <c r="S4243" s="13">
        <f t="shared" si="164"/>
        <v>-0.73861310000000002</v>
      </c>
    </row>
    <row r="4244" spans="1:19">
      <c r="A4244" s="18" t="s">
        <v>4106</v>
      </c>
      <c r="B4244" s="1" t="s">
        <v>4411</v>
      </c>
      <c r="C4244" s="1" t="s">
        <v>5058</v>
      </c>
      <c r="D4244" s="1" t="s">
        <v>5062</v>
      </c>
      <c r="E4244" s="1" t="s">
        <v>25</v>
      </c>
      <c r="F4244">
        <v>580</v>
      </c>
      <c r="G4244">
        <v>580</v>
      </c>
      <c r="H4244">
        <v>55.8</v>
      </c>
      <c r="I4244" s="1" t="s">
        <v>1528</v>
      </c>
      <c r="J4244" s="1" t="s">
        <v>1336</v>
      </c>
      <c r="K4244" s="1" t="s">
        <v>25</v>
      </c>
      <c r="L4244">
        <v>-0.64090590000000003</v>
      </c>
      <c r="M4244" t="str">
        <f t="shared" si="165"/>
        <v>44/40</v>
      </c>
      <c r="N4244" t="str">
        <f t="shared" si="166"/>
        <v>SW</v>
      </c>
      <c r="O4244" s="1" t="s">
        <v>25</v>
      </c>
      <c r="P4244" s="3" t="s">
        <v>25</v>
      </c>
      <c r="Q4244" s="37">
        <v>0.381180619</v>
      </c>
      <c r="R4244" t="str">
        <f t="shared" si="163"/>
        <v>mmol/mol</v>
      </c>
      <c r="S4244" s="13">
        <f t="shared" si="164"/>
        <v>-0.64090590000000003</v>
      </c>
    </row>
    <row r="4245" spans="1:19">
      <c r="A4245" s="18" t="s">
        <v>4106</v>
      </c>
      <c r="B4245" s="1" t="s">
        <v>4412</v>
      </c>
      <c r="C4245" s="1" t="s">
        <v>5058</v>
      </c>
      <c r="D4245" s="1" t="s">
        <v>5062</v>
      </c>
      <c r="E4245" s="1" t="s">
        <v>25</v>
      </c>
      <c r="F4245">
        <v>580</v>
      </c>
      <c r="G4245">
        <v>580</v>
      </c>
      <c r="H4245">
        <v>56.8</v>
      </c>
      <c r="I4245" s="1" t="s">
        <v>1528</v>
      </c>
      <c r="J4245" s="1" t="s">
        <v>1336</v>
      </c>
      <c r="K4245" s="1" t="s">
        <v>25</v>
      </c>
      <c r="L4245">
        <v>-0.71</v>
      </c>
      <c r="M4245" t="str">
        <f t="shared" si="165"/>
        <v>44/40</v>
      </c>
      <c r="N4245" t="str">
        <f t="shared" si="166"/>
        <v>SW</v>
      </c>
      <c r="O4245" s="1" t="s">
        <v>25</v>
      </c>
      <c r="P4245" s="3" t="s">
        <v>25</v>
      </c>
      <c r="Q4245" s="37" t="s">
        <v>25</v>
      </c>
      <c r="R4245" t="str">
        <f t="shared" si="163"/>
        <v>Na</v>
      </c>
      <c r="S4245" s="13">
        <f t="shared" si="164"/>
        <v>-0.71</v>
      </c>
    </row>
    <row r="4246" spans="1:19">
      <c r="A4246" s="18" t="s">
        <v>4106</v>
      </c>
      <c r="B4246" s="1" t="s">
        <v>4413</v>
      </c>
      <c r="C4246" s="1" t="s">
        <v>5058</v>
      </c>
      <c r="D4246" s="1" t="s">
        <v>5062</v>
      </c>
      <c r="E4246" s="1" t="s">
        <v>25</v>
      </c>
      <c r="F4246">
        <v>580</v>
      </c>
      <c r="G4246">
        <v>580</v>
      </c>
      <c r="H4246">
        <v>58.6</v>
      </c>
      <c r="I4246" s="1" t="s">
        <v>1528</v>
      </c>
      <c r="J4246" s="1" t="s">
        <v>1336</v>
      </c>
      <c r="K4246" s="1" t="s">
        <v>25</v>
      </c>
      <c r="L4246">
        <v>-0.74462600000000001</v>
      </c>
      <c r="M4246" t="str">
        <f t="shared" si="165"/>
        <v>44/40</v>
      </c>
      <c r="N4246" t="str">
        <f t="shared" si="166"/>
        <v>SW</v>
      </c>
      <c r="O4246" s="1" t="s">
        <v>25</v>
      </c>
      <c r="P4246" s="3" t="s">
        <v>25</v>
      </c>
      <c r="Q4246" s="37">
        <v>0.42</v>
      </c>
      <c r="R4246" t="str">
        <f t="shared" si="163"/>
        <v>mmol/mol</v>
      </c>
      <c r="S4246" s="13">
        <f t="shared" si="164"/>
        <v>-0.74462600000000001</v>
      </c>
    </row>
    <row r="4247" spans="1:19">
      <c r="A4247" s="18" t="s">
        <v>4106</v>
      </c>
      <c r="B4247" s="1" t="s">
        <v>4414</v>
      </c>
      <c r="C4247" s="1" t="s">
        <v>5058</v>
      </c>
      <c r="D4247" s="1" t="s">
        <v>5062</v>
      </c>
      <c r="E4247" s="1" t="s">
        <v>25</v>
      </c>
      <c r="F4247">
        <v>580</v>
      </c>
      <c r="G4247">
        <v>580</v>
      </c>
      <c r="H4247">
        <v>61.4</v>
      </c>
      <c r="I4247" s="1" t="s">
        <v>1528</v>
      </c>
      <c r="J4247" s="1" t="s">
        <v>1336</v>
      </c>
      <c r="K4247" s="1" t="s">
        <v>25</v>
      </c>
      <c r="L4247">
        <v>-0.7546889</v>
      </c>
      <c r="M4247" t="str">
        <f t="shared" si="165"/>
        <v>44/40</v>
      </c>
      <c r="N4247" t="str">
        <f t="shared" si="166"/>
        <v>SW</v>
      </c>
      <c r="O4247" s="1" t="s">
        <v>25</v>
      </c>
      <c r="P4247" s="3" t="s">
        <v>25</v>
      </c>
      <c r="Q4247" s="37">
        <v>0.45</v>
      </c>
      <c r="R4247" t="str">
        <f t="shared" si="163"/>
        <v>mmol/mol</v>
      </c>
      <c r="S4247" s="13">
        <f t="shared" si="164"/>
        <v>-0.7546889</v>
      </c>
    </row>
    <row r="4248" spans="1:19">
      <c r="A4248" s="18" t="s">
        <v>4106</v>
      </c>
      <c r="B4248" s="1" t="s">
        <v>4415</v>
      </c>
      <c r="C4248" s="1" t="s">
        <v>5058</v>
      </c>
      <c r="D4248" s="1" t="s">
        <v>5062</v>
      </c>
      <c r="E4248" s="1" t="s">
        <v>25</v>
      </c>
      <c r="F4248">
        <v>580</v>
      </c>
      <c r="G4248">
        <v>580</v>
      </c>
      <c r="H4248">
        <v>62.2</v>
      </c>
      <c r="I4248" s="1" t="s">
        <v>1528</v>
      </c>
      <c r="J4248" s="1" t="s">
        <v>1336</v>
      </c>
      <c r="K4248" s="1" t="s">
        <v>25</v>
      </c>
      <c r="L4248">
        <v>-0.65558119999999998</v>
      </c>
      <c r="M4248" t="str">
        <f t="shared" si="165"/>
        <v>44/40</v>
      </c>
      <c r="N4248" t="str">
        <f t="shared" si="166"/>
        <v>SW</v>
      </c>
      <c r="O4248" s="1" t="s">
        <v>25</v>
      </c>
      <c r="P4248" s="3" t="s">
        <v>25</v>
      </c>
      <c r="Q4248" s="37">
        <v>0.34</v>
      </c>
      <c r="R4248" t="str">
        <f t="shared" si="163"/>
        <v>mmol/mol</v>
      </c>
      <c r="S4248" s="13">
        <f t="shared" si="164"/>
        <v>-0.65558119999999998</v>
      </c>
    </row>
    <row r="4249" spans="1:19">
      <c r="A4249" s="18" t="s">
        <v>4106</v>
      </c>
      <c r="B4249" s="1" t="s">
        <v>4416</v>
      </c>
      <c r="C4249" s="1" t="s">
        <v>5058</v>
      </c>
      <c r="D4249" s="1" t="s">
        <v>5062</v>
      </c>
      <c r="E4249" s="1" t="s">
        <v>25</v>
      </c>
      <c r="F4249">
        <v>580</v>
      </c>
      <c r="G4249">
        <v>580</v>
      </c>
      <c r="H4249">
        <v>63.2</v>
      </c>
      <c r="I4249" s="1" t="s">
        <v>1528</v>
      </c>
      <c r="J4249" s="1" t="s">
        <v>1336</v>
      </c>
      <c r="K4249" s="1" t="s">
        <v>25</v>
      </c>
      <c r="L4249">
        <v>-0.66753510000000005</v>
      </c>
      <c r="M4249" t="str">
        <f t="shared" si="165"/>
        <v>44/40</v>
      </c>
      <c r="N4249" t="str">
        <f t="shared" si="166"/>
        <v>SW</v>
      </c>
      <c r="O4249" s="1" t="s">
        <v>25</v>
      </c>
      <c r="P4249" s="3" t="s">
        <v>25</v>
      </c>
      <c r="Q4249" s="37">
        <v>0.27</v>
      </c>
      <c r="R4249" t="str">
        <f t="shared" ref="R4249:R4312" si="167">IF(Q4249="Na","Na","mmol/mol")</f>
        <v>mmol/mol</v>
      </c>
      <c r="S4249" s="13">
        <f t="shared" si="164"/>
        <v>-0.66753510000000005</v>
      </c>
    </row>
    <row r="4250" spans="1:19">
      <c r="A4250" s="18" t="s">
        <v>4106</v>
      </c>
      <c r="B4250" s="1" t="s">
        <v>4417</v>
      </c>
      <c r="C4250" s="1" t="s">
        <v>5058</v>
      </c>
      <c r="D4250" s="1" t="s">
        <v>5062</v>
      </c>
      <c r="E4250" s="1" t="s">
        <v>25</v>
      </c>
      <c r="F4250">
        <v>580</v>
      </c>
      <c r="G4250">
        <v>580</v>
      </c>
      <c r="H4250">
        <v>64.2</v>
      </c>
      <c r="I4250" s="1" t="s">
        <v>1528</v>
      </c>
      <c r="J4250" s="1" t="s">
        <v>1336</v>
      </c>
      <c r="K4250" s="1" t="s">
        <v>25</v>
      </c>
      <c r="L4250">
        <v>-0.8119014</v>
      </c>
      <c r="M4250" t="str">
        <f t="shared" si="165"/>
        <v>44/40</v>
      </c>
      <c r="N4250" t="str">
        <f t="shared" si="166"/>
        <v>SW</v>
      </c>
      <c r="O4250" s="1" t="s">
        <v>25</v>
      </c>
      <c r="P4250" s="3" t="s">
        <v>25</v>
      </c>
      <c r="Q4250" s="37">
        <v>0.33</v>
      </c>
      <c r="R4250" t="str">
        <f t="shared" si="167"/>
        <v>mmol/mol</v>
      </c>
      <c r="S4250" s="13">
        <f t="shared" si="164"/>
        <v>-0.8119014</v>
      </c>
    </row>
    <row r="4251" spans="1:19">
      <c r="A4251" s="18" t="s">
        <v>4106</v>
      </c>
      <c r="B4251" s="1" t="s">
        <v>4418</v>
      </c>
      <c r="C4251" s="1" t="s">
        <v>5058</v>
      </c>
      <c r="D4251" s="1" t="s">
        <v>5062</v>
      </c>
      <c r="E4251" s="1" t="s">
        <v>25</v>
      </c>
      <c r="F4251">
        <v>580</v>
      </c>
      <c r="G4251">
        <v>580</v>
      </c>
      <c r="H4251">
        <v>65.599999999999994</v>
      </c>
      <c r="I4251" s="1" t="s">
        <v>1528</v>
      </c>
      <c r="J4251" s="1" t="s">
        <v>1336</v>
      </c>
      <c r="K4251" s="1" t="s">
        <v>25</v>
      </c>
      <c r="L4251">
        <v>-0.71207779999999998</v>
      </c>
      <c r="M4251" t="str">
        <f t="shared" si="165"/>
        <v>44/40</v>
      </c>
      <c r="N4251" t="str">
        <f t="shared" si="166"/>
        <v>SW</v>
      </c>
      <c r="O4251" s="1" t="s">
        <v>25</v>
      </c>
      <c r="P4251" s="3" t="s">
        <v>25</v>
      </c>
      <c r="Q4251" s="37">
        <v>0.47</v>
      </c>
      <c r="R4251" t="str">
        <f t="shared" si="167"/>
        <v>mmol/mol</v>
      </c>
      <c r="S4251" s="13">
        <f t="shared" si="164"/>
        <v>-0.71207779999999998</v>
      </c>
    </row>
    <row r="4252" spans="1:19">
      <c r="A4252" s="18" t="s">
        <v>4106</v>
      </c>
      <c r="B4252" s="1" t="s">
        <v>4419</v>
      </c>
      <c r="C4252" s="1" t="s">
        <v>5058</v>
      </c>
      <c r="D4252" s="1" t="s">
        <v>5062</v>
      </c>
      <c r="E4252" s="1" t="s">
        <v>25</v>
      </c>
      <c r="F4252">
        <v>580</v>
      </c>
      <c r="G4252">
        <v>580</v>
      </c>
      <c r="H4252">
        <v>67.3</v>
      </c>
      <c r="I4252" s="1" t="s">
        <v>1528</v>
      </c>
      <c r="J4252" s="1" t="s">
        <v>1336</v>
      </c>
      <c r="K4252" s="1" t="s">
        <v>25</v>
      </c>
      <c r="L4252">
        <v>-0.90361559999999996</v>
      </c>
      <c r="M4252" t="str">
        <f t="shared" si="165"/>
        <v>44/40</v>
      </c>
      <c r="N4252" t="str">
        <f t="shared" si="166"/>
        <v>SW</v>
      </c>
      <c r="O4252" s="1" t="s">
        <v>25</v>
      </c>
      <c r="P4252" s="3" t="s">
        <v>25</v>
      </c>
      <c r="Q4252" s="37">
        <v>0.74</v>
      </c>
      <c r="R4252" t="str">
        <f t="shared" si="167"/>
        <v>mmol/mol</v>
      </c>
      <c r="S4252" s="13">
        <f t="shared" si="164"/>
        <v>-0.90361559999999996</v>
      </c>
    </row>
    <row r="4253" spans="1:19">
      <c r="A4253" s="18" t="s">
        <v>4106</v>
      </c>
      <c r="B4253" s="1" t="s">
        <v>4420</v>
      </c>
      <c r="C4253" s="1" t="s">
        <v>5058</v>
      </c>
      <c r="D4253" s="1" t="s">
        <v>5062</v>
      </c>
      <c r="E4253" s="1" t="s">
        <v>25</v>
      </c>
      <c r="F4253">
        <v>580</v>
      </c>
      <c r="G4253">
        <v>580</v>
      </c>
      <c r="H4253">
        <v>68.3</v>
      </c>
      <c r="I4253" s="1" t="s">
        <v>1528</v>
      </c>
      <c r="J4253" s="1" t="s">
        <v>1336</v>
      </c>
      <c r="K4253" s="1" t="s">
        <v>25</v>
      </c>
      <c r="L4253">
        <v>-0.68887140000000002</v>
      </c>
      <c r="M4253" t="str">
        <f t="shared" si="165"/>
        <v>44/40</v>
      </c>
      <c r="N4253" t="str">
        <f t="shared" si="166"/>
        <v>SW</v>
      </c>
      <c r="O4253" s="1" t="s">
        <v>25</v>
      </c>
      <c r="P4253" s="3" t="s">
        <v>25</v>
      </c>
      <c r="Q4253" s="37">
        <v>0.48</v>
      </c>
      <c r="R4253" t="str">
        <f t="shared" si="167"/>
        <v>mmol/mol</v>
      </c>
      <c r="S4253" s="13">
        <f t="shared" si="164"/>
        <v>-0.68887140000000002</v>
      </c>
    </row>
    <row r="4254" spans="1:19">
      <c r="A4254" s="18" t="s">
        <v>4106</v>
      </c>
      <c r="B4254" s="1" t="s">
        <v>4421</v>
      </c>
      <c r="C4254" s="1" t="s">
        <v>5058</v>
      </c>
      <c r="D4254" s="1" t="s">
        <v>5062</v>
      </c>
      <c r="E4254" s="1" t="s">
        <v>25</v>
      </c>
      <c r="F4254">
        <v>580</v>
      </c>
      <c r="G4254">
        <v>580</v>
      </c>
      <c r="H4254">
        <v>69.7</v>
      </c>
      <c r="I4254" s="1" t="s">
        <v>1528</v>
      </c>
      <c r="J4254" s="1" t="s">
        <v>1336</v>
      </c>
      <c r="K4254" s="1" t="s">
        <v>25</v>
      </c>
      <c r="L4254">
        <v>-0.88055190000000005</v>
      </c>
      <c r="M4254" t="str">
        <f t="shared" si="165"/>
        <v>44/40</v>
      </c>
      <c r="N4254" t="str">
        <f t="shared" si="166"/>
        <v>SW</v>
      </c>
      <c r="O4254" s="1" t="s">
        <v>25</v>
      </c>
      <c r="P4254" s="3" t="s">
        <v>25</v>
      </c>
      <c r="Q4254" s="37">
        <v>0.63</v>
      </c>
      <c r="R4254" t="str">
        <f t="shared" si="167"/>
        <v>mmol/mol</v>
      </c>
      <c r="S4254" s="13">
        <f t="shared" si="164"/>
        <v>-0.88055190000000005</v>
      </c>
    </row>
    <row r="4255" spans="1:19">
      <c r="A4255" s="18" t="s">
        <v>4106</v>
      </c>
      <c r="B4255" s="1" t="s">
        <v>4422</v>
      </c>
      <c r="C4255" s="1" t="s">
        <v>5058</v>
      </c>
      <c r="D4255" s="1" t="s">
        <v>5062</v>
      </c>
      <c r="E4255" s="1" t="s">
        <v>25</v>
      </c>
      <c r="F4255">
        <v>580</v>
      </c>
      <c r="G4255">
        <v>580</v>
      </c>
      <c r="H4255">
        <v>72.2</v>
      </c>
      <c r="I4255" s="1" t="s">
        <v>1528</v>
      </c>
      <c r="J4255" s="1" t="s">
        <v>1336</v>
      </c>
      <c r="K4255" s="1" t="s">
        <v>25</v>
      </c>
      <c r="L4255">
        <v>-0.53412970000000004</v>
      </c>
      <c r="M4255" t="str">
        <f t="shared" si="165"/>
        <v>44/40</v>
      </c>
      <c r="N4255" t="str">
        <f t="shared" si="166"/>
        <v>SW</v>
      </c>
      <c r="O4255" s="1" t="s">
        <v>25</v>
      </c>
      <c r="P4255" s="3" t="s">
        <v>25</v>
      </c>
      <c r="Q4255" s="37">
        <v>0.46</v>
      </c>
      <c r="R4255" t="str">
        <f t="shared" si="167"/>
        <v>mmol/mol</v>
      </c>
      <c r="S4255" s="13">
        <f t="shared" si="164"/>
        <v>-0.53412970000000004</v>
      </c>
    </row>
    <row r="4256" spans="1:19">
      <c r="A4256" s="18" t="s">
        <v>4106</v>
      </c>
      <c r="B4256" s="1" t="s">
        <v>4423</v>
      </c>
      <c r="C4256" s="1" t="s">
        <v>5058</v>
      </c>
      <c r="D4256" s="1" t="s">
        <v>5062</v>
      </c>
      <c r="E4256" s="1" t="s">
        <v>25</v>
      </c>
      <c r="F4256">
        <v>580</v>
      </c>
      <c r="G4256">
        <v>580</v>
      </c>
      <c r="H4256">
        <v>74.400000000000006</v>
      </c>
      <c r="I4256" s="1" t="s">
        <v>1528</v>
      </c>
      <c r="J4256" s="1" t="s">
        <v>1336</v>
      </c>
      <c r="K4256" s="1" t="s">
        <v>25</v>
      </c>
      <c r="L4256">
        <v>-0.97662610000000005</v>
      </c>
      <c r="M4256" t="str">
        <f t="shared" si="165"/>
        <v>44/40</v>
      </c>
      <c r="N4256" t="str">
        <f t="shared" si="166"/>
        <v>SW</v>
      </c>
      <c r="O4256" s="1" t="s">
        <v>25</v>
      </c>
      <c r="P4256" s="3" t="s">
        <v>25</v>
      </c>
      <c r="Q4256" s="37">
        <v>0.46</v>
      </c>
      <c r="R4256" t="str">
        <f t="shared" si="167"/>
        <v>mmol/mol</v>
      </c>
      <c r="S4256" s="13">
        <f t="shared" si="164"/>
        <v>-0.97662610000000005</v>
      </c>
    </row>
    <row r="4257" spans="1:19">
      <c r="A4257" s="18" t="s">
        <v>4106</v>
      </c>
      <c r="B4257" s="1" t="s">
        <v>4424</v>
      </c>
      <c r="C4257" s="1" t="s">
        <v>5058</v>
      </c>
      <c r="D4257" s="1" t="s">
        <v>5062</v>
      </c>
      <c r="E4257" s="1" t="s">
        <v>25</v>
      </c>
      <c r="F4257">
        <v>580</v>
      </c>
      <c r="G4257">
        <v>580</v>
      </c>
      <c r="H4257">
        <v>90.5</v>
      </c>
      <c r="I4257" s="1" t="s">
        <v>1528</v>
      </c>
      <c r="J4257" s="1" t="s">
        <v>1336</v>
      </c>
      <c r="K4257" s="1" t="s">
        <v>25</v>
      </c>
      <c r="L4257" t="s">
        <v>25</v>
      </c>
      <c r="M4257" t="str">
        <f t="shared" si="165"/>
        <v>Na</v>
      </c>
      <c r="N4257" t="str">
        <f t="shared" si="166"/>
        <v>Na</v>
      </c>
      <c r="O4257" s="1" t="s">
        <v>25</v>
      </c>
      <c r="P4257" s="3" t="s">
        <v>25</v>
      </c>
      <c r="Q4257" s="37" t="s">
        <v>25</v>
      </c>
      <c r="R4257" t="str">
        <f t="shared" si="167"/>
        <v>Na</v>
      </c>
      <c r="S4257" s="13" t="s">
        <v>25</v>
      </c>
    </row>
    <row r="4258" spans="1:19">
      <c r="A4258" s="18" t="s">
        <v>4106</v>
      </c>
      <c r="B4258" s="1" t="s">
        <v>4425</v>
      </c>
      <c r="C4258" s="1" t="s">
        <v>5058</v>
      </c>
      <c r="D4258" s="1" t="s">
        <v>5062</v>
      </c>
      <c r="E4258" s="1" t="s">
        <v>25</v>
      </c>
      <c r="F4258">
        <v>580</v>
      </c>
      <c r="G4258">
        <v>580</v>
      </c>
      <c r="H4258">
        <v>90.800000000000011</v>
      </c>
      <c r="I4258" s="1" t="s">
        <v>1528</v>
      </c>
      <c r="J4258" s="1" t="s">
        <v>1336</v>
      </c>
      <c r="K4258" s="1" t="s">
        <v>25</v>
      </c>
      <c r="L4258" t="s">
        <v>25</v>
      </c>
      <c r="M4258" t="str">
        <f t="shared" si="165"/>
        <v>Na</v>
      </c>
      <c r="N4258" t="str">
        <f t="shared" si="166"/>
        <v>Na</v>
      </c>
      <c r="O4258" s="1" t="s">
        <v>25</v>
      </c>
      <c r="P4258" s="3" t="s">
        <v>25</v>
      </c>
      <c r="Q4258" s="37" t="s">
        <v>25</v>
      </c>
      <c r="R4258" t="str">
        <f t="shared" si="167"/>
        <v>Na</v>
      </c>
      <c r="S4258" s="13" t="s">
        <v>25</v>
      </c>
    </row>
    <row r="4259" spans="1:19">
      <c r="A4259" s="18" t="s">
        <v>4106</v>
      </c>
      <c r="B4259" s="1" t="s">
        <v>4426</v>
      </c>
      <c r="C4259" s="1" t="s">
        <v>5058</v>
      </c>
      <c r="D4259" s="1" t="s">
        <v>5062</v>
      </c>
      <c r="E4259" s="1" t="s">
        <v>25</v>
      </c>
      <c r="F4259">
        <v>580</v>
      </c>
      <c r="G4259">
        <v>580</v>
      </c>
      <c r="H4259">
        <v>91.2</v>
      </c>
      <c r="I4259" s="1" t="s">
        <v>1528</v>
      </c>
      <c r="J4259" s="1" t="s">
        <v>1336</v>
      </c>
      <c r="K4259" s="1" t="s">
        <v>25</v>
      </c>
      <c r="L4259" t="s">
        <v>25</v>
      </c>
      <c r="M4259" t="str">
        <f t="shared" si="165"/>
        <v>Na</v>
      </c>
      <c r="N4259" t="str">
        <f t="shared" si="166"/>
        <v>Na</v>
      </c>
      <c r="O4259" s="1" t="s">
        <v>25</v>
      </c>
      <c r="P4259" s="3" t="s">
        <v>25</v>
      </c>
      <c r="Q4259" s="37" t="s">
        <v>25</v>
      </c>
      <c r="R4259" t="str">
        <f t="shared" si="167"/>
        <v>Na</v>
      </c>
      <c r="S4259" s="13" t="s">
        <v>25</v>
      </c>
    </row>
    <row r="4260" spans="1:19">
      <c r="A4260" s="18" t="s">
        <v>4106</v>
      </c>
      <c r="B4260" s="1" t="s">
        <v>4427</v>
      </c>
      <c r="C4260" s="1" t="s">
        <v>5058</v>
      </c>
      <c r="D4260" s="1" t="s">
        <v>5062</v>
      </c>
      <c r="E4260" s="1" t="s">
        <v>25</v>
      </c>
      <c r="F4260">
        <v>580</v>
      </c>
      <c r="G4260">
        <v>580</v>
      </c>
      <c r="H4260">
        <v>94.7</v>
      </c>
      <c r="I4260" s="1" t="s">
        <v>1528</v>
      </c>
      <c r="J4260" s="1" t="s">
        <v>1336</v>
      </c>
      <c r="K4260" s="1" t="s">
        <v>25</v>
      </c>
      <c r="L4260" t="s">
        <v>25</v>
      </c>
      <c r="M4260" t="str">
        <f t="shared" si="165"/>
        <v>Na</v>
      </c>
      <c r="N4260" t="str">
        <f t="shared" si="166"/>
        <v>Na</v>
      </c>
      <c r="O4260" s="1" t="s">
        <v>25</v>
      </c>
      <c r="P4260" s="3" t="s">
        <v>25</v>
      </c>
      <c r="Q4260" s="37" t="s">
        <v>25</v>
      </c>
      <c r="R4260" t="str">
        <f t="shared" si="167"/>
        <v>Na</v>
      </c>
      <c r="S4260" s="13" t="s">
        <v>25</v>
      </c>
    </row>
    <row r="4261" spans="1:19">
      <c r="A4261" s="18" t="s">
        <v>4106</v>
      </c>
      <c r="B4261" s="1" t="s">
        <v>4428</v>
      </c>
      <c r="C4261" s="1" t="s">
        <v>5058</v>
      </c>
      <c r="D4261" s="1" t="s">
        <v>5062</v>
      </c>
      <c r="E4261" s="1" t="s">
        <v>25</v>
      </c>
      <c r="F4261">
        <v>580</v>
      </c>
      <c r="G4261">
        <v>580</v>
      </c>
      <c r="H4261">
        <v>94.9</v>
      </c>
      <c r="I4261" s="1" t="s">
        <v>1528</v>
      </c>
      <c r="J4261" s="1" t="s">
        <v>1336</v>
      </c>
      <c r="K4261" s="1" t="s">
        <v>25</v>
      </c>
      <c r="L4261" t="s">
        <v>25</v>
      </c>
      <c r="M4261" t="str">
        <f t="shared" si="165"/>
        <v>Na</v>
      </c>
      <c r="N4261" t="str">
        <f t="shared" si="166"/>
        <v>Na</v>
      </c>
      <c r="O4261" s="1" t="s">
        <v>25</v>
      </c>
      <c r="P4261" s="3" t="s">
        <v>25</v>
      </c>
      <c r="Q4261" s="37" t="s">
        <v>25</v>
      </c>
      <c r="R4261" t="str">
        <f t="shared" si="167"/>
        <v>Na</v>
      </c>
      <c r="S4261" s="13" t="s">
        <v>25</v>
      </c>
    </row>
    <row r="4262" spans="1:19">
      <c r="A4262" s="18" t="s">
        <v>4106</v>
      </c>
      <c r="B4262" s="1" t="s">
        <v>4429</v>
      </c>
      <c r="C4262" s="1" t="s">
        <v>5058</v>
      </c>
      <c r="D4262" s="1" t="s">
        <v>5062</v>
      </c>
      <c r="E4262" s="1" t="s">
        <v>25</v>
      </c>
      <c r="F4262">
        <v>580</v>
      </c>
      <c r="G4262">
        <v>580</v>
      </c>
      <c r="H4262">
        <v>98.600000000000009</v>
      </c>
      <c r="I4262" s="1" t="s">
        <v>1528</v>
      </c>
      <c r="J4262" s="1" t="s">
        <v>1336</v>
      </c>
      <c r="K4262" s="1" t="s">
        <v>25</v>
      </c>
      <c r="L4262" t="s">
        <v>25</v>
      </c>
      <c r="M4262" t="str">
        <f t="shared" si="165"/>
        <v>Na</v>
      </c>
      <c r="N4262" t="str">
        <f t="shared" si="166"/>
        <v>Na</v>
      </c>
      <c r="O4262" s="1" t="s">
        <v>25</v>
      </c>
      <c r="P4262" s="3" t="s">
        <v>25</v>
      </c>
      <c r="Q4262" s="37" t="s">
        <v>25</v>
      </c>
      <c r="R4262" t="str">
        <f t="shared" si="167"/>
        <v>Na</v>
      </c>
      <c r="S4262" s="13" t="s">
        <v>25</v>
      </c>
    </row>
    <row r="4263" spans="1:19">
      <c r="A4263" s="18" t="s">
        <v>4106</v>
      </c>
      <c r="B4263" s="1" t="s">
        <v>4430</v>
      </c>
      <c r="C4263" s="1" t="s">
        <v>5058</v>
      </c>
      <c r="D4263" s="1" t="s">
        <v>5062</v>
      </c>
      <c r="E4263" s="1" t="s">
        <v>25</v>
      </c>
      <c r="F4263">
        <v>580</v>
      </c>
      <c r="G4263">
        <v>580</v>
      </c>
      <c r="H4263">
        <v>98.800000000000011</v>
      </c>
      <c r="I4263" s="1" t="s">
        <v>1528</v>
      </c>
      <c r="J4263" s="1" t="s">
        <v>1336</v>
      </c>
      <c r="K4263" s="1" t="s">
        <v>25</v>
      </c>
      <c r="L4263" t="s">
        <v>25</v>
      </c>
      <c r="M4263" t="str">
        <f t="shared" si="165"/>
        <v>Na</v>
      </c>
      <c r="N4263" t="str">
        <f t="shared" si="166"/>
        <v>Na</v>
      </c>
      <c r="O4263" s="1" t="s">
        <v>25</v>
      </c>
      <c r="P4263" s="3" t="s">
        <v>25</v>
      </c>
      <c r="Q4263" s="37" t="s">
        <v>25</v>
      </c>
      <c r="R4263" t="str">
        <f t="shared" si="167"/>
        <v>Na</v>
      </c>
      <c r="S4263" s="13" t="s">
        <v>25</v>
      </c>
    </row>
    <row r="4264" spans="1:19">
      <c r="A4264" s="18" t="s">
        <v>4106</v>
      </c>
      <c r="B4264" s="1" t="s">
        <v>4431</v>
      </c>
      <c r="C4264" s="1" t="s">
        <v>5058</v>
      </c>
      <c r="D4264" s="1" t="s">
        <v>5062</v>
      </c>
      <c r="E4264" s="1" t="s">
        <v>25</v>
      </c>
      <c r="F4264">
        <v>580</v>
      </c>
      <c r="G4264">
        <v>580</v>
      </c>
      <c r="H4264">
        <v>100.5</v>
      </c>
      <c r="I4264" s="1" t="s">
        <v>1528</v>
      </c>
      <c r="J4264" s="1" t="s">
        <v>1336</v>
      </c>
      <c r="K4264" s="1" t="s">
        <v>25</v>
      </c>
      <c r="L4264" t="s">
        <v>25</v>
      </c>
      <c r="M4264" t="str">
        <f t="shared" si="165"/>
        <v>Na</v>
      </c>
      <c r="N4264" t="str">
        <f t="shared" si="166"/>
        <v>Na</v>
      </c>
      <c r="O4264" s="1" t="s">
        <v>25</v>
      </c>
      <c r="P4264" s="3" t="s">
        <v>25</v>
      </c>
      <c r="Q4264" s="37" t="s">
        <v>25</v>
      </c>
      <c r="R4264" t="str">
        <f t="shared" si="167"/>
        <v>Na</v>
      </c>
      <c r="S4264" s="13" t="s">
        <v>25</v>
      </c>
    </row>
    <row r="4265" spans="1:19">
      <c r="A4265" s="18" t="s">
        <v>4106</v>
      </c>
      <c r="B4265" s="1" t="s">
        <v>4432</v>
      </c>
      <c r="C4265" s="1" t="s">
        <v>5058</v>
      </c>
      <c r="D4265" s="1" t="s">
        <v>5062</v>
      </c>
      <c r="E4265" s="1" t="s">
        <v>25</v>
      </c>
      <c r="F4265">
        <v>580</v>
      </c>
      <c r="G4265">
        <v>580</v>
      </c>
      <c r="H4265">
        <v>101.30000000000001</v>
      </c>
      <c r="I4265" s="1" t="s">
        <v>1528</v>
      </c>
      <c r="J4265" s="1" t="s">
        <v>1336</v>
      </c>
      <c r="K4265" s="1" t="s">
        <v>25</v>
      </c>
      <c r="L4265" t="s">
        <v>25</v>
      </c>
      <c r="M4265" t="str">
        <f t="shared" si="165"/>
        <v>Na</v>
      </c>
      <c r="N4265" t="str">
        <f t="shared" si="166"/>
        <v>Na</v>
      </c>
      <c r="O4265" s="1" t="s">
        <v>25</v>
      </c>
      <c r="P4265" s="3" t="s">
        <v>25</v>
      </c>
      <c r="Q4265" s="37" t="s">
        <v>25</v>
      </c>
      <c r="R4265" t="str">
        <f t="shared" si="167"/>
        <v>Na</v>
      </c>
      <c r="S4265" s="13" t="s">
        <v>25</v>
      </c>
    </row>
    <row r="4266" spans="1:19">
      <c r="A4266" s="18" t="s">
        <v>4106</v>
      </c>
      <c r="B4266" s="1" t="s">
        <v>4433</v>
      </c>
      <c r="C4266" s="1" t="s">
        <v>5058</v>
      </c>
      <c r="D4266" s="1" t="s">
        <v>5062</v>
      </c>
      <c r="E4266" s="1" t="s">
        <v>25</v>
      </c>
      <c r="F4266">
        <v>580</v>
      </c>
      <c r="G4266">
        <v>580</v>
      </c>
      <c r="H4266">
        <v>101.80000000000001</v>
      </c>
      <c r="I4266" s="1" t="s">
        <v>1528</v>
      </c>
      <c r="J4266" s="1" t="s">
        <v>1336</v>
      </c>
      <c r="K4266" s="1" t="s">
        <v>25</v>
      </c>
      <c r="L4266" t="s">
        <v>25</v>
      </c>
      <c r="M4266" t="str">
        <f t="shared" si="165"/>
        <v>Na</v>
      </c>
      <c r="N4266" t="str">
        <f t="shared" si="166"/>
        <v>Na</v>
      </c>
      <c r="O4266" s="1" t="s">
        <v>25</v>
      </c>
      <c r="P4266" s="3" t="s">
        <v>25</v>
      </c>
      <c r="Q4266" s="37" t="s">
        <v>25</v>
      </c>
      <c r="R4266" t="str">
        <f t="shared" si="167"/>
        <v>Na</v>
      </c>
      <c r="S4266" s="13" t="s">
        <v>25</v>
      </c>
    </row>
    <row r="4267" spans="1:19">
      <c r="A4267" s="18" t="s">
        <v>4106</v>
      </c>
      <c r="B4267" s="1" t="s">
        <v>4434</v>
      </c>
      <c r="C4267" s="1" t="s">
        <v>5058</v>
      </c>
      <c r="D4267" s="1" t="s">
        <v>5062</v>
      </c>
      <c r="E4267" s="1" t="s">
        <v>25</v>
      </c>
      <c r="F4267">
        <v>580</v>
      </c>
      <c r="G4267">
        <v>580</v>
      </c>
      <c r="H4267">
        <v>102.30000000000001</v>
      </c>
      <c r="I4267" s="1" t="s">
        <v>1528</v>
      </c>
      <c r="J4267" s="1" t="s">
        <v>1336</v>
      </c>
      <c r="K4267" s="1" t="s">
        <v>25</v>
      </c>
      <c r="L4267" t="s">
        <v>25</v>
      </c>
      <c r="M4267" t="str">
        <f t="shared" si="165"/>
        <v>Na</v>
      </c>
      <c r="N4267" t="str">
        <f t="shared" si="166"/>
        <v>Na</v>
      </c>
      <c r="O4267" s="1" t="s">
        <v>25</v>
      </c>
      <c r="P4267" s="3" t="s">
        <v>25</v>
      </c>
      <c r="Q4267" s="37" t="s">
        <v>25</v>
      </c>
      <c r="R4267" t="str">
        <f t="shared" si="167"/>
        <v>Na</v>
      </c>
      <c r="S4267" s="13" t="s">
        <v>25</v>
      </c>
    </row>
    <row r="4268" spans="1:19">
      <c r="A4268" s="18" t="s">
        <v>4106</v>
      </c>
      <c r="B4268" s="1" t="s">
        <v>4435</v>
      </c>
      <c r="C4268" s="1" t="s">
        <v>5058</v>
      </c>
      <c r="D4268" s="1" t="s">
        <v>5062</v>
      </c>
      <c r="E4268" s="1" t="s">
        <v>25</v>
      </c>
      <c r="F4268">
        <v>580</v>
      </c>
      <c r="G4268">
        <v>580</v>
      </c>
      <c r="H4268">
        <v>102.9</v>
      </c>
      <c r="I4268" s="1" t="s">
        <v>1528</v>
      </c>
      <c r="J4268" s="1" t="s">
        <v>1336</v>
      </c>
      <c r="K4268" s="1" t="s">
        <v>25</v>
      </c>
      <c r="L4268" t="s">
        <v>25</v>
      </c>
      <c r="M4268" t="str">
        <f t="shared" si="165"/>
        <v>Na</v>
      </c>
      <c r="N4268" t="str">
        <f t="shared" si="166"/>
        <v>Na</v>
      </c>
      <c r="O4268" s="1" t="s">
        <v>25</v>
      </c>
      <c r="P4268" s="3" t="s">
        <v>25</v>
      </c>
      <c r="Q4268" s="37" t="s">
        <v>25</v>
      </c>
      <c r="R4268" t="str">
        <f t="shared" si="167"/>
        <v>Na</v>
      </c>
      <c r="S4268" s="13" t="s">
        <v>25</v>
      </c>
    </row>
    <row r="4269" spans="1:19">
      <c r="A4269" s="18" t="s">
        <v>4106</v>
      </c>
      <c r="B4269" s="1" t="s">
        <v>4436</v>
      </c>
      <c r="C4269" s="1" t="s">
        <v>5058</v>
      </c>
      <c r="D4269" s="1" t="s">
        <v>5062</v>
      </c>
      <c r="E4269" s="1" t="s">
        <v>25</v>
      </c>
      <c r="F4269">
        <v>580</v>
      </c>
      <c r="G4269">
        <v>580</v>
      </c>
      <c r="H4269">
        <v>103.5</v>
      </c>
      <c r="I4269" s="1" t="s">
        <v>1528</v>
      </c>
      <c r="J4269" s="1" t="s">
        <v>1336</v>
      </c>
      <c r="K4269" s="1" t="s">
        <v>25</v>
      </c>
      <c r="L4269" t="s">
        <v>25</v>
      </c>
      <c r="M4269" t="str">
        <f t="shared" si="165"/>
        <v>Na</v>
      </c>
      <c r="N4269" t="str">
        <f t="shared" si="166"/>
        <v>Na</v>
      </c>
      <c r="O4269" s="1" t="s">
        <v>25</v>
      </c>
      <c r="P4269" s="3" t="s">
        <v>25</v>
      </c>
      <c r="Q4269" s="37" t="s">
        <v>25</v>
      </c>
      <c r="R4269" t="str">
        <f t="shared" si="167"/>
        <v>Na</v>
      </c>
      <c r="S4269" s="13" t="s">
        <v>25</v>
      </c>
    </row>
    <row r="4270" spans="1:19">
      <c r="A4270" s="18" t="s">
        <v>4106</v>
      </c>
      <c r="B4270" s="1" t="s">
        <v>4437</v>
      </c>
      <c r="C4270" s="1" t="s">
        <v>5058</v>
      </c>
      <c r="D4270" s="1" t="s">
        <v>5062</v>
      </c>
      <c r="E4270" s="1" t="s">
        <v>25</v>
      </c>
      <c r="F4270">
        <v>580</v>
      </c>
      <c r="G4270">
        <v>580</v>
      </c>
      <c r="H4270">
        <v>104.5</v>
      </c>
      <c r="I4270" s="1" t="s">
        <v>1528</v>
      </c>
      <c r="J4270" s="1" t="s">
        <v>1336</v>
      </c>
      <c r="K4270" s="1" t="s">
        <v>25</v>
      </c>
      <c r="L4270" t="s">
        <v>25</v>
      </c>
      <c r="M4270" t="str">
        <f t="shared" si="165"/>
        <v>Na</v>
      </c>
      <c r="N4270" t="str">
        <f t="shared" si="166"/>
        <v>Na</v>
      </c>
      <c r="O4270" s="1" t="s">
        <v>25</v>
      </c>
      <c r="P4270" s="3" t="s">
        <v>25</v>
      </c>
      <c r="Q4270" s="37" t="s">
        <v>25</v>
      </c>
      <c r="R4270" t="str">
        <f t="shared" si="167"/>
        <v>Na</v>
      </c>
      <c r="S4270" s="13" t="s">
        <v>25</v>
      </c>
    </row>
    <row r="4271" spans="1:19">
      <c r="A4271" s="18" t="s">
        <v>4106</v>
      </c>
      <c r="B4271" s="1" t="s">
        <v>4438</v>
      </c>
      <c r="C4271" s="1" t="s">
        <v>5058</v>
      </c>
      <c r="D4271" s="1" t="s">
        <v>5062</v>
      </c>
      <c r="E4271" s="1" t="s">
        <v>25</v>
      </c>
      <c r="F4271">
        <v>580</v>
      </c>
      <c r="G4271">
        <v>580</v>
      </c>
      <c r="H4271">
        <v>104.60000000000001</v>
      </c>
      <c r="I4271" s="1" t="s">
        <v>1528</v>
      </c>
      <c r="J4271" s="1" t="s">
        <v>1336</v>
      </c>
      <c r="K4271" s="1" t="s">
        <v>25</v>
      </c>
      <c r="L4271" t="s">
        <v>25</v>
      </c>
      <c r="M4271" t="str">
        <f t="shared" si="165"/>
        <v>Na</v>
      </c>
      <c r="N4271" t="str">
        <f t="shared" si="166"/>
        <v>Na</v>
      </c>
      <c r="O4271" s="1" t="s">
        <v>25</v>
      </c>
      <c r="P4271" s="3" t="s">
        <v>25</v>
      </c>
      <c r="Q4271" s="37" t="s">
        <v>25</v>
      </c>
      <c r="R4271" t="str">
        <f t="shared" si="167"/>
        <v>Na</v>
      </c>
      <c r="S4271" s="13" t="s">
        <v>25</v>
      </c>
    </row>
    <row r="4272" spans="1:19">
      <c r="A4272" s="18" t="s">
        <v>4106</v>
      </c>
      <c r="B4272" s="1" t="s">
        <v>4439</v>
      </c>
      <c r="C4272" s="1" t="s">
        <v>5058</v>
      </c>
      <c r="D4272" s="1" t="s">
        <v>5062</v>
      </c>
      <c r="E4272" s="1" t="s">
        <v>25</v>
      </c>
      <c r="F4272">
        <v>580</v>
      </c>
      <c r="G4272">
        <v>580</v>
      </c>
      <c r="H4272">
        <v>104.9</v>
      </c>
      <c r="I4272" s="1" t="s">
        <v>1528</v>
      </c>
      <c r="J4272" s="1" t="s">
        <v>1336</v>
      </c>
      <c r="K4272" s="1" t="s">
        <v>25</v>
      </c>
      <c r="L4272" t="s">
        <v>25</v>
      </c>
      <c r="M4272" t="str">
        <f t="shared" ref="M4272:M4335" si="168">IF(L4272="Na","Na","44/40")</f>
        <v>Na</v>
      </c>
      <c r="N4272" t="str">
        <f t="shared" ref="N4272:N4335" si="169">IF(M4272="Na","Na","SW")</f>
        <v>Na</v>
      </c>
      <c r="O4272" s="1" t="s">
        <v>25</v>
      </c>
      <c r="P4272" s="3" t="s">
        <v>25</v>
      </c>
      <c r="Q4272" s="37" t="s">
        <v>25</v>
      </c>
      <c r="R4272" t="str">
        <f t="shared" si="167"/>
        <v>Na</v>
      </c>
      <c r="S4272" s="13" t="s">
        <v>25</v>
      </c>
    </row>
    <row r="4273" spans="1:19">
      <c r="A4273" s="18" t="s">
        <v>4106</v>
      </c>
      <c r="B4273" s="1" t="s">
        <v>4440</v>
      </c>
      <c r="C4273" s="1" t="s">
        <v>5058</v>
      </c>
      <c r="D4273" s="1" t="s">
        <v>5062</v>
      </c>
      <c r="E4273" s="1" t="s">
        <v>25</v>
      </c>
      <c r="F4273">
        <v>580</v>
      </c>
      <c r="G4273">
        <v>580</v>
      </c>
      <c r="H4273">
        <v>106.5</v>
      </c>
      <c r="I4273" s="1" t="s">
        <v>1528</v>
      </c>
      <c r="J4273" s="1" t="s">
        <v>1336</v>
      </c>
      <c r="K4273" s="1" t="s">
        <v>25</v>
      </c>
      <c r="L4273" t="s">
        <v>25</v>
      </c>
      <c r="M4273" t="str">
        <f t="shared" si="168"/>
        <v>Na</v>
      </c>
      <c r="N4273" t="str">
        <f t="shared" si="169"/>
        <v>Na</v>
      </c>
      <c r="O4273" s="1" t="s">
        <v>25</v>
      </c>
      <c r="P4273" s="3" t="s">
        <v>25</v>
      </c>
      <c r="Q4273" s="37" t="s">
        <v>25</v>
      </c>
      <c r="R4273" t="str">
        <f t="shared" si="167"/>
        <v>Na</v>
      </c>
      <c r="S4273" s="13" t="s">
        <v>25</v>
      </c>
    </row>
    <row r="4274" spans="1:19">
      <c r="A4274" s="18" t="s">
        <v>4106</v>
      </c>
      <c r="B4274" s="1" t="s">
        <v>4441</v>
      </c>
      <c r="C4274" s="1" t="s">
        <v>5058</v>
      </c>
      <c r="D4274" s="1" t="s">
        <v>5062</v>
      </c>
      <c r="E4274" s="1" t="s">
        <v>25</v>
      </c>
      <c r="F4274">
        <v>580</v>
      </c>
      <c r="G4274">
        <v>580</v>
      </c>
      <c r="H4274">
        <v>107.60000000000001</v>
      </c>
      <c r="I4274" s="1" t="s">
        <v>1528</v>
      </c>
      <c r="J4274" s="1" t="s">
        <v>1336</v>
      </c>
      <c r="K4274" s="1" t="s">
        <v>25</v>
      </c>
      <c r="L4274" t="s">
        <v>25</v>
      </c>
      <c r="M4274" t="str">
        <f t="shared" si="168"/>
        <v>Na</v>
      </c>
      <c r="N4274" t="str">
        <f t="shared" si="169"/>
        <v>Na</v>
      </c>
      <c r="O4274" s="1" t="s">
        <v>25</v>
      </c>
      <c r="P4274" s="3" t="s">
        <v>25</v>
      </c>
      <c r="Q4274" s="37" t="s">
        <v>25</v>
      </c>
      <c r="R4274" t="str">
        <f t="shared" si="167"/>
        <v>Na</v>
      </c>
      <c r="S4274" s="13" t="s">
        <v>25</v>
      </c>
    </row>
    <row r="4275" spans="1:19">
      <c r="A4275" s="18" t="s">
        <v>4106</v>
      </c>
      <c r="B4275" s="1" t="s">
        <v>4442</v>
      </c>
      <c r="C4275" s="1" t="s">
        <v>5058</v>
      </c>
      <c r="D4275" s="1" t="s">
        <v>5062</v>
      </c>
      <c r="E4275" s="1" t="s">
        <v>25</v>
      </c>
      <c r="F4275">
        <v>580</v>
      </c>
      <c r="G4275">
        <v>580</v>
      </c>
      <c r="H4275">
        <v>108.30000000000001</v>
      </c>
      <c r="I4275" s="1" t="s">
        <v>1528</v>
      </c>
      <c r="J4275" s="1" t="s">
        <v>1336</v>
      </c>
      <c r="K4275" s="1" t="s">
        <v>25</v>
      </c>
      <c r="L4275" t="s">
        <v>25</v>
      </c>
      <c r="M4275" t="str">
        <f t="shared" si="168"/>
        <v>Na</v>
      </c>
      <c r="N4275" t="str">
        <f t="shared" si="169"/>
        <v>Na</v>
      </c>
      <c r="O4275" s="1" t="s">
        <v>25</v>
      </c>
      <c r="P4275" s="3" t="s">
        <v>25</v>
      </c>
      <c r="Q4275" s="37" t="s">
        <v>25</v>
      </c>
      <c r="R4275" t="str">
        <f t="shared" si="167"/>
        <v>Na</v>
      </c>
      <c r="S4275" s="13" t="s">
        <v>25</v>
      </c>
    </row>
    <row r="4276" spans="1:19">
      <c r="A4276" s="18" t="s">
        <v>4106</v>
      </c>
      <c r="B4276" s="1" t="s">
        <v>4443</v>
      </c>
      <c r="C4276" s="1" t="s">
        <v>5058</v>
      </c>
      <c r="D4276" s="1" t="s">
        <v>5062</v>
      </c>
      <c r="E4276" s="1" t="s">
        <v>25</v>
      </c>
      <c r="F4276">
        <v>580</v>
      </c>
      <c r="G4276">
        <v>580</v>
      </c>
      <c r="H4276">
        <v>109.5</v>
      </c>
      <c r="I4276" s="1" t="s">
        <v>1528</v>
      </c>
      <c r="J4276" s="1" t="s">
        <v>1336</v>
      </c>
      <c r="K4276" s="1" t="s">
        <v>25</v>
      </c>
      <c r="L4276" t="s">
        <v>25</v>
      </c>
      <c r="M4276" t="str">
        <f t="shared" si="168"/>
        <v>Na</v>
      </c>
      <c r="N4276" t="str">
        <f t="shared" si="169"/>
        <v>Na</v>
      </c>
      <c r="O4276" s="1" t="s">
        <v>25</v>
      </c>
      <c r="P4276" s="3" t="s">
        <v>25</v>
      </c>
      <c r="Q4276" s="37" t="s">
        <v>25</v>
      </c>
      <c r="R4276" t="str">
        <f t="shared" si="167"/>
        <v>Na</v>
      </c>
      <c r="S4276" s="13" t="s">
        <v>25</v>
      </c>
    </row>
    <row r="4277" spans="1:19">
      <c r="A4277" s="18" t="s">
        <v>4106</v>
      </c>
      <c r="B4277" s="1" t="s">
        <v>4444</v>
      </c>
      <c r="C4277" s="1" t="s">
        <v>5058</v>
      </c>
      <c r="D4277" s="1" t="s">
        <v>5062</v>
      </c>
      <c r="E4277" s="1" t="s">
        <v>25</v>
      </c>
      <c r="F4277">
        <v>580</v>
      </c>
      <c r="G4277">
        <v>580</v>
      </c>
      <c r="H4277">
        <v>110</v>
      </c>
      <c r="I4277" s="1" t="s">
        <v>1528</v>
      </c>
      <c r="J4277" s="1" t="s">
        <v>1336</v>
      </c>
      <c r="K4277" s="1" t="s">
        <v>25</v>
      </c>
      <c r="L4277" t="s">
        <v>25</v>
      </c>
      <c r="M4277" t="str">
        <f t="shared" si="168"/>
        <v>Na</v>
      </c>
      <c r="N4277" t="str">
        <f t="shared" si="169"/>
        <v>Na</v>
      </c>
      <c r="O4277" s="1" t="s">
        <v>25</v>
      </c>
      <c r="P4277" s="3" t="s">
        <v>25</v>
      </c>
      <c r="Q4277" s="37" t="s">
        <v>25</v>
      </c>
      <c r="R4277" t="str">
        <f t="shared" si="167"/>
        <v>Na</v>
      </c>
      <c r="S4277" s="13" t="s">
        <v>25</v>
      </c>
    </row>
    <row r="4278" spans="1:19">
      <c r="A4278" s="18" t="s">
        <v>4106</v>
      </c>
      <c r="B4278" s="1" t="s">
        <v>4445</v>
      </c>
      <c r="C4278" s="1" t="s">
        <v>5058</v>
      </c>
      <c r="D4278" s="1" t="s">
        <v>5062</v>
      </c>
      <c r="E4278" s="1" t="s">
        <v>25</v>
      </c>
      <c r="F4278">
        <v>580</v>
      </c>
      <c r="G4278">
        <v>580</v>
      </c>
      <c r="H4278">
        <v>110.80000000000001</v>
      </c>
      <c r="I4278" s="1" t="s">
        <v>1528</v>
      </c>
      <c r="J4278" s="1" t="s">
        <v>1336</v>
      </c>
      <c r="K4278" s="1" t="s">
        <v>25</v>
      </c>
      <c r="L4278" t="s">
        <v>25</v>
      </c>
      <c r="M4278" t="str">
        <f t="shared" si="168"/>
        <v>Na</v>
      </c>
      <c r="N4278" t="str">
        <f t="shared" si="169"/>
        <v>Na</v>
      </c>
      <c r="O4278" s="1" t="s">
        <v>25</v>
      </c>
      <c r="P4278" s="3" t="s">
        <v>25</v>
      </c>
      <c r="Q4278" s="37" t="s">
        <v>25</v>
      </c>
      <c r="R4278" t="str">
        <f t="shared" si="167"/>
        <v>Na</v>
      </c>
      <c r="S4278" s="13" t="s">
        <v>25</v>
      </c>
    </row>
    <row r="4279" spans="1:19">
      <c r="A4279" s="18" t="s">
        <v>4106</v>
      </c>
      <c r="B4279" s="1" t="s">
        <v>4446</v>
      </c>
      <c r="C4279" s="1" t="s">
        <v>5058</v>
      </c>
      <c r="D4279" s="1" t="s">
        <v>5062</v>
      </c>
      <c r="E4279" s="1" t="s">
        <v>25</v>
      </c>
      <c r="F4279">
        <v>580</v>
      </c>
      <c r="G4279">
        <v>580</v>
      </c>
      <c r="H4279">
        <v>111.5</v>
      </c>
      <c r="I4279" s="1" t="s">
        <v>1528</v>
      </c>
      <c r="J4279" s="1" t="s">
        <v>1336</v>
      </c>
      <c r="K4279" s="1" t="s">
        <v>25</v>
      </c>
      <c r="L4279" t="s">
        <v>25</v>
      </c>
      <c r="M4279" t="str">
        <f t="shared" si="168"/>
        <v>Na</v>
      </c>
      <c r="N4279" t="str">
        <f t="shared" si="169"/>
        <v>Na</v>
      </c>
      <c r="O4279" s="1" t="s">
        <v>25</v>
      </c>
      <c r="P4279" s="3" t="s">
        <v>25</v>
      </c>
      <c r="Q4279" s="37" t="s">
        <v>25</v>
      </c>
      <c r="R4279" t="str">
        <f t="shared" si="167"/>
        <v>Na</v>
      </c>
      <c r="S4279" s="13" t="s">
        <v>25</v>
      </c>
    </row>
    <row r="4280" spans="1:19">
      <c r="A4280" s="18" t="s">
        <v>4106</v>
      </c>
      <c r="B4280" s="1" t="s">
        <v>4447</v>
      </c>
      <c r="C4280" s="1" t="s">
        <v>5058</v>
      </c>
      <c r="D4280" s="1" t="s">
        <v>5062</v>
      </c>
      <c r="E4280" s="1" t="s">
        <v>25</v>
      </c>
      <c r="F4280">
        <v>580</v>
      </c>
      <c r="G4280">
        <v>580</v>
      </c>
      <c r="H4280">
        <v>112.60000000000001</v>
      </c>
      <c r="I4280" s="1" t="s">
        <v>1528</v>
      </c>
      <c r="J4280" s="1" t="s">
        <v>1336</v>
      </c>
      <c r="K4280" s="1" t="s">
        <v>25</v>
      </c>
      <c r="L4280" t="s">
        <v>25</v>
      </c>
      <c r="M4280" t="str">
        <f t="shared" si="168"/>
        <v>Na</v>
      </c>
      <c r="N4280" t="str">
        <f t="shared" si="169"/>
        <v>Na</v>
      </c>
      <c r="O4280" s="1" t="s">
        <v>25</v>
      </c>
      <c r="P4280" s="3" t="s">
        <v>25</v>
      </c>
      <c r="Q4280" s="37" t="s">
        <v>25</v>
      </c>
      <c r="R4280" t="str">
        <f t="shared" si="167"/>
        <v>Na</v>
      </c>
      <c r="S4280" s="13" t="s">
        <v>25</v>
      </c>
    </row>
    <row r="4281" spans="1:19">
      <c r="A4281" s="18" t="s">
        <v>4106</v>
      </c>
      <c r="B4281" s="1" t="s">
        <v>4448</v>
      </c>
      <c r="C4281" s="1" t="s">
        <v>5058</v>
      </c>
      <c r="D4281" s="1" t="s">
        <v>5062</v>
      </c>
      <c r="E4281" s="1" t="s">
        <v>25</v>
      </c>
      <c r="F4281">
        <v>580</v>
      </c>
      <c r="G4281">
        <v>580</v>
      </c>
      <c r="H4281">
        <v>113.30000000000001</v>
      </c>
      <c r="I4281" s="1" t="s">
        <v>1528</v>
      </c>
      <c r="J4281" s="1" t="s">
        <v>1336</v>
      </c>
      <c r="K4281" s="1" t="s">
        <v>25</v>
      </c>
      <c r="L4281" t="s">
        <v>25</v>
      </c>
      <c r="M4281" t="str">
        <f t="shared" si="168"/>
        <v>Na</v>
      </c>
      <c r="N4281" t="str">
        <f t="shared" si="169"/>
        <v>Na</v>
      </c>
      <c r="O4281" s="1" t="s">
        <v>25</v>
      </c>
      <c r="P4281" s="3" t="s">
        <v>25</v>
      </c>
      <c r="Q4281" s="37" t="s">
        <v>25</v>
      </c>
      <c r="R4281" t="str">
        <f t="shared" si="167"/>
        <v>Na</v>
      </c>
      <c r="S4281" s="13" t="s">
        <v>25</v>
      </c>
    </row>
    <row r="4282" spans="1:19">
      <c r="A4282" s="18" t="s">
        <v>4106</v>
      </c>
      <c r="B4282" s="1" t="s">
        <v>4449</v>
      </c>
      <c r="C4282" s="1" t="s">
        <v>5058</v>
      </c>
      <c r="D4282" s="1" t="s">
        <v>5062</v>
      </c>
      <c r="E4282" s="1" t="s">
        <v>25</v>
      </c>
      <c r="F4282">
        <v>580</v>
      </c>
      <c r="G4282">
        <v>580</v>
      </c>
      <c r="H4282">
        <v>114.5</v>
      </c>
      <c r="I4282" s="1" t="s">
        <v>1528</v>
      </c>
      <c r="J4282" s="1" t="s">
        <v>1336</v>
      </c>
      <c r="K4282" s="1" t="s">
        <v>25</v>
      </c>
      <c r="L4282" t="s">
        <v>25</v>
      </c>
      <c r="M4282" t="str">
        <f t="shared" si="168"/>
        <v>Na</v>
      </c>
      <c r="N4282" t="str">
        <f t="shared" si="169"/>
        <v>Na</v>
      </c>
      <c r="O4282" s="1" t="s">
        <v>25</v>
      </c>
      <c r="P4282" s="3" t="s">
        <v>25</v>
      </c>
      <c r="Q4282" s="37" t="s">
        <v>25</v>
      </c>
      <c r="R4282" t="str">
        <f t="shared" si="167"/>
        <v>Na</v>
      </c>
      <c r="S4282" s="13" t="s">
        <v>25</v>
      </c>
    </row>
    <row r="4283" spans="1:19">
      <c r="A4283" s="18" t="s">
        <v>4106</v>
      </c>
      <c r="B4283" s="1" t="s">
        <v>4450</v>
      </c>
      <c r="C4283" s="1" t="s">
        <v>5058</v>
      </c>
      <c r="D4283" s="1" t="s">
        <v>5062</v>
      </c>
      <c r="E4283" s="1" t="s">
        <v>25</v>
      </c>
      <c r="F4283">
        <v>580</v>
      </c>
      <c r="G4283">
        <v>580</v>
      </c>
      <c r="H4283">
        <v>116.5</v>
      </c>
      <c r="I4283" s="1" t="s">
        <v>1528</v>
      </c>
      <c r="J4283" s="1" t="s">
        <v>1336</v>
      </c>
      <c r="K4283" s="1" t="s">
        <v>25</v>
      </c>
      <c r="L4283" t="s">
        <v>25</v>
      </c>
      <c r="M4283" t="str">
        <f t="shared" si="168"/>
        <v>Na</v>
      </c>
      <c r="N4283" t="str">
        <f t="shared" si="169"/>
        <v>Na</v>
      </c>
      <c r="O4283" s="1" t="s">
        <v>25</v>
      </c>
      <c r="P4283" s="3" t="s">
        <v>25</v>
      </c>
      <c r="Q4283" s="37" t="s">
        <v>25</v>
      </c>
      <c r="R4283" t="str">
        <f t="shared" si="167"/>
        <v>Na</v>
      </c>
      <c r="S4283" s="13" t="s">
        <v>25</v>
      </c>
    </row>
    <row r="4284" spans="1:19">
      <c r="A4284" s="18" t="s">
        <v>4106</v>
      </c>
      <c r="B4284" s="1" t="s">
        <v>4451</v>
      </c>
      <c r="C4284" s="1" t="s">
        <v>5058</v>
      </c>
      <c r="D4284" s="1" t="s">
        <v>5062</v>
      </c>
      <c r="E4284" s="1" t="s">
        <v>25</v>
      </c>
      <c r="F4284">
        <v>580</v>
      </c>
      <c r="G4284">
        <v>580</v>
      </c>
      <c r="H4284">
        <v>121.60000000000001</v>
      </c>
      <c r="I4284" s="1" t="s">
        <v>1528</v>
      </c>
      <c r="J4284" s="1" t="s">
        <v>1336</v>
      </c>
      <c r="K4284" s="1" t="s">
        <v>25</v>
      </c>
      <c r="L4284" t="s">
        <v>25</v>
      </c>
      <c r="M4284" t="str">
        <f t="shared" si="168"/>
        <v>Na</v>
      </c>
      <c r="N4284" t="str">
        <f t="shared" si="169"/>
        <v>Na</v>
      </c>
      <c r="O4284" s="1" t="s">
        <v>25</v>
      </c>
      <c r="P4284" s="3" t="s">
        <v>25</v>
      </c>
      <c r="Q4284" s="37" t="s">
        <v>25</v>
      </c>
      <c r="R4284" t="str">
        <f t="shared" si="167"/>
        <v>Na</v>
      </c>
      <c r="S4284" s="13" t="s">
        <v>25</v>
      </c>
    </row>
    <row r="4285" spans="1:19">
      <c r="A4285" s="18" t="s">
        <v>4106</v>
      </c>
      <c r="B4285" s="1" t="s">
        <v>4452</v>
      </c>
      <c r="C4285" s="1" t="s">
        <v>5058</v>
      </c>
      <c r="D4285" s="1" t="s">
        <v>5062</v>
      </c>
      <c r="E4285" s="1" t="s">
        <v>25</v>
      </c>
      <c r="F4285">
        <v>580</v>
      </c>
      <c r="G4285">
        <v>580</v>
      </c>
      <c r="H4285">
        <v>0.6</v>
      </c>
      <c r="I4285" s="1" t="s">
        <v>1528</v>
      </c>
      <c r="J4285" s="1" t="s">
        <v>1491</v>
      </c>
      <c r="K4285" s="1" t="s">
        <v>25</v>
      </c>
      <c r="L4285">
        <v>-1.1299999999999999</v>
      </c>
      <c r="M4285" t="str">
        <f t="shared" si="168"/>
        <v>44/40</v>
      </c>
      <c r="N4285" t="str">
        <f t="shared" si="169"/>
        <v>SW</v>
      </c>
      <c r="O4285" s="1" t="s">
        <v>25</v>
      </c>
      <c r="P4285" s="3" t="s">
        <v>25</v>
      </c>
      <c r="Q4285" s="37">
        <v>0.140504082</v>
      </c>
      <c r="R4285" t="str">
        <f t="shared" si="167"/>
        <v>mmol/mol</v>
      </c>
      <c r="S4285" s="13">
        <f t="shared" ref="S4285:S4331" si="170">IF(NOT(N4285="SW"),L4285-1.88,L4285)</f>
        <v>-1.1299999999999999</v>
      </c>
    </row>
    <row r="4286" spans="1:19">
      <c r="A4286" s="18" t="s">
        <v>4106</v>
      </c>
      <c r="B4286" s="1" t="s">
        <v>4453</v>
      </c>
      <c r="C4286" s="1" t="s">
        <v>5058</v>
      </c>
      <c r="D4286" s="1" t="s">
        <v>5062</v>
      </c>
      <c r="E4286" s="1" t="s">
        <v>25</v>
      </c>
      <c r="F4286">
        <v>580</v>
      </c>
      <c r="G4286">
        <v>580</v>
      </c>
      <c r="H4286">
        <v>1.5</v>
      </c>
      <c r="I4286" s="1" t="s">
        <v>1528</v>
      </c>
      <c r="J4286" s="1" t="s">
        <v>1491</v>
      </c>
      <c r="K4286" s="1" t="s">
        <v>25</v>
      </c>
      <c r="L4286" t="s">
        <v>25</v>
      </c>
      <c r="M4286" t="str">
        <f t="shared" si="168"/>
        <v>Na</v>
      </c>
      <c r="N4286" t="str">
        <f t="shared" si="169"/>
        <v>Na</v>
      </c>
      <c r="O4286" s="1" t="s">
        <v>25</v>
      </c>
      <c r="P4286" s="3" t="s">
        <v>25</v>
      </c>
      <c r="Q4286" s="37" t="s">
        <v>25</v>
      </c>
      <c r="R4286" t="str">
        <f t="shared" si="167"/>
        <v>Na</v>
      </c>
      <c r="S4286" s="13" t="s">
        <v>25</v>
      </c>
    </row>
    <row r="4287" spans="1:19">
      <c r="A4287" s="18" t="s">
        <v>4106</v>
      </c>
      <c r="B4287" s="1" t="s">
        <v>4454</v>
      </c>
      <c r="C4287" s="1" t="s">
        <v>5058</v>
      </c>
      <c r="D4287" s="1" t="s">
        <v>5062</v>
      </c>
      <c r="E4287" s="1" t="s">
        <v>25</v>
      </c>
      <c r="F4287">
        <v>580</v>
      </c>
      <c r="G4287">
        <v>580</v>
      </c>
      <c r="H4287">
        <v>2.6</v>
      </c>
      <c r="I4287" s="1" t="s">
        <v>1528</v>
      </c>
      <c r="J4287" s="1" t="s">
        <v>1491</v>
      </c>
      <c r="K4287" s="1" t="s">
        <v>25</v>
      </c>
      <c r="L4287">
        <v>-1.21</v>
      </c>
      <c r="M4287" t="str">
        <f t="shared" si="168"/>
        <v>44/40</v>
      </c>
      <c r="N4287" t="str">
        <f t="shared" si="169"/>
        <v>SW</v>
      </c>
      <c r="O4287" s="1" t="s">
        <v>25</v>
      </c>
      <c r="P4287" s="3" t="s">
        <v>25</v>
      </c>
      <c r="Q4287" s="37">
        <v>0.18445668100000001</v>
      </c>
      <c r="R4287" t="str">
        <f t="shared" si="167"/>
        <v>mmol/mol</v>
      </c>
      <c r="S4287" s="13">
        <f t="shared" si="170"/>
        <v>-1.21</v>
      </c>
    </row>
    <row r="4288" spans="1:19">
      <c r="A4288" s="18" t="s">
        <v>4106</v>
      </c>
      <c r="B4288" s="1" t="s">
        <v>4455</v>
      </c>
      <c r="C4288" s="1" t="s">
        <v>5058</v>
      </c>
      <c r="D4288" s="1" t="s">
        <v>5062</v>
      </c>
      <c r="E4288" s="1" t="s">
        <v>25</v>
      </c>
      <c r="F4288">
        <v>580</v>
      </c>
      <c r="G4288">
        <v>580</v>
      </c>
      <c r="H4288">
        <v>3.8</v>
      </c>
      <c r="I4288" s="1" t="s">
        <v>1528</v>
      </c>
      <c r="J4288" s="1" t="s">
        <v>1491</v>
      </c>
      <c r="K4288" s="1" t="s">
        <v>25</v>
      </c>
      <c r="L4288" t="s">
        <v>25</v>
      </c>
      <c r="M4288" t="str">
        <f t="shared" si="168"/>
        <v>Na</v>
      </c>
      <c r="N4288" t="str">
        <f t="shared" si="169"/>
        <v>Na</v>
      </c>
      <c r="O4288" s="1" t="s">
        <v>25</v>
      </c>
      <c r="P4288" s="3" t="s">
        <v>25</v>
      </c>
      <c r="Q4288" s="37" t="s">
        <v>25</v>
      </c>
      <c r="R4288" t="str">
        <f t="shared" si="167"/>
        <v>Na</v>
      </c>
      <c r="S4288" s="13" t="s">
        <v>25</v>
      </c>
    </row>
    <row r="4289" spans="1:19">
      <c r="A4289" s="18" t="s">
        <v>4106</v>
      </c>
      <c r="B4289" s="1" t="s">
        <v>4456</v>
      </c>
      <c r="C4289" s="1" t="s">
        <v>5058</v>
      </c>
      <c r="D4289" s="1" t="s">
        <v>5062</v>
      </c>
      <c r="E4289" s="1" t="s">
        <v>25</v>
      </c>
      <c r="F4289">
        <v>580</v>
      </c>
      <c r="G4289">
        <v>580</v>
      </c>
      <c r="H4289">
        <v>4.3</v>
      </c>
      <c r="I4289" s="1" t="s">
        <v>1528</v>
      </c>
      <c r="J4289" s="1" t="s">
        <v>1491</v>
      </c>
      <c r="K4289" s="1" t="s">
        <v>25</v>
      </c>
      <c r="L4289">
        <v>-1.07</v>
      </c>
      <c r="M4289" t="str">
        <f t="shared" si="168"/>
        <v>44/40</v>
      </c>
      <c r="N4289" t="str">
        <f t="shared" si="169"/>
        <v>SW</v>
      </c>
      <c r="O4289" s="1" t="s">
        <v>25</v>
      </c>
      <c r="P4289" s="3" t="s">
        <v>25</v>
      </c>
      <c r="Q4289" s="37">
        <v>0.29332860500000002</v>
      </c>
      <c r="R4289" t="str">
        <f t="shared" si="167"/>
        <v>mmol/mol</v>
      </c>
      <c r="S4289" s="13">
        <f t="shared" si="170"/>
        <v>-1.07</v>
      </c>
    </row>
    <row r="4290" spans="1:19">
      <c r="A4290" s="18" t="s">
        <v>4106</v>
      </c>
      <c r="B4290" s="1" t="s">
        <v>4457</v>
      </c>
      <c r="C4290" s="1" t="s">
        <v>5058</v>
      </c>
      <c r="D4290" s="1" t="s">
        <v>5062</v>
      </c>
      <c r="E4290" s="1" t="s">
        <v>25</v>
      </c>
      <c r="F4290">
        <v>580</v>
      </c>
      <c r="G4290">
        <v>580</v>
      </c>
      <c r="H4290">
        <v>5.3</v>
      </c>
      <c r="I4290" s="1" t="s">
        <v>1528</v>
      </c>
      <c r="J4290" s="1" t="s">
        <v>1491</v>
      </c>
      <c r="K4290" s="1" t="s">
        <v>25</v>
      </c>
      <c r="L4290" t="s">
        <v>25</v>
      </c>
      <c r="M4290" t="str">
        <f t="shared" si="168"/>
        <v>Na</v>
      </c>
      <c r="N4290" t="str">
        <f t="shared" si="169"/>
        <v>Na</v>
      </c>
      <c r="O4290" s="1" t="s">
        <v>25</v>
      </c>
      <c r="P4290" s="3" t="s">
        <v>25</v>
      </c>
      <c r="Q4290" s="37" t="s">
        <v>25</v>
      </c>
      <c r="R4290" t="str">
        <f t="shared" si="167"/>
        <v>Na</v>
      </c>
      <c r="S4290" s="13" t="s">
        <v>25</v>
      </c>
    </row>
    <row r="4291" spans="1:19">
      <c r="A4291" s="18" t="s">
        <v>4106</v>
      </c>
      <c r="B4291" s="1" t="s">
        <v>4458</v>
      </c>
      <c r="C4291" s="1" t="s">
        <v>5058</v>
      </c>
      <c r="D4291" s="1" t="s">
        <v>5062</v>
      </c>
      <c r="E4291" s="1" t="s">
        <v>25</v>
      </c>
      <c r="F4291">
        <v>580</v>
      </c>
      <c r="G4291">
        <v>580</v>
      </c>
      <c r="H4291">
        <v>6.1</v>
      </c>
      <c r="I4291" s="1" t="s">
        <v>1528</v>
      </c>
      <c r="J4291" s="1" t="s">
        <v>1491</v>
      </c>
      <c r="K4291" s="1" t="s">
        <v>25</v>
      </c>
      <c r="L4291">
        <v>-1.0900000000000001</v>
      </c>
      <c r="M4291" t="str">
        <f t="shared" si="168"/>
        <v>44/40</v>
      </c>
      <c r="N4291" t="str">
        <f t="shared" si="169"/>
        <v>SW</v>
      </c>
      <c r="O4291" s="1" t="s">
        <v>25</v>
      </c>
      <c r="P4291" s="3" t="s">
        <v>25</v>
      </c>
      <c r="Q4291" s="37">
        <v>0.137568312</v>
      </c>
      <c r="R4291" t="str">
        <f t="shared" si="167"/>
        <v>mmol/mol</v>
      </c>
      <c r="S4291" s="13">
        <f t="shared" si="170"/>
        <v>-1.0900000000000001</v>
      </c>
    </row>
    <row r="4292" spans="1:19">
      <c r="A4292" s="18" t="s">
        <v>4106</v>
      </c>
      <c r="B4292" s="1" t="s">
        <v>4459</v>
      </c>
      <c r="C4292" s="1" t="s">
        <v>5058</v>
      </c>
      <c r="D4292" s="1" t="s">
        <v>5062</v>
      </c>
      <c r="E4292" s="1" t="s">
        <v>25</v>
      </c>
      <c r="F4292">
        <v>580</v>
      </c>
      <c r="G4292">
        <v>580</v>
      </c>
      <c r="H4292">
        <v>7.3</v>
      </c>
      <c r="I4292" s="1" t="s">
        <v>1528</v>
      </c>
      <c r="J4292" s="1" t="s">
        <v>1491</v>
      </c>
      <c r="K4292" s="1" t="s">
        <v>25</v>
      </c>
      <c r="L4292" t="s">
        <v>25</v>
      </c>
      <c r="M4292" t="str">
        <f t="shared" si="168"/>
        <v>Na</v>
      </c>
      <c r="N4292" t="str">
        <f t="shared" si="169"/>
        <v>Na</v>
      </c>
      <c r="O4292" s="1" t="s">
        <v>25</v>
      </c>
      <c r="P4292" s="3" t="s">
        <v>25</v>
      </c>
      <c r="Q4292" s="37" t="s">
        <v>25</v>
      </c>
      <c r="R4292" t="str">
        <f t="shared" si="167"/>
        <v>Na</v>
      </c>
      <c r="S4292" s="13" t="s">
        <v>25</v>
      </c>
    </row>
    <row r="4293" spans="1:19">
      <c r="A4293" s="18" t="s">
        <v>4106</v>
      </c>
      <c r="B4293" s="1" t="s">
        <v>4460</v>
      </c>
      <c r="C4293" s="1" t="s">
        <v>5058</v>
      </c>
      <c r="D4293" s="1" t="s">
        <v>5062</v>
      </c>
      <c r="E4293" s="1" t="s">
        <v>25</v>
      </c>
      <c r="F4293">
        <v>580</v>
      </c>
      <c r="G4293">
        <v>580</v>
      </c>
      <c r="H4293">
        <v>11</v>
      </c>
      <c r="I4293" s="1" t="s">
        <v>1528</v>
      </c>
      <c r="J4293" s="1" t="s">
        <v>1491</v>
      </c>
      <c r="K4293" s="1" t="s">
        <v>25</v>
      </c>
      <c r="L4293">
        <v>-1.1200000000000001</v>
      </c>
      <c r="M4293" t="str">
        <f t="shared" si="168"/>
        <v>44/40</v>
      </c>
      <c r="N4293" t="str">
        <f t="shared" si="169"/>
        <v>SW</v>
      </c>
      <c r="O4293" s="1" t="s">
        <v>25</v>
      </c>
      <c r="P4293" s="3" t="s">
        <v>25</v>
      </c>
      <c r="Q4293" s="37">
        <v>0.32598894299999998</v>
      </c>
      <c r="R4293" t="str">
        <f t="shared" si="167"/>
        <v>mmol/mol</v>
      </c>
      <c r="S4293" s="13">
        <f t="shared" si="170"/>
        <v>-1.1200000000000001</v>
      </c>
    </row>
    <row r="4294" spans="1:19">
      <c r="A4294" s="18" t="s">
        <v>4106</v>
      </c>
      <c r="B4294" s="1" t="s">
        <v>4461</v>
      </c>
      <c r="C4294" s="1" t="s">
        <v>5058</v>
      </c>
      <c r="D4294" s="1" t="s">
        <v>5062</v>
      </c>
      <c r="E4294" s="1" t="s">
        <v>25</v>
      </c>
      <c r="F4294">
        <v>580</v>
      </c>
      <c r="G4294">
        <v>580</v>
      </c>
      <c r="H4294">
        <v>16.100000000000001</v>
      </c>
      <c r="I4294" s="1" t="s">
        <v>1528</v>
      </c>
      <c r="J4294" s="1" t="s">
        <v>1491</v>
      </c>
      <c r="K4294" s="1" t="s">
        <v>25</v>
      </c>
      <c r="L4294" t="s">
        <v>25</v>
      </c>
      <c r="M4294" t="str">
        <f t="shared" si="168"/>
        <v>Na</v>
      </c>
      <c r="N4294" t="str">
        <f t="shared" si="169"/>
        <v>Na</v>
      </c>
      <c r="O4294" s="1" t="s">
        <v>25</v>
      </c>
      <c r="P4294" s="3" t="s">
        <v>25</v>
      </c>
      <c r="Q4294" s="37" t="s">
        <v>25</v>
      </c>
      <c r="R4294" t="str">
        <f t="shared" si="167"/>
        <v>Na</v>
      </c>
      <c r="S4294" s="13" t="s">
        <v>25</v>
      </c>
    </row>
    <row r="4295" spans="1:19">
      <c r="A4295" s="18" t="s">
        <v>4106</v>
      </c>
      <c r="B4295" s="1" t="s">
        <v>4462</v>
      </c>
      <c r="C4295" s="1" t="s">
        <v>5058</v>
      </c>
      <c r="D4295" s="1" t="s">
        <v>5062</v>
      </c>
      <c r="E4295" s="1" t="s">
        <v>25</v>
      </c>
      <c r="F4295">
        <v>580</v>
      </c>
      <c r="G4295">
        <v>580</v>
      </c>
      <c r="H4295">
        <v>19.7</v>
      </c>
      <c r="I4295" s="1" t="s">
        <v>1528</v>
      </c>
      <c r="J4295" s="1" t="s">
        <v>1491</v>
      </c>
      <c r="K4295" s="1" t="s">
        <v>25</v>
      </c>
      <c r="L4295">
        <v>-1.73</v>
      </c>
      <c r="M4295" t="str">
        <f t="shared" si="168"/>
        <v>44/40</v>
      </c>
      <c r="N4295" t="str">
        <f t="shared" si="169"/>
        <v>SW</v>
      </c>
      <c r="O4295" s="1" t="s">
        <v>25</v>
      </c>
      <c r="P4295" s="3" t="s">
        <v>25</v>
      </c>
      <c r="Q4295" s="37">
        <v>0.29122725900000002</v>
      </c>
      <c r="R4295" t="str">
        <f t="shared" si="167"/>
        <v>mmol/mol</v>
      </c>
      <c r="S4295" s="13">
        <f t="shared" si="170"/>
        <v>-1.73</v>
      </c>
    </row>
    <row r="4296" spans="1:19">
      <c r="A4296" s="18" t="s">
        <v>4106</v>
      </c>
      <c r="B4296" s="1" t="s">
        <v>4463</v>
      </c>
      <c r="C4296" s="1" t="s">
        <v>5058</v>
      </c>
      <c r="D4296" s="1" t="s">
        <v>5062</v>
      </c>
      <c r="E4296" s="1" t="s">
        <v>25</v>
      </c>
      <c r="F4296">
        <v>580</v>
      </c>
      <c r="G4296">
        <v>580</v>
      </c>
      <c r="H4296">
        <v>21.6</v>
      </c>
      <c r="I4296" s="1" t="s">
        <v>1528</v>
      </c>
      <c r="J4296" s="1" t="s">
        <v>1491</v>
      </c>
      <c r="K4296" s="1" t="s">
        <v>25</v>
      </c>
      <c r="L4296" t="s">
        <v>25</v>
      </c>
      <c r="M4296" t="str">
        <f t="shared" si="168"/>
        <v>Na</v>
      </c>
      <c r="N4296" t="str">
        <f t="shared" si="169"/>
        <v>Na</v>
      </c>
      <c r="O4296" s="1" t="s">
        <v>25</v>
      </c>
      <c r="P4296" s="3" t="s">
        <v>25</v>
      </c>
      <c r="Q4296" s="37" t="s">
        <v>25</v>
      </c>
      <c r="R4296" t="str">
        <f t="shared" si="167"/>
        <v>Na</v>
      </c>
      <c r="S4296" s="13" t="s">
        <v>25</v>
      </c>
    </row>
    <row r="4297" spans="1:19">
      <c r="A4297" s="18" t="s">
        <v>4106</v>
      </c>
      <c r="B4297" s="1" t="s">
        <v>4464</v>
      </c>
      <c r="C4297" s="1" t="s">
        <v>5058</v>
      </c>
      <c r="D4297" s="1" t="s">
        <v>5062</v>
      </c>
      <c r="E4297" s="1" t="s">
        <v>25</v>
      </c>
      <c r="F4297">
        <v>580</v>
      </c>
      <c r="G4297">
        <v>580</v>
      </c>
      <c r="H4297">
        <v>22.6</v>
      </c>
      <c r="I4297" s="1" t="s">
        <v>1528</v>
      </c>
      <c r="J4297" s="1" t="s">
        <v>1491</v>
      </c>
      <c r="K4297" s="1" t="s">
        <v>25</v>
      </c>
      <c r="L4297">
        <v>-1.23</v>
      </c>
      <c r="M4297" t="str">
        <f t="shared" si="168"/>
        <v>44/40</v>
      </c>
      <c r="N4297" t="str">
        <f t="shared" si="169"/>
        <v>SW</v>
      </c>
      <c r="O4297" s="1" t="s">
        <v>25</v>
      </c>
      <c r="P4297" s="3" t="s">
        <v>25</v>
      </c>
      <c r="Q4297" s="37">
        <v>0.22532834800000001</v>
      </c>
      <c r="R4297" t="str">
        <f t="shared" si="167"/>
        <v>mmol/mol</v>
      </c>
      <c r="S4297" s="13">
        <f t="shared" si="170"/>
        <v>-1.23</v>
      </c>
    </row>
    <row r="4298" spans="1:19">
      <c r="A4298" s="18" t="s">
        <v>4106</v>
      </c>
      <c r="B4298" s="1" t="s">
        <v>4465</v>
      </c>
      <c r="C4298" s="1" t="s">
        <v>5058</v>
      </c>
      <c r="D4298" s="1" t="s">
        <v>5062</v>
      </c>
      <c r="E4298" s="1" t="s">
        <v>25</v>
      </c>
      <c r="F4298">
        <v>580</v>
      </c>
      <c r="G4298">
        <v>580</v>
      </c>
      <c r="H4298">
        <v>23</v>
      </c>
      <c r="I4298" s="1" t="s">
        <v>1528</v>
      </c>
      <c r="J4298" s="1" t="s">
        <v>1491</v>
      </c>
      <c r="K4298" s="1" t="s">
        <v>25</v>
      </c>
      <c r="L4298" t="s">
        <v>25</v>
      </c>
      <c r="M4298" t="str">
        <f t="shared" si="168"/>
        <v>Na</v>
      </c>
      <c r="N4298" t="str">
        <f t="shared" si="169"/>
        <v>Na</v>
      </c>
      <c r="O4298" s="1" t="s">
        <v>25</v>
      </c>
      <c r="P4298" s="3" t="s">
        <v>25</v>
      </c>
      <c r="Q4298" s="37" t="s">
        <v>25</v>
      </c>
      <c r="R4298" t="str">
        <f t="shared" si="167"/>
        <v>Na</v>
      </c>
      <c r="S4298" s="13" t="s">
        <v>25</v>
      </c>
    </row>
    <row r="4299" spans="1:19">
      <c r="A4299" s="18" t="s">
        <v>4106</v>
      </c>
      <c r="B4299" s="1" t="s">
        <v>4466</v>
      </c>
      <c r="C4299" s="1" t="s">
        <v>5058</v>
      </c>
      <c r="D4299" s="1" t="s">
        <v>5062</v>
      </c>
      <c r="E4299" s="1" t="s">
        <v>25</v>
      </c>
      <c r="F4299">
        <v>580</v>
      </c>
      <c r="G4299">
        <v>580</v>
      </c>
      <c r="H4299">
        <v>23.8</v>
      </c>
      <c r="I4299" s="1" t="s">
        <v>1528</v>
      </c>
      <c r="J4299" s="1" t="s">
        <v>1491</v>
      </c>
      <c r="K4299" s="1" t="s">
        <v>25</v>
      </c>
      <c r="L4299">
        <v>-1.48</v>
      </c>
      <c r="M4299" t="str">
        <f t="shared" si="168"/>
        <v>44/40</v>
      </c>
      <c r="N4299" t="str">
        <f t="shared" si="169"/>
        <v>SW</v>
      </c>
      <c r="O4299" s="1" t="s">
        <v>25</v>
      </c>
      <c r="P4299" s="3" t="s">
        <v>25</v>
      </c>
      <c r="Q4299" s="37">
        <v>0.243294134</v>
      </c>
      <c r="R4299" t="str">
        <f t="shared" si="167"/>
        <v>mmol/mol</v>
      </c>
      <c r="S4299" s="13">
        <f t="shared" si="170"/>
        <v>-1.48</v>
      </c>
    </row>
    <row r="4300" spans="1:19">
      <c r="A4300" s="18" t="s">
        <v>4106</v>
      </c>
      <c r="B4300" s="1" t="s">
        <v>4467</v>
      </c>
      <c r="C4300" s="1" t="s">
        <v>5058</v>
      </c>
      <c r="D4300" s="1" t="s">
        <v>5062</v>
      </c>
      <c r="E4300" s="1" t="s">
        <v>25</v>
      </c>
      <c r="F4300">
        <v>580</v>
      </c>
      <c r="G4300">
        <v>580</v>
      </c>
      <c r="H4300">
        <v>26.3</v>
      </c>
      <c r="I4300" s="1" t="s">
        <v>1528</v>
      </c>
      <c r="J4300" s="1" t="s">
        <v>1491</v>
      </c>
      <c r="K4300" s="1" t="s">
        <v>25</v>
      </c>
      <c r="L4300" t="s">
        <v>25</v>
      </c>
      <c r="M4300" t="str">
        <f t="shared" si="168"/>
        <v>Na</v>
      </c>
      <c r="N4300" t="str">
        <f t="shared" si="169"/>
        <v>Na</v>
      </c>
      <c r="O4300" s="1" t="s">
        <v>25</v>
      </c>
      <c r="P4300" s="3" t="s">
        <v>25</v>
      </c>
      <c r="Q4300" s="37" t="s">
        <v>25</v>
      </c>
      <c r="R4300" t="str">
        <f t="shared" si="167"/>
        <v>Na</v>
      </c>
      <c r="S4300" s="13" t="s">
        <v>25</v>
      </c>
    </row>
    <row r="4301" spans="1:19">
      <c r="A4301" s="18" t="s">
        <v>4106</v>
      </c>
      <c r="B4301" s="1" t="s">
        <v>4468</v>
      </c>
      <c r="C4301" s="1" t="s">
        <v>5058</v>
      </c>
      <c r="D4301" s="1" t="s">
        <v>5062</v>
      </c>
      <c r="E4301" s="1" t="s">
        <v>25</v>
      </c>
      <c r="F4301">
        <v>580</v>
      </c>
      <c r="G4301">
        <v>580</v>
      </c>
      <c r="H4301">
        <v>27.7</v>
      </c>
      <c r="I4301" s="1" t="s">
        <v>1528</v>
      </c>
      <c r="J4301" s="1" t="s">
        <v>1491</v>
      </c>
      <c r="K4301" s="1" t="s">
        <v>25</v>
      </c>
      <c r="L4301">
        <v>-1.05</v>
      </c>
      <c r="M4301" t="str">
        <f t="shared" si="168"/>
        <v>44/40</v>
      </c>
      <c r="N4301" t="str">
        <f t="shared" si="169"/>
        <v>SW</v>
      </c>
      <c r="O4301" s="1" t="s">
        <v>25</v>
      </c>
      <c r="P4301" s="3" t="s">
        <v>25</v>
      </c>
      <c r="Q4301" s="37">
        <v>0.214521447</v>
      </c>
      <c r="R4301" t="str">
        <f t="shared" si="167"/>
        <v>mmol/mol</v>
      </c>
      <c r="S4301" s="13">
        <f t="shared" si="170"/>
        <v>-1.05</v>
      </c>
    </row>
    <row r="4302" spans="1:19">
      <c r="A4302" s="18" t="s">
        <v>4106</v>
      </c>
      <c r="B4302" s="1" t="s">
        <v>4469</v>
      </c>
      <c r="C4302" s="1" t="s">
        <v>5058</v>
      </c>
      <c r="D4302" s="1" t="s">
        <v>5062</v>
      </c>
      <c r="E4302" s="1" t="s">
        <v>25</v>
      </c>
      <c r="F4302">
        <v>580</v>
      </c>
      <c r="G4302">
        <v>580</v>
      </c>
      <c r="H4302">
        <v>28.7</v>
      </c>
      <c r="I4302" s="1" t="s">
        <v>1528</v>
      </c>
      <c r="J4302" s="1" t="s">
        <v>1491</v>
      </c>
      <c r="K4302" s="1" t="s">
        <v>25</v>
      </c>
      <c r="L4302" t="s">
        <v>25</v>
      </c>
      <c r="M4302" t="str">
        <f t="shared" si="168"/>
        <v>Na</v>
      </c>
      <c r="N4302" t="str">
        <f t="shared" si="169"/>
        <v>Na</v>
      </c>
      <c r="O4302" s="1" t="s">
        <v>25</v>
      </c>
      <c r="P4302" s="3" t="s">
        <v>25</v>
      </c>
      <c r="Q4302" s="37" t="s">
        <v>25</v>
      </c>
      <c r="R4302" t="str">
        <f t="shared" si="167"/>
        <v>Na</v>
      </c>
      <c r="S4302" s="13" t="s">
        <v>25</v>
      </c>
    </row>
    <row r="4303" spans="1:19">
      <c r="A4303" s="18" t="s">
        <v>4106</v>
      </c>
      <c r="B4303" s="1" t="s">
        <v>4470</v>
      </c>
      <c r="C4303" s="1" t="s">
        <v>5058</v>
      </c>
      <c r="D4303" s="1" t="s">
        <v>5062</v>
      </c>
      <c r="E4303" s="1" t="s">
        <v>25</v>
      </c>
      <c r="F4303">
        <v>580</v>
      </c>
      <c r="G4303">
        <v>580</v>
      </c>
      <c r="H4303">
        <v>29.5</v>
      </c>
      <c r="I4303" s="1" t="s">
        <v>1528</v>
      </c>
      <c r="J4303" s="1" t="s">
        <v>1491</v>
      </c>
      <c r="K4303" s="1" t="s">
        <v>25</v>
      </c>
      <c r="L4303">
        <v>-1</v>
      </c>
      <c r="M4303" t="str">
        <f t="shared" si="168"/>
        <v>44/40</v>
      </c>
      <c r="N4303" t="str">
        <f t="shared" si="169"/>
        <v>SW</v>
      </c>
      <c r="O4303" s="1" t="s">
        <v>25</v>
      </c>
      <c r="P4303" s="3" t="s">
        <v>25</v>
      </c>
      <c r="Q4303" s="37">
        <v>0.23892144000000001</v>
      </c>
      <c r="R4303" t="str">
        <f t="shared" si="167"/>
        <v>mmol/mol</v>
      </c>
      <c r="S4303" s="13">
        <f t="shared" si="170"/>
        <v>-1</v>
      </c>
    </row>
    <row r="4304" spans="1:19">
      <c r="A4304" s="18" t="s">
        <v>4106</v>
      </c>
      <c r="B4304" s="1" t="s">
        <v>4471</v>
      </c>
      <c r="C4304" s="1" t="s">
        <v>5058</v>
      </c>
      <c r="D4304" s="1" t="s">
        <v>5062</v>
      </c>
      <c r="E4304" s="1" t="s">
        <v>25</v>
      </c>
      <c r="F4304">
        <v>580</v>
      </c>
      <c r="G4304">
        <v>580</v>
      </c>
      <c r="H4304">
        <v>31.2</v>
      </c>
      <c r="I4304" s="1" t="s">
        <v>1528</v>
      </c>
      <c r="J4304" s="1" t="s">
        <v>1491</v>
      </c>
      <c r="K4304" s="1" t="s">
        <v>25</v>
      </c>
      <c r="L4304" t="s">
        <v>25</v>
      </c>
      <c r="M4304" t="str">
        <f t="shared" si="168"/>
        <v>Na</v>
      </c>
      <c r="N4304" t="str">
        <f t="shared" si="169"/>
        <v>Na</v>
      </c>
      <c r="O4304" s="1" t="s">
        <v>25</v>
      </c>
      <c r="P4304" s="3" t="s">
        <v>25</v>
      </c>
      <c r="Q4304" s="37" t="s">
        <v>25</v>
      </c>
      <c r="R4304" t="str">
        <f t="shared" si="167"/>
        <v>Na</v>
      </c>
      <c r="S4304" s="13" t="s">
        <v>25</v>
      </c>
    </row>
    <row r="4305" spans="1:19">
      <c r="A4305" s="18" t="s">
        <v>4106</v>
      </c>
      <c r="B4305" s="1" t="s">
        <v>4472</v>
      </c>
      <c r="C4305" s="1" t="s">
        <v>5058</v>
      </c>
      <c r="D4305" s="1" t="s">
        <v>5062</v>
      </c>
      <c r="E4305" s="1" t="s">
        <v>25</v>
      </c>
      <c r="F4305">
        <v>580</v>
      </c>
      <c r="G4305">
        <v>580</v>
      </c>
      <c r="H4305">
        <v>32.1</v>
      </c>
      <c r="I4305" s="1" t="s">
        <v>1528</v>
      </c>
      <c r="J4305" s="1" t="s">
        <v>1491</v>
      </c>
      <c r="K4305" s="1" t="s">
        <v>25</v>
      </c>
      <c r="L4305">
        <v>-1.1299999999999999</v>
      </c>
      <c r="M4305" t="str">
        <f t="shared" si="168"/>
        <v>44/40</v>
      </c>
      <c r="N4305" t="str">
        <f t="shared" si="169"/>
        <v>SW</v>
      </c>
      <c r="O4305" s="1" t="s">
        <v>25</v>
      </c>
      <c r="P4305" s="3" t="s">
        <v>25</v>
      </c>
      <c r="Q4305" s="37">
        <v>0.22756278099999999</v>
      </c>
      <c r="R4305" t="str">
        <f t="shared" si="167"/>
        <v>mmol/mol</v>
      </c>
      <c r="S4305" s="13">
        <f t="shared" si="170"/>
        <v>-1.1299999999999999</v>
      </c>
    </row>
    <row r="4306" spans="1:19">
      <c r="A4306" s="18" t="s">
        <v>4106</v>
      </c>
      <c r="B4306" s="1" t="s">
        <v>4473</v>
      </c>
      <c r="C4306" s="1" t="s">
        <v>5058</v>
      </c>
      <c r="D4306" s="1" t="s">
        <v>5062</v>
      </c>
      <c r="E4306" s="1" t="s">
        <v>25</v>
      </c>
      <c r="F4306">
        <v>580</v>
      </c>
      <c r="G4306">
        <v>580</v>
      </c>
      <c r="H4306">
        <v>33.1</v>
      </c>
      <c r="I4306" s="1" t="s">
        <v>1528</v>
      </c>
      <c r="J4306" s="1" t="s">
        <v>1491</v>
      </c>
      <c r="K4306" s="1" t="s">
        <v>25</v>
      </c>
      <c r="L4306" t="s">
        <v>25</v>
      </c>
      <c r="M4306" t="str">
        <f t="shared" si="168"/>
        <v>Na</v>
      </c>
      <c r="N4306" t="str">
        <f t="shared" si="169"/>
        <v>Na</v>
      </c>
      <c r="O4306" s="1" t="s">
        <v>25</v>
      </c>
      <c r="P4306" s="3" t="s">
        <v>25</v>
      </c>
      <c r="Q4306" s="37" t="s">
        <v>25</v>
      </c>
      <c r="R4306" t="str">
        <f t="shared" si="167"/>
        <v>Na</v>
      </c>
      <c r="S4306" s="13" t="s">
        <v>25</v>
      </c>
    </row>
    <row r="4307" spans="1:19">
      <c r="A4307" s="18" t="s">
        <v>4106</v>
      </c>
      <c r="B4307" s="1" t="s">
        <v>4474</v>
      </c>
      <c r="C4307" s="1" t="s">
        <v>5058</v>
      </c>
      <c r="D4307" s="1" t="s">
        <v>5062</v>
      </c>
      <c r="E4307" s="1" t="s">
        <v>25</v>
      </c>
      <c r="F4307">
        <v>580</v>
      </c>
      <c r="G4307">
        <v>580</v>
      </c>
      <c r="H4307">
        <v>34.799999999999997</v>
      </c>
      <c r="I4307" s="1" t="s">
        <v>1528</v>
      </c>
      <c r="J4307" s="1" t="s">
        <v>1491</v>
      </c>
      <c r="K4307" s="1" t="s">
        <v>25</v>
      </c>
      <c r="L4307">
        <v>-1.1000000000000001</v>
      </c>
      <c r="M4307" t="str">
        <f t="shared" si="168"/>
        <v>44/40</v>
      </c>
      <c r="N4307" t="str">
        <f t="shared" si="169"/>
        <v>SW</v>
      </c>
      <c r="O4307" s="1" t="s">
        <v>25</v>
      </c>
      <c r="P4307" s="3" t="s">
        <v>25</v>
      </c>
      <c r="Q4307" s="37">
        <v>0.238812513</v>
      </c>
      <c r="R4307" t="str">
        <f t="shared" si="167"/>
        <v>mmol/mol</v>
      </c>
      <c r="S4307" s="13">
        <f t="shared" si="170"/>
        <v>-1.1000000000000001</v>
      </c>
    </row>
    <row r="4308" spans="1:19">
      <c r="A4308" s="18" t="s">
        <v>4106</v>
      </c>
      <c r="B4308" s="1" t="s">
        <v>4475</v>
      </c>
      <c r="C4308" s="1" t="s">
        <v>5058</v>
      </c>
      <c r="D4308" s="1" t="s">
        <v>5062</v>
      </c>
      <c r="E4308" s="1" t="s">
        <v>25</v>
      </c>
      <c r="F4308">
        <v>580</v>
      </c>
      <c r="G4308">
        <v>580</v>
      </c>
      <c r="H4308">
        <v>35.5</v>
      </c>
      <c r="I4308" s="1" t="s">
        <v>1528</v>
      </c>
      <c r="J4308" s="1" t="s">
        <v>1491</v>
      </c>
      <c r="K4308" s="1" t="s">
        <v>25</v>
      </c>
      <c r="L4308" t="s">
        <v>25</v>
      </c>
      <c r="M4308" t="str">
        <f t="shared" si="168"/>
        <v>Na</v>
      </c>
      <c r="N4308" t="str">
        <f t="shared" si="169"/>
        <v>Na</v>
      </c>
      <c r="O4308" s="1" t="s">
        <v>25</v>
      </c>
      <c r="P4308" s="3" t="s">
        <v>25</v>
      </c>
      <c r="Q4308" s="37" t="s">
        <v>25</v>
      </c>
      <c r="R4308" t="str">
        <f t="shared" si="167"/>
        <v>Na</v>
      </c>
      <c r="S4308" s="13" t="s">
        <v>25</v>
      </c>
    </row>
    <row r="4309" spans="1:19">
      <c r="A4309" s="18" t="s">
        <v>4106</v>
      </c>
      <c r="B4309" s="1" t="s">
        <v>4476</v>
      </c>
      <c r="C4309" s="1" t="s">
        <v>5058</v>
      </c>
      <c r="D4309" s="1" t="s">
        <v>5062</v>
      </c>
      <c r="E4309" s="1" t="s">
        <v>25</v>
      </c>
      <c r="F4309">
        <v>580</v>
      </c>
      <c r="G4309">
        <v>580</v>
      </c>
      <c r="H4309">
        <v>36.700000000000003</v>
      </c>
      <c r="I4309" s="1" t="s">
        <v>1528</v>
      </c>
      <c r="J4309" s="1" t="s">
        <v>1491</v>
      </c>
      <c r="K4309" s="1" t="s">
        <v>25</v>
      </c>
      <c r="L4309">
        <v>-1.22</v>
      </c>
      <c r="M4309" t="str">
        <f t="shared" si="168"/>
        <v>44/40</v>
      </c>
      <c r="N4309" t="str">
        <f t="shared" si="169"/>
        <v>SW</v>
      </c>
      <c r="O4309" s="1" t="s">
        <v>25</v>
      </c>
      <c r="P4309" s="3" t="s">
        <v>25</v>
      </c>
      <c r="Q4309" s="37">
        <v>0.24171626900000001</v>
      </c>
      <c r="R4309" t="str">
        <f t="shared" si="167"/>
        <v>mmol/mol</v>
      </c>
      <c r="S4309" s="13">
        <f t="shared" si="170"/>
        <v>-1.22</v>
      </c>
    </row>
    <row r="4310" spans="1:19">
      <c r="A4310" s="18" t="s">
        <v>4106</v>
      </c>
      <c r="B4310" s="1" t="s">
        <v>4477</v>
      </c>
      <c r="C4310" s="1" t="s">
        <v>5058</v>
      </c>
      <c r="D4310" s="1" t="s">
        <v>5062</v>
      </c>
      <c r="E4310" s="1" t="s">
        <v>25</v>
      </c>
      <c r="F4310">
        <v>580</v>
      </c>
      <c r="G4310">
        <v>580</v>
      </c>
      <c r="H4310">
        <v>37.799999999999997</v>
      </c>
      <c r="I4310" s="1" t="s">
        <v>1528</v>
      </c>
      <c r="J4310" s="1" t="s">
        <v>1491</v>
      </c>
      <c r="K4310" s="1" t="s">
        <v>25</v>
      </c>
      <c r="L4310" t="s">
        <v>25</v>
      </c>
      <c r="M4310" t="str">
        <f t="shared" si="168"/>
        <v>Na</v>
      </c>
      <c r="N4310" t="str">
        <f t="shared" si="169"/>
        <v>Na</v>
      </c>
      <c r="O4310" s="1" t="s">
        <v>25</v>
      </c>
      <c r="P4310" s="3" t="s">
        <v>25</v>
      </c>
      <c r="Q4310" s="37" t="s">
        <v>25</v>
      </c>
      <c r="R4310" t="str">
        <f t="shared" si="167"/>
        <v>Na</v>
      </c>
      <c r="S4310" s="13" t="s">
        <v>25</v>
      </c>
    </row>
    <row r="4311" spans="1:19">
      <c r="A4311" s="18" t="s">
        <v>4106</v>
      </c>
      <c r="B4311" s="1" t="s">
        <v>4478</v>
      </c>
      <c r="C4311" s="1" t="s">
        <v>5058</v>
      </c>
      <c r="D4311" s="1" t="s">
        <v>5062</v>
      </c>
      <c r="E4311" s="1" t="s">
        <v>25</v>
      </c>
      <c r="F4311">
        <v>580</v>
      </c>
      <c r="G4311">
        <v>580</v>
      </c>
      <c r="H4311">
        <v>39.1</v>
      </c>
      <c r="I4311" s="1" t="s">
        <v>1528</v>
      </c>
      <c r="J4311" s="1" t="s">
        <v>1491</v>
      </c>
      <c r="K4311" s="1" t="s">
        <v>25</v>
      </c>
      <c r="L4311">
        <v>-1.03</v>
      </c>
      <c r="M4311" t="str">
        <f t="shared" si="168"/>
        <v>44/40</v>
      </c>
      <c r="N4311" t="str">
        <f t="shared" si="169"/>
        <v>SW</v>
      </c>
      <c r="O4311" s="1" t="s">
        <v>25</v>
      </c>
      <c r="P4311" s="3" t="s">
        <v>25</v>
      </c>
      <c r="Q4311" s="37">
        <v>0.243671844</v>
      </c>
      <c r="R4311" t="str">
        <f t="shared" si="167"/>
        <v>mmol/mol</v>
      </c>
      <c r="S4311" s="13">
        <f t="shared" si="170"/>
        <v>-1.03</v>
      </c>
    </row>
    <row r="4312" spans="1:19">
      <c r="A4312" s="18" t="s">
        <v>4106</v>
      </c>
      <c r="B4312" s="1" t="s">
        <v>4479</v>
      </c>
      <c r="C4312" s="1" t="s">
        <v>5058</v>
      </c>
      <c r="D4312" s="1" t="s">
        <v>5062</v>
      </c>
      <c r="E4312" s="1" t="s">
        <v>25</v>
      </c>
      <c r="F4312">
        <v>580</v>
      </c>
      <c r="G4312">
        <v>580</v>
      </c>
      <c r="H4312">
        <v>40.700000000000003</v>
      </c>
      <c r="I4312" s="1" t="s">
        <v>1528</v>
      </c>
      <c r="J4312" s="1" t="s">
        <v>1491</v>
      </c>
      <c r="K4312" s="1" t="s">
        <v>25</v>
      </c>
      <c r="L4312" t="s">
        <v>25</v>
      </c>
      <c r="M4312" t="str">
        <f t="shared" si="168"/>
        <v>Na</v>
      </c>
      <c r="N4312" t="str">
        <f t="shared" si="169"/>
        <v>Na</v>
      </c>
      <c r="O4312" s="1" t="s">
        <v>25</v>
      </c>
      <c r="P4312" s="3" t="s">
        <v>25</v>
      </c>
      <c r="Q4312" s="37" t="s">
        <v>25</v>
      </c>
      <c r="R4312" t="str">
        <f t="shared" si="167"/>
        <v>Na</v>
      </c>
      <c r="S4312" s="13" t="s">
        <v>25</v>
      </c>
    </row>
    <row r="4313" spans="1:19">
      <c r="A4313" s="18" t="s">
        <v>4106</v>
      </c>
      <c r="B4313" s="1" t="s">
        <v>4480</v>
      </c>
      <c r="C4313" s="1" t="s">
        <v>5058</v>
      </c>
      <c r="D4313" s="1" t="s">
        <v>5062</v>
      </c>
      <c r="E4313" s="1" t="s">
        <v>25</v>
      </c>
      <c r="F4313">
        <v>580</v>
      </c>
      <c r="G4313">
        <v>580</v>
      </c>
      <c r="H4313">
        <v>41.5</v>
      </c>
      <c r="I4313" s="1" t="s">
        <v>1528</v>
      </c>
      <c r="J4313" s="1" t="s">
        <v>1491</v>
      </c>
      <c r="K4313" s="1" t="s">
        <v>25</v>
      </c>
      <c r="L4313">
        <v>-1.1000000000000001</v>
      </c>
      <c r="M4313" t="str">
        <f t="shared" si="168"/>
        <v>44/40</v>
      </c>
      <c r="N4313" t="str">
        <f t="shared" si="169"/>
        <v>SW</v>
      </c>
      <c r="O4313" s="1" t="s">
        <v>25</v>
      </c>
      <c r="P4313" s="3" t="s">
        <v>25</v>
      </c>
      <c r="Q4313" s="37">
        <v>0.22788109000000001</v>
      </c>
      <c r="R4313" t="str">
        <f t="shared" ref="R4313:R4376" si="171">IF(Q4313="Na","Na","mmol/mol")</f>
        <v>mmol/mol</v>
      </c>
      <c r="S4313" s="13">
        <f t="shared" si="170"/>
        <v>-1.1000000000000001</v>
      </c>
    </row>
    <row r="4314" spans="1:19">
      <c r="A4314" s="18" t="s">
        <v>4106</v>
      </c>
      <c r="B4314" s="1" t="s">
        <v>4481</v>
      </c>
      <c r="C4314" s="1" t="s">
        <v>5058</v>
      </c>
      <c r="D4314" s="1" t="s">
        <v>5062</v>
      </c>
      <c r="E4314" s="1" t="s">
        <v>25</v>
      </c>
      <c r="F4314">
        <v>580</v>
      </c>
      <c r="G4314">
        <v>580</v>
      </c>
      <c r="H4314">
        <v>44.1</v>
      </c>
      <c r="I4314" s="1" t="s">
        <v>1528</v>
      </c>
      <c r="J4314" s="1" t="s">
        <v>1491</v>
      </c>
      <c r="K4314" s="1" t="s">
        <v>25</v>
      </c>
      <c r="L4314" t="s">
        <v>25</v>
      </c>
      <c r="M4314" t="str">
        <f t="shared" si="168"/>
        <v>Na</v>
      </c>
      <c r="N4314" t="str">
        <f t="shared" si="169"/>
        <v>Na</v>
      </c>
      <c r="O4314" s="1" t="s">
        <v>25</v>
      </c>
      <c r="P4314" s="3" t="s">
        <v>25</v>
      </c>
      <c r="Q4314" s="37" t="s">
        <v>25</v>
      </c>
      <c r="R4314" t="str">
        <f t="shared" si="171"/>
        <v>Na</v>
      </c>
      <c r="S4314" s="13" t="s">
        <v>25</v>
      </c>
    </row>
    <row r="4315" spans="1:19">
      <c r="A4315" s="18" t="s">
        <v>4106</v>
      </c>
      <c r="B4315" s="1" t="s">
        <v>4482</v>
      </c>
      <c r="C4315" s="1" t="s">
        <v>5058</v>
      </c>
      <c r="D4315" s="1" t="s">
        <v>5062</v>
      </c>
      <c r="E4315" s="1" t="s">
        <v>25</v>
      </c>
      <c r="F4315">
        <v>580</v>
      </c>
      <c r="G4315">
        <v>580</v>
      </c>
      <c r="H4315">
        <v>45.3</v>
      </c>
      <c r="I4315" s="1" t="s">
        <v>1528</v>
      </c>
      <c r="J4315" s="1" t="s">
        <v>1491</v>
      </c>
      <c r="K4315" s="1" t="s">
        <v>25</v>
      </c>
      <c r="L4315">
        <v>-1.58</v>
      </c>
      <c r="M4315" t="str">
        <f t="shared" si="168"/>
        <v>44/40</v>
      </c>
      <c r="N4315" t="str">
        <f t="shared" si="169"/>
        <v>SW</v>
      </c>
      <c r="O4315" s="1" t="s">
        <v>25</v>
      </c>
      <c r="P4315" s="3" t="s">
        <v>25</v>
      </c>
      <c r="Q4315" s="37">
        <v>0.21021986200000001</v>
      </c>
      <c r="R4315" t="str">
        <f t="shared" si="171"/>
        <v>mmol/mol</v>
      </c>
      <c r="S4315" s="13">
        <f t="shared" si="170"/>
        <v>-1.58</v>
      </c>
    </row>
    <row r="4316" spans="1:19">
      <c r="A4316" s="18" t="s">
        <v>4106</v>
      </c>
      <c r="B4316" s="1" t="s">
        <v>4483</v>
      </c>
      <c r="C4316" s="1" t="s">
        <v>5058</v>
      </c>
      <c r="D4316" s="1" t="s">
        <v>5062</v>
      </c>
      <c r="E4316" s="1" t="s">
        <v>25</v>
      </c>
      <c r="F4316">
        <v>580</v>
      </c>
      <c r="G4316">
        <v>580</v>
      </c>
      <c r="H4316">
        <v>46.2</v>
      </c>
      <c r="I4316" s="1" t="s">
        <v>1528</v>
      </c>
      <c r="J4316" s="1" t="s">
        <v>1491</v>
      </c>
      <c r="K4316" s="1" t="s">
        <v>25</v>
      </c>
      <c r="L4316" t="s">
        <v>25</v>
      </c>
      <c r="M4316" t="str">
        <f t="shared" si="168"/>
        <v>Na</v>
      </c>
      <c r="N4316" t="str">
        <f t="shared" si="169"/>
        <v>Na</v>
      </c>
      <c r="O4316" s="1" t="s">
        <v>25</v>
      </c>
      <c r="P4316" s="3" t="s">
        <v>25</v>
      </c>
      <c r="Q4316" s="37" t="s">
        <v>25</v>
      </c>
      <c r="R4316" t="str">
        <f t="shared" si="171"/>
        <v>Na</v>
      </c>
      <c r="S4316" s="13" t="s">
        <v>25</v>
      </c>
    </row>
    <row r="4317" spans="1:19">
      <c r="A4317" s="18" t="s">
        <v>4106</v>
      </c>
      <c r="B4317" s="1" t="s">
        <v>4484</v>
      </c>
      <c r="C4317" s="1" t="s">
        <v>5058</v>
      </c>
      <c r="D4317" s="1" t="s">
        <v>5062</v>
      </c>
      <c r="E4317" s="1" t="s">
        <v>25</v>
      </c>
      <c r="F4317">
        <v>580</v>
      </c>
      <c r="G4317">
        <v>580</v>
      </c>
      <c r="H4317">
        <v>47.2</v>
      </c>
      <c r="I4317" s="1" t="s">
        <v>1528</v>
      </c>
      <c r="J4317" s="1" t="s">
        <v>1491</v>
      </c>
      <c r="K4317" s="1" t="s">
        <v>25</v>
      </c>
      <c r="L4317">
        <v>-1.02</v>
      </c>
      <c r="M4317" t="str">
        <f t="shared" si="168"/>
        <v>44/40</v>
      </c>
      <c r="N4317" t="str">
        <f t="shared" si="169"/>
        <v>SW</v>
      </c>
      <c r="O4317" s="1" t="s">
        <v>25</v>
      </c>
      <c r="P4317" s="3" t="s">
        <v>25</v>
      </c>
      <c r="Q4317" s="37">
        <v>0.18910143500000001</v>
      </c>
      <c r="R4317" t="str">
        <f t="shared" si="171"/>
        <v>mmol/mol</v>
      </c>
      <c r="S4317" s="13">
        <f t="shared" si="170"/>
        <v>-1.02</v>
      </c>
    </row>
    <row r="4318" spans="1:19">
      <c r="A4318" s="18" t="s">
        <v>4106</v>
      </c>
      <c r="B4318" s="1" t="s">
        <v>4485</v>
      </c>
      <c r="C4318" s="1" t="s">
        <v>5058</v>
      </c>
      <c r="D4318" s="1" t="s">
        <v>5062</v>
      </c>
      <c r="E4318" s="1" t="s">
        <v>25</v>
      </c>
      <c r="F4318">
        <v>580</v>
      </c>
      <c r="G4318">
        <v>580</v>
      </c>
      <c r="H4318">
        <v>48.9</v>
      </c>
      <c r="I4318" s="1" t="s">
        <v>1528</v>
      </c>
      <c r="J4318" s="1" t="s">
        <v>1491</v>
      </c>
      <c r="K4318" s="1" t="s">
        <v>25</v>
      </c>
      <c r="L4318">
        <v>-1.58</v>
      </c>
      <c r="M4318" t="str">
        <f t="shared" si="168"/>
        <v>44/40</v>
      </c>
      <c r="N4318" t="str">
        <f t="shared" si="169"/>
        <v>SW</v>
      </c>
      <c r="O4318" s="1" t="s">
        <v>25</v>
      </c>
      <c r="P4318" s="3" t="s">
        <v>25</v>
      </c>
      <c r="Q4318" s="37">
        <v>0.19790526999999999</v>
      </c>
      <c r="R4318" t="str">
        <f t="shared" si="171"/>
        <v>mmol/mol</v>
      </c>
      <c r="S4318" s="13">
        <f t="shared" si="170"/>
        <v>-1.58</v>
      </c>
    </row>
    <row r="4319" spans="1:19">
      <c r="A4319" s="18" t="s">
        <v>4106</v>
      </c>
      <c r="B4319" s="1" t="s">
        <v>4486</v>
      </c>
      <c r="C4319" s="1" t="s">
        <v>5058</v>
      </c>
      <c r="D4319" s="1" t="s">
        <v>5062</v>
      </c>
      <c r="E4319" s="1" t="s">
        <v>25</v>
      </c>
      <c r="F4319">
        <v>580</v>
      </c>
      <c r="G4319">
        <v>580</v>
      </c>
      <c r="H4319">
        <v>53.4</v>
      </c>
      <c r="I4319" s="1" t="s">
        <v>1528</v>
      </c>
      <c r="J4319" s="1" t="s">
        <v>1491</v>
      </c>
      <c r="K4319" s="1" t="s">
        <v>25</v>
      </c>
      <c r="L4319" t="s">
        <v>25</v>
      </c>
      <c r="M4319" t="str">
        <f t="shared" si="168"/>
        <v>Na</v>
      </c>
      <c r="N4319" t="str">
        <f t="shared" si="169"/>
        <v>Na</v>
      </c>
      <c r="O4319" s="1" t="s">
        <v>25</v>
      </c>
      <c r="P4319" s="3" t="s">
        <v>25</v>
      </c>
      <c r="Q4319" s="37" t="s">
        <v>25</v>
      </c>
      <c r="R4319" t="str">
        <f t="shared" si="171"/>
        <v>Na</v>
      </c>
      <c r="S4319" s="13" t="s">
        <v>25</v>
      </c>
    </row>
    <row r="4320" spans="1:19">
      <c r="A4320" s="18" t="s">
        <v>4106</v>
      </c>
      <c r="B4320" s="1" t="s">
        <v>4487</v>
      </c>
      <c r="C4320" s="1" t="s">
        <v>5058</v>
      </c>
      <c r="D4320" s="1" t="s">
        <v>5062</v>
      </c>
      <c r="E4320" s="1" t="s">
        <v>25</v>
      </c>
      <c r="F4320">
        <v>580</v>
      </c>
      <c r="G4320">
        <v>580</v>
      </c>
      <c r="H4320">
        <v>55.1</v>
      </c>
      <c r="I4320" s="1" t="s">
        <v>1528</v>
      </c>
      <c r="J4320" s="1" t="s">
        <v>1491</v>
      </c>
      <c r="K4320" s="1" t="s">
        <v>25</v>
      </c>
      <c r="L4320" t="s">
        <v>25</v>
      </c>
      <c r="M4320" t="str">
        <f t="shared" si="168"/>
        <v>Na</v>
      </c>
      <c r="N4320" t="str">
        <f t="shared" si="169"/>
        <v>Na</v>
      </c>
      <c r="O4320" s="1" t="s">
        <v>25</v>
      </c>
      <c r="P4320" s="3" t="s">
        <v>25</v>
      </c>
      <c r="Q4320" s="37" t="s">
        <v>25</v>
      </c>
      <c r="R4320" t="str">
        <f t="shared" si="171"/>
        <v>Na</v>
      </c>
      <c r="S4320" s="13" t="s">
        <v>25</v>
      </c>
    </row>
    <row r="4321" spans="1:19">
      <c r="A4321" s="18" t="s">
        <v>4106</v>
      </c>
      <c r="B4321" s="1" t="s">
        <v>4488</v>
      </c>
      <c r="C4321" s="1" t="s">
        <v>5058</v>
      </c>
      <c r="D4321" s="1" t="s">
        <v>5062</v>
      </c>
      <c r="E4321" s="1" t="s">
        <v>25</v>
      </c>
      <c r="F4321">
        <v>580</v>
      </c>
      <c r="G4321">
        <v>580</v>
      </c>
      <c r="H4321">
        <v>56.7</v>
      </c>
      <c r="I4321" s="1" t="s">
        <v>1528</v>
      </c>
      <c r="J4321" s="1" t="s">
        <v>1491</v>
      </c>
      <c r="K4321" s="1" t="s">
        <v>25</v>
      </c>
      <c r="L4321">
        <v>-1.53</v>
      </c>
      <c r="M4321" t="str">
        <f t="shared" si="168"/>
        <v>44/40</v>
      </c>
      <c r="N4321" t="str">
        <f t="shared" si="169"/>
        <v>SW</v>
      </c>
      <c r="O4321" s="1" t="s">
        <v>25</v>
      </c>
      <c r="P4321" s="3" t="s">
        <v>25</v>
      </c>
      <c r="Q4321" s="37">
        <v>0.22027436</v>
      </c>
      <c r="R4321" t="str">
        <f t="shared" si="171"/>
        <v>mmol/mol</v>
      </c>
      <c r="S4321" s="13">
        <f t="shared" si="170"/>
        <v>-1.53</v>
      </c>
    </row>
    <row r="4322" spans="1:19">
      <c r="A4322" s="18" t="s">
        <v>4106</v>
      </c>
      <c r="B4322" s="1" t="s">
        <v>4489</v>
      </c>
      <c r="C4322" s="1" t="s">
        <v>5058</v>
      </c>
      <c r="D4322" s="1" t="s">
        <v>5062</v>
      </c>
      <c r="E4322" s="1" t="s">
        <v>25</v>
      </c>
      <c r="F4322">
        <v>580</v>
      </c>
      <c r="G4322">
        <v>580</v>
      </c>
      <c r="H4322">
        <v>57.6</v>
      </c>
      <c r="I4322" s="1" t="s">
        <v>1528</v>
      </c>
      <c r="J4322" s="1" t="s">
        <v>1491</v>
      </c>
      <c r="K4322" s="1" t="s">
        <v>25</v>
      </c>
      <c r="L4322" t="s">
        <v>25</v>
      </c>
      <c r="M4322" t="str">
        <f t="shared" si="168"/>
        <v>Na</v>
      </c>
      <c r="N4322" t="str">
        <f t="shared" si="169"/>
        <v>Na</v>
      </c>
      <c r="O4322" s="1" t="s">
        <v>25</v>
      </c>
      <c r="P4322" s="3" t="s">
        <v>25</v>
      </c>
      <c r="Q4322" s="37" t="s">
        <v>25</v>
      </c>
      <c r="R4322" t="str">
        <f t="shared" si="171"/>
        <v>Na</v>
      </c>
      <c r="S4322" s="13" t="s">
        <v>25</v>
      </c>
    </row>
    <row r="4323" spans="1:19">
      <c r="A4323" s="18" t="s">
        <v>4106</v>
      </c>
      <c r="B4323" s="1" t="s">
        <v>4490</v>
      </c>
      <c r="C4323" s="1" t="s">
        <v>5058</v>
      </c>
      <c r="D4323" s="1" t="s">
        <v>5062</v>
      </c>
      <c r="E4323" s="1" t="s">
        <v>25</v>
      </c>
      <c r="F4323">
        <v>580</v>
      </c>
      <c r="G4323">
        <v>580</v>
      </c>
      <c r="H4323">
        <v>60</v>
      </c>
      <c r="I4323" s="1" t="s">
        <v>1528</v>
      </c>
      <c r="J4323" s="1" t="s">
        <v>1491</v>
      </c>
      <c r="K4323" s="1" t="s">
        <v>25</v>
      </c>
      <c r="L4323">
        <v>-0.99</v>
      </c>
      <c r="M4323" t="str">
        <f t="shared" si="168"/>
        <v>44/40</v>
      </c>
      <c r="N4323" t="str">
        <f t="shared" si="169"/>
        <v>SW</v>
      </c>
      <c r="O4323" s="1" t="s">
        <v>25</v>
      </c>
      <c r="P4323" s="3" t="s">
        <v>25</v>
      </c>
      <c r="Q4323" s="37">
        <v>0.16901851000000001</v>
      </c>
      <c r="R4323" t="str">
        <f t="shared" si="171"/>
        <v>mmol/mol</v>
      </c>
      <c r="S4323" s="13">
        <f t="shared" si="170"/>
        <v>-0.99</v>
      </c>
    </row>
    <row r="4324" spans="1:19">
      <c r="A4324" s="18" t="s">
        <v>4106</v>
      </c>
      <c r="B4324" s="1" t="s">
        <v>4491</v>
      </c>
      <c r="C4324" s="1" t="s">
        <v>5058</v>
      </c>
      <c r="D4324" s="1" t="s">
        <v>5062</v>
      </c>
      <c r="E4324" s="1" t="s">
        <v>25</v>
      </c>
      <c r="F4324">
        <v>580</v>
      </c>
      <c r="G4324">
        <v>580</v>
      </c>
      <c r="H4324">
        <v>60.9</v>
      </c>
      <c r="I4324" s="1" t="s">
        <v>1528</v>
      </c>
      <c r="J4324" s="1" t="s">
        <v>1491</v>
      </c>
      <c r="K4324" s="1" t="s">
        <v>25</v>
      </c>
      <c r="L4324">
        <v>-1.8</v>
      </c>
      <c r="M4324" t="str">
        <f t="shared" si="168"/>
        <v>44/40</v>
      </c>
      <c r="N4324" t="str">
        <f t="shared" si="169"/>
        <v>SW</v>
      </c>
      <c r="O4324" s="1" t="s">
        <v>25</v>
      </c>
      <c r="P4324" s="3" t="s">
        <v>25</v>
      </c>
      <c r="Q4324" s="37">
        <v>0.174208538</v>
      </c>
      <c r="R4324" t="str">
        <f t="shared" si="171"/>
        <v>mmol/mol</v>
      </c>
      <c r="S4324" s="13">
        <f t="shared" si="170"/>
        <v>-1.8</v>
      </c>
    </row>
    <row r="4325" spans="1:19">
      <c r="A4325" s="18" t="s">
        <v>4106</v>
      </c>
      <c r="B4325" s="1" t="s">
        <v>4492</v>
      </c>
      <c r="C4325" s="1" t="s">
        <v>5058</v>
      </c>
      <c r="D4325" s="1" t="s">
        <v>5062</v>
      </c>
      <c r="E4325" s="1" t="s">
        <v>25</v>
      </c>
      <c r="F4325">
        <v>580</v>
      </c>
      <c r="G4325">
        <v>580</v>
      </c>
      <c r="H4325">
        <v>62.1</v>
      </c>
      <c r="I4325" s="1" t="s">
        <v>1528</v>
      </c>
      <c r="J4325" s="1" t="s">
        <v>1491</v>
      </c>
      <c r="K4325" s="1" t="s">
        <v>25</v>
      </c>
      <c r="L4325" t="s">
        <v>25</v>
      </c>
      <c r="M4325" t="str">
        <f t="shared" si="168"/>
        <v>Na</v>
      </c>
      <c r="N4325" t="str">
        <f t="shared" si="169"/>
        <v>Na</v>
      </c>
      <c r="O4325" s="1" t="s">
        <v>25</v>
      </c>
      <c r="P4325" s="3" t="s">
        <v>25</v>
      </c>
      <c r="Q4325" s="37" t="s">
        <v>25</v>
      </c>
      <c r="R4325" t="str">
        <f t="shared" si="171"/>
        <v>Na</v>
      </c>
      <c r="S4325" s="13" t="s">
        <v>25</v>
      </c>
    </row>
    <row r="4326" spans="1:19">
      <c r="A4326" s="18" t="s">
        <v>4106</v>
      </c>
      <c r="B4326" s="1" t="s">
        <v>4493</v>
      </c>
      <c r="C4326" s="1" t="s">
        <v>5058</v>
      </c>
      <c r="D4326" s="1" t="s">
        <v>5062</v>
      </c>
      <c r="E4326" s="1" t="s">
        <v>25</v>
      </c>
      <c r="F4326">
        <v>580</v>
      </c>
      <c r="G4326">
        <v>580</v>
      </c>
      <c r="H4326">
        <v>63.4</v>
      </c>
      <c r="I4326" s="1" t="s">
        <v>1528</v>
      </c>
      <c r="J4326" s="1" t="s">
        <v>1491</v>
      </c>
      <c r="K4326" s="1" t="s">
        <v>25</v>
      </c>
      <c r="L4326" t="s">
        <v>25</v>
      </c>
      <c r="M4326" t="str">
        <f t="shared" si="168"/>
        <v>Na</v>
      </c>
      <c r="N4326" t="str">
        <f t="shared" si="169"/>
        <v>Na</v>
      </c>
      <c r="O4326" s="1" t="s">
        <v>25</v>
      </c>
      <c r="P4326" s="3" t="s">
        <v>25</v>
      </c>
      <c r="Q4326" s="37" t="s">
        <v>25</v>
      </c>
      <c r="R4326" t="str">
        <f t="shared" si="171"/>
        <v>Na</v>
      </c>
      <c r="S4326" s="13" t="s">
        <v>25</v>
      </c>
    </row>
    <row r="4327" spans="1:19">
      <c r="A4327" s="18" t="s">
        <v>4106</v>
      </c>
      <c r="B4327" s="1" t="s">
        <v>4494</v>
      </c>
      <c r="C4327" s="1" t="s">
        <v>5058</v>
      </c>
      <c r="D4327" s="1" t="s">
        <v>5062</v>
      </c>
      <c r="E4327" s="1" t="s">
        <v>25</v>
      </c>
      <c r="F4327">
        <v>580</v>
      </c>
      <c r="G4327">
        <v>580</v>
      </c>
      <c r="H4327">
        <v>65.099999999999994</v>
      </c>
      <c r="I4327" s="1" t="s">
        <v>1528</v>
      </c>
      <c r="J4327" s="1" t="s">
        <v>1491</v>
      </c>
      <c r="K4327" s="1" t="s">
        <v>25</v>
      </c>
      <c r="L4327">
        <v>-1.1200000000000001</v>
      </c>
      <c r="M4327" t="str">
        <f t="shared" si="168"/>
        <v>44/40</v>
      </c>
      <c r="N4327" t="str">
        <f t="shared" si="169"/>
        <v>SW</v>
      </c>
      <c r="O4327" s="1" t="s">
        <v>25</v>
      </c>
      <c r="P4327" s="3" t="s">
        <v>25</v>
      </c>
      <c r="Q4327" s="37">
        <v>0.22478263300000001</v>
      </c>
      <c r="R4327" t="str">
        <f t="shared" si="171"/>
        <v>mmol/mol</v>
      </c>
      <c r="S4327" s="13">
        <f t="shared" si="170"/>
        <v>-1.1200000000000001</v>
      </c>
    </row>
    <row r="4328" spans="1:19">
      <c r="A4328" s="18" t="s">
        <v>4106</v>
      </c>
      <c r="B4328" s="1" t="s">
        <v>4495</v>
      </c>
      <c r="C4328" s="1" t="s">
        <v>5058</v>
      </c>
      <c r="D4328" s="1" t="s">
        <v>5062</v>
      </c>
      <c r="E4328" s="1" t="s">
        <v>25</v>
      </c>
      <c r="F4328">
        <v>580</v>
      </c>
      <c r="G4328">
        <v>580</v>
      </c>
      <c r="H4328">
        <v>66</v>
      </c>
      <c r="I4328" s="1" t="s">
        <v>1528</v>
      </c>
      <c r="J4328" s="1" t="s">
        <v>1491</v>
      </c>
      <c r="K4328" s="1" t="s">
        <v>25</v>
      </c>
      <c r="L4328" t="s">
        <v>25</v>
      </c>
      <c r="M4328" t="str">
        <f t="shared" si="168"/>
        <v>Na</v>
      </c>
      <c r="N4328" t="str">
        <f t="shared" si="169"/>
        <v>Na</v>
      </c>
      <c r="O4328" s="1" t="s">
        <v>25</v>
      </c>
      <c r="P4328" s="3" t="s">
        <v>25</v>
      </c>
      <c r="Q4328" s="37" t="s">
        <v>25</v>
      </c>
      <c r="R4328" t="str">
        <f t="shared" si="171"/>
        <v>Na</v>
      </c>
      <c r="S4328" s="13" t="s">
        <v>25</v>
      </c>
    </row>
    <row r="4329" spans="1:19">
      <c r="A4329" s="18" t="s">
        <v>4106</v>
      </c>
      <c r="B4329" s="1" t="s">
        <v>4496</v>
      </c>
      <c r="C4329" s="1" t="s">
        <v>5058</v>
      </c>
      <c r="D4329" s="1" t="s">
        <v>5062</v>
      </c>
      <c r="E4329" s="1" t="s">
        <v>25</v>
      </c>
      <c r="F4329">
        <v>580</v>
      </c>
      <c r="G4329">
        <v>580</v>
      </c>
      <c r="H4329">
        <v>67.2</v>
      </c>
      <c r="I4329" s="1" t="s">
        <v>1528</v>
      </c>
      <c r="J4329" s="1" t="s">
        <v>1491</v>
      </c>
      <c r="K4329" s="1" t="s">
        <v>25</v>
      </c>
      <c r="L4329">
        <v>-1.07</v>
      </c>
      <c r="M4329" t="str">
        <f t="shared" si="168"/>
        <v>44/40</v>
      </c>
      <c r="N4329" t="str">
        <f t="shared" si="169"/>
        <v>SW</v>
      </c>
      <c r="O4329" s="1" t="s">
        <v>25</v>
      </c>
      <c r="P4329" s="3" t="s">
        <v>25</v>
      </c>
      <c r="Q4329" s="37">
        <v>0.18206915400000001</v>
      </c>
      <c r="R4329" t="str">
        <f t="shared" si="171"/>
        <v>mmol/mol</v>
      </c>
      <c r="S4329" s="13">
        <f t="shared" si="170"/>
        <v>-1.07</v>
      </c>
    </row>
    <row r="4330" spans="1:19">
      <c r="A4330" s="18" t="s">
        <v>4106</v>
      </c>
      <c r="B4330" s="1" t="s">
        <v>4497</v>
      </c>
      <c r="C4330" s="1" t="s">
        <v>5058</v>
      </c>
      <c r="D4330" s="1" t="s">
        <v>5062</v>
      </c>
      <c r="E4330" s="1" t="s">
        <v>25</v>
      </c>
      <c r="F4330">
        <v>580</v>
      </c>
      <c r="G4330">
        <v>580</v>
      </c>
      <c r="H4330">
        <v>69.2</v>
      </c>
      <c r="I4330" s="1" t="s">
        <v>1528</v>
      </c>
      <c r="J4330" s="1" t="s">
        <v>1491</v>
      </c>
      <c r="K4330" s="1" t="s">
        <v>25</v>
      </c>
      <c r="L4330" t="s">
        <v>25</v>
      </c>
      <c r="M4330" t="str">
        <f t="shared" si="168"/>
        <v>Na</v>
      </c>
      <c r="N4330" t="str">
        <f t="shared" si="169"/>
        <v>Na</v>
      </c>
      <c r="O4330" s="1" t="s">
        <v>25</v>
      </c>
      <c r="P4330" s="3" t="s">
        <v>25</v>
      </c>
      <c r="Q4330" s="37" t="s">
        <v>25</v>
      </c>
      <c r="R4330" t="str">
        <f t="shared" si="171"/>
        <v>Na</v>
      </c>
      <c r="S4330" s="13" t="s">
        <v>25</v>
      </c>
    </row>
    <row r="4331" spans="1:19">
      <c r="A4331" s="18" t="s">
        <v>4106</v>
      </c>
      <c r="B4331" s="1" t="s">
        <v>4498</v>
      </c>
      <c r="C4331" s="1" t="s">
        <v>5058</v>
      </c>
      <c r="D4331" s="1" t="s">
        <v>5062</v>
      </c>
      <c r="E4331" s="1" t="s">
        <v>25</v>
      </c>
      <c r="F4331">
        <v>580</v>
      </c>
      <c r="G4331">
        <v>580</v>
      </c>
      <c r="H4331">
        <v>70.400000000000006</v>
      </c>
      <c r="I4331" s="1" t="s">
        <v>1528</v>
      </c>
      <c r="J4331" s="1" t="s">
        <v>1491</v>
      </c>
      <c r="K4331" s="1" t="s">
        <v>25</v>
      </c>
      <c r="L4331">
        <v>-1.1299999999999999</v>
      </c>
      <c r="M4331" t="str">
        <f t="shared" si="168"/>
        <v>44/40</v>
      </c>
      <c r="N4331" t="str">
        <f t="shared" si="169"/>
        <v>SW</v>
      </c>
      <c r="O4331" s="1" t="s">
        <v>25</v>
      </c>
      <c r="P4331" s="3" t="s">
        <v>25</v>
      </c>
      <c r="Q4331" s="37">
        <v>0.24641848999999999</v>
      </c>
      <c r="R4331" t="str">
        <f t="shared" si="171"/>
        <v>mmol/mol</v>
      </c>
      <c r="S4331" s="13">
        <f t="shared" si="170"/>
        <v>-1.1299999999999999</v>
      </c>
    </row>
    <row r="4332" spans="1:19">
      <c r="A4332" s="18" t="s">
        <v>4106</v>
      </c>
      <c r="B4332" s="1" t="s">
        <v>4499</v>
      </c>
      <c r="C4332" s="1" t="s">
        <v>5058</v>
      </c>
      <c r="D4332" s="1" t="s">
        <v>5062</v>
      </c>
      <c r="E4332" s="1" t="s">
        <v>25</v>
      </c>
      <c r="F4332">
        <v>580</v>
      </c>
      <c r="G4332">
        <v>580</v>
      </c>
      <c r="H4332">
        <v>71.7</v>
      </c>
      <c r="I4332" s="1" t="s">
        <v>1528</v>
      </c>
      <c r="J4332" s="1" t="s">
        <v>1491</v>
      </c>
      <c r="K4332" s="1" t="s">
        <v>25</v>
      </c>
      <c r="L4332" t="s">
        <v>25</v>
      </c>
      <c r="M4332" t="str">
        <f t="shared" si="168"/>
        <v>Na</v>
      </c>
      <c r="N4332" t="str">
        <f t="shared" si="169"/>
        <v>Na</v>
      </c>
      <c r="O4332" s="1" t="s">
        <v>25</v>
      </c>
      <c r="P4332" s="3" t="s">
        <v>25</v>
      </c>
      <c r="Q4332" s="37" t="s">
        <v>25</v>
      </c>
      <c r="R4332" t="str">
        <f t="shared" si="171"/>
        <v>Na</v>
      </c>
      <c r="S4332" s="13" t="s">
        <v>25</v>
      </c>
    </row>
    <row r="4333" spans="1:19">
      <c r="A4333" s="18" t="s">
        <v>4106</v>
      </c>
      <c r="B4333" s="1" t="s">
        <v>4500</v>
      </c>
      <c r="C4333" s="1" t="s">
        <v>5058</v>
      </c>
      <c r="D4333" s="1" t="s">
        <v>5062</v>
      </c>
      <c r="E4333" s="1" t="s">
        <v>25</v>
      </c>
      <c r="F4333">
        <v>580</v>
      </c>
      <c r="G4333">
        <v>580</v>
      </c>
      <c r="H4333">
        <v>72.8</v>
      </c>
      <c r="I4333" s="1" t="s">
        <v>1528</v>
      </c>
      <c r="J4333" s="1" t="s">
        <v>1491</v>
      </c>
      <c r="K4333" s="1" t="s">
        <v>25</v>
      </c>
      <c r="L4333">
        <v>-1.3</v>
      </c>
      <c r="M4333" t="str">
        <f t="shared" si="168"/>
        <v>44/40</v>
      </c>
      <c r="N4333" t="str">
        <f t="shared" si="169"/>
        <v>SW</v>
      </c>
      <c r="O4333" s="1" t="s">
        <v>25</v>
      </c>
      <c r="P4333" s="3" t="s">
        <v>25</v>
      </c>
      <c r="Q4333" s="37">
        <v>0.20110625700000001</v>
      </c>
      <c r="R4333" t="str">
        <f t="shared" si="171"/>
        <v>mmol/mol</v>
      </c>
      <c r="S4333" s="13">
        <f t="shared" ref="S4333:S4395" si="172">IF(NOT(N4333="SW"),L4333-1.88,L4333)</f>
        <v>-1.3</v>
      </c>
    </row>
    <row r="4334" spans="1:19">
      <c r="A4334" s="18" t="s">
        <v>4106</v>
      </c>
      <c r="B4334" s="1" t="s">
        <v>4501</v>
      </c>
      <c r="C4334" s="1" t="s">
        <v>5058</v>
      </c>
      <c r="D4334" s="1" t="s">
        <v>5062</v>
      </c>
      <c r="E4334" s="1" t="s">
        <v>25</v>
      </c>
      <c r="F4334">
        <v>580</v>
      </c>
      <c r="G4334">
        <v>580</v>
      </c>
      <c r="H4334">
        <v>73.8</v>
      </c>
      <c r="I4334" s="1" t="s">
        <v>1528</v>
      </c>
      <c r="J4334" s="1" t="s">
        <v>1491</v>
      </c>
      <c r="K4334" s="1" t="s">
        <v>25</v>
      </c>
      <c r="L4334" t="s">
        <v>25</v>
      </c>
      <c r="M4334" t="str">
        <f t="shared" si="168"/>
        <v>Na</v>
      </c>
      <c r="N4334" t="str">
        <f t="shared" si="169"/>
        <v>Na</v>
      </c>
      <c r="O4334" s="1" t="s">
        <v>25</v>
      </c>
      <c r="P4334" s="3" t="s">
        <v>25</v>
      </c>
      <c r="Q4334" s="37" t="s">
        <v>25</v>
      </c>
      <c r="R4334" t="str">
        <f t="shared" si="171"/>
        <v>Na</v>
      </c>
      <c r="S4334" s="13" t="s">
        <v>25</v>
      </c>
    </row>
    <row r="4335" spans="1:19">
      <c r="A4335" s="18" t="s">
        <v>4106</v>
      </c>
      <c r="B4335" s="1" t="s">
        <v>4502</v>
      </c>
      <c r="C4335" s="1" t="s">
        <v>5058</v>
      </c>
      <c r="D4335" s="1" t="s">
        <v>5062</v>
      </c>
      <c r="E4335" s="1" t="s">
        <v>25</v>
      </c>
      <c r="F4335">
        <v>580</v>
      </c>
      <c r="G4335">
        <v>580</v>
      </c>
      <c r="H4335">
        <v>75</v>
      </c>
      <c r="I4335" s="1" t="s">
        <v>1528</v>
      </c>
      <c r="J4335" s="1" t="s">
        <v>1491</v>
      </c>
      <c r="K4335" s="1" t="s">
        <v>25</v>
      </c>
      <c r="L4335">
        <v>-1.55</v>
      </c>
      <c r="M4335" t="str">
        <f t="shared" si="168"/>
        <v>44/40</v>
      </c>
      <c r="N4335" t="str">
        <f t="shared" si="169"/>
        <v>SW</v>
      </c>
      <c r="O4335" s="1" t="s">
        <v>25</v>
      </c>
      <c r="P4335" s="3" t="s">
        <v>25</v>
      </c>
      <c r="Q4335" s="37">
        <v>0.29230753900000001</v>
      </c>
      <c r="R4335" t="str">
        <f t="shared" si="171"/>
        <v>mmol/mol</v>
      </c>
      <c r="S4335" s="13">
        <f t="shared" si="172"/>
        <v>-1.55</v>
      </c>
    </row>
    <row r="4336" spans="1:19">
      <c r="A4336" s="18" t="s">
        <v>4106</v>
      </c>
      <c r="B4336" s="1" t="s">
        <v>4503</v>
      </c>
      <c r="C4336" s="1" t="s">
        <v>5058</v>
      </c>
      <c r="D4336" s="1" t="s">
        <v>5062</v>
      </c>
      <c r="E4336" s="1" t="s">
        <v>25</v>
      </c>
      <c r="F4336">
        <v>580</v>
      </c>
      <c r="G4336">
        <v>580</v>
      </c>
      <c r="H4336">
        <v>76.3</v>
      </c>
      <c r="I4336" s="1" t="s">
        <v>1528</v>
      </c>
      <c r="J4336" s="1" t="s">
        <v>1491</v>
      </c>
      <c r="K4336" s="1" t="s">
        <v>25</v>
      </c>
      <c r="L4336" t="s">
        <v>25</v>
      </c>
      <c r="M4336" t="str">
        <f t="shared" ref="M4336:M4399" si="173">IF(L4336="Na","Na","44/40")</f>
        <v>Na</v>
      </c>
      <c r="N4336" t="str">
        <f t="shared" ref="N4336:N4399" si="174">IF(M4336="Na","Na","SW")</f>
        <v>Na</v>
      </c>
      <c r="O4336" s="1" t="s">
        <v>25</v>
      </c>
      <c r="P4336" s="3" t="s">
        <v>25</v>
      </c>
      <c r="Q4336" s="37" t="s">
        <v>25</v>
      </c>
      <c r="R4336" t="str">
        <f t="shared" si="171"/>
        <v>Na</v>
      </c>
      <c r="S4336" s="13" t="s">
        <v>25</v>
      </c>
    </row>
    <row r="4337" spans="1:19">
      <c r="A4337" s="18" t="s">
        <v>4106</v>
      </c>
      <c r="B4337" s="1" t="s">
        <v>4504</v>
      </c>
      <c r="C4337" s="1" t="s">
        <v>5058</v>
      </c>
      <c r="D4337" s="1" t="s">
        <v>5062</v>
      </c>
      <c r="E4337" s="1" t="s">
        <v>25</v>
      </c>
      <c r="F4337">
        <v>580</v>
      </c>
      <c r="G4337">
        <v>580</v>
      </c>
      <c r="H4337">
        <v>77.400000000000006</v>
      </c>
      <c r="I4337" s="1" t="s">
        <v>1528</v>
      </c>
      <c r="J4337" s="1" t="s">
        <v>1491</v>
      </c>
      <c r="K4337" s="1" t="s">
        <v>25</v>
      </c>
      <c r="L4337">
        <v>-1.34</v>
      </c>
      <c r="M4337" t="str">
        <f t="shared" si="173"/>
        <v>44/40</v>
      </c>
      <c r="N4337" t="str">
        <f t="shared" si="174"/>
        <v>SW</v>
      </c>
      <c r="O4337" s="1" t="s">
        <v>25</v>
      </c>
      <c r="P4337" s="3" t="s">
        <v>25</v>
      </c>
      <c r="Q4337" s="37">
        <v>0.71158768500000003</v>
      </c>
      <c r="R4337" t="str">
        <f t="shared" si="171"/>
        <v>mmol/mol</v>
      </c>
      <c r="S4337" s="13">
        <f t="shared" si="172"/>
        <v>-1.34</v>
      </c>
    </row>
    <row r="4338" spans="1:19">
      <c r="A4338" s="18" t="s">
        <v>4106</v>
      </c>
      <c r="B4338" s="1" t="s">
        <v>4505</v>
      </c>
      <c r="C4338" s="1" t="s">
        <v>5058</v>
      </c>
      <c r="D4338" s="1" t="s">
        <v>5062</v>
      </c>
      <c r="E4338" s="1" t="s">
        <v>25</v>
      </c>
      <c r="F4338">
        <v>580</v>
      </c>
      <c r="G4338">
        <v>580</v>
      </c>
      <c r="H4338">
        <v>78.900000000000006</v>
      </c>
      <c r="I4338" s="1" t="s">
        <v>1528</v>
      </c>
      <c r="J4338" s="1" t="s">
        <v>1491</v>
      </c>
      <c r="K4338" s="1" t="s">
        <v>25</v>
      </c>
      <c r="L4338" t="s">
        <v>25</v>
      </c>
      <c r="M4338" t="str">
        <f t="shared" si="173"/>
        <v>Na</v>
      </c>
      <c r="N4338" t="str">
        <f t="shared" si="174"/>
        <v>Na</v>
      </c>
      <c r="O4338" s="1" t="s">
        <v>25</v>
      </c>
      <c r="P4338" s="3" t="s">
        <v>25</v>
      </c>
      <c r="Q4338" s="37" t="s">
        <v>25</v>
      </c>
      <c r="R4338" t="str">
        <f t="shared" si="171"/>
        <v>Na</v>
      </c>
      <c r="S4338" s="13" t="s">
        <v>25</v>
      </c>
    </row>
    <row r="4339" spans="1:19">
      <c r="A4339" s="18" t="s">
        <v>4106</v>
      </c>
      <c r="B4339" s="1" t="s">
        <v>4506</v>
      </c>
      <c r="C4339" s="1" t="s">
        <v>5058</v>
      </c>
      <c r="D4339" s="1" t="s">
        <v>5062</v>
      </c>
      <c r="E4339" s="1" t="s">
        <v>25</v>
      </c>
      <c r="F4339">
        <v>580</v>
      </c>
      <c r="G4339">
        <v>580</v>
      </c>
      <c r="H4339">
        <v>80.099999999999994</v>
      </c>
      <c r="I4339" s="1" t="s">
        <v>1528</v>
      </c>
      <c r="J4339" s="1" t="s">
        <v>1491</v>
      </c>
      <c r="K4339" s="1" t="s">
        <v>25</v>
      </c>
      <c r="L4339" t="s">
        <v>25</v>
      </c>
      <c r="M4339" t="str">
        <f t="shared" si="173"/>
        <v>Na</v>
      </c>
      <c r="N4339" t="str">
        <f t="shared" si="174"/>
        <v>Na</v>
      </c>
      <c r="O4339" s="1" t="s">
        <v>25</v>
      </c>
      <c r="P4339" s="3" t="s">
        <v>25</v>
      </c>
      <c r="Q4339" s="37" t="s">
        <v>25</v>
      </c>
      <c r="R4339" t="str">
        <f t="shared" si="171"/>
        <v>Na</v>
      </c>
      <c r="S4339" s="13" t="s">
        <v>25</v>
      </c>
    </row>
    <row r="4340" spans="1:19">
      <c r="A4340" s="18" t="s">
        <v>4106</v>
      </c>
      <c r="B4340" s="1" t="s">
        <v>4507</v>
      </c>
      <c r="C4340" s="1" t="s">
        <v>5058</v>
      </c>
      <c r="D4340" s="1" t="s">
        <v>5062</v>
      </c>
      <c r="E4340" s="1" t="s">
        <v>25</v>
      </c>
      <c r="F4340">
        <v>580</v>
      </c>
      <c r="G4340">
        <v>580</v>
      </c>
      <c r="H4340">
        <v>81.2</v>
      </c>
      <c r="I4340" s="1" t="s">
        <v>1528</v>
      </c>
      <c r="J4340" s="1" t="s">
        <v>1491</v>
      </c>
      <c r="K4340" s="1" t="s">
        <v>25</v>
      </c>
      <c r="L4340">
        <v>-0.97</v>
      </c>
      <c r="M4340" t="str">
        <f t="shared" si="173"/>
        <v>44/40</v>
      </c>
      <c r="N4340" t="str">
        <f t="shared" si="174"/>
        <v>SW</v>
      </c>
      <c r="O4340" s="1" t="s">
        <v>25</v>
      </c>
      <c r="P4340" s="3" t="s">
        <v>25</v>
      </c>
      <c r="Q4340" s="37">
        <v>0.31454786200000001</v>
      </c>
      <c r="R4340" t="str">
        <f t="shared" si="171"/>
        <v>mmol/mol</v>
      </c>
      <c r="S4340" s="13">
        <f t="shared" si="172"/>
        <v>-0.97</v>
      </c>
    </row>
    <row r="4341" spans="1:19">
      <c r="A4341" s="18" t="s">
        <v>4106</v>
      </c>
      <c r="B4341" s="1" t="s">
        <v>4508</v>
      </c>
      <c r="C4341" s="1" t="s">
        <v>5058</v>
      </c>
      <c r="D4341" s="1" t="s">
        <v>5062</v>
      </c>
      <c r="E4341" s="1" t="s">
        <v>25</v>
      </c>
      <c r="F4341">
        <v>580</v>
      </c>
      <c r="G4341">
        <v>580</v>
      </c>
      <c r="H4341">
        <v>82.1</v>
      </c>
      <c r="I4341" s="1" t="s">
        <v>1528</v>
      </c>
      <c r="J4341" s="1" t="s">
        <v>1491</v>
      </c>
      <c r="K4341" s="1" t="s">
        <v>25</v>
      </c>
      <c r="L4341" t="s">
        <v>25</v>
      </c>
      <c r="M4341" t="str">
        <f t="shared" si="173"/>
        <v>Na</v>
      </c>
      <c r="N4341" t="str">
        <f t="shared" si="174"/>
        <v>Na</v>
      </c>
      <c r="O4341" s="1" t="s">
        <v>25</v>
      </c>
      <c r="P4341" s="3" t="s">
        <v>25</v>
      </c>
      <c r="Q4341" s="37" t="s">
        <v>25</v>
      </c>
      <c r="R4341" t="str">
        <f t="shared" si="171"/>
        <v>Na</v>
      </c>
      <c r="S4341" s="13" t="s">
        <v>25</v>
      </c>
    </row>
    <row r="4342" spans="1:19">
      <c r="A4342" s="18" t="s">
        <v>4106</v>
      </c>
      <c r="B4342" s="1" t="s">
        <v>4509</v>
      </c>
      <c r="C4342" s="1" t="s">
        <v>5058</v>
      </c>
      <c r="D4342" s="1" t="s">
        <v>5062</v>
      </c>
      <c r="E4342" s="1" t="s">
        <v>25</v>
      </c>
      <c r="F4342">
        <v>580</v>
      </c>
      <c r="G4342">
        <v>580</v>
      </c>
      <c r="H4342">
        <v>83.5</v>
      </c>
      <c r="I4342" s="1" t="s">
        <v>1528</v>
      </c>
      <c r="J4342" s="1" t="s">
        <v>1491</v>
      </c>
      <c r="K4342" s="1" t="s">
        <v>25</v>
      </c>
      <c r="L4342">
        <v>-1.03</v>
      </c>
      <c r="M4342" t="str">
        <f t="shared" si="173"/>
        <v>44/40</v>
      </c>
      <c r="N4342" t="str">
        <f t="shared" si="174"/>
        <v>SW</v>
      </c>
      <c r="O4342" s="1" t="s">
        <v>25</v>
      </c>
      <c r="P4342" s="3" t="s">
        <v>25</v>
      </c>
      <c r="Q4342" s="37">
        <v>0.22025076099999999</v>
      </c>
      <c r="R4342" t="str">
        <f t="shared" si="171"/>
        <v>mmol/mol</v>
      </c>
      <c r="S4342" s="13">
        <f t="shared" si="172"/>
        <v>-1.03</v>
      </c>
    </row>
    <row r="4343" spans="1:19">
      <c r="A4343" s="18" t="s">
        <v>4106</v>
      </c>
      <c r="B4343" s="1" t="s">
        <v>4510</v>
      </c>
      <c r="C4343" s="1" t="s">
        <v>5058</v>
      </c>
      <c r="D4343" s="1" t="s">
        <v>5062</v>
      </c>
      <c r="E4343" s="1" t="s">
        <v>25</v>
      </c>
      <c r="F4343">
        <v>580</v>
      </c>
      <c r="G4343">
        <v>580</v>
      </c>
      <c r="H4343">
        <v>84.9</v>
      </c>
      <c r="I4343" s="1" t="s">
        <v>1528</v>
      </c>
      <c r="J4343" s="1" t="s">
        <v>1491</v>
      </c>
      <c r="K4343" s="1" t="s">
        <v>25</v>
      </c>
      <c r="L4343" t="s">
        <v>25</v>
      </c>
      <c r="M4343" t="str">
        <f t="shared" si="173"/>
        <v>Na</v>
      </c>
      <c r="N4343" t="str">
        <f t="shared" si="174"/>
        <v>Na</v>
      </c>
      <c r="O4343" s="1" t="s">
        <v>25</v>
      </c>
      <c r="P4343" s="3" t="s">
        <v>25</v>
      </c>
      <c r="Q4343" s="37" t="s">
        <v>25</v>
      </c>
      <c r="R4343" t="str">
        <f t="shared" si="171"/>
        <v>Na</v>
      </c>
      <c r="S4343" s="13" t="s">
        <v>25</v>
      </c>
    </row>
    <row r="4344" spans="1:19">
      <c r="A4344" s="18" t="s">
        <v>4106</v>
      </c>
      <c r="B4344" s="1" t="s">
        <v>4511</v>
      </c>
      <c r="C4344" s="1" t="s">
        <v>5058</v>
      </c>
      <c r="D4344" s="1" t="s">
        <v>5062</v>
      </c>
      <c r="E4344" s="1" t="s">
        <v>25</v>
      </c>
      <c r="F4344">
        <v>580</v>
      </c>
      <c r="G4344">
        <v>580</v>
      </c>
      <c r="H4344">
        <v>85.8</v>
      </c>
      <c r="I4344" s="1" t="s">
        <v>1528</v>
      </c>
      <c r="J4344" s="1" t="s">
        <v>1491</v>
      </c>
      <c r="K4344" s="1" t="s">
        <v>25</v>
      </c>
      <c r="L4344">
        <v>-0.99</v>
      </c>
      <c r="M4344" t="str">
        <f t="shared" si="173"/>
        <v>44/40</v>
      </c>
      <c r="N4344" t="str">
        <f t="shared" si="174"/>
        <v>SW</v>
      </c>
      <c r="O4344" s="1" t="s">
        <v>25</v>
      </c>
      <c r="P4344" s="3" t="s">
        <v>25</v>
      </c>
      <c r="Q4344" s="37">
        <v>0.31233628200000002</v>
      </c>
      <c r="R4344" t="str">
        <f t="shared" si="171"/>
        <v>mmol/mol</v>
      </c>
      <c r="S4344" s="13">
        <f t="shared" si="172"/>
        <v>-0.99</v>
      </c>
    </row>
    <row r="4345" spans="1:19">
      <c r="A4345" s="18" t="s">
        <v>4106</v>
      </c>
      <c r="B4345" s="1" t="s">
        <v>4512</v>
      </c>
      <c r="C4345" s="1" t="s">
        <v>5058</v>
      </c>
      <c r="D4345" s="1" t="s">
        <v>5062</v>
      </c>
      <c r="E4345" s="1" t="s">
        <v>25</v>
      </c>
      <c r="F4345">
        <v>580</v>
      </c>
      <c r="G4345">
        <v>580</v>
      </c>
      <c r="H4345">
        <v>87</v>
      </c>
      <c r="I4345" s="1" t="s">
        <v>1528</v>
      </c>
      <c r="J4345" s="1" t="s">
        <v>1491</v>
      </c>
      <c r="K4345" s="1" t="s">
        <v>25</v>
      </c>
      <c r="L4345" t="s">
        <v>25</v>
      </c>
      <c r="M4345" t="str">
        <f t="shared" si="173"/>
        <v>Na</v>
      </c>
      <c r="N4345" t="str">
        <f t="shared" si="174"/>
        <v>Na</v>
      </c>
      <c r="O4345" s="1" t="s">
        <v>25</v>
      </c>
      <c r="P4345" s="3" t="s">
        <v>25</v>
      </c>
      <c r="Q4345" s="37" t="s">
        <v>25</v>
      </c>
      <c r="R4345" t="str">
        <f t="shared" si="171"/>
        <v>Na</v>
      </c>
      <c r="S4345" s="13" t="s">
        <v>25</v>
      </c>
    </row>
    <row r="4346" spans="1:19">
      <c r="A4346" s="18" t="s">
        <v>4106</v>
      </c>
      <c r="B4346" s="1" t="s">
        <v>4513</v>
      </c>
      <c r="C4346" s="1" t="s">
        <v>5058</v>
      </c>
      <c r="D4346" s="1" t="s">
        <v>5062</v>
      </c>
      <c r="E4346" s="1" t="s">
        <v>25</v>
      </c>
      <c r="F4346">
        <v>580</v>
      </c>
      <c r="G4346">
        <v>580</v>
      </c>
      <c r="H4346">
        <v>88.3</v>
      </c>
      <c r="I4346" s="1" t="s">
        <v>1528</v>
      </c>
      <c r="J4346" s="1" t="s">
        <v>1491</v>
      </c>
      <c r="K4346" s="1" t="s">
        <v>25</v>
      </c>
      <c r="L4346">
        <v>-1.1499999999999999</v>
      </c>
      <c r="M4346" t="str">
        <f t="shared" si="173"/>
        <v>44/40</v>
      </c>
      <c r="N4346" t="str">
        <f t="shared" si="174"/>
        <v>SW</v>
      </c>
      <c r="O4346" s="1" t="s">
        <v>25</v>
      </c>
      <c r="P4346" s="3" t="s">
        <v>25</v>
      </c>
      <c r="Q4346" s="37">
        <v>0.212399167</v>
      </c>
      <c r="R4346" t="str">
        <f t="shared" si="171"/>
        <v>mmol/mol</v>
      </c>
      <c r="S4346" s="13">
        <f t="shared" si="172"/>
        <v>-1.1499999999999999</v>
      </c>
    </row>
    <row r="4347" spans="1:19">
      <c r="A4347" s="18" t="s">
        <v>4106</v>
      </c>
      <c r="B4347" s="1" t="s">
        <v>4514</v>
      </c>
      <c r="C4347" s="1" t="s">
        <v>5058</v>
      </c>
      <c r="D4347" s="1" t="s">
        <v>5062</v>
      </c>
      <c r="E4347" s="1" t="s">
        <v>25</v>
      </c>
      <c r="F4347">
        <v>580</v>
      </c>
      <c r="G4347">
        <v>580</v>
      </c>
      <c r="H4347">
        <v>90.7</v>
      </c>
      <c r="I4347" s="1" t="s">
        <v>1528</v>
      </c>
      <c r="J4347" s="1" t="s">
        <v>1491</v>
      </c>
      <c r="K4347" s="1" t="s">
        <v>25</v>
      </c>
      <c r="L4347">
        <v>-1.01</v>
      </c>
      <c r="M4347" t="str">
        <f t="shared" si="173"/>
        <v>44/40</v>
      </c>
      <c r="N4347" t="str">
        <f t="shared" si="174"/>
        <v>SW</v>
      </c>
      <c r="O4347" s="1" t="s">
        <v>25</v>
      </c>
      <c r="P4347" s="3" t="s">
        <v>25</v>
      </c>
      <c r="Q4347" s="37">
        <v>0.27767323900000002</v>
      </c>
      <c r="R4347" t="str">
        <f t="shared" si="171"/>
        <v>mmol/mol</v>
      </c>
      <c r="S4347" s="13">
        <f t="shared" si="172"/>
        <v>-1.01</v>
      </c>
    </row>
    <row r="4348" spans="1:19">
      <c r="A4348" s="18" t="s">
        <v>4106</v>
      </c>
      <c r="B4348" s="1" t="s">
        <v>4515</v>
      </c>
      <c r="C4348" s="1" t="s">
        <v>5058</v>
      </c>
      <c r="D4348" s="1" t="s">
        <v>5062</v>
      </c>
      <c r="E4348" s="1" t="s">
        <v>25</v>
      </c>
      <c r="F4348">
        <v>580</v>
      </c>
      <c r="G4348">
        <v>580</v>
      </c>
      <c r="H4348">
        <v>91.5</v>
      </c>
      <c r="I4348" s="1" t="s">
        <v>1528</v>
      </c>
      <c r="J4348" s="1" t="s">
        <v>1491</v>
      </c>
      <c r="K4348" s="1" t="s">
        <v>25</v>
      </c>
      <c r="L4348" t="s">
        <v>25</v>
      </c>
      <c r="M4348" t="str">
        <f t="shared" si="173"/>
        <v>Na</v>
      </c>
      <c r="N4348" t="str">
        <f t="shared" si="174"/>
        <v>Na</v>
      </c>
      <c r="O4348" s="1" t="s">
        <v>25</v>
      </c>
      <c r="P4348" s="3" t="s">
        <v>25</v>
      </c>
      <c r="Q4348" s="37" t="s">
        <v>25</v>
      </c>
      <c r="R4348" t="str">
        <f t="shared" si="171"/>
        <v>Na</v>
      </c>
      <c r="S4348" s="13" t="s">
        <v>25</v>
      </c>
    </row>
    <row r="4349" spans="1:19">
      <c r="A4349" s="18" t="s">
        <v>4106</v>
      </c>
      <c r="B4349" s="1" t="s">
        <v>4516</v>
      </c>
      <c r="C4349" s="1" t="s">
        <v>5058</v>
      </c>
      <c r="D4349" s="1" t="s">
        <v>5062</v>
      </c>
      <c r="E4349" s="1" t="s">
        <v>25</v>
      </c>
      <c r="F4349">
        <v>580</v>
      </c>
      <c r="G4349">
        <v>580</v>
      </c>
      <c r="H4349">
        <v>93</v>
      </c>
      <c r="I4349" s="1" t="s">
        <v>1528</v>
      </c>
      <c r="J4349" s="1" t="s">
        <v>1491</v>
      </c>
      <c r="K4349" s="1" t="s">
        <v>25</v>
      </c>
      <c r="L4349">
        <v>-0.88</v>
      </c>
      <c r="M4349" t="str">
        <f t="shared" si="173"/>
        <v>44/40</v>
      </c>
      <c r="N4349" t="str">
        <f t="shared" si="174"/>
        <v>SW</v>
      </c>
      <c r="O4349" s="1" t="s">
        <v>25</v>
      </c>
      <c r="P4349" s="3" t="s">
        <v>25</v>
      </c>
      <c r="Q4349" s="37">
        <v>0.33546359100000001</v>
      </c>
      <c r="R4349" t="str">
        <f t="shared" si="171"/>
        <v>mmol/mol</v>
      </c>
      <c r="S4349" s="13">
        <f t="shared" si="172"/>
        <v>-0.88</v>
      </c>
    </row>
    <row r="4350" spans="1:19">
      <c r="A4350" s="18" t="s">
        <v>4106</v>
      </c>
      <c r="B4350" s="1" t="s">
        <v>4517</v>
      </c>
      <c r="C4350" s="1" t="s">
        <v>5058</v>
      </c>
      <c r="D4350" s="1" t="s">
        <v>5062</v>
      </c>
      <c r="E4350" s="1" t="s">
        <v>25</v>
      </c>
      <c r="F4350">
        <v>580</v>
      </c>
      <c r="G4350">
        <v>580</v>
      </c>
      <c r="H4350">
        <v>94.2</v>
      </c>
      <c r="I4350" s="1" t="s">
        <v>1528</v>
      </c>
      <c r="J4350" s="1" t="s">
        <v>1491</v>
      </c>
      <c r="K4350" s="1" t="s">
        <v>25</v>
      </c>
      <c r="L4350" t="s">
        <v>25</v>
      </c>
      <c r="M4350" t="str">
        <f t="shared" si="173"/>
        <v>Na</v>
      </c>
      <c r="N4350" t="str">
        <f t="shared" si="174"/>
        <v>Na</v>
      </c>
      <c r="O4350" s="1" t="s">
        <v>25</v>
      </c>
      <c r="P4350" s="3" t="s">
        <v>25</v>
      </c>
      <c r="Q4350" s="37" t="s">
        <v>25</v>
      </c>
      <c r="R4350" t="str">
        <f t="shared" si="171"/>
        <v>Na</v>
      </c>
      <c r="S4350" s="13" t="s">
        <v>25</v>
      </c>
    </row>
    <row r="4351" spans="1:19">
      <c r="A4351" s="18" t="s">
        <v>4106</v>
      </c>
      <c r="B4351" s="1" t="s">
        <v>4518</v>
      </c>
      <c r="C4351" s="1" t="s">
        <v>5058</v>
      </c>
      <c r="D4351" s="1" t="s">
        <v>5062</v>
      </c>
      <c r="E4351" s="1" t="s">
        <v>25</v>
      </c>
      <c r="F4351">
        <v>580</v>
      </c>
      <c r="G4351">
        <v>580</v>
      </c>
      <c r="H4351">
        <v>95.3</v>
      </c>
      <c r="I4351" s="1" t="s">
        <v>1528</v>
      </c>
      <c r="J4351" s="1" t="s">
        <v>1491</v>
      </c>
      <c r="K4351" s="1" t="s">
        <v>25</v>
      </c>
      <c r="L4351">
        <v>-1.1299999999999999</v>
      </c>
      <c r="M4351" t="str">
        <f t="shared" si="173"/>
        <v>44/40</v>
      </c>
      <c r="N4351" t="str">
        <f t="shared" si="174"/>
        <v>SW</v>
      </c>
      <c r="O4351" s="1" t="s">
        <v>25</v>
      </c>
      <c r="P4351" s="3" t="s">
        <v>25</v>
      </c>
      <c r="Q4351" s="37">
        <v>0.36170857699999998</v>
      </c>
      <c r="R4351" t="str">
        <f t="shared" si="171"/>
        <v>mmol/mol</v>
      </c>
      <c r="S4351" s="13">
        <f t="shared" si="172"/>
        <v>-1.1299999999999999</v>
      </c>
    </row>
    <row r="4352" spans="1:19">
      <c r="A4352" s="18" t="s">
        <v>4106</v>
      </c>
      <c r="B4352" s="1" t="s">
        <v>4519</v>
      </c>
      <c r="C4352" s="1" t="s">
        <v>5058</v>
      </c>
      <c r="D4352" s="1" t="s">
        <v>5062</v>
      </c>
      <c r="E4352" s="1" t="s">
        <v>25</v>
      </c>
      <c r="F4352">
        <v>580</v>
      </c>
      <c r="G4352">
        <v>580</v>
      </c>
      <c r="H4352">
        <v>96.9</v>
      </c>
      <c r="I4352" s="1" t="s">
        <v>1528</v>
      </c>
      <c r="J4352" s="1" t="s">
        <v>1491</v>
      </c>
      <c r="K4352" s="1" t="s">
        <v>25</v>
      </c>
      <c r="L4352" t="s">
        <v>25</v>
      </c>
      <c r="M4352" t="str">
        <f t="shared" si="173"/>
        <v>Na</v>
      </c>
      <c r="N4352" t="str">
        <f t="shared" si="174"/>
        <v>Na</v>
      </c>
      <c r="O4352" s="1" t="s">
        <v>25</v>
      </c>
      <c r="P4352" s="3" t="s">
        <v>25</v>
      </c>
      <c r="Q4352" s="37" t="s">
        <v>25</v>
      </c>
      <c r="R4352" t="str">
        <f t="shared" si="171"/>
        <v>Na</v>
      </c>
      <c r="S4352" s="13" t="s">
        <v>25</v>
      </c>
    </row>
    <row r="4353" spans="1:19">
      <c r="A4353" s="18" t="s">
        <v>4106</v>
      </c>
      <c r="B4353" s="1" t="s">
        <v>4520</v>
      </c>
      <c r="C4353" s="1" t="s">
        <v>5058</v>
      </c>
      <c r="D4353" s="1" t="s">
        <v>5062</v>
      </c>
      <c r="E4353" s="1" t="s">
        <v>25</v>
      </c>
      <c r="F4353">
        <v>580</v>
      </c>
      <c r="G4353">
        <v>580</v>
      </c>
      <c r="H4353">
        <v>9.6</v>
      </c>
      <c r="I4353" s="1" t="s">
        <v>1528</v>
      </c>
      <c r="J4353" s="1" t="s">
        <v>1491</v>
      </c>
      <c r="K4353" s="1" t="s">
        <v>25</v>
      </c>
      <c r="L4353" t="s">
        <v>25</v>
      </c>
      <c r="M4353" t="str">
        <f t="shared" si="173"/>
        <v>Na</v>
      </c>
      <c r="N4353" t="str">
        <f t="shared" si="174"/>
        <v>Na</v>
      </c>
      <c r="O4353" s="1" t="s">
        <v>25</v>
      </c>
      <c r="P4353" s="3" t="s">
        <v>25</v>
      </c>
      <c r="Q4353" s="37">
        <v>0.21186316099999999</v>
      </c>
      <c r="R4353" t="str">
        <f t="shared" si="171"/>
        <v>mmol/mol</v>
      </c>
      <c r="S4353" s="13" t="s">
        <v>25</v>
      </c>
    </row>
    <row r="4354" spans="1:19">
      <c r="A4354" s="18" t="s">
        <v>4106</v>
      </c>
      <c r="B4354" s="1" t="s">
        <v>4521</v>
      </c>
      <c r="C4354" s="1" t="s">
        <v>5058</v>
      </c>
      <c r="D4354" s="1" t="s">
        <v>5062</v>
      </c>
      <c r="E4354" s="1" t="s">
        <v>25</v>
      </c>
      <c r="F4354">
        <v>580</v>
      </c>
      <c r="G4354">
        <v>580</v>
      </c>
      <c r="H4354">
        <v>10.5</v>
      </c>
      <c r="I4354" s="1" t="s">
        <v>1528</v>
      </c>
      <c r="J4354" s="1" t="s">
        <v>1491</v>
      </c>
      <c r="K4354" s="1" t="s">
        <v>25</v>
      </c>
      <c r="L4354" t="s">
        <v>25</v>
      </c>
      <c r="M4354" t="str">
        <f t="shared" si="173"/>
        <v>Na</v>
      </c>
      <c r="N4354" t="str">
        <f t="shared" si="174"/>
        <v>Na</v>
      </c>
      <c r="O4354" s="1" t="s">
        <v>25</v>
      </c>
      <c r="P4354" s="3" t="s">
        <v>25</v>
      </c>
      <c r="Q4354" s="37">
        <v>0.22464814399999999</v>
      </c>
      <c r="R4354" t="str">
        <f t="shared" si="171"/>
        <v>mmol/mol</v>
      </c>
      <c r="S4354" s="13" t="s">
        <v>25</v>
      </c>
    </row>
    <row r="4355" spans="1:19">
      <c r="A4355" s="18" t="s">
        <v>4106</v>
      </c>
      <c r="B4355" s="1" t="s">
        <v>4522</v>
      </c>
      <c r="C4355" s="1" t="s">
        <v>5058</v>
      </c>
      <c r="D4355" s="1" t="s">
        <v>5062</v>
      </c>
      <c r="E4355" s="1" t="s">
        <v>25</v>
      </c>
      <c r="F4355">
        <v>580</v>
      </c>
      <c r="G4355">
        <v>580</v>
      </c>
      <c r="H4355">
        <v>11.6</v>
      </c>
      <c r="I4355" s="1" t="s">
        <v>1528</v>
      </c>
      <c r="J4355" s="1" t="s">
        <v>1491</v>
      </c>
      <c r="K4355" s="1" t="s">
        <v>25</v>
      </c>
      <c r="L4355" t="s">
        <v>25</v>
      </c>
      <c r="M4355" t="str">
        <f t="shared" si="173"/>
        <v>Na</v>
      </c>
      <c r="N4355" t="str">
        <f t="shared" si="174"/>
        <v>Na</v>
      </c>
      <c r="O4355" s="1" t="s">
        <v>25</v>
      </c>
      <c r="P4355" s="3" t="s">
        <v>25</v>
      </c>
      <c r="Q4355" s="37">
        <v>0.117808894</v>
      </c>
      <c r="R4355" t="str">
        <f t="shared" si="171"/>
        <v>mmol/mol</v>
      </c>
      <c r="S4355" s="13" t="s">
        <v>25</v>
      </c>
    </row>
    <row r="4356" spans="1:19">
      <c r="A4356" s="18" t="s">
        <v>4106</v>
      </c>
      <c r="B4356" s="1" t="s">
        <v>4523</v>
      </c>
      <c r="C4356" s="1" t="s">
        <v>5058</v>
      </c>
      <c r="D4356" s="1" t="s">
        <v>5062</v>
      </c>
      <c r="E4356" s="1" t="s">
        <v>25</v>
      </c>
      <c r="F4356">
        <v>580</v>
      </c>
      <c r="G4356">
        <v>580</v>
      </c>
      <c r="H4356">
        <v>12.6</v>
      </c>
      <c r="I4356" s="1" t="s">
        <v>1528</v>
      </c>
      <c r="J4356" s="1" t="s">
        <v>1491</v>
      </c>
      <c r="K4356" s="1" t="s">
        <v>25</v>
      </c>
      <c r="L4356">
        <v>-1.1446597000000001</v>
      </c>
      <c r="M4356" t="str">
        <f t="shared" si="173"/>
        <v>44/40</v>
      </c>
      <c r="N4356" t="str">
        <f t="shared" si="174"/>
        <v>SW</v>
      </c>
      <c r="O4356" s="1" t="s">
        <v>25</v>
      </c>
      <c r="P4356" s="3" t="s">
        <v>25</v>
      </c>
      <c r="Q4356" s="37">
        <v>0.141335394</v>
      </c>
      <c r="R4356" t="str">
        <f t="shared" si="171"/>
        <v>mmol/mol</v>
      </c>
      <c r="S4356" s="13">
        <f t="shared" si="172"/>
        <v>-1.1446597000000001</v>
      </c>
    </row>
    <row r="4357" spans="1:19">
      <c r="A4357" s="18" t="s">
        <v>4106</v>
      </c>
      <c r="B4357" s="1" t="s">
        <v>4524</v>
      </c>
      <c r="C4357" s="1" t="s">
        <v>5058</v>
      </c>
      <c r="D4357" s="1" t="s">
        <v>5062</v>
      </c>
      <c r="E4357" s="1" t="s">
        <v>25</v>
      </c>
      <c r="F4357">
        <v>580</v>
      </c>
      <c r="G4357">
        <v>580</v>
      </c>
      <c r="H4357">
        <v>13.5</v>
      </c>
      <c r="I4357" s="1" t="s">
        <v>1528</v>
      </c>
      <c r="J4357" s="1" t="s">
        <v>1491</v>
      </c>
      <c r="K4357" s="1" t="s">
        <v>25</v>
      </c>
      <c r="L4357" t="s">
        <v>25</v>
      </c>
      <c r="M4357" t="str">
        <f t="shared" si="173"/>
        <v>Na</v>
      </c>
      <c r="N4357" t="str">
        <f t="shared" si="174"/>
        <v>Na</v>
      </c>
      <c r="O4357" s="1" t="s">
        <v>25</v>
      </c>
      <c r="P4357" s="3" t="s">
        <v>25</v>
      </c>
      <c r="Q4357" s="37">
        <v>0.13154582500000001</v>
      </c>
      <c r="R4357" t="str">
        <f t="shared" si="171"/>
        <v>mmol/mol</v>
      </c>
      <c r="S4357" s="13" t="s">
        <v>25</v>
      </c>
    </row>
    <row r="4358" spans="1:19">
      <c r="A4358" s="18" t="s">
        <v>4106</v>
      </c>
      <c r="B4358" s="1" t="s">
        <v>4525</v>
      </c>
      <c r="C4358" s="1" t="s">
        <v>5058</v>
      </c>
      <c r="D4358" s="1" t="s">
        <v>5062</v>
      </c>
      <c r="E4358" s="1" t="s">
        <v>25</v>
      </c>
      <c r="F4358">
        <v>580</v>
      </c>
      <c r="G4358">
        <v>580</v>
      </c>
      <c r="H4358">
        <v>14.5</v>
      </c>
      <c r="I4358" s="1" t="s">
        <v>1528</v>
      </c>
      <c r="J4358" s="1" t="s">
        <v>1491</v>
      </c>
      <c r="K4358" s="1" t="s">
        <v>25</v>
      </c>
      <c r="L4358">
        <v>-1.2121968000000001</v>
      </c>
      <c r="M4358" t="str">
        <f t="shared" si="173"/>
        <v>44/40</v>
      </c>
      <c r="N4358" t="str">
        <f t="shared" si="174"/>
        <v>SW</v>
      </c>
      <c r="O4358" s="1" t="s">
        <v>25</v>
      </c>
      <c r="P4358" s="3" t="s">
        <v>25</v>
      </c>
      <c r="Q4358" s="37">
        <v>0.101325946</v>
      </c>
      <c r="R4358" t="str">
        <f t="shared" si="171"/>
        <v>mmol/mol</v>
      </c>
      <c r="S4358" s="13">
        <f t="shared" si="172"/>
        <v>-1.2121968000000001</v>
      </c>
    </row>
    <row r="4359" spans="1:19">
      <c r="A4359" s="18" t="s">
        <v>4106</v>
      </c>
      <c r="B4359" s="1" t="s">
        <v>4526</v>
      </c>
      <c r="C4359" s="1" t="s">
        <v>5058</v>
      </c>
      <c r="D4359" s="1" t="s">
        <v>5062</v>
      </c>
      <c r="E4359" s="1" t="s">
        <v>25</v>
      </c>
      <c r="F4359">
        <v>580</v>
      </c>
      <c r="G4359">
        <v>580</v>
      </c>
      <c r="H4359">
        <v>15.4</v>
      </c>
      <c r="I4359" s="1" t="s">
        <v>1528</v>
      </c>
      <c r="J4359" s="1" t="s">
        <v>1491</v>
      </c>
      <c r="K4359" s="1" t="s">
        <v>25</v>
      </c>
      <c r="L4359">
        <v>-1.3083811000000001</v>
      </c>
      <c r="M4359" t="str">
        <f t="shared" si="173"/>
        <v>44/40</v>
      </c>
      <c r="N4359" t="str">
        <f t="shared" si="174"/>
        <v>SW</v>
      </c>
      <c r="O4359" s="1" t="s">
        <v>25</v>
      </c>
      <c r="P4359" s="3" t="s">
        <v>25</v>
      </c>
      <c r="Q4359" s="37">
        <v>9.0181573000000001E-2</v>
      </c>
      <c r="R4359" t="str">
        <f t="shared" si="171"/>
        <v>mmol/mol</v>
      </c>
      <c r="S4359" s="13">
        <f t="shared" si="172"/>
        <v>-1.3083811000000001</v>
      </c>
    </row>
    <row r="4360" spans="1:19">
      <c r="A4360" s="18" t="s">
        <v>4106</v>
      </c>
      <c r="B4360" s="1" t="s">
        <v>4527</v>
      </c>
      <c r="C4360" s="1" t="s">
        <v>5058</v>
      </c>
      <c r="D4360" s="1" t="s">
        <v>5062</v>
      </c>
      <c r="E4360" s="1" t="s">
        <v>25</v>
      </c>
      <c r="F4360">
        <v>580</v>
      </c>
      <c r="G4360">
        <v>580</v>
      </c>
      <c r="H4360">
        <v>16.600000000000001</v>
      </c>
      <c r="I4360" s="1" t="s">
        <v>1528</v>
      </c>
      <c r="J4360" s="1" t="s">
        <v>1491</v>
      </c>
      <c r="K4360" s="1" t="s">
        <v>25</v>
      </c>
      <c r="L4360">
        <v>-1.1515469</v>
      </c>
      <c r="M4360" t="str">
        <f t="shared" si="173"/>
        <v>44/40</v>
      </c>
      <c r="N4360" t="str">
        <f t="shared" si="174"/>
        <v>SW</v>
      </c>
      <c r="O4360" s="1" t="s">
        <v>25</v>
      </c>
      <c r="P4360" s="3" t="s">
        <v>25</v>
      </c>
      <c r="Q4360" s="37">
        <v>7.4609995999999998E-2</v>
      </c>
      <c r="R4360" t="str">
        <f t="shared" si="171"/>
        <v>mmol/mol</v>
      </c>
      <c r="S4360" s="13">
        <f t="shared" si="172"/>
        <v>-1.1515469</v>
      </c>
    </row>
    <row r="4361" spans="1:19">
      <c r="A4361" s="18" t="s">
        <v>4106</v>
      </c>
      <c r="B4361" s="1" t="s">
        <v>4528</v>
      </c>
      <c r="C4361" s="1" t="s">
        <v>5058</v>
      </c>
      <c r="D4361" s="1" t="s">
        <v>5062</v>
      </c>
      <c r="E4361" s="1" t="s">
        <v>25</v>
      </c>
      <c r="F4361">
        <v>580</v>
      </c>
      <c r="G4361">
        <v>580</v>
      </c>
      <c r="H4361">
        <v>17.399999999999999</v>
      </c>
      <c r="I4361" s="1" t="s">
        <v>1528</v>
      </c>
      <c r="J4361" s="1" t="s">
        <v>1491</v>
      </c>
      <c r="K4361" s="1" t="s">
        <v>25</v>
      </c>
      <c r="L4361" t="s">
        <v>25</v>
      </c>
      <c r="M4361" t="str">
        <f t="shared" si="173"/>
        <v>Na</v>
      </c>
      <c r="N4361" t="str">
        <f t="shared" si="174"/>
        <v>Na</v>
      </c>
      <c r="O4361" s="1" t="s">
        <v>25</v>
      </c>
      <c r="P4361" s="3" t="s">
        <v>25</v>
      </c>
      <c r="Q4361" s="37">
        <v>0.174271593</v>
      </c>
      <c r="R4361" t="str">
        <f t="shared" si="171"/>
        <v>mmol/mol</v>
      </c>
      <c r="S4361" s="13" t="s">
        <v>25</v>
      </c>
    </row>
    <row r="4362" spans="1:19">
      <c r="A4362" s="18" t="s">
        <v>4106</v>
      </c>
      <c r="B4362" s="1" t="s">
        <v>4529</v>
      </c>
      <c r="C4362" s="1" t="s">
        <v>5058</v>
      </c>
      <c r="D4362" s="1" t="s">
        <v>5062</v>
      </c>
      <c r="E4362" s="1" t="s">
        <v>25</v>
      </c>
      <c r="F4362">
        <v>580</v>
      </c>
      <c r="G4362">
        <v>580</v>
      </c>
      <c r="H4362">
        <v>18.3</v>
      </c>
      <c r="I4362" s="1" t="s">
        <v>1528</v>
      </c>
      <c r="J4362" s="1" t="s">
        <v>1491</v>
      </c>
      <c r="K4362" s="1" t="s">
        <v>25</v>
      </c>
      <c r="L4362" t="s">
        <v>25</v>
      </c>
      <c r="M4362" t="str">
        <f t="shared" si="173"/>
        <v>Na</v>
      </c>
      <c r="N4362" t="str">
        <f t="shared" si="174"/>
        <v>Na</v>
      </c>
      <c r="O4362" s="1" t="s">
        <v>25</v>
      </c>
      <c r="P4362" s="3" t="s">
        <v>25</v>
      </c>
      <c r="Q4362" s="37">
        <v>0.13868639699999999</v>
      </c>
      <c r="R4362" t="str">
        <f t="shared" si="171"/>
        <v>mmol/mol</v>
      </c>
      <c r="S4362" s="13" t="s">
        <v>25</v>
      </c>
    </row>
    <row r="4363" spans="1:19">
      <c r="A4363" s="18" t="s">
        <v>4106</v>
      </c>
      <c r="B4363" s="1" t="s">
        <v>4530</v>
      </c>
      <c r="C4363" s="1" t="s">
        <v>5058</v>
      </c>
      <c r="D4363" s="1" t="s">
        <v>5062</v>
      </c>
      <c r="E4363" s="1" t="s">
        <v>25</v>
      </c>
      <c r="F4363">
        <v>580</v>
      </c>
      <c r="G4363">
        <v>580</v>
      </c>
      <c r="H4363">
        <v>19.2</v>
      </c>
      <c r="I4363" s="1" t="s">
        <v>1528</v>
      </c>
      <c r="J4363" s="1" t="s">
        <v>1491</v>
      </c>
      <c r="K4363" s="1" t="s">
        <v>25</v>
      </c>
      <c r="L4363">
        <v>-1.0669960000000001</v>
      </c>
      <c r="M4363" t="str">
        <f t="shared" si="173"/>
        <v>44/40</v>
      </c>
      <c r="N4363" t="str">
        <f t="shared" si="174"/>
        <v>SW</v>
      </c>
      <c r="O4363" s="1" t="s">
        <v>25</v>
      </c>
      <c r="P4363" s="3" t="s">
        <v>25</v>
      </c>
      <c r="Q4363" s="37">
        <v>0.10347898899999999</v>
      </c>
      <c r="R4363" t="str">
        <f t="shared" si="171"/>
        <v>mmol/mol</v>
      </c>
      <c r="S4363" s="13">
        <f t="shared" si="172"/>
        <v>-1.0669960000000001</v>
      </c>
    </row>
    <row r="4364" spans="1:19">
      <c r="A4364" s="18" t="s">
        <v>4106</v>
      </c>
      <c r="B4364" s="1" t="s">
        <v>4531</v>
      </c>
      <c r="C4364" s="1" t="s">
        <v>5058</v>
      </c>
      <c r="D4364" s="1" t="s">
        <v>5062</v>
      </c>
      <c r="E4364" s="1" t="s">
        <v>25</v>
      </c>
      <c r="F4364">
        <v>580</v>
      </c>
      <c r="G4364">
        <v>580</v>
      </c>
      <c r="H4364">
        <v>20.100000000000001</v>
      </c>
      <c r="I4364" s="1" t="s">
        <v>1528</v>
      </c>
      <c r="J4364" s="1" t="s">
        <v>1491</v>
      </c>
      <c r="K4364" s="1" t="s">
        <v>25</v>
      </c>
      <c r="L4364">
        <v>-1.245301</v>
      </c>
      <c r="M4364" t="str">
        <f t="shared" si="173"/>
        <v>44/40</v>
      </c>
      <c r="N4364" t="str">
        <f t="shared" si="174"/>
        <v>SW</v>
      </c>
      <c r="O4364" s="1" t="s">
        <v>25</v>
      </c>
      <c r="P4364" s="3" t="s">
        <v>25</v>
      </c>
      <c r="Q4364" s="37">
        <v>0.15670630399999999</v>
      </c>
      <c r="R4364" t="str">
        <f t="shared" si="171"/>
        <v>mmol/mol</v>
      </c>
      <c r="S4364" s="13">
        <f t="shared" si="172"/>
        <v>-1.245301</v>
      </c>
    </row>
    <row r="4365" spans="1:19">
      <c r="A4365" s="18" t="s">
        <v>4106</v>
      </c>
      <c r="B4365" s="1" t="s">
        <v>4532</v>
      </c>
      <c r="C4365" s="1" t="s">
        <v>5058</v>
      </c>
      <c r="D4365" s="1" t="s">
        <v>5062</v>
      </c>
      <c r="E4365" s="1" t="s">
        <v>25</v>
      </c>
      <c r="F4365">
        <v>580</v>
      </c>
      <c r="G4365">
        <v>580</v>
      </c>
      <c r="H4365">
        <v>21</v>
      </c>
      <c r="I4365" s="1" t="s">
        <v>1528</v>
      </c>
      <c r="J4365" s="1" t="s">
        <v>1491</v>
      </c>
      <c r="K4365" s="1" t="s">
        <v>25</v>
      </c>
      <c r="L4365" t="s">
        <v>25</v>
      </c>
      <c r="M4365" t="str">
        <f t="shared" si="173"/>
        <v>Na</v>
      </c>
      <c r="N4365" t="str">
        <f t="shared" si="174"/>
        <v>Na</v>
      </c>
      <c r="O4365" s="1" t="s">
        <v>25</v>
      </c>
      <c r="P4365" s="3" t="s">
        <v>25</v>
      </c>
      <c r="Q4365" s="37">
        <v>0.16857461600000001</v>
      </c>
      <c r="R4365" t="str">
        <f t="shared" si="171"/>
        <v>mmol/mol</v>
      </c>
      <c r="S4365" s="13" t="s">
        <v>25</v>
      </c>
    </row>
    <row r="4366" spans="1:19">
      <c r="A4366" s="18" t="s">
        <v>4106</v>
      </c>
      <c r="B4366" s="1" t="s">
        <v>4533</v>
      </c>
      <c r="C4366" s="1" t="s">
        <v>5058</v>
      </c>
      <c r="D4366" s="1" t="s">
        <v>5062</v>
      </c>
      <c r="E4366" s="1" t="s">
        <v>25</v>
      </c>
      <c r="F4366">
        <v>580</v>
      </c>
      <c r="G4366">
        <v>580</v>
      </c>
      <c r="H4366">
        <v>23.3</v>
      </c>
      <c r="I4366" s="1" t="s">
        <v>1528</v>
      </c>
      <c r="J4366" s="1" t="s">
        <v>1491</v>
      </c>
      <c r="K4366" s="1" t="s">
        <v>25</v>
      </c>
      <c r="L4366">
        <v>-1.2169213000000001</v>
      </c>
      <c r="M4366" t="str">
        <f t="shared" si="173"/>
        <v>44/40</v>
      </c>
      <c r="N4366" t="str">
        <f t="shared" si="174"/>
        <v>SW</v>
      </c>
      <c r="O4366" s="1" t="s">
        <v>25</v>
      </c>
      <c r="P4366" s="3" t="s">
        <v>25</v>
      </c>
      <c r="Q4366" s="37">
        <v>0.21133522299999999</v>
      </c>
      <c r="R4366" t="str">
        <f t="shared" si="171"/>
        <v>mmol/mol</v>
      </c>
      <c r="S4366" s="13">
        <f t="shared" si="172"/>
        <v>-1.2169213000000001</v>
      </c>
    </row>
    <row r="4367" spans="1:19">
      <c r="A4367" s="18" t="s">
        <v>4106</v>
      </c>
      <c r="B4367" s="1" t="s">
        <v>4534</v>
      </c>
      <c r="C4367" s="1" t="s">
        <v>5058</v>
      </c>
      <c r="D4367" s="1" t="s">
        <v>5062</v>
      </c>
      <c r="E4367" s="1" t="s">
        <v>25</v>
      </c>
      <c r="F4367">
        <v>580</v>
      </c>
      <c r="G4367">
        <v>580</v>
      </c>
      <c r="H4367">
        <v>23.9</v>
      </c>
      <c r="I4367" s="1" t="s">
        <v>1528</v>
      </c>
      <c r="J4367" s="1" t="s">
        <v>1491</v>
      </c>
      <c r="K4367" s="1" t="s">
        <v>25</v>
      </c>
      <c r="L4367">
        <v>-1.1421851000000001</v>
      </c>
      <c r="M4367" t="str">
        <f t="shared" si="173"/>
        <v>44/40</v>
      </c>
      <c r="N4367" t="str">
        <f t="shared" si="174"/>
        <v>SW</v>
      </c>
      <c r="O4367" s="1" t="s">
        <v>25</v>
      </c>
      <c r="P4367" s="3" t="s">
        <v>25</v>
      </c>
      <c r="Q4367" s="37">
        <v>0.16752509900000001</v>
      </c>
      <c r="R4367" t="str">
        <f t="shared" si="171"/>
        <v>mmol/mol</v>
      </c>
      <c r="S4367" s="13">
        <f t="shared" si="172"/>
        <v>-1.1421851000000001</v>
      </c>
    </row>
    <row r="4368" spans="1:19">
      <c r="A4368" s="18" t="s">
        <v>4106</v>
      </c>
      <c r="B4368" s="1" t="s">
        <v>4535</v>
      </c>
      <c r="C4368" s="1" t="s">
        <v>5058</v>
      </c>
      <c r="D4368" s="1" t="s">
        <v>5062</v>
      </c>
      <c r="E4368" s="1" t="s">
        <v>25</v>
      </c>
      <c r="F4368">
        <v>580</v>
      </c>
      <c r="G4368">
        <v>580</v>
      </c>
      <c r="H4368">
        <v>25</v>
      </c>
      <c r="I4368" s="1" t="s">
        <v>1528</v>
      </c>
      <c r="J4368" s="1" t="s">
        <v>1491</v>
      </c>
      <c r="K4368" s="1" t="s">
        <v>25</v>
      </c>
      <c r="L4368" t="s">
        <v>25</v>
      </c>
      <c r="M4368" t="str">
        <f t="shared" si="173"/>
        <v>Na</v>
      </c>
      <c r="N4368" t="str">
        <f t="shared" si="174"/>
        <v>Na</v>
      </c>
      <c r="O4368" s="1" t="s">
        <v>25</v>
      </c>
      <c r="P4368" s="3" t="s">
        <v>25</v>
      </c>
      <c r="Q4368" s="37">
        <v>0.123723307</v>
      </c>
      <c r="R4368" t="str">
        <f t="shared" si="171"/>
        <v>mmol/mol</v>
      </c>
      <c r="S4368" s="13" t="s">
        <v>25</v>
      </c>
    </row>
    <row r="4369" spans="1:19">
      <c r="A4369" s="18" t="s">
        <v>4106</v>
      </c>
      <c r="B4369" s="1" t="s">
        <v>4536</v>
      </c>
      <c r="C4369" s="1" t="s">
        <v>5058</v>
      </c>
      <c r="D4369" s="1" t="s">
        <v>5062</v>
      </c>
      <c r="E4369" s="1" t="s">
        <v>25</v>
      </c>
      <c r="F4369">
        <v>580</v>
      </c>
      <c r="G4369">
        <v>580</v>
      </c>
      <c r="H4369">
        <v>25.3</v>
      </c>
      <c r="I4369" s="1" t="s">
        <v>1528</v>
      </c>
      <c r="J4369" s="1" t="s">
        <v>1491</v>
      </c>
      <c r="K4369" s="1" t="s">
        <v>25</v>
      </c>
      <c r="L4369">
        <v>-1.0762913000000001</v>
      </c>
      <c r="M4369" t="str">
        <f t="shared" si="173"/>
        <v>44/40</v>
      </c>
      <c r="N4369" t="str">
        <f t="shared" si="174"/>
        <v>SW</v>
      </c>
      <c r="O4369" s="1" t="s">
        <v>25</v>
      </c>
      <c r="P4369" s="3" t="s">
        <v>25</v>
      </c>
      <c r="Q4369" s="37">
        <v>0.17315998199999999</v>
      </c>
      <c r="R4369" t="str">
        <f t="shared" si="171"/>
        <v>mmol/mol</v>
      </c>
      <c r="S4369" s="13">
        <f t="shared" si="172"/>
        <v>-1.0762913000000001</v>
      </c>
    </row>
    <row r="4370" spans="1:19">
      <c r="A4370" s="18" t="s">
        <v>4106</v>
      </c>
      <c r="B4370" s="1" t="s">
        <v>4537</v>
      </c>
      <c r="C4370" s="1" t="s">
        <v>5058</v>
      </c>
      <c r="D4370" s="1" t="s">
        <v>5062</v>
      </c>
      <c r="E4370" s="1" t="s">
        <v>25</v>
      </c>
      <c r="F4370">
        <v>580</v>
      </c>
      <c r="G4370">
        <v>580</v>
      </c>
      <c r="H4370">
        <v>26</v>
      </c>
      <c r="I4370" s="1" t="s">
        <v>1528</v>
      </c>
      <c r="J4370" s="1" t="s">
        <v>1491</v>
      </c>
      <c r="K4370" s="1" t="s">
        <v>25</v>
      </c>
      <c r="L4370">
        <v>-1.1061995</v>
      </c>
      <c r="M4370" t="str">
        <f t="shared" si="173"/>
        <v>44/40</v>
      </c>
      <c r="N4370" t="str">
        <f t="shared" si="174"/>
        <v>SW</v>
      </c>
      <c r="O4370" s="1" t="s">
        <v>25</v>
      </c>
      <c r="P4370" s="3" t="s">
        <v>25</v>
      </c>
      <c r="Q4370" s="37">
        <v>0.18784775400000001</v>
      </c>
      <c r="R4370" t="str">
        <f t="shared" si="171"/>
        <v>mmol/mol</v>
      </c>
      <c r="S4370" s="13">
        <f t="shared" si="172"/>
        <v>-1.1061995</v>
      </c>
    </row>
    <row r="4371" spans="1:19">
      <c r="A4371" s="18" t="s">
        <v>4106</v>
      </c>
      <c r="B4371" s="1" t="s">
        <v>4538</v>
      </c>
      <c r="C4371" s="1" t="s">
        <v>5058</v>
      </c>
      <c r="D4371" s="1" t="s">
        <v>5062</v>
      </c>
      <c r="E4371" s="1" t="s">
        <v>25</v>
      </c>
      <c r="F4371">
        <v>580</v>
      </c>
      <c r="G4371">
        <v>580</v>
      </c>
      <c r="H4371">
        <v>26.8</v>
      </c>
      <c r="I4371" s="1" t="s">
        <v>1528</v>
      </c>
      <c r="J4371" s="1" t="s">
        <v>1491</v>
      </c>
      <c r="K4371" s="1" t="s">
        <v>25</v>
      </c>
      <c r="L4371">
        <v>-1.3777538</v>
      </c>
      <c r="M4371" t="str">
        <f t="shared" si="173"/>
        <v>44/40</v>
      </c>
      <c r="N4371" t="str">
        <f t="shared" si="174"/>
        <v>SW</v>
      </c>
      <c r="O4371" s="1" t="s">
        <v>25</v>
      </c>
      <c r="P4371" s="3" t="s">
        <v>25</v>
      </c>
      <c r="Q4371" s="37">
        <v>0.16892377</v>
      </c>
      <c r="R4371" t="str">
        <f t="shared" si="171"/>
        <v>mmol/mol</v>
      </c>
      <c r="S4371" s="13">
        <f t="shared" si="172"/>
        <v>-1.3777538</v>
      </c>
    </row>
    <row r="4372" spans="1:19">
      <c r="A4372" s="18" t="s">
        <v>4106</v>
      </c>
      <c r="B4372" s="1" t="s">
        <v>4539</v>
      </c>
      <c r="C4372" s="1" t="s">
        <v>5058</v>
      </c>
      <c r="D4372" s="1" t="s">
        <v>5062</v>
      </c>
      <c r="E4372" s="1" t="s">
        <v>25</v>
      </c>
      <c r="F4372">
        <v>580</v>
      </c>
      <c r="G4372">
        <v>580</v>
      </c>
      <c r="H4372">
        <v>28.3</v>
      </c>
      <c r="I4372" s="1" t="s">
        <v>1528</v>
      </c>
      <c r="J4372" s="1" t="s">
        <v>1491</v>
      </c>
      <c r="K4372" s="1" t="s">
        <v>25</v>
      </c>
      <c r="L4372">
        <v>-1.2208829000000001</v>
      </c>
      <c r="M4372" t="str">
        <f t="shared" si="173"/>
        <v>44/40</v>
      </c>
      <c r="N4372" t="str">
        <f t="shared" si="174"/>
        <v>SW</v>
      </c>
      <c r="O4372" s="1" t="s">
        <v>25</v>
      </c>
      <c r="P4372" s="3" t="s">
        <v>25</v>
      </c>
      <c r="Q4372" s="37">
        <v>0.12541216199999999</v>
      </c>
      <c r="R4372" t="str">
        <f t="shared" si="171"/>
        <v>mmol/mol</v>
      </c>
      <c r="S4372" s="13">
        <f t="shared" si="172"/>
        <v>-1.2208829000000001</v>
      </c>
    </row>
    <row r="4373" spans="1:19">
      <c r="A4373" s="18" t="s">
        <v>4106</v>
      </c>
      <c r="B4373" s="1" t="s">
        <v>4540</v>
      </c>
      <c r="C4373" s="1" t="s">
        <v>5058</v>
      </c>
      <c r="D4373" s="1" t="s">
        <v>5062</v>
      </c>
      <c r="E4373" s="1" t="s">
        <v>25</v>
      </c>
      <c r="F4373">
        <v>580</v>
      </c>
      <c r="G4373">
        <v>580</v>
      </c>
      <c r="H4373">
        <v>29.7</v>
      </c>
      <c r="I4373" s="1" t="s">
        <v>1528</v>
      </c>
      <c r="J4373" s="1" t="s">
        <v>1491</v>
      </c>
      <c r="K4373" s="1" t="s">
        <v>25</v>
      </c>
      <c r="L4373">
        <v>-1.2711806999999999</v>
      </c>
      <c r="M4373" t="str">
        <f t="shared" si="173"/>
        <v>44/40</v>
      </c>
      <c r="N4373" t="str">
        <f t="shared" si="174"/>
        <v>SW</v>
      </c>
      <c r="O4373" s="1" t="s">
        <v>25</v>
      </c>
      <c r="P4373" s="3" t="s">
        <v>25</v>
      </c>
      <c r="Q4373" s="37">
        <v>0.21640973099999999</v>
      </c>
      <c r="R4373" t="str">
        <f t="shared" si="171"/>
        <v>mmol/mol</v>
      </c>
      <c r="S4373" s="13">
        <f t="shared" si="172"/>
        <v>-1.2711806999999999</v>
      </c>
    </row>
    <row r="4374" spans="1:19">
      <c r="A4374" s="18" t="s">
        <v>4106</v>
      </c>
      <c r="B4374" s="1" t="s">
        <v>4541</v>
      </c>
      <c r="C4374" s="1" t="s">
        <v>5058</v>
      </c>
      <c r="D4374" s="1" t="s">
        <v>5062</v>
      </c>
      <c r="E4374" s="1" t="s">
        <v>25</v>
      </c>
      <c r="F4374">
        <v>580</v>
      </c>
      <c r="G4374">
        <v>580</v>
      </c>
      <c r="H4374">
        <v>30.9</v>
      </c>
      <c r="I4374" s="1" t="s">
        <v>1528</v>
      </c>
      <c r="J4374" s="1" t="s">
        <v>1491</v>
      </c>
      <c r="K4374" s="1" t="s">
        <v>25</v>
      </c>
      <c r="L4374">
        <v>-1.0646195000000001</v>
      </c>
      <c r="M4374" t="str">
        <f t="shared" si="173"/>
        <v>44/40</v>
      </c>
      <c r="N4374" t="str">
        <f t="shared" si="174"/>
        <v>SW</v>
      </c>
      <c r="O4374" s="1" t="s">
        <v>25</v>
      </c>
      <c r="P4374" s="3" t="s">
        <v>25</v>
      </c>
      <c r="Q4374" s="37">
        <v>0.140538104</v>
      </c>
      <c r="R4374" t="str">
        <f t="shared" si="171"/>
        <v>mmol/mol</v>
      </c>
      <c r="S4374" s="13">
        <f t="shared" si="172"/>
        <v>-1.0646195000000001</v>
      </c>
    </row>
    <row r="4375" spans="1:19">
      <c r="A4375" s="18" t="s">
        <v>4106</v>
      </c>
      <c r="B4375" s="1" t="s">
        <v>4542</v>
      </c>
      <c r="C4375" s="1" t="s">
        <v>5058</v>
      </c>
      <c r="D4375" s="1" t="s">
        <v>5062</v>
      </c>
      <c r="E4375" s="1" t="s">
        <v>25</v>
      </c>
      <c r="F4375">
        <v>580</v>
      </c>
      <c r="G4375">
        <v>580</v>
      </c>
      <c r="H4375">
        <v>31.8</v>
      </c>
      <c r="I4375" s="1" t="s">
        <v>1528</v>
      </c>
      <c r="J4375" s="1" t="s">
        <v>1491</v>
      </c>
      <c r="K4375" s="1" t="s">
        <v>25</v>
      </c>
      <c r="L4375">
        <v>-1.1871982000000001</v>
      </c>
      <c r="M4375" t="str">
        <f t="shared" si="173"/>
        <v>44/40</v>
      </c>
      <c r="N4375" t="str">
        <f t="shared" si="174"/>
        <v>SW</v>
      </c>
      <c r="O4375" s="1" t="s">
        <v>25</v>
      </c>
      <c r="P4375" s="3" t="s">
        <v>25</v>
      </c>
      <c r="Q4375" s="37">
        <v>0.217205908</v>
      </c>
      <c r="R4375" t="str">
        <f t="shared" si="171"/>
        <v>mmol/mol</v>
      </c>
      <c r="S4375" s="13">
        <f t="shared" si="172"/>
        <v>-1.1871982000000001</v>
      </c>
    </row>
    <row r="4376" spans="1:19">
      <c r="A4376" s="18" t="s">
        <v>4106</v>
      </c>
      <c r="B4376" s="1" t="s">
        <v>4543</v>
      </c>
      <c r="C4376" s="1" t="s">
        <v>5058</v>
      </c>
      <c r="D4376" s="1" t="s">
        <v>5062</v>
      </c>
      <c r="E4376" s="1" t="s">
        <v>25</v>
      </c>
      <c r="F4376">
        <v>580</v>
      </c>
      <c r="G4376">
        <v>580</v>
      </c>
      <c r="H4376">
        <v>33.200000000000003</v>
      </c>
      <c r="I4376" s="1" t="s">
        <v>1528</v>
      </c>
      <c r="J4376" s="1" t="s">
        <v>1491</v>
      </c>
      <c r="K4376" s="1" t="s">
        <v>25</v>
      </c>
      <c r="L4376" t="s">
        <v>25</v>
      </c>
      <c r="M4376" t="str">
        <f t="shared" si="173"/>
        <v>Na</v>
      </c>
      <c r="N4376" t="str">
        <f t="shared" si="174"/>
        <v>Na</v>
      </c>
      <c r="O4376" s="1" t="s">
        <v>25</v>
      </c>
      <c r="P4376" s="3" t="s">
        <v>25</v>
      </c>
      <c r="Q4376" s="37">
        <v>0.13107857000000001</v>
      </c>
      <c r="R4376" t="str">
        <f t="shared" si="171"/>
        <v>mmol/mol</v>
      </c>
      <c r="S4376" s="13" t="s">
        <v>25</v>
      </c>
    </row>
    <row r="4377" spans="1:19">
      <c r="A4377" s="18" t="s">
        <v>4106</v>
      </c>
      <c r="B4377" s="1" t="s">
        <v>4544</v>
      </c>
      <c r="C4377" s="1" t="s">
        <v>5058</v>
      </c>
      <c r="D4377" s="1" t="s">
        <v>5062</v>
      </c>
      <c r="E4377" s="1" t="s">
        <v>25</v>
      </c>
      <c r="F4377">
        <v>580</v>
      </c>
      <c r="G4377">
        <v>580</v>
      </c>
      <c r="H4377">
        <v>34.200000000000003</v>
      </c>
      <c r="I4377" s="1" t="s">
        <v>1528</v>
      </c>
      <c r="J4377" s="1" t="s">
        <v>1491</v>
      </c>
      <c r="K4377" s="1" t="s">
        <v>25</v>
      </c>
      <c r="L4377">
        <v>-1.1165552999999999</v>
      </c>
      <c r="M4377" t="str">
        <f t="shared" si="173"/>
        <v>44/40</v>
      </c>
      <c r="N4377" t="str">
        <f t="shared" si="174"/>
        <v>SW</v>
      </c>
      <c r="O4377" s="1" t="s">
        <v>25</v>
      </c>
      <c r="P4377" s="3" t="s">
        <v>25</v>
      </c>
      <c r="Q4377" s="37">
        <v>0.15473383399999999</v>
      </c>
      <c r="R4377" t="str">
        <f t="shared" ref="R4377:R4440" si="175">IF(Q4377="Na","Na","mmol/mol")</f>
        <v>mmol/mol</v>
      </c>
      <c r="S4377" s="13">
        <f t="shared" si="172"/>
        <v>-1.1165552999999999</v>
      </c>
    </row>
    <row r="4378" spans="1:19">
      <c r="A4378" s="18" t="s">
        <v>4106</v>
      </c>
      <c r="B4378" s="1" t="s">
        <v>4545</v>
      </c>
      <c r="C4378" s="1" t="s">
        <v>5058</v>
      </c>
      <c r="D4378" s="1" t="s">
        <v>5062</v>
      </c>
      <c r="E4378" s="1" t="s">
        <v>25</v>
      </c>
      <c r="F4378">
        <v>580</v>
      </c>
      <c r="G4378">
        <v>580</v>
      </c>
      <c r="H4378">
        <v>34.9</v>
      </c>
      <c r="I4378" s="1" t="s">
        <v>1528</v>
      </c>
      <c r="J4378" s="1" t="s">
        <v>1491</v>
      </c>
      <c r="K4378" s="1" t="s">
        <v>25</v>
      </c>
      <c r="L4378">
        <v>-1.1210800000000001</v>
      </c>
      <c r="M4378" t="str">
        <f t="shared" si="173"/>
        <v>44/40</v>
      </c>
      <c r="N4378" t="str">
        <f t="shared" si="174"/>
        <v>SW</v>
      </c>
      <c r="O4378" s="1" t="s">
        <v>25</v>
      </c>
      <c r="P4378" s="3" t="s">
        <v>25</v>
      </c>
      <c r="Q4378" s="37">
        <v>0.13897584199999999</v>
      </c>
      <c r="R4378" t="str">
        <f t="shared" si="175"/>
        <v>mmol/mol</v>
      </c>
      <c r="S4378" s="13">
        <f t="shared" si="172"/>
        <v>-1.1210800000000001</v>
      </c>
    </row>
    <row r="4379" spans="1:19">
      <c r="A4379" s="18" t="s">
        <v>4106</v>
      </c>
      <c r="B4379" s="1" t="s">
        <v>4546</v>
      </c>
      <c r="C4379" s="1" t="s">
        <v>5058</v>
      </c>
      <c r="D4379" s="1" t="s">
        <v>5062</v>
      </c>
      <c r="E4379" s="1" t="s">
        <v>25</v>
      </c>
      <c r="F4379">
        <v>580</v>
      </c>
      <c r="G4379">
        <v>580</v>
      </c>
      <c r="H4379">
        <v>35.5</v>
      </c>
      <c r="I4379" s="1" t="s">
        <v>1528</v>
      </c>
      <c r="J4379" s="1" t="s">
        <v>1491</v>
      </c>
      <c r="K4379" s="1" t="s">
        <v>25</v>
      </c>
      <c r="L4379">
        <v>-1.0729850000000001</v>
      </c>
      <c r="M4379" t="str">
        <f t="shared" si="173"/>
        <v>44/40</v>
      </c>
      <c r="N4379" t="str">
        <f t="shared" si="174"/>
        <v>SW</v>
      </c>
      <c r="O4379" s="1" t="s">
        <v>25</v>
      </c>
      <c r="P4379" s="3" t="s">
        <v>25</v>
      </c>
      <c r="Q4379" s="37">
        <v>0.119538271</v>
      </c>
      <c r="R4379" t="str">
        <f t="shared" si="175"/>
        <v>mmol/mol</v>
      </c>
      <c r="S4379" s="13">
        <f t="shared" si="172"/>
        <v>-1.0729850000000001</v>
      </c>
    </row>
    <row r="4380" spans="1:19">
      <c r="A4380" s="18" t="s">
        <v>4106</v>
      </c>
      <c r="B4380" s="1" t="s">
        <v>4547</v>
      </c>
      <c r="C4380" s="1" t="s">
        <v>5058</v>
      </c>
      <c r="D4380" s="1" t="s">
        <v>5062</v>
      </c>
      <c r="E4380" s="1" t="s">
        <v>25</v>
      </c>
      <c r="F4380">
        <v>580</v>
      </c>
      <c r="G4380">
        <v>580</v>
      </c>
      <c r="H4380">
        <v>36.4</v>
      </c>
      <c r="I4380" s="1" t="s">
        <v>1528</v>
      </c>
      <c r="J4380" s="1" t="s">
        <v>1491</v>
      </c>
      <c r="K4380" s="1" t="s">
        <v>25</v>
      </c>
      <c r="L4380">
        <v>-1.3199584</v>
      </c>
      <c r="M4380" t="str">
        <f t="shared" si="173"/>
        <v>44/40</v>
      </c>
      <c r="N4380" t="str">
        <f t="shared" si="174"/>
        <v>SW</v>
      </c>
      <c r="O4380" s="1" t="s">
        <v>25</v>
      </c>
      <c r="P4380" s="3" t="s">
        <v>25</v>
      </c>
      <c r="Q4380" s="37">
        <v>0.11766362399999999</v>
      </c>
      <c r="R4380" t="str">
        <f t="shared" si="175"/>
        <v>mmol/mol</v>
      </c>
      <c r="S4380" s="13">
        <f t="shared" si="172"/>
        <v>-1.3199584</v>
      </c>
    </row>
    <row r="4381" spans="1:19">
      <c r="A4381" s="18" t="s">
        <v>4106</v>
      </c>
      <c r="B4381" s="1" t="s">
        <v>4548</v>
      </c>
      <c r="C4381" s="1" t="s">
        <v>5058</v>
      </c>
      <c r="D4381" s="1" t="s">
        <v>5062</v>
      </c>
      <c r="E4381" s="1" t="s">
        <v>25</v>
      </c>
      <c r="F4381">
        <v>580</v>
      </c>
      <c r="G4381">
        <v>580</v>
      </c>
      <c r="H4381">
        <v>37.299999999999997</v>
      </c>
      <c r="I4381" s="1" t="s">
        <v>1528</v>
      </c>
      <c r="J4381" s="1" t="s">
        <v>1491</v>
      </c>
      <c r="K4381" s="1" t="s">
        <v>25</v>
      </c>
      <c r="L4381">
        <v>-1.1967353000000001</v>
      </c>
      <c r="M4381" t="str">
        <f t="shared" si="173"/>
        <v>44/40</v>
      </c>
      <c r="N4381" t="str">
        <f t="shared" si="174"/>
        <v>SW</v>
      </c>
      <c r="O4381" s="1" t="s">
        <v>25</v>
      </c>
      <c r="P4381" s="3" t="s">
        <v>25</v>
      </c>
      <c r="Q4381" s="37">
        <v>0.23767828799999999</v>
      </c>
      <c r="R4381" t="str">
        <f t="shared" si="175"/>
        <v>mmol/mol</v>
      </c>
      <c r="S4381" s="13">
        <f t="shared" si="172"/>
        <v>-1.1967353000000001</v>
      </c>
    </row>
    <row r="4382" spans="1:19">
      <c r="A4382" s="18" t="s">
        <v>4106</v>
      </c>
      <c r="B4382" s="1" t="s">
        <v>4549</v>
      </c>
      <c r="C4382" s="1" t="s">
        <v>5058</v>
      </c>
      <c r="D4382" s="1" t="s">
        <v>5062</v>
      </c>
      <c r="E4382" s="1" t="s">
        <v>25</v>
      </c>
      <c r="F4382">
        <v>580</v>
      </c>
      <c r="G4382">
        <v>580</v>
      </c>
      <c r="H4382">
        <v>38.200000000000003</v>
      </c>
      <c r="I4382" s="1" t="s">
        <v>1528</v>
      </c>
      <c r="J4382" s="1" t="s">
        <v>1491</v>
      </c>
      <c r="K4382" s="1" t="s">
        <v>25</v>
      </c>
      <c r="L4382">
        <v>-1.2443443999999999</v>
      </c>
      <c r="M4382" t="str">
        <f t="shared" si="173"/>
        <v>44/40</v>
      </c>
      <c r="N4382" t="str">
        <f t="shared" si="174"/>
        <v>SW</v>
      </c>
      <c r="O4382" s="1" t="s">
        <v>25</v>
      </c>
      <c r="P4382" s="3" t="s">
        <v>25</v>
      </c>
      <c r="Q4382" s="37">
        <v>0.15733776299999999</v>
      </c>
      <c r="R4382" t="str">
        <f t="shared" si="175"/>
        <v>mmol/mol</v>
      </c>
      <c r="S4382" s="13">
        <f t="shared" si="172"/>
        <v>-1.2443443999999999</v>
      </c>
    </row>
    <row r="4383" spans="1:19">
      <c r="A4383" s="18" t="s">
        <v>4106</v>
      </c>
      <c r="B4383" s="1" t="s">
        <v>4550</v>
      </c>
      <c r="C4383" s="1" t="s">
        <v>5058</v>
      </c>
      <c r="D4383" s="1" t="s">
        <v>5062</v>
      </c>
      <c r="E4383" s="1" t="s">
        <v>25</v>
      </c>
      <c r="F4383">
        <v>580</v>
      </c>
      <c r="G4383">
        <v>580</v>
      </c>
      <c r="H4383">
        <v>39</v>
      </c>
      <c r="I4383" s="1" t="s">
        <v>1528</v>
      </c>
      <c r="J4383" s="1" t="s">
        <v>1491</v>
      </c>
      <c r="K4383" s="1" t="s">
        <v>25</v>
      </c>
      <c r="L4383">
        <v>-1.162946</v>
      </c>
      <c r="M4383" t="str">
        <f t="shared" si="173"/>
        <v>44/40</v>
      </c>
      <c r="N4383" t="str">
        <f t="shared" si="174"/>
        <v>SW</v>
      </c>
      <c r="O4383" s="1" t="s">
        <v>25</v>
      </c>
      <c r="P4383" s="3" t="s">
        <v>25</v>
      </c>
      <c r="Q4383" s="37">
        <v>0.16247762199999999</v>
      </c>
      <c r="R4383" t="str">
        <f t="shared" si="175"/>
        <v>mmol/mol</v>
      </c>
      <c r="S4383" s="13">
        <f t="shared" si="172"/>
        <v>-1.162946</v>
      </c>
    </row>
    <row r="4384" spans="1:19">
      <c r="A4384" s="18" t="s">
        <v>4106</v>
      </c>
      <c r="B4384" s="1" t="s">
        <v>4551</v>
      </c>
      <c r="C4384" s="1" t="s">
        <v>5058</v>
      </c>
      <c r="D4384" s="1" t="s">
        <v>5062</v>
      </c>
      <c r="E4384" s="1" t="s">
        <v>25</v>
      </c>
      <c r="F4384">
        <v>580</v>
      </c>
      <c r="G4384">
        <v>580</v>
      </c>
      <c r="H4384">
        <v>39.6</v>
      </c>
      <c r="I4384" s="1" t="s">
        <v>1528</v>
      </c>
      <c r="J4384" s="1" t="s">
        <v>1491</v>
      </c>
      <c r="K4384" s="1" t="s">
        <v>25</v>
      </c>
      <c r="L4384">
        <v>-1.2017120999999999</v>
      </c>
      <c r="M4384" t="str">
        <f t="shared" si="173"/>
        <v>44/40</v>
      </c>
      <c r="N4384" t="str">
        <f t="shared" si="174"/>
        <v>SW</v>
      </c>
      <c r="O4384" s="1" t="s">
        <v>25</v>
      </c>
      <c r="P4384" s="3" t="s">
        <v>25</v>
      </c>
      <c r="Q4384" s="37">
        <v>0.23351491399999999</v>
      </c>
      <c r="R4384" t="str">
        <f t="shared" si="175"/>
        <v>mmol/mol</v>
      </c>
      <c r="S4384" s="13">
        <f t="shared" si="172"/>
        <v>-1.2017120999999999</v>
      </c>
    </row>
    <row r="4385" spans="1:19">
      <c r="A4385" s="18" t="s">
        <v>4106</v>
      </c>
      <c r="B4385" s="1" t="s">
        <v>4552</v>
      </c>
      <c r="C4385" s="1" t="s">
        <v>5058</v>
      </c>
      <c r="D4385" s="1" t="s">
        <v>5062</v>
      </c>
      <c r="E4385" s="1" t="s">
        <v>25</v>
      </c>
      <c r="F4385">
        <v>580</v>
      </c>
      <c r="G4385">
        <v>580</v>
      </c>
      <c r="H4385">
        <v>40.700000000000003</v>
      </c>
      <c r="I4385" s="1" t="s">
        <v>1528</v>
      </c>
      <c r="J4385" s="1" t="s">
        <v>1491</v>
      </c>
      <c r="K4385" s="1" t="s">
        <v>25</v>
      </c>
      <c r="L4385">
        <v>-1.1636218</v>
      </c>
      <c r="M4385" t="str">
        <f t="shared" si="173"/>
        <v>44/40</v>
      </c>
      <c r="N4385" t="str">
        <f t="shared" si="174"/>
        <v>SW</v>
      </c>
      <c r="O4385" s="1" t="s">
        <v>25</v>
      </c>
      <c r="P4385" s="3" t="s">
        <v>25</v>
      </c>
      <c r="Q4385" s="37">
        <v>0.155766129</v>
      </c>
      <c r="R4385" t="str">
        <f t="shared" si="175"/>
        <v>mmol/mol</v>
      </c>
      <c r="S4385" s="13">
        <f t="shared" si="172"/>
        <v>-1.1636218</v>
      </c>
    </row>
    <row r="4386" spans="1:19">
      <c r="A4386" s="18" t="s">
        <v>4106</v>
      </c>
      <c r="B4386" s="1" t="s">
        <v>4553</v>
      </c>
      <c r="C4386" s="1" t="s">
        <v>5058</v>
      </c>
      <c r="D4386" s="1" t="s">
        <v>5062</v>
      </c>
      <c r="E4386" s="1" t="s">
        <v>25</v>
      </c>
      <c r="F4386">
        <v>580</v>
      </c>
      <c r="G4386">
        <v>580</v>
      </c>
      <c r="H4386">
        <v>41.7</v>
      </c>
      <c r="I4386" s="1" t="s">
        <v>1528</v>
      </c>
      <c r="J4386" s="1" t="s">
        <v>1491</v>
      </c>
      <c r="K4386" s="1" t="s">
        <v>25</v>
      </c>
      <c r="L4386">
        <v>-1.1454917</v>
      </c>
      <c r="M4386" t="str">
        <f t="shared" si="173"/>
        <v>44/40</v>
      </c>
      <c r="N4386" t="str">
        <f t="shared" si="174"/>
        <v>SW</v>
      </c>
      <c r="O4386" s="1" t="s">
        <v>25</v>
      </c>
      <c r="P4386" s="3" t="s">
        <v>25</v>
      </c>
      <c r="Q4386" s="37">
        <v>0.16591164999999999</v>
      </c>
      <c r="R4386" t="str">
        <f t="shared" si="175"/>
        <v>mmol/mol</v>
      </c>
      <c r="S4386" s="13">
        <f t="shared" si="172"/>
        <v>-1.1454917</v>
      </c>
    </row>
    <row r="4387" spans="1:19">
      <c r="A4387" s="18" t="s">
        <v>4106</v>
      </c>
      <c r="B4387" s="1" t="s">
        <v>4554</v>
      </c>
      <c r="C4387" s="1" t="s">
        <v>5058</v>
      </c>
      <c r="D4387" s="1" t="s">
        <v>5062</v>
      </c>
      <c r="E4387" s="1" t="s">
        <v>25</v>
      </c>
      <c r="F4387">
        <v>580</v>
      </c>
      <c r="G4387">
        <v>580</v>
      </c>
      <c r="H4387">
        <v>42.8</v>
      </c>
      <c r="I4387" s="1" t="s">
        <v>1528</v>
      </c>
      <c r="J4387" s="1" t="s">
        <v>1491</v>
      </c>
      <c r="K4387" s="1" t="s">
        <v>25</v>
      </c>
      <c r="L4387" t="s">
        <v>25</v>
      </c>
      <c r="M4387" t="str">
        <f t="shared" si="173"/>
        <v>Na</v>
      </c>
      <c r="N4387" t="str">
        <f t="shared" si="174"/>
        <v>Na</v>
      </c>
      <c r="O4387" s="1" t="s">
        <v>25</v>
      </c>
      <c r="P4387" s="3" t="s">
        <v>25</v>
      </c>
      <c r="Q4387" s="37">
        <v>0.14146250699999999</v>
      </c>
      <c r="R4387" t="str">
        <f t="shared" si="175"/>
        <v>mmol/mol</v>
      </c>
      <c r="S4387" s="13" t="s">
        <v>25</v>
      </c>
    </row>
    <row r="4388" spans="1:19">
      <c r="A4388" s="18" t="s">
        <v>4106</v>
      </c>
      <c r="B4388" s="1" t="s">
        <v>4555</v>
      </c>
      <c r="C4388" s="1" t="s">
        <v>5058</v>
      </c>
      <c r="D4388" s="1" t="s">
        <v>5062</v>
      </c>
      <c r="E4388" s="1" t="s">
        <v>25</v>
      </c>
      <c r="F4388">
        <v>580</v>
      </c>
      <c r="G4388">
        <v>580</v>
      </c>
      <c r="H4388">
        <v>43.7</v>
      </c>
      <c r="I4388" s="1" t="s">
        <v>1528</v>
      </c>
      <c r="J4388" s="1" t="s">
        <v>1491</v>
      </c>
      <c r="K4388" s="1" t="s">
        <v>25</v>
      </c>
      <c r="L4388">
        <v>-1.2170824</v>
      </c>
      <c r="M4388" t="str">
        <f t="shared" si="173"/>
        <v>44/40</v>
      </c>
      <c r="N4388" t="str">
        <f t="shared" si="174"/>
        <v>SW</v>
      </c>
      <c r="O4388" s="1" t="s">
        <v>25</v>
      </c>
      <c r="P4388" s="3" t="s">
        <v>25</v>
      </c>
      <c r="Q4388" s="37">
        <v>8.6704803999999996E-2</v>
      </c>
      <c r="R4388" t="str">
        <f t="shared" si="175"/>
        <v>mmol/mol</v>
      </c>
      <c r="S4388" s="13">
        <f t="shared" si="172"/>
        <v>-1.2170824</v>
      </c>
    </row>
    <row r="4389" spans="1:19">
      <c r="A4389" s="18" t="s">
        <v>4106</v>
      </c>
      <c r="B4389" s="1" t="s">
        <v>4556</v>
      </c>
      <c r="C4389" s="1" t="s">
        <v>5058</v>
      </c>
      <c r="D4389" s="1" t="s">
        <v>5062</v>
      </c>
      <c r="E4389" s="1" t="s">
        <v>25</v>
      </c>
      <c r="F4389">
        <v>580</v>
      </c>
      <c r="G4389">
        <v>580</v>
      </c>
      <c r="H4389">
        <v>43.9</v>
      </c>
      <c r="I4389" s="1" t="s">
        <v>1528</v>
      </c>
      <c r="J4389" s="1" t="s">
        <v>1491</v>
      </c>
      <c r="K4389" s="1" t="s">
        <v>25</v>
      </c>
      <c r="L4389">
        <v>-1.309687</v>
      </c>
      <c r="M4389" t="str">
        <f t="shared" si="173"/>
        <v>44/40</v>
      </c>
      <c r="N4389" t="str">
        <f t="shared" si="174"/>
        <v>SW</v>
      </c>
      <c r="O4389" s="1" t="s">
        <v>25</v>
      </c>
      <c r="P4389" s="3" t="s">
        <v>25</v>
      </c>
      <c r="Q4389" s="37">
        <v>9.4215799000000003E-2</v>
      </c>
      <c r="R4389" t="str">
        <f t="shared" si="175"/>
        <v>mmol/mol</v>
      </c>
      <c r="S4389" s="13">
        <f t="shared" si="172"/>
        <v>-1.309687</v>
      </c>
    </row>
    <row r="4390" spans="1:19">
      <c r="A4390" s="18" t="s">
        <v>4106</v>
      </c>
      <c r="B4390" s="1" t="s">
        <v>4557</v>
      </c>
      <c r="C4390" s="1" t="s">
        <v>5058</v>
      </c>
      <c r="D4390" s="1" t="s">
        <v>5062</v>
      </c>
      <c r="E4390" s="1" t="s">
        <v>25</v>
      </c>
      <c r="F4390">
        <v>580</v>
      </c>
      <c r="G4390">
        <v>580</v>
      </c>
      <c r="H4390">
        <v>45.7</v>
      </c>
      <c r="I4390" s="1" t="s">
        <v>1528</v>
      </c>
      <c r="J4390" s="1" t="s">
        <v>1491</v>
      </c>
      <c r="K4390" s="1" t="s">
        <v>25</v>
      </c>
      <c r="L4390">
        <v>-1.2241930000000001</v>
      </c>
      <c r="M4390" t="str">
        <f t="shared" si="173"/>
        <v>44/40</v>
      </c>
      <c r="N4390" t="str">
        <f t="shared" si="174"/>
        <v>SW</v>
      </c>
      <c r="O4390" s="1" t="s">
        <v>25</v>
      </c>
      <c r="P4390" s="3" t="s">
        <v>25</v>
      </c>
      <c r="Q4390" s="37">
        <v>0.115423075</v>
      </c>
      <c r="R4390" t="str">
        <f t="shared" si="175"/>
        <v>mmol/mol</v>
      </c>
      <c r="S4390" s="13">
        <f t="shared" si="172"/>
        <v>-1.2241930000000001</v>
      </c>
    </row>
    <row r="4391" spans="1:19">
      <c r="A4391" s="18" t="s">
        <v>4106</v>
      </c>
      <c r="B4391" s="1" t="s">
        <v>4558</v>
      </c>
      <c r="C4391" s="1" t="s">
        <v>5058</v>
      </c>
      <c r="D4391" s="1" t="s">
        <v>5062</v>
      </c>
      <c r="E4391" s="1" t="s">
        <v>25</v>
      </c>
      <c r="F4391">
        <v>580</v>
      </c>
      <c r="G4391">
        <v>580</v>
      </c>
      <c r="H4391">
        <v>46.9</v>
      </c>
      <c r="I4391" s="1" t="s">
        <v>1528</v>
      </c>
      <c r="J4391" s="1" t="s">
        <v>1491</v>
      </c>
      <c r="K4391" s="1" t="s">
        <v>25</v>
      </c>
      <c r="L4391">
        <v>-1.2132365000000001</v>
      </c>
      <c r="M4391" t="str">
        <f t="shared" si="173"/>
        <v>44/40</v>
      </c>
      <c r="N4391" t="str">
        <f t="shared" si="174"/>
        <v>SW</v>
      </c>
      <c r="O4391" s="1" t="s">
        <v>25</v>
      </c>
      <c r="P4391" s="3" t="s">
        <v>25</v>
      </c>
      <c r="Q4391" s="37">
        <v>7.2864613999999994E-2</v>
      </c>
      <c r="R4391" t="str">
        <f t="shared" si="175"/>
        <v>mmol/mol</v>
      </c>
      <c r="S4391" s="13">
        <f t="shared" si="172"/>
        <v>-1.2132365000000001</v>
      </c>
    </row>
    <row r="4392" spans="1:19">
      <c r="A4392" s="18" t="s">
        <v>4106</v>
      </c>
      <c r="B4392" s="1" t="s">
        <v>4559</v>
      </c>
      <c r="C4392" s="1" t="s">
        <v>5058</v>
      </c>
      <c r="D4392" s="1" t="s">
        <v>5062</v>
      </c>
      <c r="E4392" s="1" t="s">
        <v>25</v>
      </c>
      <c r="F4392">
        <v>580</v>
      </c>
      <c r="G4392">
        <v>580</v>
      </c>
      <c r="H4392">
        <v>47.8</v>
      </c>
      <c r="I4392" s="1" t="s">
        <v>1528</v>
      </c>
      <c r="J4392" s="1" t="s">
        <v>1491</v>
      </c>
      <c r="K4392" s="1" t="s">
        <v>25</v>
      </c>
      <c r="L4392" t="s">
        <v>25</v>
      </c>
      <c r="M4392" t="str">
        <f t="shared" si="173"/>
        <v>Na</v>
      </c>
      <c r="N4392" t="str">
        <f t="shared" si="174"/>
        <v>Na</v>
      </c>
      <c r="O4392" s="1" t="s">
        <v>25</v>
      </c>
      <c r="P4392" s="3" t="s">
        <v>25</v>
      </c>
      <c r="Q4392" s="37">
        <v>6.8434734999999997E-2</v>
      </c>
      <c r="R4392" t="str">
        <f t="shared" si="175"/>
        <v>mmol/mol</v>
      </c>
      <c r="S4392" s="13" t="s">
        <v>25</v>
      </c>
    </row>
    <row r="4393" spans="1:19">
      <c r="A4393" s="18" t="s">
        <v>4106</v>
      </c>
      <c r="B4393" s="1" t="s">
        <v>4560</v>
      </c>
      <c r="C4393" s="1" t="s">
        <v>5058</v>
      </c>
      <c r="D4393" s="1" t="s">
        <v>5062</v>
      </c>
      <c r="E4393" s="1" t="s">
        <v>25</v>
      </c>
      <c r="F4393">
        <v>580</v>
      </c>
      <c r="G4393">
        <v>580</v>
      </c>
      <c r="H4393">
        <v>48.6</v>
      </c>
      <c r="I4393" s="1" t="s">
        <v>1528</v>
      </c>
      <c r="J4393" s="1" t="s">
        <v>1491</v>
      </c>
      <c r="K4393" s="1" t="s">
        <v>25</v>
      </c>
      <c r="L4393">
        <v>-1.0743476000000001</v>
      </c>
      <c r="M4393" t="str">
        <f t="shared" si="173"/>
        <v>44/40</v>
      </c>
      <c r="N4393" t="str">
        <f t="shared" si="174"/>
        <v>SW</v>
      </c>
      <c r="O4393" s="1" t="s">
        <v>25</v>
      </c>
      <c r="P4393" s="3" t="s">
        <v>25</v>
      </c>
      <c r="Q4393" s="37">
        <v>0.12377872299999999</v>
      </c>
      <c r="R4393" t="str">
        <f t="shared" si="175"/>
        <v>mmol/mol</v>
      </c>
      <c r="S4393" s="13">
        <f t="shared" si="172"/>
        <v>-1.0743476000000001</v>
      </c>
    </row>
    <row r="4394" spans="1:19">
      <c r="A4394" s="18" t="s">
        <v>4106</v>
      </c>
      <c r="B4394" s="1" t="s">
        <v>4561</v>
      </c>
      <c r="C4394" s="1" t="s">
        <v>5058</v>
      </c>
      <c r="D4394" s="1" t="s">
        <v>5062</v>
      </c>
      <c r="E4394" s="1" t="s">
        <v>25</v>
      </c>
      <c r="F4394">
        <v>580</v>
      </c>
      <c r="G4394">
        <v>580</v>
      </c>
      <c r="H4394">
        <v>49.6</v>
      </c>
      <c r="I4394" s="1" t="s">
        <v>1528</v>
      </c>
      <c r="J4394" s="1" t="s">
        <v>1491</v>
      </c>
      <c r="K4394" s="1" t="s">
        <v>25</v>
      </c>
      <c r="L4394">
        <v>-1.1453842000000001</v>
      </c>
      <c r="M4394" t="str">
        <f t="shared" si="173"/>
        <v>44/40</v>
      </c>
      <c r="N4394" t="str">
        <f t="shared" si="174"/>
        <v>SW</v>
      </c>
      <c r="O4394" s="1" t="s">
        <v>25</v>
      </c>
      <c r="P4394" s="3" t="s">
        <v>25</v>
      </c>
      <c r="Q4394" s="37">
        <v>7.4721529999999994E-2</v>
      </c>
      <c r="R4394" t="str">
        <f t="shared" si="175"/>
        <v>mmol/mol</v>
      </c>
      <c r="S4394" s="13">
        <f t="shared" si="172"/>
        <v>-1.1453842000000001</v>
      </c>
    </row>
    <row r="4395" spans="1:19">
      <c r="A4395" s="18" t="s">
        <v>4106</v>
      </c>
      <c r="B4395" s="1" t="s">
        <v>4562</v>
      </c>
      <c r="C4395" s="1" t="s">
        <v>5058</v>
      </c>
      <c r="D4395" s="1" t="s">
        <v>5062</v>
      </c>
      <c r="E4395" s="1" t="s">
        <v>25</v>
      </c>
      <c r="F4395">
        <v>580</v>
      </c>
      <c r="G4395">
        <v>580</v>
      </c>
      <c r="H4395">
        <v>50.8</v>
      </c>
      <c r="I4395" s="1" t="s">
        <v>1528</v>
      </c>
      <c r="J4395" s="1" t="s">
        <v>1491</v>
      </c>
      <c r="K4395" s="1" t="s">
        <v>25</v>
      </c>
      <c r="L4395">
        <v>-0.95128950000000001</v>
      </c>
      <c r="M4395" t="str">
        <f t="shared" si="173"/>
        <v>44/40</v>
      </c>
      <c r="N4395" t="str">
        <f t="shared" si="174"/>
        <v>SW</v>
      </c>
      <c r="O4395" s="1" t="s">
        <v>25</v>
      </c>
      <c r="P4395" s="3" t="s">
        <v>25</v>
      </c>
      <c r="Q4395" s="37">
        <v>7.0013689000000004E-2</v>
      </c>
      <c r="R4395" t="str">
        <f t="shared" si="175"/>
        <v>mmol/mol</v>
      </c>
      <c r="S4395" s="13">
        <f t="shared" si="172"/>
        <v>-0.95128950000000001</v>
      </c>
    </row>
    <row r="4396" spans="1:19">
      <c r="A4396" s="18" t="s">
        <v>4106</v>
      </c>
      <c r="B4396" s="1" t="s">
        <v>4563</v>
      </c>
      <c r="C4396" s="1" t="s">
        <v>5058</v>
      </c>
      <c r="D4396" s="1" t="s">
        <v>5062</v>
      </c>
      <c r="E4396" s="1" t="s">
        <v>25</v>
      </c>
      <c r="F4396">
        <v>580</v>
      </c>
      <c r="G4396">
        <v>580</v>
      </c>
      <c r="H4396">
        <v>51.8</v>
      </c>
      <c r="I4396" s="1" t="s">
        <v>1528</v>
      </c>
      <c r="J4396" s="1" t="s">
        <v>1491</v>
      </c>
      <c r="K4396" s="1" t="s">
        <v>25</v>
      </c>
      <c r="L4396" t="s">
        <v>25</v>
      </c>
      <c r="M4396" t="str">
        <f t="shared" si="173"/>
        <v>Na</v>
      </c>
      <c r="N4396" t="str">
        <f t="shared" si="174"/>
        <v>Na</v>
      </c>
      <c r="O4396" s="1" t="s">
        <v>25</v>
      </c>
      <c r="P4396" s="3" t="s">
        <v>25</v>
      </c>
      <c r="Q4396" s="37">
        <v>0.13645165100000001</v>
      </c>
      <c r="R4396" t="str">
        <f t="shared" si="175"/>
        <v>mmol/mol</v>
      </c>
      <c r="S4396" s="13" t="s">
        <v>25</v>
      </c>
    </row>
    <row r="4397" spans="1:19">
      <c r="A4397" s="18" t="s">
        <v>4106</v>
      </c>
      <c r="B4397" s="1" t="s">
        <v>4564</v>
      </c>
      <c r="C4397" s="1" t="s">
        <v>5058</v>
      </c>
      <c r="D4397" s="1" t="s">
        <v>5062</v>
      </c>
      <c r="E4397" s="1" t="s">
        <v>25</v>
      </c>
      <c r="F4397">
        <v>580</v>
      </c>
      <c r="G4397">
        <v>580</v>
      </c>
      <c r="H4397">
        <v>52.6</v>
      </c>
      <c r="I4397" s="1" t="s">
        <v>1528</v>
      </c>
      <c r="J4397" s="1" t="s">
        <v>1491</v>
      </c>
      <c r="K4397" s="1" t="s">
        <v>25</v>
      </c>
      <c r="L4397" t="s">
        <v>25</v>
      </c>
      <c r="M4397" t="str">
        <f t="shared" si="173"/>
        <v>Na</v>
      </c>
      <c r="N4397" t="str">
        <f t="shared" si="174"/>
        <v>Na</v>
      </c>
      <c r="O4397" s="1" t="s">
        <v>25</v>
      </c>
      <c r="P4397" s="3" t="s">
        <v>25</v>
      </c>
      <c r="Q4397" s="37">
        <v>0.14661317300000001</v>
      </c>
      <c r="R4397" t="str">
        <f t="shared" si="175"/>
        <v>mmol/mol</v>
      </c>
      <c r="S4397" s="13" t="s">
        <v>25</v>
      </c>
    </row>
    <row r="4398" spans="1:19">
      <c r="A4398" s="18" t="s">
        <v>4106</v>
      </c>
      <c r="B4398" s="1" t="s">
        <v>4565</v>
      </c>
      <c r="C4398" s="1" t="s">
        <v>5058</v>
      </c>
      <c r="D4398" s="1" t="s">
        <v>5062</v>
      </c>
      <c r="E4398" s="1" t="s">
        <v>25</v>
      </c>
      <c r="F4398">
        <v>580</v>
      </c>
      <c r="G4398">
        <v>580</v>
      </c>
      <c r="H4398">
        <v>52.7</v>
      </c>
      <c r="I4398" s="1" t="s">
        <v>1528</v>
      </c>
      <c r="J4398" s="1" t="s">
        <v>1491</v>
      </c>
      <c r="K4398" s="1" t="s">
        <v>25</v>
      </c>
      <c r="L4398">
        <v>-1.0769989</v>
      </c>
      <c r="M4398" t="str">
        <f t="shared" si="173"/>
        <v>44/40</v>
      </c>
      <c r="N4398" t="str">
        <f t="shared" si="174"/>
        <v>SW</v>
      </c>
      <c r="O4398" s="1" t="s">
        <v>25</v>
      </c>
      <c r="P4398" s="3" t="s">
        <v>25</v>
      </c>
      <c r="Q4398" s="37">
        <v>0.122933797</v>
      </c>
      <c r="R4398" t="str">
        <f t="shared" si="175"/>
        <v>mmol/mol</v>
      </c>
      <c r="S4398" s="13">
        <f t="shared" ref="S4398:S4459" si="176">IF(NOT(N4398="SW"),L4398-1.88,L4398)</f>
        <v>-1.0769989</v>
      </c>
    </row>
    <row r="4399" spans="1:19">
      <c r="A4399" s="18" t="s">
        <v>4106</v>
      </c>
      <c r="B4399" s="1" t="s">
        <v>4566</v>
      </c>
      <c r="C4399" s="1" t="s">
        <v>5058</v>
      </c>
      <c r="D4399" s="1" t="s">
        <v>5062</v>
      </c>
      <c r="E4399" s="1" t="s">
        <v>25</v>
      </c>
      <c r="F4399">
        <v>580</v>
      </c>
      <c r="G4399">
        <v>580</v>
      </c>
      <c r="H4399">
        <v>53.9</v>
      </c>
      <c r="I4399" s="1" t="s">
        <v>1528</v>
      </c>
      <c r="J4399" s="1" t="s">
        <v>1491</v>
      </c>
      <c r="K4399" s="1" t="s">
        <v>25</v>
      </c>
      <c r="L4399">
        <v>-1.0963115999999999</v>
      </c>
      <c r="M4399" t="str">
        <f t="shared" si="173"/>
        <v>44/40</v>
      </c>
      <c r="N4399" t="str">
        <f t="shared" si="174"/>
        <v>SW</v>
      </c>
      <c r="O4399" s="1" t="s">
        <v>25</v>
      </c>
      <c r="P4399" s="3" t="s">
        <v>25</v>
      </c>
      <c r="Q4399" s="37">
        <v>0.12460041400000001</v>
      </c>
      <c r="R4399" t="str">
        <f t="shared" si="175"/>
        <v>mmol/mol</v>
      </c>
      <c r="S4399" s="13">
        <f t="shared" si="176"/>
        <v>-1.0963115999999999</v>
      </c>
    </row>
    <row r="4400" spans="1:19">
      <c r="A4400" s="18" t="s">
        <v>4106</v>
      </c>
      <c r="B4400" s="1" t="s">
        <v>4567</v>
      </c>
      <c r="C4400" s="1" t="s">
        <v>5058</v>
      </c>
      <c r="D4400" s="1" t="s">
        <v>5062</v>
      </c>
      <c r="E4400" s="1" t="s">
        <v>25</v>
      </c>
      <c r="F4400">
        <v>580</v>
      </c>
      <c r="G4400">
        <v>580</v>
      </c>
      <c r="H4400">
        <v>54.5</v>
      </c>
      <c r="I4400" s="1" t="s">
        <v>1528</v>
      </c>
      <c r="J4400" s="1" t="s">
        <v>1491</v>
      </c>
      <c r="K4400" s="1" t="s">
        <v>25</v>
      </c>
      <c r="L4400">
        <v>-1.2547581999999999</v>
      </c>
      <c r="M4400" t="str">
        <f t="shared" ref="M4400:M4463" si="177">IF(L4400="Na","Na","44/40")</f>
        <v>44/40</v>
      </c>
      <c r="N4400" t="str">
        <f t="shared" ref="N4400:N4463" si="178">IF(M4400="Na","Na","SW")</f>
        <v>SW</v>
      </c>
      <c r="O4400" s="1" t="s">
        <v>25</v>
      </c>
      <c r="P4400" s="3" t="s">
        <v>25</v>
      </c>
      <c r="Q4400" s="37">
        <v>0.11743361400000001</v>
      </c>
      <c r="R4400" t="str">
        <f t="shared" si="175"/>
        <v>mmol/mol</v>
      </c>
      <c r="S4400" s="13">
        <f t="shared" si="176"/>
        <v>-1.2547581999999999</v>
      </c>
    </row>
    <row r="4401" spans="1:19">
      <c r="A4401" s="18" t="s">
        <v>4106</v>
      </c>
      <c r="B4401" s="1" t="s">
        <v>4568</v>
      </c>
      <c r="C4401" s="1" t="s">
        <v>5058</v>
      </c>
      <c r="D4401" s="1" t="s">
        <v>5062</v>
      </c>
      <c r="E4401" s="1" t="s">
        <v>25</v>
      </c>
      <c r="F4401">
        <v>580</v>
      </c>
      <c r="G4401">
        <v>580</v>
      </c>
      <c r="H4401">
        <v>55.7</v>
      </c>
      <c r="I4401" s="1" t="s">
        <v>1528</v>
      </c>
      <c r="J4401" s="1" t="s">
        <v>1491</v>
      </c>
      <c r="K4401" s="1" t="s">
        <v>25</v>
      </c>
      <c r="L4401">
        <v>-0.93692759999999997</v>
      </c>
      <c r="M4401" t="str">
        <f t="shared" si="177"/>
        <v>44/40</v>
      </c>
      <c r="N4401" t="str">
        <f t="shared" si="178"/>
        <v>SW</v>
      </c>
      <c r="O4401" s="1" t="s">
        <v>25</v>
      </c>
      <c r="P4401" s="3" t="s">
        <v>25</v>
      </c>
      <c r="Q4401" s="37">
        <v>0.11772189600000001</v>
      </c>
      <c r="R4401" t="str">
        <f t="shared" si="175"/>
        <v>mmol/mol</v>
      </c>
      <c r="S4401" s="13">
        <f t="shared" si="176"/>
        <v>-0.93692759999999997</v>
      </c>
    </row>
    <row r="4402" spans="1:19">
      <c r="A4402" s="18" t="s">
        <v>4106</v>
      </c>
      <c r="B4402" s="1" t="s">
        <v>4569</v>
      </c>
      <c r="C4402" s="1" t="s">
        <v>5058</v>
      </c>
      <c r="D4402" s="1" t="s">
        <v>5062</v>
      </c>
      <c r="E4402" s="1" t="s">
        <v>25</v>
      </c>
      <c r="F4402">
        <v>580</v>
      </c>
      <c r="G4402">
        <v>580</v>
      </c>
      <c r="H4402">
        <v>56.8</v>
      </c>
      <c r="I4402" s="1" t="s">
        <v>1528</v>
      </c>
      <c r="J4402" s="1" t="s">
        <v>1491</v>
      </c>
      <c r="K4402" s="1" t="s">
        <v>25</v>
      </c>
      <c r="L4402" t="s">
        <v>25</v>
      </c>
      <c r="M4402" t="str">
        <f t="shared" si="177"/>
        <v>Na</v>
      </c>
      <c r="N4402" t="str">
        <f t="shared" si="178"/>
        <v>Na</v>
      </c>
      <c r="O4402" s="1" t="s">
        <v>25</v>
      </c>
      <c r="P4402" s="3" t="s">
        <v>25</v>
      </c>
      <c r="Q4402" s="37">
        <v>0.13934358099999999</v>
      </c>
      <c r="R4402" t="str">
        <f t="shared" si="175"/>
        <v>mmol/mol</v>
      </c>
      <c r="S4402" s="13" t="s">
        <v>25</v>
      </c>
    </row>
    <row r="4403" spans="1:19">
      <c r="A4403" s="18" t="s">
        <v>4106</v>
      </c>
      <c r="B4403" s="1" t="s">
        <v>4570</v>
      </c>
      <c r="C4403" s="1" t="s">
        <v>5058</v>
      </c>
      <c r="D4403" s="1" t="s">
        <v>5062</v>
      </c>
      <c r="E4403" s="1" t="s">
        <v>25</v>
      </c>
      <c r="F4403">
        <v>580</v>
      </c>
      <c r="G4403">
        <v>580</v>
      </c>
      <c r="H4403">
        <v>58.1</v>
      </c>
      <c r="I4403" s="1" t="s">
        <v>1528</v>
      </c>
      <c r="J4403" s="1" t="s">
        <v>1491</v>
      </c>
      <c r="K4403" s="1" t="s">
        <v>25</v>
      </c>
      <c r="L4403">
        <v>-1.0224339</v>
      </c>
      <c r="M4403" t="str">
        <f t="shared" si="177"/>
        <v>44/40</v>
      </c>
      <c r="N4403" t="str">
        <f t="shared" si="178"/>
        <v>SW</v>
      </c>
      <c r="O4403" s="1" t="s">
        <v>25</v>
      </c>
      <c r="P4403" s="3" t="s">
        <v>25</v>
      </c>
      <c r="Q4403" s="37">
        <v>0.15866831300000001</v>
      </c>
      <c r="R4403" t="str">
        <f t="shared" si="175"/>
        <v>mmol/mol</v>
      </c>
      <c r="S4403" s="13">
        <f t="shared" si="176"/>
        <v>-1.0224339</v>
      </c>
    </row>
    <row r="4404" spans="1:19">
      <c r="A4404" s="18" t="s">
        <v>4106</v>
      </c>
      <c r="B4404" s="1" t="s">
        <v>4571</v>
      </c>
      <c r="C4404" s="1" t="s">
        <v>5058</v>
      </c>
      <c r="D4404" s="1" t="s">
        <v>5062</v>
      </c>
      <c r="E4404" s="1" t="s">
        <v>25</v>
      </c>
      <c r="F4404">
        <v>580</v>
      </c>
      <c r="G4404">
        <v>580</v>
      </c>
      <c r="H4404">
        <v>59.1</v>
      </c>
      <c r="I4404" s="1" t="s">
        <v>1528</v>
      </c>
      <c r="J4404" s="1" t="s">
        <v>1491</v>
      </c>
      <c r="K4404" s="1" t="s">
        <v>25</v>
      </c>
      <c r="L4404">
        <v>-0.96591329999999997</v>
      </c>
      <c r="M4404" t="str">
        <f t="shared" si="177"/>
        <v>44/40</v>
      </c>
      <c r="N4404" t="str">
        <f t="shared" si="178"/>
        <v>SW</v>
      </c>
      <c r="O4404" s="1" t="s">
        <v>25</v>
      </c>
      <c r="P4404" s="3" t="s">
        <v>25</v>
      </c>
      <c r="Q4404" s="37">
        <v>0.156902824</v>
      </c>
      <c r="R4404" t="str">
        <f t="shared" si="175"/>
        <v>mmol/mol</v>
      </c>
      <c r="S4404" s="13">
        <f t="shared" si="176"/>
        <v>-0.96591329999999997</v>
      </c>
    </row>
    <row r="4405" spans="1:19">
      <c r="A4405" s="18" t="s">
        <v>4106</v>
      </c>
      <c r="B4405" s="1" t="s">
        <v>4572</v>
      </c>
      <c r="C4405" s="1" t="s">
        <v>5058</v>
      </c>
      <c r="D4405" s="1" t="s">
        <v>5062</v>
      </c>
      <c r="E4405" s="1" t="s">
        <v>25</v>
      </c>
      <c r="F4405">
        <v>580</v>
      </c>
      <c r="G4405">
        <v>580</v>
      </c>
      <c r="H4405">
        <v>60.2</v>
      </c>
      <c r="I4405" s="1" t="s">
        <v>1528</v>
      </c>
      <c r="J4405" s="1" t="s">
        <v>1491</v>
      </c>
      <c r="K4405" s="1" t="s">
        <v>25</v>
      </c>
      <c r="L4405" t="s">
        <v>25</v>
      </c>
      <c r="M4405" t="str">
        <f t="shared" si="177"/>
        <v>Na</v>
      </c>
      <c r="N4405" t="str">
        <f t="shared" si="178"/>
        <v>Na</v>
      </c>
      <c r="O4405" s="1" t="s">
        <v>25</v>
      </c>
      <c r="P4405" s="3" t="s">
        <v>25</v>
      </c>
      <c r="Q4405" s="37">
        <v>0.153902609</v>
      </c>
      <c r="R4405" t="str">
        <f t="shared" si="175"/>
        <v>mmol/mol</v>
      </c>
      <c r="S4405" s="13" t="s">
        <v>25</v>
      </c>
    </row>
    <row r="4406" spans="1:19">
      <c r="A4406" s="18" t="s">
        <v>4106</v>
      </c>
      <c r="B4406" s="1" t="s">
        <v>4573</v>
      </c>
      <c r="C4406" s="1" t="s">
        <v>5058</v>
      </c>
      <c r="D4406" s="1" t="s">
        <v>5062</v>
      </c>
      <c r="E4406" s="1" t="s">
        <v>25</v>
      </c>
      <c r="F4406">
        <v>580</v>
      </c>
      <c r="G4406">
        <v>580</v>
      </c>
      <c r="H4406">
        <v>61.9</v>
      </c>
      <c r="I4406" s="1" t="s">
        <v>1528</v>
      </c>
      <c r="J4406" s="1" t="s">
        <v>1491</v>
      </c>
      <c r="K4406" s="1" t="s">
        <v>25</v>
      </c>
      <c r="L4406" t="s">
        <v>25</v>
      </c>
      <c r="M4406" t="str">
        <f t="shared" si="177"/>
        <v>Na</v>
      </c>
      <c r="N4406" t="str">
        <f t="shared" si="178"/>
        <v>Na</v>
      </c>
      <c r="O4406" s="1" t="s">
        <v>25</v>
      </c>
      <c r="P4406" s="3" t="s">
        <v>25</v>
      </c>
      <c r="Q4406" s="37">
        <v>0.172899582</v>
      </c>
      <c r="R4406" t="str">
        <f t="shared" si="175"/>
        <v>mmol/mol</v>
      </c>
      <c r="S4406" s="13" t="s">
        <v>25</v>
      </c>
    </row>
    <row r="4407" spans="1:19">
      <c r="A4407" s="18" t="s">
        <v>4106</v>
      </c>
      <c r="B4407" s="1" t="s">
        <v>4574</v>
      </c>
      <c r="C4407" s="1" t="s">
        <v>5058</v>
      </c>
      <c r="D4407" s="1" t="s">
        <v>5062</v>
      </c>
      <c r="E4407" s="1" t="s">
        <v>25</v>
      </c>
      <c r="F4407">
        <v>580</v>
      </c>
      <c r="G4407">
        <v>580</v>
      </c>
      <c r="H4407">
        <v>63.1</v>
      </c>
      <c r="I4407" s="1" t="s">
        <v>1528</v>
      </c>
      <c r="J4407" s="1" t="s">
        <v>1491</v>
      </c>
      <c r="K4407" s="1" t="s">
        <v>25</v>
      </c>
      <c r="L4407">
        <v>-0.9256972</v>
      </c>
      <c r="M4407" t="str">
        <f t="shared" si="177"/>
        <v>44/40</v>
      </c>
      <c r="N4407" t="str">
        <f t="shared" si="178"/>
        <v>SW</v>
      </c>
      <c r="O4407" s="1" t="s">
        <v>25</v>
      </c>
      <c r="P4407" s="3" t="s">
        <v>25</v>
      </c>
      <c r="Q4407" s="37">
        <v>8.9794328000000007E-2</v>
      </c>
      <c r="R4407" t="str">
        <f t="shared" si="175"/>
        <v>mmol/mol</v>
      </c>
      <c r="S4407" s="13">
        <f t="shared" si="176"/>
        <v>-0.9256972</v>
      </c>
    </row>
    <row r="4408" spans="1:19">
      <c r="A4408" s="18" t="s">
        <v>4106</v>
      </c>
      <c r="B4408" s="1" t="s">
        <v>4575</v>
      </c>
      <c r="C4408" s="1" t="s">
        <v>5058</v>
      </c>
      <c r="D4408" s="1" t="s">
        <v>5062</v>
      </c>
      <c r="E4408" s="1" t="s">
        <v>25</v>
      </c>
      <c r="F4408">
        <v>580</v>
      </c>
      <c r="G4408">
        <v>580</v>
      </c>
      <c r="H4408">
        <v>64</v>
      </c>
      <c r="I4408" s="1" t="s">
        <v>1528</v>
      </c>
      <c r="J4408" s="1" t="s">
        <v>1491</v>
      </c>
      <c r="K4408" s="1" t="s">
        <v>25</v>
      </c>
      <c r="L4408">
        <v>-0.87615509999999996</v>
      </c>
      <c r="M4408" t="str">
        <f t="shared" si="177"/>
        <v>44/40</v>
      </c>
      <c r="N4408" t="str">
        <f t="shared" si="178"/>
        <v>SW</v>
      </c>
      <c r="O4408" s="1" t="s">
        <v>25</v>
      </c>
      <c r="P4408" s="3" t="s">
        <v>25</v>
      </c>
      <c r="Q4408" s="37">
        <v>6.2381415000000003E-2</v>
      </c>
      <c r="R4408" t="str">
        <f t="shared" si="175"/>
        <v>mmol/mol</v>
      </c>
      <c r="S4408" s="13">
        <f t="shared" si="176"/>
        <v>-0.87615509999999996</v>
      </c>
    </row>
    <row r="4409" spans="1:19">
      <c r="A4409" s="18" t="s">
        <v>4106</v>
      </c>
      <c r="B4409" s="1" t="s">
        <v>4576</v>
      </c>
      <c r="C4409" s="1" t="s">
        <v>5058</v>
      </c>
      <c r="D4409" s="1" t="s">
        <v>5062</v>
      </c>
      <c r="E4409" s="1" t="s">
        <v>25</v>
      </c>
      <c r="F4409">
        <v>580</v>
      </c>
      <c r="G4409">
        <v>580</v>
      </c>
      <c r="H4409">
        <v>65.099999999999994</v>
      </c>
      <c r="I4409" s="1" t="s">
        <v>1528</v>
      </c>
      <c r="J4409" s="1" t="s">
        <v>1491</v>
      </c>
      <c r="K4409" s="1" t="s">
        <v>25</v>
      </c>
      <c r="L4409" t="s">
        <v>25</v>
      </c>
      <c r="M4409" t="str">
        <f t="shared" si="177"/>
        <v>Na</v>
      </c>
      <c r="N4409" t="str">
        <f t="shared" si="178"/>
        <v>Na</v>
      </c>
      <c r="O4409" s="1" t="s">
        <v>25</v>
      </c>
      <c r="P4409" s="3" t="s">
        <v>25</v>
      </c>
      <c r="Q4409" s="37">
        <v>5.7788849000000003E-2</v>
      </c>
      <c r="R4409" t="str">
        <f t="shared" si="175"/>
        <v>mmol/mol</v>
      </c>
      <c r="S4409" s="13" t="s">
        <v>25</v>
      </c>
    </row>
    <row r="4410" spans="1:19">
      <c r="A4410" s="18" t="s">
        <v>4106</v>
      </c>
      <c r="B4410" s="1" t="s">
        <v>4577</v>
      </c>
      <c r="C4410" s="1" t="s">
        <v>5058</v>
      </c>
      <c r="D4410" s="1" t="s">
        <v>5062</v>
      </c>
      <c r="E4410" s="1" t="s">
        <v>25</v>
      </c>
      <c r="F4410">
        <v>580</v>
      </c>
      <c r="G4410">
        <v>580</v>
      </c>
      <c r="H4410">
        <v>65.400000000000006</v>
      </c>
      <c r="I4410" s="1" t="s">
        <v>1528</v>
      </c>
      <c r="J4410" s="1" t="s">
        <v>1491</v>
      </c>
      <c r="K4410" s="1" t="s">
        <v>25</v>
      </c>
      <c r="L4410">
        <v>-1.0572598</v>
      </c>
      <c r="M4410" t="str">
        <f t="shared" si="177"/>
        <v>44/40</v>
      </c>
      <c r="N4410" t="str">
        <f t="shared" si="178"/>
        <v>SW</v>
      </c>
      <c r="O4410" s="1" t="s">
        <v>25</v>
      </c>
      <c r="P4410" s="3" t="s">
        <v>25</v>
      </c>
      <c r="Q4410" s="37">
        <v>8.6486267000000006E-2</v>
      </c>
      <c r="R4410" t="str">
        <f t="shared" si="175"/>
        <v>mmol/mol</v>
      </c>
      <c r="S4410" s="13">
        <f t="shared" si="176"/>
        <v>-1.0572598</v>
      </c>
    </row>
    <row r="4411" spans="1:19">
      <c r="A4411" s="18" t="s">
        <v>4106</v>
      </c>
      <c r="B4411" s="1" t="s">
        <v>4578</v>
      </c>
      <c r="C4411" s="1" t="s">
        <v>5058</v>
      </c>
      <c r="D4411" s="1" t="s">
        <v>5062</v>
      </c>
      <c r="E4411" s="1" t="s">
        <v>25</v>
      </c>
      <c r="F4411">
        <v>580</v>
      </c>
      <c r="G4411">
        <v>580</v>
      </c>
      <c r="H4411">
        <v>66.099999999999994</v>
      </c>
      <c r="I4411" s="1" t="s">
        <v>1528</v>
      </c>
      <c r="J4411" s="1" t="s">
        <v>1491</v>
      </c>
      <c r="K4411" s="1" t="s">
        <v>25</v>
      </c>
      <c r="L4411">
        <v>-1.1002509</v>
      </c>
      <c r="M4411" t="str">
        <f t="shared" si="177"/>
        <v>44/40</v>
      </c>
      <c r="N4411" t="str">
        <f t="shared" si="178"/>
        <v>SW</v>
      </c>
      <c r="O4411" s="1" t="s">
        <v>25</v>
      </c>
      <c r="P4411" s="3" t="s">
        <v>25</v>
      </c>
      <c r="Q4411" s="37">
        <v>7.8145883999999999E-2</v>
      </c>
      <c r="R4411" t="str">
        <f t="shared" si="175"/>
        <v>mmol/mol</v>
      </c>
      <c r="S4411" s="13">
        <f t="shared" si="176"/>
        <v>-1.1002509</v>
      </c>
    </row>
    <row r="4412" spans="1:19">
      <c r="A4412" s="18" t="s">
        <v>4106</v>
      </c>
      <c r="B4412" s="1" t="s">
        <v>4579</v>
      </c>
      <c r="C4412" s="1" t="s">
        <v>5058</v>
      </c>
      <c r="D4412" s="1" t="s">
        <v>5062</v>
      </c>
      <c r="E4412" s="1" t="s">
        <v>25</v>
      </c>
      <c r="F4412">
        <v>580</v>
      </c>
      <c r="G4412">
        <v>580</v>
      </c>
      <c r="H4412">
        <v>67.5</v>
      </c>
      <c r="I4412" s="1" t="s">
        <v>1528</v>
      </c>
      <c r="J4412" s="1" t="s">
        <v>1491</v>
      </c>
      <c r="K4412" s="1" t="s">
        <v>25</v>
      </c>
      <c r="L4412" t="s">
        <v>25</v>
      </c>
      <c r="M4412" t="str">
        <f t="shared" si="177"/>
        <v>Na</v>
      </c>
      <c r="N4412" t="str">
        <f t="shared" si="178"/>
        <v>Na</v>
      </c>
      <c r="O4412" s="1" t="s">
        <v>25</v>
      </c>
      <c r="P4412" s="3" t="s">
        <v>25</v>
      </c>
      <c r="Q4412" s="37">
        <v>6.5424586000000007E-2</v>
      </c>
      <c r="R4412" t="str">
        <f t="shared" si="175"/>
        <v>mmol/mol</v>
      </c>
      <c r="S4412" s="13" t="s">
        <v>25</v>
      </c>
    </row>
    <row r="4413" spans="1:19">
      <c r="A4413" s="18" t="s">
        <v>4106</v>
      </c>
      <c r="B4413" s="1" t="s">
        <v>4580</v>
      </c>
      <c r="C4413" s="1" t="s">
        <v>5058</v>
      </c>
      <c r="D4413" s="1" t="s">
        <v>5062</v>
      </c>
      <c r="E4413" s="1" t="s">
        <v>25</v>
      </c>
      <c r="F4413">
        <v>580</v>
      </c>
      <c r="G4413">
        <v>580</v>
      </c>
      <c r="H4413">
        <v>68.2</v>
      </c>
      <c r="I4413" s="1" t="s">
        <v>1528</v>
      </c>
      <c r="J4413" s="1" t="s">
        <v>1491</v>
      </c>
      <c r="K4413" s="1" t="s">
        <v>25</v>
      </c>
      <c r="L4413">
        <v>-1.0606407</v>
      </c>
      <c r="M4413" t="str">
        <f t="shared" si="177"/>
        <v>44/40</v>
      </c>
      <c r="N4413" t="str">
        <f t="shared" si="178"/>
        <v>SW</v>
      </c>
      <c r="O4413" s="1" t="s">
        <v>25</v>
      </c>
      <c r="P4413" s="3" t="s">
        <v>25</v>
      </c>
      <c r="Q4413" s="37">
        <v>5.5813257999999998E-2</v>
      </c>
      <c r="R4413" t="str">
        <f t="shared" si="175"/>
        <v>mmol/mol</v>
      </c>
      <c r="S4413" s="13">
        <f t="shared" si="176"/>
        <v>-1.0606407</v>
      </c>
    </row>
    <row r="4414" spans="1:19">
      <c r="A4414" s="18" t="s">
        <v>4106</v>
      </c>
      <c r="B4414" s="1" t="s">
        <v>4581</v>
      </c>
      <c r="C4414" s="1" t="s">
        <v>5058</v>
      </c>
      <c r="D4414" s="1" t="s">
        <v>5062</v>
      </c>
      <c r="E4414" s="1" t="s">
        <v>25</v>
      </c>
      <c r="F4414">
        <v>580</v>
      </c>
      <c r="G4414">
        <v>580</v>
      </c>
      <c r="H4414">
        <v>71.2</v>
      </c>
      <c r="I4414" s="1" t="s">
        <v>1528</v>
      </c>
      <c r="J4414" s="1" t="s">
        <v>1491</v>
      </c>
      <c r="K4414" s="1" t="s">
        <v>25</v>
      </c>
      <c r="L4414">
        <v>-0.97473339999999997</v>
      </c>
      <c r="M4414" t="str">
        <f t="shared" si="177"/>
        <v>44/40</v>
      </c>
      <c r="N4414" t="str">
        <f t="shared" si="178"/>
        <v>SW</v>
      </c>
      <c r="O4414" s="1" t="s">
        <v>25</v>
      </c>
      <c r="P4414" s="3" t="s">
        <v>25</v>
      </c>
      <c r="Q4414" s="37">
        <v>6.3800273000000005E-2</v>
      </c>
      <c r="R4414" t="str">
        <f t="shared" si="175"/>
        <v>mmol/mol</v>
      </c>
      <c r="S4414" s="13">
        <f t="shared" si="176"/>
        <v>-0.97473339999999997</v>
      </c>
    </row>
    <row r="4415" spans="1:19">
      <c r="A4415" s="18" t="s">
        <v>4106</v>
      </c>
      <c r="B4415" s="1" t="s">
        <v>4582</v>
      </c>
      <c r="C4415" s="1" t="s">
        <v>5058</v>
      </c>
      <c r="D4415" s="1" t="s">
        <v>5062</v>
      </c>
      <c r="E4415" s="1" t="s">
        <v>25</v>
      </c>
      <c r="F4415">
        <v>580</v>
      </c>
      <c r="G4415">
        <v>580</v>
      </c>
      <c r="H4415">
        <v>73.2</v>
      </c>
      <c r="I4415" s="1" t="s">
        <v>1528</v>
      </c>
      <c r="J4415" s="1" t="s">
        <v>1491</v>
      </c>
      <c r="K4415" s="1" t="s">
        <v>25</v>
      </c>
      <c r="L4415">
        <v>-1.1105522999999999</v>
      </c>
      <c r="M4415" t="str">
        <f t="shared" si="177"/>
        <v>44/40</v>
      </c>
      <c r="N4415" t="str">
        <f t="shared" si="178"/>
        <v>SW</v>
      </c>
      <c r="O4415" s="1" t="s">
        <v>25</v>
      </c>
      <c r="P4415" s="3" t="s">
        <v>25</v>
      </c>
      <c r="Q4415" s="37">
        <v>5.1138322E-2</v>
      </c>
      <c r="R4415" t="str">
        <f t="shared" si="175"/>
        <v>mmol/mol</v>
      </c>
      <c r="S4415" s="13">
        <f t="shared" si="176"/>
        <v>-1.1105522999999999</v>
      </c>
    </row>
    <row r="4416" spans="1:19">
      <c r="A4416" s="18" t="s">
        <v>4106</v>
      </c>
      <c r="B4416" s="1" t="s">
        <v>4583</v>
      </c>
      <c r="C4416" s="1" t="s">
        <v>5058</v>
      </c>
      <c r="D4416" s="1" t="s">
        <v>5062</v>
      </c>
      <c r="E4416" s="1" t="s">
        <v>25</v>
      </c>
      <c r="F4416">
        <v>580</v>
      </c>
      <c r="G4416">
        <v>580</v>
      </c>
      <c r="H4416">
        <v>0</v>
      </c>
      <c r="I4416" s="1" t="s">
        <v>1528</v>
      </c>
      <c r="J4416" s="1" t="s">
        <v>1491</v>
      </c>
      <c r="K4416" s="1" t="s">
        <v>25</v>
      </c>
      <c r="L4416" t="s">
        <v>25</v>
      </c>
      <c r="M4416" t="str">
        <f t="shared" si="177"/>
        <v>Na</v>
      </c>
      <c r="N4416" t="str">
        <f t="shared" si="178"/>
        <v>Na</v>
      </c>
      <c r="O4416" s="1" t="s">
        <v>25</v>
      </c>
      <c r="P4416" s="3" t="s">
        <v>25</v>
      </c>
      <c r="Q4416" s="37">
        <v>1.029801017</v>
      </c>
      <c r="R4416" t="str">
        <f t="shared" si="175"/>
        <v>mmol/mol</v>
      </c>
      <c r="S4416" s="13" t="s">
        <v>25</v>
      </c>
    </row>
    <row r="4417" spans="1:19">
      <c r="A4417" s="18" t="s">
        <v>4106</v>
      </c>
      <c r="B4417" s="1" t="s">
        <v>4584</v>
      </c>
      <c r="C4417" s="1" t="s">
        <v>5058</v>
      </c>
      <c r="D4417" s="1" t="s">
        <v>5062</v>
      </c>
      <c r="E4417" s="1" t="s">
        <v>25</v>
      </c>
      <c r="F4417">
        <v>580</v>
      </c>
      <c r="G4417">
        <v>580</v>
      </c>
      <c r="H4417">
        <v>1</v>
      </c>
      <c r="I4417" s="1" t="s">
        <v>1528</v>
      </c>
      <c r="J4417" s="1" t="s">
        <v>1491</v>
      </c>
      <c r="K4417" s="1" t="s">
        <v>25</v>
      </c>
      <c r="L4417" t="s">
        <v>25</v>
      </c>
      <c r="M4417" t="str">
        <f t="shared" si="177"/>
        <v>Na</v>
      </c>
      <c r="N4417" t="str">
        <f t="shared" si="178"/>
        <v>Na</v>
      </c>
      <c r="O4417" s="1" t="s">
        <v>25</v>
      </c>
      <c r="P4417" s="3" t="s">
        <v>25</v>
      </c>
      <c r="Q4417" s="37">
        <v>0.48967551300000001</v>
      </c>
      <c r="R4417" t="str">
        <f t="shared" si="175"/>
        <v>mmol/mol</v>
      </c>
      <c r="S4417" s="13" t="s">
        <v>25</v>
      </c>
    </row>
    <row r="4418" spans="1:19">
      <c r="A4418" s="18" t="s">
        <v>4106</v>
      </c>
      <c r="B4418" s="1" t="s">
        <v>4585</v>
      </c>
      <c r="C4418" s="1" t="s">
        <v>5058</v>
      </c>
      <c r="D4418" s="1" t="s">
        <v>5062</v>
      </c>
      <c r="E4418" s="1" t="s">
        <v>25</v>
      </c>
      <c r="F4418">
        <v>580</v>
      </c>
      <c r="G4418">
        <v>580</v>
      </c>
      <c r="H4418">
        <v>2</v>
      </c>
      <c r="I4418" s="1" t="s">
        <v>1528</v>
      </c>
      <c r="J4418" s="1" t="s">
        <v>1491</v>
      </c>
      <c r="K4418" s="1" t="s">
        <v>25</v>
      </c>
      <c r="L4418" t="s">
        <v>25</v>
      </c>
      <c r="M4418" t="str">
        <f t="shared" si="177"/>
        <v>Na</v>
      </c>
      <c r="N4418" t="str">
        <f t="shared" si="178"/>
        <v>Na</v>
      </c>
      <c r="O4418" s="1" t="s">
        <v>25</v>
      </c>
      <c r="P4418" s="3" t="s">
        <v>25</v>
      </c>
      <c r="Q4418" s="37">
        <v>0.83938186199999998</v>
      </c>
      <c r="R4418" t="str">
        <f t="shared" si="175"/>
        <v>mmol/mol</v>
      </c>
      <c r="S4418" s="13" t="s">
        <v>25</v>
      </c>
    </row>
    <row r="4419" spans="1:19">
      <c r="A4419" s="18" t="s">
        <v>4106</v>
      </c>
      <c r="B4419" s="1" t="s">
        <v>4586</v>
      </c>
      <c r="C4419" s="1" t="s">
        <v>5058</v>
      </c>
      <c r="D4419" s="1" t="s">
        <v>5062</v>
      </c>
      <c r="E4419" s="1" t="s">
        <v>25</v>
      </c>
      <c r="F4419">
        <v>580</v>
      </c>
      <c r="G4419">
        <v>580</v>
      </c>
      <c r="H4419">
        <v>3</v>
      </c>
      <c r="I4419" s="1" t="s">
        <v>1528</v>
      </c>
      <c r="J4419" s="1" t="s">
        <v>1491</v>
      </c>
      <c r="K4419" s="1" t="s">
        <v>25</v>
      </c>
      <c r="L4419" t="s">
        <v>25</v>
      </c>
      <c r="M4419" t="str">
        <f t="shared" si="177"/>
        <v>Na</v>
      </c>
      <c r="N4419" t="str">
        <f t="shared" si="178"/>
        <v>Na</v>
      </c>
      <c r="O4419" s="1" t="s">
        <v>25</v>
      </c>
      <c r="P4419" s="3" t="s">
        <v>25</v>
      </c>
      <c r="Q4419" s="37">
        <v>0.83681664300000003</v>
      </c>
      <c r="R4419" t="str">
        <f t="shared" si="175"/>
        <v>mmol/mol</v>
      </c>
      <c r="S4419" s="13" t="s">
        <v>25</v>
      </c>
    </row>
    <row r="4420" spans="1:19">
      <c r="A4420" s="18" t="s">
        <v>4106</v>
      </c>
      <c r="B4420" s="1" t="s">
        <v>4587</v>
      </c>
      <c r="C4420" s="1" t="s">
        <v>5058</v>
      </c>
      <c r="D4420" s="1" t="s">
        <v>5062</v>
      </c>
      <c r="E4420" s="1" t="s">
        <v>25</v>
      </c>
      <c r="F4420">
        <v>580</v>
      </c>
      <c r="G4420">
        <v>580</v>
      </c>
      <c r="H4420">
        <v>18.5</v>
      </c>
      <c r="I4420" s="1" t="s">
        <v>1528</v>
      </c>
      <c r="J4420" s="1" t="s">
        <v>1491</v>
      </c>
      <c r="K4420" s="1" t="s">
        <v>25</v>
      </c>
      <c r="L4420">
        <v>-1.1906289000000001</v>
      </c>
      <c r="M4420" t="str">
        <f t="shared" si="177"/>
        <v>44/40</v>
      </c>
      <c r="N4420" t="str">
        <f t="shared" si="178"/>
        <v>SW</v>
      </c>
      <c r="O4420" s="1" t="s">
        <v>25</v>
      </c>
      <c r="P4420" s="3" t="s">
        <v>25</v>
      </c>
      <c r="Q4420" s="37">
        <v>0.30776500400000001</v>
      </c>
      <c r="R4420" t="str">
        <f t="shared" si="175"/>
        <v>mmol/mol</v>
      </c>
      <c r="S4420" s="13">
        <f t="shared" si="176"/>
        <v>-1.1906289000000001</v>
      </c>
    </row>
    <row r="4421" spans="1:19">
      <c r="A4421" s="18" t="s">
        <v>4106</v>
      </c>
      <c r="B4421" s="1" t="s">
        <v>4588</v>
      </c>
      <c r="C4421" s="1" t="s">
        <v>5058</v>
      </c>
      <c r="D4421" s="1" t="s">
        <v>5062</v>
      </c>
      <c r="E4421" s="1" t="s">
        <v>25</v>
      </c>
      <c r="F4421">
        <v>580</v>
      </c>
      <c r="G4421">
        <v>580</v>
      </c>
      <c r="H4421">
        <v>19.7</v>
      </c>
      <c r="I4421" s="1" t="s">
        <v>1528</v>
      </c>
      <c r="J4421" s="1" t="s">
        <v>1491</v>
      </c>
      <c r="K4421" s="1" t="s">
        <v>25</v>
      </c>
      <c r="L4421">
        <v>-1.3639821000000001</v>
      </c>
      <c r="M4421" t="str">
        <f t="shared" si="177"/>
        <v>44/40</v>
      </c>
      <c r="N4421" t="str">
        <f t="shared" si="178"/>
        <v>SW</v>
      </c>
      <c r="O4421" s="1" t="s">
        <v>25</v>
      </c>
      <c r="P4421" s="3" t="s">
        <v>25</v>
      </c>
      <c r="Q4421" s="37">
        <v>0.16036199200000001</v>
      </c>
      <c r="R4421" t="str">
        <f t="shared" si="175"/>
        <v>mmol/mol</v>
      </c>
      <c r="S4421" s="13">
        <f t="shared" si="176"/>
        <v>-1.3639821000000001</v>
      </c>
    </row>
    <row r="4422" spans="1:19">
      <c r="A4422" s="18" t="s">
        <v>4106</v>
      </c>
      <c r="B4422" s="1" t="s">
        <v>4589</v>
      </c>
      <c r="C4422" s="1" t="s">
        <v>5058</v>
      </c>
      <c r="D4422" s="1" t="s">
        <v>5062</v>
      </c>
      <c r="E4422" s="1" t="s">
        <v>25</v>
      </c>
      <c r="F4422">
        <v>580</v>
      </c>
      <c r="G4422">
        <v>580</v>
      </c>
      <c r="H4422">
        <v>21</v>
      </c>
      <c r="I4422" s="1" t="s">
        <v>1528</v>
      </c>
      <c r="J4422" s="1" t="s">
        <v>1491</v>
      </c>
      <c r="K4422" s="1" t="s">
        <v>25</v>
      </c>
      <c r="L4422">
        <v>-1.1788909999999999</v>
      </c>
      <c r="M4422" t="str">
        <f t="shared" si="177"/>
        <v>44/40</v>
      </c>
      <c r="N4422" t="str">
        <f t="shared" si="178"/>
        <v>SW</v>
      </c>
      <c r="O4422" s="1" t="s">
        <v>25</v>
      </c>
      <c r="P4422" s="3" t="s">
        <v>25</v>
      </c>
      <c r="Q4422" s="37">
        <v>0.17267434600000001</v>
      </c>
      <c r="R4422" t="str">
        <f t="shared" si="175"/>
        <v>mmol/mol</v>
      </c>
      <c r="S4422" s="13">
        <f t="shared" si="176"/>
        <v>-1.1788909999999999</v>
      </c>
    </row>
    <row r="4423" spans="1:19">
      <c r="A4423" s="18" t="s">
        <v>4106</v>
      </c>
      <c r="B4423" s="1" t="s">
        <v>4590</v>
      </c>
      <c r="C4423" s="1" t="s">
        <v>5058</v>
      </c>
      <c r="D4423" s="1" t="s">
        <v>5062</v>
      </c>
      <c r="E4423" s="1" t="s">
        <v>25</v>
      </c>
      <c r="F4423">
        <v>580</v>
      </c>
      <c r="G4423">
        <v>580</v>
      </c>
      <c r="H4423">
        <v>22</v>
      </c>
      <c r="I4423" s="1" t="s">
        <v>1528</v>
      </c>
      <c r="J4423" s="1" t="s">
        <v>1491</v>
      </c>
      <c r="K4423" s="1" t="s">
        <v>25</v>
      </c>
      <c r="L4423">
        <v>-1.2136210999999999</v>
      </c>
      <c r="M4423" t="str">
        <f t="shared" si="177"/>
        <v>44/40</v>
      </c>
      <c r="N4423" t="str">
        <f t="shared" si="178"/>
        <v>SW</v>
      </c>
      <c r="O4423" s="1" t="s">
        <v>25</v>
      </c>
      <c r="P4423" s="3" t="s">
        <v>25</v>
      </c>
      <c r="Q4423" s="37">
        <v>0.19754255000000001</v>
      </c>
      <c r="R4423" t="str">
        <f t="shared" si="175"/>
        <v>mmol/mol</v>
      </c>
      <c r="S4423" s="13">
        <f t="shared" si="176"/>
        <v>-1.2136210999999999</v>
      </c>
    </row>
    <row r="4424" spans="1:19">
      <c r="A4424" s="18" t="s">
        <v>4106</v>
      </c>
      <c r="B4424" s="1" t="s">
        <v>4591</v>
      </c>
      <c r="C4424" s="1" t="s">
        <v>5058</v>
      </c>
      <c r="D4424" s="1" t="s">
        <v>5062</v>
      </c>
      <c r="E4424" s="1" t="s">
        <v>25</v>
      </c>
      <c r="F4424">
        <v>580</v>
      </c>
      <c r="G4424">
        <v>580</v>
      </c>
      <c r="H4424">
        <v>23</v>
      </c>
      <c r="I4424" s="1" t="s">
        <v>1528</v>
      </c>
      <c r="J4424" s="1" t="s">
        <v>1491</v>
      </c>
      <c r="K4424" s="1" t="s">
        <v>25</v>
      </c>
      <c r="L4424">
        <v>-1.3448587999999999</v>
      </c>
      <c r="M4424" t="str">
        <f t="shared" si="177"/>
        <v>44/40</v>
      </c>
      <c r="N4424" t="str">
        <f t="shared" si="178"/>
        <v>SW</v>
      </c>
      <c r="O4424" s="1" t="s">
        <v>25</v>
      </c>
      <c r="P4424" s="3" t="s">
        <v>25</v>
      </c>
      <c r="Q4424" s="37">
        <v>0.31088885500000002</v>
      </c>
      <c r="R4424" t="str">
        <f t="shared" si="175"/>
        <v>mmol/mol</v>
      </c>
      <c r="S4424" s="13">
        <f t="shared" si="176"/>
        <v>-1.3448587999999999</v>
      </c>
    </row>
    <row r="4425" spans="1:19">
      <c r="A4425" s="18" t="s">
        <v>4106</v>
      </c>
      <c r="B4425" s="1" t="s">
        <v>4592</v>
      </c>
      <c r="C4425" s="1" t="s">
        <v>5058</v>
      </c>
      <c r="D4425" s="1" t="s">
        <v>5062</v>
      </c>
      <c r="E4425" s="1" t="s">
        <v>25</v>
      </c>
      <c r="F4425">
        <v>580</v>
      </c>
      <c r="G4425">
        <v>580</v>
      </c>
      <c r="H4425">
        <v>24</v>
      </c>
      <c r="I4425" s="1" t="s">
        <v>1528</v>
      </c>
      <c r="J4425" s="1" t="s">
        <v>1491</v>
      </c>
      <c r="K4425" s="1" t="s">
        <v>25</v>
      </c>
      <c r="L4425">
        <v>-1.277793</v>
      </c>
      <c r="M4425" t="str">
        <f t="shared" si="177"/>
        <v>44/40</v>
      </c>
      <c r="N4425" t="str">
        <f t="shared" si="178"/>
        <v>SW</v>
      </c>
      <c r="O4425" s="1" t="s">
        <v>25</v>
      </c>
      <c r="P4425" s="3" t="s">
        <v>25</v>
      </c>
      <c r="Q4425" s="37">
        <v>0.316652989</v>
      </c>
      <c r="R4425" t="str">
        <f t="shared" si="175"/>
        <v>mmol/mol</v>
      </c>
      <c r="S4425" s="13">
        <f t="shared" si="176"/>
        <v>-1.277793</v>
      </c>
    </row>
    <row r="4426" spans="1:19">
      <c r="A4426" s="18" t="s">
        <v>4106</v>
      </c>
      <c r="B4426" s="1" t="s">
        <v>4593</v>
      </c>
      <c r="C4426" s="1" t="s">
        <v>5058</v>
      </c>
      <c r="D4426" s="1" t="s">
        <v>5062</v>
      </c>
      <c r="E4426" s="1" t="s">
        <v>25</v>
      </c>
      <c r="F4426">
        <v>580</v>
      </c>
      <c r="G4426">
        <v>580</v>
      </c>
      <c r="H4426">
        <v>25</v>
      </c>
      <c r="I4426" s="1" t="s">
        <v>1528</v>
      </c>
      <c r="J4426" s="1" t="s">
        <v>1491</v>
      </c>
      <c r="K4426" s="1" t="s">
        <v>25</v>
      </c>
      <c r="L4426" t="s">
        <v>25</v>
      </c>
      <c r="M4426" t="str">
        <f t="shared" si="177"/>
        <v>Na</v>
      </c>
      <c r="N4426" t="str">
        <f t="shared" si="178"/>
        <v>Na</v>
      </c>
      <c r="O4426" s="1" t="s">
        <v>25</v>
      </c>
      <c r="P4426" s="3" t="s">
        <v>25</v>
      </c>
      <c r="Q4426" s="37">
        <v>0.20859193500000001</v>
      </c>
      <c r="R4426" t="str">
        <f t="shared" si="175"/>
        <v>mmol/mol</v>
      </c>
      <c r="S4426" s="13" t="s">
        <v>25</v>
      </c>
    </row>
    <row r="4427" spans="1:19">
      <c r="A4427" s="18" t="s">
        <v>4106</v>
      </c>
      <c r="B4427" s="1" t="s">
        <v>4594</v>
      </c>
      <c r="C4427" s="1" t="s">
        <v>5058</v>
      </c>
      <c r="D4427" s="1" t="s">
        <v>5062</v>
      </c>
      <c r="E4427" s="1" t="s">
        <v>25</v>
      </c>
      <c r="F4427">
        <v>580</v>
      </c>
      <c r="G4427">
        <v>580</v>
      </c>
      <c r="H4427">
        <v>26</v>
      </c>
      <c r="I4427" s="1" t="s">
        <v>1528</v>
      </c>
      <c r="J4427" s="1" t="s">
        <v>1491</v>
      </c>
      <c r="K4427" s="1" t="s">
        <v>25</v>
      </c>
      <c r="L4427" t="s">
        <v>25</v>
      </c>
      <c r="M4427" t="str">
        <f t="shared" si="177"/>
        <v>Na</v>
      </c>
      <c r="N4427" t="str">
        <f t="shared" si="178"/>
        <v>Na</v>
      </c>
      <c r="O4427" s="1" t="s">
        <v>25</v>
      </c>
      <c r="P4427" s="3" t="s">
        <v>25</v>
      </c>
      <c r="Q4427" s="37">
        <v>0.22216439900000001</v>
      </c>
      <c r="R4427" t="str">
        <f t="shared" si="175"/>
        <v>mmol/mol</v>
      </c>
      <c r="S4427" s="13" t="s">
        <v>25</v>
      </c>
    </row>
    <row r="4428" spans="1:19">
      <c r="A4428" s="18" t="s">
        <v>4106</v>
      </c>
      <c r="B4428" s="1" t="s">
        <v>4595</v>
      </c>
      <c r="C4428" s="1" t="s">
        <v>5058</v>
      </c>
      <c r="D4428" s="1" t="s">
        <v>5062</v>
      </c>
      <c r="E4428" s="1" t="s">
        <v>25</v>
      </c>
      <c r="F4428">
        <v>580</v>
      </c>
      <c r="G4428">
        <v>580</v>
      </c>
      <c r="H4428">
        <v>27</v>
      </c>
      <c r="I4428" s="1" t="s">
        <v>1528</v>
      </c>
      <c r="J4428" s="1" t="s">
        <v>1491</v>
      </c>
      <c r="K4428" s="1" t="s">
        <v>25</v>
      </c>
      <c r="L4428" t="s">
        <v>25</v>
      </c>
      <c r="M4428" t="str">
        <f t="shared" si="177"/>
        <v>Na</v>
      </c>
      <c r="N4428" t="str">
        <f t="shared" si="178"/>
        <v>Na</v>
      </c>
      <c r="O4428" s="1" t="s">
        <v>25</v>
      </c>
      <c r="P4428" s="3" t="s">
        <v>25</v>
      </c>
      <c r="Q4428" s="37">
        <v>0.28518019500000003</v>
      </c>
      <c r="R4428" t="str">
        <f t="shared" si="175"/>
        <v>mmol/mol</v>
      </c>
      <c r="S4428" s="13" t="s">
        <v>25</v>
      </c>
    </row>
    <row r="4429" spans="1:19">
      <c r="A4429" s="18" t="s">
        <v>4106</v>
      </c>
      <c r="B4429" s="1" t="s">
        <v>4596</v>
      </c>
      <c r="C4429" s="1" t="s">
        <v>5058</v>
      </c>
      <c r="D4429" s="1" t="s">
        <v>5062</v>
      </c>
      <c r="E4429" s="1" t="s">
        <v>25</v>
      </c>
      <c r="F4429">
        <v>580</v>
      </c>
      <c r="G4429">
        <v>580</v>
      </c>
      <c r="H4429">
        <v>28</v>
      </c>
      <c r="I4429" s="1" t="s">
        <v>1528</v>
      </c>
      <c r="J4429" s="1" t="s">
        <v>1491</v>
      </c>
      <c r="K4429" s="1" t="s">
        <v>25</v>
      </c>
      <c r="L4429" t="s">
        <v>25</v>
      </c>
      <c r="M4429" t="str">
        <f t="shared" si="177"/>
        <v>Na</v>
      </c>
      <c r="N4429" t="str">
        <f t="shared" si="178"/>
        <v>Na</v>
      </c>
      <c r="O4429" s="1" t="s">
        <v>25</v>
      </c>
      <c r="P4429" s="3" t="s">
        <v>25</v>
      </c>
      <c r="Q4429" s="37">
        <v>0.32921519199999999</v>
      </c>
      <c r="R4429" t="str">
        <f t="shared" si="175"/>
        <v>mmol/mol</v>
      </c>
      <c r="S4429" s="13" t="s">
        <v>25</v>
      </c>
    </row>
    <row r="4430" spans="1:19">
      <c r="A4430" s="18" t="s">
        <v>4106</v>
      </c>
      <c r="B4430" s="1" t="s">
        <v>4597</v>
      </c>
      <c r="C4430" s="1" t="s">
        <v>5058</v>
      </c>
      <c r="D4430" s="1" t="s">
        <v>5062</v>
      </c>
      <c r="E4430" s="1" t="s">
        <v>25</v>
      </c>
      <c r="F4430">
        <v>580</v>
      </c>
      <c r="G4430">
        <v>580</v>
      </c>
      <c r="H4430">
        <v>28.9</v>
      </c>
      <c r="I4430" s="1" t="s">
        <v>1528</v>
      </c>
      <c r="J4430" s="1" t="s">
        <v>1491</v>
      </c>
      <c r="K4430" s="1" t="s">
        <v>25</v>
      </c>
      <c r="L4430">
        <v>-1.2319751999999999</v>
      </c>
      <c r="M4430" t="str">
        <f t="shared" si="177"/>
        <v>44/40</v>
      </c>
      <c r="N4430" t="str">
        <f t="shared" si="178"/>
        <v>SW</v>
      </c>
      <c r="O4430" s="1" t="s">
        <v>25</v>
      </c>
      <c r="P4430" s="3" t="s">
        <v>25</v>
      </c>
      <c r="Q4430" s="37">
        <v>0.34241849299999999</v>
      </c>
      <c r="R4430" t="str">
        <f t="shared" si="175"/>
        <v>mmol/mol</v>
      </c>
      <c r="S4430" s="13">
        <f t="shared" si="176"/>
        <v>-1.2319751999999999</v>
      </c>
    </row>
    <row r="4431" spans="1:19">
      <c r="A4431" s="18" t="s">
        <v>4106</v>
      </c>
      <c r="B4431" s="1" t="s">
        <v>4598</v>
      </c>
      <c r="C4431" s="1" t="s">
        <v>5058</v>
      </c>
      <c r="D4431" s="1" t="s">
        <v>5062</v>
      </c>
      <c r="E4431" s="1" t="s">
        <v>25</v>
      </c>
      <c r="F4431">
        <v>580</v>
      </c>
      <c r="G4431">
        <v>580</v>
      </c>
      <c r="H4431">
        <v>30</v>
      </c>
      <c r="I4431" s="1" t="s">
        <v>1528</v>
      </c>
      <c r="J4431" s="1" t="s">
        <v>1491</v>
      </c>
      <c r="K4431" s="1" t="s">
        <v>25</v>
      </c>
      <c r="L4431">
        <v>-1.1365162</v>
      </c>
      <c r="M4431" t="str">
        <f t="shared" si="177"/>
        <v>44/40</v>
      </c>
      <c r="N4431" t="str">
        <f t="shared" si="178"/>
        <v>SW</v>
      </c>
      <c r="O4431" s="1" t="s">
        <v>25</v>
      </c>
      <c r="P4431" s="3" t="s">
        <v>25</v>
      </c>
      <c r="Q4431" s="37">
        <v>0.50517134100000005</v>
      </c>
      <c r="R4431" t="str">
        <f t="shared" si="175"/>
        <v>mmol/mol</v>
      </c>
      <c r="S4431" s="13">
        <f t="shared" si="176"/>
        <v>-1.1365162</v>
      </c>
    </row>
    <row r="4432" spans="1:19">
      <c r="A4432" s="18" t="s">
        <v>4106</v>
      </c>
      <c r="B4432" s="1" t="s">
        <v>4599</v>
      </c>
      <c r="C4432" s="1" t="s">
        <v>5058</v>
      </c>
      <c r="D4432" s="1" t="s">
        <v>5062</v>
      </c>
      <c r="E4432" s="1" t="s">
        <v>25</v>
      </c>
      <c r="F4432">
        <v>580</v>
      </c>
      <c r="G4432">
        <v>580</v>
      </c>
      <c r="H4432">
        <v>30.9</v>
      </c>
      <c r="I4432" s="1" t="s">
        <v>1528</v>
      </c>
      <c r="J4432" s="1" t="s">
        <v>1491</v>
      </c>
      <c r="K4432" s="1" t="s">
        <v>25</v>
      </c>
      <c r="L4432">
        <v>-1.2356237000000001</v>
      </c>
      <c r="M4432" t="str">
        <f t="shared" si="177"/>
        <v>44/40</v>
      </c>
      <c r="N4432" t="str">
        <f t="shared" si="178"/>
        <v>SW</v>
      </c>
      <c r="O4432" s="1" t="s">
        <v>25</v>
      </c>
      <c r="P4432" s="3" t="s">
        <v>25</v>
      </c>
      <c r="Q4432" s="37">
        <v>0.385650673</v>
      </c>
      <c r="R4432" t="str">
        <f t="shared" si="175"/>
        <v>mmol/mol</v>
      </c>
      <c r="S4432" s="13">
        <f t="shared" si="176"/>
        <v>-1.2356237000000001</v>
      </c>
    </row>
    <row r="4433" spans="1:19">
      <c r="A4433" s="18" t="s">
        <v>4106</v>
      </c>
      <c r="B4433" s="1" t="s">
        <v>4600</v>
      </c>
      <c r="C4433" s="1" t="s">
        <v>5058</v>
      </c>
      <c r="D4433" s="1" t="s">
        <v>5062</v>
      </c>
      <c r="E4433" s="1" t="s">
        <v>25</v>
      </c>
      <c r="F4433">
        <v>580</v>
      </c>
      <c r="G4433">
        <v>580</v>
      </c>
      <c r="H4433">
        <v>32</v>
      </c>
      <c r="I4433" s="1" t="s">
        <v>1528</v>
      </c>
      <c r="J4433" s="1" t="s">
        <v>1491</v>
      </c>
      <c r="K4433" s="1" t="s">
        <v>25</v>
      </c>
      <c r="L4433" t="s">
        <v>25</v>
      </c>
      <c r="M4433" t="str">
        <f t="shared" si="177"/>
        <v>Na</v>
      </c>
      <c r="N4433" t="str">
        <f t="shared" si="178"/>
        <v>Na</v>
      </c>
      <c r="O4433" s="1" t="s">
        <v>25</v>
      </c>
      <c r="P4433" s="3" t="s">
        <v>25</v>
      </c>
      <c r="Q4433" s="37">
        <v>0.31372187299999998</v>
      </c>
      <c r="R4433" t="str">
        <f t="shared" si="175"/>
        <v>mmol/mol</v>
      </c>
      <c r="S4433" s="13" t="s">
        <v>25</v>
      </c>
    </row>
    <row r="4434" spans="1:19">
      <c r="A4434" s="18" t="s">
        <v>4106</v>
      </c>
      <c r="B4434" s="1" t="s">
        <v>4601</v>
      </c>
      <c r="C4434" s="1" t="s">
        <v>5058</v>
      </c>
      <c r="D4434" s="1" t="s">
        <v>5062</v>
      </c>
      <c r="E4434" s="1" t="s">
        <v>25</v>
      </c>
      <c r="F4434">
        <v>580</v>
      </c>
      <c r="G4434">
        <v>580</v>
      </c>
      <c r="H4434">
        <v>32.9</v>
      </c>
      <c r="I4434" s="1" t="s">
        <v>1528</v>
      </c>
      <c r="J4434" s="1" t="s">
        <v>1491</v>
      </c>
      <c r="K4434" s="1" t="s">
        <v>25</v>
      </c>
      <c r="L4434" t="s">
        <v>25</v>
      </c>
      <c r="M4434" t="str">
        <f t="shared" si="177"/>
        <v>Na</v>
      </c>
      <c r="N4434" t="str">
        <f t="shared" si="178"/>
        <v>Na</v>
      </c>
      <c r="O4434" s="1" t="s">
        <v>25</v>
      </c>
      <c r="P4434" s="3" t="s">
        <v>25</v>
      </c>
      <c r="Q4434" s="37">
        <v>0.36007444</v>
      </c>
      <c r="R4434" t="str">
        <f t="shared" si="175"/>
        <v>mmol/mol</v>
      </c>
      <c r="S4434" s="13" t="s">
        <v>25</v>
      </c>
    </row>
    <row r="4435" spans="1:19">
      <c r="A4435" s="18" t="s">
        <v>4106</v>
      </c>
      <c r="B4435" s="1" t="s">
        <v>4602</v>
      </c>
      <c r="C4435" s="1" t="s">
        <v>5058</v>
      </c>
      <c r="D4435" s="1" t="s">
        <v>5062</v>
      </c>
      <c r="E4435" s="1" t="s">
        <v>25</v>
      </c>
      <c r="F4435">
        <v>580</v>
      </c>
      <c r="G4435">
        <v>580</v>
      </c>
      <c r="H4435">
        <v>34.4</v>
      </c>
      <c r="I4435" s="1" t="s">
        <v>1528</v>
      </c>
      <c r="J4435" s="1" t="s">
        <v>1491</v>
      </c>
      <c r="K4435" s="1" t="s">
        <v>25</v>
      </c>
      <c r="L4435">
        <v>-1.1367077000000001</v>
      </c>
      <c r="M4435" t="str">
        <f t="shared" si="177"/>
        <v>44/40</v>
      </c>
      <c r="N4435" t="str">
        <f t="shared" si="178"/>
        <v>SW</v>
      </c>
      <c r="O4435" s="1" t="s">
        <v>25</v>
      </c>
      <c r="P4435" s="3" t="s">
        <v>25</v>
      </c>
      <c r="Q4435" s="37">
        <v>0.30207250400000002</v>
      </c>
      <c r="R4435" t="str">
        <f t="shared" si="175"/>
        <v>mmol/mol</v>
      </c>
      <c r="S4435" s="13">
        <f t="shared" si="176"/>
        <v>-1.1367077000000001</v>
      </c>
    </row>
    <row r="4436" spans="1:19">
      <c r="A4436" s="18" t="s">
        <v>4106</v>
      </c>
      <c r="B4436" s="1" t="s">
        <v>4603</v>
      </c>
      <c r="C4436" s="1" t="s">
        <v>5058</v>
      </c>
      <c r="D4436" s="1" t="s">
        <v>5062</v>
      </c>
      <c r="E4436" s="1" t="s">
        <v>25</v>
      </c>
      <c r="F4436">
        <v>580</v>
      </c>
      <c r="G4436">
        <v>580</v>
      </c>
      <c r="H4436">
        <v>35.200000000000003</v>
      </c>
      <c r="I4436" s="1" t="s">
        <v>1528</v>
      </c>
      <c r="J4436" s="1" t="s">
        <v>1491</v>
      </c>
      <c r="K4436" s="1" t="s">
        <v>25</v>
      </c>
      <c r="L4436">
        <v>-1.1789514000000001</v>
      </c>
      <c r="M4436" t="str">
        <f t="shared" si="177"/>
        <v>44/40</v>
      </c>
      <c r="N4436" t="str">
        <f t="shared" si="178"/>
        <v>SW</v>
      </c>
      <c r="O4436" s="1" t="s">
        <v>25</v>
      </c>
      <c r="P4436" s="3" t="s">
        <v>25</v>
      </c>
      <c r="Q4436" s="37">
        <v>0.31583302099999999</v>
      </c>
      <c r="R4436" t="str">
        <f t="shared" si="175"/>
        <v>mmol/mol</v>
      </c>
      <c r="S4436" s="13">
        <f t="shared" si="176"/>
        <v>-1.1789514000000001</v>
      </c>
    </row>
    <row r="4437" spans="1:19">
      <c r="A4437" s="18" t="s">
        <v>4106</v>
      </c>
      <c r="B4437" s="1" t="s">
        <v>4604</v>
      </c>
      <c r="C4437" s="1" t="s">
        <v>5058</v>
      </c>
      <c r="D4437" s="1" t="s">
        <v>5062</v>
      </c>
      <c r="E4437" s="1" t="s">
        <v>25</v>
      </c>
      <c r="F4437">
        <v>580</v>
      </c>
      <c r="G4437">
        <v>580</v>
      </c>
      <c r="H4437">
        <v>36</v>
      </c>
      <c r="I4437" s="1" t="s">
        <v>1528</v>
      </c>
      <c r="J4437" s="1" t="s">
        <v>1491</v>
      </c>
      <c r="K4437" s="1" t="s">
        <v>25</v>
      </c>
      <c r="L4437" t="s">
        <v>25</v>
      </c>
      <c r="M4437" t="str">
        <f t="shared" si="177"/>
        <v>Na</v>
      </c>
      <c r="N4437" t="str">
        <f t="shared" si="178"/>
        <v>Na</v>
      </c>
      <c r="O4437" s="1" t="s">
        <v>25</v>
      </c>
      <c r="P4437" s="3" t="s">
        <v>25</v>
      </c>
      <c r="Q4437" s="37">
        <v>0.327951255</v>
      </c>
      <c r="R4437" t="str">
        <f t="shared" si="175"/>
        <v>mmol/mol</v>
      </c>
      <c r="S4437" s="13" t="s">
        <v>25</v>
      </c>
    </row>
    <row r="4438" spans="1:19">
      <c r="A4438" s="18" t="s">
        <v>4106</v>
      </c>
      <c r="B4438" s="1" t="s">
        <v>4605</v>
      </c>
      <c r="C4438" s="1" t="s">
        <v>5058</v>
      </c>
      <c r="D4438" s="1" t="s">
        <v>5062</v>
      </c>
      <c r="E4438" s="1" t="s">
        <v>25</v>
      </c>
      <c r="F4438">
        <v>580</v>
      </c>
      <c r="G4438">
        <v>580</v>
      </c>
      <c r="H4438">
        <v>37</v>
      </c>
      <c r="I4438" s="1" t="s">
        <v>1528</v>
      </c>
      <c r="J4438" s="1" t="s">
        <v>1491</v>
      </c>
      <c r="K4438" s="1" t="s">
        <v>25</v>
      </c>
      <c r="L4438" t="s">
        <v>25</v>
      </c>
      <c r="M4438" t="str">
        <f t="shared" si="177"/>
        <v>Na</v>
      </c>
      <c r="N4438" t="str">
        <f t="shared" si="178"/>
        <v>Na</v>
      </c>
      <c r="O4438" s="1" t="s">
        <v>25</v>
      </c>
      <c r="P4438" s="3" t="s">
        <v>25</v>
      </c>
      <c r="Q4438" s="37">
        <v>0.358884431</v>
      </c>
      <c r="R4438" t="str">
        <f t="shared" si="175"/>
        <v>mmol/mol</v>
      </c>
      <c r="S4438" s="13" t="s">
        <v>25</v>
      </c>
    </row>
    <row r="4439" spans="1:19">
      <c r="A4439" s="18" t="s">
        <v>4106</v>
      </c>
      <c r="B4439" s="1" t="s">
        <v>4606</v>
      </c>
      <c r="C4439" s="1" t="s">
        <v>5058</v>
      </c>
      <c r="D4439" s="1" t="s">
        <v>5062</v>
      </c>
      <c r="E4439" s="1" t="s">
        <v>25</v>
      </c>
      <c r="F4439">
        <v>580</v>
      </c>
      <c r="G4439">
        <v>580</v>
      </c>
      <c r="H4439">
        <v>38</v>
      </c>
      <c r="I4439" s="1" t="s">
        <v>1528</v>
      </c>
      <c r="J4439" s="1" t="s">
        <v>1491</v>
      </c>
      <c r="K4439" s="1" t="s">
        <v>25</v>
      </c>
      <c r="L4439" t="s">
        <v>25</v>
      </c>
      <c r="M4439" t="str">
        <f t="shared" si="177"/>
        <v>Na</v>
      </c>
      <c r="N4439" t="str">
        <f t="shared" si="178"/>
        <v>Na</v>
      </c>
      <c r="O4439" s="1" t="s">
        <v>25</v>
      </c>
      <c r="P4439" s="3" t="s">
        <v>25</v>
      </c>
      <c r="Q4439" s="37">
        <v>0.30867667700000001</v>
      </c>
      <c r="R4439" t="str">
        <f t="shared" si="175"/>
        <v>mmol/mol</v>
      </c>
      <c r="S4439" s="13" t="s">
        <v>25</v>
      </c>
    </row>
    <row r="4440" spans="1:19">
      <c r="A4440" s="18" t="s">
        <v>4106</v>
      </c>
      <c r="B4440" s="1" t="s">
        <v>4607</v>
      </c>
      <c r="C4440" s="1" t="s">
        <v>5058</v>
      </c>
      <c r="D4440" s="1" t="s">
        <v>5062</v>
      </c>
      <c r="E4440" s="1" t="s">
        <v>25</v>
      </c>
      <c r="F4440">
        <v>580</v>
      </c>
      <c r="G4440">
        <v>580</v>
      </c>
      <c r="H4440">
        <v>39.1</v>
      </c>
      <c r="I4440" s="1" t="s">
        <v>1528</v>
      </c>
      <c r="J4440" s="1" t="s">
        <v>1491</v>
      </c>
      <c r="K4440" s="1" t="s">
        <v>25</v>
      </c>
      <c r="L4440">
        <v>-1.1985631000000001</v>
      </c>
      <c r="M4440" t="str">
        <f t="shared" si="177"/>
        <v>44/40</v>
      </c>
      <c r="N4440" t="str">
        <f t="shared" si="178"/>
        <v>SW</v>
      </c>
      <c r="O4440" s="1" t="s">
        <v>25</v>
      </c>
      <c r="P4440" s="3" t="s">
        <v>25</v>
      </c>
      <c r="Q4440" s="37">
        <v>0.38061361999999999</v>
      </c>
      <c r="R4440" t="str">
        <f t="shared" si="175"/>
        <v>mmol/mol</v>
      </c>
      <c r="S4440" s="13">
        <f t="shared" si="176"/>
        <v>-1.1985631000000001</v>
      </c>
    </row>
    <row r="4441" spans="1:19">
      <c r="A4441" s="18" t="s">
        <v>4106</v>
      </c>
      <c r="B4441" s="1" t="s">
        <v>4608</v>
      </c>
      <c r="C4441" s="1" t="s">
        <v>5058</v>
      </c>
      <c r="D4441" s="1" t="s">
        <v>5062</v>
      </c>
      <c r="E4441" s="1" t="s">
        <v>25</v>
      </c>
      <c r="F4441">
        <v>580</v>
      </c>
      <c r="G4441">
        <v>580</v>
      </c>
      <c r="H4441">
        <v>40</v>
      </c>
      <c r="I4441" s="1" t="s">
        <v>1528</v>
      </c>
      <c r="J4441" s="1" t="s">
        <v>1491</v>
      </c>
      <c r="K4441" s="1" t="s">
        <v>25</v>
      </c>
      <c r="L4441">
        <v>-1.0657135</v>
      </c>
      <c r="M4441" t="str">
        <f t="shared" si="177"/>
        <v>44/40</v>
      </c>
      <c r="N4441" t="str">
        <f t="shared" si="178"/>
        <v>SW</v>
      </c>
      <c r="O4441" s="1" t="s">
        <v>25</v>
      </c>
      <c r="P4441" s="3" t="s">
        <v>25</v>
      </c>
      <c r="Q4441" s="37">
        <v>0.38749247199999998</v>
      </c>
      <c r="R4441" t="str">
        <f t="shared" ref="R4441:R4504" si="179">IF(Q4441="Na","Na","mmol/mol")</f>
        <v>mmol/mol</v>
      </c>
      <c r="S4441" s="13">
        <f t="shared" si="176"/>
        <v>-1.0657135</v>
      </c>
    </row>
    <row r="4442" spans="1:19">
      <c r="A4442" s="18" t="s">
        <v>4106</v>
      </c>
      <c r="B4442" s="1" t="s">
        <v>4609</v>
      </c>
      <c r="C4442" s="1" t="s">
        <v>5058</v>
      </c>
      <c r="D4442" s="1" t="s">
        <v>5062</v>
      </c>
      <c r="E4442" s="1" t="s">
        <v>25</v>
      </c>
      <c r="F4442">
        <v>580</v>
      </c>
      <c r="G4442">
        <v>580</v>
      </c>
      <c r="H4442">
        <v>41</v>
      </c>
      <c r="I4442" s="1" t="s">
        <v>1528</v>
      </c>
      <c r="J4442" s="1" t="s">
        <v>1491</v>
      </c>
      <c r="K4442" s="1" t="s">
        <v>25</v>
      </c>
      <c r="L4442">
        <v>-1.1676770999999999</v>
      </c>
      <c r="M4442" t="str">
        <f t="shared" si="177"/>
        <v>44/40</v>
      </c>
      <c r="N4442" t="str">
        <f t="shared" si="178"/>
        <v>SW</v>
      </c>
      <c r="O4442" s="1" t="s">
        <v>25</v>
      </c>
      <c r="P4442" s="3" t="s">
        <v>25</v>
      </c>
      <c r="Q4442" s="37">
        <v>0.48633662100000002</v>
      </c>
      <c r="R4442" t="str">
        <f t="shared" si="179"/>
        <v>mmol/mol</v>
      </c>
      <c r="S4442" s="13">
        <f t="shared" si="176"/>
        <v>-1.1676770999999999</v>
      </c>
    </row>
    <row r="4443" spans="1:19">
      <c r="A4443" s="18" t="s">
        <v>4106</v>
      </c>
      <c r="B4443" s="1" t="s">
        <v>4610</v>
      </c>
      <c r="C4443" s="1" t="s">
        <v>5058</v>
      </c>
      <c r="D4443" s="1" t="s">
        <v>5062</v>
      </c>
      <c r="E4443" s="1" t="s">
        <v>25</v>
      </c>
      <c r="F4443">
        <v>580</v>
      </c>
      <c r="G4443">
        <v>580</v>
      </c>
      <c r="H4443">
        <v>42.1</v>
      </c>
      <c r="I4443" s="1" t="s">
        <v>1528</v>
      </c>
      <c r="J4443" s="1" t="s">
        <v>1491</v>
      </c>
      <c r="K4443" s="1" t="s">
        <v>25</v>
      </c>
      <c r="L4443" t="s">
        <v>25</v>
      </c>
      <c r="M4443" t="str">
        <f t="shared" si="177"/>
        <v>Na</v>
      </c>
      <c r="N4443" t="str">
        <f t="shared" si="178"/>
        <v>Na</v>
      </c>
      <c r="O4443" s="1" t="s">
        <v>25</v>
      </c>
      <c r="P4443" s="3" t="s">
        <v>25</v>
      </c>
      <c r="Q4443" s="37">
        <v>0.25342462100000002</v>
      </c>
      <c r="R4443" t="str">
        <f t="shared" si="179"/>
        <v>mmol/mol</v>
      </c>
      <c r="S4443" s="13" t="s">
        <v>25</v>
      </c>
    </row>
    <row r="4444" spans="1:19">
      <c r="A4444" s="18" t="s">
        <v>4106</v>
      </c>
      <c r="B4444" s="1" t="s">
        <v>4611</v>
      </c>
      <c r="C4444" s="1" t="s">
        <v>5058</v>
      </c>
      <c r="D4444" s="1" t="s">
        <v>5062</v>
      </c>
      <c r="E4444" s="1" t="s">
        <v>25</v>
      </c>
      <c r="F4444">
        <v>580</v>
      </c>
      <c r="G4444">
        <v>580</v>
      </c>
      <c r="H4444">
        <v>43</v>
      </c>
      <c r="I4444" s="1" t="s">
        <v>1528</v>
      </c>
      <c r="J4444" s="1" t="s">
        <v>1491</v>
      </c>
      <c r="K4444" s="1" t="s">
        <v>25</v>
      </c>
      <c r="L4444">
        <v>-1.3068062</v>
      </c>
      <c r="M4444" t="str">
        <f t="shared" si="177"/>
        <v>44/40</v>
      </c>
      <c r="N4444" t="str">
        <f t="shared" si="178"/>
        <v>SW</v>
      </c>
      <c r="O4444" s="1" t="s">
        <v>25</v>
      </c>
      <c r="P4444" s="3" t="s">
        <v>25</v>
      </c>
      <c r="Q4444" s="37">
        <v>0.27782398800000002</v>
      </c>
      <c r="R4444" t="str">
        <f t="shared" si="179"/>
        <v>mmol/mol</v>
      </c>
      <c r="S4444" s="13">
        <f t="shared" si="176"/>
        <v>-1.3068062</v>
      </c>
    </row>
    <row r="4445" spans="1:19">
      <c r="A4445" s="18" t="s">
        <v>4106</v>
      </c>
      <c r="B4445" s="1" t="s">
        <v>4612</v>
      </c>
      <c r="C4445" s="1" t="s">
        <v>5058</v>
      </c>
      <c r="D4445" s="1" t="s">
        <v>5062</v>
      </c>
      <c r="E4445" s="1" t="s">
        <v>25</v>
      </c>
      <c r="F4445">
        <v>580</v>
      </c>
      <c r="G4445">
        <v>580</v>
      </c>
      <c r="H4445">
        <v>44.1</v>
      </c>
      <c r="I4445" s="1" t="s">
        <v>1528</v>
      </c>
      <c r="J4445" s="1" t="s">
        <v>1491</v>
      </c>
      <c r="K4445" s="1" t="s">
        <v>25</v>
      </c>
      <c r="L4445" t="s">
        <v>25</v>
      </c>
      <c r="M4445" t="str">
        <f t="shared" si="177"/>
        <v>Na</v>
      </c>
      <c r="N4445" t="str">
        <f t="shared" si="178"/>
        <v>Na</v>
      </c>
      <c r="O4445" s="1" t="s">
        <v>25</v>
      </c>
      <c r="P4445" s="3" t="s">
        <v>25</v>
      </c>
      <c r="Q4445" s="37">
        <v>0.26995217500000002</v>
      </c>
      <c r="R4445" t="str">
        <f t="shared" si="179"/>
        <v>mmol/mol</v>
      </c>
      <c r="S4445" s="13" t="s">
        <v>25</v>
      </c>
    </row>
    <row r="4446" spans="1:19">
      <c r="A4446" s="18" t="s">
        <v>4106</v>
      </c>
      <c r="B4446" s="1" t="s">
        <v>4613</v>
      </c>
      <c r="C4446" s="1" t="s">
        <v>5058</v>
      </c>
      <c r="D4446" s="1" t="s">
        <v>5062</v>
      </c>
      <c r="E4446" s="1" t="s">
        <v>25</v>
      </c>
      <c r="F4446">
        <v>580</v>
      </c>
      <c r="G4446">
        <v>580</v>
      </c>
      <c r="H4446">
        <v>45</v>
      </c>
      <c r="I4446" s="1" t="s">
        <v>1528</v>
      </c>
      <c r="J4446" s="1" t="s">
        <v>1491</v>
      </c>
      <c r="K4446" s="1" t="s">
        <v>25</v>
      </c>
      <c r="L4446" t="s">
        <v>25</v>
      </c>
      <c r="M4446" t="str">
        <f t="shared" si="177"/>
        <v>Na</v>
      </c>
      <c r="N4446" t="str">
        <f t="shared" si="178"/>
        <v>Na</v>
      </c>
      <c r="O4446" s="1" t="s">
        <v>25</v>
      </c>
      <c r="P4446" s="3" t="s">
        <v>25</v>
      </c>
      <c r="Q4446" s="37">
        <v>0.25200684499999998</v>
      </c>
      <c r="R4446" t="str">
        <f t="shared" si="179"/>
        <v>mmol/mol</v>
      </c>
      <c r="S4446" s="13" t="s">
        <v>25</v>
      </c>
    </row>
    <row r="4447" spans="1:19">
      <c r="A4447" s="18" t="s">
        <v>4106</v>
      </c>
      <c r="B4447" s="1" t="s">
        <v>4614</v>
      </c>
      <c r="C4447" s="1" t="s">
        <v>5058</v>
      </c>
      <c r="D4447" s="1" t="s">
        <v>5062</v>
      </c>
      <c r="E4447" s="1" t="s">
        <v>25</v>
      </c>
      <c r="F4447">
        <v>580</v>
      </c>
      <c r="G4447">
        <v>580</v>
      </c>
      <c r="H4447">
        <v>47</v>
      </c>
      <c r="I4447" s="1" t="s">
        <v>1528</v>
      </c>
      <c r="J4447" s="1" t="s">
        <v>1491</v>
      </c>
      <c r="K4447" s="1" t="s">
        <v>25</v>
      </c>
      <c r="L4447" t="s">
        <v>25</v>
      </c>
      <c r="M4447" t="str">
        <f t="shared" si="177"/>
        <v>Na</v>
      </c>
      <c r="N4447" t="str">
        <f t="shared" si="178"/>
        <v>Na</v>
      </c>
      <c r="O4447" s="1" t="s">
        <v>25</v>
      </c>
      <c r="P4447" s="3" t="s">
        <v>25</v>
      </c>
      <c r="Q4447" s="37">
        <v>0.28155617199999999</v>
      </c>
      <c r="R4447" t="str">
        <f t="shared" si="179"/>
        <v>mmol/mol</v>
      </c>
      <c r="S4447" s="13" t="s">
        <v>25</v>
      </c>
    </row>
    <row r="4448" spans="1:19">
      <c r="A4448" s="18" t="s">
        <v>4106</v>
      </c>
      <c r="B4448" s="1" t="s">
        <v>4615</v>
      </c>
      <c r="C4448" s="1" t="s">
        <v>5058</v>
      </c>
      <c r="D4448" s="1" t="s">
        <v>5062</v>
      </c>
      <c r="E4448" s="1" t="s">
        <v>25</v>
      </c>
      <c r="F4448">
        <v>580</v>
      </c>
      <c r="G4448">
        <v>580</v>
      </c>
      <c r="H4448">
        <v>48</v>
      </c>
      <c r="I4448" s="1" t="s">
        <v>1528</v>
      </c>
      <c r="J4448" s="1" t="s">
        <v>1491</v>
      </c>
      <c r="K4448" s="1" t="s">
        <v>25</v>
      </c>
      <c r="L4448">
        <v>-1.2165367</v>
      </c>
      <c r="M4448" t="str">
        <f t="shared" si="177"/>
        <v>44/40</v>
      </c>
      <c r="N4448" t="str">
        <f t="shared" si="178"/>
        <v>SW</v>
      </c>
      <c r="O4448" s="1" t="s">
        <v>25</v>
      </c>
      <c r="P4448" s="3" t="s">
        <v>25</v>
      </c>
      <c r="Q4448" s="37">
        <v>0.21062977799999999</v>
      </c>
      <c r="R4448" t="str">
        <f t="shared" si="179"/>
        <v>mmol/mol</v>
      </c>
      <c r="S4448" s="13">
        <f t="shared" si="176"/>
        <v>-1.2165367</v>
      </c>
    </row>
    <row r="4449" spans="1:19">
      <c r="A4449" s="18" t="s">
        <v>4106</v>
      </c>
      <c r="B4449" s="1" t="s">
        <v>4616</v>
      </c>
      <c r="C4449" s="1" t="s">
        <v>5058</v>
      </c>
      <c r="D4449" s="1" t="s">
        <v>5062</v>
      </c>
      <c r="E4449" s="1" t="s">
        <v>25</v>
      </c>
      <c r="F4449">
        <v>580</v>
      </c>
      <c r="G4449">
        <v>580</v>
      </c>
      <c r="H4449">
        <v>49.3</v>
      </c>
      <c r="I4449" s="1" t="s">
        <v>1528</v>
      </c>
      <c r="J4449" s="1" t="s">
        <v>1491</v>
      </c>
      <c r="K4449" s="1" t="s">
        <v>25</v>
      </c>
      <c r="L4449">
        <v>-1.0747880000000001</v>
      </c>
      <c r="M4449" t="str">
        <f t="shared" si="177"/>
        <v>44/40</v>
      </c>
      <c r="N4449" t="str">
        <f t="shared" si="178"/>
        <v>SW</v>
      </c>
      <c r="O4449" s="1" t="s">
        <v>25</v>
      </c>
      <c r="P4449" s="3" t="s">
        <v>25</v>
      </c>
      <c r="Q4449" s="37">
        <v>0.20942659299999999</v>
      </c>
      <c r="R4449" t="str">
        <f t="shared" si="179"/>
        <v>mmol/mol</v>
      </c>
      <c r="S4449" s="13">
        <f t="shared" si="176"/>
        <v>-1.0747880000000001</v>
      </c>
    </row>
    <row r="4450" spans="1:19">
      <c r="A4450" s="18" t="s">
        <v>4106</v>
      </c>
      <c r="B4450" s="1" t="s">
        <v>4617</v>
      </c>
      <c r="C4450" s="1" t="s">
        <v>5058</v>
      </c>
      <c r="D4450" s="1" t="s">
        <v>5062</v>
      </c>
      <c r="E4450" s="1" t="s">
        <v>25</v>
      </c>
      <c r="F4450">
        <v>580</v>
      </c>
      <c r="G4450">
        <v>580</v>
      </c>
      <c r="H4450">
        <v>50.9</v>
      </c>
      <c r="I4450" s="1" t="s">
        <v>1528</v>
      </c>
      <c r="J4450" s="1" t="s">
        <v>1491</v>
      </c>
      <c r="K4450" s="1" t="s">
        <v>25</v>
      </c>
      <c r="L4450">
        <v>-1.1562326999999999</v>
      </c>
      <c r="M4450" t="str">
        <f t="shared" si="177"/>
        <v>44/40</v>
      </c>
      <c r="N4450" t="str">
        <f t="shared" si="178"/>
        <v>SW</v>
      </c>
      <c r="O4450" s="1" t="s">
        <v>25</v>
      </c>
      <c r="P4450" s="3" t="s">
        <v>25</v>
      </c>
      <c r="Q4450" s="37">
        <v>0.24375359699999999</v>
      </c>
      <c r="R4450" t="str">
        <f t="shared" si="179"/>
        <v>mmol/mol</v>
      </c>
      <c r="S4450" s="13">
        <f t="shared" si="176"/>
        <v>-1.1562326999999999</v>
      </c>
    </row>
    <row r="4451" spans="1:19">
      <c r="A4451" s="18" t="s">
        <v>4106</v>
      </c>
      <c r="B4451" s="1" t="s">
        <v>4618</v>
      </c>
      <c r="C4451" s="1" t="s">
        <v>5058</v>
      </c>
      <c r="D4451" s="1" t="s">
        <v>5062</v>
      </c>
      <c r="E4451" s="1" t="s">
        <v>25</v>
      </c>
      <c r="F4451">
        <v>580</v>
      </c>
      <c r="G4451">
        <v>580</v>
      </c>
      <c r="H4451">
        <v>52</v>
      </c>
      <c r="I4451" s="1" t="s">
        <v>1528</v>
      </c>
      <c r="J4451" s="1" t="s">
        <v>1491</v>
      </c>
      <c r="K4451" s="1" t="s">
        <v>25</v>
      </c>
      <c r="L4451" t="s">
        <v>25</v>
      </c>
      <c r="M4451" t="str">
        <f t="shared" si="177"/>
        <v>Na</v>
      </c>
      <c r="N4451" t="str">
        <f t="shared" si="178"/>
        <v>Na</v>
      </c>
      <c r="O4451" s="1" t="s">
        <v>25</v>
      </c>
      <c r="P4451" s="3" t="s">
        <v>25</v>
      </c>
      <c r="Q4451" s="37">
        <v>0.220468109</v>
      </c>
      <c r="R4451" t="str">
        <f t="shared" si="179"/>
        <v>mmol/mol</v>
      </c>
      <c r="S4451" s="13" t="s">
        <v>25</v>
      </c>
    </row>
    <row r="4452" spans="1:19">
      <c r="A4452" s="18" t="s">
        <v>4106</v>
      </c>
      <c r="B4452" s="1" t="s">
        <v>4619</v>
      </c>
      <c r="C4452" s="1" t="s">
        <v>5058</v>
      </c>
      <c r="D4452" s="1" t="s">
        <v>5062</v>
      </c>
      <c r="E4452" s="1" t="s">
        <v>25</v>
      </c>
      <c r="F4452">
        <v>580</v>
      </c>
      <c r="G4452">
        <v>580</v>
      </c>
      <c r="H4452">
        <v>53</v>
      </c>
      <c r="I4452" s="1" t="s">
        <v>1528</v>
      </c>
      <c r="J4452" s="1" t="s">
        <v>1491</v>
      </c>
      <c r="K4452" s="1" t="s">
        <v>25</v>
      </c>
      <c r="L4452">
        <v>-1.2320428999999999</v>
      </c>
      <c r="M4452" t="str">
        <f t="shared" si="177"/>
        <v>44/40</v>
      </c>
      <c r="N4452" t="str">
        <f t="shared" si="178"/>
        <v>SW</v>
      </c>
      <c r="O4452" s="1" t="s">
        <v>25</v>
      </c>
      <c r="P4452" s="3" t="s">
        <v>25</v>
      </c>
      <c r="Q4452" s="37">
        <v>0.204340195</v>
      </c>
      <c r="R4452" t="str">
        <f t="shared" si="179"/>
        <v>mmol/mol</v>
      </c>
      <c r="S4452" s="13">
        <f t="shared" si="176"/>
        <v>-1.2320428999999999</v>
      </c>
    </row>
    <row r="4453" spans="1:19">
      <c r="A4453" s="18" t="s">
        <v>4106</v>
      </c>
      <c r="B4453" s="1" t="s">
        <v>4620</v>
      </c>
      <c r="C4453" s="1" t="s">
        <v>5058</v>
      </c>
      <c r="D4453" s="1" t="s">
        <v>5062</v>
      </c>
      <c r="E4453" s="1" t="s">
        <v>25</v>
      </c>
      <c r="F4453">
        <v>580</v>
      </c>
      <c r="G4453">
        <v>580</v>
      </c>
      <c r="H4453">
        <v>54</v>
      </c>
      <c r="I4453" s="1" t="s">
        <v>1528</v>
      </c>
      <c r="J4453" s="1" t="s">
        <v>1491</v>
      </c>
      <c r="K4453" s="1" t="s">
        <v>25</v>
      </c>
      <c r="L4453" t="s">
        <v>25</v>
      </c>
      <c r="M4453" t="str">
        <f t="shared" si="177"/>
        <v>Na</v>
      </c>
      <c r="N4453" t="str">
        <f t="shared" si="178"/>
        <v>Na</v>
      </c>
      <c r="O4453" s="1" t="s">
        <v>25</v>
      </c>
      <c r="P4453" s="3" t="s">
        <v>25</v>
      </c>
      <c r="Q4453" s="37">
        <v>0.212366264</v>
      </c>
      <c r="R4453" t="str">
        <f t="shared" si="179"/>
        <v>mmol/mol</v>
      </c>
      <c r="S4453" s="13" t="s">
        <v>25</v>
      </c>
    </row>
    <row r="4454" spans="1:19">
      <c r="A4454" s="18" t="s">
        <v>4106</v>
      </c>
      <c r="B4454" s="1" t="s">
        <v>4621</v>
      </c>
      <c r="C4454" s="1" t="s">
        <v>5058</v>
      </c>
      <c r="D4454" s="1" t="s">
        <v>5062</v>
      </c>
      <c r="E4454" s="1" t="s">
        <v>25</v>
      </c>
      <c r="F4454">
        <v>580</v>
      </c>
      <c r="G4454">
        <v>580</v>
      </c>
      <c r="H4454">
        <v>55</v>
      </c>
      <c r="I4454" s="1" t="s">
        <v>1528</v>
      </c>
      <c r="J4454" s="1" t="s">
        <v>1491</v>
      </c>
      <c r="K4454" s="1" t="s">
        <v>25</v>
      </c>
      <c r="L4454" t="s">
        <v>25</v>
      </c>
      <c r="M4454" t="str">
        <f t="shared" si="177"/>
        <v>Na</v>
      </c>
      <c r="N4454" t="str">
        <f t="shared" si="178"/>
        <v>Na</v>
      </c>
      <c r="O4454" s="1" t="s">
        <v>25</v>
      </c>
      <c r="P4454" s="3" t="s">
        <v>25</v>
      </c>
      <c r="Q4454" s="37">
        <v>0.25258779599999998</v>
      </c>
      <c r="R4454" t="str">
        <f t="shared" si="179"/>
        <v>mmol/mol</v>
      </c>
      <c r="S4454" s="13" t="s">
        <v>25</v>
      </c>
    </row>
    <row r="4455" spans="1:19">
      <c r="A4455" s="18" t="s">
        <v>4106</v>
      </c>
      <c r="B4455" s="1" t="s">
        <v>4622</v>
      </c>
      <c r="C4455" s="1" t="s">
        <v>5058</v>
      </c>
      <c r="D4455" s="1" t="s">
        <v>5062</v>
      </c>
      <c r="E4455" s="1" t="s">
        <v>25</v>
      </c>
      <c r="F4455">
        <v>580</v>
      </c>
      <c r="G4455">
        <v>580</v>
      </c>
      <c r="H4455">
        <v>56</v>
      </c>
      <c r="I4455" s="1" t="s">
        <v>1528</v>
      </c>
      <c r="J4455" s="1" t="s">
        <v>1491</v>
      </c>
      <c r="K4455" s="1" t="s">
        <v>25</v>
      </c>
      <c r="L4455">
        <v>-1.1165788999999999</v>
      </c>
      <c r="M4455" t="str">
        <f t="shared" si="177"/>
        <v>44/40</v>
      </c>
      <c r="N4455" t="str">
        <f t="shared" si="178"/>
        <v>SW</v>
      </c>
      <c r="O4455" s="1" t="s">
        <v>25</v>
      </c>
      <c r="P4455" s="3" t="s">
        <v>25</v>
      </c>
      <c r="Q4455" s="37">
        <v>0.23409949299999999</v>
      </c>
      <c r="R4455" t="str">
        <f t="shared" si="179"/>
        <v>mmol/mol</v>
      </c>
      <c r="S4455" s="13">
        <f t="shared" si="176"/>
        <v>-1.1165788999999999</v>
      </c>
    </row>
    <row r="4456" spans="1:19">
      <c r="A4456" s="18" t="s">
        <v>4106</v>
      </c>
      <c r="B4456" s="1" t="s">
        <v>4623</v>
      </c>
      <c r="C4456" s="1" t="s">
        <v>5058</v>
      </c>
      <c r="D4456" s="1" t="s">
        <v>5062</v>
      </c>
      <c r="E4456" s="1" t="s">
        <v>25</v>
      </c>
      <c r="F4456">
        <v>580</v>
      </c>
      <c r="G4456">
        <v>580</v>
      </c>
      <c r="H4456">
        <v>57</v>
      </c>
      <c r="I4456" s="1" t="s">
        <v>1528</v>
      </c>
      <c r="J4456" s="1" t="s">
        <v>1491</v>
      </c>
      <c r="K4456" s="1" t="s">
        <v>25</v>
      </c>
      <c r="L4456">
        <v>-1.0335392000000001</v>
      </c>
      <c r="M4456" t="str">
        <f t="shared" si="177"/>
        <v>44/40</v>
      </c>
      <c r="N4456" t="str">
        <f t="shared" si="178"/>
        <v>SW</v>
      </c>
      <c r="O4456" s="1" t="s">
        <v>25</v>
      </c>
      <c r="P4456" s="3" t="s">
        <v>25</v>
      </c>
      <c r="Q4456" s="37">
        <v>0.25611722199999998</v>
      </c>
      <c r="R4456" t="str">
        <f t="shared" si="179"/>
        <v>mmol/mol</v>
      </c>
      <c r="S4456" s="13">
        <f t="shared" si="176"/>
        <v>-1.0335392000000001</v>
      </c>
    </row>
    <row r="4457" spans="1:19">
      <c r="A4457" s="18" t="s">
        <v>4106</v>
      </c>
      <c r="B4457" s="1" t="s">
        <v>4624</v>
      </c>
      <c r="C4457" s="1" t="s">
        <v>5058</v>
      </c>
      <c r="D4457" s="1" t="s">
        <v>5062</v>
      </c>
      <c r="E4457" s="1" t="s">
        <v>25</v>
      </c>
      <c r="F4457">
        <v>580</v>
      </c>
      <c r="G4457">
        <v>580</v>
      </c>
      <c r="H4457">
        <v>58</v>
      </c>
      <c r="I4457" s="1" t="s">
        <v>1528</v>
      </c>
      <c r="J4457" s="1" t="s">
        <v>1491</v>
      </c>
      <c r="K4457" s="1" t="s">
        <v>25</v>
      </c>
      <c r="L4457">
        <v>-1.1018315000000001</v>
      </c>
      <c r="M4457" t="str">
        <f t="shared" si="177"/>
        <v>44/40</v>
      </c>
      <c r="N4457" t="str">
        <f t="shared" si="178"/>
        <v>SW</v>
      </c>
      <c r="O4457" s="1" t="s">
        <v>25</v>
      </c>
      <c r="P4457" s="3" t="s">
        <v>25</v>
      </c>
      <c r="Q4457" s="37">
        <v>0.243039275</v>
      </c>
      <c r="R4457" t="str">
        <f t="shared" si="179"/>
        <v>mmol/mol</v>
      </c>
      <c r="S4457" s="13">
        <f t="shared" si="176"/>
        <v>-1.1018315000000001</v>
      </c>
    </row>
    <row r="4458" spans="1:19">
      <c r="A4458" s="18" t="s">
        <v>4106</v>
      </c>
      <c r="B4458" s="1" t="s">
        <v>4625</v>
      </c>
      <c r="C4458" s="1" t="s">
        <v>5058</v>
      </c>
      <c r="D4458" s="1" t="s">
        <v>5062</v>
      </c>
      <c r="E4458" s="1" t="s">
        <v>25</v>
      </c>
      <c r="F4458">
        <v>580</v>
      </c>
      <c r="G4458">
        <v>580</v>
      </c>
      <c r="H4458">
        <v>59</v>
      </c>
      <c r="I4458" s="1" t="s">
        <v>1528</v>
      </c>
      <c r="J4458" s="1" t="s">
        <v>1491</v>
      </c>
      <c r="K4458" s="1" t="s">
        <v>25</v>
      </c>
      <c r="L4458">
        <v>-1.0771432000000001</v>
      </c>
      <c r="M4458" t="str">
        <f t="shared" si="177"/>
        <v>44/40</v>
      </c>
      <c r="N4458" t="str">
        <f t="shared" si="178"/>
        <v>SW</v>
      </c>
      <c r="O4458" s="1" t="s">
        <v>25</v>
      </c>
      <c r="P4458" s="3" t="s">
        <v>25</v>
      </c>
      <c r="Q4458" s="37">
        <v>0.15659310400000001</v>
      </c>
      <c r="R4458" t="str">
        <f t="shared" si="179"/>
        <v>mmol/mol</v>
      </c>
      <c r="S4458" s="13">
        <f t="shared" si="176"/>
        <v>-1.0771432000000001</v>
      </c>
    </row>
    <row r="4459" spans="1:19">
      <c r="A4459" s="18" t="s">
        <v>4106</v>
      </c>
      <c r="B4459" s="1" t="s">
        <v>4626</v>
      </c>
      <c r="C4459" s="1" t="s">
        <v>5058</v>
      </c>
      <c r="D4459" s="1" t="s">
        <v>5062</v>
      </c>
      <c r="E4459" s="1" t="s">
        <v>25</v>
      </c>
      <c r="F4459">
        <v>580</v>
      </c>
      <c r="G4459">
        <v>580</v>
      </c>
      <c r="H4459">
        <v>60</v>
      </c>
      <c r="I4459" s="1" t="s">
        <v>1528</v>
      </c>
      <c r="J4459" s="1" t="s">
        <v>1491</v>
      </c>
      <c r="K4459" s="1" t="s">
        <v>25</v>
      </c>
      <c r="L4459">
        <v>-1.2197743000000001</v>
      </c>
      <c r="M4459" t="str">
        <f t="shared" si="177"/>
        <v>44/40</v>
      </c>
      <c r="N4459" t="str">
        <f t="shared" si="178"/>
        <v>SW</v>
      </c>
      <c r="O4459" s="1" t="s">
        <v>25</v>
      </c>
      <c r="P4459" s="3" t="s">
        <v>25</v>
      </c>
      <c r="Q4459" s="37">
        <v>0.174167871</v>
      </c>
      <c r="R4459" t="str">
        <f t="shared" si="179"/>
        <v>mmol/mol</v>
      </c>
      <c r="S4459" s="13">
        <f t="shared" si="176"/>
        <v>-1.2197743000000001</v>
      </c>
    </row>
    <row r="4460" spans="1:19">
      <c r="A4460" s="18" t="s">
        <v>4106</v>
      </c>
      <c r="B4460" s="1" t="s">
        <v>4627</v>
      </c>
      <c r="C4460" s="1" t="s">
        <v>5058</v>
      </c>
      <c r="D4460" s="1" t="s">
        <v>5062</v>
      </c>
      <c r="E4460" s="1" t="s">
        <v>25</v>
      </c>
      <c r="F4460">
        <v>580</v>
      </c>
      <c r="G4460">
        <v>580</v>
      </c>
      <c r="H4460">
        <v>61</v>
      </c>
      <c r="I4460" s="1" t="s">
        <v>1528</v>
      </c>
      <c r="J4460" s="1" t="s">
        <v>1491</v>
      </c>
      <c r="K4460" s="1" t="s">
        <v>25</v>
      </c>
      <c r="L4460">
        <v>-1.1993917999999999</v>
      </c>
      <c r="M4460" t="str">
        <f t="shared" si="177"/>
        <v>44/40</v>
      </c>
      <c r="N4460" t="str">
        <f t="shared" si="178"/>
        <v>SW</v>
      </c>
      <c r="O4460" s="1" t="s">
        <v>25</v>
      </c>
      <c r="P4460" s="3" t="s">
        <v>25</v>
      </c>
      <c r="Q4460" s="37">
        <v>0.22034414499999999</v>
      </c>
      <c r="R4460" t="str">
        <f t="shared" si="179"/>
        <v>mmol/mol</v>
      </c>
      <c r="S4460" s="13">
        <f t="shared" ref="S4460:S4523" si="180">IF(NOT(N4460="SW"),L4460-1.88,L4460)</f>
        <v>-1.1993917999999999</v>
      </c>
    </row>
    <row r="4461" spans="1:19">
      <c r="A4461" s="18" t="s">
        <v>4106</v>
      </c>
      <c r="B4461" s="1" t="s">
        <v>4628</v>
      </c>
      <c r="C4461" s="1" t="s">
        <v>5058</v>
      </c>
      <c r="D4461" s="1" t="s">
        <v>5062</v>
      </c>
      <c r="E4461" s="1" t="s">
        <v>25</v>
      </c>
      <c r="F4461">
        <v>580</v>
      </c>
      <c r="G4461">
        <v>580</v>
      </c>
      <c r="H4461">
        <v>62</v>
      </c>
      <c r="I4461" s="1" t="s">
        <v>1528</v>
      </c>
      <c r="J4461" s="1" t="s">
        <v>1491</v>
      </c>
      <c r="K4461" s="1" t="s">
        <v>25</v>
      </c>
      <c r="L4461" t="s">
        <v>25</v>
      </c>
      <c r="M4461" t="str">
        <f t="shared" si="177"/>
        <v>Na</v>
      </c>
      <c r="N4461" t="str">
        <f t="shared" si="178"/>
        <v>Na</v>
      </c>
      <c r="O4461" s="1" t="s">
        <v>25</v>
      </c>
      <c r="P4461" s="3" t="s">
        <v>25</v>
      </c>
      <c r="Q4461" s="37">
        <v>0.232066313</v>
      </c>
      <c r="R4461" t="str">
        <f t="shared" si="179"/>
        <v>mmol/mol</v>
      </c>
      <c r="S4461" s="13" t="s">
        <v>25</v>
      </c>
    </row>
    <row r="4462" spans="1:19">
      <c r="A4462" s="18" t="s">
        <v>4106</v>
      </c>
      <c r="B4462" s="1" t="s">
        <v>4629</v>
      </c>
      <c r="C4462" s="1" t="s">
        <v>5058</v>
      </c>
      <c r="D4462" s="1" t="s">
        <v>5062</v>
      </c>
      <c r="E4462" s="1" t="s">
        <v>25</v>
      </c>
      <c r="F4462">
        <v>580</v>
      </c>
      <c r="G4462">
        <v>580</v>
      </c>
      <c r="H4462">
        <v>63</v>
      </c>
      <c r="I4462" s="1" t="s">
        <v>1528</v>
      </c>
      <c r="J4462" s="1" t="s">
        <v>1491</v>
      </c>
      <c r="K4462" s="1" t="s">
        <v>25</v>
      </c>
      <c r="L4462" t="s">
        <v>25</v>
      </c>
      <c r="M4462" t="str">
        <f t="shared" si="177"/>
        <v>Na</v>
      </c>
      <c r="N4462" t="str">
        <f t="shared" si="178"/>
        <v>Na</v>
      </c>
      <c r="O4462" s="1" t="s">
        <v>25</v>
      </c>
      <c r="P4462" s="3" t="s">
        <v>25</v>
      </c>
      <c r="Q4462" s="37">
        <v>0.23177504099999999</v>
      </c>
      <c r="R4462" t="str">
        <f t="shared" si="179"/>
        <v>mmol/mol</v>
      </c>
      <c r="S4462" s="13" t="s">
        <v>25</v>
      </c>
    </row>
    <row r="4463" spans="1:19">
      <c r="A4463" s="18" t="s">
        <v>4106</v>
      </c>
      <c r="B4463" s="1" t="s">
        <v>4630</v>
      </c>
      <c r="C4463" s="1" t="s">
        <v>5058</v>
      </c>
      <c r="D4463" s="1" t="s">
        <v>5062</v>
      </c>
      <c r="E4463" s="1" t="s">
        <v>25</v>
      </c>
      <c r="F4463">
        <v>580</v>
      </c>
      <c r="G4463">
        <v>580</v>
      </c>
      <c r="H4463">
        <v>64</v>
      </c>
      <c r="I4463" s="1" t="s">
        <v>1528</v>
      </c>
      <c r="J4463" s="1" t="s">
        <v>1491</v>
      </c>
      <c r="K4463" s="1" t="s">
        <v>25</v>
      </c>
      <c r="L4463" t="s">
        <v>25</v>
      </c>
      <c r="M4463" t="str">
        <f t="shared" si="177"/>
        <v>Na</v>
      </c>
      <c r="N4463" t="str">
        <f t="shared" si="178"/>
        <v>Na</v>
      </c>
      <c r="O4463" s="1" t="s">
        <v>25</v>
      </c>
      <c r="P4463" s="3" t="s">
        <v>25</v>
      </c>
      <c r="Q4463" s="37">
        <v>0.18593969399999999</v>
      </c>
      <c r="R4463" t="str">
        <f t="shared" si="179"/>
        <v>mmol/mol</v>
      </c>
      <c r="S4463" s="13" t="s">
        <v>25</v>
      </c>
    </row>
    <row r="4464" spans="1:19">
      <c r="A4464" s="18" t="s">
        <v>4106</v>
      </c>
      <c r="B4464" s="1" t="s">
        <v>4631</v>
      </c>
      <c r="C4464" s="1" t="s">
        <v>5058</v>
      </c>
      <c r="D4464" s="1" t="s">
        <v>5062</v>
      </c>
      <c r="E4464" s="1" t="s">
        <v>25</v>
      </c>
      <c r="F4464">
        <v>580</v>
      </c>
      <c r="G4464">
        <v>580</v>
      </c>
      <c r="H4464">
        <v>65</v>
      </c>
      <c r="I4464" s="1" t="s">
        <v>1528</v>
      </c>
      <c r="J4464" s="1" t="s">
        <v>1491</v>
      </c>
      <c r="K4464" s="1" t="s">
        <v>25</v>
      </c>
      <c r="L4464">
        <v>-1.249566</v>
      </c>
      <c r="M4464" t="str">
        <f t="shared" ref="M4464:M4527" si="181">IF(L4464="Na","Na","44/40")</f>
        <v>44/40</v>
      </c>
      <c r="N4464" t="str">
        <f t="shared" ref="N4464:N4527" si="182">IF(M4464="Na","Na","SW")</f>
        <v>SW</v>
      </c>
      <c r="O4464" s="1" t="s">
        <v>25</v>
      </c>
      <c r="P4464" s="3" t="s">
        <v>25</v>
      </c>
      <c r="Q4464" s="37">
        <v>0.173523187</v>
      </c>
      <c r="R4464" t="str">
        <f t="shared" si="179"/>
        <v>mmol/mol</v>
      </c>
      <c r="S4464" s="13">
        <f t="shared" si="180"/>
        <v>-1.249566</v>
      </c>
    </row>
    <row r="4465" spans="1:19">
      <c r="A4465" s="18" t="s">
        <v>4106</v>
      </c>
      <c r="B4465" s="1" t="s">
        <v>4632</v>
      </c>
      <c r="C4465" s="1" t="s">
        <v>5058</v>
      </c>
      <c r="D4465" s="1" t="s">
        <v>5062</v>
      </c>
      <c r="E4465" s="1" t="s">
        <v>25</v>
      </c>
      <c r="F4465">
        <v>580</v>
      </c>
      <c r="G4465">
        <v>580</v>
      </c>
      <c r="H4465">
        <v>66</v>
      </c>
      <c r="I4465" s="1" t="s">
        <v>1528</v>
      </c>
      <c r="J4465" s="1" t="s">
        <v>1491</v>
      </c>
      <c r="K4465" s="1" t="s">
        <v>25</v>
      </c>
      <c r="L4465">
        <v>-1.0922533000000001</v>
      </c>
      <c r="M4465" t="str">
        <f t="shared" si="181"/>
        <v>44/40</v>
      </c>
      <c r="N4465" t="str">
        <f t="shared" si="182"/>
        <v>SW</v>
      </c>
      <c r="O4465" s="1" t="s">
        <v>25</v>
      </c>
      <c r="P4465" s="3" t="s">
        <v>25</v>
      </c>
      <c r="Q4465" s="37">
        <v>0.17370344600000001</v>
      </c>
      <c r="R4465" t="str">
        <f t="shared" si="179"/>
        <v>mmol/mol</v>
      </c>
      <c r="S4465" s="13">
        <f t="shared" si="180"/>
        <v>-1.0922533000000001</v>
      </c>
    </row>
    <row r="4466" spans="1:19">
      <c r="A4466" s="18" t="s">
        <v>4106</v>
      </c>
      <c r="B4466" s="1" t="s">
        <v>4633</v>
      </c>
      <c r="C4466" s="1" t="s">
        <v>5058</v>
      </c>
      <c r="D4466" s="1" t="s">
        <v>5062</v>
      </c>
      <c r="E4466" s="1" t="s">
        <v>25</v>
      </c>
      <c r="F4466">
        <v>580</v>
      </c>
      <c r="G4466">
        <v>580</v>
      </c>
      <c r="H4466">
        <v>67</v>
      </c>
      <c r="I4466" s="1" t="s">
        <v>1528</v>
      </c>
      <c r="J4466" s="1" t="s">
        <v>1491</v>
      </c>
      <c r="K4466" s="1" t="s">
        <v>25</v>
      </c>
      <c r="L4466">
        <v>-1.0189581999999999</v>
      </c>
      <c r="M4466" t="str">
        <f t="shared" si="181"/>
        <v>44/40</v>
      </c>
      <c r="N4466" t="str">
        <f t="shared" si="182"/>
        <v>SW</v>
      </c>
      <c r="O4466" s="1" t="s">
        <v>25</v>
      </c>
      <c r="P4466" s="3" t="s">
        <v>25</v>
      </c>
      <c r="Q4466" s="37">
        <v>0.18242941300000001</v>
      </c>
      <c r="R4466" t="str">
        <f t="shared" si="179"/>
        <v>mmol/mol</v>
      </c>
      <c r="S4466" s="13">
        <f t="shared" si="180"/>
        <v>-1.0189581999999999</v>
      </c>
    </row>
    <row r="4467" spans="1:19">
      <c r="A4467" s="18" t="s">
        <v>4106</v>
      </c>
      <c r="B4467" s="1" t="s">
        <v>4634</v>
      </c>
      <c r="C4467" s="1" t="s">
        <v>5058</v>
      </c>
      <c r="D4467" s="1" t="s">
        <v>5062</v>
      </c>
      <c r="E4467" s="1" t="s">
        <v>25</v>
      </c>
      <c r="F4467">
        <v>580</v>
      </c>
      <c r="G4467">
        <v>580</v>
      </c>
      <c r="H4467">
        <v>68.2</v>
      </c>
      <c r="I4467" s="1" t="s">
        <v>1528</v>
      </c>
      <c r="J4467" s="1" t="s">
        <v>1491</v>
      </c>
      <c r="K4467" s="1" t="s">
        <v>25</v>
      </c>
      <c r="L4467">
        <v>-1.105545</v>
      </c>
      <c r="M4467" t="str">
        <f t="shared" si="181"/>
        <v>44/40</v>
      </c>
      <c r="N4467" t="str">
        <f t="shared" si="182"/>
        <v>SW</v>
      </c>
      <c r="O4467" s="1" t="s">
        <v>25</v>
      </c>
      <c r="P4467" s="3" t="s">
        <v>25</v>
      </c>
      <c r="Q4467" s="37">
        <v>0.18638807800000001</v>
      </c>
      <c r="R4467" t="str">
        <f t="shared" si="179"/>
        <v>mmol/mol</v>
      </c>
      <c r="S4467" s="13">
        <f t="shared" si="180"/>
        <v>-1.105545</v>
      </c>
    </row>
    <row r="4468" spans="1:19">
      <c r="A4468" s="18" t="s">
        <v>4106</v>
      </c>
      <c r="B4468" s="1" t="s">
        <v>4635</v>
      </c>
      <c r="C4468" s="1" t="s">
        <v>5058</v>
      </c>
      <c r="D4468" s="1" t="s">
        <v>5062</v>
      </c>
      <c r="E4468" s="1" t="s">
        <v>25</v>
      </c>
      <c r="F4468">
        <v>580</v>
      </c>
      <c r="G4468">
        <v>580</v>
      </c>
      <c r="H4468">
        <v>69</v>
      </c>
      <c r="I4468" s="1" t="s">
        <v>1528</v>
      </c>
      <c r="J4468" s="1" t="s">
        <v>1491</v>
      </c>
      <c r="K4468" s="1" t="s">
        <v>25</v>
      </c>
      <c r="L4468">
        <v>-1.1625749999999999</v>
      </c>
      <c r="M4468" t="str">
        <f t="shared" si="181"/>
        <v>44/40</v>
      </c>
      <c r="N4468" t="str">
        <f t="shared" si="182"/>
        <v>SW</v>
      </c>
      <c r="O4468" s="1" t="s">
        <v>25</v>
      </c>
      <c r="P4468" s="3" t="s">
        <v>25</v>
      </c>
      <c r="Q4468" s="37">
        <v>0.16847933400000001</v>
      </c>
      <c r="R4468" t="str">
        <f t="shared" si="179"/>
        <v>mmol/mol</v>
      </c>
      <c r="S4468" s="13">
        <f t="shared" si="180"/>
        <v>-1.1625749999999999</v>
      </c>
    </row>
    <row r="4469" spans="1:19">
      <c r="A4469" s="18" t="s">
        <v>4106</v>
      </c>
      <c r="B4469" s="1" t="s">
        <v>4636</v>
      </c>
      <c r="C4469" s="1" t="s">
        <v>5058</v>
      </c>
      <c r="D4469" s="1" t="s">
        <v>5062</v>
      </c>
      <c r="E4469" s="1" t="s">
        <v>25</v>
      </c>
      <c r="F4469">
        <v>580</v>
      </c>
      <c r="G4469">
        <v>580</v>
      </c>
      <c r="H4469">
        <v>72</v>
      </c>
      <c r="I4469" s="1" t="s">
        <v>1528</v>
      </c>
      <c r="J4469" s="1" t="s">
        <v>1491</v>
      </c>
      <c r="K4469" s="1" t="s">
        <v>25</v>
      </c>
      <c r="L4469">
        <v>-1.0579638</v>
      </c>
      <c r="M4469" t="str">
        <f t="shared" si="181"/>
        <v>44/40</v>
      </c>
      <c r="N4469" t="str">
        <f t="shared" si="182"/>
        <v>SW</v>
      </c>
      <c r="O4469" s="1" t="s">
        <v>25</v>
      </c>
      <c r="P4469" s="3" t="s">
        <v>25</v>
      </c>
      <c r="Q4469" s="37">
        <v>0.213888043</v>
      </c>
      <c r="R4469" t="str">
        <f t="shared" si="179"/>
        <v>mmol/mol</v>
      </c>
      <c r="S4469" s="13">
        <f t="shared" si="180"/>
        <v>-1.0579638</v>
      </c>
    </row>
    <row r="4470" spans="1:19">
      <c r="A4470" s="18" t="s">
        <v>4106</v>
      </c>
      <c r="B4470" s="1" t="s">
        <v>4637</v>
      </c>
      <c r="C4470" s="1" t="s">
        <v>5058</v>
      </c>
      <c r="D4470" s="1" t="s">
        <v>5062</v>
      </c>
      <c r="E4470" s="1" t="s">
        <v>25</v>
      </c>
      <c r="F4470">
        <v>580</v>
      </c>
      <c r="G4470">
        <v>580</v>
      </c>
      <c r="H4470">
        <v>73</v>
      </c>
      <c r="I4470" s="1" t="s">
        <v>1528</v>
      </c>
      <c r="J4470" s="1" t="s">
        <v>1491</v>
      </c>
      <c r="K4470" s="1" t="s">
        <v>25</v>
      </c>
      <c r="L4470">
        <v>-1.1559412</v>
      </c>
      <c r="M4470" t="str">
        <f t="shared" si="181"/>
        <v>44/40</v>
      </c>
      <c r="N4470" t="str">
        <f t="shared" si="182"/>
        <v>SW</v>
      </c>
      <c r="O4470" s="1" t="s">
        <v>25</v>
      </c>
      <c r="P4470" s="3" t="s">
        <v>25</v>
      </c>
      <c r="Q4470" s="37">
        <v>0.17332320600000001</v>
      </c>
      <c r="R4470" t="str">
        <f t="shared" si="179"/>
        <v>mmol/mol</v>
      </c>
      <c r="S4470" s="13">
        <f t="shared" si="180"/>
        <v>-1.1559412</v>
      </c>
    </row>
    <row r="4471" spans="1:19">
      <c r="A4471" s="18" t="s">
        <v>4106</v>
      </c>
      <c r="B4471" s="1" t="s">
        <v>4638</v>
      </c>
      <c r="C4471" s="1" t="s">
        <v>5058</v>
      </c>
      <c r="D4471" s="1" t="s">
        <v>5062</v>
      </c>
      <c r="E4471" s="1" t="s">
        <v>25</v>
      </c>
      <c r="F4471">
        <v>580</v>
      </c>
      <c r="G4471">
        <v>580</v>
      </c>
      <c r="H4471">
        <v>74</v>
      </c>
      <c r="I4471" s="1" t="s">
        <v>1528</v>
      </c>
      <c r="J4471" s="1" t="s">
        <v>1491</v>
      </c>
      <c r="K4471" s="1" t="s">
        <v>25</v>
      </c>
      <c r="L4471">
        <v>-1.0947507000000001</v>
      </c>
      <c r="M4471" t="str">
        <f t="shared" si="181"/>
        <v>44/40</v>
      </c>
      <c r="N4471" t="str">
        <f t="shared" si="182"/>
        <v>SW</v>
      </c>
      <c r="O4471" s="1" t="s">
        <v>25</v>
      </c>
      <c r="P4471" s="3" t="s">
        <v>25</v>
      </c>
      <c r="Q4471" s="37" t="s">
        <v>25</v>
      </c>
      <c r="R4471" t="str">
        <f t="shared" si="179"/>
        <v>Na</v>
      </c>
      <c r="S4471" s="13">
        <f t="shared" si="180"/>
        <v>-1.0947507000000001</v>
      </c>
    </row>
    <row r="4472" spans="1:19">
      <c r="A4472" s="18" t="s">
        <v>4106</v>
      </c>
      <c r="B4472" s="1" t="s">
        <v>4639</v>
      </c>
      <c r="C4472" s="1" t="s">
        <v>5058</v>
      </c>
      <c r="D4472" s="1" t="s">
        <v>5062</v>
      </c>
      <c r="E4472" s="1" t="s">
        <v>25</v>
      </c>
      <c r="F4472">
        <v>580</v>
      </c>
      <c r="G4472">
        <v>580</v>
      </c>
      <c r="H4472">
        <v>75</v>
      </c>
      <c r="I4472" s="1" t="s">
        <v>1528</v>
      </c>
      <c r="J4472" s="1" t="s">
        <v>1491</v>
      </c>
      <c r="K4472" s="1" t="s">
        <v>25</v>
      </c>
      <c r="L4472">
        <v>-1.2520917</v>
      </c>
      <c r="M4472" t="str">
        <f t="shared" si="181"/>
        <v>44/40</v>
      </c>
      <c r="N4472" t="str">
        <f t="shared" si="182"/>
        <v>SW</v>
      </c>
      <c r="O4472" s="1" t="s">
        <v>25</v>
      </c>
      <c r="P4472" s="3" t="s">
        <v>25</v>
      </c>
      <c r="Q4472" s="37">
        <v>0.152892796</v>
      </c>
      <c r="R4472" t="str">
        <f t="shared" si="179"/>
        <v>mmol/mol</v>
      </c>
      <c r="S4472" s="13">
        <f t="shared" si="180"/>
        <v>-1.2520917</v>
      </c>
    </row>
    <row r="4473" spans="1:19">
      <c r="A4473" s="18" t="s">
        <v>4106</v>
      </c>
      <c r="B4473" s="1" t="s">
        <v>4640</v>
      </c>
      <c r="C4473" s="1" t="s">
        <v>5058</v>
      </c>
      <c r="D4473" s="1" t="s">
        <v>5062</v>
      </c>
      <c r="E4473" s="1" t="s">
        <v>25</v>
      </c>
      <c r="F4473">
        <v>580</v>
      </c>
      <c r="G4473">
        <v>580</v>
      </c>
      <c r="H4473">
        <v>76</v>
      </c>
      <c r="I4473" s="1" t="s">
        <v>1528</v>
      </c>
      <c r="J4473" s="1" t="s">
        <v>1491</v>
      </c>
      <c r="K4473" s="1" t="s">
        <v>25</v>
      </c>
      <c r="L4473">
        <v>-1.0898802999999999</v>
      </c>
      <c r="M4473" t="str">
        <f t="shared" si="181"/>
        <v>44/40</v>
      </c>
      <c r="N4473" t="str">
        <f t="shared" si="182"/>
        <v>SW</v>
      </c>
      <c r="O4473" s="1" t="s">
        <v>25</v>
      </c>
      <c r="P4473" s="3" t="s">
        <v>25</v>
      </c>
      <c r="Q4473" s="37">
        <v>0.195300521</v>
      </c>
      <c r="R4473" t="str">
        <f t="shared" si="179"/>
        <v>mmol/mol</v>
      </c>
      <c r="S4473" s="13">
        <f t="shared" si="180"/>
        <v>-1.0898802999999999</v>
      </c>
    </row>
    <row r="4474" spans="1:19">
      <c r="A4474" s="18" t="s">
        <v>4106</v>
      </c>
      <c r="B4474" s="1" t="s">
        <v>4641</v>
      </c>
      <c r="C4474" s="1" t="s">
        <v>5058</v>
      </c>
      <c r="D4474" s="1" t="s">
        <v>5062</v>
      </c>
      <c r="E4474" s="1" t="s">
        <v>25</v>
      </c>
      <c r="F4474">
        <v>580</v>
      </c>
      <c r="G4474">
        <v>580</v>
      </c>
      <c r="H4474">
        <v>78</v>
      </c>
      <c r="I4474" s="1" t="s">
        <v>1528</v>
      </c>
      <c r="J4474" s="1" t="s">
        <v>1491</v>
      </c>
      <c r="K4474" s="1" t="s">
        <v>25</v>
      </c>
      <c r="L4474">
        <v>-1.1484662000000001</v>
      </c>
      <c r="M4474" t="str">
        <f t="shared" si="181"/>
        <v>44/40</v>
      </c>
      <c r="N4474" t="str">
        <f t="shared" si="182"/>
        <v>SW</v>
      </c>
      <c r="O4474" s="1" t="s">
        <v>25</v>
      </c>
      <c r="P4474" s="3" t="s">
        <v>25</v>
      </c>
      <c r="Q4474" s="37">
        <v>0.18585326799999999</v>
      </c>
      <c r="R4474" t="str">
        <f t="shared" si="179"/>
        <v>mmol/mol</v>
      </c>
      <c r="S4474" s="13">
        <f t="shared" si="180"/>
        <v>-1.1484662000000001</v>
      </c>
    </row>
    <row r="4475" spans="1:19">
      <c r="A4475" s="18" t="s">
        <v>4106</v>
      </c>
      <c r="B4475" s="1" t="s">
        <v>4642</v>
      </c>
      <c r="C4475" s="1" t="s">
        <v>5058</v>
      </c>
      <c r="D4475" s="1" t="s">
        <v>5062</v>
      </c>
      <c r="E4475" s="1" t="s">
        <v>25</v>
      </c>
      <c r="F4475">
        <v>580</v>
      </c>
      <c r="G4475">
        <v>580</v>
      </c>
      <c r="H4475">
        <v>79</v>
      </c>
      <c r="I4475" s="1" t="s">
        <v>1528</v>
      </c>
      <c r="J4475" s="1" t="s">
        <v>1491</v>
      </c>
      <c r="K4475" s="1" t="s">
        <v>25</v>
      </c>
      <c r="L4475">
        <v>-1.2374282000000001</v>
      </c>
      <c r="M4475" t="str">
        <f t="shared" si="181"/>
        <v>44/40</v>
      </c>
      <c r="N4475" t="str">
        <f t="shared" si="182"/>
        <v>SW</v>
      </c>
      <c r="O4475" s="1" t="s">
        <v>25</v>
      </c>
      <c r="P4475" s="3" t="s">
        <v>25</v>
      </c>
      <c r="Q4475" s="37">
        <v>0.24445185</v>
      </c>
      <c r="R4475" t="str">
        <f t="shared" si="179"/>
        <v>mmol/mol</v>
      </c>
      <c r="S4475" s="13">
        <f t="shared" si="180"/>
        <v>-1.2374282000000001</v>
      </c>
    </row>
    <row r="4476" spans="1:19">
      <c r="A4476" s="18" t="s">
        <v>4106</v>
      </c>
      <c r="B4476" s="1" t="s">
        <v>4643</v>
      </c>
      <c r="C4476" s="1" t="s">
        <v>5058</v>
      </c>
      <c r="D4476" s="1" t="s">
        <v>5062</v>
      </c>
      <c r="E4476" s="1" t="s">
        <v>25</v>
      </c>
      <c r="F4476">
        <v>580</v>
      </c>
      <c r="G4476">
        <v>580</v>
      </c>
      <c r="H4476">
        <v>80</v>
      </c>
      <c r="I4476" s="1" t="s">
        <v>1528</v>
      </c>
      <c r="J4476" s="1" t="s">
        <v>1491</v>
      </c>
      <c r="K4476" s="1" t="s">
        <v>25</v>
      </c>
      <c r="L4476">
        <v>-1.1152302000000001</v>
      </c>
      <c r="M4476" t="str">
        <f t="shared" si="181"/>
        <v>44/40</v>
      </c>
      <c r="N4476" t="str">
        <f t="shared" si="182"/>
        <v>SW</v>
      </c>
      <c r="O4476" s="1" t="s">
        <v>25</v>
      </c>
      <c r="P4476" s="3" t="s">
        <v>25</v>
      </c>
      <c r="Q4476" s="37">
        <v>0.12737917000000001</v>
      </c>
      <c r="R4476" t="str">
        <f t="shared" si="179"/>
        <v>mmol/mol</v>
      </c>
      <c r="S4476" s="13">
        <f t="shared" si="180"/>
        <v>-1.1152302000000001</v>
      </c>
    </row>
    <row r="4477" spans="1:19">
      <c r="A4477" s="18" t="s">
        <v>4106</v>
      </c>
      <c r="B4477" s="1" t="s">
        <v>4644</v>
      </c>
      <c r="C4477" s="1" t="s">
        <v>5058</v>
      </c>
      <c r="D4477" s="1" t="s">
        <v>5062</v>
      </c>
      <c r="E4477" s="1" t="s">
        <v>25</v>
      </c>
      <c r="F4477">
        <v>580</v>
      </c>
      <c r="G4477">
        <v>580</v>
      </c>
      <c r="H4477">
        <v>81.8</v>
      </c>
      <c r="I4477" s="1" t="s">
        <v>1528</v>
      </c>
      <c r="J4477" s="1" t="s">
        <v>1491</v>
      </c>
      <c r="K4477" s="1" t="s">
        <v>25</v>
      </c>
      <c r="L4477">
        <v>-1.2710773</v>
      </c>
      <c r="M4477" t="str">
        <f t="shared" si="181"/>
        <v>44/40</v>
      </c>
      <c r="N4477" t="str">
        <f t="shared" si="182"/>
        <v>SW</v>
      </c>
      <c r="O4477" s="1" t="s">
        <v>25</v>
      </c>
      <c r="P4477" s="3" t="s">
        <v>25</v>
      </c>
      <c r="Q4477" s="37">
        <v>0.163721269</v>
      </c>
      <c r="R4477" t="str">
        <f t="shared" si="179"/>
        <v>mmol/mol</v>
      </c>
      <c r="S4477" s="13">
        <f t="shared" si="180"/>
        <v>-1.2710773</v>
      </c>
    </row>
    <row r="4478" spans="1:19">
      <c r="A4478" s="18" t="s">
        <v>4106</v>
      </c>
      <c r="B4478" s="1" t="s">
        <v>4645</v>
      </c>
      <c r="C4478" s="1" t="s">
        <v>5058</v>
      </c>
      <c r="D4478" s="1" t="s">
        <v>5062</v>
      </c>
      <c r="E4478" s="1" t="s">
        <v>25</v>
      </c>
      <c r="F4478">
        <v>580</v>
      </c>
      <c r="G4478">
        <v>580</v>
      </c>
      <c r="H4478">
        <v>83</v>
      </c>
      <c r="I4478" s="1" t="s">
        <v>1528</v>
      </c>
      <c r="J4478" s="1" t="s">
        <v>1491</v>
      </c>
      <c r="K4478" s="1" t="s">
        <v>25</v>
      </c>
      <c r="L4478" t="s">
        <v>25</v>
      </c>
      <c r="M4478" t="str">
        <f t="shared" si="181"/>
        <v>Na</v>
      </c>
      <c r="N4478" t="str">
        <f t="shared" si="182"/>
        <v>Na</v>
      </c>
      <c r="O4478" s="1" t="s">
        <v>25</v>
      </c>
      <c r="P4478" s="3" t="s">
        <v>25</v>
      </c>
      <c r="Q4478" s="37">
        <v>0.15037061400000001</v>
      </c>
      <c r="R4478" t="str">
        <f t="shared" si="179"/>
        <v>mmol/mol</v>
      </c>
      <c r="S4478" s="13" t="s">
        <v>25</v>
      </c>
    </row>
    <row r="4479" spans="1:19">
      <c r="A4479" s="18" t="s">
        <v>4106</v>
      </c>
      <c r="B4479" s="1" t="s">
        <v>4646</v>
      </c>
      <c r="C4479" s="1" t="s">
        <v>5058</v>
      </c>
      <c r="D4479" s="1" t="s">
        <v>5062</v>
      </c>
      <c r="E4479" s="1" t="s">
        <v>25</v>
      </c>
      <c r="F4479">
        <v>580</v>
      </c>
      <c r="G4479">
        <v>580</v>
      </c>
      <c r="H4479">
        <v>84</v>
      </c>
      <c r="I4479" s="1" t="s">
        <v>1528</v>
      </c>
      <c r="J4479" s="1" t="s">
        <v>1491</v>
      </c>
      <c r="K4479" s="1" t="s">
        <v>25</v>
      </c>
      <c r="L4479" t="s">
        <v>25</v>
      </c>
      <c r="M4479" t="str">
        <f t="shared" si="181"/>
        <v>Na</v>
      </c>
      <c r="N4479" t="str">
        <f t="shared" si="182"/>
        <v>Na</v>
      </c>
      <c r="O4479" s="1" t="s">
        <v>25</v>
      </c>
      <c r="P4479" s="3" t="s">
        <v>25</v>
      </c>
      <c r="Q4479" s="37">
        <v>0.12124011699999999</v>
      </c>
      <c r="R4479" t="str">
        <f t="shared" si="179"/>
        <v>mmol/mol</v>
      </c>
      <c r="S4479" s="13" t="s">
        <v>25</v>
      </c>
    </row>
    <row r="4480" spans="1:19">
      <c r="A4480" s="18" t="s">
        <v>4106</v>
      </c>
      <c r="B4480" s="1" t="s">
        <v>4647</v>
      </c>
      <c r="C4480" s="1" t="s">
        <v>5058</v>
      </c>
      <c r="D4480" s="1" t="s">
        <v>5062</v>
      </c>
      <c r="E4480" s="1" t="s">
        <v>25</v>
      </c>
      <c r="F4480">
        <v>580</v>
      </c>
      <c r="G4480">
        <v>580</v>
      </c>
      <c r="H4480">
        <v>85</v>
      </c>
      <c r="I4480" s="1" t="s">
        <v>1528</v>
      </c>
      <c r="J4480" s="1" t="s">
        <v>1491</v>
      </c>
      <c r="K4480" s="1" t="s">
        <v>25</v>
      </c>
      <c r="L4480">
        <v>-1.0994965999999999</v>
      </c>
      <c r="M4480" t="str">
        <f t="shared" si="181"/>
        <v>44/40</v>
      </c>
      <c r="N4480" t="str">
        <f t="shared" si="182"/>
        <v>SW</v>
      </c>
      <c r="O4480" s="1" t="s">
        <v>25</v>
      </c>
      <c r="P4480" s="3" t="s">
        <v>25</v>
      </c>
      <c r="Q4480" s="37">
        <v>0.18407389800000001</v>
      </c>
      <c r="R4480" t="str">
        <f t="shared" si="179"/>
        <v>mmol/mol</v>
      </c>
      <c r="S4480" s="13">
        <f t="shared" si="180"/>
        <v>-1.0994965999999999</v>
      </c>
    </row>
    <row r="4481" spans="1:19">
      <c r="A4481" s="18" t="s">
        <v>4106</v>
      </c>
      <c r="B4481" s="1" t="s">
        <v>4648</v>
      </c>
      <c r="C4481" s="1" t="s">
        <v>5058</v>
      </c>
      <c r="D4481" s="1" t="s">
        <v>5062</v>
      </c>
      <c r="E4481" s="1" t="s">
        <v>25</v>
      </c>
      <c r="F4481">
        <v>580</v>
      </c>
      <c r="G4481">
        <v>580</v>
      </c>
      <c r="H4481">
        <v>8</v>
      </c>
      <c r="I4481" s="1" t="s">
        <v>1528</v>
      </c>
      <c r="J4481" s="1" t="s">
        <v>1336</v>
      </c>
      <c r="K4481" s="1" t="s">
        <v>25</v>
      </c>
      <c r="L4481">
        <v>-1.7225268</v>
      </c>
      <c r="M4481" t="str">
        <f t="shared" si="181"/>
        <v>44/40</v>
      </c>
      <c r="N4481" t="str">
        <f t="shared" si="182"/>
        <v>SW</v>
      </c>
      <c r="O4481" s="1" t="s">
        <v>25</v>
      </c>
      <c r="P4481" s="3" t="s">
        <v>25</v>
      </c>
      <c r="Q4481" s="37">
        <v>1.4891029689999999</v>
      </c>
      <c r="R4481" t="str">
        <f t="shared" si="179"/>
        <v>mmol/mol</v>
      </c>
      <c r="S4481" s="13">
        <f t="shared" si="180"/>
        <v>-1.7225268</v>
      </c>
    </row>
    <row r="4482" spans="1:19">
      <c r="A4482" s="18" t="s">
        <v>4106</v>
      </c>
      <c r="B4482" s="1" t="s">
        <v>4649</v>
      </c>
      <c r="C4482" s="1" t="s">
        <v>5058</v>
      </c>
      <c r="D4482" s="1" t="s">
        <v>5062</v>
      </c>
      <c r="E4482" s="1" t="s">
        <v>25</v>
      </c>
      <c r="F4482">
        <v>580</v>
      </c>
      <c r="G4482">
        <v>580</v>
      </c>
      <c r="H4482">
        <v>10.9</v>
      </c>
      <c r="I4482" s="1" t="s">
        <v>1528</v>
      </c>
      <c r="J4482" s="1" t="s">
        <v>1336</v>
      </c>
      <c r="K4482" s="1" t="s">
        <v>25</v>
      </c>
      <c r="L4482" t="s">
        <v>25</v>
      </c>
      <c r="M4482" t="str">
        <f t="shared" si="181"/>
        <v>Na</v>
      </c>
      <c r="N4482" t="str">
        <f t="shared" si="182"/>
        <v>Na</v>
      </c>
      <c r="O4482" s="1" t="s">
        <v>25</v>
      </c>
      <c r="P4482" s="3" t="s">
        <v>25</v>
      </c>
      <c r="Q4482" s="37" t="s">
        <v>25</v>
      </c>
      <c r="R4482" t="str">
        <f t="shared" si="179"/>
        <v>Na</v>
      </c>
      <c r="S4482" s="13" t="s">
        <v>25</v>
      </c>
    </row>
    <row r="4483" spans="1:19">
      <c r="A4483" s="18" t="s">
        <v>4106</v>
      </c>
      <c r="B4483" s="1" t="s">
        <v>4650</v>
      </c>
      <c r="C4483" s="1" t="s">
        <v>5058</v>
      </c>
      <c r="D4483" s="1" t="s">
        <v>5062</v>
      </c>
      <c r="E4483" s="1" t="s">
        <v>25</v>
      </c>
      <c r="F4483">
        <v>580</v>
      </c>
      <c r="G4483">
        <v>580</v>
      </c>
      <c r="H4483">
        <v>12.9</v>
      </c>
      <c r="I4483" s="1" t="s">
        <v>1528</v>
      </c>
      <c r="J4483" s="1" t="s">
        <v>1336</v>
      </c>
      <c r="K4483" s="1" t="s">
        <v>25</v>
      </c>
      <c r="L4483">
        <v>-1.29</v>
      </c>
      <c r="M4483" t="str">
        <f t="shared" si="181"/>
        <v>44/40</v>
      </c>
      <c r="N4483" t="str">
        <f t="shared" si="182"/>
        <v>SW</v>
      </c>
      <c r="O4483" s="1" t="s">
        <v>25</v>
      </c>
      <c r="P4483" s="3" t="s">
        <v>25</v>
      </c>
      <c r="Q4483" s="37">
        <v>1.6241091139999999</v>
      </c>
      <c r="R4483" t="str">
        <f t="shared" si="179"/>
        <v>mmol/mol</v>
      </c>
      <c r="S4483" s="13">
        <f t="shared" si="180"/>
        <v>-1.29</v>
      </c>
    </row>
    <row r="4484" spans="1:19">
      <c r="A4484" s="18" t="s">
        <v>4106</v>
      </c>
      <c r="B4484" s="1" t="s">
        <v>4651</v>
      </c>
      <c r="C4484" s="1" t="s">
        <v>5058</v>
      </c>
      <c r="D4484" s="1" t="s">
        <v>5062</v>
      </c>
      <c r="E4484" s="1" t="s">
        <v>25</v>
      </c>
      <c r="F4484">
        <v>580</v>
      </c>
      <c r="G4484">
        <v>580</v>
      </c>
      <c r="H4484">
        <v>14.2</v>
      </c>
      <c r="I4484" s="1" t="s">
        <v>1528</v>
      </c>
      <c r="J4484" s="1" t="s">
        <v>1336</v>
      </c>
      <c r="K4484" s="1" t="s">
        <v>25</v>
      </c>
      <c r="L4484" t="s">
        <v>25</v>
      </c>
      <c r="M4484" t="str">
        <f t="shared" si="181"/>
        <v>Na</v>
      </c>
      <c r="N4484" t="str">
        <f t="shared" si="182"/>
        <v>Na</v>
      </c>
      <c r="O4484" s="1" t="s">
        <v>25</v>
      </c>
      <c r="P4484" s="3" t="s">
        <v>25</v>
      </c>
      <c r="Q4484" s="37" t="s">
        <v>25</v>
      </c>
      <c r="R4484" t="str">
        <f t="shared" si="179"/>
        <v>Na</v>
      </c>
      <c r="S4484" s="13" t="s">
        <v>25</v>
      </c>
    </row>
    <row r="4485" spans="1:19">
      <c r="A4485" s="18" t="s">
        <v>4106</v>
      </c>
      <c r="B4485" s="1" t="s">
        <v>4652</v>
      </c>
      <c r="C4485" s="1" t="s">
        <v>5058</v>
      </c>
      <c r="D4485" s="1" t="s">
        <v>5062</v>
      </c>
      <c r="E4485" s="1" t="s">
        <v>25</v>
      </c>
      <c r="F4485">
        <v>580</v>
      </c>
      <c r="G4485">
        <v>580</v>
      </c>
      <c r="H4485">
        <v>16.399999999999999</v>
      </c>
      <c r="I4485" s="1" t="s">
        <v>1528</v>
      </c>
      <c r="J4485" s="1" t="s">
        <v>1336</v>
      </c>
      <c r="K4485" s="1" t="s">
        <v>25</v>
      </c>
      <c r="L4485">
        <v>-1.5243884999999999</v>
      </c>
      <c r="M4485" t="str">
        <f t="shared" si="181"/>
        <v>44/40</v>
      </c>
      <c r="N4485" t="str">
        <f t="shared" si="182"/>
        <v>SW</v>
      </c>
      <c r="O4485" s="1" t="s">
        <v>25</v>
      </c>
      <c r="P4485" s="3" t="s">
        <v>25</v>
      </c>
      <c r="Q4485" s="37">
        <v>1.547894112</v>
      </c>
      <c r="R4485" t="str">
        <f t="shared" si="179"/>
        <v>mmol/mol</v>
      </c>
      <c r="S4485" s="13">
        <f t="shared" si="180"/>
        <v>-1.5243884999999999</v>
      </c>
    </row>
    <row r="4486" spans="1:19">
      <c r="A4486" s="18" t="s">
        <v>4106</v>
      </c>
      <c r="B4486" s="1" t="s">
        <v>4653</v>
      </c>
      <c r="C4486" s="1" t="s">
        <v>5058</v>
      </c>
      <c r="D4486" s="1" t="s">
        <v>5062</v>
      </c>
      <c r="E4486" s="1" t="s">
        <v>25</v>
      </c>
      <c r="F4486">
        <v>580</v>
      </c>
      <c r="G4486">
        <v>580</v>
      </c>
      <c r="H4486">
        <v>18.5</v>
      </c>
      <c r="I4486" s="1" t="s">
        <v>1528</v>
      </c>
      <c r="J4486" s="1" t="s">
        <v>1336</v>
      </c>
      <c r="K4486" s="1" t="s">
        <v>25</v>
      </c>
      <c r="L4486" t="s">
        <v>25</v>
      </c>
      <c r="M4486" t="str">
        <f t="shared" si="181"/>
        <v>Na</v>
      </c>
      <c r="N4486" t="str">
        <f t="shared" si="182"/>
        <v>Na</v>
      </c>
      <c r="O4486" s="1" t="s">
        <v>25</v>
      </c>
      <c r="P4486" s="3" t="s">
        <v>25</v>
      </c>
      <c r="Q4486" s="37" t="s">
        <v>25</v>
      </c>
      <c r="R4486" t="str">
        <f t="shared" si="179"/>
        <v>Na</v>
      </c>
      <c r="S4486" s="13" t="s">
        <v>25</v>
      </c>
    </row>
    <row r="4487" spans="1:19">
      <c r="A4487" s="18" t="s">
        <v>4106</v>
      </c>
      <c r="B4487" s="1" t="s">
        <v>4654</v>
      </c>
      <c r="C4487" s="1" t="s">
        <v>5058</v>
      </c>
      <c r="D4487" s="1" t="s">
        <v>5062</v>
      </c>
      <c r="E4487" s="1" t="s">
        <v>25</v>
      </c>
      <c r="F4487">
        <v>580</v>
      </c>
      <c r="G4487">
        <v>580</v>
      </c>
      <c r="H4487">
        <v>19.899999999999999</v>
      </c>
      <c r="I4487" s="1" t="s">
        <v>1528</v>
      </c>
      <c r="J4487" s="1" t="s">
        <v>1336</v>
      </c>
      <c r="K4487" s="1" t="s">
        <v>25</v>
      </c>
      <c r="L4487">
        <v>-1.7792334000000001</v>
      </c>
      <c r="M4487" t="str">
        <f t="shared" si="181"/>
        <v>44/40</v>
      </c>
      <c r="N4487" t="str">
        <f t="shared" si="182"/>
        <v>SW</v>
      </c>
      <c r="O4487" s="1" t="s">
        <v>25</v>
      </c>
      <c r="P4487" s="3" t="s">
        <v>25</v>
      </c>
      <c r="Q4487" s="37">
        <v>1.8899778949999999</v>
      </c>
      <c r="R4487" t="str">
        <f t="shared" si="179"/>
        <v>mmol/mol</v>
      </c>
      <c r="S4487" s="13">
        <f t="shared" si="180"/>
        <v>-1.7792334000000001</v>
      </c>
    </row>
    <row r="4488" spans="1:19">
      <c r="A4488" s="18" t="s">
        <v>4106</v>
      </c>
      <c r="B4488" s="1" t="s">
        <v>4655</v>
      </c>
      <c r="C4488" s="1" t="s">
        <v>5058</v>
      </c>
      <c r="D4488" s="1" t="s">
        <v>5062</v>
      </c>
      <c r="E4488" s="1" t="s">
        <v>25</v>
      </c>
      <c r="F4488">
        <v>580</v>
      </c>
      <c r="G4488">
        <v>580</v>
      </c>
      <c r="H4488">
        <v>21.9</v>
      </c>
      <c r="I4488" s="1" t="s">
        <v>1528</v>
      </c>
      <c r="J4488" s="1" t="s">
        <v>1336</v>
      </c>
      <c r="K4488" s="1" t="s">
        <v>25</v>
      </c>
      <c r="L4488" t="s">
        <v>25</v>
      </c>
      <c r="M4488" t="str">
        <f t="shared" si="181"/>
        <v>Na</v>
      </c>
      <c r="N4488" t="str">
        <f t="shared" si="182"/>
        <v>Na</v>
      </c>
      <c r="O4488" s="1" t="s">
        <v>25</v>
      </c>
      <c r="P4488" s="3" t="s">
        <v>25</v>
      </c>
      <c r="Q4488" s="37" t="s">
        <v>25</v>
      </c>
      <c r="R4488" t="str">
        <f t="shared" si="179"/>
        <v>Na</v>
      </c>
      <c r="S4488" s="13" t="s">
        <v>25</v>
      </c>
    </row>
    <row r="4489" spans="1:19">
      <c r="A4489" s="18" t="s">
        <v>4106</v>
      </c>
      <c r="B4489" s="1" t="s">
        <v>4656</v>
      </c>
      <c r="C4489" s="1" t="s">
        <v>5058</v>
      </c>
      <c r="D4489" s="1" t="s">
        <v>5062</v>
      </c>
      <c r="E4489" s="1" t="s">
        <v>25</v>
      </c>
      <c r="F4489">
        <v>580</v>
      </c>
      <c r="G4489">
        <v>580</v>
      </c>
      <c r="H4489">
        <v>24</v>
      </c>
      <c r="I4489" s="1" t="s">
        <v>1528</v>
      </c>
      <c r="J4489" s="1" t="s">
        <v>1336</v>
      </c>
      <c r="K4489" s="1" t="s">
        <v>25</v>
      </c>
      <c r="L4489">
        <v>-1.8646033</v>
      </c>
      <c r="M4489" t="str">
        <f t="shared" si="181"/>
        <v>44/40</v>
      </c>
      <c r="N4489" t="str">
        <f t="shared" si="182"/>
        <v>SW</v>
      </c>
      <c r="O4489" s="1" t="s">
        <v>25</v>
      </c>
      <c r="P4489" s="3" t="s">
        <v>25</v>
      </c>
      <c r="Q4489" s="37">
        <v>1.675910878</v>
      </c>
      <c r="R4489" t="str">
        <f t="shared" si="179"/>
        <v>mmol/mol</v>
      </c>
      <c r="S4489" s="13">
        <f t="shared" si="180"/>
        <v>-1.8646033</v>
      </c>
    </row>
    <row r="4490" spans="1:19">
      <c r="A4490" s="18" t="s">
        <v>4106</v>
      </c>
      <c r="B4490" s="1" t="s">
        <v>4657</v>
      </c>
      <c r="C4490" s="1" t="s">
        <v>5058</v>
      </c>
      <c r="D4490" s="1" t="s">
        <v>5062</v>
      </c>
      <c r="E4490" s="1" t="s">
        <v>25</v>
      </c>
      <c r="F4490">
        <v>580</v>
      </c>
      <c r="G4490">
        <v>580</v>
      </c>
      <c r="H4490">
        <v>26</v>
      </c>
      <c r="I4490" s="1" t="s">
        <v>1528</v>
      </c>
      <c r="J4490" s="1" t="s">
        <v>1336</v>
      </c>
      <c r="K4490" s="1" t="s">
        <v>25</v>
      </c>
      <c r="L4490">
        <v>-1.6684705</v>
      </c>
      <c r="M4490" t="str">
        <f t="shared" si="181"/>
        <v>44/40</v>
      </c>
      <c r="N4490" t="str">
        <f t="shared" si="182"/>
        <v>SW</v>
      </c>
      <c r="O4490" s="1" t="s">
        <v>25</v>
      </c>
      <c r="P4490" s="3" t="s">
        <v>25</v>
      </c>
      <c r="Q4490" s="37">
        <v>1.467421367</v>
      </c>
      <c r="R4490" t="str">
        <f t="shared" si="179"/>
        <v>mmol/mol</v>
      </c>
      <c r="S4490" s="13">
        <f t="shared" si="180"/>
        <v>-1.6684705</v>
      </c>
    </row>
    <row r="4491" spans="1:19">
      <c r="A4491" s="18" t="s">
        <v>4106</v>
      </c>
      <c r="B4491" s="1" t="s">
        <v>4658</v>
      </c>
      <c r="C4491" s="1" t="s">
        <v>5058</v>
      </c>
      <c r="D4491" s="1" t="s">
        <v>5062</v>
      </c>
      <c r="E4491" s="1" t="s">
        <v>25</v>
      </c>
      <c r="F4491">
        <v>580</v>
      </c>
      <c r="G4491">
        <v>580</v>
      </c>
      <c r="H4491">
        <v>28.8</v>
      </c>
      <c r="I4491" s="1" t="s">
        <v>1528</v>
      </c>
      <c r="J4491" s="1" t="s">
        <v>1336</v>
      </c>
      <c r="K4491" s="1" t="s">
        <v>25</v>
      </c>
      <c r="L4491">
        <v>-1.6652578</v>
      </c>
      <c r="M4491" t="str">
        <f t="shared" si="181"/>
        <v>44/40</v>
      </c>
      <c r="N4491" t="str">
        <f t="shared" si="182"/>
        <v>SW</v>
      </c>
      <c r="O4491" s="1" t="s">
        <v>25</v>
      </c>
      <c r="P4491" s="3" t="s">
        <v>25</v>
      </c>
      <c r="Q4491" s="37">
        <v>1.4743427600000001</v>
      </c>
      <c r="R4491" t="str">
        <f t="shared" si="179"/>
        <v>mmol/mol</v>
      </c>
      <c r="S4491" s="13">
        <f t="shared" si="180"/>
        <v>-1.6652578</v>
      </c>
    </row>
    <row r="4492" spans="1:19">
      <c r="A4492" s="18" t="s">
        <v>4106</v>
      </c>
      <c r="B4492" s="1" t="s">
        <v>4659</v>
      </c>
      <c r="C4492" s="1" t="s">
        <v>5058</v>
      </c>
      <c r="D4492" s="1" t="s">
        <v>5062</v>
      </c>
      <c r="E4492" s="1" t="s">
        <v>25</v>
      </c>
      <c r="F4492">
        <v>580</v>
      </c>
      <c r="G4492">
        <v>580</v>
      </c>
      <c r="H4492">
        <v>30</v>
      </c>
      <c r="I4492" s="1" t="s">
        <v>1528</v>
      </c>
      <c r="J4492" s="1" t="s">
        <v>1336</v>
      </c>
      <c r="K4492" s="1" t="s">
        <v>25</v>
      </c>
      <c r="L4492" t="s">
        <v>25</v>
      </c>
      <c r="M4492" t="str">
        <f t="shared" si="181"/>
        <v>Na</v>
      </c>
      <c r="N4492" t="str">
        <f t="shared" si="182"/>
        <v>Na</v>
      </c>
      <c r="O4492" s="1" t="s">
        <v>25</v>
      </c>
      <c r="P4492" s="3" t="s">
        <v>25</v>
      </c>
      <c r="Q4492" s="37" t="s">
        <v>25</v>
      </c>
      <c r="R4492" t="str">
        <f t="shared" si="179"/>
        <v>Na</v>
      </c>
      <c r="S4492" s="13" t="s">
        <v>25</v>
      </c>
    </row>
    <row r="4493" spans="1:19">
      <c r="A4493" s="18" t="s">
        <v>4106</v>
      </c>
      <c r="B4493" s="1" t="s">
        <v>4660</v>
      </c>
      <c r="C4493" s="1" t="s">
        <v>5058</v>
      </c>
      <c r="D4493" s="1" t="s">
        <v>5062</v>
      </c>
      <c r="E4493" s="1" t="s">
        <v>25</v>
      </c>
      <c r="F4493">
        <v>580</v>
      </c>
      <c r="G4493">
        <v>580</v>
      </c>
      <c r="H4493">
        <v>32</v>
      </c>
      <c r="I4493" s="1" t="s">
        <v>1528</v>
      </c>
      <c r="J4493" s="1" t="s">
        <v>1336</v>
      </c>
      <c r="K4493" s="1" t="s">
        <v>25</v>
      </c>
      <c r="L4493">
        <v>-1.5395036</v>
      </c>
      <c r="M4493" t="str">
        <f t="shared" si="181"/>
        <v>44/40</v>
      </c>
      <c r="N4493" t="str">
        <f t="shared" si="182"/>
        <v>SW</v>
      </c>
      <c r="O4493" s="1" t="s">
        <v>25</v>
      </c>
      <c r="P4493" s="3" t="s">
        <v>25</v>
      </c>
      <c r="Q4493" s="37">
        <v>1.11843172</v>
      </c>
      <c r="R4493" t="str">
        <f t="shared" si="179"/>
        <v>mmol/mol</v>
      </c>
      <c r="S4493" s="13">
        <f t="shared" si="180"/>
        <v>-1.5395036</v>
      </c>
    </row>
    <row r="4494" spans="1:19">
      <c r="A4494" s="18" t="s">
        <v>4106</v>
      </c>
      <c r="B4494" s="1" t="s">
        <v>4661</v>
      </c>
      <c r="C4494" s="1" t="s">
        <v>5058</v>
      </c>
      <c r="D4494" s="1" t="s">
        <v>5062</v>
      </c>
      <c r="E4494" s="1" t="s">
        <v>25</v>
      </c>
      <c r="F4494">
        <v>580</v>
      </c>
      <c r="G4494">
        <v>580</v>
      </c>
      <c r="H4494">
        <v>34.1</v>
      </c>
      <c r="I4494" s="1" t="s">
        <v>1528</v>
      </c>
      <c r="J4494" s="1" t="s">
        <v>1336</v>
      </c>
      <c r="K4494" s="1" t="s">
        <v>25</v>
      </c>
      <c r="L4494">
        <v>-1.8289933</v>
      </c>
      <c r="M4494" t="str">
        <f t="shared" si="181"/>
        <v>44/40</v>
      </c>
      <c r="N4494" t="str">
        <f t="shared" si="182"/>
        <v>SW</v>
      </c>
      <c r="O4494" s="1" t="s">
        <v>25</v>
      </c>
      <c r="P4494" s="3" t="s">
        <v>25</v>
      </c>
      <c r="Q4494" s="37">
        <v>1.599547909</v>
      </c>
      <c r="R4494" t="str">
        <f t="shared" si="179"/>
        <v>mmol/mol</v>
      </c>
      <c r="S4494" s="13">
        <f t="shared" si="180"/>
        <v>-1.8289933</v>
      </c>
    </row>
    <row r="4495" spans="1:19">
      <c r="A4495" s="18" t="s">
        <v>4106</v>
      </c>
      <c r="B4495" s="1" t="s">
        <v>4662</v>
      </c>
      <c r="C4495" s="1" t="s">
        <v>5058</v>
      </c>
      <c r="D4495" s="1" t="s">
        <v>5062</v>
      </c>
      <c r="E4495" s="1" t="s">
        <v>25</v>
      </c>
      <c r="F4495">
        <v>580</v>
      </c>
      <c r="G4495">
        <v>580</v>
      </c>
      <c r="H4495">
        <v>35.9</v>
      </c>
      <c r="I4495" s="1" t="s">
        <v>1528</v>
      </c>
      <c r="J4495" s="1" t="s">
        <v>1336</v>
      </c>
      <c r="K4495" s="1" t="s">
        <v>25</v>
      </c>
      <c r="L4495" t="s">
        <v>25</v>
      </c>
      <c r="M4495" t="str">
        <f t="shared" si="181"/>
        <v>Na</v>
      </c>
      <c r="N4495" t="str">
        <f t="shared" si="182"/>
        <v>Na</v>
      </c>
      <c r="O4495" s="1" t="s">
        <v>25</v>
      </c>
      <c r="P4495" s="3" t="s">
        <v>25</v>
      </c>
      <c r="Q4495" s="37" t="s">
        <v>25</v>
      </c>
      <c r="R4495" t="str">
        <f t="shared" si="179"/>
        <v>Na</v>
      </c>
      <c r="S4495" s="13" t="s">
        <v>25</v>
      </c>
    </row>
    <row r="4496" spans="1:19">
      <c r="A4496" s="18" t="s">
        <v>4106</v>
      </c>
      <c r="B4496" s="1" t="s">
        <v>4663</v>
      </c>
      <c r="C4496" s="1" t="s">
        <v>5058</v>
      </c>
      <c r="D4496" s="1" t="s">
        <v>5062</v>
      </c>
      <c r="E4496" s="1" t="s">
        <v>25</v>
      </c>
      <c r="F4496">
        <v>580</v>
      </c>
      <c r="G4496">
        <v>580</v>
      </c>
      <c r="H4496">
        <v>38</v>
      </c>
      <c r="I4496" s="1" t="s">
        <v>1528</v>
      </c>
      <c r="J4496" s="1" t="s">
        <v>1336</v>
      </c>
      <c r="K4496" s="1" t="s">
        <v>25</v>
      </c>
      <c r="L4496">
        <v>-1.38</v>
      </c>
      <c r="M4496" t="str">
        <f t="shared" si="181"/>
        <v>44/40</v>
      </c>
      <c r="N4496" t="str">
        <f t="shared" si="182"/>
        <v>SW</v>
      </c>
      <c r="O4496" s="1" t="s">
        <v>25</v>
      </c>
      <c r="P4496" s="3" t="s">
        <v>25</v>
      </c>
      <c r="Q4496" s="37">
        <v>2.0270006440000001</v>
      </c>
      <c r="R4496" t="str">
        <f t="shared" si="179"/>
        <v>mmol/mol</v>
      </c>
      <c r="S4496" s="13">
        <f t="shared" si="180"/>
        <v>-1.38</v>
      </c>
    </row>
    <row r="4497" spans="1:19">
      <c r="A4497" s="18" t="s">
        <v>4106</v>
      </c>
      <c r="B4497" s="1" t="s">
        <v>4664</v>
      </c>
      <c r="C4497" s="1" t="s">
        <v>5058</v>
      </c>
      <c r="D4497" s="1" t="s">
        <v>5062</v>
      </c>
      <c r="E4497" s="1" t="s">
        <v>25</v>
      </c>
      <c r="F4497">
        <v>580</v>
      </c>
      <c r="G4497">
        <v>580</v>
      </c>
      <c r="H4497">
        <v>40</v>
      </c>
      <c r="I4497" s="1" t="s">
        <v>1528</v>
      </c>
      <c r="J4497" s="1" t="s">
        <v>1336</v>
      </c>
      <c r="K4497" s="1" t="s">
        <v>25</v>
      </c>
      <c r="L4497" t="s">
        <v>25</v>
      </c>
      <c r="M4497" t="str">
        <f t="shared" si="181"/>
        <v>Na</v>
      </c>
      <c r="N4497" t="str">
        <f t="shared" si="182"/>
        <v>Na</v>
      </c>
      <c r="O4497" s="1" t="s">
        <v>25</v>
      </c>
      <c r="P4497" s="3" t="s">
        <v>25</v>
      </c>
      <c r="Q4497" s="37" t="s">
        <v>25</v>
      </c>
      <c r="R4497" t="str">
        <f t="shared" si="179"/>
        <v>Na</v>
      </c>
      <c r="S4497" s="13" t="s">
        <v>25</v>
      </c>
    </row>
    <row r="4498" spans="1:19">
      <c r="A4498" s="18" t="s">
        <v>4106</v>
      </c>
      <c r="B4498" s="1" t="s">
        <v>4665</v>
      </c>
      <c r="C4498" s="1" t="s">
        <v>5058</v>
      </c>
      <c r="D4498" s="1" t="s">
        <v>5062</v>
      </c>
      <c r="E4498" s="1" t="s">
        <v>25</v>
      </c>
      <c r="F4498">
        <v>580</v>
      </c>
      <c r="G4498">
        <v>580</v>
      </c>
      <c r="H4498">
        <v>42</v>
      </c>
      <c r="I4498" s="1" t="s">
        <v>1528</v>
      </c>
      <c r="J4498" s="1" t="s">
        <v>1336</v>
      </c>
      <c r="K4498" s="1" t="s">
        <v>25</v>
      </c>
      <c r="L4498">
        <v>-1.36</v>
      </c>
      <c r="M4498" t="str">
        <f t="shared" si="181"/>
        <v>44/40</v>
      </c>
      <c r="N4498" t="str">
        <f t="shared" si="182"/>
        <v>SW</v>
      </c>
      <c r="O4498" s="1" t="s">
        <v>25</v>
      </c>
      <c r="P4498" s="3" t="s">
        <v>25</v>
      </c>
      <c r="Q4498" s="37">
        <v>1.434485716</v>
      </c>
      <c r="R4498" t="str">
        <f t="shared" si="179"/>
        <v>mmol/mol</v>
      </c>
      <c r="S4498" s="13">
        <f t="shared" si="180"/>
        <v>-1.36</v>
      </c>
    </row>
    <row r="4499" spans="1:19">
      <c r="A4499" s="18" t="s">
        <v>4106</v>
      </c>
      <c r="B4499" s="1" t="s">
        <v>4666</v>
      </c>
      <c r="C4499" s="1" t="s">
        <v>5058</v>
      </c>
      <c r="D4499" s="1" t="s">
        <v>5062</v>
      </c>
      <c r="E4499" s="1" t="s">
        <v>25</v>
      </c>
      <c r="F4499">
        <v>580</v>
      </c>
      <c r="G4499">
        <v>580</v>
      </c>
      <c r="H4499">
        <v>44</v>
      </c>
      <c r="I4499" s="1" t="s">
        <v>1528</v>
      </c>
      <c r="J4499" s="1" t="s">
        <v>1336</v>
      </c>
      <c r="K4499" s="1" t="s">
        <v>25</v>
      </c>
      <c r="L4499" t="s">
        <v>25</v>
      </c>
      <c r="M4499" t="str">
        <f t="shared" si="181"/>
        <v>Na</v>
      </c>
      <c r="N4499" t="str">
        <f t="shared" si="182"/>
        <v>Na</v>
      </c>
      <c r="O4499" s="1" t="s">
        <v>25</v>
      </c>
      <c r="P4499" s="3" t="s">
        <v>25</v>
      </c>
      <c r="Q4499" s="37" t="s">
        <v>25</v>
      </c>
      <c r="R4499" t="str">
        <f t="shared" si="179"/>
        <v>Na</v>
      </c>
      <c r="S4499" s="13" t="s">
        <v>25</v>
      </c>
    </row>
    <row r="4500" spans="1:19">
      <c r="A4500" s="18" t="s">
        <v>4106</v>
      </c>
      <c r="B4500" s="1" t="s">
        <v>4667</v>
      </c>
      <c r="C4500" s="1" t="s">
        <v>5058</v>
      </c>
      <c r="D4500" s="1" t="s">
        <v>5062</v>
      </c>
      <c r="E4500" s="1" t="s">
        <v>25</v>
      </c>
      <c r="F4500">
        <v>580</v>
      </c>
      <c r="G4500">
        <v>580</v>
      </c>
      <c r="H4500">
        <v>46</v>
      </c>
      <c r="I4500" s="1" t="s">
        <v>1528</v>
      </c>
      <c r="J4500" s="1" t="s">
        <v>1336</v>
      </c>
      <c r="K4500" s="1" t="s">
        <v>25</v>
      </c>
      <c r="L4500">
        <v>-1.6735244</v>
      </c>
      <c r="M4500" t="str">
        <f t="shared" si="181"/>
        <v>44/40</v>
      </c>
      <c r="N4500" t="str">
        <f t="shared" si="182"/>
        <v>SW</v>
      </c>
      <c r="O4500" s="1" t="s">
        <v>25</v>
      </c>
      <c r="P4500" s="3" t="s">
        <v>25</v>
      </c>
      <c r="Q4500" s="37">
        <v>1.1125376339999999</v>
      </c>
      <c r="R4500" t="str">
        <f t="shared" si="179"/>
        <v>mmol/mol</v>
      </c>
      <c r="S4500" s="13">
        <f t="shared" si="180"/>
        <v>-1.6735244</v>
      </c>
    </row>
    <row r="4501" spans="1:19">
      <c r="A4501" s="18" t="s">
        <v>4106</v>
      </c>
      <c r="B4501" s="1" t="s">
        <v>4668</v>
      </c>
      <c r="C4501" s="1" t="s">
        <v>5058</v>
      </c>
      <c r="D4501" s="1" t="s">
        <v>5062</v>
      </c>
      <c r="E4501" s="1" t="s">
        <v>25</v>
      </c>
      <c r="F4501">
        <v>580</v>
      </c>
      <c r="G4501">
        <v>580</v>
      </c>
      <c r="H4501">
        <v>48</v>
      </c>
      <c r="I4501" s="1" t="s">
        <v>1528</v>
      </c>
      <c r="J4501" s="1" t="s">
        <v>1336</v>
      </c>
      <c r="K4501" s="1" t="s">
        <v>25</v>
      </c>
      <c r="L4501">
        <v>-1.513037</v>
      </c>
      <c r="M4501" t="str">
        <f t="shared" si="181"/>
        <v>44/40</v>
      </c>
      <c r="N4501" t="str">
        <f t="shared" si="182"/>
        <v>SW</v>
      </c>
      <c r="O4501" s="1" t="s">
        <v>25</v>
      </c>
      <c r="P4501" s="3" t="s">
        <v>25</v>
      </c>
      <c r="Q4501" s="37">
        <v>1.3973257750000001</v>
      </c>
      <c r="R4501" t="str">
        <f t="shared" si="179"/>
        <v>mmol/mol</v>
      </c>
      <c r="S4501" s="13">
        <f t="shared" si="180"/>
        <v>-1.513037</v>
      </c>
    </row>
    <row r="4502" spans="1:19">
      <c r="A4502" s="18" t="s">
        <v>4106</v>
      </c>
      <c r="B4502" s="1" t="s">
        <v>4669</v>
      </c>
      <c r="C4502" s="1" t="s">
        <v>5058</v>
      </c>
      <c r="D4502" s="1" t="s">
        <v>5062</v>
      </c>
      <c r="E4502" s="1" t="s">
        <v>25</v>
      </c>
      <c r="F4502">
        <v>580</v>
      </c>
      <c r="G4502">
        <v>580</v>
      </c>
      <c r="H4502">
        <v>50</v>
      </c>
      <c r="I4502" s="1" t="s">
        <v>1528</v>
      </c>
      <c r="J4502" s="1" t="s">
        <v>1336</v>
      </c>
      <c r="K4502" s="1" t="s">
        <v>25</v>
      </c>
      <c r="L4502" t="s">
        <v>25</v>
      </c>
      <c r="M4502" t="str">
        <f t="shared" si="181"/>
        <v>Na</v>
      </c>
      <c r="N4502" t="str">
        <f t="shared" si="182"/>
        <v>Na</v>
      </c>
      <c r="O4502" s="1" t="s">
        <v>25</v>
      </c>
      <c r="P4502" s="3" t="s">
        <v>25</v>
      </c>
      <c r="Q4502" s="37" t="s">
        <v>25</v>
      </c>
      <c r="R4502" t="str">
        <f t="shared" si="179"/>
        <v>Na</v>
      </c>
      <c r="S4502" s="13" t="s">
        <v>25</v>
      </c>
    </row>
    <row r="4503" spans="1:19">
      <c r="A4503" s="18" t="s">
        <v>4106</v>
      </c>
      <c r="B4503" s="1" t="s">
        <v>4670</v>
      </c>
      <c r="C4503" s="1" t="s">
        <v>5058</v>
      </c>
      <c r="D4503" s="1" t="s">
        <v>5062</v>
      </c>
      <c r="E4503" s="1" t="s">
        <v>25</v>
      </c>
      <c r="F4503">
        <v>580</v>
      </c>
      <c r="G4503">
        <v>580</v>
      </c>
      <c r="H4503">
        <v>52</v>
      </c>
      <c r="I4503" s="1" t="s">
        <v>1528</v>
      </c>
      <c r="J4503" s="1" t="s">
        <v>1336</v>
      </c>
      <c r="K4503" s="1" t="s">
        <v>25</v>
      </c>
      <c r="L4503">
        <v>-1.5988567</v>
      </c>
      <c r="M4503" t="str">
        <f t="shared" si="181"/>
        <v>44/40</v>
      </c>
      <c r="N4503" t="str">
        <f t="shared" si="182"/>
        <v>SW</v>
      </c>
      <c r="O4503" s="1" t="s">
        <v>25</v>
      </c>
      <c r="P4503" s="3" t="s">
        <v>25</v>
      </c>
      <c r="Q4503" s="37">
        <v>1.52885169</v>
      </c>
      <c r="R4503" t="str">
        <f t="shared" si="179"/>
        <v>mmol/mol</v>
      </c>
      <c r="S4503" s="13">
        <f t="shared" si="180"/>
        <v>-1.5988567</v>
      </c>
    </row>
    <row r="4504" spans="1:19">
      <c r="A4504" s="18" t="s">
        <v>4106</v>
      </c>
      <c r="B4504" s="1" t="s">
        <v>4671</v>
      </c>
      <c r="C4504" s="1" t="s">
        <v>5058</v>
      </c>
      <c r="D4504" s="1" t="s">
        <v>5062</v>
      </c>
      <c r="E4504" s="1" t="s">
        <v>25</v>
      </c>
      <c r="F4504">
        <v>580</v>
      </c>
      <c r="G4504">
        <v>580</v>
      </c>
      <c r="H4504">
        <v>54</v>
      </c>
      <c r="I4504" s="1" t="s">
        <v>1528</v>
      </c>
      <c r="J4504" s="1" t="s">
        <v>1336</v>
      </c>
      <c r="K4504" s="1" t="s">
        <v>25</v>
      </c>
      <c r="L4504" t="s">
        <v>25</v>
      </c>
      <c r="M4504" t="str">
        <f t="shared" si="181"/>
        <v>Na</v>
      </c>
      <c r="N4504" t="str">
        <f t="shared" si="182"/>
        <v>Na</v>
      </c>
      <c r="O4504" s="1" t="s">
        <v>25</v>
      </c>
      <c r="P4504" s="3" t="s">
        <v>25</v>
      </c>
      <c r="Q4504" s="37" t="s">
        <v>25</v>
      </c>
      <c r="R4504" t="str">
        <f t="shared" si="179"/>
        <v>Na</v>
      </c>
      <c r="S4504" s="13" t="s">
        <v>25</v>
      </c>
    </row>
    <row r="4505" spans="1:19">
      <c r="A4505" s="18" t="s">
        <v>4106</v>
      </c>
      <c r="B4505" s="1" t="s">
        <v>4672</v>
      </c>
      <c r="C4505" s="1" t="s">
        <v>5058</v>
      </c>
      <c r="D4505" s="1" t="s">
        <v>5062</v>
      </c>
      <c r="E4505" s="1" t="s">
        <v>25</v>
      </c>
      <c r="F4505">
        <v>580</v>
      </c>
      <c r="G4505">
        <v>580</v>
      </c>
      <c r="H4505">
        <v>56</v>
      </c>
      <c r="I4505" s="1" t="s">
        <v>1528</v>
      </c>
      <c r="J4505" s="1" t="s">
        <v>1336</v>
      </c>
      <c r="K4505" s="1" t="s">
        <v>25</v>
      </c>
      <c r="L4505">
        <v>-1.6213649000000001</v>
      </c>
      <c r="M4505" t="str">
        <f t="shared" si="181"/>
        <v>44/40</v>
      </c>
      <c r="N4505" t="str">
        <f t="shared" si="182"/>
        <v>SW</v>
      </c>
      <c r="O4505" s="1" t="s">
        <v>25</v>
      </c>
      <c r="P4505" s="3" t="s">
        <v>25</v>
      </c>
      <c r="Q4505" s="37">
        <v>1.318525264</v>
      </c>
      <c r="R4505" t="str">
        <f t="shared" ref="R4505:R4568" si="183">IF(Q4505="Na","Na","mmol/mol")</f>
        <v>mmol/mol</v>
      </c>
      <c r="S4505" s="13">
        <f t="shared" si="180"/>
        <v>-1.6213649000000001</v>
      </c>
    </row>
    <row r="4506" spans="1:19">
      <c r="A4506" s="18" t="s">
        <v>4106</v>
      </c>
      <c r="B4506" s="1" t="s">
        <v>4673</v>
      </c>
      <c r="C4506" s="1" t="s">
        <v>5058</v>
      </c>
      <c r="D4506" s="1" t="s">
        <v>5062</v>
      </c>
      <c r="E4506" s="1" t="s">
        <v>25</v>
      </c>
      <c r="F4506">
        <v>580</v>
      </c>
      <c r="G4506">
        <v>580</v>
      </c>
      <c r="H4506">
        <v>58</v>
      </c>
      <c r="I4506" s="1" t="s">
        <v>1528</v>
      </c>
      <c r="J4506" s="1" t="s">
        <v>1336</v>
      </c>
      <c r="K4506" s="1" t="s">
        <v>25</v>
      </c>
      <c r="L4506" t="s">
        <v>25</v>
      </c>
      <c r="M4506" t="str">
        <f t="shared" si="181"/>
        <v>Na</v>
      </c>
      <c r="N4506" t="str">
        <f t="shared" si="182"/>
        <v>Na</v>
      </c>
      <c r="O4506" s="1" t="s">
        <v>25</v>
      </c>
      <c r="P4506" s="3" t="s">
        <v>25</v>
      </c>
      <c r="Q4506" s="37" t="s">
        <v>25</v>
      </c>
      <c r="R4506" t="str">
        <f t="shared" si="183"/>
        <v>Na</v>
      </c>
      <c r="S4506" s="13" t="s">
        <v>25</v>
      </c>
    </row>
    <row r="4507" spans="1:19">
      <c r="A4507" s="18" t="s">
        <v>4106</v>
      </c>
      <c r="B4507" s="1" t="s">
        <v>4674</v>
      </c>
      <c r="C4507" s="1" t="s">
        <v>5058</v>
      </c>
      <c r="D4507" s="1" t="s">
        <v>5062</v>
      </c>
      <c r="E4507" s="1" t="s">
        <v>25</v>
      </c>
      <c r="F4507">
        <v>580</v>
      </c>
      <c r="G4507">
        <v>580</v>
      </c>
      <c r="H4507">
        <v>60</v>
      </c>
      <c r="I4507" s="1" t="s">
        <v>1528</v>
      </c>
      <c r="J4507" s="1" t="s">
        <v>1336</v>
      </c>
      <c r="K4507" s="1" t="s">
        <v>25</v>
      </c>
      <c r="L4507">
        <v>-1.3349819999999999</v>
      </c>
      <c r="M4507" t="str">
        <f t="shared" si="181"/>
        <v>44/40</v>
      </c>
      <c r="N4507" t="str">
        <f t="shared" si="182"/>
        <v>SW</v>
      </c>
      <c r="O4507" s="1" t="s">
        <v>25</v>
      </c>
      <c r="P4507" s="3" t="s">
        <v>25</v>
      </c>
      <c r="Q4507" s="37">
        <v>1.176477035</v>
      </c>
      <c r="R4507" t="str">
        <f t="shared" si="183"/>
        <v>mmol/mol</v>
      </c>
      <c r="S4507" s="13">
        <f t="shared" si="180"/>
        <v>-1.3349819999999999</v>
      </c>
    </row>
    <row r="4508" spans="1:19">
      <c r="A4508" s="18" t="s">
        <v>4106</v>
      </c>
      <c r="B4508" s="1" t="s">
        <v>4675</v>
      </c>
      <c r="C4508" s="1" t="s">
        <v>5058</v>
      </c>
      <c r="D4508" s="1" t="s">
        <v>5062</v>
      </c>
      <c r="E4508" s="1" t="s">
        <v>25</v>
      </c>
      <c r="F4508">
        <v>580</v>
      </c>
      <c r="G4508">
        <v>580</v>
      </c>
      <c r="H4508">
        <v>62</v>
      </c>
      <c r="I4508" s="1" t="s">
        <v>1528</v>
      </c>
      <c r="J4508" s="1" t="s">
        <v>1336</v>
      </c>
      <c r="K4508" s="1" t="s">
        <v>25</v>
      </c>
      <c r="L4508" t="s">
        <v>25</v>
      </c>
      <c r="M4508" t="str">
        <f t="shared" si="181"/>
        <v>Na</v>
      </c>
      <c r="N4508" t="str">
        <f t="shared" si="182"/>
        <v>Na</v>
      </c>
      <c r="O4508" s="1" t="s">
        <v>25</v>
      </c>
      <c r="P4508" s="3" t="s">
        <v>25</v>
      </c>
      <c r="Q4508" s="37" t="s">
        <v>25</v>
      </c>
      <c r="R4508" t="str">
        <f t="shared" si="183"/>
        <v>Na</v>
      </c>
      <c r="S4508" s="13" t="s">
        <v>25</v>
      </c>
    </row>
    <row r="4509" spans="1:19">
      <c r="A4509" s="18" t="s">
        <v>4106</v>
      </c>
      <c r="B4509" s="1" t="s">
        <v>4676</v>
      </c>
      <c r="C4509" s="1" t="s">
        <v>5058</v>
      </c>
      <c r="D4509" s="1" t="s">
        <v>5062</v>
      </c>
      <c r="E4509" s="1" t="s">
        <v>25</v>
      </c>
      <c r="F4509">
        <v>580</v>
      </c>
      <c r="G4509">
        <v>580</v>
      </c>
      <c r="H4509">
        <v>64</v>
      </c>
      <c r="I4509" s="1" t="s">
        <v>1528</v>
      </c>
      <c r="J4509" s="1" t="s">
        <v>1336</v>
      </c>
      <c r="K4509" s="1" t="s">
        <v>25</v>
      </c>
      <c r="L4509">
        <v>-1.1493224</v>
      </c>
      <c r="M4509" t="str">
        <f t="shared" si="181"/>
        <v>44/40</v>
      </c>
      <c r="N4509" t="str">
        <f t="shared" si="182"/>
        <v>SW</v>
      </c>
      <c r="O4509" s="1" t="s">
        <v>25</v>
      </c>
      <c r="P4509" s="3" t="s">
        <v>25</v>
      </c>
      <c r="Q4509" s="37">
        <v>1.3567547799999999</v>
      </c>
      <c r="R4509" t="str">
        <f t="shared" si="183"/>
        <v>mmol/mol</v>
      </c>
      <c r="S4509" s="13">
        <f t="shared" si="180"/>
        <v>-1.1493224</v>
      </c>
    </row>
    <row r="4510" spans="1:19">
      <c r="A4510" s="18" t="s">
        <v>4106</v>
      </c>
      <c r="B4510" s="1" t="s">
        <v>4677</v>
      </c>
      <c r="C4510" s="1" t="s">
        <v>5058</v>
      </c>
      <c r="D4510" s="1" t="s">
        <v>5062</v>
      </c>
      <c r="E4510" s="1" t="s">
        <v>25</v>
      </c>
      <c r="F4510">
        <v>580</v>
      </c>
      <c r="G4510">
        <v>580</v>
      </c>
      <c r="H4510">
        <v>66.2</v>
      </c>
      <c r="I4510" s="1" t="s">
        <v>1528</v>
      </c>
      <c r="J4510" s="1" t="s">
        <v>1336</v>
      </c>
      <c r="K4510" s="1" t="s">
        <v>25</v>
      </c>
      <c r="L4510">
        <v>-1.3844681000000001</v>
      </c>
      <c r="M4510" t="str">
        <f t="shared" si="181"/>
        <v>44/40</v>
      </c>
      <c r="N4510" t="str">
        <f t="shared" si="182"/>
        <v>SW</v>
      </c>
      <c r="O4510" s="1" t="s">
        <v>25</v>
      </c>
      <c r="P4510" s="3" t="s">
        <v>25</v>
      </c>
      <c r="Q4510" s="37" t="s">
        <v>25</v>
      </c>
      <c r="R4510" t="str">
        <f t="shared" si="183"/>
        <v>Na</v>
      </c>
      <c r="S4510" s="13">
        <f t="shared" si="180"/>
        <v>-1.3844681000000001</v>
      </c>
    </row>
    <row r="4511" spans="1:19">
      <c r="A4511" s="18" t="s">
        <v>4106</v>
      </c>
      <c r="B4511" s="1" t="s">
        <v>4678</v>
      </c>
      <c r="C4511" s="1" t="s">
        <v>5058</v>
      </c>
      <c r="D4511" s="1" t="s">
        <v>5062</v>
      </c>
      <c r="E4511" s="1" t="s">
        <v>25</v>
      </c>
      <c r="F4511">
        <v>580</v>
      </c>
      <c r="G4511">
        <v>580</v>
      </c>
      <c r="H4511">
        <v>68.099999999999994</v>
      </c>
      <c r="I4511" s="1" t="s">
        <v>1528</v>
      </c>
      <c r="J4511" s="1" t="s">
        <v>1336</v>
      </c>
      <c r="K4511" s="1" t="s">
        <v>25</v>
      </c>
      <c r="L4511" t="s">
        <v>25</v>
      </c>
      <c r="M4511" t="str">
        <f t="shared" si="181"/>
        <v>Na</v>
      </c>
      <c r="N4511" t="str">
        <f t="shared" si="182"/>
        <v>Na</v>
      </c>
      <c r="O4511" s="1" t="s">
        <v>25</v>
      </c>
      <c r="P4511" s="3" t="s">
        <v>25</v>
      </c>
      <c r="Q4511" s="37">
        <v>1.5429984269999999</v>
      </c>
      <c r="R4511" t="str">
        <f t="shared" si="183"/>
        <v>mmol/mol</v>
      </c>
      <c r="S4511" s="13" t="s">
        <v>25</v>
      </c>
    </row>
    <row r="4512" spans="1:19">
      <c r="A4512" s="18" t="s">
        <v>4106</v>
      </c>
      <c r="B4512" s="1" t="s">
        <v>4679</v>
      </c>
      <c r="C4512" s="1" t="s">
        <v>5058</v>
      </c>
      <c r="D4512" s="1" t="s">
        <v>5062</v>
      </c>
      <c r="E4512" s="1" t="s">
        <v>25</v>
      </c>
      <c r="F4512">
        <v>580</v>
      </c>
      <c r="G4512">
        <v>580</v>
      </c>
      <c r="H4512">
        <v>69.900000000000006</v>
      </c>
      <c r="I4512" s="1" t="s">
        <v>1528</v>
      </c>
      <c r="J4512" s="1" t="s">
        <v>1336</v>
      </c>
      <c r="K4512" s="1" t="s">
        <v>25</v>
      </c>
      <c r="L4512" t="s">
        <v>25</v>
      </c>
      <c r="M4512" t="str">
        <f t="shared" si="181"/>
        <v>Na</v>
      </c>
      <c r="N4512" t="str">
        <f t="shared" si="182"/>
        <v>Na</v>
      </c>
      <c r="O4512" s="1" t="s">
        <v>25</v>
      </c>
      <c r="P4512" s="3" t="s">
        <v>25</v>
      </c>
      <c r="Q4512" s="37" t="s">
        <v>25</v>
      </c>
      <c r="R4512" t="str">
        <f t="shared" si="183"/>
        <v>Na</v>
      </c>
      <c r="S4512" s="13" t="s">
        <v>25</v>
      </c>
    </row>
    <row r="4513" spans="1:19">
      <c r="A4513" s="18" t="s">
        <v>4106</v>
      </c>
      <c r="B4513" s="1" t="s">
        <v>4680</v>
      </c>
      <c r="C4513" s="1" t="s">
        <v>5058</v>
      </c>
      <c r="D4513" s="1" t="s">
        <v>5062</v>
      </c>
      <c r="E4513" s="1" t="s">
        <v>25</v>
      </c>
      <c r="F4513">
        <v>580</v>
      </c>
      <c r="G4513">
        <v>580</v>
      </c>
      <c r="H4513">
        <v>72</v>
      </c>
      <c r="I4513" s="1" t="s">
        <v>1528</v>
      </c>
      <c r="J4513" s="1" t="s">
        <v>1336</v>
      </c>
      <c r="K4513" s="1" t="s">
        <v>25</v>
      </c>
      <c r="L4513">
        <v>-1.1937924</v>
      </c>
      <c r="M4513" t="str">
        <f t="shared" si="181"/>
        <v>44/40</v>
      </c>
      <c r="N4513" t="str">
        <f t="shared" si="182"/>
        <v>SW</v>
      </c>
      <c r="O4513" s="1" t="s">
        <v>25</v>
      </c>
      <c r="P4513" s="3" t="s">
        <v>25</v>
      </c>
      <c r="Q4513" s="37">
        <v>1.2243729350000001</v>
      </c>
      <c r="R4513" t="str">
        <f t="shared" si="183"/>
        <v>mmol/mol</v>
      </c>
      <c r="S4513" s="13">
        <f t="shared" si="180"/>
        <v>-1.1937924</v>
      </c>
    </row>
    <row r="4514" spans="1:19">
      <c r="A4514" s="18" t="s">
        <v>4106</v>
      </c>
      <c r="B4514" s="1" t="s">
        <v>4681</v>
      </c>
      <c r="C4514" s="1" t="s">
        <v>5058</v>
      </c>
      <c r="D4514" s="1" t="s">
        <v>5062</v>
      </c>
      <c r="E4514" s="1" t="s">
        <v>25</v>
      </c>
      <c r="F4514">
        <v>580</v>
      </c>
      <c r="G4514">
        <v>580</v>
      </c>
      <c r="H4514">
        <v>74</v>
      </c>
      <c r="I4514" s="1" t="s">
        <v>1528</v>
      </c>
      <c r="J4514" s="1" t="s">
        <v>1336</v>
      </c>
      <c r="K4514" s="1" t="s">
        <v>25</v>
      </c>
      <c r="L4514" t="s">
        <v>25</v>
      </c>
      <c r="M4514" t="str">
        <f t="shared" si="181"/>
        <v>Na</v>
      </c>
      <c r="N4514" t="str">
        <f t="shared" si="182"/>
        <v>Na</v>
      </c>
      <c r="O4514" s="1" t="s">
        <v>25</v>
      </c>
      <c r="P4514" s="3" t="s">
        <v>25</v>
      </c>
      <c r="Q4514" s="37" t="s">
        <v>25</v>
      </c>
      <c r="R4514" t="str">
        <f t="shared" si="183"/>
        <v>Na</v>
      </c>
      <c r="S4514" s="13" t="s">
        <v>25</v>
      </c>
    </row>
    <row r="4515" spans="1:19">
      <c r="A4515" s="18" t="s">
        <v>4106</v>
      </c>
      <c r="B4515" s="1" t="s">
        <v>4682</v>
      </c>
      <c r="C4515" s="1" t="s">
        <v>5058</v>
      </c>
      <c r="D4515" s="1" t="s">
        <v>5062</v>
      </c>
      <c r="E4515" s="1" t="s">
        <v>25</v>
      </c>
      <c r="F4515">
        <v>580</v>
      </c>
      <c r="G4515">
        <v>580</v>
      </c>
      <c r="H4515">
        <v>76</v>
      </c>
      <c r="I4515" s="1" t="s">
        <v>1528</v>
      </c>
      <c r="J4515" s="1" t="s">
        <v>1336</v>
      </c>
      <c r="K4515" s="1" t="s">
        <v>25</v>
      </c>
      <c r="L4515">
        <v>-1.2732747</v>
      </c>
      <c r="M4515" t="str">
        <f t="shared" si="181"/>
        <v>44/40</v>
      </c>
      <c r="N4515" t="str">
        <f t="shared" si="182"/>
        <v>SW</v>
      </c>
      <c r="O4515" s="1" t="s">
        <v>25</v>
      </c>
      <c r="P4515" s="3" t="s">
        <v>25</v>
      </c>
      <c r="Q4515" s="37">
        <v>1.0805750949999999</v>
      </c>
      <c r="R4515" t="str">
        <f t="shared" si="183"/>
        <v>mmol/mol</v>
      </c>
      <c r="S4515" s="13">
        <f t="shared" si="180"/>
        <v>-1.2732747</v>
      </c>
    </row>
    <row r="4516" spans="1:19">
      <c r="A4516" s="18" t="s">
        <v>4106</v>
      </c>
      <c r="B4516" s="1" t="s">
        <v>4683</v>
      </c>
      <c r="C4516" s="1" t="s">
        <v>5058</v>
      </c>
      <c r="D4516" s="1" t="s">
        <v>5062</v>
      </c>
      <c r="E4516" s="1" t="s">
        <v>25</v>
      </c>
      <c r="F4516">
        <v>580</v>
      </c>
      <c r="G4516">
        <v>580</v>
      </c>
      <c r="H4516">
        <v>78</v>
      </c>
      <c r="I4516" s="1" t="s">
        <v>1528</v>
      </c>
      <c r="J4516" s="1" t="s">
        <v>1336</v>
      </c>
      <c r="K4516" s="1" t="s">
        <v>25</v>
      </c>
      <c r="L4516" t="s">
        <v>25</v>
      </c>
      <c r="M4516" t="str">
        <f t="shared" si="181"/>
        <v>Na</v>
      </c>
      <c r="N4516" t="str">
        <f t="shared" si="182"/>
        <v>Na</v>
      </c>
      <c r="O4516" s="1" t="s">
        <v>25</v>
      </c>
      <c r="P4516" s="3" t="s">
        <v>25</v>
      </c>
      <c r="Q4516" s="37" t="s">
        <v>25</v>
      </c>
      <c r="R4516" t="str">
        <f t="shared" si="183"/>
        <v>Na</v>
      </c>
      <c r="S4516" s="13" t="s">
        <v>25</v>
      </c>
    </row>
    <row r="4517" spans="1:19">
      <c r="A4517" s="18" t="s">
        <v>4106</v>
      </c>
      <c r="B4517" s="1" t="s">
        <v>4684</v>
      </c>
      <c r="C4517" s="1" t="s">
        <v>5058</v>
      </c>
      <c r="D4517" s="1" t="s">
        <v>5062</v>
      </c>
      <c r="E4517" s="1" t="s">
        <v>25</v>
      </c>
      <c r="F4517">
        <v>580</v>
      </c>
      <c r="G4517">
        <v>580</v>
      </c>
      <c r="H4517">
        <v>80</v>
      </c>
      <c r="I4517" s="1" t="s">
        <v>1528</v>
      </c>
      <c r="J4517" s="1" t="s">
        <v>1336</v>
      </c>
      <c r="K4517" s="1" t="s">
        <v>25</v>
      </c>
      <c r="L4517">
        <v>-1.1284217999999999</v>
      </c>
      <c r="M4517" t="str">
        <f t="shared" si="181"/>
        <v>44/40</v>
      </c>
      <c r="N4517" t="str">
        <f t="shared" si="182"/>
        <v>SW</v>
      </c>
      <c r="O4517" s="1" t="s">
        <v>25</v>
      </c>
      <c r="P4517" s="3" t="s">
        <v>25</v>
      </c>
      <c r="Q4517" s="37">
        <v>1.269175459</v>
      </c>
      <c r="R4517" t="str">
        <f t="shared" si="183"/>
        <v>mmol/mol</v>
      </c>
      <c r="S4517" s="13">
        <f t="shared" si="180"/>
        <v>-1.1284217999999999</v>
      </c>
    </row>
    <row r="4518" spans="1:19">
      <c r="A4518" s="18" t="s">
        <v>4106</v>
      </c>
      <c r="B4518" s="1" t="s">
        <v>4685</v>
      </c>
      <c r="C4518" s="1" t="s">
        <v>5058</v>
      </c>
      <c r="D4518" s="1" t="s">
        <v>5062</v>
      </c>
      <c r="E4518" s="1" t="s">
        <v>25</v>
      </c>
      <c r="F4518">
        <v>580</v>
      </c>
      <c r="G4518">
        <v>580</v>
      </c>
      <c r="H4518">
        <v>82.1</v>
      </c>
      <c r="I4518" s="1" t="s">
        <v>1528</v>
      </c>
      <c r="J4518" s="1" t="s">
        <v>1336</v>
      </c>
      <c r="K4518" s="1" t="s">
        <v>25</v>
      </c>
      <c r="L4518" t="s">
        <v>25</v>
      </c>
      <c r="M4518" t="str">
        <f t="shared" si="181"/>
        <v>Na</v>
      </c>
      <c r="N4518" t="str">
        <f t="shared" si="182"/>
        <v>Na</v>
      </c>
      <c r="O4518" s="1" t="s">
        <v>25</v>
      </c>
      <c r="P4518" s="3" t="s">
        <v>25</v>
      </c>
      <c r="Q4518" s="37" t="s">
        <v>25</v>
      </c>
      <c r="R4518" t="str">
        <f t="shared" si="183"/>
        <v>Na</v>
      </c>
      <c r="S4518" s="13" t="s">
        <v>25</v>
      </c>
    </row>
    <row r="4519" spans="1:19">
      <c r="A4519" s="18" t="s">
        <v>4106</v>
      </c>
      <c r="B4519" s="1" t="s">
        <v>4686</v>
      </c>
      <c r="C4519" s="1" t="s">
        <v>5058</v>
      </c>
      <c r="D4519" s="1" t="s">
        <v>5062</v>
      </c>
      <c r="E4519" s="1" t="s">
        <v>25</v>
      </c>
      <c r="F4519">
        <v>580</v>
      </c>
      <c r="G4519">
        <v>580</v>
      </c>
      <c r="H4519">
        <v>84.2</v>
      </c>
      <c r="I4519" s="1" t="s">
        <v>1528</v>
      </c>
      <c r="J4519" s="1" t="s">
        <v>1336</v>
      </c>
      <c r="K4519" s="1" t="s">
        <v>25</v>
      </c>
      <c r="L4519">
        <v>-1.4252180999999999</v>
      </c>
      <c r="M4519" t="str">
        <f t="shared" si="181"/>
        <v>44/40</v>
      </c>
      <c r="N4519" t="str">
        <f t="shared" si="182"/>
        <v>SW</v>
      </c>
      <c r="O4519" s="1" t="s">
        <v>25</v>
      </c>
      <c r="P4519" s="3" t="s">
        <v>25</v>
      </c>
      <c r="Q4519" s="37">
        <v>1.490608108</v>
      </c>
      <c r="R4519" t="str">
        <f t="shared" si="183"/>
        <v>mmol/mol</v>
      </c>
      <c r="S4519" s="13">
        <f t="shared" si="180"/>
        <v>-1.4252180999999999</v>
      </c>
    </row>
    <row r="4520" spans="1:19">
      <c r="A4520" s="18" t="s">
        <v>4106</v>
      </c>
      <c r="B4520" s="1" t="s">
        <v>4687</v>
      </c>
      <c r="C4520" s="1" t="s">
        <v>5058</v>
      </c>
      <c r="D4520" s="1" t="s">
        <v>5062</v>
      </c>
      <c r="E4520" s="1" t="s">
        <v>25</v>
      </c>
      <c r="F4520">
        <v>580</v>
      </c>
      <c r="G4520">
        <v>580</v>
      </c>
      <c r="H4520">
        <v>90.1</v>
      </c>
      <c r="I4520" s="1" t="s">
        <v>1528</v>
      </c>
      <c r="J4520" s="1" t="s">
        <v>1336</v>
      </c>
      <c r="K4520" s="1" t="s">
        <v>25</v>
      </c>
      <c r="L4520" t="s">
        <v>25</v>
      </c>
      <c r="M4520" t="str">
        <f t="shared" si="181"/>
        <v>Na</v>
      </c>
      <c r="N4520" t="str">
        <f t="shared" si="182"/>
        <v>Na</v>
      </c>
      <c r="O4520" s="1" t="s">
        <v>25</v>
      </c>
      <c r="P4520" s="3" t="s">
        <v>25</v>
      </c>
      <c r="Q4520" s="37" t="s">
        <v>25</v>
      </c>
      <c r="R4520" t="str">
        <f t="shared" si="183"/>
        <v>Na</v>
      </c>
      <c r="S4520" s="13" t="s">
        <v>25</v>
      </c>
    </row>
    <row r="4521" spans="1:19">
      <c r="A4521" s="18" t="s">
        <v>4106</v>
      </c>
      <c r="B4521" s="1" t="s">
        <v>4688</v>
      </c>
      <c r="C4521" s="1" t="s">
        <v>5058</v>
      </c>
      <c r="D4521" s="1" t="s">
        <v>5062</v>
      </c>
      <c r="E4521" s="1" t="s">
        <v>25</v>
      </c>
      <c r="F4521">
        <v>580</v>
      </c>
      <c r="G4521">
        <v>580</v>
      </c>
      <c r="H4521">
        <v>92.3</v>
      </c>
      <c r="I4521" s="1" t="s">
        <v>1528</v>
      </c>
      <c r="J4521" s="1" t="s">
        <v>1336</v>
      </c>
      <c r="K4521" s="1" t="s">
        <v>25</v>
      </c>
      <c r="L4521">
        <v>-1.4356097999999999</v>
      </c>
      <c r="M4521" t="str">
        <f t="shared" si="181"/>
        <v>44/40</v>
      </c>
      <c r="N4521" t="str">
        <f t="shared" si="182"/>
        <v>SW</v>
      </c>
      <c r="O4521" s="1" t="s">
        <v>25</v>
      </c>
      <c r="P4521" s="3" t="s">
        <v>25</v>
      </c>
      <c r="Q4521" s="37">
        <v>1.315925013</v>
      </c>
      <c r="R4521" t="str">
        <f t="shared" si="183"/>
        <v>mmol/mol</v>
      </c>
      <c r="S4521" s="13">
        <f t="shared" si="180"/>
        <v>-1.4356097999999999</v>
      </c>
    </row>
    <row r="4522" spans="1:19">
      <c r="A4522" s="18" t="s">
        <v>4106</v>
      </c>
      <c r="B4522" s="1" t="s">
        <v>4689</v>
      </c>
      <c r="C4522" s="1" t="s">
        <v>5058</v>
      </c>
      <c r="D4522" s="1" t="s">
        <v>5062</v>
      </c>
      <c r="E4522" s="1" t="s">
        <v>25</v>
      </c>
      <c r="F4522">
        <v>580</v>
      </c>
      <c r="G4522">
        <v>580</v>
      </c>
      <c r="H4522">
        <v>94.2</v>
      </c>
      <c r="I4522" s="1" t="s">
        <v>1528</v>
      </c>
      <c r="J4522" s="1" t="s">
        <v>1336</v>
      </c>
      <c r="K4522" s="1" t="s">
        <v>25</v>
      </c>
      <c r="L4522" t="s">
        <v>25</v>
      </c>
      <c r="M4522" t="str">
        <f t="shared" si="181"/>
        <v>Na</v>
      </c>
      <c r="N4522" t="str">
        <f t="shared" si="182"/>
        <v>Na</v>
      </c>
      <c r="O4522" s="1" t="s">
        <v>25</v>
      </c>
      <c r="P4522" s="3" t="s">
        <v>25</v>
      </c>
      <c r="Q4522" s="37" t="s">
        <v>25</v>
      </c>
      <c r="R4522" t="str">
        <f t="shared" si="183"/>
        <v>Na</v>
      </c>
      <c r="S4522" s="13" t="s">
        <v>25</v>
      </c>
    </row>
    <row r="4523" spans="1:19">
      <c r="A4523" s="18" t="s">
        <v>4106</v>
      </c>
      <c r="B4523" s="1" t="s">
        <v>4690</v>
      </c>
      <c r="C4523" s="1" t="s">
        <v>5058</v>
      </c>
      <c r="D4523" s="1" t="s">
        <v>5062</v>
      </c>
      <c r="E4523" s="1" t="s">
        <v>25</v>
      </c>
      <c r="F4523">
        <v>580</v>
      </c>
      <c r="G4523">
        <v>580</v>
      </c>
      <c r="H4523">
        <v>96.1</v>
      </c>
      <c r="I4523" s="1" t="s">
        <v>1528</v>
      </c>
      <c r="J4523" s="1" t="s">
        <v>1336</v>
      </c>
      <c r="K4523" s="1" t="s">
        <v>25</v>
      </c>
      <c r="L4523">
        <v>-1.5721982000000001</v>
      </c>
      <c r="M4523" t="str">
        <f t="shared" si="181"/>
        <v>44/40</v>
      </c>
      <c r="N4523" t="str">
        <f t="shared" si="182"/>
        <v>SW</v>
      </c>
      <c r="O4523" s="1" t="s">
        <v>25</v>
      </c>
      <c r="P4523" s="3" t="s">
        <v>25</v>
      </c>
      <c r="Q4523" s="37">
        <v>1.2051077020000001</v>
      </c>
      <c r="R4523" t="str">
        <f t="shared" si="183"/>
        <v>mmol/mol</v>
      </c>
      <c r="S4523" s="13">
        <f t="shared" si="180"/>
        <v>-1.5721982000000001</v>
      </c>
    </row>
    <row r="4524" spans="1:19">
      <c r="A4524" s="18" t="s">
        <v>4106</v>
      </c>
      <c r="B4524" s="1" t="s">
        <v>4691</v>
      </c>
      <c r="C4524" s="1" t="s">
        <v>5058</v>
      </c>
      <c r="D4524" s="1" t="s">
        <v>5062</v>
      </c>
      <c r="E4524" s="1" t="s">
        <v>25</v>
      </c>
      <c r="F4524">
        <v>580</v>
      </c>
      <c r="G4524">
        <v>580</v>
      </c>
      <c r="H4524">
        <v>98</v>
      </c>
      <c r="I4524" s="1" t="s">
        <v>1528</v>
      </c>
      <c r="J4524" s="1" t="s">
        <v>1336</v>
      </c>
      <c r="K4524" s="1" t="s">
        <v>25</v>
      </c>
      <c r="L4524" t="s">
        <v>25</v>
      </c>
      <c r="M4524" t="str">
        <f t="shared" si="181"/>
        <v>Na</v>
      </c>
      <c r="N4524" t="str">
        <f t="shared" si="182"/>
        <v>Na</v>
      </c>
      <c r="O4524" s="1" t="s">
        <v>25</v>
      </c>
      <c r="P4524" s="3" t="s">
        <v>25</v>
      </c>
      <c r="Q4524" s="37" t="s">
        <v>25</v>
      </c>
      <c r="R4524" t="str">
        <f t="shared" si="183"/>
        <v>Na</v>
      </c>
      <c r="S4524" s="13" t="s">
        <v>25</v>
      </c>
    </row>
    <row r="4525" spans="1:19">
      <c r="A4525" s="18" t="s">
        <v>4106</v>
      </c>
      <c r="B4525" s="1" t="s">
        <v>4692</v>
      </c>
      <c r="C4525" s="1" t="s">
        <v>5058</v>
      </c>
      <c r="D4525" s="1" t="s">
        <v>5062</v>
      </c>
      <c r="E4525" s="1" t="s">
        <v>25</v>
      </c>
      <c r="F4525">
        <v>580</v>
      </c>
      <c r="G4525">
        <v>580</v>
      </c>
      <c r="H4525">
        <v>99.9</v>
      </c>
      <c r="I4525" s="1" t="s">
        <v>1528</v>
      </c>
      <c r="J4525" s="1" t="s">
        <v>1336</v>
      </c>
      <c r="K4525" s="1" t="s">
        <v>25</v>
      </c>
      <c r="L4525">
        <v>-1.4448342000000001</v>
      </c>
      <c r="M4525" t="str">
        <f t="shared" si="181"/>
        <v>44/40</v>
      </c>
      <c r="N4525" t="str">
        <f t="shared" si="182"/>
        <v>SW</v>
      </c>
      <c r="O4525" s="1" t="s">
        <v>25</v>
      </c>
      <c r="P4525" s="3" t="s">
        <v>25</v>
      </c>
      <c r="Q4525" s="37">
        <v>1.3788256729999999</v>
      </c>
      <c r="R4525" t="str">
        <f t="shared" si="183"/>
        <v>mmol/mol</v>
      </c>
      <c r="S4525" s="13">
        <f t="shared" ref="S4525:S4587" si="184">IF(NOT(N4525="SW"),L4525-1.88,L4525)</f>
        <v>-1.4448342000000001</v>
      </c>
    </row>
    <row r="4526" spans="1:19">
      <c r="A4526" s="18" t="s">
        <v>4106</v>
      </c>
      <c r="B4526" s="1" t="s">
        <v>4693</v>
      </c>
      <c r="C4526" s="1" t="s">
        <v>5058</v>
      </c>
      <c r="D4526" s="1" t="s">
        <v>5062</v>
      </c>
      <c r="E4526" s="1" t="s">
        <v>25</v>
      </c>
      <c r="F4526">
        <v>580</v>
      </c>
      <c r="G4526">
        <v>580</v>
      </c>
      <c r="H4526">
        <v>102.2</v>
      </c>
      <c r="I4526" s="1" t="s">
        <v>1528</v>
      </c>
      <c r="J4526" s="1" t="s">
        <v>1336</v>
      </c>
      <c r="K4526" s="1" t="s">
        <v>25</v>
      </c>
      <c r="L4526" t="s">
        <v>25</v>
      </c>
      <c r="M4526" t="str">
        <f t="shared" si="181"/>
        <v>Na</v>
      </c>
      <c r="N4526" t="str">
        <f t="shared" si="182"/>
        <v>Na</v>
      </c>
      <c r="O4526" s="1" t="s">
        <v>25</v>
      </c>
      <c r="P4526" s="3" t="s">
        <v>25</v>
      </c>
      <c r="Q4526" s="37" t="s">
        <v>25</v>
      </c>
      <c r="R4526" t="str">
        <f t="shared" si="183"/>
        <v>Na</v>
      </c>
      <c r="S4526" s="13" t="s">
        <v>25</v>
      </c>
    </row>
    <row r="4527" spans="1:19">
      <c r="A4527" s="18" t="s">
        <v>4106</v>
      </c>
      <c r="B4527" s="1" t="s">
        <v>4694</v>
      </c>
      <c r="C4527" s="1" t="s">
        <v>5058</v>
      </c>
      <c r="D4527" s="1" t="s">
        <v>5062</v>
      </c>
      <c r="E4527" s="1" t="s">
        <v>25</v>
      </c>
      <c r="F4527">
        <v>580</v>
      </c>
      <c r="G4527">
        <v>580</v>
      </c>
      <c r="H4527">
        <v>104.2</v>
      </c>
      <c r="I4527" s="1" t="s">
        <v>1528</v>
      </c>
      <c r="J4527" s="1" t="s">
        <v>1336</v>
      </c>
      <c r="K4527" s="1" t="s">
        <v>25</v>
      </c>
      <c r="L4527">
        <v>-1.5235810000000001</v>
      </c>
      <c r="M4527" t="str">
        <f t="shared" si="181"/>
        <v>44/40</v>
      </c>
      <c r="N4527" t="str">
        <f t="shared" si="182"/>
        <v>SW</v>
      </c>
      <c r="O4527" s="1" t="s">
        <v>25</v>
      </c>
      <c r="P4527" s="3" t="s">
        <v>25</v>
      </c>
      <c r="Q4527" s="37">
        <v>1.3876494619999999</v>
      </c>
      <c r="R4527" t="str">
        <f t="shared" si="183"/>
        <v>mmol/mol</v>
      </c>
      <c r="S4527" s="13">
        <f t="shared" si="184"/>
        <v>-1.5235810000000001</v>
      </c>
    </row>
    <row r="4528" spans="1:19">
      <c r="A4528" s="18" t="s">
        <v>4106</v>
      </c>
      <c r="B4528" s="1" t="s">
        <v>4695</v>
      </c>
      <c r="C4528" s="1" t="s">
        <v>5058</v>
      </c>
      <c r="D4528" s="1" t="s">
        <v>5062</v>
      </c>
      <c r="E4528" s="1" t="s">
        <v>25</v>
      </c>
      <c r="F4528">
        <v>580</v>
      </c>
      <c r="G4528">
        <v>580</v>
      </c>
      <c r="H4528">
        <v>106</v>
      </c>
      <c r="I4528" s="1" t="s">
        <v>1528</v>
      </c>
      <c r="J4528" s="1" t="s">
        <v>1336</v>
      </c>
      <c r="K4528" s="1" t="s">
        <v>25</v>
      </c>
      <c r="L4528" t="s">
        <v>25</v>
      </c>
      <c r="M4528" t="str">
        <f t="shared" ref="M4528:M4591" si="185">IF(L4528="Na","Na","44/40")</f>
        <v>Na</v>
      </c>
      <c r="N4528" t="str">
        <f t="shared" ref="N4528:N4591" si="186">IF(M4528="Na","Na","SW")</f>
        <v>Na</v>
      </c>
      <c r="O4528" s="1" t="s">
        <v>25</v>
      </c>
      <c r="P4528" s="3" t="s">
        <v>25</v>
      </c>
      <c r="Q4528" s="37" t="s">
        <v>25</v>
      </c>
      <c r="R4528" t="str">
        <f t="shared" si="183"/>
        <v>Na</v>
      </c>
      <c r="S4528" s="13" t="s">
        <v>25</v>
      </c>
    </row>
    <row r="4529" spans="1:19">
      <c r="A4529" s="18" t="s">
        <v>4106</v>
      </c>
      <c r="B4529" s="1" t="s">
        <v>4696</v>
      </c>
      <c r="C4529" s="1" t="s">
        <v>5058</v>
      </c>
      <c r="D4529" s="1" t="s">
        <v>5062</v>
      </c>
      <c r="E4529" s="1" t="s">
        <v>25</v>
      </c>
      <c r="F4529">
        <v>580</v>
      </c>
      <c r="G4529">
        <v>580</v>
      </c>
      <c r="H4529">
        <v>108</v>
      </c>
      <c r="I4529" s="1" t="s">
        <v>1528</v>
      </c>
      <c r="J4529" s="1" t="s">
        <v>1336</v>
      </c>
      <c r="K4529" s="1" t="s">
        <v>25</v>
      </c>
      <c r="L4529">
        <v>-1.4781314999999999</v>
      </c>
      <c r="M4529" t="str">
        <f t="shared" si="185"/>
        <v>44/40</v>
      </c>
      <c r="N4529" t="str">
        <f t="shared" si="186"/>
        <v>SW</v>
      </c>
      <c r="O4529" s="1" t="s">
        <v>25</v>
      </c>
      <c r="P4529" s="3" t="s">
        <v>25</v>
      </c>
      <c r="Q4529" s="37">
        <v>1.7971500709999999</v>
      </c>
      <c r="R4529" t="str">
        <f t="shared" si="183"/>
        <v>mmol/mol</v>
      </c>
      <c r="S4529" s="13">
        <f t="shared" si="184"/>
        <v>-1.4781314999999999</v>
      </c>
    </row>
    <row r="4530" spans="1:19">
      <c r="A4530" s="18" t="s">
        <v>4106</v>
      </c>
      <c r="B4530" s="1" t="s">
        <v>4697</v>
      </c>
      <c r="C4530" s="1" t="s">
        <v>5058</v>
      </c>
      <c r="D4530" s="1" t="s">
        <v>5062</v>
      </c>
      <c r="E4530" s="1" t="s">
        <v>25</v>
      </c>
      <c r="F4530">
        <v>580</v>
      </c>
      <c r="G4530">
        <v>580</v>
      </c>
      <c r="H4530">
        <v>110</v>
      </c>
      <c r="I4530" s="1" t="s">
        <v>1528</v>
      </c>
      <c r="J4530" s="1" t="s">
        <v>1336</v>
      </c>
      <c r="K4530" s="1" t="s">
        <v>25</v>
      </c>
      <c r="L4530" t="s">
        <v>25</v>
      </c>
      <c r="M4530" t="str">
        <f t="shared" si="185"/>
        <v>Na</v>
      </c>
      <c r="N4530" t="str">
        <f t="shared" si="186"/>
        <v>Na</v>
      </c>
      <c r="O4530" s="1" t="s">
        <v>25</v>
      </c>
      <c r="P4530" s="3" t="s">
        <v>25</v>
      </c>
      <c r="Q4530" s="37" t="s">
        <v>25</v>
      </c>
      <c r="R4530" t="str">
        <f t="shared" si="183"/>
        <v>Na</v>
      </c>
      <c r="S4530" s="13" t="s">
        <v>25</v>
      </c>
    </row>
    <row r="4531" spans="1:19">
      <c r="A4531" s="18" t="s">
        <v>4106</v>
      </c>
      <c r="B4531" s="1" t="s">
        <v>4698</v>
      </c>
      <c r="C4531" s="1" t="s">
        <v>5058</v>
      </c>
      <c r="D4531" s="1" t="s">
        <v>5062</v>
      </c>
      <c r="E4531" s="1" t="s">
        <v>25</v>
      </c>
      <c r="F4531">
        <v>580</v>
      </c>
      <c r="G4531">
        <v>580</v>
      </c>
      <c r="H4531">
        <v>112</v>
      </c>
      <c r="I4531" s="1" t="s">
        <v>1528</v>
      </c>
      <c r="J4531" s="1" t="s">
        <v>1336</v>
      </c>
      <c r="K4531" s="1" t="s">
        <v>25</v>
      </c>
      <c r="L4531">
        <v>-1.3927345</v>
      </c>
      <c r="M4531" t="str">
        <f t="shared" si="185"/>
        <v>44/40</v>
      </c>
      <c r="N4531" t="str">
        <f t="shared" si="186"/>
        <v>SW</v>
      </c>
      <c r="O4531" s="1" t="s">
        <v>25</v>
      </c>
      <c r="P4531" s="3" t="s">
        <v>25</v>
      </c>
      <c r="Q4531" s="37">
        <v>1.8961436650000001</v>
      </c>
      <c r="R4531" t="str">
        <f t="shared" si="183"/>
        <v>mmol/mol</v>
      </c>
      <c r="S4531" s="13">
        <f t="shared" si="184"/>
        <v>-1.3927345</v>
      </c>
    </row>
    <row r="4532" spans="1:19">
      <c r="A4532" s="18" t="s">
        <v>4106</v>
      </c>
      <c r="B4532" s="1" t="s">
        <v>4699</v>
      </c>
      <c r="C4532" s="1" t="s">
        <v>5058</v>
      </c>
      <c r="D4532" s="1" t="s">
        <v>5062</v>
      </c>
      <c r="E4532" s="1" t="s">
        <v>25</v>
      </c>
      <c r="F4532">
        <v>580</v>
      </c>
      <c r="G4532">
        <v>580</v>
      </c>
      <c r="H4532">
        <v>114.3</v>
      </c>
      <c r="I4532" s="1" t="s">
        <v>1528</v>
      </c>
      <c r="J4532" s="1" t="s">
        <v>1336</v>
      </c>
      <c r="K4532" s="1" t="s">
        <v>25</v>
      </c>
      <c r="L4532" t="s">
        <v>25</v>
      </c>
      <c r="M4532" t="str">
        <f t="shared" si="185"/>
        <v>Na</v>
      </c>
      <c r="N4532" t="str">
        <f t="shared" si="186"/>
        <v>Na</v>
      </c>
      <c r="O4532" s="1" t="s">
        <v>25</v>
      </c>
      <c r="P4532" s="3" t="s">
        <v>25</v>
      </c>
      <c r="Q4532" s="37" t="s">
        <v>25</v>
      </c>
      <c r="R4532" t="str">
        <f t="shared" si="183"/>
        <v>Na</v>
      </c>
      <c r="S4532" s="13" t="s">
        <v>25</v>
      </c>
    </row>
    <row r="4533" spans="1:19">
      <c r="A4533" s="18" t="s">
        <v>4106</v>
      </c>
      <c r="B4533" s="1" t="s">
        <v>4700</v>
      </c>
      <c r="C4533" s="1" t="s">
        <v>5058</v>
      </c>
      <c r="D4533" s="1" t="s">
        <v>5062</v>
      </c>
      <c r="E4533" s="1" t="s">
        <v>25</v>
      </c>
      <c r="F4533">
        <v>580</v>
      </c>
      <c r="G4533">
        <v>580</v>
      </c>
      <c r="H4533">
        <v>117.5</v>
      </c>
      <c r="I4533" s="1" t="s">
        <v>1528</v>
      </c>
      <c r="J4533" s="1" t="s">
        <v>1336</v>
      </c>
      <c r="K4533" s="1" t="s">
        <v>25</v>
      </c>
      <c r="L4533">
        <v>-1.2485473</v>
      </c>
      <c r="M4533" t="str">
        <f t="shared" si="185"/>
        <v>44/40</v>
      </c>
      <c r="N4533" t="str">
        <f t="shared" si="186"/>
        <v>SW</v>
      </c>
      <c r="O4533" s="1" t="s">
        <v>25</v>
      </c>
      <c r="P4533" s="3" t="s">
        <v>25</v>
      </c>
      <c r="Q4533" s="37">
        <v>1.1863409279999999</v>
      </c>
      <c r="R4533" t="str">
        <f t="shared" si="183"/>
        <v>mmol/mol</v>
      </c>
      <c r="S4533" s="13">
        <f t="shared" si="184"/>
        <v>-1.2485473</v>
      </c>
    </row>
    <row r="4534" spans="1:19">
      <c r="A4534" s="18" t="s">
        <v>4106</v>
      </c>
      <c r="B4534" s="1" t="s">
        <v>4701</v>
      </c>
      <c r="C4534" s="1" t="s">
        <v>5058</v>
      </c>
      <c r="D4534" s="1" t="s">
        <v>5062</v>
      </c>
      <c r="E4534" s="1" t="s">
        <v>25</v>
      </c>
      <c r="F4534">
        <v>580</v>
      </c>
      <c r="G4534">
        <v>580</v>
      </c>
      <c r="H4534">
        <v>121.4</v>
      </c>
      <c r="I4534" s="1" t="s">
        <v>1528</v>
      </c>
      <c r="J4534" s="1" t="s">
        <v>1336</v>
      </c>
      <c r="K4534" s="1" t="s">
        <v>25</v>
      </c>
      <c r="L4534" t="s">
        <v>25</v>
      </c>
      <c r="M4534" t="str">
        <f t="shared" si="185"/>
        <v>Na</v>
      </c>
      <c r="N4534" t="str">
        <f t="shared" si="186"/>
        <v>Na</v>
      </c>
      <c r="O4534" s="1" t="s">
        <v>25</v>
      </c>
      <c r="P4534" s="3" t="s">
        <v>25</v>
      </c>
      <c r="Q4534" s="37" t="s">
        <v>25</v>
      </c>
      <c r="R4534" t="str">
        <f t="shared" si="183"/>
        <v>Na</v>
      </c>
      <c r="S4534" s="13" t="s">
        <v>25</v>
      </c>
    </row>
    <row r="4535" spans="1:19">
      <c r="A4535" s="18" t="s">
        <v>4106</v>
      </c>
      <c r="B4535" s="1" t="s">
        <v>4702</v>
      </c>
      <c r="C4535" s="1" t="s">
        <v>5058</v>
      </c>
      <c r="D4535" s="1" t="s">
        <v>5062</v>
      </c>
      <c r="E4535" s="1" t="s">
        <v>25</v>
      </c>
      <c r="F4535">
        <v>580</v>
      </c>
      <c r="G4535">
        <v>580</v>
      </c>
      <c r="H4535">
        <v>123.3</v>
      </c>
      <c r="I4535" s="1" t="s">
        <v>1528</v>
      </c>
      <c r="J4535" s="1" t="s">
        <v>1336</v>
      </c>
      <c r="K4535" s="1" t="s">
        <v>25</v>
      </c>
      <c r="L4535">
        <v>-1.19</v>
      </c>
      <c r="M4535" t="str">
        <f t="shared" si="185"/>
        <v>44/40</v>
      </c>
      <c r="N4535" t="str">
        <f t="shared" si="186"/>
        <v>SW</v>
      </c>
      <c r="O4535" s="1" t="s">
        <v>25</v>
      </c>
      <c r="P4535" s="3" t="s">
        <v>25</v>
      </c>
      <c r="Q4535" s="37">
        <v>0.20139417400000001</v>
      </c>
      <c r="R4535" t="str">
        <f t="shared" si="183"/>
        <v>mmol/mol</v>
      </c>
      <c r="S4535" s="13">
        <f t="shared" si="184"/>
        <v>-1.19</v>
      </c>
    </row>
    <row r="4536" spans="1:19">
      <c r="A4536" s="18" t="s">
        <v>4106</v>
      </c>
      <c r="B4536" s="1" t="s">
        <v>4703</v>
      </c>
      <c r="C4536" s="1" t="s">
        <v>5058</v>
      </c>
      <c r="D4536" s="1" t="s">
        <v>5062</v>
      </c>
      <c r="E4536" s="1" t="s">
        <v>25</v>
      </c>
      <c r="F4536">
        <v>580</v>
      </c>
      <c r="G4536">
        <v>580</v>
      </c>
      <c r="H4536">
        <v>125.1</v>
      </c>
      <c r="I4536" s="1" t="s">
        <v>1528</v>
      </c>
      <c r="J4536" s="1" t="s">
        <v>1336</v>
      </c>
      <c r="K4536" s="1" t="s">
        <v>25</v>
      </c>
      <c r="L4536" t="s">
        <v>25</v>
      </c>
      <c r="M4536" t="str">
        <f t="shared" si="185"/>
        <v>Na</v>
      </c>
      <c r="N4536" t="str">
        <f t="shared" si="186"/>
        <v>Na</v>
      </c>
      <c r="O4536" s="1" t="s">
        <v>25</v>
      </c>
      <c r="P4536" s="3" t="s">
        <v>25</v>
      </c>
      <c r="Q4536" s="37" t="s">
        <v>25</v>
      </c>
      <c r="R4536" t="str">
        <f t="shared" si="183"/>
        <v>Na</v>
      </c>
      <c r="S4536" s="13" t="s">
        <v>25</v>
      </c>
    </row>
    <row r="4537" spans="1:19">
      <c r="A4537" s="18" t="s">
        <v>4106</v>
      </c>
      <c r="B4537" s="1" t="s">
        <v>4704</v>
      </c>
      <c r="C4537" s="1" t="s">
        <v>5058</v>
      </c>
      <c r="D4537" s="1" t="s">
        <v>5062</v>
      </c>
      <c r="E4537" s="1" t="s">
        <v>25</v>
      </c>
      <c r="F4537">
        <v>580</v>
      </c>
      <c r="G4537">
        <v>580</v>
      </c>
      <c r="H4537">
        <v>127</v>
      </c>
      <c r="I4537" s="1" t="s">
        <v>1528</v>
      </c>
      <c r="J4537" s="1" t="s">
        <v>1336</v>
      </c>
      <c r="K4537" s="1" t="s">
        <v>25</v>
      </c>
      <c r="L4537">
        <v>-1.4536316</v>
      </c>
      <c r="M4537" t="str">
        <f t="shared" si="185"/>
        <v>44/40</v>
      </c>
      <c r="N4537" t="str">
        <f t="shared" si="186"/>
        <v>SW</v>
      </c>
      <c r="O4537" s="1" t="s">
        <v>25</v>
      </c>
      <c r="P4537" s="3" t="s">
        <v>25</v>
      </c>
      <c r="Q4537" s="37">
        <v>2.2101523649999999</v>
      </c>
      <c r="R4537" t="str">
        <f t="shared" si="183"/>
        <v>mmol/mol</v>
      </c>
      <c r="S4537" s="13">
        <f t="shared" si="184"/>
        <v>-1.4536316</v>
      </c>
    </row>
    <row r="4538" spans="1:19">
      <c r="A4538" s="18" t="s">
        <v>4106</v>
      </c>
      <c r="B4538" s="1" t="s">
        <v>4705</v>
      </c>
      <c r="C4538" s="1" t="s">
        <v>5058</v>
      </c>
      <c r="D4538" s="1" t="s">
        <v>5062</v>
      </c>
      <c r="E4538" s="1" t="s">
        <v>25</v>
      </c>
      <c r="F4538">
        <v>580</v>
      </c>
      <c r="G4538">
        <v>580</v>
      </c>
      <c r="H4538">
        <v>129</v>
      </c>
      <c r="I4538" s="1" t="s">
        <v>1528</v>
      </c>
      <c r="J4538" s="1" t="s">
        <v>1336</v>
      </c>
      <c r="K4538" s="1" t="s">
        <v>25</v>
      </c>
      <c r="L4538" t="s">
        <v>25</v>
      </c>
      <c r="M4538" t="str">
        <f t="shared" si="185"/>
        <v>Na</v>
      </c>
      <c r="N4538" t="str">
        <f t="shared" si="186"/>
        <v>Na</v>
      </c>
      <c r="O4538" s="1" t="s">
        <v>25</v>
      </c>
      <c r="P4538" s="3" t="s">
        <v>25</v>
      </c>
      <c r="Q4538" s="37" t="s">
        <v>25</v>
      </c>
      <c r="R4538" t="str">
        <f t="shared" si="183"/>
        <v>Na</v>
      </c>
      <c r="S4538" s="13" t="s">
        <v>25</v>
      </c>
    </row>
    <row r="4539" spans="1:19">
      <c r="A4539" s="18" t="s">
        <v>4106</v>
      </c>
      <c r="B4539" s="1" t="s">
        <v>4706</v>
      </c>
      <c r="C4539" s="1" t="s">
        <v>5058</v>
      </c>
      <c r="D4539" s="1" t="s">
        <v>5062</v>
      </c>
      <c r="E4539" s="1" t="s">
        <v>25</v>
      </c>
      <c r="F4539">
        <v>580</v>
      </c>
      <c r="G4539">
        <v>580</v>
      </c>
      <c r="H4539">
        <v>131</v>
      </c>
      <c r="I4539" s="1" t="s">
        <v>1528</v>
      </c>
      <c r="J4539" s="1" t="s">
        <v>1336</v>
      </c>
      <c r="K4539" s="1" t="s">
        <v>25</v>
      </c>
      <c r="L4539" t="s">
        <v>25</v>
      </c>
      <c r="M4539" t="str">
        <f t="shared" si="185"/>
        <v>Na</v>
      </c>
      <c r="N4539" t="str">
        <f t="shared" si="186"/>
        <v>Na</v>
      </c>
      <c r="O4539" s="1" t="s">
        <v>25</v>
      </c>
      <c r="P4539" s="3" t="s">
        <v>25</v>
      </c>
      <c r="Q4539" s="37">
        <v>2.5163372850000001</v>
      </c>
      <c r="R4539" t="str">
        <f t="shared" si="183"/>
        <v>mmol/mol</v>
      </c>
      <c r="S4539" s="13" t="s">
        <v>25</v>
      </c>
    </row>
    <row r="4540" spans="1:19">
      <c r="A4540" s="18" t="s">
        <v>4106</v>
      </c>
      <c r="B4540" s="1" t="s">
        <v>4707</v>
      </c>
      <c r="C4540" s="1" t="s">
        <v>5058</v>
      </c>
      <c r="D4540" s="1" t="s">
        <v>5062</v>
      </c>
      <c r="E4540" s="1" t="s">
        <v>25</v>
      </c>
      <c r="F4540">
        <v>580</v>
      </c>
      <c r="G4540">
        <v>580</v>
      </c>
      <c r="H4540">
        <v>131.1</v>
      </c>
      <c r="I4540" s="1" t="s">
        <v>1528</v>
      </c>
      <c r="J4540" s="1" t="s">
        <v>1336</v>
      </c>
      <c r="K4540" s="1" t="s">
        <v>25</v>
      </c>
      <c r="L4540">
        <v>-1.6696386999999999</v>
      </c>
      <c r="M4540" t="str">
        <f t="shared" si="185"/>
        <v>44/40</v>
      </c>
      <c r="N4540" t="str">
        <f t="shared" si="186"/>
        <v>SW</v>
      </c>
      <c r="O4540" s="1" t="s">
        <v>25</v>
      </c>
      <c r="P4540" s="3" t="s">
        <v>25</v>
      </c>
      <c r="Q4540" s="37">
        <v>2.5163372850000001</v>
      </c>
      <c r="R4540" t="str">
        <f t="shared" si="183"/>
        <v>mmol/mol</v>
      </c>
      <c r="S4540" s="13">
        <f t="shared" si="184"/>
        <v>-1.6696386999999999</v>
      </c>
    </row>
    <row r="4541" spans="1:19">
      <c r="A4541" s="18" t="s">
        <v>4106</v>
      </c>
      <c r="B4541" s="1" t="s">
        <v>4707</v>
      </c>
      <c r="C4541" s="1" t="s">
        <v>5058</v>
      </c>
      <c r="D4541" s="1" t="s">
        <v>5062</v>
      </c>
      <c r="E4541" s="1" t="s">
        <v>25</v>
      </c>
      <c r="F4541">
        <v>580</v>
      </c>
      <c r="G4541">
        <v>580</v>
      </c>
      <c r="H4541">
        <v>131.1</v>
      </c>
      <c r="I4541" s="1" t="s">
        <v>1528</v>
      </c>
      <c r="J4541" s="1" t="s">
        <v>1336</v>
      </c>
      <c r="K4541" s="1" t="s">
        <v>25</v>
      </c>
      <c r="L4541">
        <v>-1.5804594000000001</v>
      </c>
      <c r="M4541" t="str">
        <f t="shared" si="185"/>
        <v>44/40</v>
      </c>
      <c r="N4541" t="str">
        <f t="shared" si="186"/>
        <v>SW</v>
      </c>
      <c r="O4541" s="1" t="s">
        <v>25</v>
      </c>
      <c r="P4541" s="3" t="s">
        <v>25</v>
      </c>
      <c r="Q4541" s="37">
        <v>2.5163372850000001</v>
      </c>
      <c r="R4541" t="str">
        <f t="shared" si="183"/>
        <v>mmol/mol</v>
      </c>
      <c r="S4541" s="13">
        <f t="shared" si="184"/>
        <v>-1.5804594000000001</v>
      </c>
    </row>
    <row r="4542" spans="1:19">
      <c r="A4542" s="18" t="s">
        <v>4106</v>
      </c>
      <c r="B4542" s="1" t="s">
        <v>4708</v>
      </c>
      <c r="C4542" s="1" t="s">
        <v>5058</v>
      </c>
      <c r="D4542" s="1" t="s">
        <v>5062</v>
      </c>
      <c r="E4542" s="1" t="s">
        <v>25</v>
      </c>
      <c r="F4542">
        <v>580</v>
      </c>
      <c r="G4542">
        <v>580</v>
      </c>
      <c r="H4542">
        <v>133</v>
      </c>
      <c r="I4542" s="1" t="s">
        <v>1528</v>
      </c>
      <c r="J4542" s="1" t="s">
        <v>1336</v>
      </c>
      <c r="K4542" s="1" t="s">
        <v>25</v>
      </c>
      <c r="L4542" t="s">
        <v>25</v>
      </c>
      <c r="M4542" t="str">
        <f t="shared" si="185"/>
        <v>Na</v>
      </c>
      <c r="N4542" t="str">
        <f t="shared" si="186"/>
        <v>Na</v>
      </c>
      <c r="O4542" s="1" t="s">
        <v>25</v>
      </c>
      <c r="P4542" s="3" t="s">
        <v>25</v>
      </c>
      <c r="Q4542" s="37" t="s">
        <v>25</v>
      </c>
      <c r="R4542" t="str">
        <f t="shared" si="183"/>
        <v>Na</v>
      </c>
      <c r="S4542" s="13" t="s">
        <v>25</v>
      </c>
    </row>
    <row r="4543" spans="1:19">
      <c r="A4543" s="18" t="s">
        <v>4106</v>
      </c>
      <c r="B4543" s="1" t="s">
        <v>4709</v>
      </c>
      <c r="C4543" s="1" t="s">
        <v>5058</v>
      </c>
      <c r="D4543" s="1" t="s">
        <v>5062</v>
      </c>
      <c r="E4543" s="1" t="s">
        <v>25</v>
      </c>
      <c r="F4543">
        <v>580</v>
      </c>
      <c r="G4543">
        <v>580</v>
      </c>
      <c r="H4543">
        <v>135</v>
      </c>
      <c r="I4543" s="1" t="s">
        <v>1528</v>
      </c>
      <c r="J4543" s="1" t="s">
        <v>1336</v>
      </c>
      <c r="K4543" s="1" t="s">
        <v>25</v>
      </c>
      <c r="L4543">
        <v>-1.7950698</v>
      </c>
      <c r="M4543" t="str">
        <f t="shared" si="185"/>
        <v>44/40</v>
      </c>
      <c r="N4543" t="str">
        <f t="shared" si="186"/>
        <v>SW</v>
      </c>
      <c r="O4543" s="1" t="s">
        <v>25</v>
      </c>
      <c r="P4543" s="3" t="s">
        <v>25</v>
      </c>
      <c r="Q4543" s="37">
        <v>2.6261348930000001</v>
      </c>
      <c r="R4543" t="str">
        <f t="shared" si="183"/>
        <v>mmol/mol</v>
      </c>
      <c r="S4543" s="13">
        <f t="shared" si="184"/>
        <v>-1.7950698</v>
      </c>
    </row>
    <row r="4544" spans="1:19">
      <c r="A4544" s="18" t="s">
        <v>4106</v>
      </c>
      <c r="B4544" s="1" t="s">
        <v>4710</v>
      </c>
      <c r="C4544" s="1" t="s">
        <v>5058</v>
      </c>
      <c r="D4544" s="1" t="s">
        <v>5062</v>
      </c>
      <c r="E4544" s="1" t="s">
        <v>25</v>
      </c>
      <c r="F4544">
        <v>580</v>
      </c>
      <c r="G4544">
        <v>580</v>
      </c>
      <c r="H4544">
        <v>137</v>
      </c>
      <c r="I4544" s="1" t="s">
        <v>1528</v>
      </c>
      <c r="J4544" s="1" t="s">
        <v>1336</v>
      </c>
      <c r="K4544" s="1" t="s">
        <v>25</v>
      </c>
      <c r="L4544" t="s">
        <v>25</v>
      </c>
      <c r="M4544" t="str">
        <f t="shared" si="185"/>
        <v>Na</v>
      </c>
      <c r="N4544" t="str">
        <f t="shared" si="186"/>
        <v>Na</v>
      </c>
      <c r="O4544" s="1" t="s">
        <v>25</v>
      </c>
      <c r="P4544" s="3" t="s">
        <v>25</v>
      </c>
      <c r="Q4544" s="37" t="s">
        <v>25</v>
      </c>
      <c r="R4544" t="str">
        <f t="shared" si="183"/>
        <v>Na</v>
      </c>
      <c r="S4544" s="13" t="s">
        <v>25</v>
      </c>
    </row>
    <row r="4545" spans="1:19">
      <c r="A4545" s="18" t="s">
        <v>4106</v>
      </c>
      <c r="B4545" s="1" t="s">
        <v>4711</v>
      </c>
      <c r="C4545" s="1" t="s">
        <v>5058</v>
      </c>
      <c r="D4545" s="1" t="s">
        <v>5062</v>
      </c>
      <c r="E4545" s="1" t="s">
        <v>25</v>
      </c>
      <c r="F4545">
        <v>580</v>
      </c>
      <c r="G4545">
        <v>580</v>
      </c>
      <c r="H4545">
        <v>138.80000000000001</v>
      </c>
      <c r="I4545" s="1" t="s">
        <v>1528</v>
      </c>
      <c r="J4545" s="1" t="s">
        <v>1336</v>
      </c>
      <c r="K4545" s="1" t="s">
        <v>25</v>
      </c>
      <c r="L4545">
        <v>-1.55</v>
      </c>
      <c r="M4545" t="str">
        <f t="shared" si="185"/>
        <v>44/40</v>
      </c>
      <c r="N4545" t="str">
        <f t="shared" si="186"/>
        <v>SW</v>
      </c>
      <c r="O4545" s="1" t="s">
        <v>25</v>
      </c>
      <c r="P4545" s="3" t="s">
        <v>25</v>
      </c>
      <c r="Q4545" s="37">
        <v>2.495686149</v>
      </c>
      <c r="R4545" t="str">
        <f t="shared" si="183"/>
        <v>mmol/mol</v>
      </c>
      <c r="S4545" s="13">
        <f t="shared" si="184"/>
        <v>-1.55</v>
      </c>
    </row>
    <row r="4546" spans="1:19">
      <c r="A4546" s="18" t="s">
        <v>4106</v>
      </c>
      <c r="B4546" s="1" t="s">
        <v>4712</v>
      </c>
      <c r="C4546" s="1" t="s">
        <v>5058</v>
      </c>
      <c r="D4546" s="1" t="s">
        <v>5062</v>
      </c>
      <c r="E4546" s="1" t="s">
        <v>25</v>
      </c>
      <c r="F4546">
        <v>580</v>
      </c>
      <c r="G4546">
        <v>580</v>
      </c>
      <c r="H4546">
        <v>141</v>
      </c>
      <c r="I4546" s="1" t="s">
        <v>1528</v>
      </c>
      <c r="J4546" s="1" t="s">
        <v>1336</v>
      </c>
      <c r="K4546" s="1" t="s">
        <v>25</v>
      </c>
      <c r="L4546" t="s">
        <v>25</v>
      </c>
      <c r="M4546" t="str">
        <f t="shared" si="185"/>
        <v>Na</v>
      </c>
      <c r="N4546" t="str">
        <f t="shared" si="186"/>
        <v>Na</v>
      </c>
      <c r="O4546" s="1" t="s">
        <v>25</v>
      </c>
      <c r="P4546" s="3" t="s">
        <v>25</v>
      </c>
      <c r="Q4546" s="37" t="s">
        <v>25</v>
      </c>
      <c r="R4546" t="str">
        <f t="shared" si="183"/>
        <v>Na</v>
      </c>
      <c r="S4546" s="13" t="s">
        <v>25</v>
      </c>
    </row>
    <row r="4547" spans="1:19">
      <c r="A4547" s="18" t="s">
        <v>4106</v>
      </c>
      <c r="B4547" s="1" t="s">
        <v>4713</v>
      </c>
      <c r="C4547" s="1" t="s">
        <v>5058</v>
      </c>
      <c r="D4547" s="1" t="s">
        <v>5062</v>
      </c>
      <c r="E4547" s="1" t="s">
        <v>25</v>
      </c>
      <c r="F4547">
        <v>580</v>
      </c>
      <c r="G4547">
        <v>580</v>
      </c>
      <c r="H4547">
        <v>142.9</v>
      </c>
      <c r="I4547" s="1" t="s">
        <v>1528</v>
      </c>
      <c r="J4547" s="1" t="s">
        <v>1336</v>
      </c>
      <c r="K4547" s="1" t="s">
        <v>25</v>
      </c>
      <c r="L4547">
        <v>-1.6561604000000001</v>
      </c>
      <c r="M4547" t="str">
        <f t="shared" si="185"/>
        <v>44/40</v>
      </c>
      <c r="N4547" t="str">
        <f t="shared" si="186"/>
        <v>SW</v>
      </c>
      <c r="O4547" s="1" t="s">
        <v>25</v>
      </c>
      <c r="P4547" s="3" t="s">
        <v>25</v>
      </c>
      <c r="Q4547" s="37">
        <v>1.7458439649999999</v>
      </c>
      <c r="R4547" t="str">
        <f t="shared" si="183"/>
        <v>mmol/mol</v>
      </c>
      <c r="S4547" s="13">
        <f t="shared" si="184"/>
        <v>-1.6561604000000001</v>
      </c>
    </row>
    <row r="4548" spans="1:19">
      <c r="A4548" s="18" t="s">
        <v>4106</v>
      </c>
      <c r="B4548" s="1" t="s">
        <v>4714</v>
      </c>
      <c r="C4548" s="1" t="s">
        <v>5058</v>
      </c>
      <c r="D4548" s="1" t="s">
        <v>5062</v>
      </c>
      <c r="E4548" s="1" t="s">
        <v>25</v>
      </c>
      <c r="F4548">
        <v>580</v>
      </c>
      <c r="G4548">
        <v>580</v>
      </c>
      <c r="H4548">
        <v>145</v>
      </c>
      <c r="I4548" s="1" t="s">
        <v>1528</v>
      </c>
      <c r="J4548" s="1" t="s">
        <v>1336</v>
      </c>
      <c r="K4548" s="1" t="s">
        <v>25</v>
      </c>
      <c r="L4548" t="s">
        <v>25</v>
      </c>
      <c r="M4548" t="str">
        <f t="shared" si="185"/>
        <v>Na</v>
      </c>
      <c r="N4548" t="str">
        <f t="shared" si="186"/>
        <v>Na</v>
      </c>
      <c r="O4548" s="1" t="s">
        <v>25</v>
      </c>
      <c r="P4548" s="3" t="s">
        <v>25</v>
      </c>
      <c r="Q4548" s="37" t="s">
        <v>25</v>
      </c>
      <c r="R4548" t="str">
        <f t="shared" si="183"/>
        <v>Na</v>
      </c>
      <c r="S4548" s="13" t="s">
        <v>25</v>
      </c>
    </row>
    <row r="4549" spans="1:19">
      <c r="A4549" s="18" t="s">
        <v>4106</v>
      </c>
      <c r="B4549" s="1" t="s">
        <v>4715</v>
      </c>
      <c r="C4549" s="1" t="s">
        <v>5058</v>
      </c>
      <c r="D4549" s="1" t="s">
        <v>5062</v>
      </c>
      <c r="E4549" s="1" t="s">
        <v>25</v>
      </c>
      <c r="F4549">
        <v>580</v>
      </c>
      <c r="G4549">
        <v>580</v>
      </c>
      <c r="H4549">
        <v>147.1</v>
      </c>
      <c r="I4549" s="1" t="s">
        <v>1528</v>
      </c>
      <c r="J4549" s="1" t="s">
        <v>1336</v>
      </c>
      <c r="K4549" s="1" t="s">
        <v>25</v>
      </c>
      <c r="L4549">
        <v>-1.68</v>
      </c>
      <c r="M4549" t="str">
        <f t="shared" si="185"/>
        <v>44/40</v>
      </c>
      <c r="N4549" t="str">
        <f t="shared" si="186"/>
        <v>SW</v>
      </c>
      <c r="O4549" s="1" t="s">
        <v>25</v>
      </c>
      <c r="P4549" s="3" t="s">
        <v>25</v>
      </c>
      <c r="Q4549" s="37">
        <v>1.931916014</v>
      </c>
      <c r="R4549" t="str">
        <f t="shared" si="183"/>
        <v>mmol/mol</v>
      </c>
      <c r="S4549" s="13">
        <f t="shared" si="184"/>
        <v>-1.68</v>
      </c>
    </row>
    <row r="4550" spans="1:19">
      <c r="A4550" s="18" t="s">
        <v>4106</v>
      </c>
      <c r="B4550" s="1" t="s">
        <v>4716</v>
      </c>
      <c r="C4550" s="1" t="s">
        <v>5058</v>
      </c>
      <c r="D4550" s="1" t="s">
        <v>5062</v>
      </c>
      <c r="E4550" s="1" t="s">
        <v>25</v>
      </c>
      <c r="F4550">
        <v>580</v>
      </c>
      <c r="G4550">
        <v>580</v>
      </c>
      <c r="H4550">
        <v>149</v>
      </c>
      <c r="I4550" s="1" t="s">
        <v>1528</v>
      </c>
      <c r="J4550" s="1" t="s">
        <v>1336</v>
      </c>
      <c r="K4550" s="1" t="s">
        <v>25</v>
      </c>
      <c r="L4550" t="s">
        <v>25</v>
      </c>
      <c r="M4550" t="str">
        <f t="shared" si="185"/>
        <v>Na</v>
      </c>
      <c r="N4550" t="str">
        <f t="shared" si="186"/>
        <v>Na</v>
      </c>
      <c r="O4550" s="1" t="s">
        <v>25</v>
      </c>
      <c r="P4550" s="3" t="s">
        <v>25</v>
      </c>
      <c r="Q4550" s="37" t="s">
        <v>25</v>
      </c>
      <c r="R4550" t="str">
        <f t="shared" si="183"/>
        <v>Na</v>
      </c>
      <c r="S4550" s="13" t="s">
        <v>25</v>
      </c>
    </row>
    <row r="4551" spans="1:19">
      <c r="A4551" s="18" t="s">
        <v>4106</v>
      </c>
      <c r="B4551" s="1" t="s">
        <v>4717</v>
      </c>
      <c r="C4551" s="1" t="s">
        <v>5058</v>
      </c>
      <c r="D4551" s="1" t="s">
        <v>5062</v>
      </c>
      <c r="E4551" s="1" t="s">
        <v>25</v>
      </c>
      <c r="F4551">
        <v>580</v>
      </c>
      <c r="G4551">
        <v>580</v>
      </c>
      <c r="H4551">
        <v>151</v>
      </c>
      <c r="I4551" s="1" t="s">
        <v>1528</v>
      </c>
      <c r="J4551" s="1" t="s">
        <v>1336</v>
      </c>
      <c r="K4551" s="1" t="s">
        <v>25</v>
      </c>
      <c r="L4551">
        <v>-1.6668381000000001</v>
      </c>
      <c r="M4551" t="str">
        <f t="shared" si="185"/>
        <v>44/40</v>
      </c>
      <c r="N4551" t="str">
        <f t="shared" si="186"/>
        <v>SW</v>
      </c>
      <c r="O4551" s="1" t="s">
        <v>25</v>
      </c>
      <c r="P4551" s="3" t="s">
        <v>25</v>
      </c>
      <c r="Q4551" s="37">
        <v>3.2597016999999999</v>
      </c>
      <c r="R4551" t="str">
        <f t="shared" si="183"/>
        <v>mmol/mol</v>
      </c>
      <c r="S4551" s="13">
        <f t="shared" si="184"/>
        <v>-1.6668381000000001</v>
      </c>
    </row>
    <row r="4552" spans="1:19">
      <c r="A4552" s="18" t="s">
        <v>4106</v>
      </c>
      <c r="B4552" s="1" t="s">
        <v>4717</v>
      </c>
      <c r="C4552" s="1" t="s">
        <v>5058</v>
      </c>
      <c r="D4552" s="1" t="s">
        <v>5062</v>
      </c>
      <c r="E4552" s="1" t="s">
        <v>25</v>
      </c>
      <c r="F4552">
        <v>580</v>
      </c>
      <c r="G4552">
        <v>580</v>
      </c>
      <c r="H4552">
        <v>151</v>
      </c>
      <c r="I4552" s="1" t="s">
        <v>1528</v>
      </c>
      <c r="J4552" s="1" t="s">
        <v>1336</v>
      </c>
      <c r="K4552" s="1" t="s">
        <v>25</v>
      </c>
      <c r="L4552">
        <v>-1.39</v>
      </c>
      <c r="M4552" t="str">
        <f t="shared" si="185"/>
        <v>44/40</v>
      </c>
      <c r="N4552" t="str">
        <f t="shared" si="186"/>
        <v>SW</v>
      </c>
      <c r="O4552" s="1" t="s">
        <v>25</v>
      </c>
      <c r="P4552" s="3" t="s">
        <v>25</v>
      </c>
      <c r="Q4552" s="37">
        <v>3.2597016999999999</v>
      </c>
      <c r="R4552" t="str">
        <f t="shared" si="183"/>
        <v>mmol/mol</v>
      </c>
      <c r="S4552" s="13">
        <f t="shared" si="184"/>
        <v>-1.39</v>
      </c>
    </row>
    <row r="4553" spans="1:19">
      <c r="A4553" s="18" t="s">
        <v>4106</v>
      </c>
      <c r="B4553" s="1" t="s">
        <v>4718</v>
      </c>
      <c r="C4553" s="1" t="s">
        <v>5058</v>
      </c>
      <c r="D4553" s="1" t="s">
        <v>5062</v>
      </c>
      <c r="E4553" s="1" t="s">
        <v>25</v>
      </c>
      <c r="F4553">
        <v>580</v>
      </c>
      <c r="G4553">
        <v>580</v>
      </c>
      <c r="H4553">
        <v>153</v>
      </c>
      <c r="I4553" s="1" t="s">
        <v>1528</v>
      </c>
      <c r="J4553" s="1" t="s">
        <v>1336</v>
      </c>
      <c r="K4553" s="1" t="s">
        <v>25</v>
      </c>
      <c r="L4553" t="s">
        <v>25</v>
      </c>
      <c r="M4553" t="str">
        <f t="shared" si="185"/>
        <v>Na</v>
      </c>
      <c r="N4553" t="str">
        <f t="shared" si="186"/>
        <v>Na</v>
      </c>
      <c r="O4553" s="1" t="s">
        <v>25</v>
      </c>
      <c r="P4553" s="3" t="s">
        <v>25</v>
      </c>
      <c r="Q4553" s="37" t="s">
        <v>25</v>
      </c>
      <c r="R4553" t="str">
        <f t="shared" si="183"/>
        <v>Na</v>
      </c>
      <c r="S4553" s="13" t="s">
        <v>25</v>
      </c>
    </row>
    <row r="4554" spans="1:19">
      <c r="A4554" s="18" t="s">
        <v>4106</v>
      </c>
      <c r="B4554" s="1" t="s">
        <v>4719</v>
      </c>
      <c r="C4554" s="1" t="s">
        <v>5058</v>
      </c>
      <c r="D4554" s="1" t="s">
        <v>5062</v>
      </c>
      <c r="E4554" s="1" t="s">
        <v>25</v>
      </c>
      <c r="F4554">
        <v>580</v>
      </c>
      <c r="G4554">
        <v>580</v>
      </c>
      <c r="H4554">
        <v>155</v>
      </c>
      <c r="I4554" s="1" t="s">
        <v>1528</v>
      </c>
      <c r="J4554" s="1" t="s">
        <v>1336</v>
      </c>
      <c r="K4554" s="1" t="s">
        <v>25</v>
      </c>
      <c r="L4554">
        <v>-1.8117581</v>
      </c>
      <c r="M4554" t="str">
        <f t="shared" si="185"/>
        <v>44/40</v>
      </c>
      <c r="N4554" t="str">
        <f t="shared" si="186"/>
        <v>SW</v>
      </c>
      <c r="O4554" s="1" t="s">
        <v>25</v>
      </c>
      <c r="P4554" s="3" t="s">
        <v>25</v>
      </c>
      <c r="Q4554" s="37">
        <v>2.7736057559999998</v>
      </c>
      <c r="R4554" t="str">
        <f t="shared" si="183"/>
        <v>mmol/mol</v>
      </c>
      <c r="S4554" s="13">
        <f t="shared" si="184"/>
        <v>-1.8117581</v>
      </c>
    </row>
    <row r="4555" spans="1:19">
      <c r="A4555" s="18" t="s">
        <v>4106</v>
      </c>
      <c r="B4555" s="1" t="s">
        <v>4720</v>
      </c>
      <c r="C4555" s="1" t="s">
        <v>5058</v>
      </c>
      <c r="D4555" s="1" t="s">
        <v>5062</v>
      </c>
      <c r="E4555" s="1" t="s">
        <v>25</v>
      </c>
      <c r="F4555">
        <v>580</v>
      </c>
      <c r="G4555">
        <v>580</v>
      </c>
      <c r="H4555">
        <v>157</v>
      </c>
      <c r="I4555" s="1" t="s">
        <v>1528</v>
      </c>
      <c r="J4555" s="1" t="s">
        <v>1336</v>
      </c>
      <c r="K4555" s="1" t="s">
        <v>25</v>
      </c>
      <c r="L4555" t="s">
        <v>25</v>
      </c>
      <c r="M4555" t="str">
        <f t="shared" si="185"/>
        <v>Na</v>
      </c>
      <c r="N4555" t="str">
        <f t="shared" si="186"/>
        <v>Na</v>
      </c>
      <c r="O4555" s="1" t="s">
        <v>25</v>
      </c>
      <c r="P4555" s="3" t="s">
        <v>25</v>
      </c>
      <c r="Q4555" s="37" t="s">
        <v>25</v>
      </c>
      <c r="R4555" t="str">
        <f t="shared" si="183"/>
        <v>Na</v>
      </c>
      <c r="S4555" s="13" t="s">
        <v>25</v>
      </c>
    </row>
    <row r="4556" spans="1:19">
      <c r="A4556" s="18" t="s">
        <v>4106</v>
      </c>
      <c r="B4556" s="1" t="s">
        <v>4721</v>
      </c>
      <c r="C4556" s="1" t="s">
        <v>5058</v>
      </c>
      <c r="D4556" s="1" t="s">
        <v>5062</v>
      </c>
      <c r="E4556" s="1" t="s">
        <v>25</v>
      </c>
      <c r="F4556">
        <v>580</v>
      </c>
      <c r="G4556">
        <v>580</v>
      </c>
      <c r="H4556">
        <v>159</v>
      </c>
      <c r="I4556" s="1" t="s">
        <v>1528</v>
      </c>
      <c r="J4556" s="1" t="s">
        <v>1336</v>
      </c>
      <c r="K4556" s="1" t="s">
        <v>25</v>
      </c>
      <c r="L4556">
        <v>-1.68</v>
      </c>
      <c r="M4556" t="str">
        <f t="shared" si="185"/>
        <v>44/40</v>
      </c>
      <c r="N4556" t="str">
        <f t="shared" si="186"/>
        <v>SW</v>
      </c>
      <c r="O4556" s="1" t="s">
        <v>25</v>
      </c>
      <c r="P4556" s="3" t="s">
        <v>25</v>
      </c>
      <c r="Q4556" s="37">
        <v>1.5856932880000001</v>
      </c>
      <c r="R4556" t="str">
        <f t="shared" si="183"/>
        <v>mmol/mol</v>
      </c>
      <c r="S4556" s="13">
        <f t="shared" si="184"/>
        <v>-1.68</v>
      </c>
    </row>
    <row r="4557" spans="1:19">
      <c r="A4557" s="18" t="s">
        <v>4106</v>
      </c>
      <c r="B4557" s="1" t="s">
        <v>4722</v>
      </c>
      <c r="C4557" s="1" t="s">
        <v>5058</v>
      </c>
      <c r="D4557" s="1" t="s">
        <v>5062</v>
      </c>
      <c r="E4557" s="1" t="s">
        <v>25</v>
      </c>
      <c r="F4557">
        <v>580</v>
      </c>
      <c r="G4557">
        <v>580</v>
      </c>
      <c r="H4557">
        <v>163</v>
      </c>
      <c r="I4557" s="1" t="s">
        <v>1528</v>
      </c>
      <c r="J4557" s="1" t="s">
        <v>1336</v>
      </c>
      <c r="K4557" s="1" t="s">
        <v>25</v>
      </c>
      <c r="L4557" t="s">
        <v>25</v>
      </c>
      <c r="M4557" t="str">
        <f t="shared" si="185"/>
        <v>Na</v>
      </c>
      <c r="N4557" t="str">
        <f t="shared" si="186"/>
        <v>Na</v>
      </c>
      <c r="O4557" s="1" t="s">
        <v>25</v>
      </c>
      <c r="P4557" s="3" t="s">
        <v>25</v>
      </c>
      <c r="Q4557" s="37" t="s">
        <v>25</v>
      </c>
      <c r="R4557" t="str">
        <f t="shared" si="183"/>
        <v>Na</v>
      </c>
      <c r="S4557" s="13" t="s">
        <v>25</v>
      </c>
    </row>
    <row r="4558" spans="1:19">
      <c r="A4558" s="18" t="s">
        <v>4106</v>
      </c>
      <c r="B4558" s="1" t="s">
        <v>4723</v>
      </c>
      <c r="C4558" s="1" t="s">
        <v>5058</v>
      </c>
      <c r="D4558" s="1" t="s">
        <v>5062</v>
      </c>
      <c r="E4558" s="1" t="s">
        <v>25</v>
      </c>
      <c r="F4558">
        <v>580</v>
      </c>
      <c r="G4558">
        <v>580</v>
      </c>
      <c r="H4558">
        <v>165</v>
      </c>
      <c r="I4558" s="1" t="s">
        <v>1528</v>
      </c>
      <c r="J4558" s="1" t="s">
        <v>1336</v>
      </c>
      <c r="K4558" s="1" t="s">
        <v>25</v>
      </c>
      <c r="L4558">
        <v>-1.74</v>
      </c>
      <c r="M4558" t="str">
        <f t="shared" si="185"/>
        <v>44/40</v>
      </c>
      <c r="N4558" t="str">
        <f t="shared" si="186"/>
        <v>SW</v>
      </c>
      <c r="O4558" s="1" t="s">
        <v>25</v>
      </c>
      <c r="P4558" s="3" t="s">
        <v>25</v>
      </c>
      <c r="Q4558" s="37">
        <v>3.477519418</v>
      </c>
      <c r="R4558" t="str">
        <f t="shared" si="183"/>
        <v>mmol/mol</v>
      </c>
      <c r="S4558" s="13">
        <f t="shared" si="184"/>
        <v>-1.74</v>
      </c>
    </row>
    <row r="4559" spans="1:19">
      <c r="A4559" s="18" t="s">
        <v>4106</v>
      </c>
      <c r="B4559" s="1" t="s">
        <v>4724</v>
      </c>
      <c r="C4559" s="1" t="s">
        <v>5058</v>
      </c>
      <c r="D4559" s="1" t="s">
        <v>5062</v>
      </c>
      <c r="E4559" s="1" t="s">
        <v>25</v>
      </c>
      <c r="F4559">
        <v>580</v>
      </c>
      <c r="G4559">
        <v>580</v>
      </c>
      <c r="H4559">
        <v>167.2</v>
      </c>
      <c r="I4559" s="1" t="s">
        <v>1528</v>
      </c>
      <c r="J4559" s="1" t="s">
        <v>1336</v>
      </c>
      <c r="K4559" s="1" t="s">
        <v>25</v>
      </c>
      <c r="L4559" t="s">
        <v>25</v>
      </c>
      <c r="M4559" t="str">
        <f t="shared" si="185"/>
        <v>Na</v>
      </c>
      <c r="N4559" t="str">
        <f t="shared" si="186"/>
        <v>Na</v>
      </c>
      <c r="O4559" s="1" t="s">
        <v>25</v>
      </c>
      <c r="P4559" s="3" t="s">
        <v>25</v>
      </c>
      <c r="Q4559" s="37" t="s">
        <v>25</v>
      </c>
      <c r="R4559" t="str">
        <f t="shared" si="183"/>
        <v>Na</v>
      </c>
      <c r="S4559" s="13" t="s">
        <v>25</v>
      </c>
    </row>
    <row r="4560" spans="1:19">
      <c r="A4560" s="18" t="s">
        <v>4106</v>
      </c>
      <c r="B4560" s="1" t="s">
        <v>4725</v>
      </c>
      <c r="C4560" s="1" t="s">
        <v>5058</v>
      </c>
      <c r="D4560" s="1" t="s">
        <v>5062</v>
      </c>
      <c r="E4560" s="1" t="s">
        <v>25</v>
      </c>
      <c r="F4560">
        <v>580</v>
      </c>
      <c r="G4560">
        <v>580</v>
      </c>
      <c r="H4560">
        <v>169.3</v>
      </c>
      <c r="I4560" s="1" t="s">
        <v>1528</v>
      </c>
      <c r="J4560" s="1" t="s">
        <v>1336</v>
      </c>
      <c r="K4560" s="1" t="s">
        <v>25</v>
      </c>
      <c r="L4560">
        <v>-1.2971097</v>
      </c>
      <c r="M4560" t="str">
        <f t="shared" si="185"/>
        <v>44/40</v>
      </c>
      <c r="N4560" t="str">
        <f t="shared" si="186"/>
        <v>SW</v>
      </c>
      <c r="O4560" s="1" t="s">
        <v>25</v>
      </c>
      <c r="P4560" s="3" t="s">
        <v>25</v>
      </c>
      <c r="Q4560" s="37">
        <v>1.3097742560000001</v>
      </c>
      <c r="R4560" t="str">
        <f t="shared" si="183"/>
        <v>mmol/mol</v>
      </c>
      <c r="S4560" s="13">
        <f t="shared" si="184"/>
        <v>-1.2971097</v>
      </c>
    </row>
    <row r="4561" spans="1:19">
      <c r="A4561" s="18" t="s">
        <v>4106</v>
      </c>
      <c r="B4561" s="1" t="s">
        <v>4726</v>
      </c>
      <c r="C4561" s="1" t="s">
        <v>5058</v>
      </c>
      <c r="D4561" s="1" t="s">
        <v>5062</v>
      </c>
      <c r="E4561" s="1" t="s">
        <v>25</v>
      </c>
      <c r="F4561">
        <v>580</v>
      </c>
      <c r="G4561">
        <v>580</v>
      </c>
      <c r="H4561">
        <v>172</v>
      </c>
      <c r="I4561" s="1" t="s">
        <v>1528</v>
      </c>
      <c r="J4561" s="1" t="s">
        <v>1336</v>
      </c>
      <c r="K4561" s="1" t="s">
        <v>25</v>
      </c>
      <c r="L4561" t="s">
        <v>25</v>
      </c>
      <c r="M4561" t="str">
        <f t="shared" si="185"/>
        <v>Na</v>
      </c>
      <c r="N4561" t="str">
        <f t="shared" si="186"/>
        <v>Na</v>
      </c>
      <c r="O4561" s="1" t="s">
        <v>25</v>
      </c>
      <c r="P4561" s="3" t="s">
        <v>25</v>
      </c>
      <c r="Q4561" s="37" t="s">
        <v>25</v>
      </c>
      <c r="R4561" t="str">
        <f t="shared" si="183"/>
        <v>Na</v>
      </c>
      <c r="S4561" s="13" t="s">
        <v>25</v>
      </c>
    </row>
    <row r="4562" spans="1:19">
      <c r="A4562" s="18" t="s">
        <v>4106</v>
      </c>
      <c r="B4562" s="1" t="s">
        <v>4727</v>
      </c>
      <c r="C4562" s="1" t="s">
        <v>5058</v>
      </c>
      <c r="D4562" s="1" t="s">
        <v>5062</v>
      </c>
      <c r="E4562" s="1" t="s">
        <v>25</v>
      </c>
      <c r="F4562">
        <v>580</v>
      </c>
      <c r="G4562">
        <v>580</v>
      </c>
      <c r="H4562">
        <v>174.1</v>
      </c>
      <c r="I4562" s="1" t="s">
        <v>1528</v>
      </c>
      <c r="J4562" s="1" t="s">
        <v>1336</v>
      </c>
      <c r="K4562" s="1" t="s">
        <v>25</v>
      </c>
      <c r="L4562">
        <v>-1.553803</v>
      </c>
      <c r="M4562" t="str">
        <f t="shared" si="185"/>
        <v>44/40</v>
      </c>
      <c r="N4562" t="str">
        <f t="shared" si="186"/>
        <v>SW</v>
      </c>
      <c r="O4562" s="1" t="s">
        <v>25</v>
      </c>
      <c r="P4562" s="3" t="s">
        <v>25</v>
      </c>
      <c r="Q4562" s="37">
        <v>1.5587797320000001</v>
      </c>
      <c r="R4562" t="str">
        <f t="shared" si="183"/>
        <v>mmol/mol</v>
      </c>
      <c r="S4562" s="13">
        <f t="shared" si="184"/>
        <v>-1.553803</v>
      </c>
    </row>
    <row r="4563" spans="1:19">
      <c r="A4563" s="18" t="s">
        <v>4106</v>
      </c>
      <c r="B4563" s="1" t="s">
        <v>4728</v>
      </c>
      <c r="C4563" s="1" t="s">
        <v>5058</v>
      </c>
      <c r="D4563" s="1" t="s">
        <v>5062</v>
      </c>
      <c r="E4563" s="1" t="s">
        <v>25</v>
      </c>
      <c r="F4563">
        <v>580</v>
      </c>
      <c r="G4563">
        <v>580</v>
      </c>
      <c r="H4563">
        <v>176.1</v>
      </c>
      <c r="I4563" s="1" t="s">
        <v>1528</v>
      </c>
      <c r="J4563" s="1" t="s">
        <v>1336</v>
      </c>
      <c r="K4563" s="1" t="s">
        <v>25</v>
      </c>
      <c r="L4563" t="s">
        <v>25</v>
      </c>
      <c r="M4563" t="str">
        <f t="shared" si="185"/>
        <v>Na</v>
      </c>
      <c r="N4563" t="str">
        <f t="shared" si="186"/>
        <v>Na</v>
      </c>
      <c r="O4563" s="1" t="s">
        <v>25</v>
      </c>
      <c r="P4563" s="3" t="s">
        <v>25</v>
      </c>
      <c r="Q4563" s="37" t="s">
        <v>25</v>
      </c>
      <c r="R4563" t="str">
        <f t="shared" si="183"/>
        <v>Na</v>
      </c>
      <c r="S4563" s="13" t="s">
        <v>25</v>
      </c>
    </row>
    <row r="4564" spans="1:19">
      <c r="A4564" s="18" t="s">
        <v>4106</v>
      </c>
      <c r="B4564" s="1" t="s">
        <v>4729</v>
      </c>
      <c r="C4564" s="1" t="s">
        <v>5058</v>
      </c>
      <c r="D4564" s="1" t="s">
        <v>5062</v>
      </c>
      <c r="E4564" s="1" t="s">
        <v>25</v>
      </c>
      <c r="F4564">
        <v>580</v>
      </c>
      <c r="G4564">
        <v>580</v>
      </c>
      <c r="H4564">
        <v>178.2</v>
      </c>
      <c r="I4564" s="1" t="s">
        <v>1528</v>
      </c>
      <c r="J4564" s="1" t="s">
        <v>1336</v>
      </c>
      <c r="K4564" s="1" t="s">
        <v>25</v>
      </c>
      <c r="L4564" t="s">
        <v>25</v>
      </c>
      <c r="M4564" t="str">
        <f t="shared" si="185"/>
        <v>Na</v>
      </c>
      <c r="N4564" t="str">
        <f t="shared" si="186"/>
        <v>Na</v>
      </c>
      <c r="O4564" s="1" t="s">
        <v>25</v>
      </c>
      <c r="P4564" s="3" t="s">
        <v>25</v>
      </c>
      <c r="Q4564" s="37">
        <v>4.085399872</v>
      </c>
      <c r="R4564" t="str">
        <f t="shared" si="183"/>
        <v>mmol/mol</v>
      </c>
      <c r="S4564" s="13" t="s">
        <v>25</v>
      </c>
    </row>
    <row r="4565" spans="1:19">
      <c r="A4565" s="18" t="s">
        <v>4106</v>
      </c>
      <c r="B4565" s="1" t="s">
        <v>4730</v>
      </c>
      <c r="C4565" s="1" t="s">
        <v>5058</v>
      </c>
      <c r="D4565" s="1" t="s">
        <v>5062</v>
      </c>
      <c r="E4565" s="1" t="s">
        <v>25</v>
      </c>
      <c r="F4565">
        <v>580</v>
      </c>
      <c r="G4565">
        <v>580</v>
      </c>
      <c r="H4565">
        <v>180</v>
      </c>
      <c r="I4565" s="1" t="s">
        <v>1528</v>
      </c>
      <c r="J4565" s="1" t="s">
        <v>1336</v>
      </c>
      <c r="K4565" s="1" t="s">
        <v>25</v>
      </c>
      <c r="L4565" t="s">
        <v>25</v>
      </c>
      <c r="M4565" t="str">
        <f t="shared" si="185"/>
        <v>Na</v>
      </c>
      <c r="N4565" t="str">
        <f t="shared" si="186"/>
        <v>Na</v>
      </c>
      <c r="O4565" s="1" t="s">
        <v>25</v>
      </c>
      <c r="P4565" s="3" t="s">
        <v>25</v>
      </c>
      <c r="Q4565" s="37" t="s">
        <v>25</v>
      </c>
      <c r="R4565" t="str">
        <f t="shared" si="183"/>
        <v>Na</v>
      </c>
      <c r="S4565" s="13" t="s">
        <v>25</v>
      </c>
    </row>
    <row r="4566" spans="1:19">
      <c r="A4566" s="18" t="s">
        <v>4106</v>
      </c>
      <c r="B4566" s="1" t="s">
        <v>4731</v>
      </c>
      <c r="C4566" s="1" t="s">
        <v>5058</v>
      </c>
      <c r="D4566" s="1" t="s">
        <v>5062</v>
      </c>
      <c r="E4566" s="1" t="s">
        <v>25</v>
      </c>
      <c r="F4566">
        <v>580</v>
      </c>
      <c r="G4566">
        <v>580</v>
      </c>
      <c r="H4566">
        <v>182.7</v>
      </c>
      <c r="I4566" s="1" t="s">
        <v>1528</v>
      </c>
      <c r="J4566" s="1" t="s">
        <v>1336</v>
      </c>
      <c r="K4566" s="1" t="s">
        <v>25</v>
      </c>
      <c r="L4566">
        <v>-1.6246034</v>
      </c>
      <c r="M4566" t="str">
        <f t="shared" si="185"/>
        <v>44/40</v>
      </c>
      <c r="N4566" t="str">
        <f t="shared" si="186"/>
        <v>SW</v>
      </c>
      <c r="O4566" s="1" t="s">
        <v>25</v>
      </c>
      <c r="P4566" s="3" t="s">
        <v>25</v>
      </c>
      <c r="Q4566" s="37">
        <v>1.7153366619999999</v>
      </c>
      <c r="R4566" t="str">
        <f t="shared" si="183"/>
        <v>mmol/mol</v>
      </c>
      <c r="S4566" s="13">
        <f t="shared" si="184"/>
        <v>-1.6246034</v>
      </c>
    </row>
    <row r="4567" spans="1:19">
      <c r="A4567" s="18" t="s">
        <v>4106</v>
      </c>
      <c r="B4567" s="1" t="s">
        <v>4732</v>
      </c>
      <c r="C4567" s="1" t="s">
        <v>5058</v>
      </c>
      <c r="D4567" s="1" t="s">
        <v>5062</v>
      </c>
      <c r="E4567" s="1" t="s">
        <v>25</v>
      </c>
      <c r="F4567">
        <v>580</v>
      </c>
      <c r="G4567">
        <v>580</v>
      </c>
      <c r="H4567">
        <v>184.1</v>
      </c>
      <c r="I4567" s="1" t="s">
        <v>1528</v>
      </c>
      <c r="J4567" s="1" t="s">
        <v>1336</v>
      </c>
      <c r="K4567" s="1" t="s">
        <v>25</v>
      </c>
      <c r="L4567" t="s">
        <v>25</v>
      </c>
      <c r="M4567" t="str">
        <f t="shared" si="185"/>
        <v>Na</v>
      </c>
      <c r="N4567" t="str">
        <f t="shared" si="186"/>
        <v>Na</v>
      </c>
      <c r="O4567" s="1" t="s">
        <v>25</v>
      </c>
      <c r="P4567" s="3" t="s">
        <v>25</v>
      </c>
      <c r="Q4567" s="37" t="s">
        <v>25</v>
      </c>
      <c r="R4567" t="str">
        <f t="shared" si="183"/>
        <v>Na</v>
      </c>
      <c r="S4567" s="13" t="s">
        <v>25</v>
      </c>
    </row>
    <row r="4568" spans="1:19">
      <c r="A4568" s="18" t="s">
        <v>4106</v>
      </c>
      <c r="B4568" s="1" t="s">
        <v>4733</v>
      </c>
      <c r="C4568" s="1" t="s">
        <v>5058</v>
      </c>
      <c r="D4568" s="1" t="s">
        <v>5062</v>
      </c>
      <c r="E4568" s="1" t="s">
        <v>25</v>
      </c>
      <c r="F4568">
        <v>580</v>
      </c>
      <c r="G4568">
        <v>580</v>
      </c>
      <c r="H4568">
        <v>186</v>
      </c>
      <c r="I4568" s="1" t="s">
        <v>1528</v>
      </c>
      <c r="J4568" s="1" t="s">
        <v>1336</v>
      </c>
      <c r="K4568" s="1" t="s">
        <v>25</v>
      </c>
      <c r="L4568">
        <v>-1.56</v>
      </c>
      <c r="M4568" t="str">
        <f t="shared" si="185"/>
        <v>44/40</v>
      </c>
      <c r="N4568" t="str">
        <f t="shared" si="186"/>
        <v>SW</v>
      </c>
      <c r="O4568" s="1" t="s">
        <v>25</v>
      </c>
      <c r="P4568" s="3" t="s">
        <v>25</v>
      </c>
      <c r="Q4568" s="37">
        <v>1.2073513140000001</v>
      </c>
      <c r="R4568" t="str">
        <f t="shared" si="183"/>
        <v>mmol/mol</v>
      </c>
      <c r="S4568" s="13">
        <f t="shared" si="184"/>
        <v>-1.56</v>
      </c>
    </row>
    <row r="4569" spans="1:19">
      <c r="A4569" s="18" t="s">
        <v>4106</v>
      </c>
      <c r="B4569" s="1" t="s">
        <v>4734</v>
      </c>
      <c r="C4569" s="1" t="s">
        <v>5058</v>
      </c>
      <c r="D4569" s="1" t="s">
        <v>5062</v>
      </c>
      <c r="E4569" s="1" t="s">
        <v>25</v>
      </c>
      <c r="F4569">
        <v>580</v>
      </c>
      <c r="G4569">
        <v>580</v>
      </c>
      <c r="H4569">
        <v>188</v>
      </c>
      <c r="I4569" s="1" t="s">
        <v>1528</v>
      </c>
      <c r="J4569" s="1" t="s">
        <v>1336</v>
      </c>
      <c r="K4569" s="1" t="s">
        <v>25</v>
      </c>
      <c r="L4569" t="s">
        <v>25</v>
      </c>
      <c r="M4569" t="str">
        <f t="shared" si="185"/>
        <v>Na</v>
      </c>
      <c r="N4569" t="str">
        <f t="shared" si="186"/>
        <v>Na</v>
      </c>
      <c r="O4569" s="1" t="s">
        <v>25</v>
      </c>
      <c r="P4569" s="3" t="s">
        <v>25</v>
      </c>
      <c r="Q4569" s="37" t="s">
        <v>25</v>
      </c>
      <c r="R4569" t="str">
        <f t="shared" ref="R4569:R4632" si="187">IF(Q4569="Na","Na","mmol/mol")</f>
        <v>Na</v>
      </c>
      <c r="S4569" s="13" t="s">
        <v>25</v>
      </c>
    </row>
    <row r="4570" spans="1:19">
      <c r="A4570" s="18" t="s">
        <v>4106</v>
      </c>
      <c r="B4570" s="1" t="s">
        <v>4735</v>
      </c>
      <c r="C4570" s="1" t="s">
        <v>5058</v>
      </c>
      <c r="D4570" s="1" t="s">
        <v>5062</v>
      </c>
      <c r="E4570" s="1" t="s">
        <v>25</v>
      </c>
      <c r="F4570">
        <v>580</v>
      </c>
      <c r="G4570">
        <v>580</v>
      </c>
      <c r="H4570">
        <v>190</v>
      </c>
      <c r="I4570" s="1" t="s">
        <v>1528</v>
      </c>
      <c r="J4570" s="1" t="s">
        <v>1336</v>
      </c>
      <c r="K4570" s="1" t="s">
        <v>25</v>
      </c>
      <c r="L4570">
        <v>-1.47</v>
      </c>
      <c r="M4570" t="str">
        <f t="shared" si="185"/>
        <v>44/40</v>
      </c>
      <c r="N4570" t="str">
        <f t="shared" si="186"/>
        <v>SW</v>
      </c>
      <c r="O4570" s="1" t="s">
        <v>25</v>
      </c>
      <c r="P4570" s="3" t="s">
        <v>25</v>
      </c>
      <c r="Q4570" s="37">
        <v>1.3819782199999999</v>
      </c>
      <c r="R4570" t="str">
        <f t="shared" si="187"/>
        <v>mmol/mol</v>
      </c>
      <c r="S4570" s="13">
        <f t="shared" si="184"/>
        <v>-1.47</v>
      </c>
    </row>
    <row r="4571" spans="1:19">
      <c r="A4571" s="18" t="s">
        <v>4106</v>
      </c>
      <c r="B4571" s="1" t="s">
        <v>4736</v>
      </c>
      <c r="C4571" s="1" t="s">
        <v>5058</v>
      </c>
      <c r="D4571" s="1" t="s">
        <v>5062</v>
      </c>
      <c r="E4571" s="1" t="s">
        <v>25</v>
      </c>
      <c r="F4571">
        <v>580</v>
      </c>
      <c r="G4571">
        <v>580</v>
      </c>
      <c r="H4571">
        <v>192.2</v>
      </c>
      <c r="I4571" s="1" t="s">
        <v>1528</v>
      </c>
      <c r="J4571" s="1" t="s">
        <v>1336</v>
      </c>
      <c r="K4571" s="1" t="s">
        <v>25</v>
      </c>
      <c r="L4571" t="s">
        <v>25</v>
      </c>
      <c r="M4571" t="str">
        <f t="shared" si="185"/>
        <v>Na</v>
      </c>
      <c r="N4571" t="str">
        <f t="shared" si="186"/>
        <v>Na</v>
      </c>
      <c r="O4571" s="1" t="s">
        <v>25</v>
      </c>
      <c r="P4571" s="3" t="s">
        <v>25</v>
      </c>
      <c r="Q4571" s="37" t="s">
        <v>25</v>
      </c>
      <c r="R4571" t="str">
        <f t="shared" si="187"/>
        <v>Na</v>
      </c>
      <c r="S4571" s="13" t="s">
        <v>25</v>
      </c>
    </row>
    <row r="4572" spans="1:19">
      <c r="A4572" s="18" t="s">
        <v>4106</v>
      </c>
      <c r="B4572" s="1" t="s">
        <v>4737</v>
      </c>
      <c r="C4572" s="1" t="s">
        <v>5058</v>
      </c>
      <c r="D4572" s="1" t="s">
        <v>5062</v>
      </c>
      <c r="E4572" s="1" t="s">
        <v>25</v>
      </c>
      <c r="F4572">
        <v>580</v>
      </c>
      <c r="G4572">
        <v>580</v>
      </c>
      <c r="H4572">
        <v>193.9</v>
      </c>
      <c r="I4572" s="1" t="s">
        <v>1528</v>
      </c>
      <c r="J4572" s="1" t="s">
        <v>1336</v>
      </c>
      <c r="K4572" s="1" t="s">
        <v>25</v>
      </c>
      <c r="L4572">
        <v>-1.6129373</v>
      </c>
      <c r="M4572" t="str">
        <f t="shared" si="185"/>
        <v>44/40</v>
      </c>
      <c r="N4572" t="str">
        <f t="shared" si="186"/>
        <v>SW</v>
      </c>
      <c r="O4572" s="1" t="s">
        <v>25</v>
      </c>
      <c r="P4572" s="3" t="s">
        <v>25</v>
      </c>
      <c r="Q4572" s="37">
        <v>0.902612258</v>
      </c>
      <c r="R4572" t="str">
        <f t="shared" si="187"/>
        <v>mmol/mol</v>
      </c>
      <c r="S4572" s="13">
        <f t="shared" si="184"/>
        <v>-1.6129373</v>
      </c>
    </row>
    <row r="4573" spans="1:19">
      <c r="A4573" s="18" t="s">
        <v>4106</v>
      </c>
      <c r="B4573" s="1" t="s">
        <v>4738</v>
      </c>
      <c r="C4573" s="1" t="s">
        <v>5058</v>
      </c>
      <c r="D4573" s="1" t="s">
        <v>5062</v>
      </c>
      <c r="E4573" s="1" t="s">
        <v>25</v>
      </c>
      <c r="F4573">
        <v>580</v>
      </c>
      <c r="G4573">
        <v>580</v>
      </c>
      <c r="H4573">
        <v>196.4</v>
      </c>
      <c r="I4573" s="1" t="s">
        <v>1528</v>
      </c>
      <c r="J4573" s="1" t="s">
        <v>1336</v>
      </c>
      <c r="K4573" s="1" t="s">
        <v>25</v>
      </c>
      <c r="L4573" t="s">
        <v>25</v>
      </c>
      <c r="M4573" t="str">
        <f t="shared" si="185"/>
        <v>Na</v>
      </c>
      <c r="N4573" t="str">
        <f t="shared" si="186"/>
        <v>Na</v>
      </c>
      <c r="O4573" s="1" t="s">
        <v>25</v>
      </c>
      <c r="P4573" s="3" t="s">
        <v>25</v>
      </c>
      <c r="Q4573" s="37" t="s">
        <v>25</v>
      </c>
      <c r="R4573" t="str">
        <f t="shared" si="187"/>
        <v>Na</v>
      </c>
      <c r="S4573" s="13" t="s">
        <v>25</v>
      </c>
    </row>
    <row r="4574" spans="1:19">
      <c r="A4574" s="18" t="s">
        <v>4106</v>
      </c>
      <c r="B4574" s="1" t="s">
        <v>4739</v>
      </c>
      <c r="C4574" s="1" t="s">
        <v>5058</v>
      </c>
      <c r="D4574" s="1" t="s">
        <v>5062</v>
      </c>
      <c r="E4574" s="1" t="s">
        <v>25</v>
      </c>
      <c r="F4574">
        <v>580</v>
      </c>
      <c r="G4574">
        <v>580</v>
      </c>
      <c r="H4574">
        <v>197.8</v>
      </c>
      <c r="I4574" s="1" t="s">
        <v>1528</v>
      </c>
      <c r="J4574" s="1" t="s">
        <v>1336</v>
      </c>
      <c r="K4574" s="1" t="s">
        <v>25</v>
      </c>
      <c r="L4574">
        <v>-1.2186581999999999</v>
      </c>
      <c r="M4574" t="str">
        <f t="shared" si="185"/>
        <v>44/40</v>
      </c>
      <c r="N4574" t="str">
        <f t="shared" si="186"/>
        <v>SW</v>
      </c>
      <c r="O4574" s="1" t="s">
        <v>25</v>
      </c>
      <c r="P4574" s="3" t="s">
        <v>25</v>
      </c>
      <c r="Q4574" s="37">
        <v>0.60458800800000001</v>
      </c>
      <c r="R4574" t="str">
        <f t="shared" si="187"/>
        <v>mmol/mol</v>
      </c>
      <c r="S4574" s="13">
        <f t="shared" si="184"/>
        <v>-1.2186581999999999</v>
      </c>
    </row>
    <row r="4575" spans="1:19">
      <c r="A4575" s="18" t="s">
        <v>4106</v>
      </c>
      <c r="B4575" s="1" t="s">
        <v>4740</v>
      </c>
      <c r="C4575" s="1" t="s">
        <v>5058</v>
      </c>
      <c r="D4575" s="1" t="s">
        <v>5062</v>
      </c>
      <c r="E4575" s="1" t="s">
        <v>25</v>
      </c>
      <c r="F4575">
        <v>580</v>
      </c>
      <c r="G4575">
        <v>580</v>
      </c>
      <c r="H4575">
        <v>200.3</v>
      </c>
      <c r="I4575" s="1" t="s">
        <v>1528</v>
      </c>
      <c r="J4575" s="1" t="s">
        <v>1336</v>
      </c>
      <c r="K4575" s="1" t="s">
        <v>25</v>
      </c>
      <c r="L4575" t="s">
        <v>25</v>
      </c>
      <c r="M4575" t="str">
        <f t="shared" si="185"/>
        <v>Na</v>
      </c>
      <c r="N4575" t="str">
        <f t="shared" si="186"/>
        <v>Na</v>
      </c>
      <c r="O4575" s="1" t="s">
        <v>25</v>
      </c>
      <c r="P4575" s="3" t="s">
        <v>25</v>
      </c>
      <c r="Q4575" s="37" t="s">
        <v>25</v>
      </c>
      <c r="R4575" t="str">
        <f t="shared" si="187"/>
        <v>Na</v>
      </c>
      <c r="S4575" s="13" t="s">
        <v>25</v>
      </c>
    </row>
    <row r="4576" spans="1:19">
      <c r="A4576" s="18" t="s">
        <v>4106</v>
      </c>
      <c r="B4576" s="1" t="s">
        <v>4741</v>
      </c>
      <c r="C4576" s="1" t="s">
        <v>5058</v>
      </c>
      <c r="D4576" s="1" t="s">
        <v>5062</v>
      </c>
      <c r="E4576" s="1" t="s">
        <v>25</v>
      </c>
      <c r="F4576">
        <v>580</v>
      </c>
      <c r="G4576">
        <v>580</v>
      </c>
      <c r="H4576">
        <v>202.3</v>
      </c>
      <c r="I4576" s="1" t="s">
        <v>1528</v>
      </c>
      <c r="J4576" s="1" t="s">
        <v>1336</v>
      </c>
      <c r="K4576" s="1" t="s">
        <v>25</v>
      </c>
      <c r="L4576">
        <v>-0.97</v>
      </c>
      <c r="M4576" t="str">
        <f t="shared" si="185"/>
        <v>44/40</v>
      </c>
      <c r="N4576" t="str">
        <f t="shared" si="186"/>
        <v>SW</v>
      </c>
      <c r="O4576" s="1" t="s">
        <v>25</v>
      </c>
      <c r="P4576" s="3" t="s">
        <v>25</v>
      </c>
      <c r="Q4576" s="37">
        <v>0.81479954700000001</v>
      </c>
      <c r="R4576" t="str">
        <f t="shared" si="187"/>
        <v>mmol/mol</v>
      </c>
      <c r="S4576" s="13">
        <f t="shared" si="184"/>
        <v>-0.97</v>
      </c>
    </row>
    <row r="4577" spans="1:19">
      <c r="A4577" s="18" t="s">
        <v>4106</v>
      </c>
      <c r="B4577" s="1" t="s">
        <v>4742</v>
      </c>
      <c r="C4577" s="1" t="s">
        <v>5058</v>
      </c>
      <c r="D4577" s="1" t="s">
        <v>5062</v>
      </c>
      <c r="E4577" s="1" t="s">
        <v>25</v>
      </c>
      <c r="F4577">
        <v>580</v>
      </c>
      <c r="G4577">
        <v>580</v>
      </c>
      <c r="H4577">
        <v>204</v>
      </c>
      <c r="I4577" s="1" t="s">
        <v>1528</v>
      </c>
      <c r="J4577" s="1" t="s">
        <v>1336</v>
      </c>
      <c r="K4577" s="1" t="s">
        <v>25</v>
      </c>
      <c r="L4577">
        <v>-1.0283452</v>
      </c>
      <c r="M4577" t="str">
        <f t="shared" si="185"/>
        <v>44/40</v>
      </c>
      <c r="N4577" t="str">
        <f t="shared" si="186"/>
        <v>SW</v>
      </c>
      <c r="O4577" s="1" t="s">
        <v>25</v>
      </c>
      <c r="P4577" s="3" t="s">
        <v>25</v>
      </c>
      <c r="Q4577" s="37">
        <v>2.601836209</v>
      </c>
      <c r="R4577" t="str">
        <f t="shared" si="187"/>
        <v>mmol/mol</v>
      </c>
      <c r="S4577" s="13">
        <f t="shared" si="184"/>
        <v>-1.0283452</v>
      </c>
    </row>
    <row r="4578" spans="1:19">
      <c r="A4578" s="18" t="s">
        <v>4106</v>
      </c>
      <c r="B4578" s="1" t="s">
        <v>4743</v>
      </c>
      <c r="C4578" s="1" t="s">
        <v>5058</v>
      </c>
      <c r="D4578" s="1" t="s">
        <v>5062</v>
      </c>
      <c r="E4578" s="1" t="s">
        <v>25</v>
      </c>
      <c r="F4578">
        <v>580</v>
      </c>
      <c r="G4578">
        <v>580</v>
      </c>
      <c r="H4578">
        <v>206</v>
      </c>
      <c r="I4578" s="1" t="s">
        <v>1528</v>
      </c>
      <c r="J4578" s="1" t="s">
        <v>1336</v>
      </c>
      <c r="K4578" s="1" t="s">
        <v>25</v>
      </c>
      <c r="L4578">
        <v>-1.0837294</v>
      </c>
      <c r="M4578" t="str">
        <f t="shared" si="185"/>
        <v>44/40</v>
      </c>
      <c r="N4578" t="str">
        <f t="shared" si="186"/>
        <v>SW</v>
      </c>
      <c r="O4578" s="1" t="s">
        <v>25</v>
      </c>
      <c r="P4578" s="3" t="s">
        <v>25</v>
      </c>
      <c r="Q4578" s="37">
        <v>1.6467156709999999</v>
      </c>
      <c r="R4578" t="str">
        <f t="shared" si="187"/>
        <v>mmol/mol</v>
      </c>
      <c r="S4578" s="13">
        <f t="shared" si="184"/>
        <v>-1.0837294</v>
      </c>
    </row>
    <row r="4579" spans="1:19">
      <c r="A4579" s="18" t="s">
        <v>4106</v>
      </c>
      <c r="B4579" s="1" t="s">
        <v>4744</v>
      </c>
      <c r="C4579" s="1" t="s">
        <v>5058</v>
      </c>
      <c r="D4579" s="1" t="s">
        <v>5062</v>
      </c>
      <c r="E4579" s="1" t="s">
        <v>25</v>
      </c>
      <c r="F4579">
        <v>580</v>
      </c>
      <c r="G4579">
        <v>580</v>
      </c>
      <c r="H4579">
        <v>210</v>
      </c>
      <c r="I4579" s="1" t="s">
        <v>1528</v>
      </c>
      <c r="J4579" s="1" t="s">
        <v>1336</v>
      </c>
      <c r="K4579" s="1" t="s">
        <v>25</v>
      </c>
      <c r="L4579">
        <v>-0.85</v>
      </c>
      <c r="M4579" t="str">
        <f t="shared" si="185"/>
        <v>44/40</v>
      </c>
      <c r="N4579" t="str">
        <f t="shared" si="186"/>
        <v>SW</v>
      </c>
      <c r="O4579" s="1" t="s">
        <v>25</v>
      </c>
      <c r="P4579" s="3" t="s">
        <v>25</v>
      </c>
      <c r="Q4579" s="37">
        <v>3.1661198810000002</v>
      </c>
      <c r="R4579" t="str">
        <f t="shared" si="187"/>
        <v>mmol/mol</v>
      </c>
      <c r="S4579" s="13">
        <f t="shared" si="184"/>
        <v>-0.85</v>
      </c>
    </row>
    <row r="4580" spans="1:19">
      <c r="A4580" s="18" t="s">
        <v>4106</v>
      </c>
      <c r="B4580" s="1" t="s">
        <v>4745</v>
      </c>
      <c r="C4580" s="1" t="s">
        <v>5058</v>
      </c>
      <c r="D4580" s="1" t="s">
        <v>5062</v>
      </c>
      <c r="E4580" s="1" t="s">
        <v>25</v>
      </c>
      <c r="F4580">
        <v>580</v>
      </c>
      <c r="G4580">
        <v>580</v>
      </c>
      <c r="H4580">
        <v>211.8</v>
      </c>
      <c r="I4580" s="1" t="s">
        <v>1528</v>
      </c>
      <c r="J4580" s="1" t="s">
        <v>1336</v>
      </c>
      <c r="K4580" s="1" t="s">
        <v>25</v>
      </c>
      <c r="L4580">
        <v>-1.4986222</v>
      </c>
      <c r="M4580" t="str">
        <f t="shared" si="185"/>
        <v>44/40</v>
      </c>
      <c r="N4580" t="str">
        <f t="shared" si="186"/>
        <v>SW</v>
      </c>
      <c r="O4580" s="1" t="s">
        <v>25</v>
      </c>
      <c r="P4580" s="3" t="s">
        <v>25</v>
      </c>
      <c r="Q4580" s="37">
        <v>1.6430038149999999</v>
      </c>
      <c r="R4580" t="str">
        <f t="shared" si="187"/>
        <v>mmol/mol</v>
      </c>
      <c r="S4580" s="13">
        <f t="shared" si="184"/>
        <v>-1.4986222</v>
      </c>
    </row>
    <row r="4581" spans="1:19">
      <c r="A4581" s="18" t="s">
        <v>4106</v>
      </c>
      <c r="B4581" s="1" t="s">
        <v>4746</v>
      </c>
      <c r="C4581" s="1" t="s">
        <v>5058</v>
      </c>
      <c r="D4581" s="1" t="s">
        <v>5062</v>
      </c>
      <c r="E4581" s="1" t="s">
        <v>25</v>
      </c>
      <c r="F4581">
        <v>580</v>
      </c>
      <c r="G4581">
        <v>580</v>
      </c>
      <c r="H4581">
        <v>217</v>
      </c>
      <c r="I4581" s="1" t="s">
        <v>1528</v>
      </c>
      <c r="J4581" s="1" t="s">
        <v>1336</v>
      </c>
      <c r="K4581" s="1" t="s">
        <v>25</v>
      </c>
      <c r="L4581">
        <v>-1.2782781000000001</v>
      </c>
      <c r="M4581" t="str">
        <f t="shared" si="185"/>
        <v>44/40</v>
      </c>
      <c r="N4581" t="str">
        <f t="shared" si="186"/>
        <v>SW</v>
      </c>
      <c r="O4581" s="1" t="s">
        <v>25</v>
      </c>
      <c r="P4581" s="3" t="s">
        <v>25</v>
      </c>
      <c r="Q4581" s="37">
        <v>3.3236313110000002</v>
      </c>
      <c r="R4581" t="str">
        <f t="shared" si="187"/>
        <v>mmol/mol</v>
      </c>
      <c r="S4581" s="13">
        <f t="shared" si="184"/>
        <v>-1.2782781000000001</v>
      </c>
    </row>
    <row r="4582" spans="1:19">
      <c r="A4582" s="18" t="s">
        <v>4106</v>
      </c>
      <c r="B4582" s="1" t="s">
        <v>4747</v>
      </c>
      <c r="C4582" s="1" t="s">
        <v>5058</v>
      </c>
      <c r="D4582" s="1" t="s">
        <v>5062</v>
      </c>
      <c r="E4582" s="1" t="s">
        <v>25</v>
      </c>
      <c r="F4582">
        <v>580</v>
      </c>
      <c r="G4582">
        <v>580</v>
      </c>
      <c r="H4582">
        <v>220.1</v>
      </c>
      <c r="I4582" s="1" t="s">
        <v>1528</v>
      </c>
      <c r="J4582" s="1" t="s">
        <v>1336</v>
      </c>
      <c r="K4582" s="1" t="s">
        <v>25</v>
      </c>
      <c r="L4582">
        <v>-1.26</v>
      </c>
      <c r="M4582" t="str">
        <f t="shared" si="185"/>
        <v>44/40</v>
      </c>
      <c r="N4582" t="str">
        <f t="shared" si="186"/>
        <v>SW</v>
      </c>
      <c r="O4582" s="1" t="s">
        <v>25</v>
      </c>
      <c r="P4582" s="3" t="s">
        <v>25</v>
      </c>
      <c r="Q4582" s="37">
        <v>1.075254097</v>
      </c>
      <c r="R4582" t="str">
        <f t="shared" si="187"/>
        <v>mmol/mol</v>
      </c>
      <c r="S4582" s="13">
        <f t="shared" si="184"/>
        <v>-1.26</v>
      </c>
    </row>
    <row r="4583" spans="1:19">
      <c r="A4583" s="18" t="s">
        <v>4106</v>
      </c>
      <c r="B4583" s="1" t="s">
        <v>4748</v>
      </c>
      <c r="C4583" s="1" t="s">
        <v>5058</v>
      </c>
      <c r="D4583" s="1" t="s">
        <v>5062</v>
      </c>
      <c r="E4583" s="1" t="s">
        <v>25</v>
      </c>
      <c r="F4583">
        <v>580</v>
      </c>
      <c r="G4583">
        <v>580</v>
      </c>
      <c r="H4583">
        <v>222</v>
      </c>
      <c r="I4583" s="1" t="s">
        <v>1528</v>
      </c>
      <c r="J4583" s="1" t="s">
        <v>1336</v>
      </c>
      <c r="K4583" s="1" t="s">
        <v>25</v>
      </c>
      <c r="L4583">
        <v>-1.32</v>
      </c>
      <c r="M4583" t="str">
        <f t="shared" si="185"/>
        <v>44/40</v>
      </c>
      <c r="N4583" t="str">
        <f t="shared" si="186"/>
        <v>SW</v>
      </c>
      <c r="O4583" s="1" t="s">
        <v>25</v>
      </c>
      <c r="P4583" s="3" t="s">
        <v>25</v>
      </c>
      <c r="Q4583" s="37">
        <v>2.7598063850000001</v>
      </c>
      <c r="R4583" t="str">
        <f t="shared" si="187"/>
        <v>mmol/mol</v>
      </c>
      <c r="S4583" s="13">
        <f t="shared" si="184"/>
        <v>-1.32</v>
      </c>
    </row>
    <row r="4584" spans="1:19">
      <c r="A4584" s="18" t="s">
        <v>4106</v>
      </c>
      <c r="B4584" s="1" t="s">
        <v>4749</v>
      </c>
      <c r="C4584" s="1" t="s">
        <v>5058</v>
      </c>
      <c r="D4584" s="1" t="s">
        <v>5062</v>
      </c>
      <c r="E4584" s="1" t="s">
        <v>25</v>
      </c>
      <c r="F4584">
        <v>580</v>
      </c>
      <c r="G4584">
        <v>580</v>
      </c>
      <c r="H4584">
        <v>232.3</v>
      </c>
      <c r="I4584" s="1" t="s">
        <v>1528</v>
      </c>
      <c r="J4584" s="1" t="s">
        <v>1336</v>
      </c>
      <c r="K4584" s="1" t="s">
        <v>25</v>
      </c>
      <c r="L4584">
        <v>-1.4752841999999999</v>
      </c>
      <c r="M4584" t="str">
        <f t="shared" si="185"/>
        <v>44/40</v>
      </c>
      <c r="N4584" t="str">
        <f t="shared" si="186"/>
        <v>SW</v>
      </c>
      <c r="O4584" s="1" t="s">
        <v>25</v>
      </c>
      <c r="P4584" s="3" t="s">
        <v>25</v>
      </c>
      <c r="Q4584" s="37">
        <v>2.291258139</v>
      </c>
      <c r="R4584" t="str">
        <f t="shared" si="187"/>
        <v>mmol/mol</v>
      </c>
      <c r="S4584" s="13">
        <f t="shared" si="184"/>
        <v>-1.4752841999999999</v>
      </c>
    </row>
    <row r="4585" spans="1:19">
      <c r="A4585" s="18" t="s">
        <v>4106</v>
      </c>
      <c r="B4585" s="1" t="s">
        <v>4750</v>
      </c>
      <c r="C4585" s="1" t="s">
        <v>5058</v>
      </c>
      <c r="D4585" s="1" t="s">
        <v>5062</v>
      </c>
      <c r="E4585" s="1" t="s">
        <v>25</v>
      </c>
      <c r="F4585">
        <v>580</v>
      </c>
      <c r="G4585">
        <v>580</v>
      </c>
      <c r="H4585">
        <v>234.2</v>
      </c>
      <c r="I4585" s="1" t="s">
        <v>1528</v>
      </c>
      <c r="J4585" s="1" t="s">
        <v>1336</v>
      </c>
      <c r="K4585" s="1" t="s">
        <v>25</v>
      </c>
      <c r="L4585" t="s">
        <v>25</v>
      </c>
      <c r="M4585" t="str">
        <f t="shared" si="185"/>
        <v>Na</v>
      </c>
      <c r="N4585" t="str">
        <f t="shared" si="186"/>
        <v>Na</v>
      </c>
      <c r="O4585" s="1" t="s">
        <v>25</v>
      </c>
      <c r="P4585" s="3" t="s">
        <v>25</v>
      </c>
      <c r="Q4585" s="37" t="s">
        <v>25</v>
      </c>
      <c r="R4585" t="str">
        <f t="shared" si="187"/>
        <v>Na</v>
      </c>
      <c r="S4585" s="13" t="s">
        <v>25</v>
      </c>
    </row>
    <row r="4586" spans="1:19">
      <c r="A4586" s="18" t="s">
        <v>4106</v>
      </c>
      <c r="B4586" s="1" t="s">
        <v>4751</v>
      </c>
      <c r="C4586" s="1" t="s">
        <v>5058</v>
      </c>
      <c r="D4586" s="1" t="s">
        <v>5062</v>
      </c>
      <c r="E4586" s="1" t="s">
        <v>25</v>
      </c>
      <c r="F4586">
        <v>580</v>
      </c>
      <c r="G4586">
        <v>580</v>
      </c>
      <c r="H4586">
        <v>238.3</v>
      </c>
      <c r="I4586" s="1" t="s">
        <v>1528</v>
      </c>
      <c r="J4586" s="1" t="s">
        <v>1336</v>
      </c>
      <c r="K4586" s="1" t="s">
        <v>25</v>
      </c>
      <c r="L4586" t="s">
        <v>25</v>
      </c>
      <c r="M4586" t="str">
        <f t="shared" si="185"/>
        <v>Na</v>
      </c>
      <c r="N4586" t="str">
        <f t="shared" si="186"/>
        <v>Na</v>
      </c>
      <c r="O4586" s="1" t="s">
        <v>25</v>
      </c>
      <c r="P4586" s="3" t="s">
        <v>25</v>
      </c>
      <c r="Q4586" s="37">
        <v>1.8956353939999999</v>
      </c>
      <c r="R4586" t="str">
        <f t="shared" si="187"/>
        <v>mmol/mol</v>
      </c>
      <c r="S4586" s="13" t="s">
        <v>25</v>
      </c>
    </row>
    <row r="4587" spans="1:19">
      <c r="A4587" s="18" t="s">
        <v>4106</v>
      </c>
      <c r="B4587" s="1" t="s">
        <v>4752</v>
      </c>
      <c r="C4587" s="1" t="s">
        <v>5058</v>
      </c>
      <c r="D4587" s="1" t="s">
        <v>5062</v>
      </c>
      <c r="E4587" s="1" t="s">
        <v>25</v>
      </c>
      <c r="F4587">
        <v>580</v>
      </c>
      <c r="G4587">
        <v>580</v>
      </c>
      <c r="H4587">
        <v>242</v>
      </c>
      <c r="I4587" s="1" t="s">
        <v>1528</v>
      </c>
      <c r="J4587" s="1" t="s">
        <v>1336</v>
      </c>
      <c r="K4587" s="1" t="s">
        <v>25</v>
      </c>
      <c r="L4587">
        <v>-1.5777838</v>
      </c>
      <c r="M4587" t="str">
        <f t="shared" si="185"/>
        <v>44/40</v>
      </c>
      <c r="N4587" t="str">
        <f t="shared" si="186"/>
        <v>SW</v>
      </c>
      <c r="O4587" s="1" t="s">
        <v>25</v>
      </c>
      <c r="P4587" s="3" t="s">
        <v>25</v>
      </c>
      <c r="Q4587" s="37">
        <v>2.4817736749999999</v>
      </c>
      <c r="R4587" t="str">
        <f t="shared" si="187"/>
        <v>mmol/mol</v>
      </c>
      <c r="S4587" s="13">
        <f t="shared" si="184"/>
        <v>-1.5777838</v>
      </c>
    </row>
    <row r="4588" spans="1:19">
      <c r="A4588" s="18" t="s">
        <v>4106</v>
      </c>
      <c r="B4588" s="1" t="s">
        <v>4753</v>
      </c>
      <c r="C4588" s="1" t="s">
        <v>5058</v>
      </c>
      <c r="D4588" s="1" t="s">
        <v>5062</v>
      </c>
      <c r="E4588" s="1" t="s">
        <v>25</v>
      </c>
      <c r="F4588">
        <v>580</v>
      </c>
      <c r="G4588">
        <v>580</v>
      </c>
      <c r="H4588">
        <v>244.2</v>
      </c>
      <c r="I4588" s="1" t="s">
        <v>1528</v>
      </c>
      <c r="J4588" s="1" t="s">
        <v>1336</v>
      </c>
      <c r="K4588" s="1" t="s">
        <v>25</v>
      </c>
      <c r="L4588">
        <v>-1.3783983</v>
      </c>
      <c r="M4588" t="str">
        <f t="shared" si="185"/>
        <v>44/40</v>
      </c>
      <c r="N4588" t="str">
        <f t="shared" si="186"/>
        <v>SW</v>
      </c>
      <c r="O4588" s="1" t="s">
        <v>25</v>
      </c>
      <c r="P4588" s="3" t="s">
        <v>25</v>
      </c>
      <c r="Q4588" s="37">
        <v>3.9673293119999999</v>
      </c>
      <c r="R4588" t="str">
        <f t="shared" si="187"/>
        <v>mmol/mol</v>
      </c>
      <c r="S4588" s="13">
        <f t="shared" ref="S4588:S4651" si="188">IF(NOT(N4588="SW"),L4588-1.88,L4588)</f>
        <v>-1.3783983</v>
      </c>
    </row>
    <row r="4589" spans="1:19">
      <c r="A4589" s="18" t="s">
        <v>4106</v>
      </c>
      <c r="B4589" s="1" t="s">
        <v>4754</v>
      </c>
      <c r="C4589" s="1" t="s">
        <v>5058</v>
      </c>
      <c r="D4589" s="1" t="s">
        <v>5062</v>
      </c>
      <c r="E4589" s="1" t="s">
        <v>25</v>
      </c>
      <c r="F4589">
        <v>580</v>
      </c>
      <c r="G4589">
        <v>580</v>
      </c>
      <c r="H4589">
        <v>246.2</v>
      </c>
      <c r="I4589" s="1" t="s">
        <v>1528</v>
      </c>
      <c r="J4589" s="1" t="s">
        <v>1336</v>
      </c>
      <c r="K4589" s="1" t="s">
        <v>25</v>
      </c>
      <c r="L4589">
        <v>-1.26</v>
      </c>
      <c r="M4589" t="str">
        <f t="shared" si="185"/>
        <v>44/40</v>
      </c>
      <c r="N4589" t="str">
        <f t="shared" si="186"/>
        <v>SW</v>
      </c>
      <c r="O4589" s="1" t="s">
        <v>25</v>
      </c>
      <c r="P4589" s="3" t="s">
        <v>25</v>
      </c>
      <c r="Q4589" s="37">
        <v>1.622725446</v>
      </c>
      <c r="R4589" t="str">
        <f t="shared" si="187"/>
        <v>mmol/mol</v>
      </c>
      <c r="S4589" s="13">
        <f t="shared" si="188"/>
        <v>-1.26</v>
      </c>
    </row>
    <row r="4590" spans="1:19">
      <c r="A4590" s="18" t="s">
        <v>4106</v>
      </c>
      <c r="B4590" s="1" t="s">
        <v>4755</v>
      </c>
      <c r="C4590" s="1" t="s">
        <v>5058</v>
      </c>
      <c r="D4590" s="1" t="s">
        <v>5062</v>
      </c>
      <c r="E4590" s="1" t="s">
        <v>25</v>
      </c>
      <c r="F4590">
        <v>580</v>
      </c>
      <c r="G4590">
        <v>580</v>
      </c>
      <c r="H4590">
        <v>247.9</v>
      </c>
      <c r="I4590" s="1" t="s">
        <v>1528</v>
      </c>
      <c r="J4590" s="1" t="s">
        <v>1336</v>
      </c>
      <c r="K4590" s="1" t="s">
        <v>25</v>
      </c>
      <c r="L4590">
        <v>-1.4</v>
      </c>
      <c r="M4590" t="str">
        <f t="shared" si="185"/>
        <v>44/40</v>
      </c>
      <c r="N4590" t="str">
        <f t="shared" si="186"/>
        <v>SW</v>
      </c>
      <c r="O4590" s="1" t="s">
        <v>25</v>
      </c>
      <c r="P4590" s="3" t="s">
        <v>25</v>
      </c>
      <c r="Q4590" s="37">
        <v>3.3221897619999998</v>
      </c>
      <c r="R4590" t="str">
        <f t="shared" si="187"/>
        <v>mmol/mol</v>
      </c>
      <c r="S4590" s="13">
        <f t="shared" si="188"/>
        <v>-1.4</v>
      </c>
    </row>
    <row r="4591" spans="1:19">
      <c r="A4591" s="18" t="s">
        <v>4106</v>
      </c>
      <c r="B4591" s="1" t="s">
        <v>4756</v>
      </c>
      <c r="C4591" s="1" t="s">
        <v>5058</v>
      </c>
      <c r="D4591" s="1" t="s">
        <v>5062</v>
      </c>
      <c r="E4591" s="1" t="s">
        <v>25</v>
      </c>
      <c r="F4591">
        <v>580</v>
      </c>
      <c r="G4591">
        <v>580</v>
      </c>
      <c r="H4591">
        <v>250</v>
      </c>
      <c r="I4591" s="1" t="s">
        <v>1528</v>
      </c>
      <c r="J4591" s="1" t="s">
        <v>1336</v>
      </c>
      <c r="K4591" s="1" t="s">
        <v>25</v>
      </c>
      <c r="L4591">
        <v>-1.2356678999999999</v>
      </c>
      <c r="M4591" t="str">
        <f t="shared" si="185"/>
        <v>44/40</v>
      </c>
      <c r="N4591" t="str">
        <f t="shared" si="186"/>
        <v>SW</v>
      </c>
      <c r="O4591" s="1" t="s">
        <v>25</v>
      </c>
      <c r="P4591" s="3" t="s">
        <v>25</v>
      </c>
      <c r="Q4591" s="37">
        <v>1.889295122</v>
      </c>
      <c r="R4591" t="str">
        <f t="shared" si="187"/>
        <v>mmol/mol</v>
      </c>
      <c r="S4591" s="13">
        <f t="shared" si="188"/>
        <v>-1.2356678999999999</v>
      </c>
    </row>
    <row r="4592" spans="1:19">
      <c r="A4592" s="18" t="s">
        <v>4106</v>
      </c>
      <c r="B4592" s="1" t="s">
        <v>4757</v>
      </c>
      <c r="C4592" s="1" t="s">
        <v>5058</v>
      </c>
      <c r="D4592" s="1" t="s">
        <v>5062</v>
      </c>
      <c r="E4592" s="1" t="s">
        <v>25</v>
      </c>
      <c r="F4592">
        <v>580</v>
      </c>
      <c r="G4592">
        <v>580</v>
      </c>
      <c r="H4592">
        <v>252</v>
      </c>
      <c r="I4592" s="1" t="s">
        <v>1528</v>
      </c>
      <c r="J4592" s="1" t="s">
        <v>1336</v>
      </c>
      <c r="K4592" s="1" t="s">
        <v>25</v>
      </c>
      <c r="L4592">
        <v>-1.6203167999999999</v>
      </c>
      <c r="M4592" t="str">
        <f t="shared" ref="M4592:M4655" si="189">IF(L4592="Na","Na","44/40")</f>
        <v>44/40</v>
      </c>
      <c r="N4592" t="str">
        <f t="shared" ref="N4592:N4655" si="190">IF(M4592="Na","Na","SW")</f>
        <v>SW</v>
      </c>
      <c r="O4592" s="1" t="s">
        <v>25</v>
      </c>
      <c r="P4592" s="3" t="s">
        <v>25</v>
      </c>
      <c r="Q4592" s="37">
        <v>3.5104031920000001</v>
      </c>
      <c r="R4592" t="str">
        <f t="shared" si="187"/>
        <v>mmol/mol</v>
      </c>
      <c r="S4592" s="13">
        <f t="shared" si="188"/>
        <v>-1.6203167999999999</v>
      </c>
    </row>
    <row r="4593" spans="1:19">
      <c r="A4593" s="18" t="s">
        <v>4106</v>
      </c>
      <c r="B4593" s="1" t="s">
        <v>4758</v>
      </c>
      <c r="C4593" s="1" t="s">
        <v>5058</v>
      </c>
      <c r="D4593" s="1" t="s">
        <v>5062</v>
      </c>
      <c r="E4593" s="1" t="s">
        <v>25</v>
      </c>
      <c r="F4593">
        <v>580</v>
      </c>
      <c r="G4593">
        <v>580</v>
      </c>
      <c r="H4593">
        <v>257</v>
      </c>
      <c r="I4593" s="1" t="s">
        <v>1528</v>
      </c>
      <c r="J4593" s="1" t="s">
        <v>1336</v>
      </c>
      <c r="K4593" s="1" t="s">
        <v>25</v>
      </c>
      <c r="L4593">
        <v>-1.5697890999999999</v>
      </c>
      <c r="M4593" t="str">
        <f t="shared" si="189"/>
        <v>44/40</v>
      </c>
      <c r="N4593" t="str">
        <f t="shared" si="190"/>
        <v>SW</v>
      </c>
      <c r="O4593" s="1" t="s">
        <v>25</v>
      </c>
      <c r="P4593" s="3" t="s">
        <v>25</v>
      </c>
      <c r="Q4593" s="37">
        <v>2.1098446179999999</v>
      </c>
      <c r="R4593" t="str">
        <f t="shared" si="187"/>
        <v>mmol/mol</v>
      </c>
      <c r="S4593" s="13">
        <f t="shared" si="188"/>
        <v>-1.5697890999999999</v>
      </c>
    </row>
    <row r="4594" spans="1:19">
      <c r="A4594" s="18" t="s">
        <v>4106</v>
      </c>
      <c r="B4594" s="1" t="s">
        <v>4759</v>
      </c>
      <c r="C4594" s="1" t="s">
        <v>5058</v>
      </c>
      <c r="D4594" s="1" t="s">
        <v>5062</v>
      </c>
      <c r="E4594" s="1" t="s">
        <v>25</v>
      </c>
      <c r="F4594">
        <v>580</v>
      </c>
      <c r="G4594">
        <v>580</v>
      </c>
      <c r="H4594">
        <v>258</v>
      </c>
      <c r="I4594" s="1" t="s">
        <v>1528</v>
      </c>
      <c r="J4594" s="1" t="s">
        <v>1336</v>
      </c>
      <c r="K4594" s="1" t="s">
        <v>25</v>
      </c>
      <c r="L4594">
        <v>-1.57</v>
      </c>
      <c r="M4594" t="str">
        <f t="shared" si="189"/>
        <v>44/40</v>
      </c>
      <c r="N4594" t="str">
        <f t="shared" si="190"/>
        <v>SW</v>
      </c>
      <c r="O4594" s="1" t="s">
        <v>25</v>
      </c>
      <c r="P4594" s="3" t="s">
        <v>25</v>
      </c>
      <c r="Q4594" s="37">
        <v>3.603730632</v>
      </c>
      <c r="R4594" t="str">
        <f t="shared" si="187"/>
        <v>mmol/mol</v>
      </c>
      <c r="S4594" s="13">
        <f t="shared" si="188"/>
        <v>-1.57</v>
      </c>
    </row>
    <row r="4595" spans="1:19">
      <c r="A4595" s="18" t="s">
        <v>4106</v>
      </c>
      <c r="B4595" s="1" t="s">
        <v>4760</v>
      </c>
      <c r="C4595" s="1" t="s">
        <v>5058</v>
      </c>
      <c r="D4595" s="1" t="s">
        <v>5062</v>
      </c>
      <c r="E4595" s="1" t="s">
        <v>25</v>
      </c>
      <c r="F4595">
        <v>580</v>
      </c>
      <c r="G4595">
        <v>580</v>
      </c>
      <c r="H4595">
        <v>262</v>
      </c>
      <c r="I4595" s="1" t="s">
        <v>1528</v>
      </c>
      <c r="J4595" s="1" t="s">
        <v>1336</v>
      </c>
      <c r="K4595" s="1" t="s">
        <v>25</v>
      </c>
      <c r="L4595" t="s">
        <v>25</v>
      </c>
      <c r="M4595" t="str">
        <f t="shared" si="189"/>
        <v>Na</v>
      </c>
      <c r="N4595" t="str">
        <f t="shared" si="190"/>
        <v>Na</v>
      </c>
      <c r="O4595" s="1" t="s">
        <v>25</v>
      </c>
      <c r="P4595" s="3" t="s">
        <v>25</v>
      </c>
      <c r="Q4595" s="37" t="s">
        <v>25</v>
      </c>
      <c r="R4595" t="str">
        <f t="shared" si="187"/>
        <v>Na</v>
      </c>
      <c r="S4595" s="13" t="s">
        <v>25</v>
      </c>
    </row>
    <row r="4596" spans="1:19">
      <c r="A4596" s="18" t="s">
        <v>4106</v>
      </c>
      <c r="B4596" s="1" t="s">
        <v>4761</v>
      </c>
      <c r="C4596" s="1" t="s">
        <v>5058</v>
      </c>
      <c r="D4596" s="1" t="s">
        <v>5062</v>
      </c>
      <c r="E4596" s="1" t="s">
        <v>25</v>
      </c>
      <c r="F4596">
        <v>580</v>
      </c>
      <c r="G4596">
        <v>580</v>
      </c>
      <c r="H4596">
        <v>266</v>
      </c>
      <c r="I4596" s="1" t="s">
        <v>1528</v>
      </c>
      <c r="J4596" s="1" t="s">
        <v>1336</v>
      </c>
      <c r="K4596" s="1" t="s">
        <v>25</v>
      </c>
      <c r="L4596">
        <v>-1.38</v>
      </c>
      <c r="M4596" t="str">
        <f t="shared" si="189"/>
        <v>44/40</v>
      </c>
      <c r="N4596" t="str">
        <f t="shared" si="190"/>
        <v>SW</v>
      </c>
      <c r="O4596" s="1" t="s">
        <v>25</v>
      </c>
      <c r="P4596" s="3" t="s">
        <v>25</v>
      </c>
      <c r="Q4596" s="37">
        <v>2.8268598260000002</v>
      </c>
      <c r="R4596" t="str">
        <f t="shared" si="187"/>
        <v>mmol/mol</v>
      </c>
      <c r="S4596" s="13">
        <f t="shared" si="188"/>
        <v>-1.38</v>
      </c>
    </row>
    <row r="4597" spans="1:19">
      <c r="A4597" s="18" t="s">
        <v>4106</v>
      </c>
      <c r="B4597" s="1" t="s">
        <v>4762</v>
      </c>
      <c r="C4597" s="1" t="s">
        <v>5058</v>
      </c>
      <c r="D4597" s="1" t="s">
        <v>5062</v>
      </c>
      <c r="E4597" s="1" t="s">
        <v>25</v>
      </c>
      <c r="F4597">
        <v>580</v>
      </c>
      <c r="G4597">
        <v>580</v>
      </c>
      <c r="H4597">
        <v>267</v>
      </c>
      <c r="I4597" s="1" t="s">
        <v>1528</v>
      </c>
      <c r="J4597" s="1" t="s">
        <v>1336</v>
      </c>
      <c r="K4597" s="1" t="s">
        <v>25</v>
      </c>
      <c r="L4597">
        <v>-1.147794</v>
      </c>
      <c r="M4597" t="str">
        <f t="shared" si="189"/>
        <v>44/40</v>
      </c>
      <c r="N4597" t="str">
        <f t="shared" si="190"/>
        <v>SW</v>
      </c>
      <c r="O4597" s="1" t="s">
        <v>25</v>
      </c>
      <c r="P4597" s="3" t="s">
        <v>25</v>
      </c>
      <c r="Q4597" s="37">
        <v>2.6039319320000001</v>
      </c>
      <c r="R4597" t="str">
        <f t="shared" si="187"/>
        <v>mmol/mol</v>
      </c>
      <c r="S4597" s="13">
        <f t="shared" si="188"/>
        <v>-1.147794</v>
      </c>
    </row>
    <row r="4598" spans="1:19">
      <c r="A4598" s="18" t="s">
        <v>4106</v>
      </c>
      <c r="B4598" s="1" t="s">
        <v>4763</v>
      </c>
      <c r="C4598" s="1" t="s">
        <v>5058</v>
      </c>
      <c r="D4598" s="1" t="s">
        <v>5062</v>
      </c>
      <c r="E4598" s="1" t="s">
        <v>25</v>
      </c>
      <c r="F4598">
        <v>580</v>
      </c>
      <c r="G4598">
        <v>580</v>
      </c>
      <c r="H4598">
        <v>270</v>
      </c>
      <c r="I4598" s="1" t="s">
        <v>1528</v>
      </c>
      <c r="J4598" s="1" t="s">
        <v>1336</v>
      </c>
      <c r="K4598" s="1" t="s">
        <v>25</v>
      </c>
      <c r="L4598">
        <v>-1.1399999999999999</v>
      </c>
      <c r="M4598" t="str">
        <f t="shared" si="189"/>
        <v>44/40</v>
      </c>
      <c r="N4598" t="str">
        <f t="shared" si="190"/>
        <v>SW</v>
      </c>
      <c r="O4598" s="1" t="s">
        <v>25</v>
      </c>
      <c r="P4598" s="3" t="s">
        <v>25</v>
      </c>
      <c r="Q4598" s="37">
        <v>2.502414398</v>
      </c>
      <c r="R4598" t="str">
        <f t="shared" si="187"/>
        <v>mmol/mol</v>
      </c>
      <c r="S4598" s="13">
        <f t="shared" si="188"/>
        <v>-1.1399999999999999</v>
      </c>
    </row>
    <row r="4599" spans="1:19">
      <c r="A4599" s="18" t="s">
        <v>4106</v>
      </c>
      <c r="B4599" s="1" t="s">
        <v>4764</v>
      </c>
      <c r="C4599" s="1" t="s">
        <v>5058</v>
      </c>
      <c r="D4599" s="1" t="s">
        <v>5062</v>
      </c>
      <c r="E4599" s="1" t="s">
        <v>25</v>
      </c>
      <c r="F4599">
        <v>580</v>
      </c>
      <c r="G4599">
        <v>580</v>
      </c>
      <c r="H4599">
        <v>274</v>
      </c>
      <c r="I4599" s="1" t="s">
        <v>1528</v>
      </c>
      <c r="J4599" s="1" t="s">
        <v>1336</v>
      </c>
      <c r="K4599" s="1" t="s">
        <v>25</v>
      </c>
      <c r="L4599">
        <v>-1.4052446999999999</v>
      </c>
      <c r="M4599" t="str">
        <f t="shared" si="189"/>
        <v>44/40</v>
      </c>
      <c r="N4599" t="str">
        <f t="shared" si="190"/>
        <v>SW</v>
      </c>
      <c r="O4599" s="1" t="s">
        <v>25</v>
      </c>
      <c r="P4599" s="3" t="s">
        <v>25</v>
      </c>
      <c r="Q4599" s="37">
        <v>3.0585742379999998</v>
      </c>
      <c r="R4599" t="str">
        <f t="shared" si="187"/>
        <v>mmol/mol</v>
      </c>
      <c r="S4599" s="13">
        <f t="shared" si="188"/>
        <v>-1.4052446999999999</v>
      </c>
    </row>
    <row r="4600" spans="1:19">
      <c r="A4600" s="18" t="s">
        <v>4106</v>
      </c>
      <c r="B4600" s="1" t="s">
        <v>4765</v>
      </c>
      <c r="C4600" s="1" t="s">
        <v>5058</v>
      </c>
      <c r="D4600" s="1" t="s">
        <v>5062</v>
      </c>
      <c r="E4600" s="1" t="s">
        <v>25</v>
      </c>
      <c r="F4600">
        <v>580</v>
      </c>
      <c r="G4600">
        <v>580</v>
      </c>
      <c r="H4600">
        <v>281.10000000000002</v>
      </c>
      <c r="I4600" s="1" t="s">
        <v>1528</v>
      </c>
      <c r="J4600" s="1" t="s">
        <v>1336</v>
      </c>
      <c r="K4600" s="1" t="s">
        <v>25</v>
      </c>
      <c r="L4600">
        <v>-1.3</v>
      </c>
      <c r="M4600" t="str">
        <f t="shared" si="189"/>
        <v>44/40</v>
      </c>
      <c r="N4600" t="str">
        <f t="shared" si="190"/>
        <v>SW</v>
      </c>
      <c r="O4600" s="1" t="s">
        <v>25</v>
      </c>
      <c r="P4600" s="3" t="s">
        <v>25</v>
      </c>
      <c r="Q4600" s="37">
        <v>2.982148896</v>
      </c>
      <c r="R4600" t="str">
        <f t="shared" si="187"/>
        <v>mmol/mol</v>
      </c>
      <c r="S4600" s="13">
        <f t="shared" si="188"/>
        <v>-1.3</v>
      </c>
    </row>
    <row r="4601" spans="1:19">
      <c r="A4601" s="18" t="s">
        <v>4106</v>
      </c>
      <c r="B4601" s="1" t="s">
        <v>4766</v>
      </c>
      <c r="C4601" s="1" t="s">
        <v>5058</v>
      </c>
      <c r="D4601" s="1" t="s">
        <v>5062</v>
      </c>
      <c r="E4601" s="1" t="s">
        <v>25</v>
      </c>
      <c r="F4601">
        <v>580</v>
      </c>
      <c r="G4601">
        <v>580</v>
      </c>
      <c r="H4601">
        <v>284.39999999999998</v>
      </c>
      <c r="I4601" s="1" t="s">
        <v>1528</v>
      </c>
      <c r="J4601" s="1" t="s">
        <v>1336</v>
      </c>
      <c r="K4601" s="1" t="s">
        <v>25</v>
      </c>
      <c r="L4601">
        <v>-1.33</v>
      </c>
      <c r="M4601" t="str">
        <f t="shared" si="189"/>
        <v>44/40</v>
      </c>
      <c r="N4601" t="str">
        <f t="shared" si="190"/>
        <v>SW</v>
      </c>
      <c r="O4601" s="1" t="s">
        <v>25</v>
      </c>
      <c r="P4601" s="3" t="s">
        <v>25</v>
      </c>
      <c r="Q4601" s="37">
        <v>3.1623864629999998</v>
      </c>
      <c r="R4601" t="str">
        <f t="shared" si="187"/>
        <v>mmol/mol</v>
      </c>
      <c r="S4601" s="13">
        <f t="shared" si="188"/>
        <v>-1.33</v>
      </c>
    </row>
    <row r="4602" spans="1:19">
      <c r="A4602" s="18" t="s">
        <v>4106</v>
      </c>
      <c r="B4602" s="1" t="s">
        <v>4767</v>
      </c>
      <c r="C4602" s="1" t="s">
        <v>5058</v>
      </c>
      <c r="D4602" s="1" t="s">
        <v>5062</v>
      </c>
      <c r="E4602" s="1" t="s">
        <v>25</v>
      </c>
      <c r="F4602">
        <v>580</v>
      </c>
      <c r="G4602">
        <v>580</v>
      </c>
      <c r="H4602">
        <v>288.8</v>
      </c>
      <c r="I4602" s="1" t="s">
        <v>1528</v>
      </c>
      <c r="J4602" s="1" t="s">
        <v>1336</v>
      </c>
      <c r="K4602" s="1" t="s">
        <v>25</v>
      </c>
      <c r="L4602">
        <v>-1.5776874000000001</v>
      </c>
      <c r="M4602" t="str">
        <f t="shared" si="189"/>
        <v>44/40</v>
      </c>
      <c r="N4602" t="str">
        <f t="shared" si="190"/>
        <v>SW</v>
      </c>
      <c r="O4602" s="1" t="s">
        <v>25</v>
      </c>
      <c r="P4602" s="3" t="s">
        <v>25</v>
      </c>
      <c r="Q4602" s="37">
        <v>2.4195506779999998</v>
      </c>
      <c r="R4602" t="str">
        <f t="shared" si="187"/>
        <v>mmol/mol</v>
      </c>
      <c r="S4602" s="13">
        <f t="shared" si="188"/>
        <v>-1.5776874000000001</v>
      </c>
    </row>
    <row r="4603" spans="1:19">
      <c r="A4603" s="18" t="s">
        <v>4106</v>
      </c>
      <c r="B4603" s="1" t="s">
        <v>4768</v>
      </c>
      <c r="C4603" s="1" t="s">
        <v>5058</v>
      </c>
      <c r="D4603" s="1" t="s">
        <v>5062</v>
      </c>
      <c r="E4603" s="1" t="s">
        <v>25</v>
      </c>
      <c r="F4603">
        <v>580</v>
      </c>
      <c r="G4603">
        <v>580</v>
      </c>
      <c r="H4603">
        <v>293.39999999999998</v>
      </c>
      <c r="I4603" s="1" t="s">
        <v>1528</v>
      </c>
      <c r="J4603" s="1" t="s">
        <v>1336</v>
      </c>
      <c r="K4603" s="1" t="s">
        <v>25</v>
      </c>
      <c r="L4603">
        <v>-1.3151170000000001</v>
      </c>
      <c r="M4603" t="str">
        <f t="shared" si="189"/>
        <v>44/40</v>
      </c>
      <c r="N4603" t="str">
        <f t="shared" si="190"/>
        <v>SW</v>
      </c>
      <c r="O4603" s="1" t="s">
        <v>25</v>
      </c>
      <c r="P4603" s="3" t="s">
        <v>25</v>
      </c>
      <c r="Q4603" s="37">
        <v>0.29542322500000001</v>
      </c>
      <c r="R4603" t="str">
        <f t="shared" si="187"/>
        <v>mmol/mol</v>
      </c>
      <c r="S4603" s="13">
        <f t="shared" si="188"/>
        <v>-1.3151170000000001</v>
      </c>
    </row>
    <row r="4604" spans="1:19">
      <c r="A4604" s="18" t="s">
        <v>4106</v>
      </c>
      <c r="B4604" s="1" t="s">
        <v>4769</v>
      </c>
      <c r="C4604" s="1" t="s">
        <v>5058</v>
      </c>
      <c r="D4604" s="1" t="s">
        <v>5062</v>
      </c>
      <c r="E4604" s="1" t="s">
        <v>25</v>
      </c>
      <c r="F4604">
        <v>580</v>
      </c>
      <c r="G4604">
        <v>580</v>
      </c>
      <c r="H4604">
        <v>297.39999999999998</v>
      </c>
      <c r="I4604" s="1" t="s">
        <v>1528</v>
      </c>
      <c r="J4604" s="1" t="s">
        <v>1336</v>
      </c>
      <c r="K4604" s="1" t="s">
        <v>25</v>
      </c>
      <c r="L4604">
        <v>-1.82</v>
      </c>
      <c r="M4604" t="str">
        <f t="shared" si="189"/>
        <v>44/40</v>
      </c>
      <c r="N4604" t="str">
        <f t="shared" si="190"/>
        <v>SW</v>
      </c>
      <c r="O4604" s="1" t="s">
        <v>25</v>
      </c>
      <c r="P4604" s="3" t="s">
        <v>25</v>
      </c>
      <c r="Q4604" s="37">
        <v>3.3940586580000001</v>
      </c>
      <c r="R4604" t="str">
        <f t="shared" si="187"/>
        <v>mmol/mol</v>
      </c>
      <c r="S4604" s="13">
        <f t="shared" si="188"/>
        <v>-1.82</v>
      </c>
    </row>
    <row r="4605" spans="1:19">
      <c r="A4605" s="18" t="s">
        <v>4106</v>
      </c>
      <c r="B4605" s="1" t="s">
        <v>4770</v>
      </c>
      <c r="C4605" s="1" t="s">
        <v>5058</v>
      </c>
      <c r="D4605" s="1" t="s">
        <v>5062</v>
      </c>
      <c r="E4605" s="1" t="s">
        <v>25</v>
      </c>
      <c r="F4605">
        <v>580</v>
      </c>
      <c r="G4605">
        <v>580</v>
      </c>
      <c r="H4605">
        <v>1</v>
      </c>
      <c r="I4605" s="1" t="s">
        <v>1528</v>
      </c>
      <c r="J4605" s="1" t="s">
        <v>1491</v>
      </c>
      <c r="K4605" s="1" t="s">
        <v>25</v>
      </c>
      <c r="L4605">
        <v>-0.95</v>
      </c>
      <c r="M4605" t="str">
        <f t="shared" si="189"/>
        <v>44/40</v>
      </c>
      <c r="N4605" t="str">
        <f t="shared" si="190"/>
        <v>SW</v>
      </c>
      <c r="O4605" s="1" t="s">
        <v>25</v>
      </c>
      <c r="P4605" s="3" t="s">
        <v>25</v>
      </c>
      <c r="Q4605" s="37">
        <v>0.42244026600000001</v>
      </c>
      <c r="R4605" t="str">
        <f t="shared" si="187"/>
        <v>mmol/mol</v>
      </c>
      <c r="S4605" s="13">
        <f t="shared" si="188"/>
        <v>-0.95</v>
      </c>
    </row>
    <row r="4606" spans="1:19">
      <c r="A4606" s="18" t="s">
        <v>4106</v>
      </c>
      <c r="B4606" s="1" t="s">
        <v>4771</v>
      </c>
      <c r="C4606" s="1" t="s">
        <v>5058</v>
      </c>
      <c r="D4606" s="1" t="s">
        <v>5062</v>
      </c>
      <c r="E4606" s="1" t="s">
        <v>25</v>
      </c>
      <c r="F4606">
        <v>580</v>
      </c>
      <c r="G4606">
        <v>580</v>
      </c>
      <c r="H4606">
        <v>2</v>
      </c>
      <c r="I4606" s="1" t="s">
        <v>1528</v>
      </c>
      <c r="J4606" s="1" t="s">
        <v>1491</v>
      </c>
      <c r="K4606" s="1" t="s">
        <v>25</v>
      </c>
      <c r="L4606" t="s">
        <v>25</v>
      </c>
      <c r="M4606" t="str">
        <f t="shared" si="189"/>
        <v>Na</v>
      </c>
      <c r="N4606" t="str">
        <f t="shared" si="190"/>
        <v>Na</v>
      </c>
      <c r="O4606" s="1" t="s">
        <v>25</v>
      </c>
      <c r="P4606" s="3" t="s">
        <v>25</v>
      </c>
      <c r="Q4606" s="37" t="s">
        <v>25</v>
      </c>
      <c r="R4606" t="str">
        <f t="shared" si="187"/>
        <v>Na</v>
      </c>
      <c r="S4606" s="13" t="s">
        <v>25</v>
      </c>
    </row>
    <row r="4607" spans="1:19">
      <c r="A4607" s="18" t="s">
        <v>4106</v>
      </c>
      <c r="B4607" s="1" t="s">
        <v>4772</v>
      </c>
      <c r="C4607" s="1" t="s">
        <v>5058</v>
      </c>
      <c r="D4607" s="1" t="s">
        <v>5062</v>
      </c>
      <c r="E4607" s="1" t="s">
        <v>25</v>
      </c>
      <c r="F4607">
        <v>580</v>
      </c>
      <c r="G4607">
        <v>580</v>
      </c>
      <c r="H4607">
        <v>2.5</v>
      </c>
      <c r="I4607" s="1" t="s">
        <v>1528</v>
      </c>
      <c r="J4607" s="1" t="s">
        <v>1491</v>
      </c>
      <c r="K4607" s="1" t="s">
        <v>25</v>
      </c>
      <c r="L4607">
        <v>-1</v>
      </c>
      <c r="M4607" t="str">
        <f t="shared" si="189"/>
        <v>44/40</v>
      </c>
      <c r="N4607" t="str">
        <f t="shared" si="190"/>
        <v>SW</v>
      </c>
      <c r="O4607" s="1" t="s">
        <v>25</v>
      </c>
      <c r="P4607" s="3" t="s">
        <v>25</v>
      </c>
      <c r="Q4607" s="37">
        <v>0.32589106800000001</v>
      </c>
      <c r="R4607" t="str">
        <f t="shared" si="187"/>
        <v>mmol/mol</v>
      </c>
      <c r="S4607" s="13">
        <f t="shared" si="188"/>
        <v>-1</v>
      </c>
    </row>
    <row r="4608" spans="1:19">
      <c r="A4608" s="18" t="s">
        <v>4106</v>
      </c>
      <c r="B4608" s="1" t="s">
        <v>4773</v>
      </c>
      <c r="C4608" s="1" t="s">
        <v>5058</v>
      </c>
      <c r="D4608" s="1" t="s">
        <v>5062</v>
      </c>
      <c r="E4608" s="1" t="s">
        <v>25</v>
      </c>
      <c r="F4608">
        <v>580</v>
      </c>
      <c r="G4608">
        <v>580</v>
      </c>
      <c r="H4608">
        <v>6.6</v>
      </c>
      <c r="I4608" s="1" t="s">
        <v>1528</v>
      </c>
      <c r="J4608" s="1" t="s">
        <v>1491</v>
      </c>
      <c r="K4608" s="1" t="s">
        <v>25</v>
      </c>
      <c r="L4608" t="s">
        <v>25</v>
      </c>
      <c r="M4608" t="str">
        <f t="shared" si="189"/>
        <v>Na</v>
      </c>
      <c r="N4608" t="str">
        <f t="shared" si="190"/>
        <v>Na</v>
      </c>
      <c r="O4608" s="1" t="s">
        <v>25</v>
      </c>
      <c r="P4608" s="3" t="s">
        <v>25</v>
      </c>
      <c r="Q4608" s="37" t="s">
        <v>25</v>
      </c>
      <c r="R4608" t="str">
        <f t="shared" si="187"/>
        <v>Na</v>
      </c>
      <c r="S4608" s="13" t="s">
        <v>25</v>
      </c>
    </row>
    <row r="4609" spans="1:19">
      <c r="A4609" s="18" t="s">
        <v>4106</v>
      </c>
      <c r="B4609" s="1" t="s">
        <v>4774</v>
      </c>
      <c r="C4609" s="1" t="s">
        <v>5058</v>
      </c>
      <c r="D4609" s="1" t="s">
        <v>5062</v>
      </c>
      <c r="E4609" s="1" t="s">
        <v>25</v>
      </c>
      <c r="F4609">
        <v>580</v>
      </c>
      <c r="G4609">
        <v>580</v>
      </c>
      <c r="H4609">
        <v>7.5</v>
      </c>
      <c r="I4609" s="1" t="s">
        <v>1528</v>
      </c>
      <c r="J4609" s="1" t="s">
        <v>1491</v>
      </c>
      <c r="K4609" s="1" t="s">
        <v>25</v>
      </c>
      <c r="L4609" t="s">
        <v>25</v>
      </c>
      <c r="M4609" t="str">
        <f t="shared" si="189"/>
        <v>Na</v>
      </c>
      <c r="N4609" t="str">
        <f t="shared" si="190"/>
        <v>Na</v>
      </c>
      <c r="O4609" s="1" t="s">
        <v>25</v>
      </c>
      <c r="P4609" s="3" t="s">
        <v>25</v>
      </c>
      <c r="Q4609" s="37" t="s">
        <v>25</v>
      </c>
      <c r="R4609" t="str">
        <f t="shared" si="187"/>
        <v>Na</v>
      </c>
      <c r="S4609" s="13" t="s">
        <v>25</v>
      </c>
    </row>
    <row r="4610" spans="1:19">
      <c r="A4610" s="18" t="s">
        <v>4106</v>
      </c>
      <c r="B4610" s="1" t="s">
        <v>4775</v>
      </c>
      <c r="C4610" s="1" t="s">
        <v>5058</v>
      </c>
      <c r="D4610" s="1" t="s">
        <v>5062</v>
      </c>
      <c r="E4610" s="1" t="s">
        <v>25</v>
      </c>
      <c r="F4610">
        <v>580</v>
      </c>
      <c r="G4610">
        <v>580</v>
      </c>
      <c r="H4610">
        <v>8.5</v>
      </c>
      <c r="I4610" s="1" t="s">
        <v>1528</v>
      </c>
      <c r="J4610" s="1" t="s">
        <v>1491</v>
      </c>
      <c r="K4610" s="1" t="s">
        <v>25</v>
      </c>
      <c r="L4610" t="s">
        <v>25</v>
      </c>
      <c r="M4610" t="str">
        <f t="shared" si="189"/>
        <v>Na</v>
      </c>
      <c r="N4610" t="str">
        <f t="shared" si="190"/>
        <v>Na</v>
      </c>
      <c r="O4610" s="1" t="s">
        <v>25</v>
      </c>
      <c r="P4610" s="3" t="s">
        <v>25</v>
      </c>
      <c r="Q4610" s="37" t="s">
        <v>25</v>
      </c>
      <c r="R4610" t="str">
        <f t="shared" si="187"/>
        <v>Na</v>
      </c>
      <c r="S4610" s="13" t="s">
        <v>25</v>
      </c>
    </row>
    <row r="4611" spans="1:19">
      <c r="A4611" s="18" t="s">
        <v>4106</v>
      </c>
      <c r="B4611" s="1" t="s">
        <v>4776</v>
      </c>
      <c r="C4611" s="1" t="s">
        <v>5058</v>
      </c>
      <c r="D4611" s="1" t="s">
        <v>5062</v>
      </c>
      <c r="E4611" s="1" t="s">
        <v>25</v>
      </c>
      <c r="F4611">
        <v>580</v>
      </c>
      <c r="G4611">
        <v>580</v>
      </c>
      <c r="H4611">
        <v>9.5</v>
      </c>
      <c r="I4611" s="1" t="s">
        <v>1528</v>
      </c>
      <c r="J4611" s="1" t="s">
        <v>1491</v>
      </c>
      <c r="K4611" s="1" t="s">
        <v>25</v>
      </c>
      <c r="L4611">
        <v>-0.93</v>
      </c>
      <c r="M4611" t="str">
        <f t="shared" si="189"/>
        <v>44/40</v>
      </c>
      <c r="N4611" t="str">
        <f t="shared" si="190"/>
        <v>SW</v>
      </c>
      <c r="O4611" s="1" t="s">
        <v>25</v>
      </c>
      <c r="P4611" s="3" t="s">
        <v>25</v>
      </c>
      <c r="Q4611" s="37">
        <v>0.35477061500000001</v>
      </c>
      <c r="R4611" t="str">
        <f t="shared" si="187"/>
        <v>mmol/mol</v>
      </c>
      <c r="S4611" s="13">
        <f t="shared" si="188"/>
        <v>-0.93</v>
      </c>
    </row>
    <row r="4612" spans="1:19">
      <c r="A4612" s="18" t="s">
        <v>4106</v>
      </c>
      <c r="B4612" s="1" t="s">
        <v>4777</v>
      </c>
      <c r="C4612" s="1" t="s">
        <v>5058</v>
      </c>
      <c r="D4612" s="1" t="s">
        <v>5062</v>
      </c>
      <c r="E4612" s="1" t="s">
        <v>25</v>
      </c>
      <c r="F4612">
        <v>580</v>
      </c>
      <c r="G4612">
        <v>580</v>
      </c>
      <c r="H4612">
        <v>10.5</v>
      </c>
      <c r="I4612" s="1" t="s">
        <v>1528</v>
      </c>
      <c r="J4612" s="1" t="s">
        <v>1491</v>
      </c>
      <c r="K4612" s="1" t="s">
        <v>25</v>
      </c>
      <c r="L4612" t="s">
        <v>25</v>
      </c>
      <c r="M4612" t="str">
        <f t="shared" si="189"/>
        <v>Na</v>
      </c>
      <c r="N4612" t="str">
        <f t="shared" si="190"/>
        <v>Na</v>
      </c>
      <c r="O4612" s="1" t="s">
        <v>25</v>
      </c>
      <c r="P4612" s="3" t="s">
        <v>25</v>
      </c>
      <c r="Q4612" s="37" t="s">
        <v>25</v>
      </c>
      <c r="R4612" t="str">
        <f t="shared" si="187"/>
        <v>Na</v>
      </c>
      <c r="S4612" s="13" t="s">
        <v>25</v>
      </c>
    </row>
    <row r="4613" spans="1:19">
      <c r="A4613" s="18" t="s">
        <v>4106</v>
      </c>
      <c r="B4613" s="1" t="s">
        <v>4778</v>
      </c>
      <c r="C4613" s="1" t="s">
        <v>5058</v>
      </c>
      <c r="D4613" s="1" t="s">
        <v>5062</v>
      </c>
      <c r="E4613" s="1" t="s">
        <v>25</v>
      </c>
      <c r="F4613">
        <v>580</v>
      </c>
      <c r="G4613">
        <v>580</v>
      </c>
      <c r="H4613">
        <v>11.5</v>
      </c>
      <c r="I4613" s="1" t="s">
        <v>1528</v>
      </c>
      <c r="J4613" s="1" t="s">
        <v>1491</v>
      </c>
      <c r="K4613" s="1" t="s">
        <v>25</v>
      </c>
      <c r="L4613">
        <v>-0.83</v>
      </c>
      <c r="M4613" t="str">
        <f t="shared" si="189"/>
        <v>44/40</v>
      </c>
      <c r="N4613" t="str">
        <f t="shared" si="190"/>
        <v>SW</v>
      </c>
      <c r="O4613" s="1" t="s">
        <v>25</v>
      </c>
      <c r="P4613" s="3" t="s">
        <v>25</v>
      </c>
      <c r="Q4613" s="37">
        <v>0.37653930800000002</v>
      </c>
      <c r="R4613" t="str">
        <f t="shared" si="187"/>
        <v>mmol/mol</v>
      </c>
      <c r="S4613" s="13">
        <f t="shared" si="188"/>
        <v>-0.83</v>
      </c>
    </row>
    <row r="4614" spans="1:19">
      <c r="A4614" s="18" t="s">
        <v>4106</v>
      </c>
      <c r="B4614" s="1" t="s">
        <v>4779</v>
      </c>
      <c r="C4614" s="1" t="s">
        <v>5058</v>
      </c>
      <c r="D4614" s="1" t="s">
        <v>5062</v>
      </c>
      <c r="E4614" s="1" t="s">
        <v>25</v>
      </c>
      <c r="F4614">
        <v>580</v>
      </c>
      <c r="G4614">
        <v>580</v>
      </c>
      <c r="H4614">
        <v>12.5</v>
      </c>
      <c r="I4614" s="1" t="s">
        <v>1528</v>
      </c>
      <c r="J4614" s="1" t="s">
        <v>1491</v>
      </c>
      <c r="K4614" s="1" t="s">
        <v>25</v>
      </c>
      <c r="L4614" t="s">
        <v>25</v>
      </c>
      <c r="M4614" t="str">
        <f t="shared" si="189"/>
        <v>Na</v>
      </c>
      <c r="N4614" t="str">
        <f t="shared" si="190"/>
        <v>Na</v>
      </c>
      <c r="O4614" s="1" t="s">
        <v>25</v>
      </c>
      <c r="P4614" s="3" t="s">
        <v>25</v>
      </c>
      <c r="Q4614" s="37" t="s">
        <v>25</v>
      </c>
      <c r="R4614" t="str">
        <f t="shared" si="187"/>
        <v>Na</v>
      </c>
      <c r="S4614" s="13" t="s">
        <v>25</v>
      </c>
    </row>
    <row r="4615" spans="1:19">
      <c r="A4615" s="18" t="s">
        <v>4106</v>
      </c>
      <c r="B4615" s="1" t="s">
        <v>4780</v>
      </c>
      <c r="C4615" s="1" t="s">
        <v>5058</v>
      </c>
      <c r="D4615" s="1" t="s">
        <v>5062</v>
      </c>
      <c r="E4615" s="1" t="s">
        <v>25</v>
      </c>
      <c r="F4615">
        <v>580</v>
      </c>
      <c r="G4615">
        <v>580</v>
      </c>
      <c r="H4615">
        <v>13.5</v>
      </c>
      <c r="I4615" s="1" t="s">
        <v>1528</v>
      </c>
      <c r="J4615" s="1" t="s">
        <v>1491</v>
      </c>
      <c r="K4615" s="1" t="s">
        <v>25</v>
      </c>
      <c r="L4615">
        <v>-1.06</v>
      </c>
      <c r="M4615" t="str">
        <f t="shared" si="189"/>
        <v>44/40</v>
      </c>
      <c r="N4615" t="str">
        <f t="shared" si="190"/>
        <v>SW</v>
      </c>
      <c r="O4615" s="1" t="s">
        <v>25</v>
      </c>
      <c r="P4615" s="3" t="s">
        <v>25</v>
      </c>
      <c r="Q4615" s="37">
        <v>0.34417042399999997</v>
      </c>
      <c r="R4615" t="str">
        <f t="shared" si="187"/>
        <v>mmol/mol</v>
      </c>
      <c r="S4615" s="13">
        <f t="shared" si="188"/>
        <v>-1.06</v>
      </c>
    </row>
    <row r="4616" spans="1:19">
      <c r="A4616" s="18" t="s">
        <v>4106</v>
      </c>
      <c r="B4616" s="1" t="s">
        <v>4781</v>
      </c>
      <c r="C4616" s="1" t="s">
        <v>5058</v>
      </c>
      <c r="D4616" s="1" t="s">
        <v>5062</v>
      </c>
      <c r="E4616" s="1" t="s">
        <v>25</v>
      </c>
      <c r="F4616">
        <v>580</v>
      </c>
      <c r="G4616">
        <v>580</v>
      </c>
      <c r="H4616">
        <v>14.5</v>
      </c>
      <c r="I4616" s="1" t="s">
        <v>1528</v>
      </c>
      <c r="J4616" s="1" t="s">
        <v>1491</v>
      </c>
      <c r="K4616" s="1" t="s">
        <v>25</v>
      </c>
      <c r="L4616" t="s">
        <v>25</v>
      </c>
      <c r="M4616" t="str">
        <f t="shared" si="189"/>
        <v>Na</v>
      </c>
      <c r="N4616" t="str">
        <f t="shared" si="190"/>
        <v>Na</v>
      </c>
      <c r="O4616" s="1" t="s">
        <v>25</v>
      </c>
      <c r="P4616" s="3" t="s">
        <v>25</v>
      </c>
      <c r="Q4616" s="37" t="s">
        <v>25</v>
      </c>
      <c r="R4616" t="str">
        <f t="shared" si="187"/>
        <v>Na</v>
      </c>
      <c r="S4616" s="13" t="s">
        <v>25</v>
      </c>
    </row>
    <row r="4617" spans="1:19">
      <c r="A4617" s="18" t="s">
        <v>4106</v>
      </c>
      <c r="B4617" s="1" t="s">
        <v>4782</v>
      </c>
      <c r="C4617" s="1" t="s">
        <v>5058</v>
      </c>
      <c r="D4617" s="1" t="s">
        <v>5062</v>
      </c>
      <c r="E4617" s="1" t="s">
        <v>25</v>
      </c>
      <c r="F4617">
        <v>580</v>
      </c>
      <c r="G4617">
        <v>580</v>
      </c>
      <c r="H4617">
        <v>15.5</v>
      </c>
      <c r="I4617" s="1" t="s">
        <v>1528</v>
      </c>
      <c r="J4617" s="1" t="s">
        <v>1491</v>
      </c>
      <c r="K4617" s="1" t="s">
        <v>25</v>
      </c>
      <c r="L4617">
        <v>-0.93</v>
      </c>
      <c r="M4617" t="str">
        <f t="shared" si="189"/>
        <v>44/40</v>
      </c>
      <c r="N4617" t="str">
        <f t="shared" si="190"/>
        <v>SW</v>
      </c>
      <c r="O4617" s="1" t="s">
        <v>25</v>
      </c>
      <c r="P4617" s="3" t="s">
        <v>25</v>
      </c>
      <c r="Q4617" s="37">
        <v>0.34694503900000001</v>
      </c>
      <c r="R4617" t="str">
        <f t="shared" si="187"/>
        <v>mmol/mol</v>
      </c>
      <c r="S4617" s="13">
        <f t="shared" si="188"/>
        <v>-0.93</v>
      </c>
    </row>
    <row r="4618" spans="1:19">
      <c r="A4618" s="18" t="s">
        <v>4106</v>
      </c>
      <c r="B4618" s="1" t="s">
        <v>4783</v>
      </c>
      <c r="C4618" s="1" t="s">
        <v>5058</v>
      </c>
      <c r="D4618" s="1" t="s">
        <v>5062</v>
      </c>
      <c r="E4618" s="1" t="s">
        <v>25</v>
      </c>
      <c r="F4618">
        <v>580</v>
      </c>
      <c r="G4618">
        <v>580</v>
      </c>
      <c r="H4618">
        <v>16.5</v>
      </c>
      <c r="I4618" s="1" t="s">
        <v>1528</v>
      </c>
      <c r="J4618" s="1" t="s">
        <v>1491</v>
      </c>
      <c r="K4618" s="1" t="s">
        <v>25</v>
      </c>
      <c r="L4618" t="s">
        <v>25</v>
      </c>
      <c r="M4618" t="str">
        <f t="shared" si="189"/>
        <v>Na</v>
      </c>
      <c r="N4618" t="str">
        <f t="shared" si="190"/>
        <v>Na</v>
      </c>
      <c r="O4618" s="1" t="s">
        <v>25</v>
      </c>
      <c r="P4618" s="3" t="s">
        <v>25</v>
      </c>
      <c r="Q4618" s="37" t="s">
        <v>25</v>
      </c>
      <c r="R4618" t="str">
        <f t="shared" si="187"/>
        <v>Na</v>
      </c>
      <c r="S4618" s="13" t="s">
        <v>25</v>
      </c>
    </row>
    <row r="4619" spans="1:19">
      <c r="A4619" s="18" t="s">
        <v>4106</v>
      </c>
      <c r="B4619" s="1" t="s">
        <v>4784</v>
      </c>
      <c r="C4619" s="1" t="s">
        <v>5058</v>
      </c>
      <c r="D4619" s="1" t="s">
        <v>5062</v>
      </c>
      <c r="E4619" s="1" t="s">
        <v>25</v>
      </c>
      <c r="F4619">
        <v>580</v>
      </c>
      <c r="G4619">
        <v>580</v>
      </c>
      <c r="H4619">
        <v>18.5</v>
      </c>
      <c r="I4619" s="1" t="s">
        <v>1528</v>
      </c>
      <c r="J4619" s="1" t="s">
        <v>1491</v>
      </c>
      <c r="K4619" s="1" t="s">
        <v>25</v>
      </c>
      <c r="L4619">
        <v>-1.1299999999999999</v>
      </c>
      <c r="M4619" t="str">
        <f t="shared" si="189"/>
        <v>44/40</v>
      </c>
      <c r="N4619" t="str">
        <f t="shared" si="190"/>
        <v>SW</v>
      </c>
      <c r="O4619" s="1" t="s">
        <v>25</v>
      </c>
      <c r="P4619" s="3" t="s">
        <v>25</v>
      </c>
      <c r="Q4619" s="37">
        <v>0.30180539000000001</v>
      </c>
      <c r="R4619" t="str">
        <f t="shared" si="187"/>
        <v>mmol/mol</v>
      </c>
      <c r="S4619" s="13">
        <f t="shared" si="188"/>
        <v>-1.1299999999999999</v>
      </c>
    </row>
    <row r="4620" spans="1:19">
      <c r="A4620" s="18" t="s">
        <v>4106</v>
      </c>
      <c r="B4620" s="1" t="s">
        <v>4785</v>
      </c>
      <c r="C4620" s="1" t="s">
        <v>5058</v>
      </c>
      <c r="D4620" s="1" t="s">
        <v>5062</v>
      </c>
      <c r="E4620" s="1" t="s">
        <v>25</v>
      </c>
      <c r="F4620">
        <v>580</v>
      </c>
      <c r="G4620">
        <v>580</v>
      </c>
      <c r="H4620">
        <v>19.600000000000001</v>
      </c>
      <c r="I4620" s="1" t="s">
        <v>1528</v>
      </c>
      <c r="J4620" s="1" t="s">
        <v>1491</v>
      </c>
      <c r="K4620" s="1" t="s">
        <v>25</v>
      </c>
      <c r="L4620" t="s">
        <v>25</v>
      </c>
      <c r="M4620" t="str">
        <f t="shared" si="189"/>
        <v>Na</v>
      </c>
      <c r="N4620" t="str">
        <f t="shared" si="190"/>
        <v>Na</v>
      </c>
      <c r="O4620" s="1" t="s">
        <v>25</v>
      </c>
      <c r="P4620" s="3" t="s">
        <v>25</v>
      </c>
      <c r="Q4620" s="37" t="s">
        <v>25</v>
      </c>
      <c r="R4620" t="str">
        <f t="shared" si="187"/>
        <v>Na</v>
      </c>
      <c r="S4620" s="13" t="s">
        <v>25</v>
      </c>
    </row>
    <row r="4621" spans="1:19">
      <c r="A4621" s="18" t="s">
        <v>4106</v>
      </c>
      <c r="B4621" s="1" t="s">
        <v>4786</v>
      </c>
      <c r="C4621" s="1" t="s">
        <v>5058</v>
      </c>
      <c r="D4621" s="1" t="s">
        <v>5062</v>
      </c>
      <c r="E4621" s="1" t="s">
        <v>25</v>
      </c>
      <c r="F4621">
        <v>580</v>
      </c>
      <c r="G4621">
        <v>580</v>
      </c>
      <c r="H4621">
        <v>20.5</v>
      </c>
      <c r="I4621" s="1" t="s">
        <v>1528</v>
      </c>
      <c r="J4621" s="1" t="s">
        <v>1491</v>
      </c>
      <c r="K4621" s="1" t="s">
        <v>25</v>
      </c>
      <c r="L4621">
        <v>-1.04</v>
      </c>
      <c r="M4621" t="str">
        <f t="shared" si="189"/>
        <v>44/40</v>
      </c>
      <c r="N4621" t="str">
        <f t="shared" si="190"/>
        <v>SW</v>
      </c>
      <c r="O4621" s="1" t="s">
        <v>25</v>
      </c>
      <c r="P4621" s="3" t="s">
        <v>25</v>
      </c>
      <c r="Q4621" s="37">
        <v>0.297572222</v>
      </c>
      <c r="R4621" t="str">
        <f t="shared" si="187"/>
        <v>mmol/mol</v>
      </c>
      <c r="S4621" s="13">
        <f t="shared" si="188"/>
        <v>-1.04</v>
      </c>
    </row>
    <row r="4622" spans="1:19">
      <c r="A4622" s="18" t="s">
        <v>4106</v>
      </c>
      <c r="B4622" s="1" t="s">
        <v>4787</v>
      </c>
      <c r="C4622" s="1" t="s">
        <v>5058</v>
      </c>
      <c r="D4622" s="1" t="s">
        <v>5062</v>
      </c>
      <c r="E4622" s="1" t="s">
        <v>25</v>
      </c>
      <c r="F4622">
        <v>580</v>
      </c>
      <c r="G4622">
        <v>580</v>
      </c>
      <c r="H4622">
        <v>21.3</v>
      </c>
      <c r="I4622" s="1" t="s">
        <v>1528</v>
      </c>
      <c r="J4622" s="1" t="s">
        <v>1491</v>
      </c>
      <c r="K4622" s="1" t="s">
        <v>25</v>
      </c>
      <c r="L4622" t="s">
        <v>25</v>
      </c>
      <c r="M4622" t="str">
        <f t="shared" si="189"/>
        <v>Na</v>
      </c>
      <c r="N4622" t="str">
        <f t="shared" si="190"/>
        <v>Na</v>
      </c>
      <c r="O4622" s="1" t="s">
        <v>25</v>
      </c>
      <c r="P4622" s="3" t="s">
        <v>25</v>
      </c>
      <c r="Q4622" s="37" t="s">
        <v>25</v>
      </c>
      <c r="R4622" t="str">
        <f t="shared" si="187"/>
        <v>Na</v>
      </c>
      <c r="S4622" s="13" t="s">
        <v>25</v>
      </c>
    </row>
    <row r="4623" spans="1:19">
      <c r="A4623" s="18" t="s">
        <v>4106</v>
      </c>
      <c r="B4623" s="1" t="s">
        <v>4788</v>
      </c>
      <c r="C4623" s="1" t="s">
        <v>5058</v>
      </c>
      <c r="D4623" s="1" t="s">
        <v>5062</v>
      </c>
      <c r="E4623" s="1" t="s">
        <v>25</v>
      </c>
      <c r="F4623">
        <v>580</v>
      </c>
      <c r="G4623">
        <v>580</v>
      </c>
      <c r="H4623">
        <v>22.5</v>
      </c>
      <c r="I4623" s="1" t="s">
        <v>1528</v>
      </c>
      <c r="J4623" s="1" t="s">
        <v>1491</v>
      </c>
      <c r="K4623" s="1" t="s">
        <v>25</v>
      </c>
      <c r="L4623">
        <v>-0.97</v>
      </c>
      <c r="M4623" t="str">
        <f t="shared" si="189"/>
        <v>44/40</v>
      </c>
      <c r="N4623" t="str">
        <f t="shared" si="190"/>
        <v>SW</v>
      </c>
      <c r="O4623" s="1" t="s">
        <v>25</v>
      </c>
      <c r="P4623" s="3" t="s">
        <v>25</v>
      </c>
      <c r="Q4623" s="37">
        <v>0.15166172999999999</v>
      </c>
      <c r="R4623" t="str">
        <f t="shared" si="187"/>
        <v>mmol/mol</v>
      </c>
      <c r="S4623" s="13">
        <f t="shared" si="188"/>
        <v>-0.97</v>
      </c>
    </row>
    <row r="4624" spans="1:19">
      <c r="A4624" s="18" t="s">
        <v>4106</v>
      </c>
      <c r="B4624" s="1" t="s">
        <v>4789</v>
      </c>
      <c r="C4624" s="1" t="s">
        <v>5058</v>
      </c>
      <c r="D4624" s="1" t="s">
        <v>5062</v>
      </c>
      <c r="E4624" s="1" t="s">
        <v>25</v>
      </c>
      <c r="F4624">
        <v>580</v>
      </c>
      <c r="G4624">
        <v>580</v>
      </c>
      <c r="H4624">
        <v>23.5</v>
      </c>
      <c r="I4624" s="1" t="s">
        <v>1528</v>
      </c>
      <c r="J4624" s="1" t="s">
        <v>1491</v>
      </c>
      <c r="K4624" s="1" t="s">
        <v>25</v>
      </c>
      <c r="L4624" t="s">
        <v>25</v>
      </c>
      <c r="M4624" t="str">
        <f t="shared" si="189"/>
        <v>Na</v>
      </c>
      <c r="N4624" t="str">
        <f t="shared" si="190"/>
        <v>Na</v>
      </c>
      <c r="O4624" s="1" t="s">
        <v>25</v>
      </c>
      <c r="P4624" s="3" t="s">
        <v>25</v>
      </c>
      <c r="Q4624" s="37" t="s">
        <v>25</v>
      </c>
      <c r="R4624" t="str">
        <f t="shared" si="187"/>
        <v>Na</v>
      </c>
      <c r="S4624" s="13" t="s">
        <v>25</v>
      </c>
    </row>
    <row r="4625" spans="1:19">
      <c r="A4625" s="18" t="s">
        <v>4106</v>
      </c>
      <c r="B4625" s="1" t="s">
        <v>4790</v>
      </c>
      <c r="C4625" s="1" t="s">
        <v>5058</v>
      </c>
      <c r="D4625" s="1" t="s">
        <v>5062</v>
      </c>
      <c r="E4625" s="1" t="s">
        <v>25</v>
      </c>
      <c r="F4625">
        <v>580</v>
      </c>
      <c r="G4625">
        <v>580</v>
      </c>
      <c r="H4625">
        <v>24.5</v>
      </c>
      <c r="I4625" s="1" t="s">
        <v>1528</v>
      </c>
      <c r="J4625" s="1" t="s">
        <v>1491</v>
      </c>
      <c r="K4625" s="1" t="s">
        <v>25</v>
      </c>
      <c r="L4625">
        <v>-0.99</v>
      </c>
      <c r="M4625" t="str">
        <f t="shared" si="189"/>
        <v>44/40</v>
      </c>
      <c r="N4625" t="str">
        <f t="shared" si="190"/>
        <v>SW</v>
      </c>
      <c r="O4625" s="1" t="s">
        <v>25</v>
      </c>
      <c r="P4625" s="3" t="s">
        <v>25</v>
      </c>
      <c r="Q4625" s="37">
        <v>0.313791402</v>
      </c>
      <c r="R4625" t="str">
        <f t="shared" si="187"/>
        <v>mmol/mol</v>
      </c>
      <c r="S4625" s="13">
        <f t="shared" si="188"/>
        <v>-0.99</v>
      </c>
    </row>
    <row r="4626" spans="1:19">
      <c r="A4626" s="18" t="s">
        <v>4106</v>
      </c>
      <c r="B4626" s="1" t="s">
        <v>4791</v>
      </c>
      <c r="C4626" s="1" t="s">
        <v>5058</v>
      </c>
      <c r="D4626" s="1" t="s">
        <v>5062</v>
      </c>
      <c r="E4626" s="1" t="s">
        <v>25</v>
      </c>
      <c r="F4626">
        <v>580</v>
      </c>
      <c r="G4626">
        <v>580</v>
      </c>
      <c r="H4626">
        <v>25.5</v>
      </c>
      <c r="I4626" s="1" t="s">
        <v>1528</v>
      </c>
      <c r="J4626" s="1" t="s">
        <v>1491</v>
      </c>
      <c r="K4626" s="1" t="s">
        <v>25</v>
      </c>
      <c r="L4626" t="s">
        <v>25</v>
      </c>
      <c r="M4626" t="str">
        <f t="shared" si="189"/>
        <v>Na</v>
      </c>
      <c r="N4626" t="str">
        <f t="shared" si="190"/>
        <v>Na</v>
      </c>
      <c r="O4626" s="1" t="s">
        <v>25</v>
      </c>
      <c r="P4626" s="3" t="s">
        <v>25</v>
      </c>
      <c r="Q4626" s="37" t="s">
        <v>25</v>
      </c>
      <c r="R4626" t="str">
        <f t="shared" si="187"/>
        <v>Na</v>
      </c>
      <c r="S4626" s="13" t="s">
        <v>25</v>
      </c>
    </row>
    <row r="4627" spans="1:19">
      <c r="A4627" s="18" t="s">
        <v>4106</v>
      </c>
      <c r="B4627" s="1" t="s">
        <v>4792</v>
      </c>
      <c r="C4627" s="1" t="s">
        <v>5058</v>
      </c>
      <c r="D4627" s="1" t="s">
        <v>5062</v>
      </c>
      <c r="E4627" s="1" t="s">
        <v>25</v>
      </c>
      <c r="F4627">
        <v>580</v>
      </c>
      <c r="G4627">
        <v>580</v>
      </c>
      <c r="H4627">
        <v>26.5</v>
      </c>
      <c r="I4627" s="1" t="s">
        <v>1528</v>
      </c>
      <c r="J4627" s="1" t="s">
        <v>1491</v>
      </c>
      <c r="K4627" s="1" t="s">
        <v>25</v>
      </c>
      <c r="L4627">
        <v>-0.9</v>
      </c>
      <c r="M4627" t="str">
        <f t="shared" si="189"/>
        <v>44/40</v>
      </c>
      <c r="N4627" t="str">
        <f t="shared" si="190"/>
        <v>SW</v>
      </c>
      <c r="O4627" s="1" t="s">
        <v>25</v>
      </c>
      <c r="P4627" s="3" t="s">
        <v>25</v>
      </c>
      <c r="Q4627" s="37">
        <v>0.122135887</v>
      </c>
      <c r="R4627" t="str">
        <f t="shared" si="187"/>
        <v>mmol/mol</v>
      </c>
      <c r="S4627" s="13">
        <f t="shared" si="188"/>
        <v>-0.9</v>
      </c>
    </row>
    <row r="4628" spans="1:19">
      <c r="A4628" s="18" t="s">
        <v>4106</v>
      </c>
      <c r="B4628" s="1" t="s">
        <v>4793</v>
      </c>
      <c r="C4628" s="1" t="s">
        <v>5058</v>
      </c>
      <c r="D4628" s="1" t="s">
        <v>5062</v>
      </c>
      <c r="E4628" s="1" t="s">
        <v>25</v>
      </c>
      <c r="F4628">
        <v>580</v>
      </c>
      <c r="G4628">
        <v>580</v>
      </c>
      <c r="H4628">
        <v>27.3</v>
      </c>
      <c r="I4628" s="1" t="s">
        <v>1528</v>
      </c>
      <c r="J4628" s="1" t="s">
        <v>1491</v>
      </c>
      <c r="K4628" s="1" t="s">
        <v>25</v>
      </c>
      <c r="L4628" t="s">
        <v>25</v>
      </c>
      <c r="M4628" t="str">
        <f t="shared" si="189"/>
        <v>Na</v>
      </c>
      <c r="N4628" t="str">
        <f t="shared" si="190"/>
        <v>Na</v>
      </c>
      <c r="O4628" s="1" t="s">
        <v>25</v>
      </c>
      <c r="P4628" s="3" t="s">
        <v>25</v>
      </c>
      <c r="Q4628" s="37" t="s">
        <v>25</v>
      </c>
      <c r="R4628" t="str">
        <f t="shared" si="187"/>
        <v>Na</v>
      </c>
      <c r="S4628" s="13" t="s">
        <v>25</v>
      </c>
    </row>
    <row r="4629" spans="1:19">
      <c r="A4629" s="18" t="s">
        <v>4106</v>
      </c>
      <c r="B4629" s="1" t="s">
        <v>4794</v>
      </c>
      <c r="C4629" s="1" t="s">
        <v>5058</v>
      </c>
      <c r="D4629" s="1" t="s">
        <v>5062</v>
      </c>
      <c r="E4629" s="1" t="s">
        <v>25</v>
      </c>
      <c r="F4629">
        <v>580</v>
      </c>
      <c r="G4629">
        <v>580</v>
      </c>
      <c r="H4629">
        <v>28.5</v>
      </c>
      <c r="I4629" s="1" t="s">
        <v>1528</v>
      </c>
      <c r="J4629" s="1" t="s">
        <v>1491</v>
      </c>
      <c r="K4629" s="1" t="s">
        <v>25</v>
      </c>
      <c r="L4629">
        <v>-0.82</v>
      </c>
      <c r="M4629" t="str">
        <f t="shared" si="189"/>
        <v>44/40</v>
      </c>
      <c r="N4629" t="str">
        <f t="shared" si="190"/>
        <v>SW</v>
      </c>
      <c r="O4629" s="1" t="s">
        <v>25</v>
      </c>
      <c r="P4629" s="3" t="s">
        <v>25</v>
      </c>
      <c r="Q4629" s="37">
        <v>0.15081982799999999</v>
      </c>
      <c r="R4629" t="str">
        <f t="shared" si="187"/>
        <v>mmol/mol</v>
      </c>
      <c r="S4629" s="13">
        <f t="shared" si="188"/>
        <v>-0.82</v>
      </c>
    </row>
    <row r="4630" spans="1:19">
      <c r="A4630" s="18" t="s">
        <v>4106</v>
      </c>
      <c r="B4630" s="1" t="s">
        <v>4795</v>
      </c>
      <c r="C4630" s="1" t="s">
        <v>5058</v>
      </c>
      <c r="D4630" s="1" t="s">
        <v>5062</v>
      </c>
      <c r="E4630" s="1" t="s">
        <v>25</v>
      </c>
      <c r="F4630">
        <v>580</v>
      </c>
      <c r="G4630">
        <v>580</v>
      </c>
      <c r="H4630">
        <v>29.3</v>
      </c>
      <c r="I4630" s="1" t="s">
        <v>1528</v>
      </c>
      <c r="J4630" s="1" t="s">
        <v>1491</v>
      </c>
      <c r="K4630" s="1" t="s">
        <v>25</v>
      </c>
      <c r="L4630" t="s">
        <v>25</v>
      </c>
      <c r="M4630" t="str">
        <f t="shared" si="189"/>
        <v>Na</v>
      </c>
      <c r="N4630" t="str">
        <f t="shared" si="190"/>
        <v>Na</v>
      </c>
      <c r="O4630" s="1" t="s">
        <v>25</v>
      </c>
      <c r="P4630" s="3" t="s">
        <v>25</v>
      </c>
      <c r="Q4630" s="37" t="s">
        <v>25</v>
      </c>
      <c r="R4630" t="str">
        <f t="shared" si="187"/>
        <v>Na</v>
      </c>
      <c r="S4630" s="13" t="s">
        <v>25</v>
      </c>
    </row>
    <row r="4631" spans="1:19">
      <c r="A4631" s="18" t="s">
        <v>4106</v>
      </c>
      <c r="B4631" s="1" t="s">
        <v>4796</v>
      </c>
      <c r="C4631" s="1" t="s">
        <v>5058</v>
      </c>
      <c r="D4631" s="1" t="s">
        <v>5062</v>
      </c>
      <c r="E4631" s="1" t="s">
        <v>25</v>
      </c>
      <c r="F4631">
        <v>580</v>
      </c>
      <c r="G4631">
        <v>580</v>
      </c>
      <c r="H4631">
        <v>30.5</v>
      </c>
      <c r="I4631" s="1" t="s">
        <v>1528</v>
      </c>
      <c r="J4631" s="1" t="s">
        <v>1491</v>
      </c>
      <c r="K4631" s="1" t="s">
        <v>25</v>
      </c>
      <c r="L4631">
        <v>-0.66</v>
      </c>
      <c r="M4631" t="str">
        <f t="shared" si="189"/>
        <v>44/40</v>
      </c>
      <c r="N4631" t="str">
        <f t="shared" si="190"/>
        <v>SW</v>
      </c>
      <c r="O4631" s="1" t="s">
        <v>25</v>
      </c>
      <c r="P4631" s="3" t="s">
        <v>25</v>
      </c>
      <c r="Q4631" s="37">
        <v>0.135861279</v>
      </c>
      <c r="R4631" t="str">
        <f t="shared" si="187"/>
        <v>mmol/mol</v>
      </c>
      <c r="S4631" s="13">
        <f t="shared" si="188"/>
        <v>-0.66</v>
      </c>
    </row>
    <row r="4632" spans="1:19">
      <c r="A4632" s="18" t="s">
        <v>4106</v>
      </c>
      <c r="B4632" s="1" t="s">
        <v>4797</v>
      </c>
      <c r="C4632" s="1" t="s">
        <v>5058</v>
      </c>
      <c r="D4632" s="1" t="s">
        <v>5062</v>
      </c>
      <c r="E4632" s="1" t="s">
        <v>25</v>
      </c>
      <c r="F4632">
        <v>580</v>
      </c>
      <c r="G4632">
        <v>580</v>
      </c>
      <c r="H4632">
        <v>31.5</v>
      </c>
      <c r="I4632" s="1" t="s">
        <v>1528</v>
      </c>
      <c r="J4632" s="1" t="s">
        <v>1491</v>
      </c>
      <c r="K4632" s="1" t="s">
        <v>25</v>
      </c>
      <c r="L4632" t="s">
        <v>25</v>
      </c>
      <c r="M4632" t="str">
        <f t="shared" si="189"/>
        <v>Na</v>
      </c>
      <c r="N4632" t="str">
        <f t="shared" si="190"/>
        <v>Na</v>
      </c>
      <c r="O4632" s="1" t="s">
        <v>25</v>
      </c>
      <c r="P4632" s="3" t="s">
        <v>25</v>
      </c>
      <c r="Q4632" s="37" t="s">
        <v>25</v>
      </c>
      <c r="R4632" t="str">
        <f t="shared" si="187"/>
        <v>Na</v>
      </c>
      <c r="S4632" s="13" t="s">
        <v>25</v>
      </c>
    </row>
    <row r="4633" spans="1:19">
      <c r="A4633" s="18" t="s">
        <v>4106</v>
      </c>
      <c r="B4633" s="1" t="s">
        <v>4798</v>
      </c>
      <c r="C4633" s="1" t="s">
        <v>5058</v>
      </c>
      <c r="D4633" s="1" t="s">
        <v>5062</v>
      </c>
      <c r="E4633" s="1" t="s">
        <v>25</v>
      </c>
      <c r="F4633">
        <v>580</v>
      </c>
      <c r="G4633">
        <v>580</v>
      </c>
      <c r="H4633">
        <v>32.5</v>
      </c>
      <c r="I4633" s="1" t="s">
        <v>1528</v>
      </c>
      <c r="J4633" s="1" t="s">
        <v>1491</v>
      </c>
      <c r="K4633" s="1" t="s">
        <v>25</v>
      </c>
      <c r="L4633">
        <v>-0.98</v>
      </c>
      <c r="M4633" t="str">
        <f t="shared" si="189"/>
        <v>44/40</v>
      </c>
      <c r="N4633" t="str">
        <f t="shared" si="190"/>
        <v>SW</v>
      </c>
      <c r="O4633" s="1" t="s">
        <v>25</v>
      </c>
      <c r="P4633" s="3" t="s">
        <v>25</v>
      </c>
      <c r="Q4633" s="37">
        <v>0.31276255600000002</v>
      </c>
      <c r="R4633" t="str">
        <f t="shared" ref="R4633:R4696" si="191">IF(Q4633="Na","Na","mmol/mol")</f>
        <v>mmol/mol</v>
      </c>
      <c r="S4633" s="13">
        <f t="shared" si="188"/>
        <v>-0.98</v>
      </c>
    </row>
    <row r="4634" spans="1:19">
      <c r="A4634" s="18" t="s">
        <v>4106</v>
      </c>
      <c r="B4634" s="1" t="s">
        <v>4799</v>
      </c>
      <c r="C4634" s="1" t="s">
        <v>5058</v>
      </c>
      <c r="D4634" s="1" t="s">
        <v>5062</v>
      </c>
      <c r="E4634" s="1" t="s">
        <v>25</v>
      </c>
      <c r="F4634">
        <v>580</v>
      </c>
      <c r="G4634">
        <v>580</v>
      </c>
      <c r="H4634">
        <v>33.200000000000003</v>
      </c>
      <c r="I4634" s="1" t="s">
        <v>1528</v>
      </c>
      <c r="J4634" s="1" t="s">
        <v>1491</v>
      </c>
      <c r="K4634" s="1" t="s">
        <v>25</v>
      </c>
      <c r="L4634" t="s">
        <v>25</v>
      </c>
      <c r="M4634" t="str">
        <f t="shared" si="189"/>
        <v>Na</v>
      </c>
      <c r="N4634" t="str">
        <f t="shared" si="190"/>
        <v>Na</v>
      </c>
      <c r="O4634" s="1" t="s">
        <v>25</v>
      </c>
      <c r="P4634" s="3" t="s">
        <v>25</v>
      </c>
      <c r="Q4634" s="37" t="s">
        <v>25</v>
      </c>
      <c r="R4634" t="str">
        <f t="shared" si="191"/>
        <v>Na</v>
      </c>
      <c r="S4634" s="13" t="s">
        <v>25</v>
      </c>
    </row>
    <row r="4635" spans="1:19">
      <c r="A4635" s="18" t="s">
        <v>4106</v>
      </c>
      <c r="B4635" s="1" t="s">
        <v>4800</v>
      </c>
      <c r="C4635" s="1" t="s">
        <v>5058</v>
      </c>
      <c r="D4635" s="1" t="s">
        <v>5062</v>
      </c>
      <c r="E4635" s="1" t="s">
        <v>25</v>
      </c>
      <c r="F4635">
        <v>580</v>
      </c>
      <c r="G4635">
        <v>580</v>
      </c>
      <c r="H4635">
        <v>35.5</v>
      </c>
      <c r="I4635" s="1" t="s">
        <v>1528</v>
      </c>
      <c r="J4635" s="1" t="s">
        <v>1491</v>
      </c>
      <c r="K4635" s="1" t="s">
        <v>25</v>
      </c>
      <c r="L4635">
        <v>-0.78</v>
      </c>
      <c r="M4635" t="str">
        <f t="shared" si="189"/>
        <v>44/40</v>
      </c>
      <c r="N4635" t="str">
        <f t="shared" si="190"/>
        <v>SW</v>
      </c>
      <c r="O4635" s="1" t="s">
        <v>25</v>
      </c>
      <c r="P4635" s="3" t="s">
        <v>25</v>
      </c>
      <c r="Q4635" s="37">
        <v>0.13920012500000001</v>
      </c>
      <c r="R4635" t="str">
        <f t="shared" si="191"/>
        <v>mmol/mol</v>
      </c>
      <c r="S4635" s="13">
        <f t="shared" si="188"/>
        <v>-0.78</v>
      </c>
    </row>
    <row r="4636" spans="1:19">
      <c r="A4636" s="18" t="s">
        <v>4106</v>
      </c>
      <c r="B4636" s="1" t="s">
        <v>4801</v>
      </c>
      <c r="C4636" s="1" t="s">
        <v>5058</v>
      </c>
      <c r="D4636" s="1" t="s">
        <v>5062</v>
      </c>
      <c r="E4636" s="1" t="s">
        <v>25</v>
      </c>
      <c r="F4636">
        <v>580</v>
      </c>
      <c r="G4636">
        <v>580</v>
      </c>
      <c r="H4636">
        <v>36.5</v>
      </c>
      <c r="I4636" s="1" t="s">
        <v>1528</v>
      </c>
      <c r="J4636" s="1" t="s">
        <v>1491</v>
      </c>
      <c r="K4636" s="1" t="s">
        <v>25</v>
      </c>
      <c r="L4636" t="s">
        <v>25</v>
      </c>
      <c r="M4636" t="str">
        <f t="shared" si="189"/>
        <v>Na</v>
      </c>
      <c r="N4636" t="str">
        <f t="shared" si="190"/>
        <v>Na</v>
      </c>
      <c r="O4636" s="1" t="s">
        <v>25</v>
      </c>
      <c r="P4636" s="3" t="s">
        <v>25</v>
      </c>
      <c r="Q4636" s="37" t="s">
        <v>25</v>
      </c>
      <c r="R4636" t="str">
        <f t="shared" si="191"/>
        <v>Na</v>
      </c>
      <c r="S4636" s="13" t="s">
        <v>25</v>
      </c>
    </row>
    <row r="4637" spans="1:19">
      <c r="A4637" s="18" t="s">
        <v>4106</v>
      </c>
      <c r="B4637" s="1" t="s">
        <v>4802</v>
      </c>
      <c r="C4637" s="1" t="s">
        <v>5058</v>
      </c>
      <c r="D4637" s="1" t="s">
        <v>5062</v>
      </c>
      <c r="E4637" s="1" t="s">
        <v>25</v>
      </c>
      <c r="F4637">
        <v>580</v>
      </c>
      <c r="G4637">
        <v>580</v>
      </c>
      <c r="H4637">
        <v>37.5</v>
      </c>
      <c r="I4637" s="1" t="s">
        <v>1528</v>
      </c>
      <c r="J4637" s="1" t="s">
        <v>1491</v>
      </c>
      <c r="K4637" s="1" t="s">
        <v>25</v>
      </c>
      <c r="L4637">
        <v>-0.66</v>
      </c>
      <c r="M4637" t="str">
        <f t="shared" si="189"/>
        <v>44/40</v>
      </c>
      <c r="N4637" t="str">
        <f t="shared" si="190"/>
        <v>SW</v>
      </c>
      <c r="O4637" s="1" t="s">
        <v>25</v>
      </c>
      <c r="P4637" s="3" t="s">
        <v>25</v>
      </c>
      <c r="Q4637" s="37">
        <v>0.172572643</v>
      </c>
      <c r="R4637" t="str">
        <f t="shared" si="191"/>
        <v>mmol/mol</v>
      </c>
      <c r="S4637" s="13">
        <f t="shared" si="188"/>
        <v>-0.66</v>
      </c>
    </row>
    <row r="4638" spans="1:19">
      <c r="A4638" s="18" t="s">
        <v>4106</v>
      </c>
      <c r="B4638" s="1" t="s">
        <v>4803</v>
      </c>
      <c r="C4638" s="1" t="s">
        <v>5058</v>
      </c>
      <c r="D4638" s="1" t="s">
        <v>5062</v>
      </c>
      <c r="E4638" s="1" t="s">
        <v>25</v>
      </c>
      <c r="F4638">
        <v>580</v>
      </c>
      <c r="G4638">
        <v>580</v>
      </c>
      <c r="H4638">
        <v>38.5</v>
      </c>
      <c r="I4638" s="1" t="s">
        <v>1528</v>
      </c>
      <c r="J4638" s="1" t="s">
        <v>1491</v>
      </c>
      <c r="K4638" s="1" t="s">
        <v>25</v>
      </c>
      <c r="L4638" t="s">
        <v>25</v>
      </c>
      <c r="M4638" t="str">
        <f t="shared" si="189"/>
        <v>Na</v>
      </c>
      <c r="N4638" t="str">
        <f t="shared" si="190"/>
        <v>Na</v>
      </c>
      <c r="O4638" s="1" t="s">
        <v>25</v>
      </c>
      <c r="P4638" s="3" t="s">
        <v>25</v>
      </c>
      <c r="Q4638" s="37" t="s">
        <v>25</v>
      </c>
      <c r="R4638" t="str">
        <f t="shared" si="191"/>
        <v>Na</v>
      </c>
      <c r="S4638" s="13" t="s">
        <v>25</v>
      </c>
    </row>
    <row r="4639" spans="1:19">
      <c r="A4639" s="18" t="s">
        <v>4106</v>
      </c>
      <c r="B4639" s="1" t="s">
        <v>4804</v>
      </c>
      <c r="C4639" s="1" t="s">
        <v>5058</v>
      </c>
      <c r="D4639" s="1" t="s">
        <v>5062</v>
      </c>
      <c r="E4639" s="1" t="s">
        <v>25</v>
      </c>
      <c r="F4639">
        <v>580</v>
      </c>
      <c r="G4639">
        <v>580</v>
      </c>
      <c r="H4639">
        <v>39.5</v>
      </c>
      <c r="I4639" s="1" t="s">
        <v>1528</v>
      </c>
      <c r="J4639" s="1" t="s">
        <v>1491</v>
      </c>
      <c r="K4639" s="1" t="s">
        <v>25</v>
      </c>
      <c r="L4639">
        <v>-0.81</v>
      </c>
      <c r="M4639" t="str">
        <f t="shared" si="189"/>
        <v>44/40</v>
      </c>
      <c r="N4639" t="str">
        <f t="shared" si="190"/>
        <v>SW</v>
      </c>
      <c r="O4639" s="1" t="s">
        <v>25</v>
      </c>
      <c r="P4639" s="3" t="s">
        <v>25</v>
      </c>
      <c r="Q4639" s="37">
        <v>0.29869168299999999</v>
      </c>
      <c r="R4639" t="str">
        <f t="shared" si="191"/>
        <v>mmol/mol</v>
      </c>
      <c r="S4639" s="13">
        <f t="shared" si="188"/>
        <v>-0.81</v>
      </c>
    </row>
    <row r="4640" spans="1:19">
      <c r="A4640" s="18" t="s">
        <v>4106</v>
      </c>
      <c r="B4640" s="1" t="s">
        <v>4805</v>
      </c>
      <c r="C4640" s="1" t="s">
        <v>5058</v>
      </c>
      <c r="D4640" s="1" t="s">
        <v>5062</v>
      </c>
      <c r="E4640" s="1" t="s">
        <v>25</v>
      </c>
      <c r="F4640">
        <v>580</v>
      </c>
      <c r="G4640">
        <v>580</v>
      </c>
      <c r="H4640">
        <v>40.5</v>
      </c>
      <c r="I4640" s="1" t="s">
        <v>1528</v>
      </c>
      <c r="J4640" s="1" t="s">
        <v>1491</v>
      </c>
      <c r="K4640" s="1" t="s">
        <v>25</v>
      </c>
      <c r="L4640" t="s">
        <v>25</v>
      </c>
      <c r="M4640" t="str">
        <f t="shared" si="189"/>
        <v>Na</v>
      </c>
      <c r="N4640" t="str">
        <f t="shared" si="190"/>
        <v>Na</v>
      </c>
      <c r="O4640" s="1" t="s">
        <v>25</v>
      </c>
      <c r="P4640" s="3" t="s">
        <v>25</v>
      </c>
      <c r="Q4640" s="37" t="s">
        <v>25</v>
      </c>
      <c r="R4640" t="str">
        <f t="shared" si="191"/>
        <v>Na</v>
      </c>
      <c r="S4640" s="13" t="s">
        <v>25</v>
      </c>
    </row>
    <row r="4641" spans="1:19">
      <c r="A4641" s="18" t="s">
        <v>4106</v>
      </c>
      <c r="B4641" s="1" t="s">
        <v>4806</v>
      </c>
      <c r="C4641" s="1" t="s">
        <v>5058</v>
      </c>
      <c r="D4641" s="1" t="s">
        <v>5062</v>
      </c>
      <c r="E4641" s="1" t="s">
        <v>25</v>
      </c>
      <c r="F4641">
        <v>580</v>
      </c>
      <c r="G4641">
        <v>580</v>
      </c>
      <c r="H4641">
        <v>41.5</v>
      </c>
      <c r="I4641" s="1" t="s">
        <v>1528</v>
      </c>
      <c r="J4641" s="1" t="s">
        <v>1491</v>
      </c>
      <c r="K4641" s="1" t="s">
        <v>25</v>
      </c>
      <c r="L4641">
        <v>-0.65</v>
      </c>
      <c r="M4641" t="str">
        <f t="shared" si="189"/>
        <v>44/40</v>
      </c>
      <c r="N4641" t="str">
        <f t="shared" si="190"/>
        <v>SW</v>
      </c>
      <c r="O4641" s="1" t="s">
        <v>25</v>
      </c>
      <c r="P4641" s="3" t="s">
        <v>25</v>
      </c>
      <c r="Q4641" s="37">
        <v>0.30040944200000003</v>
      </c>
      <c r="R4641" t="str">
        <f t="shared" si="191"/>
        <v>mmol/mol</v>
      </c>
      <c r="S4641" s="13">
        <f t="shared" si="188"/>
        <v>-0.65</v>
      </c>
    </row>
    <row r="4642" spans="1:19">
      <c r="A4642" s="18" t="s">
        <v>4106</v>
      </c>
      <c r="B4642" s="1" t="s">
        <v>4807</v>
      </c>
      <c r="C4642" s="1" t="s">
        <v>5058</v>
      </c>
      <c r="D4642" s="1" t="s">
        <v>5062</v>
      </c>
      <c r="E4642" s="1" t="s">
        <v>25</v>
      </c>
      <c r="F4642">
        <v>580</v>
      </c>
      <c r="G4642">
        <v>580</v>
      </c>
      <c r="H4642">
        <v>43.5</v>
      </c>
      <c r="I4642" s="1" t="s">
        <v>1528</v>
      </c>
      <c r="J4642" s="1" t="s">
        <v>1491</v>
      </c>
      <c r="K4642" s="1" t="s">
        <v>25</v>
      </c>
      <c r="L4642" t="s">
        <v>25</v>
      </c>
      <c r="M4642" t="str">
        <f t="shared" si="189"/>
        <v>Na</v>
      </c>
      <c r="N4642" t="str">
        <f t="shared" si="190"/>
        <v>Na</v>
      </c>
      <c r="O4642" s="1" t="s">
        <v>25</v>
      </c>
      <c r="P4642" s="3" t="s">
        <v>25</v>
      </c>
      <c r="Q4642" s="37" t="s">
        <v>25</v>
      </c>
      <c r="R4642" t="str">
        <f t="shared" si="191"/>
        <v>Na</v>
      </c>
      <c r="S4642" s="13" t="s">
        <v>25</v>
      </c>
    </row>
    <row r="4643" spans="1:19">
      <c r="A4643" s="18" t="s">
        <v>4106</v>
      </c>
      <c r="B4643" s="1" t="s">
        <v>4808</v>
      </c>
      <c r="C4643" s="1" t="s">
        <v>5058</v>
      </c>
      <c r="D4643" s="1" t="s">
        <v>5062</v>
      </c>
      <c r="E4643" s="1" t="s">
        <v>25</v>
      </c>
      <c r="F4643">
        <v>580</v>
      </c>
      <c r="G4643">
        <v>580</v>
      </c>
      <c r="H4643">
        <v>44.5</v>
      </c>
      <c r="I4643" s="1" t="s">
        <v>1528</v>
      </c>
      <c r="J4643" s="1" t="s">
        <v>1491</v>
      </c>
      <c r="K4643" s="1" t="s">
        <v>25</v>
      </c>
      <c r="L4643">
        <v>-0.72</v>
      </c>
      <c r="M4643" t="str">
        <f t="shared" si="189"/>
        <v>44/40</v>
      </c>
      <c r="N4643" t="str">
        <f t="shared" si="190"/>
        <v>SW</v>
      </c>
      <c r="O4643" s="1" t="s">
        <v>25</v>
      </c>
      <c r="P4643" s="3" t="s">
        <v>25</v>
      </c>
      <c r="Q4643" s="37">
        <v>0.30865696100000001</v>
      </c>
      <c r="R4643" t="str">
        <f t="shared" si="191"/>
        <v>mmol/mol</v>
      </c>
      <c r="S4643" s="13">
        <f t="shared" si="188"/>
        <v>-0.72</v>
      </c>
    </row>
    <row r="4644" spans="1:19">
      <c r="A4644" s="18" t="s">
        <v>4106</v>
      </c>
      <c r="B4644" s="1" t="s">
        <v>4809</v>
      </c>
      <c r="C4644" s="1" t="s">
        <v>5058</v>
      </c>
      <c r="D4644" s="1" t="s">
        <v>5062</v>
      </c>
      <c r="E4644" s="1" t="s">
        <v>25</v>
      </c>
      <c r="F4644">
        <v>580</v>
      </c>
      <c r="G4644">
        <v>580</v>
      </c>
      <c r="H4644">
        <v>46.5</v>
      </c>
      <c r="I4644" s="1" t="s">
        <v>1528</v>
      </c>
      <c r="J4644" s="1" t="s">
        <v>1491</v>
      </c>
      <c r="K4644" s="1" t="s">
        <v>25</v>
      </c>
      <c r="L4644" t="s">
        <v>25</v>
      </c>
      <c r="M4644" t="str">
        <f t="shared" si="189"/>
        <v>Na</v>
      </c>
      <c r="N4644" t="str">
        <f t="shared" si="190"/>
        <v>Na</v>
      </c>
      <c r="O4644" s="1" t="s">
        <v>25</v>
      </c>
      <c r="P4644" s="3" t="s">
        <v>25</v>
      </c>
      <c r="Q4644" s="37" t="s">
        <v>25</v>
      </c>
      <c r="R4644" t="str">
        <f t="shared" si="191"/>
        <v>Na</v>
      </c>
      <c r="S4644" s="13" t="s">
        <v>25</v>
      </c>
    </row>
    <row r="4645" spans="1:19">
      <c r="A4645" s="18" t="s">
        <v>4106</v>
      </c>
      <c r="B4645" s="1" t="s">
        <v>4810</v>
      </c>
      <c r="C4645" s="1" t="s">
        <v>5058</v>
      </c>
      <c r="D4645" s="1" t="s">
        <v>5062</v>
      </c>
      <c r="E4645" s="1" t="s">
        <v>25</v>
      </c>
      <c r="F4645">
        <v>580</v>
      </c>
      <c r="G4645">
        <v>580</v>
      </c>
      <c r="H4645">
        <v>47.5</v>
      </c>
      <c r="I4645" s="1" t="s">
        <v>1528</v>
      </c>
      <c r="J4645" s="1" t="s">
        <v>1491</v>
      </c>
      <c r="K4645" s="1" t="s">
        <v>25</v>
      </c>
      <c r="L4645">
        <v>-0.52</v>
      </c>
      <c r="M4645" t="str">
        <f t="shared" si="189"/>
        <v>44/40</v>
      </c>
      <c r="N4645" t="str">
        <f t="shared" si="190"/>
        <v>SW</v>
      </c>
      <c r="O4645" s="1" t="s">
        <v>25</v>
      </c>
      <c r="P4645" s="3" t="s">
        <v>25</v>
      </c>
      <c r="Q4645" s="37">
        <v>0.32038239000000002</v>
      </c>
      <c r="R4645" t="str">
        <f t="shared" si="191"/>
        <v>mmol/mol</v>
      </c>
      <c r="S4645" s="13">
        <f t="shared" si="188"/>
        <v>-0.52</v>
      </c>
    </row>
    <row r="4646" spans="1:19">
      <c r="A4646" s="18" t="s">
        <v>4106</v>
      </c>
      <c r="B4646" s="1" t="s">
        <v>4811</v>
      </c>
      <c r="C4646" s="1" t="s">
        <v>5058</v>
      </c>
      <c r="D4646" s="1" t="s">
        <v>5062</v>
      </c>
      <c r="E4646" s="1" t="s">
        <v>25</v>
      </c>
      <c r="F4646">
        <v>580</v>
      </c>
      <c r="G4646">
        <v>580</v>
      </c>
      <c r="H4646">
        <v>48.5</v>
      </c>
      <c r="I4646" s="1" t="s">
        <v>1528</v>
      </c>
      <c r="J4646" s="1" t="s">
        <v>1491</v>
      </c>
      <c r="K4646" s="1" t="s">
        <v>25</v>
      </c>
      <c r="L4646">
        <v>-0.76</v>
      </c>
      <c r="M4646" t="str">
        <f t="shared" si="189"/>
        <v>44/40</v>
      </c>
      <c r="N4646" t="str">
        <f t="shared" si="190"/>
        <v>SW</v>
      </c>
      <c r="O4646" s="1" t="s">
        <v>25</v>
      </c>
      <c r="P4646" s="3" t="s">
        <v>25</v>
      </c>
      <c r="Q4646" s="37">
        <v>0.29122746799999999</v>
      </c>
      <c r="R4646" t="str">
        <f t="shared" si="191"/>
        <v>mmol/mol</v>
      </c>
      <c r="S4646" s="13">
        <f t="shared" si="188"/>
        <v>-0.76</v>
      </c>
    </row>
    <row r="4647" spans="1:19">
      <c r="A4647" s="18" t="s">
        <v>4106</v>
      </c>
      <c r="B4647" s="1" t="s">
        <v>4812</v>
      </c>
      <c r="C4647" s="1" t="s">
        <v>5058</v>
      </c>
      <c r="D4647" s="1" t="s">
        <v>5062</v>
      </c>
      <c r="E4647" s="1" t="s">
        <v>25</v>
      </c>
      <c r="F4647">
        <v>580</v>
      </c>
      <c r="G4647">
        <v>580</v>
      </c>
      <c r="H4647">
        <v>63</v>
      </c>
      <c r="I4647" s="1" t="s">
        <v>1528</v>
      </c>
      <c r="J4647" s="1" t="s">
        <v>1336</v>
      </c>
      <c r="K4647" s="1" t="s">
        <v>25</v>
      </c>
      <c r="L4647">
        <v>-0.98</v>
      </c>
      <c r="M4647" t="str">
        <f t="shared" si="189"/>
        <v>44/40</v>
      </c>
      <c r="N4647" t="str">
        <f t="shared" si="190"/>
        <v>SW</v>
      </c>
      <c r="O4647" s="1" t="s">
        <v>25</v>
      </c>
      <c r="P4647" s="3" t="s">
        <v>25</v>
      </c>
      <c r="Q4647" s="37">
        <v>0.94303864199999998</v>
      </c>
      <c r="R4647" t="str">
        <f t="shared" si="191"/>
        <v>mmol/mol</v>
      </c>
      <c r="S4647" s="13">
        <f t="shared" si="188"/>
        <v>-0.98</v>
      </c>
    </row>
    <row r="4648" spans="1:19">
      <c r="A4648" s="18" t="s">
        <v>4106</v>
      </c>
      <c r="B4648" s="1" t="s">
        <v>4813</v>
      </c>
      <c r="C4648" s="1" t="s">
        <v>5058</v>
      </c>
      <c r="D4648" s="1" t="s">
        <v>5062</v>
      </c>
      <c r="E4648" s="1" t="s">
        <v>25</v>
      </c>
      <c r="F4648">
        <v>580</v>
      </c>
      <c r="G4648">
        <v>580</v>
      </c>
      <c r="H4648">
        <v>64</v>
      </c>
      <c r="I4648" s="1" t="s">
        <v>1528</v>
      </c>
      <c r="J4648" s="1" t="s">
        <v>1336</v>
      </c>
      <c r="K4648" s="1" t="s">
        <v>25</v>
      </c>
      <c r="L4648">
        <v>-1.04</v>
      </c>
      <c r="M4648" t="str">
        <f t="shared" si="189"/>
        <v>44/40</v>
      </c>
      <c r="N4648" t="str">
        <f t="shared" si="190"/>
        <v>SW</v>
      </c>
      <c r="O4648" s="1" t="s">
        <v>25</v>
      </c>
      <c r="P4648" s="3" t="s">
        <v>25</v>
      </c>
      <c r="Q4648" s="37">
        <v>1.703571392</v>
      </c>
      <c r="R4648" t="str">
        <f t="shared" si="191"/>
        <v>mmol/mol</v>
      </c>
      <c r="S4648" s="13">
        <f t="shared" si="188"/>
        <v>-1.04</v>
      </c>
    </row>
    <row r="4649" spans="1:19">
      <c r="A4649" s="18" t="s">
        <v>4106</v>
      </c>
      <c r="B4649" s="1" t="s">
        <v>4814</v>
      </c>
      <c r="C4649" s="1" t="s">
        <v>5058</v>
      </c>
      <c r="D4649" s="1" t="s">
        <v>5062</v>
      </c>
      <c r="E4649" s="1" t="s">
        <v>25</v>
      </c>
      <c r="F4649">
        <v>580</v>
      </c>
      <c r="G4649">
        <v>580</v>
      </c>
      <c r="H4649">
        <v>65</v>
      </c>
      <c r="I4649" s="1" t="s">
        <v>1528</v>
      </c>
      <c r="J4649" s="1" t="s">
        <v>1336</v>
      </c>
      <c r="K4649" s="1" t="s">
        <v>25</v>
      </c>
      <c r="L4649">
        <v>-1.19</v>
      </c>
      <c r="M4649" t="str">
        <f t="shared" si="189"/>
        <v>44/40</v>
      </c>
      <c r="N4649" t="str">
        <f t="shared" si="190"/>
        <v>SW</v>
      </c>
      <c r="O4649" s="1" t="s">
        <v>25</v>
      </c>
      <c r="P4649" s="3" t="s">
        <v>25</v>
      </c>
      <c r="Q4649" s="37">
        <v>1.580760097</v>
      </c>
      <c r="R4649" t="str">
        <f t="shared" si="191"/>
        <v>mmol/mol</v>
      </c>
      <c r="S4649" s="13">
        <f t="shared" si="188"/>
        <v>-1.19</v>
      </c>
    </row>
    <row r="4650" spans="1:19">
      <c r="A4650" s="18" t="s">
        <v>4106</v>
      </c>
      <c r="B4650" s="1" t="s">
        <v>4815</v>
      </c>
      <c r="C4650" s="1" t="s">
        <v>5058</v>
      </c>
      <c r="D4650" s="1" t="s">
        <v>5062</v>
      </c>
      <c r="E4650" s="1" t="s">
        <v>25</v>
      </c>
      <c r="F4650">
        <v>580</v>
      </c>
      <c r="G4650">
        <v>580</v>
      </c>
      <c r="H4650">
        <v>67</v>
      </c>
      <c r="I4650" s="1" t="s">
        <v>1528</v>
      </c>
      <c r="J4650" s="1" t="s">
        <v>1336</v>
      </c>
      <c r="K4650" s="1" t="s">
        <v>25</v>
      </c>
      <c r="L4650">
        <v>-1.1299999999999999</v>
      </c>
      <c r="M4650" t="str">
        <f t="shared" si="189"/>
        <v>44/40</v>
      </c>
      <c r="N4650" t="str">
        <f t="shared" si="190"/>
        <v>SW</v>
      </c>
      <c r="O4650" s="1" t="s">
        <v>25</v>
      </c>
      <c r="P4650" s="3" t="s">
        <v>25</v>
      </c>
      <c r="Q4650" s="37">
        <v>1.697264796</v>
      </c>
      <c r="R4650" t="str">
        <f t="shared" si="191"/>
        <v>mmol/mol</v>
      </c>
      <c r="S4650" s="13">
        <f t="shared" si="188"/>
        <v>-1.1299999999999999</v>
      </c>
    </row>
    <row r="4651" spans="1:19">
      <c r="A4651" s="18" t="s">
        <v>4106</v>
      </c>
      <c r="B4651" s="1" t="s">
        <v>4816</v>
      </c>
      <c r="C4651" s="1" t="s">
        <v>5058</v>
      </c>
      <c r="D4651" s="1" t="s">
        <v>5062</v>
      </c>
      <c r="E4651" s="1" t="s">
        <v>25</v>
      </c>
      <c r="F4651">
        <v>580</v>
      </c>
      <c r="G4651">
        <v>580</v>
      </c>
      <c r="H4651">
        <v>22.1</v>
      </c>
      <c r="I4651" s="1" t="s">
        <v>1528</v>
      </c>
      <c r="J4651" s="1" t="s">
        <v>1491</v>
      </c>
      <c r="K4651" s="1" t="s">
        <v>25</v>
      </c>
      <c r="L4651">
        <v>-1.45</v>
      </c>
      <c r="M4651" t="str">
        <f t="shared" si="189"/>
        <v>44/40</v>
      </c>
      <c r="N4651" t="str">
        <f t="shared" si="190"/>
        <v>SW</v>
      </c>
      <c r="O4651" s="1" t="s">
        <v>25</v>
      </c>
      <c r="P4651" s="3" t="s">
        <v>25</v>
      </c>
      <c r="Q4651" s="37">
        <v>0.15952957400000001</v>
      </c>
      <c r="R4651" t="str">
        <f t="shared" si="191"/>
        <v>mmol/mol</v>
      </c>
      <c r="S4651" s="13">
        <f t="shared" si="188"/>
        <v>-1.45</v>
      </c>
    </row>
    <row r="4652" spans="1:19">
      <c r="A4652" s="18" t="s">
        <v>4106</v>
      </c>
      <c r="B4652" s="1" t="s">
        <v>4817</v>
      </c>
      <c r="C4652" s="1" t="s">
        <v>5058</v>
      </c>
      <c r="D4652" s="1" t="s">
        <v>5062</v>
      </c>
      <c r="E4652" s="1" t="s">
        <v>25</v>
      </c>
      <c r="F4652">
        <v>580</v>
      </c>
      <c r="G4652">
        <v>580</v>
      </c>
      <c r="H4652">
        <v>23.9</v>
      </c>
      <c r="I4652" s="1" t="s">
        <v>1528</v>
      </c>
      <c r="J4652" s="1" t="s">
        <v>1491</v>
      </c>
      <c r="K4652" s="1" t="s">
        <v>25</v>
      </c>
      <c r="L4652">
        <v>-1.42</v>
      </c>
      <c r="M4652" t="str">
        <f t="shared" si="189"/>
        <v>44/40</v>
      </c>
      <c r="N4652" t="str">
        <f t="shared" si="190"/>
        <v>SW</v>
      </c>
      <c r="O4652" s="1" t="s">
        <v>25</v>
      </c>
      <c r="P4652" s="3" t="s">
        <v>25</v>
      </c>
      <c r="Q4652" s="37">
        <v>0.13506489699999999</v>
      </c>
      <c r="R4652" t="str">
        <f t="shared" si="191"/>
        <v>mmol/mol</v>
      </c>
      <c r="S4652" s="13">
        <f t="shared" ref="S4652:S4715" si="192">IF(NOT(N4652="SW"),L4652-1.88,L4652)</f>
        <v>-1.42</v>
      </c>
    </row>
    <row r="4653" spans="1:19">
      <c r="A4653" s="18" t="s">
        <v>4106</v>
      </c>
      <c r="B4653" s="1" t="s">
        <v>4818</v>
      </c>
      <c r="C4653" s="1" t="s">
        <v>5058</v>
      </c>
      <c r="D4653" s="1" t="s">
        <v>5062</v>
      </c>
      <c r="E4653" s="1" t="s">
        <v>25</v>
      </c>
      <c r="F4653">
        <v>580</v>
      </c>
      <c r="G4653">
        <v>580</v>
      </c>
      <c r="H4653">
        <v>27</v>
      </c>
      <c r="I4653" s="1" t="s">
        <v>1528</v>
      </c>
      <c r="J4653" s="1" t="s">
        <v>1491</v>
      </c>
      <c r="K4653" s="1" t="s">
        <v>25</v>
      </c>
      <c r="L4653">
        <v>-1.27</v>
      </c>
      <c r="M4653" t="str">
        <f t="shared" si="189"/>
        <v>44/40</v>
      </c>
      <c r="N4653" t="str">
        <f t="shared" si="190"/>
        <v>SW</v>
      </c>
      <c r="O4653" s="1" t="s">
        <v>25</v>
      </c>
      <c r="P4653" s="3" t="s">
        <v>25</v>
      </c>
      <c r="Q4653" s="37">
        <v>0.112820684</v>
      </c>
      <c r="R4653" t="str">
        <f t="shared" si="191"/>
        <v>mmol/mol</v>
      </c>
      <c r="S4653" s="13">
        <f t="shared" si="192"/>
        <v>-1.27</v>
      </c>
    </row>
    <row r="4654" spans="1:19">
      <c r="A4654" s="18" t="s">
        <v>4106</v>
      </c>
      <c r="B4654" s="1" t="s">
        <v>4819</v>
      </c>
      <c r="C4654" s="1" t="s">
        <v>5058</v>
      </c>
      <c r="D4654" s="1" t="s">
        <v>5062</v>
      </c>
      <c r="E4654" s="1" t="s">
        <v>25</v>
      </c>
      <c r="F4654">
        <v>580</v>
      </c>
      <c r="G4654">
        <v>580</v>
      </c>
      <c r="H4654">
        <v>29.1</v>
      </c>
      <c r="I4654" s="1" t="s">
        <v>1528</v>
      </c>
      <c r="J4654" s="1" t="s">
        <v>1491</v>
      </c>
      <c r="K4654" s="1" t="s">
        <v>25</v>
      </c>
      <c r="L4654">
        <v>-1.53</v>
      </c>
      <c r="M4654" t="str">
        <f t="shared" si="189"/>
        <v>44/40</v>
      </c>
      <c r="N4654" t="str">
        <f t="shared" si="190"/>
        <v>SW</v>
      </c>
      <c r="O4654" s="1" t="s">
        <v>25</v>
      </c>
      <c r="P4654" s="3" t="s">
        <v>25</v>
      </c>
      <c r="Q4654" s="37">
        <v>0.101819254</v>
      </c>
      <c r="R4654" t="str">
        <f t="shared" si="191"/>
        <v>mmol/mol</v>
      </c>
      <c r="S4654" s="13">
        <f t="shared" si="192"/>
        <v>-1.53</v>
      </c>
    </row>
    <row r="4655" spans="1:19">
      <c r="A4655" s="18" t="s">
        <v>4106</v>
      </c>
      <c r="B4655" s="1" t="s">
        <v>4820</v>
      </c>
      <c r="C4655" s="1" t="s">
        <v>5058</v>
      </c>
      <c r="D4655" s="1" t="s">
        <v>5062</v>
      </c>
      <c r="E4655" s="1" t="s">
        <v>25</v>
      </c>
      <c r="F4655">
        <v>580</v>
      </c>
      <c r="G4655">
        <v>580</v>
      </c>
      <c r="H4655">
        <v>31.2</v>
      </c>
      <c r="I4655" s="1" t="s">
        <v>1528</v>
      </c>
      <c r="J4655" s="1" t="s">
        <v>1491</v>
      </c>
      <c r="K4655" s="1" t="s">
        <v>25</v>
      </c>
      <c r="L4655">
        <v>-1.43</v>
      </c>
      <c r="M4655" t="str">
        <f t="shared" si="189"/>
        <v>44/40</v>
      </c>
      <c r="N4655" t="str">
        <f t="shared" si="190"/>
        <v>SW</v>
      </c>
      <c r="O4655" s="1" t="s">
        <v>25</v>
      </c>
      <c r="P4655" s="3" t="s">
        <v>25</v>
      </c>
      <c r="Q4655" s="37">
        <v>9.9849634000000007E-2</v>
      </c>
      <c r="R4655" t="str">
        <f t="shared" si="191"/>
        <v>mmol/mol</v>
      </c>
      <c r="S4655" s="13">
        <f t="shared" si="192"/>
        <v>-1.43</v>
      </c>
    </row>
    <row r="4656" spans="1:19">
      <c r="A4656" s="18" t="s">
        <v>4106</v>
      </c>
      <c r="B4656" s="1" t="s">
        <v>4821</v>
      </c>
      <c r="C4656" s="1" t="s">
        <v>5058</v>
      </c>
      <c r="D4656" s="1" t="s">
        <v>5062</v>
      </c>
      <c r="E4656" s="1" t="s">
        <v>25</v>
      </c>
      <c r="F4656">
        <v>580</v>
      </c>
      <c r="G4656">
        <v>580</v>
      </c>
      <c r="H4656">
        <v>33</v>
      </c>
      <c r="I4656" s="1" t="s">
        <v>1528</v>
      </c>
      <c r="J4656" s="1" t="s">
        <v>1491</v>
      </c>
      <c r="K4656" s="1" t="s">
        <v>25</v>
      </c>
      <c r="L4656">
        <v>-1.38</v>
      </c>
      <c r="M4656" t="str">
        <f t="shared" ref="M4656:M4719" si="193">IF(L4656="Na","Na","44/40")</f>
        <v>44/40</v>
      </c>
      <c r="N4656" t="str">
        <f t="shared" ref="N4656:N4719" si="194">IF(M4656="Na","Na","SW")</f>
        <v>SW</v>
      </c>
      <c r="O4656" s="1" t="s">
        <v>25</v>
      </c>
      <c r="P4656" s="3" t="s">
        <v>25</v>
      </c>
      <c r="Q4656" s="37">
        <v>0.11374709700000001</v>
      </c>
      <c r="R4656" t="str">
        <f t="shared" si="191"/>
        <v>mmol/mol</v>
      </c>
      <c r="S4656" s="13">
        <f t="shared" si="192"/>
        <v>-1.38</v>
      </c>
    </row>
    <row r="4657" spans="1:19">
      <c r="A4657" s="18" t="s">
        <v>4106</v>
      </c>
      <c r="B4657" s="1" t="s">
        <v>4822</v>
      </c>
      <c r="C4657" s="1" t="s">
        <v>5058</v>
      </c>
      <c r="D4657" s="1" t="s">
        <v>5062</v>
      </c>
      <c r="E4657" s="1" t="s">
        <v>25</v>
      </c>
      <c r="F4657">
        <v>580</v>
      </c>
      <c r="G4657">
        <v>580</v>
      </c>
      <c r="H4657">
        <v>35</v>
      </c>
      <c r="I4657" s="1" t="s">
        <v>1528</v>
      </c>
      <c r="J4657" s="1" t="s">
        <v>1491</v>
      </c>
      <c r="K4657" s="1" t="s">
        <v>25</v>
      </c>
      <c r="L4657">
        <v>-1.42</v>
      </c>
      <c r="M4657" t="str">
        <f t="shared" si="193"/>
        <v>44/40</v>
      </c>
      <c r="N4657" t="str">
        <f t="shared" si="194"/>
        <v>SW</v>
      </c>
      <c r="O4657" s="1" t="s">
        <v>25</v>
      </c>
      <c r="P4657" s="3" t="s">
        <v>25</v>
      </c>
      <c r="Q4657" s="37">
        <v>0.10929929100000001</v>
      </c>
      <c r="R4657" t="str">
        <f t="shared" si="191"/>
        <v>mmol/mol</v>
      </c>
      <c r="S4657" s="13">
        <f t="shared" si="192"/>
        <v>-1.42</v>
      </c>
    </row>
    <row r="4658" spans="1:19">
      <c r="A4658" s="18" t="s">
        <v>4106</v>
      </c>
      <c r="B4658" s="1" t="s">
        <v>4823</v>
      </c>
      <c r="C4658" s="1" t="s">
        <v>5058</v>
      </c>
      <c r="D4658" s="1" t="s">
        <v>5062</v>
      </c>
      <c r="E4658" s="1" t="s">
        <v>25</v>
      </c>
      <c r="F4658">
        <v>580</v>
      </c>
      <c r="G4658">
        <v>580</v>
      </c>
      <c r="H4658">
        <v>39</v>
      </c>
      <c r="I4658" s="1" t="s">
        <v>1528</v>
      </c>
      <c r="J4658" s="1" t="s">
        <v>1491</v>
      </c>
      <c r="K4658" s="1" t="s">
        <v>25</v>
      </c>
      <c r="L4658">
        <v>-1.4</v>
      </c>
      <c r="M4658" t="str">
        <f t="shared" si="193"/>
        <v>44/40</v>
      </c>
      <c r="N4658" t="str">
        <f t="shared" si="194"/>
        <v>SW</v>
      </c>
      <c r="O4658" s="1" t="s">
        <v>25</v>
      </c>
      <c r="P4658" s="3" t="s">
        <v>25</v>
      </c>
      <c r="Q4658" s="37">
        <v>0.105838219</v>
      </c>
      <c r="R4658" t="str">
        <f t="shared" si="191"/>
        <v>mmol/mol</v>
      </c>
      <c r="S4658" s="13">
        <f t="shared" si="192"/>
        <v>-1.4</v>
      </c>
    </row>
    <row r="4659" spans="1:19">
      <c r="A4659" s="18" t="s">
        <v>4106</v>
      </c>
      <c r="B4659" s="1" t="s">
        <v>4824</v>
      </c>
      <c r="C4659" s="1" t="s">
        <v>5058</v>
      </c>
      <c r="D4659" s="1" t="s">
        <v>5062</v>
      </c>
      <c r="E4659" s="1" t="s">
        <v>25</v>
      </c>
      <c r="F4659">
        <v>580</v>
      </c>
      <c r="G4659">
        <v>580</v>
      </c>
      <c r="H4659">
        <v>41</v>
      </c>
      <c r="I4659" s="1" t="s">
        <v>1528</v>
      </c>
      <c r="J4659" s="1" t="s">
        <v>1491</v>
      </c>
      <c r="K4659" s="1" t="s">
        <v>25</v>
      </c>
      <c r="L4659">
        <v>-1.6</v>
      </c>
      <c r="M4659" t="str">
        <f t="shared" si="193"/>
        <v>44/40</v>
      </c>
      <c r="N4659" t="str">
        <f t="shared" si="194"/>
        <v>SW</v>
      </c>
      <c r="O4659" s="1" t="s">
        <v>25</v>
      </c>
      <c r="P4659" s="3" t="s">
        <v>25</v>
      </c>
      <c r="Q4659" s="37">
        <v>9.7636886000000006E-2</v>
      </c>
      <c r="R4659" t="str">
        <f t="shared" si="191"/>
        <v>mmol/mol</v>
      </c>
      <c r="S4659" s="13">
        <f t="shared" si="192"/>
        <v>-1.6</v>
      </c>
    </row>
    <row r="4660" spans="1:19">
      <c r="A4660" s="18" t="s">
        <v>4106</v>
      </c>
      <c r="B4660" s="1" t="s">
        <v>4825</v>
      </c>
      <c r="C4660" s="1" t="s">
        <v>5058</v>
      </c>
      <c r="D4660" s="1" t="s">
        <v>5062</v>
      </c>
      <c r="E4660" s="1" t="s">
        <v>25</v>
      </c>
      <c r="F4660">
        <v>580</v>
      </c>
      <c r="G4660">
        <v>580</v>
      </c>
      <c r="H4660">
        <v>43</v>
      </c>
      <c r="I4660" s="1" t="s">
        <v>1528</v>
      </c>
      <c r="J4660" s="1" t="s">
        <v>1491</v>
      </c>
      <c r="K4660" s="1" t="s">
        <v>25</v>
      </c>
      <c r="L4660">
        <v>-1.31</v>
      </c>
      <c r="M4660" t="str">
        <f t="shared" si="193"/>
        <v>44/40</v>
      </c>
      <c r="N4660" t="str">
        <f t="shared" si="194"/>
        <v>SW</v>
      </c>
      <c r="O4660" s="1" t="s">
        <v>25</v>
      </c>
      <c r="P4660" s="3" t="s">
        <v>25</v>
      </c>
      <c r="Q4660" s="37">
        <v>0.115423568</v>
      </c>
      <c r="R4660" t="str">
        <f t="shared" si="191"/>
        <v>mmol/mol</v>
      </c>
      <c r="S4660" s="13">
        <f t="shared" si="192"/>
        <v>-1.31</v>
      </c>
    </row>
    <row r="4661" spans="1:19">
      <c r="A4661" s="18" t="s">
        <v>4106</v>
      </c>
      <c r="B4661" s="1" t="s">
        <v>4826</v>
      </c>
      <c r="C4661" s="1" t="s">
        <v>5058</v>
      </c>
      <c r="D4661" s="1" t="s">
        <v>5062</v>
      </c>
      <c r="E4661" s="1" t="s">
        <v>25</v>
      </c>
      <c r="F4661">
        <v>580</v>
      </c>
      <c r="G4661">
        <v>580</v>
      </c>
      <c r="H4661">
        <v>45</v>
      </c>
      <c r="I4661" s="1" t="s">
        <v>1528</v>
      </c>
      <c r="J4661" s="1" t="s">
        <v>1491</v>
      </c>
      <c r="K4661" s="1" t="s">
        <v>25</v>
      </c>
      <c r="L4661">
        <v>-1.47</v>
      </c>
      <c r="M4661" t="str">
        <f t="shared" si="193"/>
        <v>44/40</v>
      </c>
      <c r="N4661" t="str">
        <f t="shared" si="194"/>
        <v>SW</v>
      </c>
      <c r="O4661" s="1" t="s">
        <v>25</v>
      </c>
      <c r="P4661" s="3" t="s">
        <v>25</v>
      </c>
      <c r="Q4661" s="37">
        <v>9.9738787999999995E-2</v>
      </c>
      <c r="R4661" t="str">
        <f t="shared" si="191"/>
        <v>mmol/mol</v>
      </c>
      <c r="S4661" s="13">
        <f t="shared" si="192"/>
        <v>-1.47</v>
      </c>
    </row>
    <row r="4662" spans="1:19">
      <c r="A4662" s="18" t="s">
        <v>4106</v>
      </c>
      <c r="B4662" s="1" t="s">
        <v>4827</v>
      </c>
      <c r="C4662" s="1" t="s">
        <v>5058</v>
      </c>
      <c r="D4662" s="1" t="s">
        <v>5062</v>
      </c>
      <c r="E4662" s="1" t="s">
        <v>25</v>
      </c>
      <c r="F4662">
        <v>580</v>
      </c>
      <c r="G4662">
        <v>580</v>
      </c>
      <c r="H4662">
        <v>47</v>
      </c>
      <c r="I4662" s="1" t="s">
        <v>1528</v>
      </c>
      <c r="J4662" s="1" t="s">
        <v>1491</v>
      </c>
      <c r="K4662" s="1" t="s">
        <v>25</v>
      </c>
      <c r="L4662">
        <v>-1.42</v>
      </c>
      <c r="M4662" t="str">
        <f t="shared" si="193"/>
        <v>44/40</v>
      </c>
      <c r="N4662" t="str">
        <f t="shared" si="194"/>
        <v>SW</v>
      </c>
      <c r="O4662" s="1" t="s">
        <v>25</v>
      </c>
      <c r="P4662" s="3" t="s">
        <v>25</v>
      </c>
      <c r="Q4662" s="37">
        <v>0.10140363099999999</v>
      </c>
      <c r="R4662" t="str">
        <f t="shared" si="191"/>
        <v>mmol/mol</v>
      </c>
      <c r="S4662" s="13">
        <f t="shared" si="192"/>
        <v>-1.42</v>
      </c>
    </row>
    <row r="4663" spans="1:19">
      <c r="A4663" s="18" t="s">
        <v>4106</v>
      </c>
      <c r="B4663" s="1" t="s">
        <v>4828</v>
      </c>
      <c r="C4663" s="1" t="s">
        <v>5058</v>
      </c>
      <c r="D4663" s="1" t="s">
        <v>5062</v>
      </c>
      <c r="E4663" s="1" t="s">
        <v>25</v>
      </c>
      <c r="F4663">
        <v>580</v>
      </c>
      <c r="G4663">
        <v>580</v>
      </c>
      <c r="H4663">
        <v>49</v>
      </c>
      <c r="I4663" s="1" t="s">
        <v>1528</v>
      </c>
      <c r="J4663" s="1" t="s">
        <v>1491</v>
      </c>
      <c r="K4663" s="1" t="s">
        <v>25</v>
      </c>
      <c r="L4663">
        <v>-1.44</v>
      </c>
      <c r="M4663" t="str">
        <f t="shared" si="193"/>
        <v>44/40</v>
      </c>
      <c r="N4663" t="str">
        <f t="shared" si="194"/>
        <v>SW</v>
      </c>
      <c r="O4663" s="1" t="s">
        <v>25</v>
      </c>
      <c r="P4663" s="3" t="s">
        <v>25</v>
      </c>
      <c r="Q4663" s="37">
        <v>9.8056742000000002E-2</v>
      </c>
      <c r="R4663" t="str">
        <f t="shared" si="191"/>
        <v>mmol/mol</v>
      </c>
      <c r="S4663" s="13">
        <f t="shared" si="192"/>
        <v>-1.44</v>
      </c>
    </row>
    <row r="4664" spans="1:19">
      <c r="A4664" s="18" t="s">
        <v>4106</v>
      </c>
      <c r="B4664" s="1" t="s">
        <v>4829</v>
      </c>
      <c r="C4664" s="1" t="s">
        <v>5058</v>
      </c>
      <c r="D4664" s="1" t="s">
        <v>5062</v>
      </c>
      <c r="E4664" s="1" t="s">
        <v>25</v>
      </c>
      <c r="F4664">
        <v>580</v>
      </c>
      <c r="G4664">
        <v>580</v>
      </c>
      <c r="H4664">
        <v>62</v>
      </c>
      <c r="I4664" s="1" t="s">
        <v>1528</v>
      </c>
      <c r="J4664" s="1" t="s">
        <v>1491</v>
      </c>
      <c r="K4664" s="1" t="s">
        <v>25</v>
      </c>
      <c r="L4664" t="s">
        <v>25</v>
      </c>
      <c r="M4664" t="str">
        <f t="shared" si="193"/>
        <v>Na</v>
      </c>
      <c r="N4664" t="str">
        <f t="shared" si="194"/>
        <v>Na</v>
      </c>
      <c r="O4664" s="1" t="s">
        <v>25</v>
      </c>
      <c r="P4664" s="3" t="s">
        <v>25</v>
      </c>
      <c r="Q4664" s="37">
        <v>0.123301618</v>
      </c>
      <c r="R4664" t="str">
        <f t="shared" si="191"/>
        <v>mmol/mol</v>
      </c>
      <c r="S4664" s="13" t="s">
        <v>25</v>
      </c>
    </row>
    <row r="4665" spans="1:19">
      <c r="A4665" s="18" t="s">
        <v>4106</v>
      </c>
      <c r="B4665" s="1" t="s">
        <v>4830</v>
      </c>
      <c r="C4665" s="1" t="s">
        <v>5058</v>
      </c>
      <c r="D4665" s="1" t="s">
        <v>5062</v>
      </c>
      <c r="E4665" s="1" t="s">
        <v>25</v>
      </c>
      <c r="F4665">
        <v>580</v>
      </c>
      <c r="G4665">
        <v>580</v>
      </c>
      <c r="H4665">
        <v>64</v>
      </c>
      <c r="I4665" s="1" t="s">
        <v>1528</v>
      </c>
      <c r="J4665" s="1" t="s">
        <v>1491</v>
      </c>
      <c r="K4665" s="1" t="s">
        <v>25</v>
      </c>
      <c r="L4665">
        <v>-1.2</v>
      </c>
      <c r="M4665" t="str">
        <f t="shared" si="193"/>
        <v>44/40</v>
      </c>
      <c r="N4665" t="str">
        <f t="shared" si="194"/>
        <v>SW</v>
      </c>
      <c r="O4665" s="1" t="s">
        <v>25</v>
      </c>
      <c r="P4665" s="3" t="s">
        <v>25</v>
      </c>
      <c r="Q4665" s="37">
        <v>7.1441470000000007E-2</v>
      </c>
      <c r="R4665" t="str">
        <f t="shared" si="191"/>
        <v>mmol/mol</v>
      </c>
      <c r="S4665" s="13">
        <f t="shared" si="192"/>
        <v>-1.2</v>
      </c>
    </row>
    <row r="4666" spans="1:19">
      <c r="A4666" s="18" t="s">
        <v>4106</v>
      </c>
      <c r="B4666" s="1" t="s">
        <v>4831</v>
      </c>
      <c r="C4666" s="1" t="s">
        <v>5058</v>
      </c>
      <c r="D4666" s="1" t="s">
        <v>5062</v>
      </c>
      <c r="E4666" s="1" t="s">
        <v>25</v>
      </c>
      <c r="F4666">
        <v>580</v>
      </c>
      <c r="G4666">
        <v>580</v>
      </c>
      <c r="H4666">
        <v>66</v>
      </c>
      <c r="I4666" s="1" t="s">
        <v>1528</v>
      </c>
      <c r="J4666" s="1" t="s">
        <v>1491</v>
      </c>
      <c r="K4666" s="1" t="s">
        <v>25</v>
      </c>
      <c r="L4666">
        <v>-1.37</v>
      </c>
      <c r="M4666" t="str">
        <f t="shared" si="193"/>
        <v>44/40</v>
      </c>
      <c r="N4666" t="str">
        <f t="shared" si="194"/>
        <v>SW</v>
      </c>
      <c r="O4666" s="1" t="s">
        <v>25</v>
      </c>
      <c r="P4666" s="3" t="s">
        <v>25</v>
      </c>
      <c r="Q4666" s="37">
        <v>7.6532432999999997E-2</v>
      </c>
      <c r="R4666" t="str">
        <f t="shared" si="191"/>
        <v>mmol/mol</v>
      </c>
      <c r="S4666" s="13">
        <f t="shared" si="192"/>
        <v>-1.37</v>
      </c>
    </row>
    <row r="4667" spans="1:19">
      <c r="A4667" s="18" t="s">
        <v>4106</v>
      </c>
      <c r="B4667" s="1" t="s">
        <v>4832</v>
      </c>
      <c r="C4667" s="1" t="s">
        <v>5058</v>
      </c>
      <c r="D4667" s="1" t="s">
        <v>5062</v>
      </c>
      <c r="E4667" s="1" t="s">
        <v>25</v>
      </c>
      <c r="F4667">
        <v>580</v>
      </c>
      <c r="G4667">
        <v>580</v>
      </c>
      <c r="H4667">
        <v>68.099999999999994</v>
      </c>
      <c r="I4667" s="1" t="s">
        <v>1528</v>
      </c>
      <c r="J4667" s="1" t="s">
        <v>1491</v>
      </c>
      <c r="K4667" s="1" t="s">
        <v>25</v>
      </c>
      <c r="L4667">
        <v>-1.18</v>
      </c>
      <c r="M4667" t="str">
        <f t="shared" si="193"/>
        <v>44/40</v>
      </c>
      <c r="N4667" t="str">
        <f t="shared" si="194"/>
        <v>SW</v>
      </c>
      <c r="O4667" s="1" t="s">
        <v>25</v>
      </c>
      <c r="P4667" s="3" t="s">
        <v>25</v>
      </c>
      <c r="Q4667" s="37">
        <v>0.15327576300000001</v>
      </c>
      <c r="R4667" t="str">
        <f t="shared" si="191"/>
        <v>mmol/mol</v>
      </c>
      <c r="S4667" s="13">
        <f t="shared" si="192"/>
        <v>-1.18</v>
      </c>
    </row>
    <row r="4668" spans="1:19">
      <c r="A4668" s="18" t="s">
        <v>4106</v>
      </c>
      <c r="B4668" s="1" t="s">
        <v>4833</v>
      </c>
      <c r="C4668" s="1" t="s">
        <v>5058</v>
      </c>
      <c r="D4668" s="1" t="s">
        <v>5062</v>
      </c>
      <c r="E4668" s="1" t="s">
        <v>25</v>
      </c>
      <c r="F4668">
        <v>580</v>
      </c>
      <c r="G4668">
        <v>580</v>
      </c>
      <c r="H4668">
        <v>70.5</v>
      </c>
      <c r="I4668" s="1" t="s">
        <v>1528</v>
      </c>
      <c r="J4668" s="1" t="s">
        <v>1491</v>
      </c>
      <c r="K4668" s="1" t="s">
        <v>25</v>
      </c>
      <c r="L4668">
        <v>-1.29</v>
      </c>
      <c r="M4668" t="str">
        <f t="shared" si="193"/>
        <v>44/40</v>
      </c>
      <c r="N4668" t="str">
        <f t="shared" si="194"/>
        <v>SW</v>
      </c>
      <c r="O4668" s="1" t="s">
        <v>25</v>
      </c>
      <c r="P4668" s="3" t="s">
        <v>25</v>
      </c>
      <c r="Q4668" s="37">
        <v>0.186927222</v>
      </c>
      <c r="R4668" t="str">
        <f t="shared" si="191"/>
        <v>mmol/mol</v>
      </c>
      <c r="S4668" s="13">
        <f t="shared" si="192"/>
        <v>-1.29</v>
      </c>
    </row>
    <row r="4669" spans="1:19">
      <c r="A4669" s="18" t="s">
        <v>4106</v>
      </c>
      <c r="B4669" s="1" t="s">
        <v>4834</v>
      </c>
      <c r="C4669" s="1" t="s">
        <v>5058</v>
      </c>
      <c r="D4669" s="1" t="s">
        <v>5062</v>
      </c>
      <c r="E4669" s="1" t="s">
        <v>25</v>
      </c>
      <c r="F4669">
        <v>580</v>
      </c>
      <c r="G4669">
        <v>580</v>
      </c>
      <c r="H4669">
        <v>71.900000000000006</v>
      </c>
      <c r="I4669" s="1" t="s">
        <v>1528</v>
      </c>
      <c r="J4669" s="1" t="s">
        <v>1491</v>
      </c>
      <c r="K4669" s="1" t="s">
        <v>25</v>
      </c>
      <c r="L4669">
        <v>-1.23</v>
      </c>
      <c r="M4669" t="str">
        <f t="shared" si="193"/>
        <v>44/40</v>
      </c>
      <c r="N4669" t="str">
        <f t="shared" si="194"/>
        <v>SW</v>
      </c>
      <c r="O4669" s="1" t="s">
        <v>25</v>
      </c>
      <c r="P4669" s="3" t="s">
        <v>25</v>
      </c>
      <c r="Q4669" s="37">
        <v>0.171995131</v>
      </c>
      <c r="R4669" t="str">
        <f t="shared" si="191"/>
        <v>mmol/mol</v>
      </c>
      <c r="S4669" s="13">
        <f t="shared" si="192"/>
        <v>-1.23</v>
      </c>
    </row>
    <row r="4670" spans="1:19">
      <c r="A4670" s="18" t="s">
        <v>4106</v>
      </c>
      <c r="B4670" s="1" t="s">
        <v>4835</v>
      </c>
      <c r="C4670" s="1" t="s">
        <v>5058</v>
      </c>
      <c r="D4670" s="1" t="s">
        <v>5062</v>
      </c>
      <c r="E4670" s="1" t="s">
        <v>25</v>
      </c>
      <c r="F4670">
        <v>580</v>
      </c>
      <c r="G4670">
        <v>580</v>
      </c>
      <c r="H4670">
        <v>74.099999999999994</v>
      </c>
      <c r="I4670" s="1" t="s">
        <v>1528</v>
      </c>
      <c r="J4670" s="1" t="s">
        <v>1491</v>
      </c>
      <c r="K4670" s="1" t="s">
        <v>25</v>
      </c>
      <c r="L4670">
        <v>-1.32</v>
      </c>
      <c r="M4670" t="str">
        <f t="shared" si="193"/>
        <v>44/40</v>
      </c>
      <c r="N4670" t="str">
        <f t="shared" si="194"/>
        <v>SW</v>
      </c>
      <c r="O4670" s="1" t="s">
        <v>25</v>
      </c>
      <c r="P4670" s="3" t="s">
        <v>25</v>
      </c>
      <c r="Q4670" s="37">
        <v>0.16043062899999999</v>
      </c>
      <c r="R4670" t="str">
        <f t="shared" si="191"/>
        <v>mmol/mol</v>
      </c>
      <c r="S4670" s="13">
        <f t="shared" si="192"/>
        <v>-1.32</v>
      </c>
    </row>
    <row r="4671" spans="1:19">
      <c r="A4671" s="18" t="s">
        <v>4106</v>
      </c>
      <c r="B4671" s="1" t="s">
        <v>4836</v>
      </c>
      <c r="C4671" s="1" t="s">
        <v>5058</v>
      </c>
      <c r="D4671" s="1" t="s">
        <v>5062</v>
      </c>
      <c r="E4671" s="1" t="s">
        <v>25</v>
      </c>
      <c r="F4671">
        <v>580</v>
      </c>
      <c r="G4671">
        <v>580</v>
      </c>
      <c r="H4671">
        <v>77</v>
      </c>
      <c r="I4671" s="1" t="s">
        <v>1528</v>
      </c>
      <c r="J4671" s="1" t="s">
        <v>1491</v>
      </c>
      <c r="K4671" s="1" t="s">
        <v>25</v>
      </c>
      <c r="L4671">
        <v>-1.0900000000000001</v>
      </c>
      <c r="M4671" t="str">
        <f t="shared" si="193"/>
        <v>44/40</v>
      </c>
      <c r="N4671" t="str">
        <f t="shared" si="194"/>
        <v>SW</v>
      </c>
      <c r="O4671" s="1" t="s">
        <v>25</v>
      </c>
      <c r="P4671" s="3" t="s">
        <v>25</v>
      </c>
      <c r="Q4671" s="37">
        <v>0.17564406499999999</v>
      </c>
      <c r="R4671" t="str">
        <f t="shared" si="191"/>
        <v>mmol/mol</v>
      </c>
      <c r="S4671" s="13">
        <f t="shared" si="192"/>
        <v>-1.0900000000000001</v>
      </c>
    </row>
    <row r="4672" spans="1:19">
      <c r="A4672" s="18" t="s">
        <v>4106</v>
      </c>
      <c r="B4672" s="1" t="s">
        <v>4837</v>
      </c>
      <c r="C4672" s="1" t="s">
        <v>5058</v>
      </c>
      <c r="D4672" s="1" t="s">
        <v>5062</v>
      </c>
      <c r="E4672" s="1" t="s">
        <v>25</v>
      </c>
      <c r="F4672">
        <v>580</v>
      </c>
      <c r="G4672">
        <v>580</v>
      </c>
      <c r="H4672">
        <v>79</v>
      </c>
      <c r="I4672" s="1" t="s">
        <v>1528</v>
      </c>
      <c r="J4672" s="1" t="s">
        <v>1491</v>
      </c>
      <c r="K4672" s="1" t="s">
        <v>25</v>
      </c>
      <c r="L4672">
        <v>-1.32</v>
      </c>
      <c r="M4672" t="str">
        <f t="shared" si="193"/>
        <v>44/40</v>
      </c>
      <c r="N4672" t="str">
        <f t="shared" si="194"/>
        <v>SW</v>
      </c>
      <c r="O4672" s="1" t="s">
        <v>25</v>
      </c>
      <c r="P4672" s="3" t="s">
        <v>25</v>
      </c>
      <c r="Q4672" s="37">
        <v>9.7299808000000002E-2</v>
      </c>
      <c r="R4672" t="str">
        <f t="shared" si="191"/>
        <v>mmol/mol</v>
      </c>
      <c r="S4672" s="13">
        <f t="shared" si="192"/>
        <v>-1.32</v>
      </c>
    </row>
    <row r="4673" spans="1:19">
      <c r="A4673" s="18" t="s">
        <v>4106</v>
      </c>
      <c r="B4673" s="1" t="s">
        <v>4838</v>
      </c>
      <c r="C4673" s="1" t="s">
        <v>5058</v>
      </c>
      <c r="D4673" s="1" t="s">
        <v>5062</v>
      </c>
      <c r="E4673" s="1" t="s">
        <v>25</v>
      </c>
      <c r="F4673">
        <v>580</v>
      </c>
      <c r="G4673">
        <v>580</v>
      </c>
      <c r="H4673">
        <v>81</v>
      </c>
      <c r="I4673" s="1" t="s">
        <v>1528</v>
      </c>
      <c r="J4673" s="1" t="s">
        <v>1491</v>
      </c>
      <c r="K4673" s="1" t="s">
        <v>25</v>
      </c>
      <c r="L4673">
        <v>-1.24</v>
      </c>
      <c r="M4673" t="str">
        <f t="shared" si="193"/>
        <v>44/40</v>
      </c>
      <c r="N4673" t="str">
        <f t="shared" si="194"/>
        <v>SW</v>
      </c>
      <c r="O4673" s="1" t="s">
        <v>25</v>
      </c>
      <c r="P4673" s="3" t="s">
        <v>25</v>
      </c>
      <c r="Q4673" s="37">
        <v>0.13766863500000001</v>
      </c>
      <c r="R4673" t="str">
        <f t="shared" si="191"/>
        <v>mmol/mol</v>
      </c>
      <c r="S4673" s="13">
        <f t="shared" si="192"/>
        <v>-1.24</v>
      </c>
    </row>
    <row r="4674" spans="1:19">
      <c r="A4674" s="18" t="s">
        <v>4106</v>
      </c>
      <c r="B4674" s="1" t="s">
        <v>4839</v>
      </c>
      <c r="C4674" s="1" t="s">
        <v>5058</v>
      </c>
      <c r="D4674" s="1" t="s">
        <v>5062</v>
      </c>
      <c r="E4674" s="1" t="s">
        <v>25</v>
      </c>
      <c r="F4674">
        <v>580</v>
      </c>
      <c r="G4674">
        <v>580</v>
      </c>
      <c r="H4674">
        <v>83</v>
      </c>
      <c r="I4674" s="1" t="s">
        <v>1528</v>
      </c>
      <c r="J4674" s="1" t="s">
        <v>1491</v>
      </c>
      <c r="K4674" s="1" t="s">
        <v>25</v>
      </c>
      <c r="L4674">
        <v>-1.2</v>
      </c>
      <c r="M4674" t="str">
        <f t="shared" si="193"/>
        <v>44/40</v>
      </c>
      <c r="N4674" t="str">
        <f t="shared" si="194"/>
        <v>SW</v>
      </c>
      <c r="O4674" s="1" t="s">
        <v>25</v>
      </c>
      <c r="P4674" s="3" t="s">
        <v>25</v>
      </c>
      <c r="Q4674" s="37">
        <v>0.132973271</v>
      </c>
      <c r="R4674" t="str">
        <f t="shared" si="191"/>
        <v>mmol/mol</v>
      </c>
      <c r="S4674" s="13">
        <f t="shared" si="192"/>
        <v>-1.2</v>
      </c>
    </row>
    <row r="4675" spans="1:19">
      <c r="A4675" s="18" t="s">
        <v>4106</v>
      </c>
      <c r="B4675" s="1" t="s">
        <v>4840</v>
      </c>
      <c r="C4675" s="1" t="s">
        <v>5058</v>
      </c>
      <c r="D4675" s="1" t="s">
        <v>5062</v>
      </c>
      <c r="E4675" s="1" t="s">
        <v>25</v>
      </c>
      <c r="F4675">
        <v>580</v>
      </c>
      <c r="G4675">
        <v>580</v>
      </c>
      <c r="H4675">
        <v>85</v>
      </c>
      <c r="I4675" s="1" t="s">
        <v>1528</v>
      </c>
      <c r="J4675" s="1" t="s">
        <v>1491</v>
      </c>
      <c r="K4675" s="1" t="s">
        <v>25</v>
      </c>
      <c r="L4675">
        <v>-1.31</v>
      </c>
      <c r="M4675" t="str">
        <f t="shared" si="193"/>
        <v>44/40</v>
      </c>
      <c r="N4675" t="str">
        <f t="shared" si="194"/>
        <v>SW</v>
      </c>
      <c r="O4675" s="1" t="s">
        <v>25</v>
      </c>
      <c r="P4675" s="3" t="s">
        <v>25</v>
      </c>
      <c r="Q4675" s="37">
        <v>0.17438678699999999</v>
      </c>
      <c r="R4675" t="str">
        <f t="shared" si="191"/>
        <v>mmol/mol</v>
      </c>
      <c r="S4675" s="13">
        <f t="shared" si="192"/>
        <v>-1.31</v>
      </c>
    </row>
    <row r="4676" spans="1:19">
      <c r="A4676" s="18" t="s">
        <v>4106</v>
      </c>
      <c r="B4676" s="1" t="s">
        <v>4841</v>
      </c>
      <c r="C4676" s="1" t="s">
        <v>5058</v>
      </c>
      <c r="D4676" s="1" t="s">
        <v>5062</v>
      </c>
      <c r="E4676" s="1" t="s">
        <v>25</v>
      </c>
      <c r="F4676">
        <v>580</v>
      </c>
      <c r="G4676">
        <v>580</v>
      </c>
      <c r="H4676">
        <v>87.1</v>
      </c>
      <c r="I4676" s="1" t="s">
        <v>1528</v>
      </c>
      <c r="J4676" s="1" t="s">
        <v>1491</v>
      </c>
      <c r="K4676" s="1" t="s">
        <v>25</v>
      </c>
      <c r="L4676">
        <v>-1.44</v>
      </c>
      <c r="M4676" t="str">
        <f t="shared" si="193"/>
        <v>44/40</v>
      </c>
      <c r="N4676" t="str">
        <f t="shared" si="194"/>
        <v>SW</v>
      </c>
      <c r="O4676" s="1" t="s">
        <v>25</v>
      </c>
      <c r="P4676" s="3" t="s">
        <v>25</v>
      </c>
      <c r="Q4676" s="37">
        <v>0.139740528</v>
      </c>
      <c r="R4676" t="str">
        <f t="shared" si="191"/>
        <v>mmol/mol</v>
      </c>
      <c r="S4676" s="13">
        <f t="shared" si="192"/>
        <v>-1.44</v>
      </c>
    </row>
    <row r="4677" spans="1:19">
      <c r="A4677" s="18" t="s">
        <v>4106</v>
      </c>
      <c r="B4677" s="1" t="s">
        <v>4842</v>
      </c>
      <c r="C4677" s="1" t="s">
        <v>5058</v>
      </c>
      <c r="D4677" s="1" t="s">
        <v>5062</v>
      </c>
      <c r="E4677" s="1" t="s">
        <v>25</v>
      </c>
      <c r="F4677">
        <v>580</v>
      </c>
      <c r="G4677">
        <v>580</v>
      </c>
      <c r="H4677">
        <v>88.9</v>
      </c>
      <c r="I4677" s="1" t="s">
        <v>1528</v>
      </c>
      <c r="J4677" s="1" t="s">
        <v>1491</v>
      </c>
      <c r="K4677" s="1" t="s">
        <v>25</v>
      </c>
      <c r="L4677">
        <v>-1.07</v>
      </c>
      <c r="M4677" t="str">
        <f t="shared" si="193"/>
        <v>44/40</v>
      </c>
      <c r="N4677" t="str">
        <f t="shared" si="194"/>
        <v>SW</v>
      </c>
      <c r="O4677" s="1" t="s">
        <v>25</v>
      </c>
      <c r="P4677" s="3" t="s">
        <v>25</v>
      </c>
      <c r="Q4677" s="37">
        <v>0.14164505199999999</v>
      </c>
      <c r="R4677" t="str">
        <f t="shared" si="191"/>
        <v>mmol/mol</v>
      </c>
      <c r="S4677" s="13">
        <f t="shared" si="192"/>
        <v>-1.07</v>
      </c>
    </row>
    <row r="4678" spans="1:19">
      <c r="A4678" s="18" t="s">
        <v>4106</v>
      </c>
      <c r="B4678" s="1" t="s">
        <v>4843</v>
      </c>
      <c r="C4678" s="1" t="s">
        <v>5058</v>
      </c>
      <c r="D4678" s="1" t="s">
        <v>5062</v>
      </c>
      <c r="E4678" s="1" t="s">
        <v>25</v>
      </c>
      <c r="F4678">
        <v>580</v>
      </c>
      <c r="G4678">
        <v>580</v>
      </c>
      <c r="H4678">
        <v>90</v>
      </c>
      <c r="I4678" s="1" t="s">
        <v>1528</v>
      </c>
      <c r="J4678" s="1" t="s">
        <v>1491</v>
      </c>
      <c r="K4678" s="1" t="s">
        <v>25</v>
      </c>
      <c r="L4678">
        <v>-1.1499999999999999</v>
      </c>
      <c r="M4678" t="str">
        <f t="shared" si="193"/>
        <v>44/40</v>
      </c>
      <c r="N4678" t="str">
        <f t="shared" si="194"/>
        <v>SW</v>
      </c>
      <c r="O4678" s="1" t="s">
        <v>25</v>
      </c>
      <c r="P4678" s="3" t="s">
        <v>25</v>
      </c>
      <c r="Q4678" s="37">
        <v>0.20212108200000001</v>
      </c>
      <c r="R4678" t="str">
        <f t="shared" si="191"/>
        <v>mmol/mol</v>
      </c>
      <c r="S4678" s="13">
        <f t="shared" si="192"/>
        <v>-1.1499999999999999</v>
      </c>
    </row>
    <row r="4679" spans="1:19">
      <c r="A4679" s="18" t="s">
        <v>4106</v>
      </c>
      <c r="B4679" s="1" t="s">
        <v>4844</v>
      </c>
      <c r="C4679" s="1" t="s">
        <v>5058</v>
      </c>
      <c r="D4679" s="1" t="s">
        <v>5062</v>
      </c>
      <c r="E4679" s="1" t="s">
        <v>25</v>
      </c>
      <c r="F4679">
        <v>580</v>
      </c>
      <c r="G4679">
        <v>580</v>
      </c>
      <c r="H4679">
        <v>91</v>
      </c>
      <c r="I4679" s="1" t="s">
        <v>1528</v>
      </c>
      <c r="J4679" s="1" t="s">
        <v>1491</v>
      </c>
      <c r="K4679" s="1" t="s">
        <v>25</v>
      </c>
      <c r="L4679">
        <v>-1.19</v>
      </c>
      <c r="M4679" t="str">
        <f t="shared" si="193"/>
        <v>44/40</v>
      </c>
      <c r="N4679" t="str">
        <f t="shared" si="194"/>
        <v>SW</v>
      </c>
      <c r="O4679" s="1" t="s">
        <v>25</v>
      </c>
      <c r="P4679" s="3" t="s">
        <v>25</v>
      </c>
      <c r="Q4679" s="37">
        <v>0.22378778799999999</v>
      </c>
      <c r="R4679" t="str">
        <f t="shared" si="191"/>
        <v>mmol/mol</v>
      </c>
      <c r="S4679" s="13">
        <f t="shared" si="192"/>
        <v>-1.19</v>
      </c>
    </row>
    <row r="4680" spans="1:19">
      <c r="A4680" s="18" t="s">
        <v>4106</v>
      </c>
      <c r="B4680" s="1" t="s">
        <v>4845</v>
      </c>
      <c r="C4680" s="1" t="s">
        <v>5058</v>
      </c>
      <c r="D4680" s="1" t="s">
        <v>5062</v>
      </c>
      <c r="E4680" s="1" t="s">
        <v>25</v>
      </c>
      <c r="F4680">
        <v>580</v>
      </c>
      <c r="G4680">
        <v>580</v>
      </c>
      <c r="H4680">
        <v>92.7</v>
      </c>
      <c r="I4680" s="1" t="s">
        <v>1528</v>
      </c>
      <c r="J4680" s="1" t="s">
        <v>1491</v>
      </c>
      <c r="K4680" s="1" t="s">
        <v>25</v>
      </c>
      <c r="L4680">
        <v>-1.2</v>
      </c>
      <c r="M4680" t="str">
        <f t="shared" si="193"/>
        <v>44/40</v>
      </c>
      <c r="N4680" t="str">
        <f t="shared" si="194"/>
        <v>SW</v>
      </c>
      <c r="O4680" s="1" t="s">
        <v>25</v>
      </c>
      <c r="P4680" s="3" t="s">
        <v>25</v>
      </c>
      <c r="Q4680" s="37">
        <v>0.15532879699999999</v>
      </c>
      <c r="R4680" t="str">
        <f t="shared" si="191"/>
        <v>mmol/mol</v>
      </c>
      <c r="S4680" s="13">
        <f t="shared" si="192"/>
        <v>-1.2</v>
      </c>
    </row>
    <row r="4681" spans="1:19">
      <c r="A4681" s="18" t="s">
        <v>4106</v>
      </c>
      <c r="B4681" s="1" t="s">
        <v>4846</v>
      </c>
      <c r="C4681" s="1" t="s">
        <v>5058</v>
      </c>
      <c r="D4681" s="1" t="s">
        <v>5062</v>
      </c>
      <c r="E4681" s="1" t="s">
        <v>25</v>
      </c>
      <c r="F4681">
        <v>580</v>
      </c>
      <c r="G4681">
        <v>580</v>
      </c>
      <c r="H4681">
        <v>95.1</v>
      </c>
      <c r="I4681" s="1" t="s">
        <v>1528</v>
      </c>
      <c r="J4681" s="1" t="s">
        <v>1491</v>
      </c>
      <c r="K4681" s="1" t="s">
        <v>25</v>
      </c>
      <c r="L4681">
        <v>-1.26</v>
      </c>
      <c r="M4681" t="str">
        <f t="shared" si="193"/>
        <v>44/40</v>
      </c>
      <c r="N4681" t="str">
        <f t="shared" si="194"/>
        <v>SW</v>
      </c>
      <c r="O4681" s="1" t="s">
        <v>25</v>
      </c>
      <c r="P4681" s="3" t="s">
        <v>25</v>
      </c>
      <c r="Q4681" s="37">
        <v>0.136591675</v>
      </c>
      <c r="R4681" t="str">
        <f t="shared" si="191"/>
        <v>mmol/mol</v>
      </c>
      <c r="S4681" s="13">
        <f t="shared" si="192"/>
        <v>-1.26</v>
      </c>
    </row>
    <row r="4682" spans="1:19">
      <c r="A4682" s="18" t="s">
        <v>4106</v>
      </c>
      <c r="B4682" s="1" t="s">
        <v>4847</v>
      </c>
      <c r="C4682" s="1" t="s">
        <v>5058</v>
      </c>
      <c r="D4682" s="1" t="s">
        <v>5062</v>
      </c>
      <c r="E4682" s="1" t="s">
        <v>25</v>
      </c>
      <c r="F4682">
        <v>580</v>
      </c>
      <c r="G4682">
        <v>580</v>
      </c>
      <c r="H4682">
        <v>97</v>
      </c>
      <c r="I4682" s="1" t="s">
        <v>1528</v>
      </c>
      <c r="J4682" s="1" t="s">
        <v>1491</v>
      </c>
      <c r="K4682" s="1" t="s">
        <v>25</v>
      </c>
      <c r="L4682">
        <v>-1.22</v>
      </c>
      <c r="M4682" t="str">
        <f t="shared" si="193"/>
        <v>44/40</v>
      </c>
      <c r="N4682" t="str">
        <f t="shared" si="194"/>
        <v>SW</v>
      </c>
      <c r="O4682" s="1" t="s">
        <v>25</v>
      </c>
      <c r="P4682" s="3" t="s">
        <v>25</v>
      </c>
      <c r="Q4682" s="37">
        <v>0.142989168</v>
      </c>
      <c r="R4682" t="str">
        <f t="shared" si="191"/>
        <v>mmol/mol</v>
      </c>
      <c r="S4682" s="13">
        <f t="shared" si="192"/>
        <v>-1.22</v>
      </c>
    </row>
    <row r="4683" spans="1:19">
      <c r="A4683" s="18" t="s">
        <v>4106</v>
      </c>
      <c r="B4683" s="1" t="s">
        <v>4848</v>
      </c>
      <c r="C4683" s="1" t="s">
        <v>5058</v>
      </c>
      <c r="D4683" s="1" t="s">
        <v>5062</v>
      </c>
      <c r="E4683" s="1" t="s">
        <v>25</v>
      </c>
      <c r="F4683">
        <v>580</v>
      </c>
      <c r="G4683">
        <v>580</v>
      </c>
      <c r="H4683">
        <v>99</v>
      </c>
      <c r="I4683" s="1" t="s">
        <v>1528</v>
      </c>
      <c r="J4683" s="1" t="s">
        <v>1491</v>
      </c>
      <c r="K4683" s="1" t="s">
        <v>25</v>
      </c>
      <c r="L4683">
        <v>-1.0900000000000001</v>
      </c>
      <c r="M4683" t="str">
        <f t="shared" si="193"/>
        <v>44/40</v>
      </c>
      <c r="N4683" t="str">
        <f t="shared" si="194"/>
        <v>SW</v>
      </c>
      <c r="O4683" s="1" t="s">
        <v>25</v>
      </c>
      <c r="P4683" s="3" t="s">
        <v>25</v>
      </c>
      <c r="Q4683" s="37">
        <v>0.15647403500000001</v>
      </c>
      <c r="R4683" t="str">
        <f t="shared" si="191"/>
        <v>mmol/mol</v>
      </c>
      <c r="S4683" s="13">
        <f t="shared" si="192"/>
        <v>-1.0900000000000001</v>
      </c>
    </row>
    <row r="4684" spans="1:19">
      <c r="A4684" s="18" t="s">
        <v>4106</v>
      </c>
      <c r="B4684" s="1" t="s">
        <v>4849</v>
      </c>
      <c r="C4684" s="1" t="s">
        <v>5058</v>
      </c>
      <c r="D4684" s="1" t="s">
        <v>5062</v>
      </c>
      <c r="E4684" s="1" t="s">
        <v>25</v>
      </c>
      <c r="F4684">
        <v>580</v>
      </c>
      <c r="G4684">
        <v>580</v>
      </c>
      <c r="H4684">
        <v>101.5</v>
      </c>
      <c r="I4684" s="1" t="s">
        <v>1528</v>
      </c>
      <c r="J4684" s="1" t="s">
        <v>1491</v>
      </c>
      <c r="K4684" s="1" t="s">
        <v>25</v>
      </c>
      <c r="L4684">
        <v>-1.1499999999999999</v>
      </c>
      <c r="M4684" t="str">
        <f t="shared" si="193"/>
        <v>44/40</v>
      </c>
      <c r="N4684" t="str">
        <f t="shared" si="194"/>
        <v>SW</v>
      </c>
      <c r="O4684" s="1" t="s">
        <v>25</v>
      </c>
      <c r="P4684" s="3" t="s">
        <v>25</v>
      </c>
      <c r="Q4684" s="37">
        <v>0.10790499100000001</v>
      </c>
      <c r="R4684" t="str">
        <f t="shared" si="191"/>
        <v>mmol/mol</v>
      </c>
      <c r="S4684" s="13">
        <f t="shared" si="192"/>
        <v>-1.1499999999999999</v>
      </c>
    </row>
    <row r="4685" spans="1:19">
      <c r="A4685" s="18" t="s">
        <v>4106</v>
      </c>
      <c r="B4685" s="1" t="s">
        <v>4850</v>
      </c>
      <c r="C4685" s="1" t="s">
        <v>5058</v>
      </c>
      <c r="D4685" s="1" t="s">
        <v>5062</v>
      </c>
      <c r="E4685" s="1" t="s">
        <v>25</v>
      </c>
      <c r="F4685">
        <v>580</v>
      </c>
      <c r="G4685">
        <v>580</v>
      </c>
      <c r="H4685">
        <v>104.3</v>
      </c>
      <c r="I4685" s="1" t="s">
        <v>1528</v>
      </c>
      <c r="J4685" s="1" t="s">
        <v>1491</v>
      </c>
      <c r="K4685" s="1" t="s">
        <v>25</v>
      </c>
      <c r="L4685">
        <v>-1.4</v>
      </c>
      <c r="M4685" t="str">
        <f t="shared" si="193"/>
        <v>44/40</v>
      </c>
      <c r="N4685" t="str">
        <f t="shared" si="194"/>
        <v>SW</v>
      </c>
      <c r="O4685" s="1" t="s">
        <v>25</v>
      </c>
      <c r="P4685" s="3" t="s">
        <v>25</v>
      </c>
      <c r="Q4685" s="37">
        <v>6.0468701E-2</v>
      </c>
      <c r="R4685" t="str">
        <f t="shared" si="191"/>
        <v>mmol/mol</v>
      </c>
      <c r="S4685" s="13">
        <f t="shared" si="192"/>
        <v>-1.4</v>
      </c>
    </row>
    <row r="4686" spans="1:19">
      <c r="A4686" s="18" t="s">
        <v>4106</v>
      </c>
      <c r="B4686" s="1" t="s">
        <v>4851</v>
      </c>
      <c r="C4686" s="1" t="s">
        <v>5058</v>
      </c>
      <c r="D4686" s="1" t="s">
        <v>5062</v>
      </c>
      <c r="E4686" s="1" t="s">
        <v>25</v>
      </c>
      <c r="F4686">
        <v>580</v>
      </c>
      <c r="G4686">
        <v>580</v>
      </c>
      <c r="H4686">
        <v>108.1</v>
      </c>
      <c r="I4686" s="1" t="s">
        <v>1528</v>
      </c>
      <c r="J4686" s="1" t="s">
        <v>1491</v>
      </c>
      <c r="K4686" s="1" t="s">
        <v>25</v>
      </c>
      <c r="L4686">
        <v>-1.39</v>
      </c>
      <c r="M4686" t="str">
        <f t="shared" si="193"/>
        <v>44/40</v>
      </c>
      <c r="N4686" t="str">
        <f t="shared" si="194"/>
        <v>SW</v>
      </c>
      <c r="O4686" s="1" t="s">
        <v>25</v>
      </c>
      <c r="P4686" s="3" t="s">
        <v>25</v>
      </c>
      <c r="Q4686" s="37">
        <v>0.14460084600000001</v>
      </c>
      <c r="R4686" t="str">
        <f t="shared" si="191"/>
        <v>mmol/mol</v>
      </c>
      <c r="S4686" s="13">
        <f t="shared" si="192"/>
        <v>-1.39</v>
      </c>
    </row>
    <row r="4687" spans="1:19">
      <c r="A4687" s="18" t="s">
        <v>4106</v>
      </c>
      <c r="B4687" s="1" t="s">
        <v>4852</v>
      </c>
      <c r="C4687" s="1" t="s">
        <v>5058</v>
      </c>
      <c r="D4687" s="1" t="s">
        <v>5062</v>
      </c>
      <c r="E4687" s="1" t="s">
        <v>25</v>
      </c>
      <c r="F4687">
        <v>580</v>
      </c>
      <c r="G4687">
        <v>580</v>
      </c>
      <c r="H4687">
        <v>110</v>
      </c>
      <c r="I4687" s="1" t="s">
        <v>1528</v>
      </c>
      <c r="J4687" s="1" t="s">
        <v>1491</v>
      </c>
      <c r="K4687" s="1" t="s">
        <v>25</v>
      </c>
      <c r="L4687">
        <v>-1.36</v>
      </c>
      <c r="M4687" t="str">
        <f t="shared" si="193"/>
        <v>44/40</v>
      </c>
      <c r="N4687" t="str">
        <f t="shared" si="194"/>
        <v>SW</v>
      </c>
      <c r="O4687" s="1" t="s">
        <v>25</v>
      </c>
      <c r="P4687" s="3" t="s">
        <v>25</v>
      </c>
      <c r="Q4687" s="37">
        <v>0.15227597000000001</v>
      </c>
      <c r="R4687" t="str">
        <f t="shared" si="191"/>
        <v>mmol/mol</v>
      </c>
      <c r="S4687" s="13">
        <f t="shared" si="192"/>
        <v>-1.36</v>
      </c>
    </row>
    <row r="4688" spans="1:19">
      <c r="A4688" s="18" t="s">
        <v>4106</v>
      </c>
      <c r="B4688" s="1" t="s">
        <v>4853</v>
      </c>
      <c r="C4688" s="1" t="s">
        <v>5058</v>
      </c>
      <c r="D4688" s="1" t="s">
        <v>5062</v>
      </c>
      <c r="E4688" s="1" t="s">
        <v>25</v>
      </c>
      <c r="F4688">
        <v>580</v>
      </c>
      <c r="G4688">
        <v>580</v>
      </c>
      <c r="H4688">
        <v>112</v>
      </c>
      <c r="I4688" s="1" t="s">
        <v>1528</v>
      </c>
      <c r="J4688" s="1" t="s">
        <v>1491</v>
      </c>
      <c r="K4688" s="1" t="s">
        <v>25</v>
      </c>
      <c r="L4688">
        <v>-1.1499999999999999</v>
      </c>
      <c r="M4688" t="str">
        <f t="shared" si="193"/>
        <v>44/40</v>
      </c>
      <c r="N4688" t="str">
        <f t="shared" si="194"/>
        <v>SW</v>
      </c>
      <c r="O4688" s="1" t="s">
        <v>25</v>
      </c>
      <c r="P4688" s="3" t="s">
        <v>25</v>
      </c>
      <c r="Q4688" s="37">
        <v>0.15791770999999999</v>
      </c>
      <c r="R4688" t="str">
        <f t="shared" si="191"/>
        <v>mmol/mol</v>
      </c>
      <c r="S4688" s="13">
        <f t="shared" si="192"/>
        <v>-1.1499999999999999</v>
      </c>
    </row>
    <row r="4689" spans="1:19">
      <c r="A4689" s="18" t="s">
        <v>4106</v>
      </c>
      <c r="B4689" s="1" t="s">
        <v>4854</v>
      </c>
      <c r="C4689" s="1" t="s">
        <v>5058</v>
      </c>
      <c r="D4689" s="1" t="s">
        <v>5062</v>
      </c>
      <c r="E4689" s="1" t="s">
        <v>25</v>
      </c>
      <c r="F4689">
        <v>580</v>
      </c>
      <c r="G4689">
        <v>580</v>
      </c>
      <c r="H4689">
        <v>114.1</v>
      </c>
      <c r="I4689" s="1" t="s">
        <v>1528</v>
      </c>
      <c r="J4689" s="1" t="s">
        <v>1491</v>
      </c>
      <c r="K4689" s="1" t="s">
        <v>25</v>
      </c>
      <c r="L4689">
        <v>-1.37</v>
      </c>
      <c r="M4689" t="str">
        <f t="shared" si="193"/>
        <v>44/40</v>
      </c>
      <c r="N4689" t="str">
        <f t="shared" si="194"/>
        <v>SW</v>
      </c>
      <c r="O4689" s="1" t="s">
        <v>25</v>
      </c>
      <c r="P4689" s="3" t="s">
        <v>25</v>
      </c>
      <c r="Q4689" s="37">
        <v>0.13260481900000001</v>
      </c>
      <c r="R4689" t="str">
        <f t="shared" si="191"/>
        <v>mmol/mol</v>
      </c>
      <c r="S4689" s="13">
        <f t="shared" si="192"/>
        <v>-1.37</v>
      </c>
    </row>
    <row r="4690" spans="1:19">
      <c r="A4690" s="18" t="s">
        <v>4106</v>
      </c>
      <c r="B4690" s="1" t="s">
        <v>4855</v>
      </c>
      <c r="C4690" s="1" t="s">
        <v>5058</v>
      </c>
      <c r="D4690" s="1" t="s">
        <v>5062</v>
      </c>
      <c r="E4690" s="1" t="s">
        <v>25</v>
      </c>
      <c r="F4690">
        <v>580</v>
      </c>
      <c r="G4690">
        <v>580</v>
      </c>
      <c r="H4690">
        <v>116</v>
      </c>
      <c r="I4690" s="1" t="s">
        <v>1528</v>
      </c>
      <c r="J4690" s="1" t="s">
        <v>1491</v>
      </c>
      <c r="K4690" s="1" t="s">
        <v>25</v>
      </c>
      <c r="L4690">
        <v>-1.37</v>
      </c>
      <c r="M4690" t="str">
        <f t="shared" si="193"/>
        <v>44/40</v>
      </c>
      <c r="N4690" t="str">
        <f t="shared" si="194"/>
        <v>SW</v>
      </c>
      <c r="O4690" s="1" t="s">
        <v>25</v>
      </c>
      <c r="P4690" s="3" t="s">
        <v>25</v>
      </c>
      <c r="Q4690" s="37">
        <v>0.13691566299999999</v>
      </c>
      <c r="R4690" t="str">
        <f t="shared" si="191"/>
        <v>mmol/mol</v>
      </c>
      <c r="S4690" s="13">
        <f t="shared" si="192"/>
        <v>-1.37</v>
      </c>
    </row>
    <row r="4691" spans="1:19">
      <c r="A4691" s="18" t="s">
        <v>4106</v>
      </c>
      <c r="B4691" s="1" t="s">
        <v>4856</v>
      </c>
      <c r="C4691" s="1" t="s">
        <v>5058</v>
      </c>
      <c r="D4691" s="1" t="s">
        <v>5062</v>
      </c>
      <c r="E4691" s="1" t="s">
        <v>25</v>
      </c>
      <c r="F4691">
        <v>580</v>
      </c>
      <c r="G4691">
        <v>580</v>
      </c>
      <c r="H4691">
        <v>119</v>
      </c>
      <c r="I4691" s="1" t="s">
        <v>1528</v>
      </c>
      <c r="J4691" s="1" t="s">
        <v>1491</v>
      </c>
      <c r="K4691" s="1" t="s">
        <v>25</v>
      </c>
      <c r="L4691">
        <v>-1.27</v>
      </c>
      <c r="M4691" t="str">
        <f t="shared" si="193"/>
        <v>44/40</v>
      </c>
      <c r="N4691" t="str">
        <f t="shared" si="194"/>
        <v>SW</v>
      </c>
      <c r="O4691" s="1" t="s">
        <v>25</v>
      </c>
      <c r="P4691" s="3" t="s">
        <v>25</v>
      </c>
      <c r="Q4691" s="37">
        <v>0.12017781199999999</v>
      </c>
      <c r="R4691" t="str">
        <f t="shared" si="191"/>
        <v>mmol/mol</v>
      </c>
      <c r="S4691" s="13">
        <f t="shared" si="192"/>
        <v>-1.27</v>
      </c>
    </row>
    <row r="4692" spans="1:19">
      <c r="A4692" s="18" t="s">
        <v>4106</v>
      </c>
      <c r="B4692" s="1" t="s">
        <v>4857</v>
      </c>
      <c r="C4692" s="1" t="s">
        <v>5058</v>
      </c>
      <c r="D4692" s="1" t="s">
        <v>5062</v>
      </c>
      <c r="E4692" s="1" t="s">
        <v>25</v>
      </c>
      <c r="F4692">
        <v>580</v>
      </c>
      <c r="G4692">
        <v>580</v>
      </c>
      <c r="H4692">
        <v>132.5</v>
      </c>
      <c r="I4692" s="1" t="s">
        <v>1528</v>
      </c>
      <c r="J4692" s="1" t="s">
        <v>1491</v>
      </c>
      <c r="K4692" s="1" t="s">
        <v>25</v>
      </c>
      <c r="L4692">
        <v>-1.01</v>
      </c>
      <c r="M4692" t="str">
        <f t="shared" si="193"/>
        <v>44/40</v>
      </c>
      <c r="N4692" t="str">
        <f t="shared" si="194"/>
        <v>SW</v>
      </c>
      <c r="O4692" s="1" t="s">
        <v>25</v>
      </c>
      <c r="P4692" s="3" t="s">
        <v>25</v>
      </c>
      <c r="Q4692" s="37">
        <v>0.23044167800000001</v>
      </c>
      <c r="R4692" t="str">
        <f t="shared" si="191"/>
        <v>mmol/mol</v>
      </c>
      <c r="S4692" s="13">
        <f t="shared" si="192"/>
        <v>-1.01</v>
      </c>
    </row>
    <row r="4693" spans="1:19">
      <c r="A4693" s="18" t="s">
        <v>4106</v>
      </c>
      <c r="B4693" s="1" t="s">
        <v>4858</v>
      </c>
      <c r="C4693" s="1" t="s">
        <v>5058</v>
      </c>
      <c r="D4693" s="1" t="s">
        <v>5062</v>
      </c>
      <c r="E4693" s="1" t="s">
        <v>25</v>
      </c>
      <c r="F4693">
        <v>580</v>
      </c>
      <c r="G4693">
        <v>580</v>
      </c>
      <c r="H4693">
        <v>134</v>
      </c>
      <c r="I4693" s="1" t="s">
        <v>1528</v>
      </c>
      <c r="J4693" s="1" t="s">
        <v>1491</v>
      </c>
      <c r="K4693" s="1" t="s">
        <v>25</v>
      </c>
      <c r="L4693">
        <v>-1.1399999999999999</v>
      </c>
      <c r="M4693" t="str">
        <f t="shared" si="193"/>
        <v>44/40</v>
      </c>
      <c r="N4693" t="str">
        <f t="shared" si="194"/>
        <v>SW</v>
      </c>
      <c r="O4693" s="1" t="s">
        <v>25</v>
      </c>
      <c r="P4693" s="3" t="s">
        <v>25</v>
      </c>
      <c r="Q4693" s="37">
        <v>0.239168716</v>
      </c>
      <c r="R4693" t="str">
        <f t="shared" si="191"/>
        <v>mmol/mol</v>
      </c>
      <c r="S4693" s="13">
        <f t="shared" si="192"/>
        <v>-1.1399999999999999</v>
      </c>
    </row>
    <row r="4694" spans="1:19">
      <c r="A4694" s="18" t="s">
        <v>4106</v>
      </c>
      <c r="B4694" s="1" t="s">
        <v>4859</v>
      </c>
      <c r="C4694" s="1" t="s">
        <v>5058</v>
      </c>
      <c r="D4694" s="1" t="s">
        <v>5062</v>
      </c>
      <c r="E4694" s="1" t="s">
        <v>25</v>
      </c>
      <c r="F4694">
        <v>580</v>
      </c>
      <c r="G4694">
        <v>580</v>
      </c>
      <c r="H4694">
        <v>136</v>
      </c>
      <c r="I4694" s="1" t="s">
        <v>1528</v>
      </c>
      <c r="J4694" s="1" t="s">
        <v>1491</v>
      </c>
      <c r="K4694" s="1" t="s">
        <v>25</v>
      </c>
      <c r="L4694">
        <v>-1.23</v>
      </c>
      <c r="M4694" t="str">
        <f t="shared" si="193"/>
        <v>44/40</v>
      </c>
      <c r="N4694" t="str">
        <f t="shared" si="194"/>
        <v>SW</v>
      </c>
      <c r="O4694" s="1" t="s">
        <v>25</v>
      </c>
      <c r="P4694" s="3" t="s">
        <v>25</v>
      </c>
      <c r="Q4694" s="37">
        <v>0.24072074500000001</v>
      </c>
      <c r="R4694" t="str">
        <f t="shared" si="191"/>
        <v>mmol/mol</v>
      </c>
      <c r="S4694" s="13">
        <f t="shared" si="192"/>
        <v>-1.23</v>
      </c>
    </row>
    <row r="4695" spans="1:19">
      <c r="A4695" s="18" t="s">
        <v>4106</v>
      </c>
      <c r="B4695" s="1" t="s">
        <v>4860</v>
      </c>
      <c r="C4695" s="1" t="s">
        <v>5058</v>
      </c>
      <c r="D4695" s="1" t="s">
        <v>5062</v>
      </c>
      <c r="E4695" s="1" t="s">
        <v>25</v>
      </c>
      <c r="F4695">
        <v>580</v>
      </c>
      <c r="G4695">
        <v>580</v>
      </c>
      <c r="H4695">
        <v>140</v>
      </c>
      <c r="I4695" s="1" t="s">
        <v>1528</v>
      </c>
      <c r="J4695" s="1" t="s">
        <v>1491</v>
      </c>
      <c r="K4695" s="1" t="s">
        <v>25</v>
      </c>
      <c r="L4695">
        <v>-1.2</v>
      </c>
      <c r="M4695" t="str">
        <f t="shared" si="193"/>
        <v>44/40</v>
      </c>
      <c r="N4695" t="str">
        <f t="shared" si="194"/>
        <v>SW</v>
      </c>
      <c r="O4695" s="1" t="s">
        <v>25</v>
      </c>
      <c r="P4695" s="3" t="s">
        <v>25</v>
      </c>
      <c r="Q4695" s="37">
        <v>0.24611715000000001</v>
      </c>
      <c r="R4695" t="str">
        <f t="shared" si="191"/>
        <v>mmol/mol</v>
      </c>
      <c r="S4695" s="13">
        <f t="shared" si="192"/>
        <v>-1.2</v>
      </c>
    </row>
    <row r="4696" spans="1:19">
      <c r="A4696" s="18" t="s">
        <v>4106</v>
      </c>
      <c r="B4696" s="1" t="s">
        <v>4861</v>
      </c>
      <c r="C4696" s="1" t="s">
        <v>5058</v>
      </c>
      <c r="D4696" s="1" t="s">
        <v>5062</v>
      </c>
      <c r="E4696" s="1" t="s">
        <v>25</v>
      </c>
      <c r="F4696">
        <v>580</v>
      </c>
      <c r="G4696">
        <v>580</v>
      </c>
      <c r="H4696">
        <v>143</v>
      </c>
      <c r="I4696" s="1" t="s">
        <v>1528</v>
      </c>
      <c r="J4696" s="1" t="s">
        <v>1491</v>
      </c>
      <c r="K4696" s="1" t="s">
        <v>25</v>
      </c>
      <c r="L4696">
        <v>-1.25</v>
      </c>
      <c r="M4696" t="str">
        <f t="shared" si="193"/>
        <v>44/40</v>
      </c>
      <c r="N4696" t="str">
        <f t="shared" si="194"/>
        <v>SW</v>
      </c>
      <c r="O4696" s="1" t="s">
        <v>25</v>
      </c>
      <c r="P4696" s="3" t="s">
        <v>25</v>
      </c>
      <c r="Q4696" s="37">
        <v>0.220734176</v>
      </c>
      <c r="R4696" t="str">
        <f t="shared" si="191"/>
        <v>mmol/mol</v>
      </c>
      <c r="S4696" s="13">
        <f t="shared" si="192"/>
        <v>-1.25</v>
      </c>
    </row>
    <row r="4697" spans="1:19">
      <c r="A4697" s="18" t="s">
        <v>4106</v>
      </c>
      <c r="B4697" s="1" t="s">
        <v>4862</v>
      </c>
      <c r="C4697" s="1" t="s">
        <v>5058</v>
      </c>
      <c r="D4697" s="1" t="s">
        <v>5062</v>
      </c>
      <c r="E4697" s="1" t="s">
        <v>25</v>
      </c>
      <c r="F4697">
        <v>580</v>
      </c>
      <c r="G4697">
        <v>580</v>
      </c>
      <c r="H4697">
        <v>145</v>
      </c>
      <c r="I4697" s="1" t="s">
        <v>1528</v>
      </c>
      <c r="J4697" s="1" t="s">
        <v>1491</v>
      </c>
      <c r="K4697" s="1" t="s">
        <v>25</v>
      </c>
      <c r="L4697">
        <v>-1.06</v>
      </c>
      <c r="M4697" t="str">
        <f t="shared" si="193"/>
        <v>44/40</v>
      </c>
      <c r="N4697" t="str">
        <f t="shared" si="194"/>
        <v>SW</v>
      </c>
      <c r="O4697" s="1" t="s">
        <v>25</v>
      </c>
      <c r="P4697" s="3" t="s">
        <v>25</v>
      </c>
      <c r="Q4697" s="37">
        <v>0.122255487</v>
      </c>
      <c r="R4697" t="str">
        <f t="shared" ref="R4697:R4760" si="195">IF(Q4697="Na","Na","mmol/mol")</f>
        <v>mmol/mol</v>
      </c>
      <c r="S4697" s="13">
        <f t="shared" si="192"/>
        <v>-1.06</v>
      </c>
    </row>
    <row r="4698" spans="1:19">
      <c r="A4698" s="18" t="s">
        <v>4106</v>
      </c>
      <c r="B4698" s="1" t="s">
        <v>4863</v>
      </c>
      <c r="C4698" s="1" t="s">
        <v>5058</v>
      </c>
      <c r="D4698" s="1" t="s">
        <v>5062</v>
      </c>
      <c r="E4698" s="1" t="s">
        <v>25</v>
      </c>
      <c r="F4698">
        <v>580</v>
      </c>
      <c r="G4698">
        <v>580</v>
      </c>
      <c r="H4698">
        <v>147</v>
      </c>
      <c r="I4698" s="1" t="s">
        <v>1528</v>
      </c>
      <c r="J4698" s="1" t="s">
        <v>1491</v>
      </c>
      <c r="K4698" s="1" t="s">
        <v>25</v>
      </c>
      <c r="L4698">
        <v>-1.1499999999999999</v>
      </c>
      <c r="M4698" t="str">
        <f t="shared" si="193"/>
        <v>44/40</v>
      </c>
      <c r="N4698" t="str">
        <f t="shared" si="194"/>
        <v>SW</v>
      </c>
      <c r="O4698" s="1" t="s">
        <v>25</v>
      </c>
      <c r="P4698" s="3" t="s">
        <v>25</v>
      </c>
      <c r="Q4698" s="37">
        <v>0.154781791</v>
      </c>
      <c r="R4698" t="str">
        <f t="shared" si="195"/>
        <v>mmol/mol</v>
      </c>
      <c r="S4698" s="13">
        <f t="shared" si="192"/>
        <v>-1.1499999999999999</v>
      </c>
    </row>
    <row r="4699" spans="1:19">
      <c r="A4699" s="18" t="s">
        <v>4106</v>
      </c>
      <c r="B4699" s="1" t="s">
        <v>4864</v>
      </c>
      <c r="C4699" s="1" t="s">
        <v>5058</v>
      </c>
      <c r="D4699" s="1" t="s">
        <v>5062</v>
      </c>
      <c r="E4699" s="1" t="s">
        <v>25</v>
      </c>
      <c r="F4699">
        <v>580</v>
      </c>
      <c r="G4699">
        <v>580</v>
      </c>
      <c r="H4699">
        <v>149</v>
      </c>
      <c r="I4699" s="1" t="s">
        <v>1528</v>
      </c>
      <c r="J4699" s="1" t="s">
        <v>1491</v>
      </c>
      <c r="K4699" s="1" t="s">
        <v>25</v>
      </c>
      <c r="L4699">
        <v>-1.18</v>
      </c>
      <c r="M4699" t="str">
        <f t="shared" si="193"/>
        <v>44/40</v>
      </c>
      <c r="N4699" t="str">
        <f t="shared" si="194"/>
        <v>SW</v>
      </c>
      <c r="O4699" s="1" t="s">
        <v>25</v>
      </c>
      <c r="P4699" s="3" t="s">
        <v>25</v>
      </c>
      <c r="Q4699" s="37">
        <v>0.151557737</v>
      </c>
      <c r="R4699" t="str">
        <f t="shared" si="195"/>
        <v>mmol/mol</v>
      </c>
      <c r="S4699" s="13">
        <f t="shared" si="192"/>
        <v>-1.18</v>
      </c>
    </row>
    <row r="4700" spans="1:19">
      <c r="A4700" s="18" t="s">
        <v>4106</v>
      </c>
      <c r="B4700" s="1" t="s">
        <v>4865</v>
      </c>
      <c r="C4700" s="1" t="s">
        <v>5058</v>
      </c>
      <c r="D4700" s="1" t="s">
        <v>5062</v>
      </c>
      <c r="E4700" s="1" t="s">
        <v>25</v>
      </c>
      <c r="F4700">
        <v>580</v>
      </c>
      <c r="G4700">
        <v>580</v>
      </c>
      <c r="H4700">
        <v>151.1</v>
      </c>
      <c r="I4700" s="1" t="s">
        <v>1528</v>
      </c>
      <c r="J4700" s="1" t="s">
        <v>1491</v>
      </c>
      <c r="K4700" s="1" t="s">
        <v>25</v>
      </c>
      <c r="L4700">
        <v>-1</v>
      </c>
      <c r="M4700" t="str">
        <f t="shared" si="193"/>
        <v>44/40</v>
      </c>
      <c r="N4700" t="str">
        <f t="shared" si="194"/>
        <v>SW</v>
      </c>
      <c r="O4700" s="1" t="s">
        <v>25</v>
      </c>
      <c r="P4700" s="3" t="s">
        <v>25</v>
      </c>
      <c r="Q4700" s="37">
        <v>0.17124679700000001</v>
      </c>
      <c r="R4700" t="str">
        <f t="shared" si="195"/>
        <v>mmol/mol</v>
      </c>
      <c r="S4700" s="13">
        <f t="shared" si="192"/>
        <v>-1</v>
      </c>
    </row>
    <row r="4701" spans="1:19">
      <c r="A4701" s="18" t="s">
        <v>4106</v>
      </c>
      <c r="B4701" s="1" t="s">
        <v>4866</v>
      </c>
      <c r="C4701" s="1" t="s">
        <v>5058</v>
      </c>
      <c r="D4701" s="1" t="s">
        <v>5062</v>
      </c>
      <c r="E4701" s="1" t="s">
        <v>25</v>
      </c>
      <c r="F4701">
        <v>580</v>
      </c>
      <c r="G4701">
        <v>580</v>
      </c>
      <c r="H4701">
        <v>153</v>
      </c>
      <c r="I4701" s="1" t="s">
        <v>1528</v>
      </c>
      <c r="J4701" s="1" t="s">
        <v>1491</v>
      </c>
      <c r="K4701" s="1" t="s">
        <v>25</v>
      </c>
      <c r="L4701">
        <v>-1.19</v>
      </c>
      <c r="M4701" t="str">
        <f t="shared" si="193"/>
        <v>44/40</v>
      </c>
      <c r="N4701" t="str">
        <f t="shared" si="194"/>
        <v>SW</v>
      </c>
      <c r="O4701" s="1" t="s">
        <v>25</v>
      </c>
      <c r="P4701" s="3" t="s">
        <v>25</v>
      </c>
      <c r="Q4701" s="37">
        <v>0.158238024</v>
      </c>
      <c r="R4701" t="str">
        <f t="shared" si="195"/>
        <v>mmol/mol</v>
      </c>
      <c r="S4701" s="13">
        <f t="shared" si="192"/>
        <v>-1.19</v>
      </c>
    </row>
    <row r="4702" spans="1:19">
      <c r="A4702" s="18" t="s">
        <v>4106</v>
      </c>
      <c r="B4702" s="1" t="s">
        <v>4867</v>
      </c>
      <c r="C4702" s="1" t="s">
        <v>5058</v>
      </c>
      <c r="D4702" s="1" t="s">
        <v>5062</v>
      </c>
      <c r="E4702" s="1" t="s">
        <v>25</v>
      </c>
      <c r="F4702">
        <v>580</v>
      </c>
      <c r="G4702">
        <v>580</v>
      </c>
      <c r="H4702">
        <v>156</v>
      </c>
      <c r="I4702" s="1" t="s">
        <v>1528</v>
      </c>
      <c r="J4702" s="1" t="s">
        <v>1491</v>
      </c>
      <c r="K4702" s="1" t="s">
        <v>25</v>
      </c>
      <c r="L4702">
        <v>-1.25</v>
      </c>
      <c r="M4702" t="str">
        <f t="shared" si="193"/>
        <v>44/40</v>
      </c>
      <c r="N4702" t="str">
        <f t="shared" si="194"/>
        <v>SW</v>
      </c>
      <c r="O4702" s="1" t="s">
        <v>25</v>
      </c>
      <c r="P4702" s="3" t="s">
        <v>25</v>
      </c>
      <c r="Q4702" s="37">
        <v>0.14632556199999999</v>
      </c>
      <c r="R4702" t="str">
        <f t="shared" si="195"/>
        <v>mmol/mol</v>
      </c>
      <c r="S4702" s="13">
        <f t="shared" si="192"/>
        <v>-1.25</v>
      </c>
    </row>
    <row r="4703" spans="1:19">
      <c r="A4703" s="18" t="s">
        <v>4106</v>
      </c>
      <c r="B4703" s="1" t="s">
        <v>4868</v>
      </c>
      <c r="C4703" s="1" t="s">
        <v>5058</v>
      </c>
      <c r="D4703" s="1" t="s">
        <v>5062</v>
      </c>
      <c r="E4703" s="1" t="s">
        <v>25</v>
      </c>
      <c r="F4703">
        <v>580</v>
      </c>
      <c r="G4703">
        <v>580</v>
      </c>
      <c r="H4703">
        <v>158</v>
      </c>
      <c r="I4703" s="1" t="s">
        <v>1528</v>
      </c>
      <c r="J4703" s="1" t="s">
        <v>1491</v>
      </c>
      <c r="K4703" s="1" t="s">
        <v>25</v>
      </c>
      <c r="L4703">
        <v>-1.32</v>
      </c>
      <c r="M4703" t="str">
        <f t="shared" si="193"/>
        <v>44/40</v>
      </c>
      <c r="N4703" t="str">
        <f t="shared" si="194"/>
        <v>SW</v>
      </c>
      <c r="O4703" s="1" t="s">
        <v>25</v>
      </c>
      <c r="P4703" s="3" t="s">
        <v>25</v>
      </c>
      <c r="Q4703" s="37">
        <v>0.14818842800000001</v>
      </c>
      <c r="R4703" t="str">
        <f t="shared" si="195"/>
        <v>mmol/mol</v>
      </c>
      <c r="S4703" s="13">
        <f t="shared" si="192"/>
        <v>-1.32</v>
      </c>
    </row>
    <row r="4704" spans="1:19">
      <c r="A4704" s="18" t="s">
        <v>4106</v>
      </c>
      <c r="B4704" s="1" t="s">
        <v>4869</v>
      </c>
      <c r="C4704" s="1" t="s">
        <v>5058</v>
      </c>
      <c r="D4704" s="1" t="s">
        <v>5062</v>
      </c>
      <c r="E4704" s="1" t="s">
        <v>25</v>
      </c>
      <c r="F4704">
        <v>580</v>
      </c>
      <c r="G4704">
        <v>580</v>
      </c>
      <c r="H4704">
        <v>160</v>
      </c>
      <c r="I4704" s="1" t="s">
        <v>1528</v>
      </c>
      <c r="J4704" s="1" t="s">
        <v>1491</v>
      </c>
      <c r="K4704" s="1" t="s">
        <v>25</v>
      </c>
      <c r="L4704">
        <v>-1.33</v>
      </c>
      <c r="M4704" t="str">
        <f t="shared" si="193"/>
        <v>44/40</v>
      </c>
      <c r="N4704" t="str">
        <f t="shared" si="194"/>
        <v>SW</v>
      </c>
      <c r="O4704" s="1" t="s">
        <v>25</v>
      </c>
      <c r="P4704" s="3" t="s">
        <v>25</v>
      </c>
      <c r="Q4704" s="37">
        <v>0.23612676699999999</v>
      </c>
      <c r="R4704" t="str">
        <f t="shared" si="195"/>
        <v>mmol/mol</v>
      </c>
      <c r="S4704" s="13">
        <f t="shared" si="192"/>
        <v>-1.33</v>
      </c>
    </row>
    <row r="4705" spans="1:19">
      <c r="A4705" s="18" t="s">
        <v>4106</v>
      </c>
      <c r="B4705" s="1" t="s">
        <v>4870</v>
      </c>
      <c r="C4705" s="1" t="s">
        <v>5058</v>
      </c>
      <c r="D4705" s="1" t="s">
        <v>5062</v>
      </c>
      <c r="E4705" s="1" t="s">
        <v>25</v>
      </c>
      <c r="F4705">
        <v>580</v>
      </c>
      <c r="G4705">
        <v>580</v>
      </c>
      <c r="H4705">
        <v>162</v>
      </c>
      <c r="I4705" s="1" t="s">
        <v>1528</v>
      </c>
      <c r="J4705" s="1" t="s">
        <v>1491</v>
      </c>
      <c r="K4705" s="1" t="s">
        <v>25</v>
      </c>
      <c r="L4705">
        <v>-1.29</v>
      </c>
      <c r="M4705" t="str">
        <f t="shared" si="193"/>
        <v>44/40</v>
      </c>
      <c r="N4705" t="str">
        <f t="shared" si="194"/>
        <v>SW</v>
      </c>
      <c r="O4705" s="1" t="s">
        <v>25</v>
      </c>
      <c r="P4705" s="3" t="s">
        <v>25</v>
      </c>
      <c r="Q4705" s="37">
        <v>0.17080684099999999</v>
      </c>
      <c r="R4705" t="str">
        <f t="shared" si="195"/>
        <v>mmol/mol</v>
      </c>
      <c r="S4705" s="13">
        <f t="shared" si="192"/>
        <v>-1.29</v>
      </c>
    </row>
    <row r="4706" spans="1:19">
      <c r="A4706" s="18" t="s">
        <v>4106</v>
      </c>
      <c r="B4706" s="1" t="s">
        <v>4871</v>
      </c>
      <c r="C4706" s="1" t="s">
        <v>5058</v>
      </c>
      <c r="D4706" s="1" t="s">
        <v>5062</v>
      </c>
      <c r="E4706" s="1" t="s">
        <v>25</v>
      </c>
      <c r="F4706">
        <v>580</v>
      </c>
      <c r="G4706">
        <v>580</v>
      </c>
      <c r="H4706">
        <v>190.4</v>
      </c>
      <c r="I4706" s="1" t="s">
        <v>1528</v>
      </c>
      <c r="J4706" s="1" t="s">
        <v>1491</v>
      </c>
      <c r="K4706" s="1" t="s">
        <v>25</v>
      </c>
      <c r="L4706">
        <v>-1.25</v>
      </c>
      <c r="M4706" t="str">
        <f t="shared" si="193"/>
        <v>44/40</v>
      </c>
      <c r="N4706" t="str">
        <f t="shared" si="194"/>
        <v>SW</v>
      </c>
      <c r="O4706" s="1" t="s">
        <v>25</v>
      </c>
      <c r="P4706" s="3" t="s">
        <v>25</v>
      </c>
      <c r="Q4706" s="37">
        <v>0.15666643899999999</v>
      </c>
      <c r="R4706" t="str">
        <f t="shared" si="195"/>
        <v>mmol/mol</v>
      </c>
      <c r="S4706" s="13">
        <f t="shared" si="192"/>
        <v>-1.25</v>
      </c>
    </row>
    <row r="4707" spans="1:19">
      <c r="A4707" s="18" t="s">
        <v>4106</v>
      </c>
      <c r="B4707" s="1" t="s">
        <v>4872</v>
      </c>
      <c r="C4707" s="1" t="s">
        <v>5058</v>
      </c>
      <c r="D4707" s="1" t="s">
        <v>5062</v>
      </c>
      <c r="E4707" s="1" t="s">
        <v>25</v>
      </c>
      <c r="F4707">
        <v>580</v>
      </c>
      <c r="G4707">
        <v>580</v>
      </c>
      <c r="H4707">
        <v>191.5</v>
      </c>
      <c r="I4707" s="1" t="s">
        <v>1528</v>
      </c>
      <c r="J4707" s="1" t="s">
        <v>1491</v>
      </c>
      <c r="K4707" s="1" t="s">
        <v>25</v>
      </c>
      <c r="L4707">
        <v>-1.28</v>
      </c>
      <c r="M4707" t="str">
        <f t="shared" si="193"/>
        <v>44/40</v>
      </c>
      <c r="N4707" t="str">
        <f t="shared" si="194"/>
        <v>SW</v>
      </c>
      <c r="O4707" s="1" t="s">
        <v>25</v>
      </c>
      <c r="P4707" s="3" t="s">
        <v>25</v>
      </c>
      <c r="Q4707" s="37">
        <v>0.14038631500000001</v>
      </c>
      <c r="R4707" t="str">
        <f t="shared" si="195"/>
        <v>mmol/mol</v>
      </c>
      <c r="S4707" s="13">
        <f t="shared" si="192"/>
        <v>-1.28</v>
      </c>
    </row>
    <row r="4708" spans="1:19">
      <c r="A4708" s="18" t="s">
        <v>4106</v>
      </c>
      <c r="B4708" s="1" t="s">
        <v>4873</v>
      </c>
      <c r="C4708" s="1" t="s">
        <v>5058</v>
      </c>
      <c r="D4708" s="1" t="s">
        <v>5062</v>
      </c>
      <c r="E4708" s="1" t="s">
        <v>25</v>
      </c>
      <c r="F4708">
        <v>580</v>
      </c>
      <c r="G4708">
        <v>580</v>
      </c>
      <c r="H4708">
        <v>193</v>
      </c>
      <c r="I4708" s="1" t="s">
        <v>1528</v>
      </c>
      <c r="J4708" s="1" t="s">
        <v>1491</v>
      </c>
      <c r="K4708" s="1" t="s">
        <v>25</v>
      </c>
      <c r="L4708">
        <v>-1.0900000000000001</v>
      </c>
      <c r="M4708" t="str">
        <f t="shared" si="193"/>
        <v>44/40</v>
      </c>
      <c r="N4708" t="str">
        <f t="shared" si="194"/>
        <v>SW</v>
      </c>
      <c r="O4708" s="1" t="s">
        <v>25</v>
      </c>
      <c r="P4708" s="3" t="s">
        <v>25</v>
      </c>
      <c r="Q4708" s="37">
        <v>6.7877476000000006E-2</v>
      </c>
      <c r="R4708" t="str">
        <f t="shared" si="195"/>
        <v>mmol/mol</v>
      </c>
      <c r="S4708" s="13">
        <f t="shared" si="192"/>
        <v>-1.0900000000000001</v>
      </c>
    </row>
    <row r="4709" spans="1:19">
      <c r="A4709" s="18" t="s">
        <v>4106</v>
      </c>
      <c r="B4709" s="1" t="s">
        <v>4874</v>
      </c>
      <c r="C4709" s="1" t="s">
        <v>5058</v>
      </c>
      <c r="D4709" s="1" t="s">
        <v>5062</v>
      </c>
      <c r="E4709" s="1" t="s">
        <v>25</v>
      </c>
      <c r="F4709">
        <v>580</v>
      </c>
      <c r="G4709">
        <v>580</v>
      </c>
      <c r="H4709">
        <v>196</v>
      </c>
      <c r="I4709" s="1" t="s">
        <v>1528</v>
      </c>
      <c r="J4709" s="1" t="s">
        <v>1491</v>
      </c>
      <c r="K4709" s="1" t="s">
        <v>25</v>
      </c>
      <c r="L4709">
        <v>-1.38</v>
      </c>
      <c r="M4709" t="str">
        <f t="shared" si="193"/>
        <v>44/40</v>
      </c>
      <c r="N4709" t="str">
        <f t="shared" si="194"/>
        <v>SW</v>
      </c>
      <c r="O4709" s="1" t="s">
        <v>25</v>
      </c>
      <c r="P4709" s="3" t="s">
        <v>25</v>
      </c>
      <c r="Q4709" s="37">
        <v>8.1069409999999995E-2</v>
      </c>
      <c r="R4709" t="str">
        <f t="shared" si="195"/>
        <v>mmol/mol</v>
      </c>
      <c r="S4709" s="13">
        <f t="shared" si="192"/>
        <v>-1.38</v>
      </c>
    </row>
    <row r="4710" spans="1:19">
      <c r="A4710" s="18" t="s">
        <v>4106</v>
      </c>
      <c r="B4710" s="1" t="s">
        <v>4875</v>
      </c>
      <c r="C4710" s="1" t="s">
        <v>5058</v>
      </c>
      <c r="D4710" s="1" t="s">
        <v>5062</v>
      </c>
      <c r="E4710" s="1" t="s">
        <v>25</v>
      </c>
      <c r="F4710">
        <v>580</v>
      </c>
      <c r="G4710">
        <v>580</v>
      </c>
      <c r="H4710">
        <v>200.1</v>
      </c>
      <c r="I4710" s="1" t="s">
        <v>1528</v>
      </c>
      <c r="J4710" s="1" t="s">
        <v>1491</v>
      </c>
      <c r="K4710" s="1" t="s">
        <v>25</v>
      </c>
      <c r="L4710">
        <v>-1.19</v>
      </c>
      <c r="M4710" t="str">
        <f t="shared" si="193"/>
        <v>44/40</v>
      </c>
      <c r="N4710" t="str">
        <f t="shared" si="194"/>
        <v>SW</v>
      </c>
      <c r="O4710" s="1" t="s">
        <v>25</v>
      </c>
      <c r="P4710" s="3" t="s">
        <v>25</v>
      </c>
      <c r="Q4710" s="37">
        <v>0.23107902899999999</v>
      </c>
      <c r="R4710" t="str">
        <f t="shared" si="195"/>
        <v>mmol/mol</v>
      </c>
      <c r="S4710" s="13">
        <f t="shared" si="192"/>
        <v>-1.19</v>
      </c>
    </row>
    <row r="4711" spans="1:19">
      <c r="A4711" s="18" t="s">
        <v>4106</v>
      </c>
      <c r="B4711" s="1" t="s">
        <v>4876</v>
      </c>
      <c r="C4711" s="1" t="s">
        <v>5058</v>
      </c>
      <c r="D4711" s="1" t="s">
        <v>5062</v>
      </c>
      <c r="E4711" s="1" t="s">
        <v>25</v>
      </c>
      <c r="F4711">
        <v>580</v>
      </c>
      <c r="G4711">
        <v>580</v>
      </c>
      <c r="H4711">
        <v>202</v>
      </c>
      <c r="I4711" s="1" t="s">
        <v>1528</v>
      </c>
      <c r="J4711" s="1" t="s">
        <v>1491</v>
      </c>
      <c r="K4711" s="1" t="s">
        <v>25</v>
      </c>
      <c r="L4711">
        <v>-1.32</v>
      </c>
      <c r="M4711" t="str">
        <f t="shared" si="193"/>
        <v>44/40</v>
      </c>
      <c r="N4711" t="str">
        <f t="shared" si="194"/>
        <v>SW</v>
      </c>
      <c r="O4711" s="1" t="s">
        <v>25</v>
      </c>
      <c r="P4711" s="3" t="s">
        <v>25</v>
      </c>
      <c r="Q4711" s="37">
        <v>6.8239918999999996E-2</v>
      </c>
      <c r="R4711" t="str">
        <f t="shared" si="195"/>
        <v>mmol/mol</v>
      </c>
      <c r="S4711" s="13">
        <f t="shared" si="192"/>
        <v>-1.32</v>
      </c>
    </row>
    <row r="4712" spans="1:19">
      <c r="A4712" s="18" t="s">
        <v>4106</v>
      </c>
      <c r="B4712" s="1" t="s">
        <v>4877</v>
      </c>
      <c r="C4712" s="1" t="s">
        <v>639</v>
      </c>
      <c r="D4712" s="1" t="s">
        <v>5063</v>
      </c>
      <c r="E4712" s="1" t="s">
        <v>25</v>
      </c>
      <c r="F4712">
        <v>580</v>
      </c>
      <c r="G4712">
        <v>580</v>
      </c>
      <c r="H4712">
        <v>179.9</v>
      </c>
      <c r="I4712" s="1" t="s">
        <v>1528</v>
      </c>
      <c r="J4712" s="1" t="s">
        <v>1491</v>
      </c>
      <c r="K4712" s="1" t="s">
        <v>25</v>
      </c>
      <c r="L4712">
        <v>-0.85559660000000004</v>
      </c>
      <c r="M4712" t="str">
        <f t="shared" si="193"/>
        <v>44/40</v>
      </c>
      <c r="N4712" t="str">
        <f t="shared" si="194"/>
        <v>SW</v>
      </c>
      <c r="O4712" s="1" t="s">
        <v>25</v>
      </c>
      <c r="P4712" s="3" t="s">
        <v>25</v>
      </c>
      <c r="Q4712" s="37">
        <v>0.234921767</v>
      </c>
      <c r="R4712" t="str">
        <f t="shared" si="195"/>
        <v>mmol/mol</v>
      </c>
      <c r="S4712" s="13">
        <f t="shared" si="192"/>
        <v>-0.85559660000000004</v>
      </c>
    </row>
    <row r="4713" spans="1:19">
      <c r="A4713" s="18" t="s">
        <v>4106</v>
      </c>
      <c r="B4713" s="1" t="s">
        <v>4878</v>
      </c>
      <c r="C4713" s="1" t="s">
        <v>639</v>
      </c>
      <c r="D4713" s="1" t="s">
        <v>5063</v>
      </c>
      <c r="E4713" s="1" t="s">
        <v>25</v>
      </c>
      <c r="F4713">
        <v>580</v>
      </c>
      <c r="G4713">
        <v>580</v>
      </c>
      <c r="H4713">
        <v>256.7</v>
      </c>
      <c r="I4713" s="1" t="s">
        <v>1528</v>
      </c>
      <c r="J4713" s="1" t="s">
        <v>1491</v>
      </c>
      <c r="K4713" s="1" t="s">
        <v>25</v>
      </c>
      <c r="L4713">
        <v>-0.4676149</v>
      </c>
      <c r="M4713" t="str">
        <f t="shared" si="193"/>
        <v>44/40</v>
      </c>
      <c r="N4713" t="str">
        <f t="shared" si="194"/>
        <v>SW</v>
      </c>
      <c r="O4713" s="1" t="s">
        <v>25</v>
      </c>
      <c r="P4713" s="3" t="s">
        <v>25</v>
      </c>
      <c r="Q4713" s="37">
        <v>0.13730605600000001</v>
      </c>
      <c r="R4713" t="str">
        <f t="shared" si="195"/>
        <v>mmol/mol</v>
      </c>
      <c r="S4713" s="13">
        <f t="shared" si="192"/>
        <v>-0.4676149</v>
      </c>
    </row>
    <row r="4714" spans="1:19">
      <c r="A4714" s="18" t="s">
        <v>4106</v>
      </c>
      <c r="B4714" s="1" t="s">
        <v>4879</v>
      </c>
      <c r="C4714" s="1" t="s">
        <v>639</v>
      </c>
      <c r="D4714" s="1" t="s">
        <v>5063</v>
      </c>
      <c r="E4714" s="1" t="s">
        <v>25</v>
      </c>
      <c r="F4714">
        <v>580</v>
      </c>
      <c r="G4714">
        <v>580</v>
      </c>
      <c r="H4714">
        <v>274</v>
      </c>
      <c r="I4714" s="1" t="s">
        <v>1528</v>
      </c>
      <c r="J4714" s="1" t="s">
        <v>1491</v>
      </c>
      <c r="K4714" s="1" t="s">
        <v>25</v>
      </c>
      <c r="L4714">
        <v>-0.55263309999999999</v>
      </c>
      <c r="M4714" t="str">
        <f t="shared" si="193"/>
        <v>44/40</v>
      </c>
      <c r="N4714" t="str">
        <f t="shared" si="194"/>
        <v>SW</v>
      </c>
      <c r="O4714" s="1" t="s">
        <v>25</v>
      </c>
      <c r="P4714" s="3" t="s">
        <v>25</v>
      </c>
      <c r="Q4714" s="37">
        <v>0.152821385</v>
      </c>
      <c r="R4714" t="str">
        <f t="shared" si="195"/>
        <v>mmol/mol</v>
      </c>
      <c r="S4714" s="13">
        <f t="shared" si="192"/>
        <v>-0.55263309999999999</v>
      </c>
    </row>
    <row r="4715" spans="1:19">
      <c r="A4715" s="18" t="s">
        <v>4106</v>
      </c>
      <c r="B4715" s="1" t="s">
        <v>4880</v>
      </c>
      <c r="C4715" s="1" t="s">
        <v>639</v>
      </c>
      <c r="D4715" s="1" t="s">
        <v>5063</v>
      </c>
      <c r="E4715" s="1" t="s">
        <v>25</v>
      </c>
      <c r="F4715">
        <v>580</v>
      </c>
      <c r="G4715">
        <v>580</v>
      </c>
      <c r="H4715">
        <v>275.10000000000002</v>
      </c>
      <c r="I4715" s="1" t="s">
        <v>1528</v>
      </c>
      <c r="J4715" s="1" t="s">
        <v>1491</v>
      </c>
      <c r="K4715" s="1" t="s">
        <v>25</v>
      </c>
      <c r="L4715">
        <v>-0.66724570000000005</v>
      </c>
      <c r="M4715" t="str">
        <f t="shared" si="193"/>
        <v>44/40</v>
      </c>
      <c r="N4715" t="str">
        <f t="shared" si="194"/>
        <v>SW</v>
      </c>
      <c r="O4715" s="1" t="s">
        <v>25</v>
      </c>
      <c r="P4715" s="3" t="s">
        <v>25</v>
      </c>
      <c r="Q4715" s="37">
        <v>0.32377241299999998</v>
      </c>
      <c r="R4715" t="str">
        <f t="shared" si="195"/>
        <v>mmol/mol</v>
      </c>
      <c r="S4715" s="13">
        <f t="shared" si="192"/>
        <v>-0.66724570000000005</v>
      </c>
    </row>
    <row r="4716" spans="1:19">
      <c r="A4716" s="18" t="s">
        <v>4106</v>
      </c>
      <c r="B4716" s="1" t="s">
        <v>4881</v>
      </c>
      <c r="C4716" s="1" t="s">
        <v>639</v>
      </c>
      <c r="D4716" s="1" t="s">
        <v>5063</v>
      </c>
      <c r="E4716" s="1" t="s">
        <v>25</v>
      </c>
      <c r="F4716">
        <v>580</v>
      </c>
      <c r="G4716">
        <v>580</v>
      </c>
      <c r="H4716">
        <v>297.3</v>
      </c>
      <c r="I4716" s="1" t="s">
        <v>1528</v>
      </c>
      <c r="J4716" s="1" t="s">
        <v>1491</v>
      </c>
      <c r="K4716" s="1" t="s">
        <v>25</v>
      </c>
      <c r="L4716">
        <v>-0.67575980000000002</v>
      </c>
      <c r="M4716" t="str">
        <f t="shared" si="193"/>
        <v>44/40</v>
      </c>
      <c r="N4716" t="str">
        <f t="shared" si="194"/>
        <v>SW</v>
      </c>
      <c r="O4716" s="1" t="s">
        <v>25</v>
      </c>
      <c r="P4716" s="3" t="s">
        <v>25</v>
      </c>
      <c r="Q4716" s="37">
        <v>0.26639480799999998</v>
      </c>
      <c r="R4716" t="str">
        <f t="shared" si="195"/>
        <v>mmol/mol</v>
      </c>
      <c r="S4716" s="13">
        <f t="shared" ref="S4716:S4777" si="196">IF(NOT(N4716="SW"),L4716-1.88,L4716)</f>
        <v>-0.67575980000000002</v>
      </c>
    </row>
    <row r="4717" spans="1:19">
      <c r="A4717" s="18" t="s">
        <v>4106</v>
      </c>
      <c r="B4717" s="1" t="s">
        <v>4882</v>
      </c>
      <c r="C4717" s="1" t="s">
        <v>639</v>
      </c>
      <c r="D4717" s="1" t="s">
        <v>5063</v>
      </c>
      <c r="E4717" s="1" t="s">
        <v>25</v>
      </c>
      <c r="F4717">
        <v>580</v>
      </c>
      <c r="G4717">
        <v>580</v>
      </c>
      <c r="H4717">
        <v>312.3</v>
      </c>
      <c r="I4717" s="1" t="s">
        <v>1528</v>
      </c>
      <c r="J4717" s="1" t="s">
        <v>1491</v>
      </c>
      <c r="K4717" s="1" t="s">
        <v>25</v>
      </c>
      <c r="L4717">
        <v>-0.82609619999999995</v>
      </c>
      <c r="M4717" t="str">
        <f t="shared" si="193"/>
        <v>44/40</v>
      </c>
      <c r="N4717" t="str">
        <f t="shared" si="194"/>
        <v>SW</v>
      </c>
      <c r="O4717" s="1" t="s">
        <v>25</v>
      </c>
      <c r="P4717" s="3" t="s">
        <v>25</v>
      </c>
      <c r="Q4717" s="37">
        <v>0.21317762200000001</v>
      </c>
      <c r="R4717" t="str">
        <f t="shared" si="195"/>
        <v>mmol/mol</v>
      </c>
      <c r="S4717" s="13">
        <f t="shared" si="196"/>
        <v>-0.82609619999999995</v>
      </c>
    </row>
    <row r="4718" spans="1:19">
      <c r="A4718" s="18" t="s">
        <v>4106</v>
      </c>
      <c r="B4718" s="1" t="s">
        <v>4883</v>
      </c>
      <c r="C4718" s="1" t="s">
        <v>639</v>
      </c>
      <c r="D4718" s="1" t="s">
        <v>5063</v>
      </c>
      <c r="E4718" s="1" t="s">
        <v>25</v>
      </c>
      <c r="F4718">
        <v>580</v>
      </c>
      <c r="G4718">
        <v>580</v>
      </c>
      <c r="H4718">
        <v>322.3</v>
      </c>
      <c r="I4718" s="1" t="s">
        <v>1528</v>
      </c>
      <c r="J4718" s="1" t="s">
        <v>1491</v>
      </c>
      <c r="K4718" s="1" t="s">
        <v>25</v>
      </c>
      <c r="L4718">
        <v>-0.77632389999999996</v>
      </c>
      <c r="M4718" t="str">
        <f t="shared" si="193"/>
        <v>44/40</v>
      </c>
      <c r="N4718" t="str">
        <f t="shared" si="194"/>
        <v>SW</v>
      </c>
      <c r="O4718" s="1" t="s">
        <v>25</v>
      </c>
      <c r="P4718" s="3" t="s">
        <v>25</v>
      </c>
      <c r="Q4718" s="37">
        <v>0.37677685500000002</v>
      </c>
      <c r="R4718" t="str">
        <f t="shared" si="195"/>
        <v>mmol/mol</v>
      </c>
      <c r="S4718" s="13">
        <f t="shared" si="196"/>
        <v>-0.77632389999999996</v>
      </c>
    </row>
    <row r="4719" spans="1:19">
      <c r="A4719" s="18" t="s">
        <v>4106</v>
      </c>
      <c r="B4719" s="1" t="s">
        <v>4884</v>
      </c>
      <c r="C4719" s="1" t="s">
        <v>639</v>
      </c>
      <c r="D4719" s="1" t="s">
        <v>5063</v>
      </c>
      <c r="E4719" s="1" t="s">
        <v>25</v>
      </c>
      <c r="F4719">
        <v>580</v>
      </c>
      <c r="G4719">
        <v>580</v>
      </c>
      <c r="H4719">
        <v>329.4</v>
      </c>
      <c r="I4719" s="1" t="s">
        <v>1528</v>
      </c>
      <c r="J4719" s="1" t="s">
        <v>1491</v>
      </c>
      <c r="K4719" s="1" t="s">
        <v>25</v>
      </c>
      <c r="L4719">
        <v>-0.94036960000000003</v>
      </c>
      <c r="M4719" t="str">
        <f t="shared" si="193"/>
        <v>44/40</v>
      </c>
      <c r="N4719" t="str">
        <f t="shared" si="194"/>
        <v>SW</v>
      </c>
      <c r="O4719" s="1" t="s">
        <v>25</v>
      </c>
      <c r="P4719" s="3" t="s">
        <v>25</v>
      </c>
      <c r="Q4719" s="37">
        <v>0.340288227</v>
      </c>
      <c r="R4719" t="str">
        <f t="shared" si="195"/>
        <v>mmol/mol</v>
      </c>
      <c r="S4719" s="13">
        <f t="shared" si="196"/>
        <v>-0.94036960000000003</v>
      </c>
    </row>
    <row r="4720" spans="1:19">
      <c r="A4720" s="18" t="s">
        <v>4106</v>
      </c>
      <c r="B4720" s="1" t="s">
        <v>4885</v>
      </c>
      <c r="C4720" s="1" t="s">
        <v>639</v>
      </c>
      <c r="D4720" s="1" t="s">
        <v>5063</v>
      </c>
      <c r="E4720" s="1" t="s">
        <v>25</v>
      </c>
      <c r="F4720">
        <v>580</v>
      </c>
      <c r="G4720">
        <v>580</v>
      </c>
      <c r="H4720">
        <v>340.9</v>
      </c>
      <c r="I4720" s="1" t="s">
        <v>1528</v>
      </c>
      <c r="J4720" s="1" t="s">
        <v>1491</v>
      </c>
      <c r="K4720" s="1" t="s">
        <v>25</v>
      </c>
      <c r="L4720">
        <v>-0.85173209999999999</v>
      </c>
      <c r="M4720" t="str">
        <f t="shared" ref="M4720:M4783" si="197">IF(L4720="Na","Na","44/40")</f>
        <v>44/40</v>
      </c>
      <c r="N4720" t="str">
        <f t="shared" ref="N4720:N4783" si="198">IF(M4720="Na","Na","SW")</f>
        <v>SW</v>
      </c>
      <c r="O4720" s="1" t="s">
        <v>25</v>
      </c>
      <c r="P4720" s="3" t="s">
        <v>25</v>
      </c>
      <c r="Q4720" s="37">
        <v>0.586187554</v>
      </c>
      <c r="R4720" t="str">
        <f t="shared" si="195"/>
        <v>mmol/mol</v>
      </c>
      <c r="S4720" s="13">
        <f t="shared" si="196"/>
        <v>-0.85173209999999999</v>
      </c>
    </row>
    <row r="4721" spans="1:19">
      <c r="A4721" s="18" t="s">
        <v>4106</v>
      </c>
      <c r="B4721" s="1" t="s">
        <v>4886</v>
      </c>
      <c r="C4721" s="1" t="s">
        <v>639</v>
      </c>
      <c r="D4721" s="1" t="s">
        <v>5063</v>
      </c>
      <c r="E4721" s="1" t="s">
        <v>25</v>
      </c>
      <c r="F4721">
        <v>580</v>
      </c>
      <c r="G4721">
        <v>580</v>
      </c>
      <c r="H4721">
        <v>341.2</v>
      </c>
      <c r="I4721" s="1" t="s">
        <v>1528</v>
      </c>
      <c r="J4721" s="1" t="s">
        <v>1491</v>
      </c>
      <c r="K4721" s="1" t="s">
        <v>25</v>
      </c>
      <c r="L4721">
        <v>-0.76548970000000005</v>
      </c>
      <c r="M4721" t="str">
        <f t="shared" si="197"/>
        <v>44/40</v>
      </c>
      <c r="N4721" t="str">
        <f t="shared" si="198"/>
        <v>SW</v>
      </c>
      <c r="O4721" s="1" t="s">
        <v>25</v>
      </c>
      <c r="P4721" s="3" t="s">
        <v>25</v>
      </c>
      <c r="Q4721" s="37">
        <v>0.19199609500000001</v>
      </c>
      <c r="R4721" t="str">
        <f t="shared" si="195"/>
        <v>mmol/mol</v>
      </c>
      <c r="S4721" s="13">
        <f t="shared" si="196"/>
        <v>-0.76548970000000005</v>
      </c>
    </row>
    <row r="4722" spans="1:19">
      <c r="A4722" s="18" t="s">
        <v>4106</v>
      </c>
      <c r="B4722" s="1" t="s">
        <v>4887</v>
      </c>
      <c r="C4722" s="1" t="s">
        <v>639</v>
      </c>
      <c r="D4722" s="1" t="s">
        <v>5063</v>
      </c>
      <c r="E4722" s="1" t="s">
        <v>25</v>
      </c>
      <c r="F4722">
        <v>580</v>
      </c>
      <c r="G4722">
        <v>580</v>
      </c>
      <c r="H4722">
        <v>513</v>
      </c>
      <c r="I4722" s="1" t="s">
        <v>1528</v>
      </c>
      <c r="J4722" s="1" t="s">
        <v>1336</v>
      </c>
      <c r="K4722" s="1" t="s">
        <v>25</v>
      </c>
      <c r="L4722">
        <v>-0.97187889999999999</v>
      </c>
      <c r="M4722" t="str">
        <f t="shared" si="197"/>
        <v>44/40</v>
      </c>
      <c r="N4722" t="str">
        <f t="shared" si="198"/>
        <v>SW</v>
      </c>
      <c r="O4722" s="1" t="s">
        <v>25</v>
      </c>
      <c r="P4722" s="3" t="s">
        <v>25</v>
      </c>
      <c r="Q4722" s="37">
        <v>0.20618850799999999</v>
      </c>
      <c r="R4722" t="str">
        <f t="shared" si="195"/>
        <v>mmol/mol</v>
      </c>
      <c r="S4722" s="13">
        <f t="shared" si="196"/>
        <v>-0.97187889999999999</v>
      </c>
    </row>
    <row r="4723" spans="1:19">
      <c r="A4723" s="18" t="s">
        <v>4106</v>
      </c>
      <c r="B4723" s="1" t="s">
        <v>4888</v>
      </c>
      <c r="C4723" s="1" t="s">
        <v>639</v>
      </c>
      <c r="D4723" s="1" t="s">
        <v>5063</v>
      </c>
      <c r="E4723" s="1" t="s">
        <v>25</v>
      </c>
      <c r="F4723">
        <v>580</v>
      </c>
      <c r="G4723">
        <v>580</v>
      </c>
      <c r="H4723">
        <v>515.1</v>
      </c>
      <c r="I4723" s="1" t="s">
        <v>1528</v>
      </c>
      <c r="J4723" s="1" t="s">
        <v>1336</v>
      </c>
      <c r="K4723" s="1" t="s">
        <v>25</v>
      </c>
      <c r="L4723">
        <v>-0.87261040000000001</v>
      </c>
      <c r="M4723" t="str">
        <f t="shared" si="197"/>
        <v>44/40</v>
      </c>
      <c r="N4723" t="str">
        <f t="shared" si="198"/>
        <v>SW</v>
      </c>
      <c r="O4723" s="1" t="s">
        <v>25</v>
      </c>
      <c r="P4723" s="3" t="s">
        <v>25</v>
      </c>
      <c r="Q4723" s="37">
        <v>0.22221364599999999</v>
      </c>
      <c r="R4723" t="str">
        <f t="shared" si="195"/>
        <v>mmol/mol</v>
      </c>
      <c r="S4723" s="13">
        <f t="shared" si="196"/>
        <v>-0.87261040000000001</v>
      </c>
    </row>
    <row r="4724" spans="1:19">
      <c r="A4724" s="18" t="s">
        <v>4106</v>
      </c>
      <c r="B4724" s="1" t="s">
        <v>4889</v>
      </c>
      <c r="C4724" s="1" t="s">
        <v>639</v>
      </c>
      <c r="D4724" s="1" t="s">
        <v>5063</v>
      </c>
      <c r="E4724" s="1" t="s">
        <v>25</v>
      </c>
      <c r="F4724">
        <v>580</v>
      </c>
      <c r="G4724">
        <v>580</v>
      </c>
      <c r="H4724">
        <v>517.9</v>
      </c>
      <c r="I4724" s="1" t="s">
        <v>1528</v>
      </c>
      <c r="J4724" s="1" t="s">
        <v>1336</v>
      </c>
      <c r="K4724" s="1" t="s">
        <v>25</v>
      </c>
      <c r="L4724">
        <v>-0.97306230000000005</v>
      </c>
      <c r="M4724" t="str">
        <f t="shared" si="197"/>
        <v>44/40</v>
      </c>
      <c r="N4724" t="str">
        <f t="shared" si="198"/>
        <v>SW</v>
      </c>
      <c r="O4724" s="1" t="s">
        <v>25</v>
      </c>
      <c r="P4724" s="3" t="s">
        <v>25</v>
      </c>
      <c r="Q4724" s="37">
        <v>0.28007006400000001</v>
      </c>
      <c r="R4724" t="str">
        <f t="shared" si="195"/>
        <v>mmol/mol</v>
      </c>
      <c r="S4724" s="13">
        <f t="shared" si="196"/>
        <v>-0.97306230000000005</v>
      </c>
    </row>
    <row r="4725" spans="1:19">
      <c r="A4725" s="18" t="s">
        <v>4106</v>
      </c>
      <c r="B4725" s="1" t="s">
        <v>4890</v>
      </c>
      <c r="C4725" s="1" t="s">
        <v>639</v>
      </c>
      <c r="D4725" s="1" t="s">
        <v>5063</v>
      </c>
      <c r="E4725" s="1" t="s">
        <v>25</v>
      </c>
      <c r="F4725">
        <v>580</v>
      </c>
      <c r="G4725">
        <v>580</v>
      </c>
      <c r="H4725">
        <v>518.20000000000005</v>
      </c>
      <c r="I4725" s="1" t="s">
        <v>1528</v>
      </c>
      <c r="J4725" s="1" t="s">
        <v>1336</v>
      </c>
      <c r="K4725" s="1" t="s">
        <v>25</v>
      </c>
      <c r="L4725">
        <v>-0.96256079999999999</v>
      </c>
      <c r="M4725" t="str">
        <f t="shared" si="197"/>
        <v>44/40</v>
      </c>
      <c r="N4725" t="str">
        <f t="shared" si="198"/>
        <v>SW</v>
      </c>
      <c r="O4725" s="1" t="s">
        <v>25</v>
      </c>
      <c r="P4725" s="3" t="s">
        <v>25</v>
      </c>
      <c r="Q4725" s="37">
        <v>0.24307381</v>
      </c>
      <c r="R4725" t="str">
        <f t="shared" si="195"/>
        <v>mmol/mol</v>
      </c>
      <c r="S4725" s="13">
        <f t="shared" si="196"/>
        <v>-0.96256079999999999</v>
      </c>
    </row>
    <row r="4726" spans="1:19">
      <c r="A4726" s="18" t="s">
        <v>4106</v>
      </c>
      <c r="B4726" s="1" t="s">
        <v>4891</v>
      </c>
      <c r="C4726" s="1" t="s">
        <v>639</v>
      </c>
      <c r="D4726" s="1" t="s">
        <v>5063</v>
      </c>
      <c r="E4726" s="1" t="s">
        <v>25</v>
      </c>
      <c r="F4726">
        <v>580</v>
      </c>
      <c r="G4726">
        <v>580</v>
      </c>
      <c r="H4726">
        <v>1105.4000000000001</v>
      </c>
      <c r="I4726" s="1" t="s">
        <v>1528</v>
      </c>
      <c r="J4726" s="1" t="s">
        <v>1491</v>
      </c>
      <c r="K4726" s="1" t="s">
        <v>25</v>
      </c>
      <c r="L4726">
        <v>-0.3536591</v>
      </c>
      <c r="M4726" t="str">
        <f t="shared" si="197"/>
        <v>44/40</v>
      </c>
      <c r="N4726" t="str">
        <f t="shared" si="198"/>
        <v>SW</v>
      </c>
      <c r="O4726" s="1" t="s">
        <v>25</v>
      </c>
      <c r="P4726" s="3" t="s">
        <v>25</v>
      </c>
      <c r="Q4726" s="37">
        <v>0.33442100600000002</v>
      </c>
      <c r="R4726" t="str">
        <f t="shared" si="195"/>
        <v>mmol/mol</v>
      </c>
      <c r="S4726" s="13">
        <f t="shared" si="196"/>
        <v>-0.3536591</v>
      </c>
    </row>
    <row r="4727" spans="1:19">
      <c r="A4727" s="18" t="s">
        <v>4106</v>
      </c>
      <c r="B4727" s="1" t="s">
        <v>4892</v>
      </c>
      <c r="C4727" s="1" t="s">
        <v>639</v>
      </c>
      <c r="D4727" s="1" t="s">
        <v>5063</v>
      </c>
      <c r="E4727" s="1" t="s">
        <v>25</v>
      </c>
      <c r="F4727">
        <v>580</v>
      </c>
      <c r="G4727">
        <v>580</v>
      </c>
      <c r="H4727">
        <v>10</v>
      </c>
      <c r="I4727" s="1" t="s">
        <v>1528</v>
      </c>
      <c r="J4727" s="1" t="s">
        <v>1336</v>
      </c>
      <c r="K4727" s="1" t="s">
        <v>25</v>
      </c>
      <c r="L4727">
        <v>-1.1115843000000001</v>
      </c>
      <c r="M4727" t="str">
        <f t="shared" si="197"/>
        <v>44/40</v>
      </c>
      <c r="N4727" t="str">
        <f t="shared" si="198"/>
        <v>SW</v>
      </c>
      <c r="O4727" s="1" t="s">
        <v>25</v>
      </c>
      <c r="P4727" s="3" t="s">
        <v>25</v>
      </c>
      <c r="Q4727" s="37">
        <v>0.28482732799999999</v>
      </c>
      <c r="R4727" t="str">
        <f t="shared" si="195"/>
        <v>mmol/mol</v>
      </c>
      <c r="S4727" s="13">
        <f t="shared" si="196"/>
        <v>-1.1115843000000001</v>
      </c>
    </row>
    <row r="4728" spans="1:19">
      <c r="A4728" s="18" t="s">
        <v>4106</v>
      </c>
      <c r="B4728" s="1" t="s">
        <v>4893</v>
      </c>
      <c r="C4728" s="1" t="s">
        <v>639</v>
      </c>
      <c r="D4728" s="1" t="s">
        <v>5063</v>
      </c>
      <c r="E4728" s="1" t="s">
        <v>25</v>
      </c>
      <c r="F4728">
        <v>580</v>
      </c>
      <c r="G4728">
        <v>580</v>
      </c>
      <c r="H4728">
        <v>10.199999999999999</v>
      </c>
      <c r="I4728" s="1" t="s">
        <v>1528</v>
      </c>
      <c r="J4728" s="1" t="s">
        <v>1336</v>
      </c>
      <c r="K4728" s="1" t="s">
        <v>25</v>
      </c>
      <c r="L4728">
        <v>-1.2638442000000001</v>
      </c>
      <c r="M4728" t="str">
        <f t="shared" si="197"/>
        <v>44/40</v>
      </c>
      <c r="N4728" t="str">
        <f t="shared" si="198"/>
        <v>SW</v>
      </c>
      <c r="O4728" s="1" t="s">
        <v>25</v>
      </c>
      <c r="P4728" s="3" t="s">
        <v>25</v>
      </c>
      <c r="Q4728" s="37">
        <v>0.42790294099999998</v>
      </c>
      <c r="R4728" t="str">
        <f t="shared" si="195"/>
        <v>mmol/mol</v>
      </c>
      <c r="S4728" s="13">
        <f t="shared" si="196"/>
        <v>-1.2638442000000001</v>
      </c>
    </row>
    <row r="4729" spans="1:19">
      <c r="A4729" s="18" t="s">
        <v>4106</v>
      </c>
      <c r="B4729" s="1" t="s">
        <v>4894</v>
      </c>
      <c r="C4729" s="1" t="s">
        <v>639</v>
      </c>
      <c r="D4729" s="1" t="s">
        <v>5063</v>
      </c>
      <c r="E4729" s="1" t="s">
        <v>25</v>
      </c>
      <c r="F4729">
        <v>580</v>
      </c>
      <c r="G4729">
        <v>580</v>
      </c>
      <c r="H4729">
        <v>90.6</v>
      </c>
      <c r="I4729" s="1" t="s">
        <v>1528</v>
      </c>
      <c r="J4729" s="1" t="s">
        <v>1491</v>
      </c>
      <c r="K4729" s="1" t="s">
        <v>25</v>
      </c>
      <c r="L4729">
        <v>-1.0795884</v>
      </c>
      <c r="M4729" t="str">
        <f t="shared" si="197"/>
        <v>44/40</v>
      </c>
      <c r="N4729" t="str">
        <f t="shared" si="198"/>
        <v>SW</v>
      </c>
      <c r="O4729" s="1" t="s">
        <v>25</v>
      </c>
      <c r="P4729" s="3" t="s">
        <v>25</v>
      </c>
      <c r="Q4729" s="37">
        <v>0.45200737099999999</v>
      </c>
      <c r="R4729" t="str">
        <f t="shared" si="195"/>
        <v>mmol/mol</v>
      </c>
      <c r="S4729" s="13">
        <f t="shared" si="196"/>
        <v>-1.0795884</v>
      </c>
    </row>
    <row r="4730" spans="1:19">
      <c r="A4730" s="18" t="s">
        <v>4106</v>
      </c>
      <c r="B4730" s="1" t="s">
        <v>4895</v>
      </c>
      <c r="C4730" s="1" t="s">
        <v>639</v>
      </c>
      <c r="D4730" s="1" t="s">
        <v>5063</v>
      </c>
      <c r="E4730" s="1" t="s">
        <v>25</v>
      </c>
      <c r="F4730">
        <v>580</v>
      </c>
      <c r="G4730">
        <v>580</v>
      </c>
      <c r="H4730">
        <v>105.7</v>
      </c>
      <c r="I4730" s="1" t="s">
        <v>1528</v>
      </c>
      <c r="J4730" s="1" t="s">
        <v>1491</v>
      </c>
      <c r="K4730" s="1" t="s">
        <v>25</v>
      </c>
      <c r="L4730">
        <v>-1.0693075000000001</v>
      </c>
      <c r="M4730" t="str">
        <f t="shared" si="197"/>
        <v>44/40</v>
      </c>
      <c r="N4730" t="str">
        <f t="shared" si="198"/>
        <v>SW</v>
      </c>
      <c r="O4730" s="1" t="s">
        <v>25</v>
      </c>
      <c r="P4730" s="3" t="s">
        <v>25</v>
      </c>
      <c r="Q4730" s="37">
        <v>5.359705E-2</v>
      </c>
      <c r="R4730" t="str">
        <f t="shared" si="195"/>
        <v>mmol/mol</v>
      </c>
      <c r="S4730" s="13">
        <f t="shared" si="196"/>
        <v>-1.0693075000000001</v>
      </c>
    </row>
    <row r="4731" spans="1:19">
      <c r="A4731" s="18" t="s">
        <v>4106</v>
      </c>
      <c r="B4731" s="1" t="s">
        <v>4896</v>
      </c>
      <c r="C4731" s="1" t="s">
        <v>639</v>
      </c>
      <c r="D4731" s="1" t="s">
        <v>5063</v>
      </c>
      <c r="E4731" s="1" t="s">
        <v>25</v>
      </c>
      <c r="F4731">
        <v>580</v>
      </c>
      <c r="G4731">
        <v>580</v>
      </c>
      <c r="H4731">
        <v>126.6</v>
      </c>
      <c r="I4731" s="1" t="s">
        <v>1528</v>
      </c>
      <c r="J4731" s="1" t="s">
        <v>1491</v>
      </c>
      <c r="K4731" s="1" t="s">
        <v>25</v>
      </c>
      <c r="L4731">
        <v>-1.0751111</v>
      </c>
      <c r="M4731" t="str">
        <f t="shared" si="197"/>
        <v>44/40</v>
      </c>
      <c r="N4731" t="str">
        <f t="shared" si="198"/>
        <v>SW</v>
      </c>
      <c r="O4731" s="1" t="s">
        <v>25</v>
      </c>
      <c r="P4731" s="3" t="s">
        <v>25</v>
      </c>
      <c r="Q4731" s="37">
        <v>0.36528700200000003</v>
      </c>
      <c r="R4731" t="str">
        <f t="shared" si="195"/>
        <v>mmol/mol</v>
      </c>
      <c r="S4731" s="13">
        <f t="shared" si="196"/>
        <v>-1.0751111</v>
      </c>
    </row>
    <row r="4732" spans="1:19">
      <c r="A4732" s="18" t="s">
        <v>4106</v>
      </c>
      <c r="B4732" s="1" t="s">
        <v>4897</v>
      </c>
      <c r="C4732" s="1" t="s">
        <v>639</v>
      </c>
      <c r="D4732" s="1" t="s">
        <v>5063</v>
      </c>
      <c r="E4732" s="1" t="s">
        <v>25</v>
      </c>
      <c r="F4732">
        <v>580</v>
      </c>
      <c r="G4732">
        <v>580</v>
      </c>
      <c r="H4732">
        <v>168.2</v>
      </c>
      <c r="I4732" s="1" t="s">
        <v>1528</v>
      </c>
      <c r="J4732" s="1" t="s">
        <v>1491</v>
      </c>
      <c r="K4732" s="1" t="s">
        <v>25</v>
      </c>
      <c r="L4732">
        <v>-1.0607877999999999</v>
      </c>
      <c r="M4732" t="str">
        <f t="shared" si="197"/>
        <v>44/40</v>
      </c>
      <c r="N4732" t="str">
        <f t="shared" si="198"/>
        <v>SW</v>
      </c>
      <c r="O4732" s="1" t="s">
        <v>25</v>
      </c>
      <c r="P4732" s="3" t="s">
        <v>25</v>
      </c>
      <c r="Q4732" s="37">
        <v>0.18930414700000001</v>
      </c>
      <c r="R4732" t="str">
        <f t="shared" si="195"/>
        <v>mmol/mol</v>
      </c>
      <c r="S4732" s="13">
        <f t="shared" si="196"/>
        <v>-1.0607877999999999</v>
      </c>
    </row>
    <row r="4733" spans="1:19">
      <c r="A4733" s="18" t="s">
        <v>4106</v>
      </c>
      <c r="B4733" s="1" t="s">
        <v>4898</v>
      </c>
      <c r="C4733" s="1" t="s">
        <v>639</v>
      </c>
      <c r="D4733" s="1" t="s">
        <v>5063</v>
      </c>
      <c r="E4733" s="1" t="s">
        <v>25</v>
      </c>
      <c r="F4733">
        <v>580</v>
      </c>
      <c r="G4733">
        <v>580</v>
      </c>
      <c r="H4733">
        <v>205.9</v>
      </c>
      <c r="I4733" s="1" t="s">
        <v>1528</v>
      </c>
      <c r="J4733" s="1" t="s">
        <v>1491</v>
      </c>
      <c r="K4733" s="1" t="s">
        <v>25</v>
      </c>
      <c r="L4733">
        <v>-0.42112040000000001</v>
      </c>
      <c r="M4733" t="str">
        <f t="shared" si="197"/>
        <v>44/40</v>
      </c>
      <c r="N4733" t="str">
        <f t="shared" si="198"/>
        <v>SW</v>
      </c>
      <c r="O4733" s="1" t="s">
        <v>25</v>
      </c>
      <c r="P4733" s="3" t="s">
        <v>25</v>
      </c>
      <c r="Q4733" s="37">
        <v>0.180360416</v>
      </c>
      <c r="R4733" t="str">
        <f t="shared" si="195"/>
        <v>mmol/mol</v>
      </c>
      <c r="S4733" s="13">
        <f t="shared" si="196"/>
        <v>-0.42112040000000001</v>
      </c>
    </row>
    <row r="4734" spans="1:19">
      <c r="A4734" s="18" t="s">
        <v>4106</v>
      </c>
      <c r="B4734" s="1" t="s">
        <v>4899</v>
      </c>
      <c r="C4734" s="1" t="s">
        <v>639</v>
      </c>
      <c r="D4734" s="1" t="s">
        <v>5063</v>
      </c>
      <c r="E4734" s="1" t="s">
        <v>25</v>
      </c>
      <c r="F4734">
        <v>580</v>
      </c>
      <c r="G4734">
        <v>580</v>
      </c>
      <c r="H4734">
        <v>224.8</v>
      </c>
      <c r="I4734" s="1" t="s">
        <v>1528</v>
      </c>
      <c r="J4734" s="1" t="s">
        <v>1491</v>
      </c>
      <c r="K4734" s="1" t="s">
        <v>25</v>
      </c>
      <c r="L4734">
        <v>-0.37690010000000002</v>
      </c>
      <c r="M4734" t="str">
        <f t="shared" si="197"/>
        <v>44/40</v>
      </c>
      <c r="N4734" t="str">
        <f t="shared" si="198"/>
        <v>SW</v>
      </c>
      <c r="O4734" s="1" t="s">
        <v>25</v>
      </c>
      <c r="P4734" s="3" t="s">
        <v>25</v>
      </c>
      <c r="Q4734" s="37">
        <v>0.29026909400000001</v>
      </c>
      <c r="R4734" t="str">
        <f t="shared" si="195"/>
        <v>mmol/mol</v>
      </c>
      <c r="S4734" s="13">
        <f t="shared" si="196"/>
        <v>-0.37690010000000002</v>
      </c>
    </row>
    <row r="4735" spans="1:19">
      <c r="A4735" s="18" t="s">
        <v>4106</v>
      </c>
      <c r="B4735" s="1" t="s">
        <v>4900</v>
      </c>
      <c r="C4735" s="1" t="s">
        <v>639</v>
      </c>
      <c r="D4735" s="1" t="s">
        <v>5063</v>
      </c>
      <c r="E4735" s="1" t="s">
        <v>25</v>
      </c>
      <c r="F4735">
        <v>580</v>
      </c>
      <c r="G4735">
        <v>580</v>
      </c>
      <c r="H4735">
        <v>231.7</v>
      </c>
      <c r="I4735" s="1" t="s">
        <v>1528</v>
      </c>
      <c r="J4735" s="1" t="s">
        <v>1491</v>
      </c>
      <c r="K4735" s="1" t="s">
        <v>25</v>
      </c>
      <c r="L4735">
        <v>-0.68116350000000003</v>
      </c>
      <c r="M4735" t="str">
        <f t="shared" si="197"/>
        <v>44/40</v>
      </c>
      <c r="N4735" t="str">
        <f t="shared" si="198"/>
        <v>SW</v>
      </c>
      <c r="O4735" s="1" t="s">
        <v>25</v>
      </c>
      <c r="P4735" s="3" t="s">
        <v>25</v>
      </c>
      <c r="Q4735" s="37">
        <v>0.25904745899999998</v>
      </c>
      <c r="R4735" t="str">
        <f t="shared" si="195"/>
        <v>mmol/mol</v>
      </c>
      <c r="S4735" s="13">
        <f t="shared" si="196"/>
        <v>-0.68116350000000003</v>
      </c>
    </row>
    <row r="4736" spans="1:19">
      <c r="A4736" s="18" t="s">
        <v>4106</v>
      </c>
      <c r="B4736" s="1" t="s">
        <v>4901</v>
      </c>
      <c r="C4736" s="1" t="s">
        <v>639</v>
      </c>
      <c r="D4736" s="1" t="s">
        <v>5063</v>
      </c>
      <c r="E4736" s="1" t="s">
        <v>25</v>
      </c>
      <c r="F4736">
        <v>580</v>
      </c>
      <c r="G4736">
        <v>580</v>
      </c>
      <c r="H4736">
        <v>239.6</v>
      </c>
      <c r="I4736" s="1" t="s">
        <v>1528</v>
      </c>
      <c r="J4736" s="1" t="s">
        <v>1491</v>
      </c>
      <c r="K4736" s="1" t="s">
        <v>25</v>
      </c>
      <c r="L4736">
        <v>-0.3183646</v>
      </c>
      <c r="M4736" t="str">
        <f t="shared" si="197"/>
        <v>44/40</v>
      </c>
      <c r="N4736" t="str">
        <f t="shared" si="198"/>
        <v>SW</v>
      </c>
      <c r="O4736" s="1" t="s">
        <v>25</v>
      </c>
      <c r="P4736" s="3" t="s">
        <v>25</v>
      </c>
      <c r="Q4736" s="37">
        <v>0.24585771300000001</v>
      </c>
      <c r="R4736" t="str">
        <f t="shared" si="195"/>
        <v>mmol/mol</v>
      </c>
      <c r="S4736" s="13">
        <f t="shared" si="196"/>
        <v>-0.3183646</v>
      </c>
    </row>
    <row r="4737" spans="1:19">
      <c r="A4737" s="18" t="s">
        <v>4106</v>
      </c>
      <c r="B4737" s="1" t="s">
        <v>4902</v>
      </c>
      <c r="C4737" s="1" t="s">
        <v>639</v>
      </c>
      <c r="D4737" s="1" t="s">
        <v>5063</v>
      </c>
      <c r="E4737" s="1" t="s">
        <v>25</v>
      </c>
      <c r="F4737">
        <v>580</v>
      </c>
      <c r="G4737">
        <v>580</v>
      </c>
      <c r="H4737">
        <v>253.5</v>
      </c>
      <c r="I4737" s="1" t="s">
        <v>1528</v>
      </c>
      <c r="J4737" s="1" t="s">
        <v>1491</v>
      </c>
      <c r="K4737" s="1" t="s">
        <v>25</v>
      </c>
      <c r="L4737">
        <v>-0.62493359999999998</v>
      </c>
      <c r="M4737" t="str">
        <f t="shared" si="197"/>
        <v>44/40</v>
      </c>
      <c r="N4737" t="str">
        <f t="shared" si="198"/>
        <v>SW</v>
      </c>
      <c r="O4737" s="1" t="s">
        <v>25</v>
      </c>
      <c r="P4737" s="3" t="s">
        <v>25</v>
      </c>
      <c r="Q4737" s="37">
        <v>0.32298723699999998</v>
      </c>
      <c r="R4737" t="str">
        <f t="shared" si="195"/>
        <v>mmol/mol</v>
      </c>
      <c r="S4737" s="13">
        <f t="shared" si="196"/>
        <v>-0.62493359999999998</v>
      </c>
    </row>
    <row r="4738" spans="1:19">
      <c r="A4738" s="18" t="s">
        <v>4106</v>
      </c>
      <c r="B4738" s="1" t="s">
        <v>4903</v>
      </c>
      <c r="C4738" s="1" t="s">
        <v>639</v>
      </c>
      <c r="D4738" s="1" t="s">
        <v>5063</v>
      </c>
      <c r="E4738" s="1" t="s">
        <v>25</v>
      </c>
      <c r="F4738">
        <v>580</v>
      </c>
      <c r="G4738">
        <v>580</v>
      </c>
      <c r="H4738">
        <v>264.39999999999998</v>
      </c>
      <c r="I4738" s="1" t="s">
        <v>1528</v>
      </c>
      <c r="J4738" s="1" t="s">
        <v>1491</v>
      </c>
      <c r="K4738" s="1" t="s">
        <v>25</v>
      </c>
      <c r="L4738">
        <v>-0.7357475</v>
      </c>
      <c r="M4738" t="str">
        <f t="shared" si="197"/>
        <v>44/40</v>
      </c>
      <c r="N4738" t="str">
        <f t="shared" si="198"/>
        <v>SW</v>
      </c>
      <c r="O4738" s="1" t="s">
        <v>25</v>
      </c>
      <c r="P4738" s="3" t="s">
        <v>25</v>
      </c>
      <c r="Q4738" s="37">
        <v>0.34023478600000001</v>
      </c>
      <c r="R4738" t="str">
        <f t="shared" si="195"/>
        <v>mmol/mol</v>
      </c>
      <c r="S4738" s="13">
        <f t="shared" si="196"/>
        <v>-0.7357475</v>
      </c>
    </row>
    <row r="4739" spans="1:19">
      <c r="A4739" s="18" t="s">
        <v>4106</v>
      </c>
      <c r="B4739" s="1" t="s">
        <v>4904</v>
      </c>
      <c r="C4739" s="1" t="s">
        <v>639</v>
      </c>
      <c r="D4739" s="1" t="s">
        <v>5063</v>
      </c>
      <c r="E4739" s="1" t="s">
        <v>25</v>
      </c>
      <c r="F4739">
        <v>580</v>
      </c>
      <c r="G4739">
        <v>580</v>
      </c>
      <c r="H4739">
        <v>273.39999999999998</v>
      </c>
      <c r="I4739" s="1" t="s">
        <v>1528</v>
      </c>
      <c r="J4739" s="1" t="s">
        <v>1491</v>
      </c>
      <c r="K4739" s="1" t="s">
        <v>25</v>
      </c>
      <c r="L4739">
        <v>-0.67323290000000002</v>
      </c>
      <c r="M4739" t="str">
        <f t="shared" si="197"/>
        <v>44/40</v>
      </c>
      <c r="N4739" t="str">
        <f t="shared" si="198"/>
        <v>SW</v>
      </c>
      <c r="O4739" s="1" t="s">
        <v>25</v>
      </c>
      <c r="P4739" s="3" t="s">
        <v>25</v>
      </c>
      <c r="Q4739" s="37">
        <v>0.51222536799999996</v>
      </c>
      <c r="R4739" t="str">
        <f t="shared" si="195"/>
        <v>mmol/mol</v>
      </c>
      <c r="S4739" s="13">
        <f t="shared" si="196"/>
        <v>-0.67323290000000002</v>
      </c>
    </row>
    <row r="4740" spans="1:19">
      <c r="A4740" s="18" t="s">
        <v>4106</v>
      </c>
      <c r="B4740" s="1" t="s">
        <v>4905</v>
      </c>
      <c r="C4740" s="1" t="s">
        <v>639</v>
      </c>
      <c r="D4740" s="1" t="s">
        <v>5063</v>
      </c>
      <c r="E4740" s="1" t="s">
        <v>25</v>
      </c>
      <c r="F4740">
        <v>580</v>
      </c>
      <c r="G4740">
        <v>580</v>
      </c>
      <c r="H4740">
        <v>296.10000000000002</v>
      </c>
      <c r="I4740" s="1" t="s">
        <v>1528</v>
      </c>
      <c r="J4740" s="1" t="s">
        <v>1491</v>
      </c>
      <c r="K4740" s="1" t="s">
        <v>25</v>
      </c>
      <c r="L4740">
        <v>-0.56445829999999997</v>
      </c>
      <c r="M4740" t="str">
        <f t="shared" si="197"/>
        <v>44/40</v>
      </c>
      <c r="N4740" t="str">
        <f t="shared" si="198"/>
        <v>SW</v>
      </c>
      <c r="O4740" s="1" t="s">
        <v>25</v>
      </c>
      <c r="P4740" s="3" t="s">
        <v>25</v>
      </c>
      <c r="Q4740" s="37">
        <v>0.313777743</v>
      </c>
      <c r="R4740" t="str">
        <f t="shared" si="195"/>
        <v>mmol/mol</v>
      </c>
      <c r="S4740" s="13">
        <f t="shared" si="196"/>
        <v>-0.56445829999999997</v>
      </c>
    </row>
    <row r="4741" spans="1:19">
      <c r="A4741" s="18" t="s">
        <v>4106</v>
      </c>
      <c r="B4741" s="1" t="s">
        <v>4906</v>
      </c>
      <c r="C4741" s="1" t="s">
        <v>639</v>
      </c>
      <c r="D4741" s="1" t="s">
        <v>5063</v>
      </c>
      <c r="E4741" s="1" t="s">
        <v>25</v>
      </c>
      <c r="F4741">
        <v>580</v>
      </c>
      <c r="G4741">
        <v>580</v>
      </c>
      <c r="H4741">
        <v>315.8</v>
      </c>
      <c r="I4741" s="1" t="s">
        <v>1528</v>
      </c>
      <c r="J4741" s="1" t="s">
        <v>1491</v>
      </c>
      <c r="K4741" s="1" t="s">
        <v>25</v>
      </c>
      <c r="L4741">
        <v>-0.63207630000000004</v>
      </c>
      <c r="M4741" t="str">
        <f t="shared" si="197"/>
        <v>44/40</v>
      </c>
      <c r="N4741" t="str">
        <f t="shared" si="198"/>
        <v>SW</v>
      </c>
      <c r="O4741" s="1" t="s">
        <v>25</v>
      </c>
      <c r="P4741" s="3" t="s">
        <v>25</v>
      </c>
      <c r="Q4741" s="37">
        <v>0.28932116899999999</v>
      </c>
      <c r="R4741" t="str">
        <f t="shared" si="195"/>
        <v>mmol/mol</v>
      </c>
      <c r="S4741" s="13">
        <f t="shared" si="196"/>
        <v>-0.63207630000000004</v>
      </c>
    </row>
    <row r="4742" spans="1:19">
      <c r="A4742" s="18" t="s">
        <v>4106</v>
      </c>
      <c r="B4742" s="1" t="s">
        <v>4907</v>
      </c>
      <c r="C4742" s="1" t="s">
        <v>639</v>
      </c>
      <c r="D4742" s="1" t="s">
        <v>5063</v>
      </c>
      <c r="E4742" s="1" t="s">
        <v>25</v>
      </c>
      <c r="F4742">
        <v>580</v>
      </c>
      <c r="G4742">
        <v>580</v>
      </c>
      <c r="H4742">
        <v>327</v>
      </c>
      <c r="I4742" s="1" t="s">
        <v>1528</v>
      </c>
      <c r="J4742" s="1" t="s">
        <v>1491</v>
      </c>
      <c r="K4742" s="1" t="s">
        <v>25</v>
      </c>
      <c r="L4742">
        <v>-0.49445729999999999</v>
      </c>
      <c r="M4742" t="str">
        <f t="shared" si="197"/>
        <v>44/40</v>
      </c>
      <c r="N4742" t="str">
        <f t="shared" si="198"/>
        <v>SW</v>
      </c>
      <c r="O4742" s="1" t="s">
        <v>25</v>
      </c>
      <c r="P4742" s="3" t="s">
        <v>25</v>
      </c>
      <c r="Q4742" s="37">
        <v>0.433901221</v>
      </c>
      <c r="R4742" t="str">
        <f t="shared" si="195"/>
        <v>mmol/mol</v>
      </c>
      <c r="S4742" s="13">
        <f t="shared" si="196"/>
        <v>-0.49445729999999999</v>
      </c>
    </row>
    <row r="4743" spans="1:19">
      <c r="A4743" s="18" t="s">
        <v>4106</v>
      </c>
      <c r="B4743" s="1" t="s">
        <v>4908</v>
      </c>
      <c r="C4743" s="1" t="s">
        <v>639</v>
      </c>
      <c r="D4743" s="1" t="s">
        <v>5063</v>
      </c>
      <c r="E4743" s="1" t="s">
        <v>25</v>
      </c>
      <c r="F4743">
        <v>580</v>
      </c>
      <c r="G4743">
        <v>580</v>
      </c>
      <c r="H4743">
        <v>327.60000000000002</v>
      </c>
      <c r="I4743" s="1" t="s">
        <v>1528</v>
      </c>
      <c r="J4743" s="1" t="s">
        <v>1491</v>
      </c>
      <c r="K4743" s="1" t="s">
        <v>25</v>
      </c>
      <c r="L4743">
        <v>-0.33696179999999998</v>
      </c>
      <c r="M4743" t="str">
        <f t="shared" si="197"/>
        <v>44/40</v>
      </c>
      <c r="N4743" t="str">
        <f t="shared" si="198"/>
        <v>SW</v>
      </c>
      <c r="O4743" s="1" t="s">
        <v>25</v>
      </c>
      <c r="P4743" s="3" t="s">
        <v>25</v>
      </c>
      <c r="Q4743" s="37">
        <v>0.37476671499999997</v>
      </c>
      <c r="R4743" t="str">
        <f t="shared" si="195"/>
        <v>mmol/mol</v>
      </c>
      <c r="S4743" s="13">
        <f t="shared" si="196"/>
        <v>-0.33696179999999998</v>
      </c>
    </row>
    <row r="4744" spans="1:19">
      <c r="A4744" s="18" t="s">
        <v>4106</v>
      </c>
      <c r="B4744" s="1" t="s">
        <v>4909</v>
      </c>
      <c r="C4744" s="1" t="s">
        <v>639</v>
      </c>
      <c r="D4744" s="1" t="s">
        <v>5063</v>
      </c>
      <c r="E4744" s="1" t="s">
        <v>25</v>
      </c>
      <c r="F4744">
        <v>580</v>
      </c>
      <c r="G4744">
        <v>580</v>
      </c>
      <c r="H4744">
        <v>330.3</v>
      </c>
      <c r="I4744" s="1" t="s">
        <v>1528</v>
      </c>
      <c r="J4744" s="1" t="s">
        <v>1491</v>
      </c>
      <c r="K4744" s="1" t="s">
        <v>25</v>
      </c>
      <c r="L4744">
        <v>-0.95556859999999999</v>
      </c>
      <c r="M4744" t="str">
        <f t="shared" si="197"/>
        <v>44/40</v>
      </c>
      <c r="N4744" t="str">
        <f t="shared" si="198"/>
        <v>SW</v>
      </c>
      <c r="O4744" s="1" t="s">
        <v>25</v>
      </c>
      <c r="P4744" s="3" t="s">
        <v>25</v>
      </c>
      <c r="Q4744" s="37">
        <v>0.23391630299999999</v>
      </c>
      <c r="R4744" t="str">
        <f t="shared" si="195"/>
        <v>mmol/mol</v>
      </c>
      <c r="S4744" s="13">
        <f t="shared" si="196"/>
        <v>-0.95556859999999999</v>
      </c>
    </row>
    <row r="4745" spans="1:19">
      <c r="A4745" s="18" t="s">
        <v>4106</v>
      </c>
      <c r="B4745" s="1" t="s">
        <v>4910</v>
      </c>
      <c r="C4745" s="1" t="s">
        <v>639</v>
      </c>
      <c r="D4745" s="1" t="s">
        <v>5063</v>
      </c>
      <c r="E4745" s="1" t="s">
        <v>25</v>
      </c>
      <c r="F4745">
        <v>580</v>
      </c>
      <c r="G4745">
        <v>580</v>
      </c>
      <c r="H4745">
        <v>333.8</v>
      </c>
      <c r="I4745" s="1" t="s">
        <v>1528</v>
      </c>
      <c r="J4745" s="1" t="s">
        <v>1491</v>
      </c>
      <c r="K4745" s="1" t="s">
        <v>25</v>
      </c>
      <c r="L4745">
        <v>-0.815917</v>
      </c>
      <c r="M4745" t="str">
        <f t="shared" si="197"/>
        <v>44/40</v>
      </c>
      <c r="N4745" t="str">
        <f t="shared" si="198"/>
        <v>SW</v>
      </c>
      <c r="O4745" s="1" t="s">
        <v>25</v>
      </c>
      <c r="P4745" s="3" t="s">
        <v>25</v>
      </c>
      <c r="Q4745" s="37">
        <v>0.30551198699999998</v>
      </c>
      <c r="R4745" t="str">
        <f t="shared" si="195"/>
        <v>mmol/mol</v>
      </c>
      <c r="S4745" s="13">
        <f t="shared" si="196"/>
        <v>-0.815917</v>
      </c>
    </row>
    <row r="4746" spans="1:19">
      <c r="A4746" s="18" t="s">
        <v>4106</v>
      </c>
      <c r="B4746" s="1" t="s">
        <v>4911</v>
      </c>
      <c r="C4746" s="1" t="s">
        <v>639</v>
      </c>
      <c r="D4746" s="1" t="s">
        <v>5063</v>
      </c>
      <c r="E4746" s="1" t="s">
        <v>25</v>
      </c>
      <c r="F4746">
        <v>580</v>
      </c>
      <c r="G4746">
        <v>580</v>
      </c>
      <c r="H4746">
        <v>336.3</v>
      </c>
      <c r="I4746" s="1" t="s">
        <v>1528</v>
      </c>
      <c r="J4746" s="1" t="s">
        <v>1491</v>
      </c>
      <c r="K4746" s="1" t="s">
        <v>25</v>
      </c>
      <c r="L4746">
        <v>-0.67400570000000004</v>
      </c>
      <c r="M4746" t="str">
        <f t="shared" si="197"/>
        <v>44/40</v>
      </c>
      <c r="N4746" t="str">
        <f t="shared" si="198"/>
        <v>SW</v>
      </c>
      <c r="O4746" s="1" t="s">
        <v>25</v>
      </c>
      <c r="P4746" s="3" t="s">
        <v>25</v>
      </c>
      <c r="Q4746" s="37">
        <v>0.32263881700000002</v>
      </c>
      <c r="R4746" t="str">
        <f t="shared" si="195"/>
        <v>mmol/mol</v>
      </c>
      <c r="S4746" s="13">
        <f t="shared" si="196"/>
        <v>-0.67400570000000004</v>
      </c>
    </row>
    <row r="4747" spans="1:19">
      <c r="A4747" s="18" t="s">
        <v>4106</v>
      </c>
      <c r="B4747" s="1" t="s">
        <v>4912</v>
      </c>
      <c r="C4747" s="1" t="s">
        <v>639</v>
      </c>
      <c r="D4747" s="1" t="s">
        <v>5063</v>
      </c>
      <c r="E4747" s="1" t="s">
        <v>25</v>
      </c>
      <c r="F4747">
        <v>580</v>
      </c>
      <c r="G4747">
        <v>580</v>
      </c>
      <c r="H4747">
        <v>336.9</v>
      </c>
      <c r="I4747" s="1" t="s">
        <v>1528</v>
      </c>
      <c r="J4747" s="1" t="s">
        <v>1491</v>
      </c>
      <c r="K4747" s="1" t="s">
        <v>25</v>
      </c>
      <c r="L4747">
        <v>-0.76640900000000001</v>
      </c>
      <c r="M4747" t="str">
        <f t="shared" si="197"/>
        <v>44/40</v>
      </c>
      <c r="N4747" t="str">
        <f t="shared" si="198"/>
        <v>SW</v>
      </c>
      <c r="O4747" s="1" t="s">
        <v>25</v>
      </c>
      <c r="P4747" s="3" t="s">
        <v>25</v>
      </c>
      <c r="Q4747" s="37">
        <v>0.206196765</v>
      </c>
      <c r="R4747" t="str">
        <f t="shared" si="195"/>
        <v>mmol/mol</v>
      </c>
      <c r="S4747" s="13">
        <f t="shared" si="196"/>
        <v>-0.76640900000000001</v>
      </c>
    </row>
    <row r="4748" spans="1:19">
      <c r="A4748" s="18" t="s">
        <v>4106</v>
      </c>
      <c r="B4748" s="1" t="s">
        <v>4913</v>
      </c>
      <c r="C4748" s="1" t="s">
        <v>639</v>
      </c>
      <c r="D4748" s="1" t="s">
        <v>5063</v>
      </c>
      <c r="E4748" s="1" t="s">
        <v>25</v>
      </c>
      <c r="F4748">
        <v>580</v>
      </c>
      <c r="G4748">
        <v>580</v>
      </c>
      <c r="H4748">
        <v>337.1</v>
      </c>
      <c r="I4748" s="1" t="s">
        <v>1528</v>
      </c>
      <c r="J4748" s="1" t="s">
        <v>1491</v>
      </c>
      <c r="K4748" s="1" t="s">
        <v>25</v>
      </c>
      <c r="L4748">
        <v>-0.64025449999999995</v>
      </c>
      <c r="M4748" t="str">
        <f t="shared" si="197"/>
        <v>44/40</v>
      </c>
      <c r="N4748" t="str">
        <f t="shared" si="198"/>
        <v>SW</v>
      </c>
      <c r="O4748" s="1" t="s">
        <v>25</v>
      </c>
      <c r="P4748" s="3" t="s">
        <v>25</v>
      </c>
      <c r="Q4748" s="37">
        <v>0.43356356200000001</v>
      </c>
      <c r="R4748" t="str">
        <f t="shared" si="195"/>
        <v>mmol/mol</v>
      </c>
      <c r="S4748" s="13">
        <f t="shared" si="196"/>
        <v>-0.64025449999999995</v>
      </c>
    </row>
    <row r="4749" spans="1:19">
      <c r="A4749" s="18" t="s">
        <v>4106</v>
      </c>
      <c r="B4749" s="1" t="s">
        <v>4914</v>
      </c>
      <c r="C4749" s="1" t="s">
        <v>639</v>
      </c>
      <c r="D4749" s="1" t="s">
        <v>5063</v>
      </c>
      <c r="E4749" s="1" t="s">
        <v>25</v>
      </c>
      <c r="F4749">
        <v>580</v>
      </c>
      <c r="G4749">
        <v>580</v>
      </c>
      <c r="H4749">
        <v>337.6</v>
      </c>
      <c r="I4749" s="1" t="s">
        <v>1528</v>
      </c>
      <c r="J4749" s="1" t="s">
        <v>1491</v>
      </c>
      <c r="K4749" s="1" t="s">
        <v>25</v>
      </c>
      <c r="L4749">
        <v>-0.67127870000000001</v>
      </c>
      <c r="M4749" t="str">
        <f t="shared" si="197"/>
        <v>44/40</v>
      </c>
      <c r="N4749" t="str">
        <f t="shared" si="198"/>
        <v>SW</v>
      </c>
      <c r="O4749" s="1" t="s">
        <v>25</v>
      </c>
      <c r="P4749" s="3" t="s">
        <v>25</v>
      </c>
      <c r="Q4749" s="37">
        <v>0.61195737500000003</v>
      </c>
      <c r="R4749" t="str">
        <f t="shared" si="195"/>
        <v>mmol/mol</v>
      </c>
      <c r="S4749" s="13">
        <f t="shared" si="196"/>
        <v>-0.67127870000000001</v>
      </c>
    </row>
    <row r="4750" spans="1:19">
      <c r="A4750" s="18" t="s">
        <v>4106</v>
      </c>
      <c r="B4750" s="1" t="s">
        <v>4915</v>
      </c>
      <c r="C4750" s="1" t="s">
        <v>639</v>
      </c>
      <c r="D4750" s="1" t="s">
        <v>5063</v>
      </c>
      <c r="E4750" s="1" t="s">
        <v>25</v>
      </c>
      <c r="F4750">
        <v>580</v>
      </c>
      <c r="G4750">
        <v>580</v>
      </c>
      <c r="H4750">
        <v>342.1</v>
      </c>
      <c r="I4750" s="1" t="s">
        <v>1528</v>
      </c>
      <c r="J4750" s="1" t="s">
        <v>1491</v>
      </c>
      <c r="K4750" s="1" t="s">
        <v>25</v>
      </c>
      <c r="L4750">
        <v>-0.67735509999999999</v>
      </c>
      <c r="M4750" t="str">
        <f t="shared" si="197"/>
        <v>44/40</v>
      </c>
      <c r="N4750" t="str">
        <f t="shared" si="198"/>
        <v>SW</v>
      </c>
      <c r="O4750" s="1" t="s">
        <v>25</v>
      </c>
      <c r="P4750" s="3" t="s">
        <v>25</v>
      </c>
      <c r="Q4750" s="37">
        <v>0.68533899700000001</v>
      </c>
      <c r="R4750" t="str">
        <f t="shared" si="195"/>
        <v>mmol/mol</v>
      </c>
      <c r="S4750" s="13">
        <f t="shared" si="196"/>
        <v>-0.67735509999999999</v>
      </c>
    </row>
    <row r="4751" spans="1:19">
      <c r="A4751" s="18" t="s">
        <v>4106</v>
      </c>
      <c r="B4751" s="1" t="s">
        <v>4916</v>
      </c>
      <c r="C4751" s="1" t="s">
        <v>639</v>
      </c>
      <c r="D4751" s="1" t="s">
        <v>5063</v>
      </c>
      <c r="E4751" s="1" t="s">
        <v>25</v>
      </c>
      <c r="F4751">
        <v>580</v>
      </c>
      <c r="G4751">
        <v>580</v>
      </c>
      <c r="H4751">
        <v>343</v>
      </c>
      <c r="I4751" s="1" t="s">
        <v>1528</v>
      </c>
      <c r="J4751" s="1" t="s">
        <v>1491</v>
      </c>
      <c r="K4751" s="1" t="s">
        <v>25</v>
      </c>
      <c r="L4751">
        <v>-0.84415799999999996</v>
      </c>
      <c r="M4751" t="str">
        <f t="shared" si="197"/>
        <v>44/40</v>
      </c>
      <c r="N4751" t="str">
        <f t="shared" si="198"/>
        <v>SW</v>
      </c>
      <c r="O4751" s="1" t="s">
        <v>25</v>
      </c>
      <c r="P4751" s="3" t="s">
        <v>25</v>
      </c>
      <c r="Q4751" s="37">
        <v>0.72563215700000006</v>
      </c>
      <c r="R4751" t="str">
        <f t="shared" si="195"/>
        <v>mmol/mol</v>
      </c>
      <c r="S4751" s="13">
        <f t="shared" si="196"/>
        <v>-0.84415799999999996</v>
      </c>
    </row>
    <row r="4752" spans="1:19">
      <c r="A4752" s="18" t="s">
        <v>4106</v>
      </c>
      <c r="B4752" s="1" t="s">
        <v>4917</v>
      </c>
      <c r="C4752" s="1" t="s">
        <v>639</v>
      </c>
      <c r="D4752" s="1" t="s">
        <v>5063</v>
      </c>
      <c r="E4752" s="1" t="s">
        <v>25</v>
      </c>
      <c r="F4752">
        <v>580</v>
      </c>
      <c r="G4752">
        <v>580</v>
      </c>
      <c r="H4752">
        <v>430.6</v>
      </c>
      <c r="I4752" s="1" t="s">
        <v>1528</v>
      </c>
      <c r="J4752" s="1" t="s">
        <v>1336</v>
      </c>
      <c r="K4752" s="1" t="s">
        <v>25</v>
      </c>
      <c r="L4752">
        <v>-0.96520220000000001</v>
      </c>
      <c r="M4752" t="str">
        <f t="shared" si="197"/>
        <v>44/40</v>
      </c>
      <c r="N4752" t="str">
        <f t="shared" si="198"/>
        <v>SW</v>
      </c>
      <c r="O4752" s="1" t="s">
        <v>25</v>
      </c>
      <c r="P4752" s="3" t="s">
        <v>25</v>
      </c>
      <c r="Q4752" s="37">
        <v>0.191124763</v>
      </c>
      <c r="R4752" t="str">
        <f t="shared" si="195"/>
        <v>mmol/mol</v>
      </c>
      <c r="S4752" s="13">
        <f t="shared" si="196"/>
        <v>-0.96520220000000001</v>
      </c>
    </row>
    <row r="4753" spans="1:19">
      <c r="A4753" s="18" t="s">
        <v>4106</v>
      </c>
      <c r="B4753" s="1" t="s">
        <v>4918</v>
      </c>
      <c r="C4753" s="1" t="s">
        <v>639</v>
      </c>
      <c r="D4753" s="1" t="s">
        <v>5063</v>
      </c>
      <c r="E4753" s="1" t="s">
        <v>25</v>
      </c>
      <c r="F4753">
        <v>580</v>
      </c>
      <c r="G4753">
        <v>580</v>
      </c>
      <c r="H4753">
        <v>435.3</v>
      </c>
      <c r="I4753" s="1" t="s">
        <v>1528</v>
      </c>
      <c r="J4753" s="1" t="s">
        <v>1336</v>
      </c>
      <c r="K4753" s="1" t="s">
        <v>25</v>
      </c>
      <c r="L4753">
        <v>-0.95526979999999995</v>
      </c>
      <c r="M4753" t="str">
        <f t="shared" si="197"/>
        <v>44/40</v>
      </c>
      <c r="N4753" t="str">
        <f t="shared" si="198"/>
        <v>SW</v>
      </c>
      <c r="O4753" s="1" t="s">
        <v>25</v>
      </c>
      <c r="P4753" s="3" t="s">
        <v>25</v>
      </c>
      <c r="Q4753" s="37">
        <v>0.36767819800000001</v>
      </c>
      <c r="R4753" t="str">
        <f t="shared" si="195"/>
        <v>mmol/mol</v>
      </c>
      <c r="S4753" s="13">
        <f t="shared" si="196"/>
        <v>-0.95526979999999995</v>
      </c>
    </row>
    <row r="4754" spans="1:19">
      <c r="A4754" s="18" t="s">
        <v>4106</v>
      </c>
      <c r="B4754" s="1" t="s">
        <v>4919</v>
      </c>
      <c r="C4754" s="1" t="s">
        <v>639</v>
      </c>
      <c r="D4754" s="1" t="s">
        <v>5063</v>
      </c>
      <c r="E4754" s="1" t="s">
        <v>25</v>
      </c>
      <c r="F4754">
        <v>580</v>
      </c>
      <c r="G4754">
        <v>580</v>
      </c>
      <c r="H4754">
        <v>442.3</v>
      </c>
      <c r="I4754" s="1" t="s">
        <v>1528</v>
      </c>
      <c r="J4754" s="1" t="s">
        <v>1336</v>
      </c>
      <c r="K4754" s="1" t="s">
        <v>25</v>
      </c>
      <c r="L4754">
        <v>-0.9462062</v>
      </c>
      <c r="M4754" t="str">
        <f t="shared" si="197"/>
        <v>44/40</v>
      </c>
      <c r="N4754" t="str">
        <f t="shared" si="198"/>
        <v>SW</v>
      </c>
      <c r="O4754" s="1" t="s">
        <v>25</v>
      </c>
      <c r="P4754" s="3" t="s">
        <v>25</v>
      </c>
      <c r="Q4754" s="37">
        <v>0.233373046</v>
      </c>
      <c r="R4754" t="str">
        <f t="shared" si="195"/>
        <v>mmol/mol</v>
      </c>
      <c r="S4754" s="13">
        <f t="shared" si="196"/>
        <v>-0.9462062</v>
      </c>
    </row>
    <row r="4755" spans="1:19">
      <c r="A4755" s="18" t="s">
        <v>4106</v>
      </c>
      <c r="B4755" s="1" t="s">
        <v>4920</v>
      </c>
      <c r="C4755" s="1" t="s">
        <v>639</v>
      </c>
      <c r="D4755" s="1" t="s">
        <v>5063</v>
      </c>
      <c r="E4755" s="1" t="s">
        <v>25</v>
      </c>
      <c r="F4755">
        <v>580</v>
      </c>
      <c r="G4755">
        <v>580</v>
      </c>
      <c r="H4755">
        <v>490.7</v>
      </c>
      <c r="I4755" s="1" t="s">
        <v>1528</v>
      </c>
      <c r="J4755" s="1" t="s">
        <v>1336</v>
      </c>
      <c r="K4755" s="1" t="s">
        <v>25</v>
      </c>
      <c r="L4755">
        <v>-0.90959449999999997</v>
      </c>
      <c r="M4755" t="str">
        <f t="shared" si="197"/>
        <v>44/40</v>
      </c>
      <c r="N4755" t="str">
        <f t="shared" si="198"/>
        <v>SW</v>
      </c>
      <c r="O4755" s="1" t="s">
        <v>25</v>
      </c>
      <c r="P4755" s="3" t="s">
        <v>25</v>
      </c>
      <c r="Q4755" s="37">
        <v>0.210372857</v>
      </c>
      <c r="R4755" t="str">
        <f t="shared" si="195"/>
        <v>mmol/mol</v>
      </c>
      <c r="S4755" s="13">
        <f t="shared" si="196"/>
        <v>-0.90959449999999997</v>
      </c>
    </row>
    <row r="4756" spans="1:19">
      <c r="A4756" s="18" t="s">
        <v>4106</v>
      </c>
      <c r="B4756" s="1" t="s">
        <v>4921</v>
      </c>
      <c r="C4756" s="1" t="s">
        <v>639</v>
      </c>
      <c r="D4756" s="1" t="s">
        <v>5063</v>
      </c>
      <c r="E4756" s="1" t="s">
        <v>25</v>
      </c>
      <c r="F4756">
        <v>580</v>
      </c>
      <c r="G4756">
        <v>580</v>
      </c>
      <c r="H4756">
        <v>502.2</v>
      </c>
      <c r="I4756" s="1" t="s">
        <v>1528</v>
      </c>
      <c r="J4756" s="1" t="s">
        <v>1336</v>
      </c>
      <c r="K4756" s="1" t="s">
        <v>25</v>
      </c>
      <c r="L4756">
        <v>-1.0091296000000001</v>
      </c>
      <c r="M4756" t="str">
        <f t="shared" si="197"/>
        <v>44/40</v>
      </c>
      <c r="N4756" t="str">
        <f t="shared" si="198"/>
        <v>SW</v>
      </c>
      <c r="O4756" s="1" t="s">
        <v>25</v>
      </c>
      <c r="P4756" s="3" t="s">
        <v>25</v>
      </c>
      <c r="Q4756" s="37">
        <v>0.23784021999999999</v>
      </c>
      <c r="R4756" t="str">
        <f t="shared" si="195"/>
        <v>mmol/mol</v>
      </c>
      <c r="S4756" s="13">
        <f t="shared" si="196"/>
        <v>-1.0091296000000001</v>
      </c>
    </row>
    <row r="4757" spans="1:19">
      <c r="A4757" s="18" t="s">
        <v>4106</v>
      </c>
      <c r="B4757" s="1" t="s">
        <v>4922</v>
      </c>
      <c r="C4757" s="1" t="s">
        <v>639</v>
      </c>
      <c r="D4757" s="1" t="s">
        <v>5063</v>
      </c>
      <c r="E4757" s="1" t="s">
        <v>25</v>
      </c>
      <c r="F4757">
        <v>580</v>
      </c>
      <c r="G4757">
        <v>580</v>
      </c>
      <c r="H4757">
        <v>508.1</v>
      </c>
      <c r="I4757" s="1" t="s">
        <v>1528</v>
      </c>
      <c r="J4757" s="1" t="s">
        <v>1336</v>
      </c>
      <c r="K4757" s="1" t="s">
        <v>25</v>
      </c>
      <c r="L4757">
        <v>-0.92669840000000003</v>
      </c>
      <c r="M4757" t="str">
        <f t="shared" si="197"/>
        <v>44/40</v>
      </c>
      <c r="N4757" t="str">
        <f t="shared" si="198"/>
        <v>SW</v>
      </c>
      <c r="O4757" s="1" t="s">
        <v>25</v>
      </c>
      <c r="P4757" s="3" t="s">
        <v>25</v>
      </c>
      <c r="Q4757" s="37">
        <v>0.27496290600000001</v>
      </c>
      <c r="R4757" t="str">
        <f t="shared" si="195"/>
        <v>mmol/mol</v>
      </c>
      <c r="S4757" s="13">
        <f t="shared" si="196"/>
        <v>-0.92669840000000003</v>
      </c>
    </row>
    <row r="4758" spans="1:19">
      <c r="A4758" s="18" t="s">
        <v>4106</v>
      </c>
      <c r="B4758" s="1" t="s">
        <v>4923</v>
      </c>
      <c r="C4758" s="1" t="s">
        <v>639</v>
      </c>
      <c r="D4758" s="1" t="s">
        <v>5063</v>
      </c>
      <c r="E4758" s="1" t="s">
        <v>25</v>
      </c>
      <c r="F4758">
        <v>580</v>
      </c>
      <c r="G4758">
        <v>580</v>
      </c>
      <c r="H4758">
        <v>509.6</v>
      </c>
      <c r="I4758" s="1" t="s">
        <v>1528</v>
      </c>
      <c r="J4758" s="1" t="s">
        <v>1336</v>
      </c>
      <c r="K4758" s="1" t="s">
        <v>25</v>
      </c>
      <c r="L4758">
        <v>-0.90678930000000002</v>
      </c>
      <c r="M4758" t="str">
        <f t="shared" si="197"/>
        <v>44/40</v>
      </c>
      <c r="N4758" t="str">
        <f t="shared" si="198"/>
        <v>SW</v>
      </c>
      <c r="O4758" s="1" t="s">
        <v>25</v>
      </c>
      <c r="P4758" s="3" t="s">
        <v>25</v>
      </c>
      <c r="Q4758" s="37">
        <v>0.28069496300000002</v>
      </c>
      <c r="R4758" t="str">
        <f t="shared" si="195"/>
        <v>mmol/mol</v>
      </c>
      <c r="S4758" s="13">
        <f t="shared" si="196"/>
        <v>-0.90678930000000002</v>
      </c>
    </row>
    <row r="4759" spans="1:19">
      <c r="A4759" s="18" t="s">
        <v>4106</v>
      </c>
      <c r="B4759" s="1" t="s">
        <v>4924</v>
      </c>
      <c r="C4759" s="1" t="s">
        <v>639</v>
      </c>
      <c r="D4759" s="1" t="s">
        <v>5063</v>
      </c>
      <c r="E4759" s="1" t="s">
        <v>25</v>
      </c>
      <c r="F4759">
        <v>580</v>
      </c>
      <c r="G4759">
        <v>580</v>
      </c>
      <c r="H4759">
        <v>512</v>
      </c>
      <c r="I4759" s="1" t="s">
        <v>1528</v>
      </c>
      <c r="J4759" s="1" t="s">
        <v>1336</v>
      </c>
      <c r="K4759" s="1" t="s">
        <v>25</v>
      </c>
      <c r="L4759">
        <v>-0.89839150000000001</v>
      </c>
      <c r="M4759" t="str">
        <f t="shared" si="197"/>
        <v>44/40</v>
      </c>
      <c r="N4759" t="str">
        <f t="shared" si="198"/>
        <v>SW</v>
      </c>
      <c r="O4759" s="1" t="s">
        <v>25</v>
      </c>
      <c r="P4759" s="3" t="s">
        <v>25</v>
      </c>
      <c r="Q4759" s="37">
        <v>0.244343581</v>
      </c>
      <c r="R4759" t="str">
        <f t="shared" si="195"/>
        <v>mmol/mol</v>
      </c>
      <c r="S4759" s="13">
        <f t="shared" si="196"/>
        <v>-0.89839150000000001</v>
      </c>
    </row>
    <row r="4760" spans="1:19">
      <c r="A4760" s="18" t="s">
        <v>4106</v>
      </c>
      <c r="B4760" s="1" t="s">
        <v>4925</v>
      </c>
      <c r="C4760" s="1" t="s">
        <v>639</v>
      </c>
      <c r="D4760" s="1" t="s">
        <v>5063</v>
      </c>
      <c r="E4760" s="1" t="s">
        <v>25</v>
      </c>
      <c r="F4760">
        <v>580</v>
      </c>
      <c r="G4760">
        <v>580</v>
      </c>
      <c r="H4760">
        <v>516.6</v>
      </c>
      <c r="I4760" s="1" t="s">
        <v>1528</v>
      </c>
      <c r="J4760" s="1" t="s">
        <v>1336</v>
      </c>
      <c r="K4760" s="1" t="s">
        <v>25</v>
      </c>
      <c r="L4760">
        <v>-0.98009950000000001</v>
      </c>
      <c r="M4760" t="str">
        <f t="shared" si="197"/>
        <v>44/40</v>
      </c>
      <c r="N4760" t="str">
        <f t="shared" si="198"/>
        <v>SW</v>
      </c>
      <c r="O4760" s="1" t="s">
        <v>25</v>
      </c>
      <c r="P4760" s="3" t="s">
        <v>25</v>
      </c>
      <c r="Q4760" s="37">
        <v>0.202905113</v>
      </c>
      <c r="R4760" t="str">
        <f t="shared" si="195"/>
        <v>mmol/mol</v>
      </c>
      <c r="S4760" s="13">
        <f t="shared" si="196"/>
        <v>-0.98009950000000001</v>
      </c>
    </row>
    <row r="4761" spans="1:19">
      <c r="A4761" s="18" t="s">
        <v>4106</v>
      </c>
      <c r="B4761" s="1" t="s">
        <v>4926</v>
      </c>
      <c r="C4761" s="1" t="s">
        <v>639</v>
      </c>
      <c r="D4761" s="1" t="s">
        <v>5063</v>
      </c>
      <c r="E4761" s="1" t="s">
        <v>25</v>
      </c>
      <c r="F4761">
        <v>580</v>
      </c>
      <c r="G4761">
        <v>580</v>
      </c>
      <c r="H4761">
        <v>578.29999999999995</v>
      </c>
      <c r="I4761" s="1" t="s">
        <v>1528</v>
      </c>
      <c r="J4761" s="1" t="s">
        <v>1336</v>
      </c>
      <c r="K4761" s="1" t="s">
        <v>25</v>
      </c>
      <c r="L4761">
        <v>-0.93546370000000001</v>
      </c>
      <c r="M4761" t="str">
        <f t="shared" si="197"/>
        <v>44/40</v>
      </c>
      <c r="N4761" t="str">
        <f t="shared" si="198"/>
        <v>SW</v>
      </c>
      <c r="O4761" s="1" t="s">
        <v>25</v>
      </c>
      <c r="P4761" s="3" t="s">
        <v>25</v>
      </c>
      <c r="Q4761" s="37">
        <v>0.25820593800000002</v>
      </c>
      <c r="R4761" t="str">
        <f t="shared" ref="R4761:R4824" si="199">IF(Q4761="Na","Na","mmol/mol")</f>
        <v>mmol/mol</v>
      </c>
      <c r="S4761" s="13">
        <f t="shared" si="196"/>
        <v>-0.93546370000000001</v>
      </c>
    </row>
    <row r="4762" spans="1:19">
      <c r="A4762" s="18" t="s">
        <v>4106</v>
      </c>
      <c r="B4762" s="1" t="s">
        <v>4927</v>
      </c>
      <c r="C4762" s="1" t="s">
        <v>639</v>
      </c>
      <c r="D4762" s="1" t="s">
        <v>5063</v>
      </c>
      <c r="E4762" s="1" t="s">
        <v>25</v>
      </c>
      <c r="F4762">
        <v>580</v>
      </c>
      <c r="G4762">
        <v>580</v>
      </c>
      <c r="H4762">
        <v>584.29999999999995</v>
      </c>
      <c r="I4762" s="1" t="s">
        <v>1528</v>
      </c>
      <c r="J4762" s="1" t="s">
        <v>1336</v>
      </c>
      <c r="K4762" s="1" t="s">
        <v>25</v>
      </c>
      <c r="L4762">
        <v>-0.89389379999999996</v>
      </c>
      <c r="M4762" t="str">
        <f t="shared" si="197"/>
        <v>44/40</v>
      </c>
      <c r="N4762" t="str">
        <f t="shared" si="198"/>
        <v>SW</v>
      </c>
      <c r="O4762" s="1" t="s">
        <v>25</v>
      </c>
      <c r="P4762" s="3" t="s">
        <v>25</v>
      </c>
      <c r="Q4762" s="37">
        <v>0.28995668499999999</v>
      </c>
      <c r="R4762" t="str">
        <f t="shared" si="199"/>
        <v>mmol/mol</v>
      </c>
      <c r="S4762" s="13">
        <f t="shared" si="196"/>
        <v>-0.89389379999999996</v>
      </c>
    </row>
    <row r="4763" spans="1:19">
      <c r="A4763" s="18" t="s">
        <v>4106</v>
      </c>
      <c r="B4763" s="1" t="s">
        <v>4928</v>
      </c>
      <c r="C4763" s="1" t="s">
        <v>639</v>
      </c>
      <c r="D4763" s="1" t="s">
        <v>5063</v>
      </c>
      <c r="E4763" s="1" t="s">
        <v>25</v>
      </c>
      <c r="F4763">
        <v>580</v>
      </c>
      <c r="G4763">
        <v>580</v>
      </c>
      <c r="H4763">
        <v>602.5</v>
      </c>
      <c r="I4763" s="1" t="s">
        <v>1528</v>
      </c>
      <c r="J4763" s="1" t="s">
        <v>1336</v>
      </c>
      <c r="K4763" s="1" t="s">
        <v>25</v>
      </c>
      <c r="L4763">
        <v>-0.75085539999999995</v>
      </c>
      <c r="M4763" t="str">
        <f t="shared" si="197"/>
        <v>44/40</v>
      </c>
      <c r="N4763" t="str">
        <f t="shared" si="198"/>
        <v>SW</v>
      </c>
      <c r="O4763" s="1" t="s">
        <v>25</v>
      </c>
      <c r="P4763" s="3" t="s">
        <v>25</v>
      </c>
      <c r="Q4763" s="37">
        <v>0.646818597</v>
      </c>
      <c r="R4763" t="str">
        <f t="shared" si="199"/>
        <v>mmol/mol</v>
      </c>
      <c r="S4763" s="13">
        <f t="shared" si="196"/>
        <v>-0.75085539999999995</v>
      </c>
    </row>
    <row r="4764" spans="1:19">
      <c r="A4764" s="18" t="s">
        <v>4106</v>
      </c>
      <c r="B4764" s="1" t="s">
        <v>4929</v>
      </c>
      <c r="C4764" s="1" t="s">
        <v>639</v>
      </c>
      <c r="D4764" s="1" t="s">
        <v>5063</v>
      </c>
      <c r="E4764" s="1" t="s">
        <v>25</v>
      </c>
      <c r="F4764">
        <v>580</v>
      </c>
      <c r="G4764">
        <v>580</v>
      </c>
      <c r="H4764">
        <v>614.29999999999995</v>
      </c>
      <c r="I4764" s="1" t="s">
        <v>1528</v>
      </c>
      <c r="J4764" s="1" t="s">
        <v>1336</v>
      </c>
      <c r="K4764" s="1" t="s">
        <v>25</v>
      </c>
      <c r="L4764">
        <v>-0.86994830000000001</v>
      </c>
      <c r="M4764" t="str">
        <f t="shared" si="197"/>
        <v>44/40</v>
      </c>
      <c r="N4764" t="str">
        <f t="shared" si="198"/>
        <v>SW</v>
      </c>
      <c r="O4764" s="1" t="s">
        <v>25</v>
      </c>
      <c r="P4764" s="3" t="s">
        <v>25</v>
      </c>
      <c r="Q4764" s="37">
        <v>0.22094877800000001</v>
      </c>
      <c r="R4764" t="str">
        <f t="shared" si="199"/>
        <v>mmol/mol</v>
      </c>
      <c r="S4764" s="13">
        <f t="shared" si="196"/>
        <v>-0.86994830000000001</v>
      </c>
    </row>
    <row r="4765" spans="1:19">
      <c r="A4765" s="18" t="s">
        <v>4106</v>
      </c>
      <c r="B4765" s="1" t="s">
        <v>4930</v>
      </c>
      <c r="C4765" s="1" t="s">
        <v>639</v>
      </c>
      <c r="D4765" s="1" t="s">
        <v>5063</v>
      </c>
      <c r="E4765" s="1" t="s">
        <v>25</v>
      </c>
      <c r="F4765">
        <v>580</v>
      </c>
      <c r="G4765">
        <v>580</v>
      </c>
      <c r="H4765">
        <v>631.79999999999995</v>
      </c>
      <c r="I4765" s="1" t="s">
        <v>1528</v>
      </c>
      <c r="J4765" s="1" t="s">
        <v>1336</v>
      </c>
      <c r="K4765" s="1" t="s">
        <v>25</v>
      </c>
      <c r="L4765">
        <v>-0.81180090000000005</v>
      </c>
      <c r="M4765" t="str">
        <f t="shared" si="197"/>
        <v>44/40</v>
      </c>
      <c r="N4765" t="str">
        <f t="shared" si="198"/>
        <v>SW</v>
      </c>
      <c r="O4765" s="1" t="s">
        <v>25</v>
      </c>
      <c r="P4765" s="3" t="s">
        <v>25</v>
      </c>
      <c r="Q4765" s="37">
        <v>0.402627491</v>
      </c>
      <c r="R4765" t="str">
        <f t="shared" si="199"/>
        <v>mmol/mol</v>
      </c>
      <c r="S4765" s="13">
        <f t="shared" si="196"/>
        <v>-0.81180090000000005</v>
      </c>
    </row>
    <row r="4766" spans="1:19">
      <c r="A4766" s="18" t="s">
        <v>4106</v>
      </c>
      <c r="B4766" s="1" t="s">
        <v>4931</v>
      </c>
      <c r="C4766" s="1" t="s">
        <v>639</v>
      </c>
      <c r="D4766" s="1" t="s">
        <v>5063</v>
      </c>
      <c r="E4766" s="1" t="s">
        <v>25</v>
      </c>
      <c r="F4766">
        <v>580</v>
      </c>
      <c r="G4766">
        <v>580</v>
      </c>
      <c r="H4766">
        <v>687.9</v>
      </c>
      <c r="I4766" s="1" t="s">
        <v>1528</v>
      </c>
      <c r="J4766" s="1" t="s">
        <v>1336</v>
      </c>
      <c r="K4766" s="1" t="s">
        <v>25</v>
      </c>
      <c r="L4766">
        <v>-0.96360840000000003</v>
      </c>
      <c r="M4766" t="str">
        <f t="shared" si="197"/>
        <v>44/40</v>
      </c>
      <c r="N4766" t="str">
        <f t="shared" si="198"/>
        <v>SW</v>
      </c>
      <c r="O4766" s="1" t="s">
        <v>25</v>
      </c>
      <c r="P4766" s="3" t="s">
        <v>25</v>
      </c>
      <c r="Q4766" s="37">
        <v>1.0110917239999999</v>
      </c>
      <c r="R4766" t="str">
        <f t="shared" si="199"/>
        <v>mmol/mol</v>
      </c>
      <c r="S4766" s="13">
        <f t="shared" si="196"/>
        <v>-0.96360840000000003</v>
      </c>
    </row>
    <row r="4767" spans="1:19">
      <c r="A4767" s="18" t="s">
        <v>4106</v>
      </c>
      <c r="B4767" s="1" t="s">
        <v>4932</v>
      </c>
      <c r="C4767" s="1" t="s">
        <v>639</v>
      </c>
      <c r="D4767" s="1" t="s">
        <v>5063</v>
      </c>
      <c r="E4767" s="1" t="s">
        <v>25</v>
      </c>
      <c r="F4767">
        <v>580</v>
      </c>
      <c r="G4767">
        <v>580</v>
      </c>
      <c r="H4767">
        <v>758.8</v>
      </c>
      <c r="I4767" s="1" t="s">
        <v>1528</v>
      </c>
      <c r="J4767" s="1" t="s">
        <v>1336</v>
      </c>
      <c r="K4767" s="1" t="s">
        <v>25</v>
      </c>
      <c r="L4767">
        <v>-1.2182143999999999</v>
      </c>
      <c r="M4767" t="str">
        <f t="shared" si="197"/>
        <v>44/40</v>
      </c>
      <c r="N4767" t="str">
        <f t="shared" si="198"/>
        <v>SW</v>
      </c>
      <c r="O4767" s="1" t="s">
        <v>25</v>
      </c>
      <c r="P4767" s="3" t="s">
        <v>25</v>
      </c>
      <c r="Q4767" s="37">
        <v>1.052869834</v>
      </c>
      <c r="R4767" t="str">
        <f t="shared" si="199"/>
        <v>mmol/mol</v>
      </c>
      <c r="S4767" s="13">
        <f t="shared" si="196"/>
        <v>-1.2182143999999999</v>
      </c>
    </row>
    <row r="4768" spans="1:19">
      <c r="A4768" s="18" t="s">
        <v>4106</v>
      </c>
      <c r="B4768" s="1" t="s">
        <v>4933</v>
      </c>
      <c r="C4768" s="1" t="s">
        <v>639</v>
      </c>
      <c r="D4768" s="1" t="s">
        <v>5063</v>
      </c>
      <c r="E4768" s="1" t="s">
        <v>25</v>
      </c>
      <c r="F4768">
        <v>580</v>
      </c>
      <c r="G4768">
        <v>580</v>
      </c>
      <c r="H4768">
        <v>778.3</v>
      </c>
      <c r="I4768" s="1" t="s">
        <v>1528</v>
      </c>
      <c r="J4768" s="1" t="s">
        <v>1336</v>
      </c>
      <c r="K4768" s="1" t="s">
        <v>25</v>
      </c>
      <c r="L4768">
        <v>-1.1206394</v>
      </c>
      <c r="M4768" t="str">
        <f t="shared" si="197"/>
        <v>44/40</v>
      </c>
      <c r="N4768" t="str">
        <f t="shared" si="198"/>
        <v>SW</v>
      </c>
      <c r="O4768" s="1" t="s">
        <v>25</v>
      </c>
      <c r="P4768" s="3" t="s">
        <v>25</v>
      </c>
      <c r="Q4768" s="37">
        <v>1.078384687</v>
      </c>
      <c r="R4768" t="str">
        <f t="shared" si="199"/>
        <v>mmol/mol</v>
      </c>
      <c r="S4768" s="13">
        <f t="shared" si="196"/>
        <v>-1.1206394</v>
      </c>
    </row>
    <row r="4769" spans="1:19">
      <c r="A4769" s="18" t="s">
        <v>4106</v>
      </c>
      <c r="B4769" s="1" t="s">
        <v>4934</v>
      </c>
      <c r="C4769" s="1" t="s">
        <v>639</v>
      </c>
      <c r="D4769" s="1" t="s">
        <v>5063</v>
      </c>
      <c r="E4769" s="1" t="s">
        <v>25</v>
      </c>
      <c r="F4769">
        <v>580</v>
      </c>
      <c r="G4769">
        <v>580</v>
      </c>
      <c r="H4769">
        <v>791.3</v>
      </c>
      <c r="I4769" s="1" t="s">
        <v>1528</v>
      </c>
      <c r="J4769" s="1" t="s">
        <v>1336</v>
      </c>
      <c r="K4769" s="1" t="s">
        <v>25</v>
      </c>
      <c r="L4769">
        <v>-1.2188572</v>
      </c>
      <c r="M4769" t="str">
        <f t="shared" si="197"/>
        <v>44/40</v>
      </c>
      <c r="N4769" t="str">
        <f t="shared" si="198"/>
        <v>SW</v>
      </c>
      <c r="O4769" s="1" t="s">
        <v>25</v>
      </c>
      <c r="P4769" s="3" t="s">
        <v>25</v>
      </c>
      <c r="Q4769" s="37">
        <v>0.57321129299999996</v>
      </c>
      <c r="R4769" t="str">
        <f t="shared" si="199"/>
        <v>mmol/mol</v>
      </c>
      <c r="S4769" s="13">
        <f t="shared" si="196"/>
        <v>-1.2188572</v>
      </c>
    </row>
    <row r="4770" spans="1:19">
      <c r="A4770" s="18" t="s">
        <v>4106</v>
      </c>
      <c r="B4770" s="1" t="s">
        <v>4935</v>
      </c>
      <c r="C4770" s="1" t="s">
        <v>639</v>
      </c>
      <c r="D4770" s="1" t="s">
        <v>5063</v>
      </c>
      <c r="E4770" s="1" t="s">
        <v>25</v>
      </c>
      <c r="F4770">
        <v>580</v>
      </c>
      <c r="G4770">
        <v>580</v>
      </c>
      <c r="H4770">
        <v>798.8</v>
      </c>
      <c r="I4770" s="1" t="s">
        <v>1528</v>
      </c>
      <c r="J4770" s="1" t="s">
        <v>1336</v>
      </c>
      <c r="K4770" s="1" t="s">
        <v>25</v>
      </c>
      <c r="L4770">
        <v>-1.3941307999999999</v>
      </c>
      <c r="M4770" t="str">
        <f t="shared" si="197"/>
        <v>44/40</v>
      </c>
      <c r="N4770" t="str">
        <f t="shared" si="198"/>
        <v>SW</v>
      </c>
      <c r="O4770" s="1" t="s">
        <v>25</v>
      </c>
      <c r="P4770" s="3" t="s">
        <v>25</v>
      </c>
      <c r="Q4770" s="37">
        <v>0.83847410499999997</v>
      </c>
      <c r="R4770" t="str">
        <f t="shared" si="199"/>
        <v>mmol/mol</v>
      </c>
      <c r="S4770" s="13">
        <f t="shared" si="196"/>
        <v>-1.3941307999999999</v>
      </c>
    </row>
    <row r="4771" spans="1:19">
      <c r="A4771" s="18" t="s">
        <v>4106</v>
      </c>
      <c r="B4771" s="1" t="s">
        <v>4936</v>
      </c>
      <c r="C4771" s="1" t="s">
        <v>639</v>
      </c>
      <c r="D4771" s="1" t="s">
        <v>5063</v>
      </c>
      <c r="E4771" s="1" t="s">
        <v>25</v>
      </c>
      <c r="F4771">
        <v>580</v>
      </c>
      <c r="G4771">
        <v>580</v>
      </c>
      <c r="H4771">
        <v>800.8</v>
      </c>
      <c r="I4771" s="1" t="s">
        <v>1528</v>
      </c>
      <c r="J4771" s="1" t="s">
        <v>1336</v>
      </c>
      <c r="K4771" s="1" t="s">
        <v>25</v>
      </c>
      <c r="L4771">
        <v>-1.0197574</v>
      </c>
      <c r="M4771" t="str">
        <f t="shared" si="197"/>
        <v>44/40</v>
      </c>
      <c r="N4771" t="str">
        <f t="shared" si="198"/>
        <v>SW</v>
      </c>
      <c r="O4771" s="1" t="s">
        <v>25</v>
      </c>
      <c r="P4771" s="3" t="s">
        <v>25</v>
      </c>
      <c r="Q4771" s="37">
        <v>0.69289293500000004</v>
      </c>
      <c r="R4771" t="str">
        <f t="shared" si="199"/>
        <v>mmol/mol</v>
      </c>
      <c r="S4771" s="13">
        <f t="shared" si="196"/>
        <v>-1.0197574</v>
      </c>
    </row>
    <row r="4772" spans="1:19">
      <c r="A4772" s="18" t="s">
        <v>4106</v>
      </c>
      <c r="B4772" s="1" t="s">
        <v>4936</v>
      </c>
      <c r="C4772" s="1" t="s">
        <v>639</v>
      </c>
      <c r="D4772" s="1" t="s">
        <v>5063</v>
      </c>
      <c r="E4772" s="1" t="s">
        <v>25</v>
      </c>
      <c r="F4772">
        <v>580</v>
      </c>
      <c r="G4772">
        <v>580</v>
      </c>
      <c r="H4772">
        <v>800.8</v>
      </c>
      <c r="I4772" s="1" t="s">
        <v>1528</v>
      </c>
      <c r="J4772" s="1" t="s">
        <v>1336</v>
      </c>
      <c r="K4772" s="1" t="s">
        <v>25</v>
      </c>
      <c r="L4772">
        <v>-1.1777989</v>
      </c>
      <c r="M4772" t="str">
        <f t="shared" si="197"/>
        <v>44/40</v>
      </c>
      <c r="N4772" t="str">
        <f t="shared" si="198"/>
        <v>SW</v>
      </c>
      <c r="O4772" s="1" t="s">
        <v>25</v>
      </c>
      <c r="P4772" s="3" t="s">
        <v>25</v>
      </c>
      <c r="Q4772" s="37">
        <v>0.71765447199999999</v>
      </c>
      <c r="R4772" t="str">
        <f t="shared" si="199"/>
        <v>mmol/mol</v>
      </c>
      <c r="S4772" s="13">
        <f t="shared" si="196"/>
        <v>-1.1777989</v>
      </c>
    </row>
    <row r="4773" spans="1:19">
      <c r="A4773" s="18" t="s">
        <v>4106</v>
      </c>
      <c r="B4773" s="1" t="s">
        <v>4937</v>
      </c>
      <c r="C4773" s="1" t="s">
        <v>639</v>
      </c>
      <c r="D4773" s="1" t="s">
        <v>5063</v>
      </c>
      <c r="E4773" s="1" t="s">
        <v>25</v>
      </c>
      <c r="F4773">
        <v>580</v>
      </c>
      <c r="G4773">
        <v>580</v>
      </c>
      <c r="H4773">
        <v>810.5</v>
      </c>
      <c r="I4773" s="1" t="s">
        <v>1528</v>
      </c>
      <c r="J4773" s="1" t="s">
        <v>1336</v>
      </c>
      <c r="K4773" s="1" t="s">
        <v>25</v>
      </c>
      <c r="L4773">
        <v>-1.2000944</v>
      </c>
      <c r="M4773" t="str">
        <f t="shared" si="197"/>
        <v>44/40</v>
      </c>
      <c r="N4773" t="str">
        <f t="shared" si="198"/>
        <v>SW</v>
      </c>
      <c r="O4773" s="1" t="s">
        <v>25</v>
      </c>
      <c r="P4773" s="3" t="s">
        <v>25</v>
      </c>
      <c r="Q4773" s="37">
        <v>0.71499313399999997</v>
      </c>
      <c r="R4773" t="str">
        <f t="shared" si="199"/>
        <v>mmol/mol</v>
      </c>
      <c r="S4773" s="13">
        <f t="shared" si="196"/>
        <v>-1.2000944</v>
      </c>
    </row>
    <row r="4774" spans="1:19">
      <c r="A4774" s="18" t="s">
        <v>4106</v>
      </c>
      <c r="B4774" s="1" t="s">
        <v>4938</v>
      </c>
      <c r="C4774" s="1" t="s">
        <v>639</v>
      </c>
      <c r="D4774" s="1" t="s">
        <v>5063</v>
      </c>
      <c r="E4774" s="1" t="s">
        <v>25</v>
      </c>
      <c r="F4774">
        <v>580</v>
      </c>
      <c r="G4774">
        <v>580</v>
      </c>
      <c r="H4774">
        <v>826.1</v>
      </c>
      <c r="I4774" s="1" t="s">
        <v>1528</v>
      </c>
      <c r="J4774" s="1" t="s">
        <v>1336</v>
      </c>
      <c r="K4774" s="1" t="s">
        <v>25</v>
      </c>
      <c r="L4774">
        <v>-1.4639589</v>
      </c>
      <c r="M4774" t="str">
        <f t="shared" si="197"/>
        <v>44/40</v>
      </c>
      <c r="N4774" t="str">
        <f t="shared" si="198"/>
        <v>SW</v>
      </c>
      <c r="O4774" s="1" t="s">
        <v>25</v>
      </c>
      <c r="P4774" s="3" t="s">
        <v>25</v>
      </c>
      <c r="Q4774" s="37">
        <v>0.95438919200000005</v>
      </c>
      <c r="R4774" t="str">
        <f t="shared" si="199"/>
        <v>mmol/mol</v>
      </c>
      <c r="S4774" s="13">
        <f t="shared" si="196"/>
        <v>-1.4639589</v>
      </c>
    </row>
    <row r="4775" spans="1:19">
      <c r="A4775" s="18" t="s">
        <v>4106</v>
      </c>
      <c r="B4775" s="1" t="s">
        <v>4939</v>
      </c>
      <c r="C4775" s="1" t="s">
        <v>639</v>
      </c>
      <c r="D4775" s="1" t="s">
        <v>5063</v>
      </c>
      <c r="E4775" s="1" t="s">
        <v>25</v>
      </c>
      <c r="F4775">
        <v>580</v>
      </c>
      <c r="G4775">
        <v>580</v>
      </c>
      <c r="H4775">
        <v>845.5</v>
      </c>
      <c r="I4775" s="1" t="s">
        <v>1528</v>
      </c>
      <c r="J4775" s="1" t="s">
        <v>1336</v>
      </c>
      <c r="K4775" s="1" t="s">
        <v>25</v>
      </c>
      <c r="L4775">
        <v>-1.3077321</v>
      </c>
      <c r="M4775" t="str">
        <f t="shared" si="197"/>
        <v>44/40</v>
      </c>
      <c r="N4775" t="str">
        <f t="shared" si="198"/>
        <v>SW</v>
      </c>
      <c r="O4775" s="1" t="s">
        <v>25</v>
      </c>
      <c r="P4775" s="3" t="s">
        <v>25</v>
      </c>
      <c r="Q4775" s="37">
        <v>0.89036238700000003</v>
      </c>
      <c r="R4775" t="str">
        <f t="shared" si="199"/>
        <v>mmol/mol</v>
      </c>
      <c r="S4775" s="13">
        <f t="shared" si="196"/>
        <v>-1.3077321</v>
      </c>
    </row>
    <row r="4776" spans="1:19">
      <c r="A4776" s="18" t="s">
        <v>4106</v>
      </c>
      <c r="B4776" s="1" t="s">
        <v>4940</v>
      </c>
      <c r="C4776" s="1" t="s">
        <v>639</v>
      </c>
      <c r="D4776" s="1" t="s">
        <v>5063</v>
      </c>
      <c r="E4776" s="1" t="s">
        <v>25</v>
      </c>
      <c r="F4776">
        <v>580</v>
      </c>
      <c r="G4776">
        <v>580</v>
      </c>
      <c r="H4776">
        <v>920.4</v>
      </c>
      <c r="I4776" s="1" t="s">
        <v>1528</v>
      </c>
      <c r="J4776" s="1" t="s">
        <v>1491</v>
      </c>
      <c r="K4776" s="1" t="s">
        <v>25</v>
      </c>
      <c r="L4776">
        <v>-0.82867919999999995</v>
      </c>
      <c r="M4776" t="str">
        <f t="shared" si="197"/>
        <v>44/40</v>
      </c>
      <c r="N4776" t="str">
        <f t="shared" si="198"/>
        <v>SW</v>
      </c>
      <c r="O4776" s="1" t="s">
        <v>25</v>
      </c>
      <c r="P4776" s="3" t="s">
        <v>25</v>
      </c>
      <c r="Q4776" s="37">
        <v>0.29842618900000001</v>
      </c>
      <c r="R4776" t="str">
        <f t="shared" si="199"/>
        <v>mmol/mol</v>
      </c>
      <c r="S4776" s="13">
        <f t="shared" si="196"/>
        <v>-0.82867919999999995</v>
      </c>
    </row>
    <row r="4777" spans="1:19">
      <c r="A4777" s="18" t="s">
        <v>4106</v>
      </c>
      <c r="B4777" s="1" t="s">
        <v>4941</v>
      </c>
      <c r="C4777" s="1" t="s">
        <v>639</v>
      </c>
      <c r="D4777" s="1" t="s">
        <v>5063</v>
      </c>
      <c r="E4777" s="1" t="s">
        <v>25</v>
      </c>
      <c r="F4777">
        <v>580</v>
      </c>
      <c r="G4777">
        <v>580</v>
      </c>
      <c r="H4777">
        <v>980.4</v>
      </c>
      <c r="I4777" s="1" t="s">
        <v>1528</v>
      </c>
      <c r="J4777" s="1" t="s">
        <v>1491</v>
      </c>
      <c r="K4777" s="1" t="s">
        <v>25</v>
      </c>
      <c r="L4777">
        <v>-0.6932992</v>
      </c>
      <c r="M4777" t="str">
        <f t="shared" si="197"/>
        <v>44/40</v>
      </c>
      <c r="N4777" t="str">
        <f t="shared" si="198"/>
        <v>SW</v>
      </c>
      <c r="O4777" s="1" t="s">
        <v>25</v>
      </c>
      <c r="P4777" s="3" t="s">
        <v>25</v>
      </c>
      <c r="Q4777" s="37">
        <v>0.29167080200000001</v>
      </c>
      <c r="R4777" t="str">
        <f t="shared" si="199"/>
        <v>mmol/mol</v>
      </c>
      <c r="S4777" s="13">
        <f t="shared" si="196"/>
        <v>-0.6932992</v>
      </c>
    </row>
    <row r="4778" spans="1:19">
      <c r="A4778" s="18" t="s">
        <v>4106</v>
      </c>
      <c r="B4778" s="1" t="s">
        <v>4942</v>
      </c>
      <c r="C4778" s="1" t="s">
        <v>5059</v>
      </c>
      <c r="D4778" s="1" t="s">
        <v>5064</v>
      </c>
      <c r="E4778" s="1" t="s">
        <v>25</v>
      </c>
      <c r="F4778">
        <v>580</v>
      </c>
      <c r="G4778">
        <v>580</v>
      </c>
      <c r="H4778">
        <v>770.5</v>
      </c>
      <c r="I4778" s="1" t="s">
        <v>1528</v>
      </c>
      <c r="J4778" s="1" t="s">
        <v>1491</v>
      </c>
      <c r="K4778" s="1" t="s">
        <v>25</v>
      </c>
      <c r="L4778" t="s">
        <v>25</v>
      </c>
      <c r="M4778" t="str">
        <f t="shared" si="197"/>
        <v>Na</v>
      </c>
      <c r="N4778" t="str">
        <f t="shared" si="198"/>
        <v>Na</v>
      </c>
      <c r="O4778" s="1" t="s">
        <v>25</v>
      </c>
      <c r="P4778" s="3" t="s">
        <v>25</v>
      </c>
      <c r="Q4778" s="37" t="s">
        <v>25</v>
      </c>
      <c r="R4778" t="str">
        <f t="shared" si="199"/>
        <v>Na</v>
      </c>
      <c r="S4778" s="13" t="s">
        <v>25</v>
      </c>
    </row>
    <row r="4779" spans="1:19">
      <c r="A4779" s="18" t="s">
        <v>4106</v>
      </c>
      <c r="B4779" s="1" t="s">
        <v>4943</v>
      </c>
      <c r="C4779" s="1" t="s">
        <v>5059</v>
      </c>
      <c r="D4779" s="1" t="s">
        <v>5064</v>
      </c>
      <c r="E4779" s="1" t="s">
        <v>25</v>
      </c>
      <c r="F4779">
        <v>580</v>
      </c>
      <c r="G4779">
        <v>580</v>
      </c>
      <c r="H4779">
        <v>773</v>
      </c>
      <c r="I4779" s="1" t="s">
        <v>1528</v>
      </c>
      <c r="J4779" s="1" t="s">
        <v>1491</v>
      </c>
      <c r="K4779" s="1" t="s">
        <v>25</v>
      </c>
      <c r="L4779" t="s">
        <v>25</v>
      </c>
      <c r="M4779" t="str">
        <f t="shared" si="197"/>
        <v>Na</v>
      </c>
      <c r="N4779" t="str">
        <f t="shared" si="198"/>
        <v>Na</v>
      </c>
      <c r="O4779" s="1" t="s">
        <v>25</v>
      </c>
      <c r="P4779" s="3" t="s">
        <v>25</v>
      </c>
      <c r="Q4779" s="37" t="s">
        <v>25</v>
      </c>
      <c r="R4779" t="str">
        <f t="shared" si="199"/>
        <v>Na</v>
      </c>
      <c r="S4779" s="13" t="s">
        <v>25</v>
      </c>
    </row>
    <row r="4780" spans="1:19">
      <c r="A4780" s="18" t="s">
        <v>4106</v>
      </c>
      <c r="B4780" s="1" t="s">
        <v>4944</v>
      </c>
      <c r="C4780" s="1" t="s">
        <v>5059</v>
      </c>
      <c r="D4780" s="1" t="s">
        <v>5064</v>
      </c>
      <c r="E4780" s="1" t="s">
        <v>25</v>
      </c>
      <c r="F4780">
        <v>580</v>
      </c>
      <c r="G4780">
        <v>580</v>
      </c>
      <c r="H4780">
        <v>774</v>
      </c>
      <c r="I4780" s="1" t="s">
        <v>1528</v>
      </c>
      <c r="J4780" s="1" t="s">
        <v>1491</v>
      </c>
      <c r="K4780" s="1" t="s">
        <v>25</v>
      </c>
      <c r="L4780" t="s">
        <v>25</v>
      </c>
      <c r="M4780" t="str">
        <f t="shared" si="197"/>
        <v>Na</v>
      </c>
      <c r="N4780" t="str">
        <f t="shared" si="198"/>
        <v>Na</v>
      </c>
      <c r="O4780" s="1" t="s">
        <v>25</v>
      </c>
      <c r="P4780" s="3" t="s">
        <v>25</v>
      </c>
      <c r="Q4780" s="37">
        <v>6.4418605000000004E-2</v>
      </c>
      <c r="R4780" t="str">
        <f t="shared" si="199"/>
        <v>mmol/mol</v>
      </c>
      <c r="S4780" s="13" t="s">
        <v>25</v>
      </c>
    </row>
    <row r="4781" spans="1:19">
      <c r="A4781" s="18" t="s">
        <v>4106</v>
      </c>
      <c r="B4781" s="1" t="s">
        <v>4945</v>
      </c>
      <c r="C4781" s="1" t="s">
        <v>5059</v>
      </c>
      <c r="D4781" s="1" t="s">
        <v>5064</v>
      </c>
      <c r="E4781" s="1" t="s">
        <v>25</v>
      </c>
      <c r="F4781">
        <v>580</v>
      </c>
      <c r="G4781">
        <v>580</v>
      </c>
      <c r="H4781">
        <v>775</v>
      </c>
      <c r="I4781" s="1" t="s">
        <v>1528</v>
      </c>
      <c r="J4781" s="1" t="s">
        <v>1491</v>
      </c>
      <c r="K4781" s="1" t="s">
        <v>25</v>
      </c>
      <c r="L4781" t="s">
        <v>25</v>
      </c>
      <c r="M4781" t="str">
        <f t="shared" si="197"/>
        <v>Na</v>
      </c>
      <c r="N4781" t="str">
        <f t="shared" si="198"/>
        <v>Na</v>
      </c>
      <c r="O4781" s="1" t="s">
        <v>25</v>
      </c>
      <c r="P4781" s="3" t="s">
        <v>25</v>
      </c>
      <c r="Q4781" s="37" t="s">
        <v>25</v>
      </c>
      <c r="R4781" t="str">
        <f t="shared" si="199"/>
        <v>Na</v>
      </c>
      <c r="S4781" s="13" t="s">
        <v>25</v>
      </c>
    </row>
    <row r="4782" spans="1:19">
      <c r="A4782" s="18" t="s">
        <v>4106</v>
      </c>
      <c r="B4782" s="1" t="s">
        <v>4946</v>
      </c>
      <c r="C4782" s="1" t="s">
        <v>5059</v>
      </c>
      <c r="D4782" s="1" t="s">
        <v>5064</v>
      </c>
      <c r="E4782" s="1" t="s">
        <v>25</v>
      </c>
      <c r="F4782">
        <v>580</v>
      </c>
      <c r="G4782">
        <v>580</v>
      </c>
      <c r="H4782">
        <v>776</v>
      </c>
      <c r="I4782" s="1" t="s">
        <v>1528</v>
      </c>
      <c r="J4782" s="1" t="s">
        <v>1491</v>
      </c>
      <c r="K4782" s="1" t="s">
        <v>25</v>
      </c>
      <c r="L4782" t="s">
        <v>25</v>
      </c>
      <c r="M4782" t="str">
        <f t="shared" si="197"/>
        <v>Na</v>
      </c>
      <c r="N4782" t="str">
        <f t="shared" si="198"/>
        <v>Na</v>
      </c>
      <c r="O4782" s="1" t="s">
        <v>25</v>
      </c>
      <c r="P4782" s="3" t="s">
        <v>25</v>
      </c>
      <c r="Q4782" s="37">
        <v>6.0930233E-2</v>
      </c>
      <c r="R4782" t="str">
        <f t="shared" si="199"/>
        <v>mmol/mol</v>
      </c>
      <c r="S4782" s="13" t="s">
        <v>25</v>
      </c>
    </row>
    <row r="4783" spans="1:19">
      <c r="A4783" s="18" t="s">
        <v>4106</v>
      </c>
      <c r="B4783" s="1" t="s">
        <v>4947</v>
      </c>
      <c r="C4783" s="1" t="s">
        <v>5059</v>
      </c>
      <c r="D4783" s="1" t="s">
        <v>5064</v>
      </c>
      <c r="E4783" s="1" t="s">
        <v>25</v>
      </c>
      <c r="F4783">
        <v>580</v>
      </c>
      <c r="G4783">
        <v>580</v>
      </c>
      <c r="H4783">
        <v>780</v>
      </c>
      <c r="I4783" s="1" t="s">
        <v>1528</v>
      </c>
      <c r="J4783" s="1" t="s">
        <v>1491</v>
      </c>
      <c r="K4783" s="1" t="s">
        <v>25</v>
      </c>
      <c r="L4783" t="s">
        <v>25</v>
      </c>
      <c r="M4783" t="str">
        <f t="shared" si="197"/>
        <v>Na</v>
      </c>
      <c r="N4783" t="str">
        <f t="shared" si="198"/>
        <v>Na</v>
      </c>
      <c r="O4783" s="1" t="s">
        <v>25</v>
      </c>
      <c r="P4783" s="3" t="s">
        <v>25</v>
      </c>
      <c r="Q4783" s="37" t="s">
        <v>25</v>
      </c>
      <c r="R4783" t="str">
        <f t="shared" si="199"/>
        <v>Na</v>
      </c>
      <c r="S4783" s="13" t="s">
        <v>25</v>
      </c>
    </row>
    <row r="4784" spans="1:19">
      <c r="A4784" s="18" t="s">
        <v>4106</v>
      </c>
      <c r="B4784" s="1" t="s">
        <v>4948</v>
      </c>
      <c r="C4784" s="1" t="s">
        <v>5059</v>
      </c>
      <c r="D4784" s="1" t="s">
        <v>5064</v>
      </c>
      <c r="E4784" s="1" t="s">
        <v>25</v>
      </c>
      <c r="F4784">
        <v>580</v>
      </c>
      <c r="G4784">
        <v>580</v>
      </c>
      <c r="H4784">
        <v>786.51</v>
      </c>
      <c r="I4784" s="1" t="s">
        <v>1528</v>
      </c>
      <c r="J4784" s="1" t="s">
        <v>1491</v>
      </c>
      <c r="K4784" s="1" t="s">
        <v>25</v>
      </c>
      <c r="L4784" t="s">
        <v>25</v>
      </c>
      <c r="M4784" t="str">
        <f t="shared" ref="M4784:M4847" si="200">IF(L4784="Na","Na","44/40")</f>
        <v>Na</v>
      </c>
      <c r="N4784" t="str">
        <f t="shared" ref="N4784:N4847" si="201">IF(M4784="Na","Na","SW")</f>
        <v>Na</v>
      </c>
      <c r="O4784" s="1" t="s">
        <v>25</v>
      </c>
      <c r="P4784" s="3" t="s">
        <v>25</v>
      </c>
      <c r="Q4784" s="37" t="s">
        <v>25</v>
      </c>
      <c r="R4784" t="str">
        <f t="shared" si="199"/>
        <v>Na</v>
      </c>
      <c r="S4784" s="13" t="s">
        <v>25</v>
      </c>
    </row>
    <row r="4785" spans="1:19">
      <c r="A4785" s="18" t="s">
        <v>4106</v>
      </c>
      <c r="B4785" s="1" t="s">
        <v>4949</v>
      </c>
      <c r="C4785" s="1" t="s">
        <v>5059</v>
      </c>
      <c r="D4785" s="1" t="s">
        <v>5064</v>
      </c>
      <c r="E4785" s="1" t="s">
        <v>25</v>
      </c>
      <c r="F4785">
        <v>580</v>
      </c>
      <c r="G4785">
        <v>580</v>
      </c>
      <c r="H4785">
        <v>789.5</v>
      </c>
      <c r="I4785" s="1" t="s">
        <v>1528</v>
      </c>
      <c r="J4785" s="1" t="s">
        <v>1491</v>
      </c>
      <c r="K4785" s="1" t="s">
        <v>25</v>
      </c>
      <c r="L4785" t="s">
        <v>25</v>
      </c>
      <c r="M4785" t="str">
        <f t="shared" si="200"/>
        <v>Na</v>
      </c>
      <c r="N4785" t="str">
        <f t="shared" si="201"/>
        <v>Na</v>
      </c>
      <c r="O4785" s="1" t="s">
        <v>25</v>
      </c>
      <c r="P4785" s="3" t="s">
        <v>25</v>
      </c>
      <c r="Q4785" s="37">
        <v>7.8953488000000002E-2</v>
      </c>
      <c r="R4785" t="str">
        <f t="shared" si="199"/>
        <v>mmol/mol</v>
      </c>
      <c r="S4785" s="13" t="s">
        <v>25</v>
      </c>
    </row>
    <row r="4786" spans="1:19">
      <c r="A4786" s="18" t="s">
        <v>4106</v>
      </c>
      <c r="B4786" s="1" t="s">
        <v>4950</v>
      </c>
      <c r="C4786" s="1" t="s">
        <v>5059</v>
      </c>
      <c r="D4786" s="1" t="s">
        <v>5064</v>
      </c>
      <c r="E4786" s="1" t="s">
        <v>25</v>
      </c>
      <c r="F4786">
        <v>580</v>
      </c>
      <c r="G4786">
        <v>580</v>
      </c>
      <c r="H4786">
        <v>793.2</v>
      </c>
      <c r="I4786" s="1" t="s">
        <v>1528</v>
      </c>
      <c r="J4786" s="1" t="s">
        <v>1491</v>
      </c>
      <c r="K4786" s="1" t="s">
        <v>25</v>
      </c>
      <c r="L4786" t="s">
        <v>25</v>
      </c>
      <c r="M4786" t="str">
        <f t="shared" si="200"/>
        <v>Na</v>
      </c>
      <c r="N4786" t="str">
        <f t="shared" si="201"/>
        <v>Na</v>
      </c>
      <c r="O4786" s="1" t="s">
        <v>25</v>
      </c>
      <c r="P4786" s="3" t="s">
        <v>25</v>
      </c>
      <c r="Q4786" s="37" t="s">
        <v>25</v>
      </c>
      <c r="R4786" t="str">
        <f t="shared" si="199"/>
        <v>Na</v>
      </c>
      <c r="S4786" s="13" t="s">
        <v>25</v>
      </c>
    </row>
    <row r="4787" spans="1:19">
      <c r="A4787" s="18" t="s">
        <v>4106</v>
      </c>
      <c r="B4787" s="1" t="s">
        <v>4951</v>
      </c>
      <c r="C4787" s="1" t="s">
        <v>5059</v>
      </c>
      <c r="D4787" s="1" t="s">
        <v>5064</v>
      </c>
      <c r="E4787" s="1" t="s">
        <v>25</v>
      </c>
      <c r="F4787">
        <v>580</v>
      </c>
      <c r="G4787">
        <v>580</v>
      </c>
      <c r="H4787">
        <v>797.8</v>
      </c>
      <c r="I4787" s="1" t="s">
        <v>1528</v>
      </c>
      <c r="J4787" s="1" t="s">
        <v>1491</v>
      </c>
      <c r="K4787" s="1" t="s">
        <v>25</v>
      </c>
      <c r="L4787" t="s">
        <v>25</v>
      </c>
      <c r="M4787" t="str">
        <f t="shared" si="200"/>
        <v>Na</v>
      </c>
      <c r="N4787" t="str">
        <f t="shared" si="201"/>
        <v>Na</v>
      </c>
      <c r="O4787" s="1" t="s">
        <v>25</v>
      </c>
      <c r="P4787" s="3" t="s">
        <v>25</v>
      </c>
      <c r="Q4787" s="37">
        <v>6.5116278999999999E-2</v>
      </c>
      <c r="R4787" t="str">
        <f t="shared" si="199"/>
        <v>mmol/mol</v>
      </c>
      <c r="S4787" s="13" t="s">
        <v>25</v>
      </c>
    </row>
    <row r="4788" spans="1:19">
      <c r="A4788" s="18" t="s">
        <v>4106</v>
      </c>
      <c r="B4788" s="1" t="s">
        <v>4952</v>
      </c>
      <c r="C4788" s="1" t="s">
        <v>5059</v>
      </c>
      <c r="D4788" s="1" t="s">
        <v>5064</v>
      </c>
      <c r="E4788" s="1" t="s">
        <v>25</v>
      </c>
      <c r="F4788">
        <v>580</v>
      </c>
      <c r="G4788">
        <v>580</v>
      </c>
      <c r="H4788">
        <v>800</v>
      </c>
      <c r="I4788" s="1" t="s">
        <v>1528</v>
      </c>
      <c r="J4788" s="1" t="s">
        <v>1491</v>
      </c>
      <c r="K4788" s="1" t="s">
        <v>25</v>
      </c>
      <c r="L4788" t="s">
        <v>25</v>
      </c>
      <c r="M4788" t="str">
        <f t="shared" si="200"/>
        <v>Na</v>
      </c>
      <c r="N4788" t="str">
        <f t="shared" si="201"/>
        <v>Na</v>
      </c>
      <c r="O4788" s="1" t="s">
        <v>25</v>
      </c>
      <c r="P4788" s="3" t="s">
        <v>25</v>
      </c>
      <c r="Q4788" s="37">
        <v>5.1162790999999999E-2</v>
      </c>
      <c r="R4788" t="str">
        <f t="shared" si="199"/>
        <v>mmol/mol</v>
      </c>
      <c r="S4788" s="13" t="s">
        <v>25</v>
      </c>
    </row>
    <row r="4789" spans="1:19">
      <c r="A4789" s="18" t="s">
        <v>4106</v>
      </c>
      <c r="B4789" s="1" t="s">
        <v>4953</v>
      </c>
      <c r="C4789" s="1" t="s">
        <v>5059</v>
      </c>
      <c r="D4789" s="1" t="s">
        <v>5064</v>
      </c>
      <c r="E4789" s="1" t="s">
        <v>25</v>
      </c>
      <c r="F4789">
        <v>580</v>
      </c>
      <c r="G4789">
        <v>580</v>
      </c>
      <c r="H4789">
        <v>803</v>
      </c>
      <c r="I4789" s="1" t="s">
        <v>1528</v>
      </c>
      <c r="J4789" s="1" t="s">
        <v>1491</v>
      </c>
      <c r="K4789" s="1" t="s">
        <v>25</v>
      </c>
      <c r="L4789" t="s">
        <v>25</v>
      </c>
      <c r="M4789" t="str">
        <f t="shared" si="200"/>
        <v>Na</v>
      </c>
      <c r="N4789" t="str">
        <f t="shared" si="201"/>
        <v>Na</v>
      </c>
      <c r="O4789" s="1" t="s">
        <v>25</v>
      </c>
      <c r="P4789" s="3" t="s">
        <v>25</v>
      </c>
      <c r="Q4789" s="37">
        <v>7.1162791000000003E-2</v>
      </c>
      <c r="R4789" t="str">
        <f t="shared" si="199"/>
        <v>mmol/mol</v>
      </c>
      <c r="S4789" s="13" t="s">
        <v>25</v>
      </c>
    </row>
    <row r="4790" spans="1:19">
      <c r="A4790" s="18" t="s">
        <v>4106</v>
      </c>
      <c r="B4790" s="1" t="s">
        <v>4954</v>
      </c>
      <c r="C4790" s="1" t="s">
        <v>5059</v>
      </c>
      <c r="D4790" s="1" t="s">
        <v>5064</v>
      </c>
      <c r="E4790" s="1" t="s">
        <v>25</v>
      </c>
      <c r="F4790">
        <v>580</v>
      </c>
      <c r="G4790">
        <v>580</v>
      </c>
      <c r="H4790">
        <v>804</v>
      </c>
      <c r="I4790" s="1" t="s">
        <v>1528</v>
      </c>
      <c r="J4790" s="1" t="s">
        <v>1491</v>
      </c>
      <c r="K4790" s="1" t="s">
        <v>25</v>
      </c>
      <c r="L4790" t="s">
        <v>25</v>
      </c>
      <c r="M4790" t="str">
        <f t="shared" si="200"/>
        <v>Na</v>
      </c>
      <c r="N4790" t="str">
        <f t="shared" si="201"/>
        <v>Na</v>
      </c>
      <c r="O4790" s="1" t="s">
        <v>25</v>
      </c>
      <c r="P4790" s="3" t="s">
        <v>25</v>
      </c>
      <c r="Q4790" s="37">
        <v>8.6162791000000002E-2</v>
      </c>
      <c r="R4790" t="str">
        <f t="shared" si="199"/>
        <v>mmol/mol</v>
      </c>
      <c r="S4790" s="13" t="s">
        <v>25</v>
      </c>
    </row>
    <row r="4791" spans="1:19">
      <c r="A4791" s="18" t="s">
        <v>4106</v>
      </c>
      <c r="B4791" s="1" t="s">
        <v>4955</v>
      </c>
      <c r="C4791" s="1" t="s">
        <v>5059</v>
      </c>
      <c r="D4791" s="1" t="s">
        <v>5064</v>
      </c>
      <c r="E4791" s="1" t="s">
        <v>25</v>
      </c>
      <c r="F4791">
        <v>580</v>
      </c>
      <c r="G4791">
        <v>580</v>
      </c>
      <c r="H4791">
        <v>806</v>
      </c>
      <c r="I4791" s="1" t="s">
        <v>1528</v>
      </c>
      <c r="J4791" s="1" t="s">
        <v>1491</v>
      </c>
      <c r="K4791" s="1" t="s">
        <v>25</v>
      </c>
      <c r="L4791" t="s">
        <v>25</v>
      </c>
      <c r="M4791" t="str">
        <f t="shared" si="200"/>
        <v>Na</v>
      </c>
      <c r="N4791" t="str">
        <f t="shared" si="201"/>
        <v>Na</v>
      </c>
      <c r="O4791" s="1" t="s">
        <v>25</v>
      </c>
      <c r="P4791" s="3" t="s">
        <v>25</v>
      </c>
      <c r="Q4791" s="37">
        <v>5.9534884000000003E-2</v>
      </c>
      <c r="R4791" t="str">
        <f t="shared" si="199"/>
        <v>mmol/mol</v>
      </c>
      <c r="S4791" s="13" t="s">
        <v>25</v>
      </c>
    </row>
    <row r="4792" spans="1:19">
      <c r="A4792" s="18" t="s">
        <v>4106</v>
      </c>
      <c r="B4792" s="1" t="s">
        <v>4956</v>
      </c>
      <c r="C4792" s="1" t="s">
        <v>5059</v>
      </c>
      <c r="D4792" s="1" t="s">
        <v>5064</v>
      </c>
      <c r="E4792" s="1" t="s">
        <v>25</v>
      </c>
      <c r="F4792">
        <v>580</v>
      </c>
      <c r="G4792">
        <v>580</v>
      </c>
      <c r="H4792">
        <v>808.01</v>
      </c>
      <c r="I4792" s="1" t="s">
        <v>1528</v>
      </c>
      <c r="J4792" s="1" t="s">
        <v>1491</v>
      </c>
      <c r="K4792" s="1" t="s">
        <v>25</v>
      </c>
      <c r="L4792" t="s">
        <v>25</v>
      </c>
      <c r="M4792" t="str">
        <f t="shared" si="200"/>
        <v>Na</v>
      </c>
      <c r="N4792" t="str">
        <f t="shared" si="201"/>
        <v>Na</v>
      </c>
      <c r="O4792" s="1" t="s">
        <v>25</v>
      </c>
      <c r="P4792" s="3" t="s">
        <v>25</v>
      </c>
      <c r="Q4792" s="37">
        <v>8.6279069999999999E-2</v>
      </c>
      <c r="R4792" t="str">
        <f t="shared" si="199"/>
        <v>mmol/mol</v>
      </c>
      <c r="S4792" s="13" t="s">
        <v>25</v>
      </c>
    </row>
    <row r="4793" spans="1:19">
      <c r="A4793" s="18" t="s">
        <v>4106</v>
      </c>
      <c r="B4793" s="1" t="s">
        <v>4957</v>
      </c>
      <c r="C4793" s="1" t="s">
        <v>5059</v>
      </c>
      <c r="D4793" s="1" t="s">
        <v>5064</v>
      </c>
      <c r="E4793" s="1" t="s">
        <v>25</v>
      </c>
      <c r="F4793">
        <v>580</v>
      </c>
      <c r="G4793">
        <v>580</v>
      </c>
      <c r="H4793">
        <v>809.2</v>
      </c>
      <c r="I4793" s="1" t="s">
        <v>1528</v>
      </c>
      <c r="J4793" s="1" t="s">
        <v>1491</v>
      </c>
      <c r="K4793" s="1" t="s">
        <v>25</v>
      </c>
      <c r="L4793" t="s">
        <v>25</v>
      </c>
      <c r="M4793" t="str">
        <f t="shared" si="200"/>
        <v>Na</v>
      </c>
      <c r="N4793" t="str">
        <f t="shared" si="201"/>
        <v>Na</v>
      </c>
      <c r="O4793" s="1" t="s">
        <v>25</v>
      </c>
      <c r="P4793" s="3" t="s">
        <v>25</v>
      </c>
      <c r="Q4793" s="37">
        <v>6.8604651000000003E-2</v>
      </c>
      <c r="R4793" t="str">
        <f t="shared" si="199"/>
        <v>mmol/mol</v>
      </c>
      <c r="S4793" s="13" t="s">
        <v>25</v>
      </c>
    </row>
    <row r="4794" spans="1:19">
      <c r="A4794" s="18" t="s">
        <v>4106</v>
      </c>
      <c r="B4794" s="1" t="s">
        <v>4958</v>
      </c>
      <c r="C4794" s="1" t="s">
        <v>5059</v>
      </c>
      <c r="D4794" s="1" t="s">
        <v>5064</v>
      </c>
      <c r="E4794" s="1" t="s">
        <v>25</v>
      </c>
      <c r="F4794">
        <v>580</v>
      </c>
      <c r="G4794">
        <v>580</v>
      </c>
      <c r="H4794">
        <v>809.52</v>
      </c>
      <c r="I4794" s="1" t="s">
        <v>1528</v>
      </c>
      <c r="J4794" s="1" t="s">
        <v>1491</v>
      </c>
      <c r="K4794" s="1" t="s">
        <v>25</v>
      </c>
      <c r="L4794" t="s">
        <v>25</v>
      </c>
      <c r="M4794" t="str">
        <f t="shared" si="200"/>
        <v>Na</v>
      </c>
      <c r="N4794" t="str">
        <f t="shared" si="201"/>
        <v>Na</v>
      </c>
      <c r="O4794" s="1" t="s">
        <v>25</v>
      </c>
      <c r="P4794" s="3" t="s">
        <v>25</v>
      </c>
      <c r="Q4794" s="37">
        <v>8.5930232999999995E-2</v>
      </c>
      <c r="R4794" t="str">
        <f t="shared" si="199"/>
        <v>mmol/mol</v>
      </c>
      <c r="S4794" s="13" t="s">
        <v>25</v>
      </c>
    </row>
    <row r="4795" spans="1:19">
      <c r="A4795" s="18" t="s">
        <v>4106</v>
      </c>
      <c r="B4795" s="1" t="s">
        <v>4959</v>
      </c>
      <c r="C4795" s="1" t="s">
        <v>5059</v>
      </c>
      <c r="D4795" s="1" t="s">
        <v>5064</v>
      </c>
      <c r="E4795" s="1" t="s">
        <v>25</v>
      </c>
      <c r="F4795">
        <v>580</v>
      </c>
      <c r="G4795">
        <v>580</v>
      </c>
      <c r="H4795">
        <v>810.8</v>
      </c>
      <c r="I4795" s="1" t="s">
        <v>1528</v>
      </c>
      <c r="J4795" s="1" t="s">
        <v>1491</v>
      </c>
      <c r="K4795" s="1" t="s">
        <v>25</v>
      </c>
      <c r="L4795" t="s">
        <v>25</v>
      </c>
      <c r="M4795" t="str">
        <f t="shared" si="200"/>
        <v>Na</v>
      </c>
      <c r="N4795" t="str">
        <f t="shared" si="201"/>
        <v>Na</v>
      </c>
      <c r="O4795" s="1" t="s">
        <v>25</v>
      </c>
      <c r="P4795" s="3" t="s">
        <v>25</v>
      </c>
      <c r="Q4795" s="37">
        <v>0.23255814</v>
      </c>
      <c r="R4795" t="str">
        <f t="shared" si="199"/>
        <v>mmol/mol</v>
      </c>
      <c r="S4795" s="13" t="s">
        <v>25</v>
      </c>
    </row>
    <row r="4796" spans="1:19">
      <c r="A4796" s="18" t="s">
        <v>4106</v>
      </c>
      <c r="B4796" s="1" t="s">
        <v>4960</v>
      </c>
      <c r="C4796" s="1" t="s">
        <v>5059</v>
      </c>
      <c r="D4796" s="1" t="s">
        <v>5064</v>
      </c>
      <c r="E4796" s="1" t="s">
        <v>25</v>
      </c>
      <c r="F4796">
        <v>580</v>
      </c>
      <c r="G4796">
        <v>580</v>
      </c>
      <c r="H4796">
        <v>811</v>
      </c>
      <c r="I4796" s="1" t="s">
        <v>1528</v>
      </c>
      <c r="J4796" s="1" t="s">
        <v>1491</v>
      </c>
      <c r="K4796" s="1" t="s">
        <v>25</v>
      </c>
      <c r="L4796">
        <v>-1.1433314999999999</v>
      </c>
      <c r="M4796" t="str">
        <f t="shared" si="200"/>
        <v>44/40</v>
      </c>
      <c r="N4796" t="str">
        <f t="shared" si="201"/>
        <v>SW</v>
      </c>
      <c r="O4796" s="1" t="s">
        <v>25</v>
      </c>
      <c r="P4796" s="3" t="s">
        <v>25</v>
      </c>
      <c r="Q4796" s="37">
        <v>0.13139534899999999</v>
      </c>
      <c r="R4796" t="str">
        <f t="shared" si="199"/>
        <v>mmol/mol</v>
      </c>
      <c r="S4796" s="13">
        <f t="shared" ref="S4796:S4832" si="202">IF(NOT(N4796="SW"),L4796-1.88,L4796)</f>
        <v>-1.1433314999999999</v>
      </c>
    </row>
    <row r="4797" spans="1:19">
      <c r="A4797" s="18" t="s">
        <v>4106</v>
      </c>
      <c r="B4797" s="1" t="s">
        <v>4961</v>
      </c>
      <c r="C4797" s="1" t="s">
        <v>5059</v>
      </c>
      <c r="D4797" s="1" t="s">
        <v>5064</v>
      </c>
      <c r="E4797" s="1" t="s">
        <v>25</v>
      </c>
      <c r="F4797">
        <v>580</v>
      </c>
      <c r="G4797">
        <v>580</v>
      </c>
      <c r="H4797">
        <v>811.5</v>
      </c>
      <c r="I4797" s="1" t="s">
        <v>1528</v>
      </c>
      <c r="J4797" s="1" t="s">
        <v>1491</v>
      </c>
      <c r="K4797" s="1" t="s">
        <v>25</v>
      </c>
      <c r="L4797" t="s">
        <v>25</v>
      </c>
      <c r="M4797" t="str">
        <f t="shared" si="200"/>
        <v>Na</v>
      </c>
      <c r="N4797" t="str">
        <f t="shared" si="201"/>
        <v>Na</v>
      </c>
      <c r="O4797" s="1" t="s">
        <v>25</v>
      </c>
      <c r="P4797" s="3" t="s">
        <v>25</v>
      </c>
      <c r="Q4797" s="37">
        <v>0.13720930200000001</v>
      </c>
      <c r="R4797" t="str">
        <f t="shared" si="199"/>
        <v>mmol/mol</v>
      </c>
      <c r="S4797" s="13" t="s">
        <v>25</v>
      </c>
    </row>
    <row r="4798" spans="1:19">
      <c r="A4798" s="18" t="s">
        <v>4106</v>
      </c>
      <c r="B4798" s="1" t="s">
        <v>4962</v>
      </c>
      <c r="C4798" s="1" t="s">
        <v>5059</v>
      </c>
      <c r="D4798" s="1" t="s">
        <v>5064</v>
      </c>
      <c r="E4798" s="1" t="s">
        <v>25</v>
      </c>
      <c r="F4798">
        <v>580</v>
      </c>
      <c r="G4798">
        <v>580</v>
      </c>
      <c r="H4798">
        <v>952.2</v>
      </c>
      <c r="I4798" s="1" t="s">
        <v>1528</v>
      </c>
      <c r="J4798" s="1" t="s">
        <v>1336</v>
      </c>
      <c r="K4798" s="1" t="s">
        <v>25</v>
      </c>
      <c r="L4798" t="s">
        <v>25</v>
      </c>
      <c r="M4798" t="str">
        <f t="shared" si="200"/>
        <v>Na</v>
      </c>
      <c r="N4798" t="str">
        <f t="shared" si="201"/>
        <v>Na</v>
      </c>
      <c r="O4798" s="1" t="s">
        <v>25</v>
      </c>
      <c r="P4798" s="3" t="s">
        <v>25</v>
      </c>
      <c r="Q4798" s="37" t="s">
        <v>25</v>
      </c>
      <c r="R4798" t="str">
        <f t="shared" si="199"/>
        <v>Na</v>
      </c>
      <c r="S4798" s="13" t="s">
        <v>25</v>
      </c>
    </row>
    <row r="4799" spans="1:19">
      <c r="A4799" s="18" t="s">
        <v>4106</v>
      </c>
      <c r="B4799" s="1" t="s">
        <v>4963</v>
      </c>
      <c r="C4799" s="1" t="s">
        <v>5059</v>
      </c>
      <c r="D4799" s="1" t="s">
        <v>5064</v>
      </c>
      <c r="E4799" s="1" t="s">
        <v>25</v>
      </c>
      <c r="F4799">
        <v>580</v>
      </c>
      <c r="G4799">
        <v>580</v>
      </c>
      <c r="H4799">
        <v>952.61</v>
      </c>
      <c r="I4799" s="1" t="s">
        <v>1528</v>
      </c>
      <c r="J4799" s="1" t="s">
        <v>1336</v>
      </c>
      <c r="K4799" s="1" t="s">
        <v>25</v>
      </c>
      <c r="L4799" t="s">
        <v>25</v>
      </c>
      <c r="M4799" t="str">
        <f t="shared" si="200"/>
        <v>Na</v>
      </c>
      <c r="N4799" t="str">
        <f t="shared" si="201"/>
        <v>Na</v>
      </c>
      <c r="O4799" s="1" t="s">
        <v>25</v>
      </c>
      <c r="P4799" s="3" t="s">
        <v>25</v>
      </c>
      <c r="Q4799" s="37">
        <v>1.06744186</v>
      </c>
      <c r="R4799" t="str">
        <f t="shared" si="199"/>
        <v>mmol/mol</v>
      </c>
      <c r="S4799" s="13" t="s">
        <v>25</v>
      </c>
    </row>
    <row r="4800" spans="1:19">
      <c r="A4800" s="18" t="s">
        <v>4106</v>
      </c>
      <c r="B4800" s="1" t="s">
        <v>4964</v>
      </c>
      <c r="C4800" s="1" t="s">
        <v>5059</v>
      </c>
      <c r="D4800" s="1" t="s">
        <v>5064</v>
      </c>
      <c r="E4800" s="1" t="s">
        <v>25</v>
      </c>
      <c r="F4800">
        <v>580</v>
      </c>
      <c r="G4800">
        <v>580</v>
      </c>
      <c r="H4800">
        <v>954.1</v>
      </c>
      <c r="I4800" s="1" t="s">
        <v>1528</v>
      </c>
      <c r="J4800" s="1" t="s">
        <v>1336</v>
      </c>
      <c r="K4800" s="1" t="s">
        <v>25</v>
      </c>
      <c r="L4800" t="s">
        <v>25</v>
      </c>
      <c r="M4800" t="str">
        <f t="shared" si="200"/>
        <v>Na</v>
      </c>
      <c r="N4800" t="str">
        <f t="shared" si="201"/>
        <v>Na</v>
      </c>
      <c r="O4800" s="1" t="s">
        <v>25</v>
      </c>
      <c r="P4800" s="3" t="s">
        <v>25</v>
      </c>
      <c r="Q4800" s="37" t="s">
        <v>25</v>
      </c>
      <c r="R4800" t="str">
        <f t="shared" si="199"/>
        <v>Na</v>
      </c>
      <c r="S4800" s="13" t="s">
        <v>25</v>
      </c>
    </row>
    <row r="4801" spans="1:19">
      <c r="A4801" s="18" t="s">
        <v>4106</v>
      </c>
      <c r="B4801" s="1" t="s">
        <v>4965</v>
      </c>
      <c r="C4801" s="1" t="s">
        <v>5059</v>
      </c>
      <c r="D4801" s="1" t="s">
        <v>5064</v>
      </c>
      <c r="E4801" s="1" t="s">
        <v>25</v>
      </c>
      <c r="F4801">
        <v>580</v>
      </c>
      <c r="G4801">
        <v>580</v>
      </c>
      <c r="H4801">
        <v>955.5</v>
      </c>
      <c r="I4801" s="1" t="s">
        <v>1528</v>
      </c>
      <c r="J4801" s="1" t="s">
        <v>1336</v>
      </c>
      <c r="K4801" s="1" t="s">
        <v>25</v>
      </c>
      <c r="L4801" t="s">
        <v>25</v>
      </c>
      <c r="M4801" t="str">
        <f t="shared" si="200"/>
        <v>Na</v>
      </c>
      <c r="N4801" t="str">
        <f t="shared" si="201"/>
        <v>Na</v>
      </c>
      <c r="O4801" s="1" t="s">
        <v>25</v>
      </c>
      <c r="P4801" s="3" t="s">
        <v>25</v>
      </c>
      <c r="Q4801" s="37">
        <v>0.33953488399999998</v>
      </c>
      <c r="R4801" t="str">
        <f t="shared" si="199"/>
        <v>mmol/mol</v>
      </c>
      <c r="S4801" s="13" t="s">
        <v>25</v>
      </c>
    </row>
    <row r="4802" spans="1:19">
      <c r="A4802" s="18" t="s">
        <v>4106</v>
      </c>
      <c r="B4802" s="1" t="s">
        <v>4966</v>
      </c>
      <c r="C4802" s="1" t="s">
        <v>5059</v>
      </c>
      <c r="D4802" s="1" t="s">
        <v>5064</v>
      </c>
      <c r="E4802" s="1" t="s">
        <v>25</v>
      </c>
      <c r="F4802">
        <v>580</v>
      </c>
      <c r="G4802">
        <v>580</v>
      </c>
      <c r="H4802">
        <v>957.5</v>
      </c>
      <c r="I4802" s="1" t="s">
        <v>1528</v>
      </c>
      <c r="J4802" s="1" t="s">
        <v>1336</v>
      </c>
      <c r="K4802" s="1" t="s">
        <v>25</v>
      </c>
      <c r="L4802">
        <v>-1.0265740000000001</v>
      </c>
      <c r="M4802" t="str">
        <f t="shared" si="200"/>
        <v>44/40</v>
      </c>
      <c r="N4802" t="str">
        <f t="shared" si="201"/>
        <v>SW</v>
      </c>
      <c r="O4802" s="1" t="s">
        <v>25</v>
      </c>
      <c r="P4802" s="3" t="s">
        <v>25</v>
      </c>
      <c r="Q4802" s="37" t="s">
        <v>25</v>
      </c>
      <c r="R4802" t="str">
        <f t="shared" si="199"/>
        <v>Na</v>
      </c>
      <c r="S4802" s="13">
        <f t="shared" si="202"/>
        <v>-1.0265740000000001</v>
      </c>
    </row>
    <row r="4803" spans="1:19">
      <c r="A4803" s="18" t="s">
        <v>4106</v>
      </c>
      <c r="B4803" s="1" t="s">
        <v>4967</v>
      </c>
      <c r="C4803" s="1" t="s">
        <v>5059</v>
      </c>
      <c r="D4803" s="1" t="s">
        <v>5064</v>
      </c>
      <c r="E4803" s="1" t="s">
        <v>25</v>
      </c>
      <c r="F4803">
        <v>580</v>
      </c>
      <c r="G4803">
        <v>580</v>
      </c>
      <c r="H4803">
        <v>959</v>
      </c>
      <c r="I4803" s="1" t="s">
        <v>1528</v>
      </c>
      <c r="J4803" s="1" t="s">
        <v>1336</v>
      </c>
      <c r="K4803" s="1" t="s">
        <v>25</v>
      </c>
      <c r="L4803">
        <v>-0.97419699999999998</v>
      </c>
      <c r="M4803" t="str">
        <f t="shared" si="200"/>
        <v>44/40</v>
      </c>
      <c r="N4803" t="str">
        <f t="shared" si="201"/>
        <v>SW</v>
      </c>
      <c r="O4803" s="1" t="s">
        <v>25</v>
      </c>
      <c r="P4803" s="3" t="s">
        <v>25</v>
      </c>
      <c r="Q4803" s="37" t="s">
        <v>25</v>
      </c>
      <c r="R4803" t="str">
        <f t="shared" si="199"/>
        <v>Na</v>
      </c>
      <c r="S4803" s="13">
        <f t="shared" si="202"/>
        <v>-0.97419699999999998</v>
      </c>
    </row>
    <row r="4804" spans="1:19">
      <c r="A4804" s="18" t="s">
        <v>4106</v>
      </c>
      <c r="B4804" s="1" t="s">
        <v>4968</v>
      </c>
      <c r="C4804" s="1" t="s">
        <v>5059</v>
      </c>
      <c r="D4804" s="1" t="s">
        <v>5064</v>
      </c>
      <c r="E4804" s="1" t="s">
        <v>25</v>
      </c>
      <c r="F4804">
        <v>580</v>
      </c>
      <c r="G4804">
        <v>580</v>
      </c>
      <c r="H4804">
        <v>960</v>
      </c>
      <c r="I4804" s="1" t="s">
        <v>1528</v>
      </c>
      <c r="J4804" s="1" t="s">
        <v>1336</v>
      </c>
      <c r="K4804" s="1" t="s">
        <v>25</v>
      </c>
      <c r="L4804">
        <v>-1.3149786999999999</v>
      </c>
      <c r="M4804" t="str">
        <f t="shared" si="200"/>
        <v>44/40</v>
      </c>
      <c r="N4804" t="str">
        <f t="shared" si="201"/>
        <v>SW</v>
      </c>
      <c r="O4804" s="1" t="s">
        <v>25</v>
      </c>
      <c r="P4804" s="3" t="s">
        <v>25</v>
      </c>
      <c r="Q4804" s="37">
        <v>0.94767441900000005</v>
      </c>
      <c r="R4804" t="str">
        <f t="shared" si="199"/>
        <v>mmol/mol</v>
      </c>
      <c r="S4804" s="13">
        <f t="shared" si="202"/>
        <v>-1.3149786999999999</v>
      </c>
    </row>
    <row r="4805" spans="1:19">
      <c r="A4805" s="18" t="s">
        <v>4106</v>
      </c>
      <c r="B4805" s="1" t="s">
        <v>4969</v>
      </c>
      <c r="C4805" s="1" t="s">
        <v>5059</v>
      </c>
      <c r="D4805" s="1" t="s">
        <v>5064</v>
      </c>
      <c r="E4805" s="1" t="s">
        <v>25</v>
      </c>
      <c r="F4805">
        <v>580</v>
      </c>
      <c r="G4805">
        <v>580</v>
      </c>
      <c r="H4805">
        <v>961.6</v>
      </c>
      <c r="I4805" s="1" t="s">
        <v>1528</v>
      </c>
      <c r="J4805" s="1" t="s">
        <v>1336</v>
      </c>
      <c r="K4805" s="1" t="s">
        <v>25</v>
      </c>
      <c r="L4805">
        <v>-1.2590402000000001</v>
      </c>
      <c r="M4805" t="str">
        <f t="shared" si="200"/>
        <v>44/40</v>
      </c>
      <c r="N4805" t="str">
        <f t="shared" si="201"/>
        <v>SW</v>
      </c>
      <c r="O4805" s="1" t="s">
        <v>25</v>
      </c>
      <c r="P4805" s="3" t="s">
        <v>25</v>
      </c>
      <c r="Q4805" s="37">
        <v>0.91744186000000005</v>
      </c>
      <c r="R4805" t="str">
        <f t="shared" si="199"/>
        <v>mmol/mol</v>
      </c>
      <c r="S4805" s="13">
        <f t="shared" si="202"/>
        <v>-1.2590402000000001</v>
      </c>
    </row>
    <row r="4806" spans="1:19">
      <c r="A4806" s="18" t="s">
        <v>4106</v>
      </c>
      <c r="B4806" s="1" t="s">
        <v>4970</v>
      </c>
      <c r="C4806" s="1" t="s">
        <v>5059</v>
      </c>
      <c r="D4806" s="1" t="s">
        <v>5064</v>
      </c>
      <c r="E4806" s="1" t="s">
        <v>25</v>
      </c>
      <c r="F4806">
        <v>580</v>
      </c>
      <c r="G4806">
        <v>580</v>
      </c>
      <c r="H4806">
        <v>963</v>
      </c>
      <c r="I4806" s="1" t="s">
        <v>1528</v>
      </c>
      <c r="J4806" s="1" t="s">
        <v>1336</v>
      </c>
      <c r="K4806" s="1" t="s">
        <v>25</v>
      </c>
      <c r="L4806">
        <v>-1.2348668</v>
      </c>
      <c r="M4806" t="str">
        <f t="shared" si="200"/>
        <v>44/40</v>
      </c>
      <c r="N4806" t="str">
        <f t="shared" si="201"/>
        <v>SW</v>
      </c>
      <c r="O4806" s="1" t="s">
        <v>25</v>
      </c>
      <c r="P4806" s="3" t="s">
        <v>25</v>
      </c>
      <c r="Q4806" s="37">
        <v>0.71046511599999995</v>
      </c>
      <c r="R4806" t="str">
        <f t="shared" si="199"/>
        <v>mmol/mol</v>
      </c>
      <c r="S4806" s="13">
        <f t="shared" si="202"/>
        <v>-1.2348668</v>
      </c>
    </row>
    <row r="4807" spans="1:19">
      <c r="A4807" s="18" t="s">
        <v>4106</v>
      </c>
      <c r="B4807" s="1" t="s">
        <v>4971</v>
      </c>
      <c r="C4807" s="1" t="s">
        <v>5059</v>
      </c>
      <c r="D4807" s="1" t="s">
        <v>5064</v>
      </c>
      <c r="E4807" s="1" t="s">
        <v>25</v>
      </c>
      <c r="F4807">
        <v>580</v>
      </c>
      <c r="G4807">
        <v>580</v>
      </c>
      <c r="H4807">
        <v>964.8</v>
      </c>
      <c r="I4807" s="1" t="s">
        <v>1528</v>
      </c>
      <c r="J4807" s="1" t="s">
        <v>1336</v>
      </c>
      <c r="K4807" s="1" t="s">
        <v>25</v>
      </c>
      <c r="L4807">
        <v>-1.5925749</v>
      </c>
      <c r="M4807" t="str">
        <f t="shared" si="200"/>
        <v>44/40</v>
      </c>
      <c r="N4807" t="str">
        <f t="shared" si="201"/>
        <v>SW</v>
      </c>
      <c r="O4807" s="1" t="s">
        <v>25</v>
      </c>
      <c r="P4807" s="3" t="s">
        <v>25</v>
      </c>
      <c r="Q4807" s="37">
        <v>2.790697674</v>
      </c>
      <c r="R4807" t="str">
        <f t="shared" si="199"/>
        <v>mmol/mol</v>
      </c>
      <c r="S4807" s="13">
        <f t="shared" si="202"/>
        <v>-1.5925749</v>
      </c>
    </row>
    <row r="4808" spans="1:19">
      <c r="A4808" s="18" t="s">
        <v>4106</v>
      </c>
      <c r="B4808" s="1" t="s">
        <v>4972</v>
      </c>
      <c r="C4808" s="1" t="s">
        <v>5059</v>
      </c>
      <c r="D4808" s="1" t="s">
        <v>5064</v>
      </c>
      <c r="E4808" s="1" t="s">
        <v>25</v>
      </c>
      <c r="F4808">
        <v>580</v>
      </c>
      <c r="G4808">
        <v>580</v>
      </c>
      <c r="H4808">
        <v>966.3</v>
      </c>
      <c r="I4808" s="1" t="s">
        <v>1528</v>
      </c>
      <c r="J4808" s="1" t="s">
        <v>1336</v>
      </c>
      <c r="K4808" s="1" t="s">
        <v>25</v>
      </c>
      <c r="L4808">
        <v>-1.3972606999999999</v>
      </c>
      <c r="M4808" t="str">
        <f t="shared" si="200"/>
        <v>44/40</v>
      </c>
      <c r="N4808" t="str">
        <f t="shared" si="201"/>
        <v>SW</v>
      </c>
      <c r="O4808" s="1" t="s">
        <v>25</v>
      </c>
      <c r="P4808" s="3" t="s">
        <v>25</v>
      </c>
      <c r="Q4808" s="37">
        <v>4.88372093</v>
      </c>
      <c r="R4808" t="str">
        <f t="shared" si="199"/>
        <v>mmol/mol</v>
      </c>
      <c r="S4808" s="13">
        <f t="shared" si="202"/>
        <v>-1.3972606999999999</v>
      </c>
    </row>
    <row r="4809" spans="1:19">
      <c r="A4809" s="18" t="s">
        <v>4106</v>
      </c>
      <c r="B4809" s="1" t="s">
        <v>4973</v>
      </c>
      <c r="C4809" s="1" t="s">
        <v>5059</v>
      </c>
      <c r="D4809" s="1" t="s">
        <v>5064</v>
      </c>
      <c r="E4809" s="1" t="s">
        <v>25</v>
      </c>
      <c r="F4809">
        <v>580</v>
      </c>
      <c r="G4809">
        <v>580</v>
      </c>
      <c r="H4809">
        <v>967.5</v>
      </c>
      <c r="I4809" s="1" t="s">
        <v>1528</v>
      </c>
      <c r="J4809" s="1" t="s">
        <v>1336</v>
      </c>
      <c r="K4809" s="1" t="s">
        <v>25</v>
      </c>
      <c r="L4809">
        <v>-1.5399327</v>
      </c>
      <c r="M4809" t="str">
        <f t="shared" si="200"/>
        <v>44/40</v>
      </c>
      <c r="N4809" t="str">
        <f t="shared" si="201"/>
        <v>SW</v>
      </c>
      <c r="O4809" s="1" t="s">
        <v>25</v>
      </c>
      <c r="P4809" s="3" t="s">
        <v>25</v>
      </c>
      <c r="Q4809" s="37">
        <v>1.002325581</v>
      </c>
      <c r="R4809" t="str">
        <f t="shared" si="199"/>
        <v>mmol/mol</v>
      </c>
      <c r="S4809" s="13">
        <f t="shared" si="202"/>
        <v>-1.5399327</v>
      </c>
    </row>
    <row r="4810" spans="1:19">
      <c r="A4810" s="18" t="s">
        <v>4106</v>
      </c>
      <c r="B4810" s="1" t="s">
        <v>4974</v>
      </c>
      <c r="C4810" s="1" t="s">
        <v>5059</v>
      </c>
      <c r="D4810" s="1" t="s">
        <v>5064</v>
      </c>
      <c r="E4810" s="1" t="s">
        <v>25</v>
      </c>
      <c r="F4810">
        <v>580</v>
      </c>
      <c r="G4810">
        <v>580</v>
      </c>
      <c r="H4810">
        <v>968.9</v>
      </c>
      <c r="I4810" s="1" t="s">
        <v>1528</v>
      </c>
      <c r="J4810" s="1" t="s">
        <v>1336</v>
      </c>
      <c r="K4810" s="1" t="s">
        <v>25</v>
      </c>
      <c r="L4810">
        <v>-1.5154848999999999</v>
      </c>
      <c r="M4810" t="str">
        <f t="shared" si="200"/>
        <v>44/40</v>
      </c>
      <c r="N4810" t="str">
        <f t="shared" si="201"/>
        <v>SW</v>
      </c>
      <c r="O4810" s="1" t="s">
        <v>25</v>
      </c>
      <c r="P4810" s="3" t="s">
        <v>25</v>
      </c>
      <c r="Q4810" s="37">
        <v>3.0697674419999998</v>
      </c>
      <c r="R4810" t="str">
        <f t="shared" si="199"/>
        <v>mmol/mol</v>
      </c>
      <c r="S4810" s="13">
        <f t="shared" si="202"/>
        <v>-1.5154848999999999</v>
      </c>
    </row>
    <row r="4811" spans="1:19">
      <c r="A4811" s="18" t="s">
        <v>4106</v>
      </c>
      <c r="B4811" s="1" t="s">
        <v>4975</v>
      </c>
      <c r="C4811" s="1" t="s">
        <v>5059</v>
      </c>
      <c r="D4811" s="1" t="s">
        <v>5064</v>
      </c>
      <c r="E4811" s="1" t="s">
        <v>25</v>
      </c>
      <c r="F4811">
        <v>580</v>
      </c>
      <c r="G4811">
        <v>580</v>
      </c>
      <c r="H4811">
        <v>970.4</v>
      </c>
      <c r="I4811" s="1" t="s">
        <v>1528</v>
      </c>
      <c r="J4811" s="1" t="s">
        <v>1336</v>
      </c>
      <c r="K4811" s="1" t="s">
        <v>25</v>
      </c>
      <c r="L4811">
        <v>-1.6143765000000001</v>
      </c>
      <c r="M4811" t="str">
        <f t="shared" si="200"/>
        <v>44/40</v>
      </c>
      <c r="N4811" t="str">
        <f t="shared" si="201"/>
        <v>SW</v>
      </c>
      <c r="O4811" s="1" t="s">
        <v>25</v>
      </c>
      <c r="P4811" s="3" t="s">
        <v>25</v>
      </c>
      <c r="Q4811" s="37">
        <v>2.8139534880000001</v>
      </c>
      <c r="R4811" t="str">
        <f t="shared" si="199"/>
        <v>mmol/mol</v>
      </c>
      <c r="S4811" s="13">
        <f t="shared" si="202"/>
        <v>-1.6143765000000001</v>
      </c>
    </row>
    <row r="4812" spans="1:19">
      <c r="A4812" s="18" t="s">
        <v>4106</v>
      </c>
      <c r="B4812" s="1" t="s">
        <v>4976</v>
      </c>
      <c r="C4812" s="1" t="s">
        <v>5059</v>
      </c>
      <c r="D4812" s="1" t="s">
        <v>5064</v>
      </c>
      <c r="E4812" s="1" t="s">
        <v>25</v>
      </c>
      <c r="F4812">
        <v>580</v>
      </c>
      <c r="G4812">
        <v>580</v>
      </c>
      <c r="H4812">
        <v>975</v>
      </c>
      <c r="I4812" s="1" t="s">
        <v>1528</v>
      </c>
      <c r="J4812" s="1" t="s">
        <v>1336</v>
      </c>
      <c r="K4812" s="1" t="s">
        <v>25</v>
      </c>
      <c r="L4812">
        <v>-1.6347521</v>
      </c>
      <c r="M4812" t="str">
        <f t="shared" si="200"/>
        <v>44/40</v>
      </c>
      <c r="N4812" t="str">
        <f t="shared" si="201"/>
        <v>SW</v>
      </c>
      <c r="O4812" s="1" t="s">
        <v>25</v>
      </c>
      <c r="P4812" s="3" t="s">
        <v>25</v>
      </c>
      <c r="Q4812" s="37">
        <v>2.8953488369999998</v>
      </c>
      <c r="R4812" t="str">
        <f t="shared" si="199"/>
        <v>mmol/mol</v>
      </c>
      <c r="S4812" s="13">
        <f t="shared" si="202"/>
        <v>-1.6347521</v>
      </c>
    </row>
    <row r="4813" spans="1:19">
      <c r="A4813" s="18" t="s">
        <v>4106</v>
      </c>
      <c r="B4813" s="1" t="s">
        <v>4977</v>
      </c>
      <c r="C4813" s="1" t="s">
        <v>5059</v>
      </c>
      <c r="D4813" s="1" t="s">
        <v>5064</v>
      </c>
      <c r="E4813" s="1" t="s">
        <v>25</v>
      </c>
      <c r="F4813">
        <v>580</v>
      </c>
      <c r="G4813">
        <v>580</v>
      </c>
      <c r="H4813">
        <v>977.2</v>
      </c>
      <c r="I4813" s="1" t="s">
        <v>1528</v>
      </c>
      <c r="J4813" s="1" t="s">
        <v>1336</v>
      </c>
      <c r="K4813" s="1" t="s">
        <v>25</v>
      </c>
      <c r="L4813">
        <v>-1.2509874999999999</v>
      </c>
      <c r="M4813" t="str">
        <f t="shared" si="200"/>
        <v>44/40</v>
      </c>
      <c r="N4813" t="str">
        <f t="shared" si="201"/>
        <v>SW</v>
      </c>
      <c r="O4813" s="1" t="s">
        <v>25</v>
      </c>
      <c r="P4813" s="3" t="s">
        <v>25</v>
      </c>
      <c r="Q4813" s="37">
        <v>0.630232558</v>
      </c>
      <c r="R4813" t="str">
        <f t="shared" si="199"/>
        <v>mmol/mol</v>
      </c>
      <c r="S4813" s="13">
        <f t="shared" si="202"/>
        <v>-1.2509874999999999</v>
      </c>
    </row>
    <row r="4814" spans="1:19">
      <c r="A4814" s="18" t="s">
        <v>4106</v>
      </c>
      <c r="B4814" s="1" t="s">
        <v>4978</v>
      </c>
      <c r="C4814" s="1" t="s">
        <v>5059</v>
      </c>
      <c r="D4814" s="1" t="s">
        <v>5064</v>
      </c>
      <c r="E4814" s="1" t="s">
        <v>25</v>
      </c>
      <c r="F4814">
        <v>580</v>
      </c>
      <c r="G4814">
        <v>580</v>
      </c>
      <c r="H4814">
        <v>978.8</v>
      </c>
      <c r="I4814" s="1" t="s">
        <v>1528</v>
      </c>
      <c r="J4814" s="1" t="s">
        <v>1336</v>
      </c>
      <c r="K4814" s="1" t="s">
        <v>25</v>
      </c>
      <c r="L4814">
        <v>-1.5516098</v>
      </c>
      <c r="M4814" t="str">
        <f t="shared" si="200"/>
        <v>44/40</v>
      </c>
      <c r="N4814" t="str">
        <f t="shared" si="201"/>
        <v>SW</v>
      </c>
      <c r="O4814" s="1" t="s">
        <v>25</v>
      </c>
      <c r="P4814" s="3" t="s">
        <v>25</v>
      </c>
      <c r="Q4814" s="37">
        <v>1.2558139530000001</v>
      </c>
      <c r="R4814" t="str">
        <f t="shared" si="199"/>
        <v>mmol/mol</v>
      </c>
      <c r="S4814" s="13">
        <f t="shared" si="202"/>
        <v>-1.5516098</v>
      </c>
    </row>
    <row r="4815" spans="1:19">
      <c r="A4815" s="18" t="s">
        <v>4106</v>
      </c>
      <c r="B4815" s="1" t="s">
        <v>4979</v>
      </c>
      <c r="C4815" s="1" t="s">
        <v>5059</v>
      </c>
      <c r="D4815" s="1" t="s">
        <v>5064</v>
      </c>
      <c r="E4815" s="1" t="s">
        <v>25</v>
      </c>
      <c r="F4815">
        <v>580</v>
      </c>
      <c r="G4815">
        <v>580</v>
      </c>
      <c r="H4815">
        <v>980.6</v>
      </c>
      <c r="I4815" s="1" t="s">
        <v>1528</v>
      </c>
      <c r="J4815" s="1" t="s">
        <v>1336</v>
      </c>
      <c r="K4815" s="1" t="s">
        <v>25</v>
      </c>
      <c r="L4815" t="s">
        <v>25</v>
      </c>
      <c r="M4815" t="str">
        <f t="shared" si="200"/>
        <v>Na</v>
      </c>
      <c r="N4815" t="str">
        <f t="shared" si="201"/>
        <v>Na</v>
      </c>
      <c r="O4815" s="1" t="s">
        <v>25</v>
      </c>
      <c r="P4815" s="3" t="s">
        <v>25</v>
      </c>
      <c r="Q4815" s="37">
        <v>2.3255813949999999</v>
      </c>
      <c r="R4815" t="str">
        <f t="shared" si="199"/>
        <v>mmol/mol</v>
      </c>
      <c r="S4815" s="13" t="s">
        <v>25</v>
      </c>
    </row>
    <row r="4816" spans="1:19">
      <c r="A4816" s="18" t="s">
        <v>4106</v>
      </c>
      <c r="B4816" s="1" t="s">
        <v>4980</v>
      </c>
      <c r="C4816" s="1" t="s">
        <v>5059</v>
      </c>
      <c r="D4816" s="1" t="s">
        <v>5064</v>
      </c>
      <c r="E4816" s="1" t="s">
        <v>25</v>
      </c>
      <c r="F4816">
        <v>580</v>
      </c>
      <c r="G4816">
        <v>580</v>
      </c>
      <c r="H4816">
        <v>982.9</v>
      </c>
      <c r="I4816" s="1" t="s">
        <v>1528</v>
      </c>
      <c r="J4816" s="1" t="s">
        <v>1336</v>
      </c>
      <c r="K4816" s="1" t="s">
        <v>25</v>
      </c>
      <c r="L4816">
        <v>-1.5496715000000001</v>
      </c>
      <c r="M4816" t="str">
        <f t="shared" si="200"/>
        <v>44/40</v>
      </c>
      <c r="N4816" t="str">
        <f t="shared" si="201"/>
        <v>SW</v>
      </c>
      <c r="O4816" s="1" t="s">
        <v>25</v>
      </c>
      <c r="P4816" s="3" t="s">
        <v>25</v>
      </c>
      <c r="Q4816" s="37">
        <v>5.8604651160000003</v>
      </c>
      <c r="R4816" t="str">
        <f t="shared" si="199"/>
        <v>mmol/mol</v>
      </c>
      <c r="S4816" s="13">
        <f t="shared" si="202"/>
        <v>-1.5496715000000001</v>
      </c>
    </row>
    <row r="4817" spans="1:19">
      <c r="A4817" s="18" t="s">
        <v>4106</v>
      </c>
      <c r="B4817" s="1" t="s">
        <v>4981</v>
      </c>
      <c r="C4817" s="1" t="s">
        <v>5059</v>
      </c>
      <c r="D4817" s="1" t="s">
        <v>5064</v>
      </c>
      <c r="E4817" s="1" t="s">
        <v>25</v>
      </c>
      <c r="F4817">
        <v>580</v>
      </c>
      <c r="G4817">
        <v>580</v>
      </c>
      <c r="H4817">
        <v>986.2</v>
      </c>
      <c r="I4817" s="1" t="s">
        <v>1528</v>
      </c>
      <c r="J4817" s="1" t="s">
        <v>1336</v>
      </c>
      <c r="K4817" s="1" t="s">
        <v>25</v>
      </c>
      <c r="L4817" t="s">
        <v>25</v>
      </c>
      <c r="M4817" t="str">
        <f t="shared" si="200"/>
        <v>Na</v>
      </c>
      <c r="N4817" t="str">
        <f t="shared" si="201"/>
        <v>Na</v>
      </c>
      <c r="O4817" s="1" t="s">
        <v>25</v>
      </c>
      <c r="P4817" s="3" t="s">
        <v>25</v>
      </c>
      <c r="Q4817" s="37">
        <v>6.7906976739999996</v>
      </c>
      <c r="R4817" t="str">
        <f t="shared" si="199"/>
        <v>mmol/mol</v>
      </c>
      <c r="S4817" s="13" t="s">
        <v>25</v>
      </c>
    </row>
    <row r="4818" spans="1:19">
      <c r="A4818" s="18" t="s">
        <v>4106</v>
      </c>
      <c r="B4818" s="1" t="s">
        <v>4982</v>
      </c>
      <c r="C4818" s="1" t="s">
        <v>5059</v>
      </c>
      <c r="D4818" s="1" t="s">
        <v>5064</v>
      </c>
      <c r="E4818" s="1" t="s">
        <v>25</v>
      </c>
      <c r="F4818">
        <v>580</v>
      </c>
      <c r="G4818">
        <v>580</v>
      </c>
      <c r="H4818">
        <v>988.2</v>
      </c>
      <c r="I4818" s="1" t="s">
        <v>1528</v>
      </c>
      <c r="J4818" s="1" t="s">
        <v>1336</v>
      </c>
      <c r="K4818" s="1" t="s">
        <v>25</v>
      </c>
      <c r="L4818" t="s">
        <v>25</v>
      </c>
      <c r="M4818" t="str">
        <f t="shared" si="200"/>
        <v>Na</v>
      </c>
      <c r="N4818" t="str">
        <f t="shared" si="201"/>
        <v>Na</v>
      </c>
      <c r="O4818" s="1" t="s">
        <v>25</v>
      </c>
      <c r="P4818" s="3" t="s">
        <v>25</v>
      </c>
      <c r="Q4818" s="37">
        <v>1.279069767</v>
      </c>
      <c r="R4818" t="str">
        <f t="shared" si="199"/>
        <v>mmol/mol</v>
      </c>
      <c r="S4818" s="13" t="s">
        <v>25</v>
      </c>
    </row>
    <row r="4819" spans="1:19">
      <c r="A4819" s="18" t="s">
        <v>4106</v>
      </c>
      <c r="B4819" s="1" t="s">
        <v>4983</v>
      </c>
      <c r="C4819" s="1" t="s">
        <v>5059</v>
      </c>
      <c r="D4819" s="1" t="s">
        <v>5064</v>
      </c>
      <c r="E4819" s="1" t="s">
        <v>25</v>
      </c>
      <c r="F4819">
        <v>580</v>
      </c>
      <c r="G4819">
        <v>580</v>
      </c>
      <c r="H4819">
        <v>989.4</v>
      </c>
      <c r="I4819" s="1" t="s">
        <v>1528</v>
      </c>
      <c r="J4819" s="1" t="s">
        <v>1336</v>
      </c>
      <c r="K4819" s="1" t="s">
        <v>25</v>
      </c>
      <c r="L4819">
        <v>-1.0314496</v>
      </c>
      <c r="M4819" t="str">
        <f t="shared" si="200"/>
        <v>44/40</v>
      </c>
      <c r="N4819" t="str">
        <f t="shared" si="201"/>
        <v>SW</v>
      </c>
      <c r="O4819" s="1" t="s">
        <v>25</v>
      </c>
      <c r="P4819" s="3" t="s">
        <v>25</v>
      </c>
      <c r="Q4819" s="37" t="s">
        <v>25</v>
      </c>
      <c r="R4819" t="str">
        <f t="shared" si="199"/>
        <v>Na</v>
      </c>
      <c r="S4819" s="13">
        <f t="shared" si="202"/>
        <v>-1.0314496</v>
      </c>
    </row>
    <row r="4820" spans="1:19">
      <c r="A4820" s="18" t="s">
        <v>4106</v>
      </c>
      <c r="B4820" s="1" t="s">
        <v>4984</v>
      </c>
      <c r="C4820" s="1" t="s">
        <v>5059</v>
      </c>
      <c r="D4820" s="1" t="s">
        <v>5064</v>
      </c>
      <c r="E4820" s="1" t="s">
        <v>25</v>
      </c>
      <c r="F4820">
        <v>580</v>
      </c>
      <c r="G4820">
        <v>580</v>
      </c>
      <c r="H4820">
        <v>991.5</v>
      </c>
      <c r="I4820" s="1" t="s">
        <v>1528</v>
      </c>
      <c r="J4820" s="1" t="s">
        <v>1336</v>
      </c>
      <c r="K4820" s="1" t="s">
        <v>25</v>
      </c>
      <c r="L4820">
        <v>-1.5222089000000001</v>
      </c>
      <c r="M4820" t="str">
        <f t="shared" si="200"/>
        <v>44/40</v>
      </c>
      <c r="N4820" t="str">
        <f t="shared" si="201"/>
        <v>SW</v>
      </c>
      <c r="O4820" s="1" t="s">
        <v>25</v>
      </c>
      <c r="P4820" s="3" t="s">
        <v>25</v>
      </c>
      <c r="Q4820" s="37">
        <v>3.441860465</v>
      </c>
      <c r="R4820" t="str">
        <f t="shared" si="199"/>
        <v>mmol/mol</v>
      </c>
      <c r="S4820" s="13">
        <f t="shared" si="202"/>
        <v>-1.5222089000000001</v>
      </c>
    </row>
    <row r="4821" spans="1:19">
      <c r="A4821" s="18" t="s">
        <v>4106</v>
      </c>
      <c r="B4821" s="1" t="s">
        <v>4985</v>
      </c>
      <c r="C4821" s="1" t="s">
        <v>5059</v>
      </c>
      <c r="D4821" s="1" t="s">
        <v>5064</v>
      </c>
      <c r="E4821" s="1" t="s">
        <v>25</v>
      </c>
      <c r="F4821">
        <v>580</v>
      </c>
      <c r="G4821">
        <v>580</v>
      </c>
      <c r="H4821">
        <v>992.5</v>
      </c>
      <c r="I4821" s="1" t="s">
        <v>1528</v>
      </c>
      <c r="J4821" s="1" t="s">
        <v>1336</v>
      </c>
      <c r="K4821" s="1" t="s">
        <v>25</v>
      </c>
      <c r="L4821">
        <v>-1.4677347000000001</v>
      </c>
      <c r="M4821" t="str">
        <f t="shared" si="200"/>
        <v>44/40</v>
      </c>
      <c r="N4821" t="str">
        <f t="shared" si="201"/>
        <v>SW</v>
      </c>
      <c r="O4821" s="1" t="s">
        <v>25</v>
      </c>
      <c r="P4821" s="3" t="s">
        <v>25</v>
      </c>
      <c r="Q4821" s="37">
        <v>1.3139534879999999</v>
      </c>
      <c r="R4821" t="str">
        <f t="shared" si="199"/>
        <v>mmol/mol</v>
      </c>
      <c r="S4821" s="13">
        <f t="shared" si="202"/>
        <v>-1.4677347000000001</v>
      </c>
    </row>
    <row r="4822" spans="1:19">
      <c r="A4822" s="18" t="s">
        <v>4106</v>
      </c>
      <c r="B4822" s="1" t="s">
        <v>4986</v>
      </c>
      <c r="C4822" s="1" t="s">
        <v>5059</v>
      </c>
      <c r="D4822" s="1" t="s">
        <v>5064</v>
      </c>
      <c r="E4822" s="1" t="s">
        <v>25</v>
      </c>
      <c r="F4822">
        <v>580</v>
      </c>
      <c r="G4822">
        <v>580</v>
      </c>
      <c r="H4822">
        <v>995.1</v>
      </c>
      <c r="I4822" s="1" t="s">
        <v>1528</v>
      </c>
      <c r="J4822" s="1" t="s">
        <v>1336</v>
      </c>
      <c r="K4822" s="1" t="s">
        <v>25</v>
      </c>
      <c r="L4822">
        <v>-1.0118786</v>
      </c>
      <c r="M4822" t="str">
        <f t="shared" si="200"/>
        <v>44/40</v>
      </c>
      <c r="N4822" t="str">
        <f t="shared" si="201"/>
        <v>SW</v>
      </c>
      <c r="O4822" s="1" t="s">
        <v>25</v>
      </c>
      <c r="P4822" s="3" t="s">
        <v>25</v>
      </c>
      <c r="Q4822" s="37">
        <v>1.1860465120000001</v>
      </c>
      <c r="R4822" t="str">
        <f t="shared" si="199"/>
        <v>mmol/mol</v>
      </c>
      <c r="S4822" s="13">
        <f t="shared" si="202"/>
        <v>-1.0118786</v>
      </c>
    </row>
    <row r="4823" spans="1:19">
      <c r="A4823" s="18" t="s">
        <v>4106</v>
      </c>
      <c r="B4823" s="1" t="s">
        <v>4987</v>
      </c>
      <c r="C4823" s="1" t="s">
        <v>5059</v>
      </c>
      <c r="D4823" s="1" t="s">
        <v>5064</v>
      </c>
      <c r="E4823" s="1" t="s">
        <v>25</v>
      </c>
      <c r="F4823">
        <v>580</v>
      </c>
      <c r="G4823">
        <v>580</v>
      </c>
      <c r="H4823">
        <v>997.52</v>
      </c>
      <c r="I4823" s="1" t="s">
        <v>1528</v>
      </c>
      <c r="J4823" s="1" t="s">
        <v>1336</v>
      </c>
      <c r="K4823" s="1" t="s">
        <v>25</v>
      </c>
      <c r="L4823">
        <v>-1.1481224999999999</v>
      </c>
      <c r="M4823" t="str">
        <f t="shared" si="200"/>
        <v>44/40</v>
      </c>
      <c r="N4823" t="str">
        <f t="shared" si="201"/>
        <v>SW</v>
      </c>
      <c r="O4823" s="1" t="s">
        <v>25</v>
      </c>
      <c r="P4823" s="3" t="s">
        <v>25</v>
      </c>
      <c r="Q4823" s="37">
        <v>0.14418604700000001</v>
      </c>
      <c r="R4823" t="str">
        <f t="shared" si="199"/>
        <v>mmol/mol</v>
      </c>
      <c r="S4823" s="13">
        <f t="shared" si="202"/>
        <v>-1.1481224999999999</v>
      </c>
    </row>
    <row r="4824" spans="1:19">
      <c r="A4824" s="18" t="s">
        <v>4106</v>
      </c>
      <c r="B4824" s="1" t="s">
        <v>4988</v>
      </c>
      <c r="C4824" s="1" t="s">
        <v>5059</v>
      </c>
      <c r="D4824" s="1" t="s">
        <v>5064</v>
      </c>
      <c r="E4824" s="1" t="s">
        <v>25</v>
      </c>
      <c r="F4824">
        <v>580</v>
      </c>
      <c r="G4824">
        <v>580</v>
      </c>
      <c r="H4824">
        <v>1000.7</v>
      </c>
      <c r="I4824" s="1" t="s">
        <v>1528</v>
      </c>
      <c r="J4824" s="1" t="s">
        <v>1336</v>
      </c>
      <c r="K4824" s="1" t="s">
        <v>25</v>
      </c>
      <c r="L4824">
        <v>-1.4220401</v>
      </c>
      <c r="M4824" t="str">
        <f t="shared" si="200"/>
        <v>44/40</v>
      </c>
      <c r="N4824" t="str">
        <f t="shared" si="201"/>
        <v>SW</v>
      </c>
      <c r="O4824" s="1" t="s">
        <v>25</v>
      </c>
      <c r="P4824" s="3" t="s">
        <v>25</v>
      </c>
      <c r="Q4824" s="37" t="s">
        <v>25</v>
      </c>
      <c r="R4824" t="str">
        <f t="shared" si="199"/>
        <v>Na</v>
      </c>
      <c r="S4824" s="13">
        <f t="shared" si="202"/>
        <v>-1.4220401</v>
      </c>
    </row>
    <row r="4825" spans="1:19">
      <c r="A4825" s="18" t="s">
        <v>4106</v>
      </c>
      <c r="B4825" s="1" t="s">
        <v>4989</v>
      </c>
      <c r="C4825" s="1" t="s">
        <v>5059</v>
      </c>
      <c r="D4825" s="1" t="s">
        <v>5064</v>
      </c>
      <c r="E4825" s="1" t="s">
        <v>25</v>
      </c>
      <c r="F4825">
        <v>580</v>
      </c>
      <c r="G4825">
        <v>580</v>
      </c>
      <c r="H4825">
        <v>1002.32</v>
      </c>
      <c r="I4825" s="1" t="s">
        <v>1528</v>
      </c>
      <c r="J4825" s="1" t="s">
        <v>1336</v>
      </c>
      <c r="K4825" s="1" t="s">
        <v>25</v>
      </c>
      <c r="L4825">
        <v>-0.99276609999999998</v>
      </c>
      <c r="M4825" t="str">
        <f t="shared" si="200"/>
        <v>44/40</v>
      </c>
      <c r="N4825" t="str">
        <f t="shared" si="201"/>
        <v>SW</v>
      </c>
      <c r="O4825" s="1" t="s">
        <v>25</v>
      </c>
      <c r="P4825" s="3" t="s">
        <v>25</v>
      </c>
      <c r="Q4825" s="37">
        <v>1.9767442E-2</v>
      </c>
      <c r="R4825" t="str">
        <f t="shared" ref="R4825:R4888" si="203">IF(Q4825="Na","Na","mmol/mol")</f>
        <v>mmol/mol</v>
      </c>
      <c r="S4825" s="13">
        <f t="shared" si="202"/>
        <v>-0.99276609999999998</v>
      </c>
    </row>
    <row r="4826" spans="1:19">
      <c r="A4826" s="18" t="s">
        <v>4106</v>
      </c>
      <c r="B4826" s="1" t="s">
        <v>4990</v>
      </c>
      <c r="C4826" s="1" t="s">
        <v>5059</v>
      </c>
      <c r="D4826" s="1" t="s">
        <v>5064</v>
      </c>
      <c r="E4826" s="1" t="s">
        <v>25</v>
      </c>
      <c r="F4826">
        <v>580</v>
      </c>
      <c r="G4826">
        <v>580</v>
      </c>
      <c r="H4826">
        <v>1004</v>
      </c>
      <c r="I4826" s="1" t="s">
        <v>1528</v>
      </c>
      <c r="J4826" s="1" t="s">
        <v>1336</v>
      </c>
      <c r="K4826" s="1" t="s">
        <v>25</v>
      </c>
      <c r="L4826" t="s">
        <v>25</v>
      </c>
      <c r="M4826" t="str">
        <f t="shared" si="200"/>
        <v>Na</v>
      </c>
      <c r="N4826" t="str">
        <f t="shared" si="201"/>
        <v>Na</v>
      </c>
      <c r="O4826" s="1" t="s">
        <v>25</v>
      </c>
      <c r="P4826" s="3" t="s">
        <v>25</v>
      </c>
      <c r="Q4826" s="37" t="s">
        <v>25</v>
      </c>
      <c r="R4826" t="str">
        <f t="shared" si="203"/>
        <v>Na</v>
      </c>
      <c r="S4826" s="13" t="s">
        <v>25</v>
      </c>
    </row>
    <row r="4827" spans="1:19">
      <c r="A4827" s="18" t="s">
        <v>4106</v>
      </c>
      <c r="B4827" s="1" t="s">
        <v>4991</v>
      </c>
      <c r="C4827" s="1" t="s">
        <v>5059</v>
      </c>
      <c r="D4827" s="1" t="s">
        <v>5064</v>
      </c>
      <c r="E4827" s="1" t="s">
        <v>25</v>
      </c>
      <c r="F4827">
        <v>580</v>
      </c>
      <c r="G4827">
        <v>580</v>
      </c>
      <c r="H4827">
        <v>1008.21</v>
      </c>
      <c r="I4827" s="1" t="s">
        <v>1528</v>
      </c>
      <c r="J4827" s="1" t="s">
        <v>1336</v>
      </c>
      <c r="K4827" s="1" t="s">
        <v>25</v>
      </c>
      <c r="L4827" t="s">
        <v>25</v>
      </c>
      <c r="M4827" t="str">
        <f t="shared" si="200"/>
        <v>Na</v>
      </c>
      <c r="N4827" t="str">
        <f t="shared" si="201"/>
        <v>Na</v>
      </c>
      <c r="O4827" s="1" t="s">
        <v>25</v>
      </c>
      <c r="P4827" s="3" t="s">
        <v>25</v>
      </c>
      <c r="Q4827" s="37">
        <v>0.45465116300000002</v>
      </c>
      <c r="R4827" t="str">
        <f t="shared" si="203"/>
        <v>mmol/mol</v>
      </c>
      <c r="S4827" s="13" t="s">
        <v>25</v>
      </c>
    </row>
    <row r="4828" spans="1:19">
      <c r="A4828" s="18" t="s">
        <v>4106</v>
      </c>
      <c r="B4828" s="1" t="s">
        <v>4992</v>
      </c>
      <c r="C4828" s="1" t="s">
        <v>5059</v>
      </c>
      <c r="D4828" s="1" t="s">
        <v>5064</v>
      </c>
      <c r="E4828" s="1" t="s">
        <v>25</v>
      </c>
      <c r="F4828">
        <v>580</v>
      </c>
      <c r="G4828">
        <v>580</v>
      </c>
      <c r="H4828">
        <v>1010.5</v>
      </c>
      <c r="I4828" s="1" t="s">
        <v>1528</v>
      </c>
      <c r="J4828" s="1" t="s">
        <v>1336</v>
      </c>
      <c r="K4828" s="1" t="s">
        <v>25</v>
      </c>
      <c r="L4828" t="s">
        <v>25</v>
      </c>
      <c r="M4828" t="str">
        <f t="shared" si="200"/>
        <v>Na</v>
      </c>
      <c r="N4828" t="str">
        <f t="shared" si="201"/>
        <v>Na</v>
      </c>
      <c r="O4828" s="1" t="s">
        <v>25</v>
      </c>
      <c r="P4828" s="3" t="s">
        <v>25</v>
      </c>
      <c r="Q4828" s="37">
        <v>0.50348837199999996</v>
      </c>
      <c r="R4828" t="str">
        <f t="shared" si="203"/>
        <v>mmol/mol</v>
      </c>
      <c r="S4828" s="13" t="s">
        <v>25</v>
      </c>
    </row>
    <row r="4829" spans="1:19">
      <c r="A4829" s="18" t="s">
        <v>4106</v>
      </c>
      <c r="B4829" s="1" t="s">
        <v>4993</v>
      </c>
      <c r="C4829" s="1" t="s">
        <v>5059</v>
      </c>
      <c r="D4829" s="1" t="s">
        <v>5064</v>
      </c>
      <c r="E4829" s="1" t="s">
        <v>25</v>
      </c>
      <c r="F4829">
        <v>580</v>
      </c>
      <c r="G4829">
        <v>580</v>
      </c>
      <c r="H4829">
        <v>1013.5</v>
      </c>
      <c r="I4829" s="1" t="s">
        <v>1528</v>
      </c>
      <c r="J4829" s="1" t="s">
        <v>1336</v>
      </c>
      <c r="K4829" s="1" t="s">
        <v>25</v>
      </c>
      <c r="L4829">
        <v>-1.4096586</v>
      </c>
      <c r="M4829" t="str">
        <f t="shared" si="200"/>
        <v>44/40</v>
      </c>
      <c r="N4829" t="str">
        <f t="shared" si="201"/>
        <v>SW</v>
      </c>
      <c r="O4829" s="1" t="s">
        <v>25</v>
      </c>
      <c r="P4829" s="3" t="s">
        <v>25</v>
      </c>
      <c r="Q4829" s="37" t="s">
        <v>25</v>
      </c>
      <c r="R4829" t="str">
        <f t="shared" si="203"/>
        <v>Na</v>
      </c>
      <c r="S4829" s="13">
        <f t="shared" si="202"/>
        <v>-1.4096586</v>
      </c>
    </row>
    <row r="4830" spans="1:19">
      <c r="A4830" s="18" t="s">
        <v>4106</v>
      </c>
      <c r="B4830" s="1" t="s">
        <v>4994</v>
      </c>
      <c r="C4830" s="1" t="s">
        <v>5059</v>
      </c>
      <c r="D4830" s="1" t="s">
        <v>5064</v>
      </c>
      <c r="E4830" s="1" t="s">
        <v>25</v>
      </c>
      <c r="F4830">
        <v>580</v>
      </c>
      <c r="G4830">
        <v>580</v>
      </c>
      <c r="H4830">
        <v>1017</v>
      </c>
      <c r="I4830" s="1" t="s">
        <v>1528</v>
      </c>
      <c r="J4830" s="1" t="s">
        <v>1336</v>
      </c>
      <c r="K4830" s="1" t="s">
        <v>25</v>
      </c>
      <c r="L4830" t="s">
        <v>25</v>
      </c>
      <c r="M4830" t="str">
        <f t="shared" si="200"/>
        <v>Na</v>
      </c>
      <c r="N4830" t="str">
        <f t="shared" si="201"/>
        <v>Na</v>
      </c>
      <c r="O4830" s="1" t="s">
        <v>25</v>
      </c>
      <c r="P4830" s="3" t="s">
        <v>25</v>
      </c>
      <c r="Q4830" s="37">
        <v>0.53023255800000002</v>
      </c>
      <c r="R4830" t="str">
        <f t="shared" si="203"/>
        <v>mmol/mol</v>
      </c>
      <c r="S4830" s="13" t="s">
        <v>25</v>
      </c>
    </row>
    <row r="4831" spans="1:19">
      <c r="A4831" s="18" t="s">
        <v>4106</v>
      </c>
      <c r="B4831" s="1" t="s">
        <v>4995</v>
      </c>
      <c r="C4831" s="1" t="s">
        <v>5059</v>
      </c>
      <c r="D4831" s="1" t="s">
        <v>5064</v>
      </c>
      <c r="E4831" s="1" t="s">
        <v>25</v>
      </c>
      <c r="F4831">
        <v>580</v>
      </c>
      <c r="G4831">
        <v>580</v>
      </c>
      <c r="H4831">
        <v>1021.5</v>
      </c>
      <c r="I4831" s="1" t="s">
        <v>1528</v>
      </c>
      <c r="J4831" s="1" t="s">
        <v>1336</v>
      </c>
      <c r="K4831" s="1" t="s">
        <v>25</v>
      </c>
      <c r="L4831" t="s">
        <v>25</v>
      </c>
      <c r="M4831" t="str">
        <f t="shared" si="200"/>
        <v>Na</v>
      </c>
      <c r="N4831" t="str">
        <f t="shared" si="201"/>
        <v>Na</v>
      </c>
      <c r="O4831" s="1" t="s">
        <v>25</v>
      </c>
      <c r="P4831" s="3" t="s">
        <v>25</v>
      </c>
      <c r="Q4831" s="37">
        <v>0.26162790699999999</v>
      </c>
      <c r="R4831" t="str">
        <f t="shared" si="203"/>
        <v>mmol/mol</v>
      </c>
      <c r="S4831" s="13" t="s">
        <v>25</v>
      </c>
    </row>
    <row r="4832" spans="1:19">
      <c r="A4832" s="18" t="s">
        <v>4106</v>
      </c>
      <c r="B4832" s="1" t="s">
        <v>4996</v>
      </c>
      <c r="C4832" s="1" t="s">
        <v>5059</v>
      </c>
      <c r="D4832" s="1" t="s">
        <v>5064</v>
      </c>
      <c r="E4832" s="1" t="s">
        <v>25</v>
      </c>
      <c r="F4832">
        <v>580</v>
      </c>
      <c r="G4832">
        <v>580</v>
      </c>
      <c r="H4832">
        <v>1023</v>
      </c>
      <c r="I4832" s="1" t="s">
        <v>1528</v>
      </c>
      <c r="J4832" s="1" t="s">
        <v>1336</v>
      </c>
      <c r="K4832" s="1" t="s">
        <v>25</v>
      </c>
      <c r="L4832">
        <v>-1.3436380999999999</v>
      </c>
      <c r="M4832" t="str">
        <f t="shared" si="200"/>
        <v>44/40</v>
      </c>
      <c r="N4832" t="str">
        <f t="shared" si="201"/>
        <v>SW</v>
      </c>
      <c r="O4832" s="1" t="s">
        <v>25</v>
      </c>
      <c r="P4832" s="3" t="s">
        <v>25</v>
      </c>
      <c r="Q4832" s="37">
        <v>0.73372093000000005</v>
      </c>
      <c r="R4832" t="str">
        <f t="shared" si="203"/>
        <v>mmol/mol</v>
      </c>
      <c r="S4832" s="13">
        <f t="shared" si="202"/>
        <v>-1.3436380999999999</v>
      </c>
    </row>
    <row r="4833" spans="1:19">
      <c r="A4833" s="18" t="s">
        <v>4106</v>
      </c>
      <c r="B4833" s="1" t="s">
        <v>4997</v>
      </c>
      <c r="C4833" s="1" t="s">
        <v>5059</v>
      </c>
      <c r="D4833" s="1" t="s">
        <v>5064</v>
      </c>
      <c r="E4833" s="1" t="s">
        <v>25</v>
      </c>
      <c r="F4833">
        <v>580</v>
      </c>
      <c r="G4833">
        <v>580</v>
      </c>
      <c r="H4833">
        <v>1027.3</v>
      </c>
      <c r="I4833" s="1" t="s">
        <v>1528</v>
      </c>
      <c r="J4833" s="1" t="s">
        <v>1491</v>
      </c>
      <c r="K4833" s="1" t="s">
        <v>25</v>
      </c>
      <c r="L4833" t="s">
        <v>25</v>
      </c>
      <c r="M4833" t="str">
        <f t="shared" si="200"/>
        <v>Na</v>
      </c>
      <c r="N4833" t="str">
        <f t="shared" si="201"/>
        <v>Na</v>
      </c>
      <c r="O4833" s="1" t="s">
        <v>25</v>
      </c>
      <c r="P4833" s="3" t="s">
        <v>25</v>
      </c>
      <c r="Q4833" s="37">
        <v>0.15116279099999999</v>
      </c>
      <c r="R4833" t="str">
        <f t="shared" si="203"/>
        <v>mmol/mol</v>
      </c>
      <c r="S4833" s="13" t="s">
        <v>25</v>
      </c>
    </row>
    <row r="4834" spans="1:19">
      <c r="A4834" s="18" t="s">
        <v>4106</v>
      </c>
      <c r="B4834" s="1" t="s">
        <v>4998</v>
      </c>
      <c r="C4834" s="1" t="s">
        <v>5059</v>
      </c>
      <c r="D4834" s="1" t="s">
        <v>5064</v>
      </c>
      <c r="E4834" s="1" t="s">
        <v>25</v>
      </c>
      <c r="F4834">
        <v>580</v>
      </c>
      <c r="G4834">
        <v>580</v>
      </c>
      <c r="H4834">
        <v>1029</v>
      </c>
      <c r="I4834" s="1" t="s">
        <v>1528</v>
      </c>
      <c r="J4834" s="1" t="s">
        <v>1491</v>
      </c>
      <c r="K4834" s="1" t="s">
        <v>25</v>
      </c>
      <c r="L4834" t="s">
        <v>25</v>
      </c>
      <c r="M4834" t="str">
        <f t="shared" si="200"/>
        <v>Na</v>
      </c>
      <c r="N4834" t="str">
        <f t="shared" si="201"/>
        <v>Na</v>
      </c>
      <c r="O4834" s="1" t="s">
        <v>25</v>
      </c>
      <c r="P4834" s="3" t="s">
        <v>25</v>
      </c>
      <c r="Q4834" s="37">
        <v>0.11744186</v>
      </c>
      <c r="R4834" t="str">
        <f t="shared" si="203"/>
        <v>mmol/mol</v>
      </c>
      <c r="S4834" s="13" t="s">
        <v>25</v>
      </c>
    </row>
    <row r="4835" spans="1:19">
      <c r="A4835" s="18" t="s">
        <v>4106</v>
      </c>
      <c r="B4835" s="1" t="s">
        <v>4999</v>
      </c>
      <c r="C4835" s="1" t="s">
        <v>5059</v>
      </c>
      <c r="D4835" s="1" t="s">
        <v>5064</v>
      </c>
      <c r="E4835" s="1" t="s">
        <v>25</v>
      </c>
      <c r="F4835">
        <v>580</v>
      </c>
      <c r="G4835">
        <v>580</v>
      </c>
      <c r="H4835">
        <v>1032.5</v>
      </c>
      <c r="I4835" s="1" t="s">
        <v>1528</v>
      </c>
      <c r="J4835" s="1" t="s">
        <v>1491</v>
      </c>
      <c r="K4835" s="1" t="s">
        <v>25</v>
      </c>
      <c r="L4835" t="s">
        <v>25</v>
      </c>
      <c r="M4835" t="str">
        <f t="shared" si="200"/>
        <v>Na</v>
      </c>
      <c r="N4835" t="str">
        <f t="shared" si="201"/>
        <v>Na</v>
      </c>
      <c r="O4835" s="1" t="s">
        <v>25</v>
      </c>
      <c r="P4835" s="3" t="s">
        <v>25</v>
      </c>
      <c r="Q4835" s="37">
        <v>8.7209302000000002E-2</v>
      </c>
      <c r="R4835" t="str">
        <f t="shared" si="203"/>
        <v>mmol/mol</v>
      </c>
      <c r="S4835" s="13" t="s">
        <v>25</v>
      </c>
    </row>
    <row r="4836" spans="1:19">
      <c r="A4836" s="18" t="s">
        <v>4106</v>
      </c>
      <c r="B4836" s="1" t="s">
        <v>5000</v>
      </c>
      <c r="C4836" s="1" t="s">
        <v>5059</v>
      </c>
      <c r="D4836" s="1" t="s">
        <v>5064</v>
      </c>
      <c r="E4836" s="1" t="s">
        <v>25</v>
      </c>
      <c r="F4836">
        <v>580</v>
      </c>
      <c r="G4836">
        <v>580</v>
      </c>
      <c r="H4836">
        <v>1035.51</v>
      </c>
      <c r="I4836" s="1" t="s">
        <v>1528</v>
      </c>
      <c r="J4836" s="1" t="s">
        <v>1491</v>
      </c>
      <c r="K4836" s="1" t="s">
        <v>25</v>
      </c>
      <c r="L4836" t="s">
        <v>25</v>
      </c>
      <c r="M4836" t="str">
        <f t="shared" si="200"/>
        <v>Na</v>
      </c>
      <c r="N4836" t="str">
        <f t="shared" si="201"/>
        <v>Na</v>
      </c>
      <c r="O4836" s="1" t="s">
        <v>25</v>
      </c>
      <c r="P4836" s="3" t="s">
        <v>25</v>
      </c>
      <c r="Q4836" s="37">
        <v>6.1744186E-2</v>
      </c>
      <c r="R4836" t="str">
        <f t="shared" si="203"/>
        <v>mmol/mol</v>
      </c>
      <c r="S4836" s="13" t="s">
        <v>25</v>
      </c>
    </row>
    <row r="4837" spans="1:19">
      <c r="A4837" s="18" t="s">
        <v>4106</v>
      </c>
      <c r="B4837" s="1" t="s">
        <v>5001</v>
      </c>
      <c r="C4837" s="1" t="s">
        <v>5059</v>
      </c>
      <c r="D4837" s="1" t="s">
        <v>5064</v>
      </c>
      <c r="E4837" s="1" t="s">
        <v>25</v>
      </c>
      <c r="F4837">
        <v>580</v>
      </c>
      <c r="G4837">
        <v>580</v>
      </c>
      <c r="H4837">
        <v>1037</v>
      </c>
      <c r="I4837" s="1" t="s">
        <v>1528</v>
      </c>
      <c r="J4837" s="1" t="s">
        <v>1491</v>
      </c>
      <c r="K4837" s="1" t="s">
        <v>25</v>
      </c>
      <c r="L4837" t="s">
        <v>25</v>
      </c>
      <c r="M4837" t="str">
        <f t="shared" si="200"/>
        <v>Na</v>
      </c>
      <c r="N4837" t="str">
        <f t="shared" si="201"/>
        <v>Na</v>
      </c>
      <c r="O4837" s="1" t="s">
        <v>25</v>
      </c>
      <c r="P4837" s="3" t="s">
        <v>25</v>
      </c>
      <c r="Q4837" s="37">
        <v>4.9418604999999997E-2</v>
      </c>
      <c r="R4837" t="str">
        <f t="shared" si="203"/>
        <v>mmol/mol</v>
      </c>
      <c r="S4837" s="13" t="s">
        <v>25</v>
      </c>
    </row>
    <row r="4838" spans="1:19">
      <c r="A4838" s="18" t="s">
        <v>4106</v>
      </c>
      <c r="B4838" s="1" t="s">
        <v>5002</v>
      </c>
      <c r="C4838" s="1" t="s">
        <v>5059</v>
      </c>
      <c r="D4838" s="1" t="s">
        <v>5064</v>
      </c>
      <c r="E4838" s="1" t="s">
        <v>25</v>
      </c>
      <c r="F4838">
        <v>580</v>
      </c>
      <c r="G4838">
        <v>580</v>
      </c>
      <c r="H4838">
        <v>1038</v>
      </c>
      <c r="I4838" s="1" t="s">
        <v>1528</v>
      </c>
      <c r="J4838" s="1" t="s">
        <v>1491</v>
      </c>
      <c r="K4838" s="1" t="s">
        <v>25</v>
      </c>
      <c r="L4838" t="s">
        <v>25</v>
      </c>
      <c r="M4838" t="str">
        <f t="shared" si="200"/>
        <v>Na</v>
      </c>
      <c r="N4838" t="str">
        <f t="shared" si="201"/>
        <v>Na</v>
      </c>
      <c r="O4838" s="1" t="s">
        <v>25</v>
      </c>
      <c r="P4838" s="3" t="s">
        <v>25</v>
      </c>
      <c r="Q4838" s="37">
        <v>7.0930232999999995E-2</v>
      </c>
      <c r="R4838" t="str">
        <f t="shared" si="203"/>
        <v>mmol/mol</v>
      </c>
      <c r="S4838" s="13" t="s">
        <v>25</v>
      </c>
    </row>
    <row r="4839" spans="1:19">
      <c r="A4839" s="18" t="s">
        <v>4106</v>
      </c>
      <c r="B4839" s="1" t="s">
        <v>5003</v>
      </c>
      <c r="C4839" s="1" t="s">
        <v>5059</v>
      </c>
      <c r="D4839" s="1" t="s">
        <v>5064</v>
      </c>
      <c r="E4839" s="1" t="s">
        <v>25</v>
      </c>
      <c r="F4839">
        <v>580</v>
      </c>
      <c r="G4839">
        <v>580</v>
      </c>
      <c r="H4839">
        <v>1041</v>
      </c>
      <c r="I4839" s="1" t="s">
        <v>1528</v>
      </c>
      <c r="J4839" s="1" t="s">
        <v>1491</v>
      </c>
      <c r="K4839" s="1" t="s">
        <v>25</v>
      </c>
      <c r="L4839" t="s">
        <v>25</v>
      </c>
      <c r="M4839" t="str">
        <f t="shared" si="200"/>
        <v>Na</v>
      </c>
      <c r="N4839" t="str">
        <f t="shared" si="201"/>
        <v>Na</v>
      </c>
      <c r="O4839" s="1" t="s">
        <v>25</v>
      </c>
      <c r="P4839" s="3" t="s">
        <v>25</v>
      </c>
      <c r="Q4839" s="37">
        <v>5.9767441999999997E-2</v>
      </c>
      <c r="R4839" t="str">
        <f t="shared" si="203"/>
        <v>mmol/mol</v>
      </c>
      <c r="S4839" s="13" t="s">
        <v>25</v>
      </c>
    </row>
    <row r="4840" spans="1:19">
      <c r="A4840" s="18" t="s">
        <v>4106</v>
      </c>
      <c r="B4840" s="1" t="s">
        <v>5004</v>
      </c>
      <c r="C4840" s="1" t="s">
        <v>5059</v>
      </c>
      <c r="D4840" s="1" t="s">
        <v>5064</v>
      </c>
      <c r="E4840" s="1" t="s">
        <v>25</v>
      </c>
      <c r="F4840">
        <v>580</v>
      </c>
      <c r="G4840">
        <v>580</v>
      </c>
      <c r="H4840">
        <v>1044</v>
      </c>
      <c r="I4840" s="1" t="s">
        <v>1528</v>
      </c>
      <c r="J4840" s="1" t="s">
        <v>1491</v>
      </c>
      <c r="K4840" s="1" t="s">
        <v>25</v>
      </c>
      <c r="L4840" t="s">
        <v>25</v>
      </c>
      <c r="M4840" t="str">
        <f t="shared" si="200"/>
        <v>Na</v>
      </c>
      <c r="N4840" t="str">
        <f t="shared" si="201"/>
        <v>Na</v>
      </c>
      <c r="O4840" s="1" t="s">
        <v>25</v>
      </c>
      <c r="P4840" s="3" t="s">
        <v>25</v>
      </c>
      <c r="Q4840" s="37" t="s">
        <v>25</v>
      </c>
      <c r="R4840" t="str">
        <f t="shared" si="203"/>
        <v>Na</v>
      </c>
      <c r="S4840" s="13" t="s">
        <v>25</v>
      </c>
    </row>
    <row r="4841" spans="1:19">
      <c r="A4841" s="18" t="s">
        <v>4106</v>
      </c>
      <c r="B4841" s="1" t="s">
        <v>5005</v>
      </c>
      <c r="C4841" s="1" t="s">
        <v>5059</v>
      </c>
      <c r="D4841" s="1" t="s">
        <v>5064</v>
      </c>
      <c r="E4841" s="1" t="s">
        <v>25</v>
      </c>
      <c r="F4841">
        <v>580</v>
      </c>
      <c r="G4841">
        <v>580</v>
      </c>
      <c r="H4841">
        <v>0.2</v>
      </c>
      <c r="I4841" s="1" t="s">
        <v>1528</v>
      </c>
      <c r="J4841" s="1" t="s">
        <v>1491</v>
      </c>
      <c r="K4841" s="1" t="s">
        <v>25</v>
      </c>
      <c r="L4841" t="s">
        <v>25</v>
      </c>
      <c r="M4841" t="str">
        <f t="shared" si="200"/>
        <v>Na</v>
      </c>
      <c r="N4841" t="str">
        <f t="shared" si="201"/>
        <v>Na</v>
      </c>
      <c r="O4841" s="1" t="s">
        <v>25</v>
      </c>
      <c r="P4841" s="3" t="s">
        <v>25</v>
      </c>
      <c r="Q4841" s="37">
        <v>4.2093023E-2</v>
      </c>
      <c r="R4841" t="str">
        <f t="shared" si="203"/>
        <v>mmol/mol</v>
      </c>
      <c r="S4841" s="13" t="s">
        <v>25</v>
      </c>
    </row>
    <row r="4842" spans="1:19">
      <c r="A4842" s="18" t="s">
        <v>4106</v>
      </c>
      <c r="B4842" s="1" t="s">
        <v>5006</v>
      </c>
      <c r="C4842" s="1" t="s">
        <v>5059</v>
      </c>
      <c r="D4842" s="1" t="s">
        <v>5064</v>
      </c>
      <c r="E4842" s="1" t="s">
        <v>25</v>
      </c>
      <c r="F4842">
        <v>580</v>
      </c>
      <c r="G4842">
        <v>580</v>
      </c>
      <c r="H4842">
        <v>2.1</v>
      </c>
      <c r="I4842" s="1" t="s">
        <v>1528</v>
      </c>
      <c r="J4842" s="1" t="s">
        <v>1491</v>
      </c>
      <c r="K4842" s="1" t="s">
        <v>25</v>
      </c>
      <c r="L4842" t="s">
        <v>25</v>
      </c>
      <c r="M4842" t="str">
        <f t="shared" si="200"/>
        <v>Na</v>
      </c>
      <c r="N4842" t="str">
        <f t="shared" si="201"/>
        <v>Na</v>
      </c>
      <c r="O4842" s="1" t="s">
        <v>25</v>
      </c>
      <c r="P4842" s="3" t="s">
        <v>25</v>
      </c>
      <c r="Q4842" s="37">
        <v>0.29418604700000001</v>
      </c>
      <c r="R4842" t="str">
        <f t="shared" si="203"/>
        <v>mmol/mol</v>
      </c>
      <c r="S4842" s="13" t="s">
        <v>25</v>
      </c>
    </row>
    <row r="4843" spans="1:19">
      <c r="A4843" s="18" t="s">
        <v>4106</v>
      </c>
      <c r="B4843" s="1" t="s">
        <v>5007</v>
      </c>
      <c r="C4843" s="1" t="s">
        <v>5059</v>
      </c>
      <c r="D4843" s="1" t="s">
        <v>5064</v>
      </c>
      <c r="E4843" s="1" t="s">
        <v>25</v>
      </c>
      <c r="F4843">
        <v>580</v>
      </c>
      <c r="G4843">
        <v>580</v>
      </c>
      <c r="H4843">
        <v>2.5</v>
      </c>
      <c r="I4843" s="1" t="s">
        <v>1528</v>
      </c>
      <c r="J4843" s="1" t="s">
        <v>1491</v>
      </c>
      <c r="K4843" s="1" t="s">
        <v>25</v>
      </c>
      <c r="L4843" t="s">
        <v>25</v>
      </c>
      <c r="M4843" t="str">
        <f t="shared" si="200"/>
        <v>Na</v>
      </c>
      <c r="N4843" t="str">
        <f t="shared" si="201"/>
        <v>Na</v>
      </c>
      <c r="O4843" s="1" t="s">
        <v>25</v>
      </c>
      <c r="P4843" s="3" t="s">
        <v>25</v>
      </c>
      <c r="Q4843" s="37">
        <v>0.33604651200000002</v>
      </c>
      <c r="R4843" t="str">
        <f t="shared" si="203"/>
        <v>mmol/mol</v>
      </c>
      <c r="S4843" s="13" t="s">
        <v>25</v>
      </c>
    </row>
    <row r="4844" spans="1:19">
      <c r="A4844" s="18" t="s">
        <v>4106</v>
      </c>
      <c r="B4844" s="1" t="s">
        <v>5008</v>
      </c>
      <c r="C4844" s="1" t="s">
        <v>5059</v>
      </c>
      <c r="D4844" s="1" t="s">
        <v>5064</v>
      </c>
      <c r="E4844" s="1" t="s">
        <v>25</v>
      </c>
      <c r="F4844">
        <v>580</v>
      </c>
      <c r="G4844">
        <v>580</v>
      </c>
      <c r="H4844">
        <v>3.1</v>
      </c>
      <c r="I4844" s="1" t="s">
        <v>1528</v>
      </c>
      <c r="J4844" s="1" t="s">
        <v>1491</v>
      </c>
      <c r="K4844" s="1" t="s">
        <v>25</v>
      </c>
      <c r="L4844">
        <v>-1.0709514</v>
      </c>
      <c r="M4844" t="str">
        <f t="shared" si="200"/>
        <v>44/40</v>
      </c>
      <c r="N4844" t="str">
        <f t="shared" si="201"/>
        <v>SW</v>
      </c>
      <c r="O4844" s="1" t="s">
        <v>25</v>
      </c>
      <c r="P4844" s="3" t="s">
        <v>25</v>
      </c>
      <c r="Q4844" s="37">
        <v>5.7441859999999997E-2</v>
      </c>
      <c r="R4844" t="str">
        <f t="shared" si="203"/>
        <v>mmol/mol</v>
      </c>
      <c r="S4844" s="13">
        <f t="shared" ref="S4844:S4907" si="204">IF(NOT(N4844="SW"),L4844-1.88,L4844)</f>
        <v>-1.0709514</v>
      </c>
    </row>
    <row r="4845" spans="1:19">
      <c r="A4845" s="18" t="s">
        <v>4106</v>
      </c>
      <c r="B4845" s="1" t="s">
        <v>5009</v>
      </c>
      <c r="C4845" s="1" t="s">
        <v>5059</v>
      </c>
      <c r="D4845" s="1" t="s">
        <v>5064</v>
      </c>
      <c r="E4845" s="1" t="s">
        <v>25</v>
      </c>
      <c r="F4845">
        <v>580</v>
      </c>
      <c r="G4845">
        <v>580</v>
      </c>
      <c r="H4845">
        <v>3.8</v>
      </c>
      <c r="I4845" s="1" t="s">
        <v>1528</v>
      </c>
      <c r="J4845" s="1" t="s">
        <v>1491</v>
      </c>
      <c r="K4845" s="1" t="s">
        <v>25</v>
      </c>
      <c r="L4845" t="s">
        <v>25</v>
      </c>
      <c r="M4845" t="str">
        <f t="shared" si="200"/>
        <v>Na</v>
      </c>
      <c r="N4845" t="str">
        <f t="shared" si="201"/>
        <v>Na</v>
      </c>
      <c r="O4845" s="1" t="s">
        <v>25</v>
      </c>
      <c r="P4845" s="3" t="s">
        <v>25</v>
      </c>
      <c r="Q4845" s="37">
        <v>0.40465116299999998</v>
      </c>
      <c r="R4845" t="str">
        <f t="shared" si="203"/>
        <v>mmol/mol</v>
      </c>
      <c r="S4845" s="13" t="s">
        <v>25</v>
      </c>
    </row>
    <row r="4846" spans="1:19">
      <c r="A4846" s="18" t="s">
        <v>4106</v>
      </c>
      <c r="B4846" s="1" t="s">
        <v>5010</v>
      </c>
      <c r="C4846" s="1" t="s">
        <v>5059</v>
      </c>
      <c r="D4846" s="1" t="s">
        <v>5064</v>
      </c>
      <c r="E4846" s="1" t="s">
        <v>25</v>
      </c>
      <c r="F4846">
        <v>580</v>
      </c>
      <c r="G4846">
        <v>580</v>
      </c>
      <c r="H4846">
        <v>4.2</v>
      </c>
      <c r="I4846" s="1" t="s">
        <v>1528</v>
      </c>
      <c r="J4846" s="1" t="s">
        <v>1491</v>
      </c>
      <c r="K4846" s="1" t="s">
        <v>25</v>
      </c>
      <c r="L4846" t="s">
        <v>25</v>
      </c>
      <c r="M4846" t="str">
        <f t="shared" si="200"/>
        <v>Na</v>
      </c>
      <c r="N4846" t="str">
        <f t="shared" si="201"/>
        <v>Na</v>
      </c>
      <c r="O4846" s="1" t="s">
        <v>25</v>
      </c>
      <c r="P4846" s="3" t="s">
        <v>25</v>
      </c>
      <c r="Q4846" s="37">
        <v>0.68372093</v>
      </c>
      <c r="R4846" t="str">
        <f t="shared" si="203"/>
        <v>mmol/mol</v>
      </c>
      <c r="S4846" s="13" t="s">
        <v>25</v>
      </c>
    </row>
    <row r="4847" spans="1:19">
      <c r="A4847" s="18" t="s">
        <v>4106</v>
      </c>
      <c r="B4847" s="1" t="s">
        <v>5011</v>
      </c>
      <c r="C4847" s="1" t="s">
        <v>5059</v>
      </c>
      <c r="D4847" s="1" t="s">
        <v>5064</v>
      </c>
      <c r="E4847" s="1" t="s">
        <v>25</v>
      </c>
      <c r="F4847">
        <v>580</v>
      </c>
      <c r="G4847">
        <v>580</v>
      </c>
      <c r="H4847">
        <v>4.7</v>
      </c>
      <c r="I4847" s="1" t="s">
        <v>1528</v>
      </c>
      <c r="J4847" s="1" t="s">
        <v>1491</v>
      </c>
      <c r="K4847" s="1" t="s">
        <v>25</v>
      </c>
      <c r="L4847" t="s">
        <v>25</v>
      </c>
      <c r="M4847" t="str">
        <f t="shared" si="200"/>
        <v>Na</v>
      </c>
      <c r="N4847" t="str">
        <f t="shared" si="201"/>
        <v>Na</v>
      </c>
      <c r="O4847" s="1" t="s">
        <v>25</v>
      </c>
      <c r="P4847" s="3" t="s">
        <v>25</v>
      </c>
      <c r="Q4847" s="37">
        <v>0.36279069800000002</v>
      </c>
      <c r="R4847" t="str">
        <f t="shared" si="203"/>
        <v>mmol/mol</v>
      </c>
      <c r="S4847" s="13" t="s">
        <v>25</v>
      </c>
    </row>
    <row r="4848" spans="1:19">
      <c r="A4848" s="18" t="s">
        <v>4106</v>
      </c>
      <c r="B4848" s="1" t="s">
        <v>5012</v>
      </c>
      <c r="C4848" s="1" t="s">
        <v>5059</v>
      </c>
      <c r="D4848" s="1" t="s">
        <v>5064</v>
      </c>
      <c r="E4848" s="1" t="s">
        <v>25</v>
      </c>
      <c r="F4848">
        <v>580</v>
      </c>
      <c r="G4848">
        <v>580</v>
      </c>
      <c r="H4848">
        <v>5.8</v>
      </c>
      <c r="I4848" s="1" t="s">
        <v>1528</v>
      </c>
      <c r="J4848" s="1" t="s">
        <v>1491</v>
      </c>
      <c r="K4848" s="1" t="s">
        <v>25</v>
      </c>
      <c r="L4848" t="s">
        <v>25</v>
      </c>
      <c r="M4848" t="str">
        <f t="shared" ref="M4848:M4911" si="205">IF(L4848="Na","Na","44/40")</f>
        <v>Na</v>
      </c>
      <c r="N4848" t="str">
        <f t="shared" ref="N4848:N4911" si="206">IF(M4848="Na","Na","SW")</f>
        <v>Na</v>
      </c>
      <c r="O4848" s="1" t="s">
        <v>25</v>
      </c>
      <c r="P4848" s="3" t="s">
        <v>25</v>
      </c>
      <c r="Q4848" s="37">
        <v>0.28488372099999998</v>
      </c>
      <c r="R4848" t="str">
        <f t="shared" si="203"/>
        <v>mmol/mol</v>
      </c>
      <c r="S4848" s="13" t="s">
        <v>25</v>
      </c>
    </row>
    <row r="4849" spans="1:19">
      <c r="A4849" s="18" t="s">
        <v>4106</v>
      </c>
      <c r="B4849" s="1" t="s">
        <v>5013</v>
      </c>
      <c r="C4849" s="1" t="s">
        <v>5059</v>
      </c>
      <c r="D4849" s="1" t="s">
        <v>5064</v>
      </c>
      <c r="E4849" s="1" t="s">
        <v>25</v>
      </c>
      <c r="F4849">
        <v>580</v>
      </c>
      <c r="G4849">
        <v>580</v>
      </c>
      <c r="H4849">
        <v>6.8</v>
      </c>
      <c r="I4849" s="1" t="s">
        <v>1528</v>
      </c>
      <c r="J4849" s="1" t="s">
        <v>1491</v>
      </c>
      <c r="K4849" s="1" t="s">
        <v>25</v>
      </c>
      <c r="L4849" t="s">
        <v>25</v>
      </c>
      <c r="M4849" t="str">
        <f t="shared" si="205"/>
        <v>Na</v>
      </c>
      <c r="N4849" t="str">
        <f t="shared" si="206"/>
        <v>Na</v>
      </c>
      <c r="O4849" s="1" t="s">
        <v>25</v>
      </c>
      <c r="P4849" s="3" t="s">
        <v>25</v>
      </c>
      <c r="Q4849" s="37">
        <v>0.50116279100000005</v>
      </c>
      <c r="R4849" t="str">
        <f t="shared" si="203"/>
        <v>mmol/mol</v>
      </c>
      <c r="S4849" s="13" t="s">
        <v>25</v>
      </c>
    </row>
    <row r="4850" spans="1:19">
      <c r="A4850" s="18" t="s">
        <v>4106</v>
      </c>
      <c r="B4850" s="1" t="s">
        <v>5014</v>
      </c>
      <c r="C4850" s="1" t="s">
        <v>5059</v>
      </c>
      <c r="D4850" s="1" t="s">
        <v>5064</v>
      </c>
      <c r="E4850" s="1" t="s">
        <v>25</v>
      </c>
      <c r="F4850">
        <v>580</v>
      </c>
      <c r="G4850">
        <v>580</v>
      </c>
      <c r="H4850">
        <v>7.1</v>
      </c>
      <c r="I4850" s="1" t="s">
        <v>1528</v>
      </c>
      <c r="J4850" s="1" t="s">
        <v>1491</v>
      </c>
      <c r="K4850" s="1" t="s">
        <v>25</v>
      </c>
      <c r="L4850" t="s">
        <v>25</v>
      </c>
      <c r="M4850" t="str">
        <f t="shared" si="205"/>
        <v>Na</v>
      </c>
      <c r="N4850" t="str">
        <f t="shared" si="206"/>
        <v>Na</v>
      </c>
      <c r="O4850" s="1" t="s">
        <v>25</v>
      </c>
      <c r="P4850" s="3" t="s">
        <v>25</v>
      </c>
      <c r="Q4850" s="37">
        <v>0.28953488399999999</v>
      </c>
      <c r="R4850" t="str">
        <f t="shared" si="203"/>
        <v>mmol/mol</v>
      </c>
      <c r="S4850" s="13" t="s">
        <v>25</v>
      </c>
    </row>
    <row r="4851" spans="1:19">
      <c r="A4851" s="18" t="s">
        <v>4106</v>
      </c>
      <c r="B4851" s="1" t="s">
        <v>5015</v>
      </c>
      <c r="C4851" s="1" t="s">
        <v>5059</v>
      </c>
      <c r="D4851" s="1" t="s">
        <v>5064</v>
      </c>
      <c r="E4851" s="1" t="s">
        <v>25</v>
      </c>
      <c r="F4851">
        <v>580</v>
      </c>
      <c r="G4851">
        <v>580</v>
      </c>
      <c r="H4851">
        <v>40.700000000000003</v>
      </c>
      <c r="I4851" s="1" t="s">
        <v>1528</v>
      </c>
      <c r="J4851" s="1" t="s">
        <v>1336</v>
      </c>
      <c r="K4851" s="1" t="s">
        <v>25</v>
      </c>
      <c r="L4851" t="s">
        <v>25</v>
      </c>
      <c r="M4851" t="str">
        <f t="shared" si="205"/>
        <v>Na</v>
      </c>
      <c r="N4851" t="str">
        <f t="shared" si="206"/>
        <v>Na</v>
      </c>
      <c r="O4851" s="1" t="s">
        <v>25</v>
      </c>
      <c r="P4851" s="3" t="s">
        <v>25</v>
      </c>
      <c r="Q4851" s="37">
        <v>0.24534883699999999</v>
      </c>
      <c r="R4851" t="str">
        <f t="shared" si="203"/>
        <v>mmol/mol</v>
      </c>
      <c r="S4851" s="13" t="s">
        <v>25</v>
      </c>
    </row>
    <row r="4852" spans="1:19">
      <c r="A4852" s="18" t="s">
        <v>4106</v>
      </c>
      <c r="B4852" s="1" t="s">
        <v>5016</v>
      </c>
      <c r="C4852" s="1" t="s">
        <v>5059</v>
      </c>
      <c r="D4852" s="1" t="s">
        <v>5064</v>
      </c>
      <c r="E4852" s="1" t="s">
        <v>25</v>
      </c>
      <c r="F4852">
        <v>580</v>
      </c>
      <c r="G4852">
        <v>580</v>
      </c>
      <c r="H4852">
        <v>49.1</v>
      </c>
      <c r="I4852" s="1" t="s">
        <v>1528</v>
      </c>
      <c r="J4852" s="1" t="s">
        <v>1336</v>
      </c>
      <c r="K4852" s="1" t="s">
        <v>25</v>
      </c>
      <c r="L4852">
        <v>-0.7275277</v>
      </c>
      <c r="M4852" t="str">
        <f t="shared" si="205"/>
        <v>44/40</v>
      </c>
      <c r="N4852" t="str">
        <f t="shared" si="206"/>
        <v>SW</v>
      </c>
      <c r="O4852" s="1" t="s">
        <v>25</v>
      </c>
      <c r="P4852" s="3" t="s">
        <v>25</v>
      </c>
      <c r="Q4852" s="37">
        <v>0.11744186</v>
      </c>
      <c r="R4852" t="str">
        <f t="shared" si="203"/>
        <v>mmol/mol</v>
      </c>
      <c r="S4852" s="13">
        <f t="shared" si="204"/>
        <v>-0.7275277</v>
      </c>
    </row>
    <row r="4853" spans="1:19">
      <c r="A4853" s="18" t="s">
        <v>4106</v>
      </c>
      <c r="B4853" s="1" t="s">
        <v>5017</v>
      </c>
      <c r="C4853" s="1" t="s">
        <v>5059</v>
      </c>
      <c r="D4853" s="1" t="s">
        <v>5064</v>
      </c>
      <c r="E4853" s="1" t="s">
        <v>25</v>
      </c>
      <c r="F4853">
        <v>580</v>
      </c>
      <c r="G4853">
        <v>580</v>
      </c>
      <c r="H4853">
        <v>52</v>
      </c>
      <c r="I4853" s="1" t="s">
        <v>1528</v>
      </c>
      <c r="J4853" s="1" t="s">
        <v>1336</v>
      </c>
      <c r="K4853" s="1" t="s">
        <v>25</v>
      </c>
      <c r="L4853" t="s">
        <v>25</v>
      </c>
      <c r="M4853" t="str">
        <f t="shared" si="205"/>
        <v>Na</v>
      </c>
      <c r="N4853" t="str">
        <f t="shared" si="206"/>
        <v>Na</v>
      </c>
      <c r="O4853" s="1" t="s">
        <v>25</v>
      </c>
      <c r="P4853" s="3" t="s">
        <v>25</v>
      </c>
      <c r="Q4853" s="37" t="s">
        <v>25</v>
      </c>
      <c r="R4853" t="str">
        <f t="shared" si="203"/>
        <v>Na</v>
      </c>
      <c r="S4853" s="13" t="s">
        <v>25</v>
      </c>
    </row>
    <row r="4854" spans="1:19">
      <c r="A4854" s="18" t="s">
        <v>4106</v>
      </c>
      <c r="B4854" s="1" t="s">
        <v>5018</v>
      </c>
      <c r="C4854" s="1" t="s">
        <v>5059</v>
      </c>
      <c r="D4854" s="1" t="s">
        <v>5064</v>
      </c>
      <c r="E4854" s="1" t="s">
        <v>25</v>
      </c>
      <c r="F4854">
        <v>580</v>
      </c>
      <c r="G4854">
        <v>580</v>
      </c>
      <c r="H4854">
        <v>56.3</v>
      </c>
      <c r="I4854" s="1" t="s">
        <v>1528</v>
      </c>
      <c r="J4854" s="1" t="s">
        <v>1336</v>
      </c>
      <c r="K4854" s="1" t="s">
        <v>25</v>
      </c>
      <c r="L4854">
        <v>-0.76736360000000003</v>
      </c>
      <c r="M4854" t="str">
        <f t="shared" si="205"/>
        <v>44/40</v>
      </c>
      <c r="N4854" t="str">
        <f t="shared" si="206"/>
        <v>SW</v>
      </c>
      <c r="O4854" s="1" t="s">
        <v>25</v>
      </c>
      <c r="P4854" s="3" t="s">
        <v>25</v>
      </c>
      <c r="Q4854" s="37">
        <v>0.15465116300000001</v>
      </c>
      <c r="R4854" t="str">
        <f t="shared" si="203"/>
        <v>mmol/mol</v>
      </c>
      <c r="S4854" s="13">
        <f t="shared" si="204"/>
        <v>-0.76736360000000003</v>
      </c>
    </row>
    <row r="4855" spans="1:19">
      <c r="A4855" s="18" t="s">
        <v>4106</v>
      </c>
      <c r="B4855" s="1" t="s">
        <v>5019</v>
      </c>
      <c r="C4855" s="1" t="s">
        <v>5059</v>
      </c>
      <c r="D4855" s="1" t="s">
        <v>5064</v>
      </c>
      <c r="E4855" s="1" t="s">
        <v>25</v>
      </c>
      <c r="F4855">
        <v>580</v>
      </c>
      <c r="G4855">
        <v>580</v>
      </c>
      <c r="H4855">
        <v>80.599999999999994</v>
      </c>
      <c r="I4855" s="1" t="s">
        <v>1528</v>
      </c>
      <c r="J4855" s="1" t="s">
        <v>1336</v>
      </c>
      <c r="K4855" s="1" t="s">
        <v>25</v>
      </c>
      <c r="L4855" t="s">
        <v>25</v>
      </c>
      <c r="M4855" t="str">
        <f t="shared" si="205"/>
        <v>Na</v>
      </c>
      <c r="N4855" t="str">
        <f t="shared" si="206"/>
        <v>Na</v>
      </c>
      <c r="O4855" s="1" t="s">
        <v>25</v>
      </c>
      <c r="P4855" s="3" t="s">
        <v>25</v>
      </c>
      <c r="Q4855" s="37">
        <v>0.17790697699999999</v>
      </c>
      <c r="R4855" t="str">
        <f t="shared" si="203"/>
        <v>mmol/mol</v>
      </c>
      <c r="S4855" s="13" t="s">
        <v>25</v>
      </c>
    </row>
    <row r="4856" spans="1:19">
      <c r="A4856" s="18" t="s">
        <v>4106</v>
      </c>
      <c r="B4856" s="1" t="s">
        <v>5020</v>
      </c>
      <c r="C4856" s="1" t="s">
        <v>5059</v>
      </c>
      <c r="D4856" s="1" t="s">
        <v>5064</v>
      </c>
      <c r="E4856" s="1" t="s">
        <v>25</v>
      </c>
      <c r="F4856">
        <v>580</v>
      </c>
      <c r="G4856">
        <v>580</v>
      </c>
      <c r="H4856">
        <v>81.5</v>
      </c>
      <c r="I4856" s="1" t="s">
        <v>1528</v>
      </c>
      <c r="J4856" s="1" t="s">
        <v>1336</v>
      </c>
      <c r="K4856" s="1" t="s">
        <v>25</v>
      </c>
      <c r="L4856" t="s">
        <v>25</v>
      </c>
      <c r="M4856" t="str">
        <f t="shared" si="205"/>
        <v>Na</v>
      </c>
      <c r="N4856" t="str">
        <f t="shared" si="206"/>
        <v>Na</v>
      </c>
      <c r="O4856" s="1" t="s">
        <v>25</v>
      </c>
      <c r="P4856" s="3" t="s">
        <v>25</v>
      </c>
      <c r="Q4856" s="37" t="s">
        <v>25</v>
      </c>
      <c r="R4856" t="str">
        <f t="shared" si="203"/>
        <v>Na</v>
      </c>
      <c r="S4856" s="13" t="s">
        <v>25</v>
      </c>
    </row>
    <row r="4857" spans="1:19">
      <c r="A4857" s="18" t="s">
        <v>4106</v>
      </c>
      <c r="B4857" s="1" t="s">
        <v>5021</v>
      </c>
      <c r="C4857" s="1" t="s">
        <v>5059</v>
      </c>
      <c r="D4857" s="1" t="s">
        <v>5064</v>
      </c>
      <c r="E4857" s="1" t="s">
        <v>25</v>
      </c>
      <c r="F4857">
        <v>580</v>
      </c>
      <c r="G4857">
        <v>580</v>
      </c>
      <c r="H4857">
        <v>93.5</v>
      </c>
      <c r="I4857" s="1" t="s">
        <v>1528</v>
      </c>
      <c r="J4857" s="1" t="s">
        <v>1336</v>
      </c>
      <c r="K4857" s="1" t="s">
        <v>25</v>
      </c>
      <c r="L4857">
        <v>-0.98626939999999996</v>
      </c>
      <c r="M4857" t="str">
        <f t="shared" si="205"/>
        <v>44/40</v>
      </c>
      <c r="N4857" t="str">
        <f t="shared" si="206"/>
        <v>SW</v>
      </c>
      <c r="O4857" s="1" t="s">
        <v>25</v>
      </c>
      <c r="P4857" s="3" t="s">
        <v>25</v>
      </c>
      <c r="Q4857" s="37">
        <v>0.24651162800000001</v>
      </c>
      <c r="R4857" t="str">
        <f t="shared" si="203"/>
        <v>mmol/mol</v>
      </c>
      <c r="S4857" s="13">
        <f t="shared" si="204"/>
        <v>-0.98626939999999996</v>
      </c>
    </row>
    <row r="4858" spans="1:19">
      <c r="A4858" s="18" t="s">
        <v>4106</v>
      </c>
      <c r="B4858" s="1" t="s">
        <v>5022</v>
      </c>
      <c r="C4858" s="1" t="s">
        <v>5059</v>
      </c>
      <c r="D4858" s="1" t="s">
        <v>5064</v>
      </c>
      <c r="E4858" s="1" t="s">
        <v>25</v>
      </c>
      <c r="F4858">
        <v>580</v>
      </c>
      <c r="G4858">
        <v>580</v>
      </c>
      <c r="H4858">
        <v>106.5</v>
      </c>
      <c r="I4858" s="1" t="s">
        <v>1528</v>
      </c>
      <c r="J4858" s="1" t="s">
        <v>1336</v>
      </c>
      <c r="K4858" s="1" t="s">
        <v>25</v>
      </c>
      <c r="L4858" t="s">
        <v>25</v>
      </c>
      <c r="M4858" t="str">
        <f t="shared" si="205"/>
        <v>Na</v>
      </c>
      <c r="N4858" t="str">
        <f t="shared" si="206"/>
        <v>Na</v>
      </c>
      <c r="O4858" s="1" t="s">
        <v>25</v>
      </c>
      <c r="P4858" s="3" t="s">
        <v>25</v>
      </c>
      <c r="Q4858" s="37">
        <v>7.6744186000000006E-2</v>
      </c>
      <c r="R4858" t="str">
        <f t="shared" si="203"/>
        <v>mmol/mol</v>
      </c>
      <c r="S4858" s="13" t="s">
        <v>25</v>
      </c>
    </row>
    <row r="4859" spans="1:19">
      <c r="A4859" s="18" t="s">
        <v>4106</v>
      </c>
      <c r="B4859" s="1" t="s">
        <v>5023</v>
      </c>
      <c r="C4859" s="1" t="s">
        <v>5059</v>
      </c>
      <c r="D4859" s="1" t="s">
        <v>5064</v>
      </c>
      <c r="E4859" s="1" t="s">
        <v>25</v>
      </c>
      <c r="F4859">
        <v>580</v>
      </c>
      <c r="G4859">
        <v>580</v>
      </c>
      <c r="H4859">
        <v>112.2</v>
      </c>
      <c r="I4859" s="1" t="s">
        <v>1528</v>
      </c>
      <c r="J4859" s="1" t="s">
        <v>1336</v>
      </c>
      <c r="K4859" s="1" t="s">
        <v>25</v>
      </c>
      <c r="L4859" t="s">
        <v>25</v>
      </c>
      <c r="M4859" t="str">
        <f t="shared" si="205"/>
        <v>Na</v>
      </c>
      <c r="N4859" t="str">
        <f t="shared" si="206"/>
        <v>Na</v>
      </c>
      <c r="O4859" s="1" t="s">
        <v>25</v>
      </c>
      <c r="P4859" s="3" t="s">
        <v>25</v>
      </c>
      <c r="Q4859" s="37">
        <v>0.193023256</v>
      </c>
      <c r="R4859" t="str">
        <f t="shared" si="203"/>
        <v>mmol/mol</v>
      </c>
      <c r="S4859" s="13" t="s">
        <v>25</v>
      </c>
    </row>
    <row r="4860" spans="1:19">
      <c r="A4860" s="18" t="s">
        <v>4106</v>
      </c>
      <c r="B4860" s="1" t="s">
        <v>5024</v>
      </c>
      <c r="C4860" s="1" t="s">
        <v>5059</v>
      </c>
      <c r="D4860" s="1" t="s">
        <v>5064</v>
      </c>
      <c r="E4860" s="1" t="s">
        <v>25</v>
      </c>
      <c r="F4860">
        <v>580</v>
      </c>
      <c r="G4860">
        <v>580</v>
      </c>
      <c r="H4860">
        <v>116</v>
      </c>
      <c r="I4860" s="1" t="s">
        <v>1528</v>
      </c>
      <c r="J4860" s="1" t="s">
        <v>1336</v>
      </c>
      <c r="K4860" s="1" t="s">
        <v>25</v>
      </c>
      <c r="L4860">
        <v>-1.1238611999999999</v>
      </c>
      <c r="M4860" t="str">
        <f t="shared" si="205"/>
        <v>44/40</v>
      </c>
      <c r="N4860" t="str">
        <f t="shared" si="206"/>
        <v>SW</v>
      </c>
      <c r="O4860" s="1" t="s">
        <v>25</v>
      </c>
      <c r="P4860" s="3" t="s">
        <v>25</v>
      </c>
      <c r="Q4860" s="37">
        <v>0.33255814</v>
      </c>
      <c r="R4860" t="str">
        <f t="shared" si="203"/>
        <v>mmol/mol</v>
      </c>
      <c r="S4860" s="13">
        <f t="shared" si="204"/>
        <v>-1.1238611999999999</v>
      </c>
    </row>
    <row r="4861" spans="1:19">
      <c r="A4861" s="18" t="s">
        <v>4106</v>
      </c>
      <c r="B4861" s="1" t="s">
        <v>5025</v>
      </c>
      <c r="C4861" s="1" t="s">
        <v>5059</v>
      </c>
      <c r="D4861" s="1" t="s">
        <v>5064</v>
      </c>
      <c r="E4861" s="1" t="s">
        <v>25</v>
      </c>
      <c r="F4861">
        <v>580</v>
      </c>
      <c r="G4861">
        <v>580</v>
      </c>
      <c r="H4861">
        <v>126.6</v>
      </c>
      <c r="I4861" s="1" t="s">
        <v>1528</v>
      </c>
      <c r="J4861" s="1" t="s">
        <v>1336</v>
      </c>
      <c r="K4861" s="1" t="s">
        <v>25</v>
      </c>
      <c r="L4861" t="s">
        <v>25</v>
      </c>
      <c r="M4861" t="str">
        <f t="shared" si="205"/>
        <v>Na</v>
      </c>
      <c r="N4861" t="str">
        <f t="shared" si="206"/>
        <v>Na</v>
      </c>
      <c r="O4861" s="1" t="s">
        <v>25</v>
      </c>
      <c r="P4861" s="3" t="s">
        <v>25</v>
      </c>
      <c r="Q4861" s="37">
        <v>0.38488372100000001</v>
      </c>
      <c r="R4861" t="str">
        <f t="shared" si="203"/>
        <v>mmol/mol</v>
      </c>
      <c r="S4861" s="13" t="s">
        <v>25</v>
      </c>
    </row>
    <row r="4862" spans="1:19">
      <c r="A4862" s="18" t="s">
        <v>4106</v>
      </c>
      <c r="B4862" s="1" t="s">
        <v>5026</v>
      </c>
      <c r="C4862" s="1" t="s">
        <v>5059</v>
      </c>
      <c r="D4862" s="1" t="s">
        <v>5064</v>
      </c>
      <c r="E4862" s="1" t="s">
        <v>25</v>
      </c>
      <c r="F4862">
        <v>580</v>
      </c>
      <c r="G4862">
        <v>580</v>
      </c>
      <c r="H4862">
        <v>129</v>
      </c>
      <c r="I4862" s="1" t="s">
        <v>1528</v>
      </c>
      <c r="J4862" s="1" t="s">
        <v>1336</v>
      </c>
      <c r="K4862" s="1" t="s">
        <v>25</v>
      </c>
      <c r="L4862">
        <v>-1.0591060999999999</v>
      </c>
      <c r="M4862" t="str">
        <f t="shared" si="205"/>
        <v>44/40</v>
      </c>
      <c r="N4862" t="str">
        <f t="shared" si="206"/>
        <v>SW</v>
      </c>
      <c r="O4862" s="1" t="s">
        <v>25</v>
      </c>
      <c r="P4862" s="3" t="s">
        <v>25</v>
      </c>
      <c r="Q4862" s="37" t="s">
        <v>25</v>
      </c>
      <c r="R4862" t="str">
        <f t="shared" si="203"/>
        <v>Na</v>
      </c>
      <c r="S4862" s="13">
        <f t="shared" si="204"/>
        <v>-1.0591060999999999</v>
      </c>
    </row>
    <row r="4863" spans="1:19">
      <c r="A4863" s="18" t="s">
        <v>4106</v>
      </c>
      <c r="B4863" s="1" t="s">
        <v>5027</v>
      </c>
      <c r="C4863" s="1" t="s">
        <v>5059</v>
      </c>
      <c r="D4863" s="1" t="s">
        <v>5064</v>
      </c>
      <c r="E4863" s="1" t="s">
        <v>25</v>
      </c>
      <c r="F4863">
        <v>580</v>
      </c>
      <c r="G4863">
        <v>580</v>
      </c>
      <c r="H4863">
        <v>131</v>
      </c>
      <c r="I4863" s="1" t="s">
        <v>1528</v>
      </c>
      <c r="J4863" s="1" t="s">
        <v>1336</v>
      </c>
      <c r="K4863" s="1" t="s">
        <v>25</v>
      </c>
      <c r="L4863" t="s">
        <v>25</v>
      </c>
      <c r="M4863" t="str">
        <f t="shared" si="205"/>
        <v>Na</v>
      </c>
      <c r="N4863" t="str">
        <f t="shared" si="206"/>
        <v>Na</v>
      </c>
      <c r="O4863" s="1" t="s">
        <v>25</v>
      </c>
      <c r="P4863" s="3" t="s">
        <v>25</v>
      </c>
      <c r="Q4863" s="37">
        <v>0.202325581</v>
      </c>
      <c r="R4863" t="str">
        <f t="shared" si="203"/>
        <v>mmol/mol</v>
      </c>
      <c r="S4863" s="13" t="s">
        <v>25</v>
      </c>
    </row>
    <row r="4864" spans="1:19">
      <c r="A4864" s="18" t="s">
        <v>4106</v>
      </c>
      <c r="B4864" s="1" t="s">
        <v>5028</v>
      </c>
      <c r="C4864" s="1" t="s">
        <v>5059</v>
      </c>
      <c r="D4864" s="1" t="s">
        <v>5064</v>
      </c>
      <c r="E4864" s="1" t="s">
        <v>25</v>
      </c>
      <c r="F4864">
        <v>580</v>
      </c>
      <c r="G4864">
        <v>580</v>
      </c>
      <c r="H4864">
        <v>141.30000000000001</v>
      </c>
      <c r="I4864" s="1" t="s">
        <v>1528</v>
      </c>
      <c r="J4864" s="1" t="s">
        <v>1336</v>
      </c>
      <c r="K4864" s="1" t="s">
        <v>25</v>
      </c>
      <c r="L4864">
        <v>-0.70725300000000002</v>
      </c>
      <c r="M4864" t="str">
        <f t="shared" si="205"/>
        <v>44/40</v>
      </c>
      <c r="N4864" t="str">
        <f t="shared" si="206"/>
        <v>SW</v>
      </c>
      <c r="O4864" s="1" t="s">
        <v>25</v>
      </c>
      <c r="P4864" s="3" t="s">
        <v>25</v>
      </c>
      <c r="Q4864" s="37">
        <v>0.34534883700000002</v>
      </c>
      <c r="R4864" t="str">
        <f t="shared" si="203"/>
        <v>mmol/mol</v>
      </c>
      <c r="S4864" s="13">
        <f t="shared" si="204"/>
        <v>-0.70725300000000002</v>
      </c>
    </row>
    <row r="4865" spans="1:19">
      <c r="A4865" s="18" t="s">
        <v>4106</v>
      </c>
      <c r="B4865" s="1" t="s">
        <v>5029</v>
      </c>
      <c r="C4865" s="1" t="s">
        <v>5059</v>
      </c>
      <c r="D4865" s="1" t="s">
        <v>5064</v>
      </c>
      <c r="E4865" s="1" t="s">
        <v>25</v>
      </c>
      <c r="F4865">
        <v>580</v>
      </c>
      <c r="G4865">
        <v>580</v>
      </c>
      <c r="H4865">
        <v>161.19999999999999</v>
      </c>
      <c r="I4865" s="1" t="s">
        <v>1528</v>
      </c>
      <c r="J4865" s="1" t="s">
        <v>1336</v>
      </c>
      <c r="K4865" s="1" t="s">
        <v>25</v>
      </c>
      <c r="L4865">
        <v>-0.88312299999999999</v>
      </c>
      <c r="M4865" t="str">
        <f t="shared" si="205"/>
        <v>44/40</v>
      </c>
      <c r="N4865" t="str">
        <f t="shared" si="206"/>
        <v>SW</v>
      </c>
      <c r="O4865" s="1" t="s">
        <v>25</v>
      </c>
      <c r="P4865" s="3" t="s">
        <v>25</v>
      </c>
      <c r="Q4865" s="37">
        <v>0.24418604699999999</v>
      </c>
      <c r="R4865" t="str">
        <f t="shared" si="203"/>
        <v>mmol/mol</v>
      </c>
      <c r="S4865" s="13">
        <f t="shared" si="204"/>
        <v>-0.88312299999999999</v>
      </c>
    </row>
    <row r="4866" spans="1:19">
      <c r="A4866" s="18" t="s">
        <v>4106</v>
      </c>
      <c r="B4866" s="1" t="s">
        <v>5030</v>
      </c>
      <c r="C4866" s="1" t="s">
        <v>5059</v>
      </c>
      <c r="D4866" s="1" t="s">
        <v>5064</v>
      </c>
      <c r="E4866" s="1" t="s">
        <v>25</v>
      </c>
      <c r="F4866">
        <v>580</v>
      </c>
      <c r="G4866">
        <v>580</v>
      </c>
      <c r="H4866">
        <v>163.6</v>
      </c>
      <c r="I4866" s="1" t="s">
        <v>1528</v>
      </c>
      <c r="J4866" s="1" t="s">
        <v>1336</v>
      </c>
      <c r="K4866" s="1" t="s">
        <v>25</v>
      </c>
      <c r="L4866" t="s">
        <v>25</v>
      </c>
      <c r="M4866" t="str">
        <f t="shared" si="205"/>
        <v>Na</v>
      </c>
      <c r="N4866" t="str">
        <f t="shared" si="206"/>
        <v>Na</v>
      </c>
      <c r="O4866" s="1" t="s">
        <v>25</v>
      </c>
      <c r="P4866" s="3" t="s">
        <v>25</v>
      </c>
      <c r="Q4866" s="37">
        <v>0.32674418599999999</v>
      </c>
      <c r="R4866" t="str">
        <f t="shared" si="203"/>
        <v>mmol/mol</v>
      </c>
      <c r="S4866" s="13" t="s">
        <v>25</v>
      </c>
    </row>
    <row r="4867" spans="1:19">
      <c r="A4867" s="18" t="s">
        <v>4106</v>
      </c>
      <c r="B4867" s="1" t="s">
        <v>5031</v>
      </c>
      <c r="C4867" s="1" t="s">
        <v>5059</v>
      </c>
      <c r="D4867" s="1" t="s">
        <v>5064</v>
      </c>
      <c r="E4867" s="1" t="s">
        <v>25</v>
      </c>
      <c r="F4867">
        <v>580</v>
      </c>
      <c r="G4867">
        <v>580</v>
      </c>
      <c r="H4867">
        <v>166</v>
      </c>
      <c r="I4867" s="1" t="s">
        <v>1528</v>
      </c>
      <c r="J4867" s="1" t="s">
        <v>1336</v>
      </c>
      <c r="K4867" s="1" t="s">
        <v>25</v>
      </c>
      <c r="L4867">
        <v>-1.0133369000000001</v>
      </c>
      <c r="M4867" t="str">
        <f t="shared" si="205"/>
        <v>44/40</v>
      </c>
      <c r="N4867" t="str">
        <f t="shared" si="206"/>
        <v>SW</v>
      </c>
      <c r="O4867" s="1" t="s">
        <v>25</v>
      </c>
      <c r="P4867" s="3" t="s">
        <v>25</v>
      </c>
      <c r="Q4867" s="37">
        <v>0.35581395300000002</v>
      </c>
      <c r="R4867" t="str">
        <f t="shared" si="203"/>
        <v>mmol/mol</v>
      </c>
      <c r="S4867" s="13">
        <f t="shared" si="204"/>
        <v>-1.0133369000000001</v>
      </c>
    </row>
    <row r="4868" spans="1:19">
      <c r="A4868" s="18" t="s">
        <v>4106</v>
      </c>
      <c r="B4868" s="1" t="s">
        <v>5032</v>
      </c>
      <c r="C4868" s="1" t="s">
        <v>5059</v>
      </c>
      <c r="D4868" s="1" t="s">
        <v>5064</v>
      </c>
      <c r="E4868" s="1" t="s">
        <v>25</v>
      </c>
      <c r="F4868">
        <v>580</v>
      </c>
      <c r="G4868">
        <v>580</v>
      </c>
      <c r="H4868">
        <v>167.9</v>
      </c>
      <c r="I4868" s="1" t="s">
        <v>1528</v>
      </c>
      <c r="J4868" s="1" t="s">
        <v>1336</v>
      </c>
      <c r="K4868" s="1" t="s">
        <v>25</v>
      </c>
      <c r="L4868" t="s">
        <v>25</v>
      </c>
      <c r="M4868" t="str">
        <f t="shared" si="205"/>
        <v>Na</v>
      </c>
      <c r="N4868" t="str">
        <f t="shared" si="206"/>
        <v>Na</v>
      </c>
      <c r="O4868" s="1" t="s">
        <v>25</v>
      </c>
      <c r="P4868" s="3" t="s">
        <v>25</v>
      </c>
      <c r="Q4868" s="37">
        <v>0.341860465</v>
      </c>
      <c r="R4868" t="str">
        <f t="shared" si="203"/>
        <v>mmol/mol</v>
      </c>
      <c r="S4868" s="13" t="s">
        <v>25</v>
      </c>
    </row>
    <row r="4869" spans="1:19">
      <c r="A4869" s="18" t="s">
        <v>4106</v>
      </c>
      <c r="B4869" s="1" t="s">
        <v>5033</v>
      </c>
      <c r="C4869" s="1" t="s">
        <v>5059</v>
      </c>
      <c r="D4869" s="1" t="s">
        <v>5064</v>
      </c>
      <c r="E4869" s="1" t="s">
        <v>25</v>
      </c>
      <c r="F4869">
        <v>580</v>
      </c>
      <c r="G4869">
        <v>580</v>
      </c>
      <c r="H4869">
        <v>174.8</v>
      </c>
      <c r="I4869" s="1" t="s">
        <v>1528</v>
      </c>
      <c r="J4869" s="1" t="s">
        <v>1336</v>
      </c>
      <c r="K4869" s="1" t="s">
        <v>25</v>
      </c>
      <c r="L4869" t="s">
        <v>25</v>
      </c>
      <c r="M4869" t="str">
        <f t="shared" si="205"/>
        <v>Na</v>
      </c>
      <c r="N4869" t="str">
        <f t="shared" si="206"/>
        <v>Na</v>
      </c>
      <c r="O4869" s="1" t="s">
        <v>25</v>
      </c>
      <c r="P4869" s="3" t="s">
        <v>25</v>
      </c>
      <c r="Q4869" s="37">
        <v>0.30930232600000002</v>
      </c>
      <c r="R4869" t="str">
        <f t="shared" si="203"/>
        <v>mmol/mol</v>
      </c>
      <c r="S4869" s="13" t="s">
        <v>25</v>
      </c>
    </row>
    <row r="4870" spans="1:19">
      <c r="A4870" s="18" t="s">
        <v>4106</v>
      </c>
      <c r="B4870" s="1" t="s">
        <v>5034</v>
      </c>
      <c r="C4870" s="1" t="s">
        <v>5059</v>
      </c>
      <c r="D4870" s="1" t="s">
        <v>5064</v>
      </c>
      <c r="E4870" s="1" t="s">
        <v>25</v>
      </c>
      <c r="F4870">
        <v>580</v>
      </c>
      <c r="G4870">
        <v>580</v>
      </c>
      <c r="H4870">
        <v>179.5</v>
      </c>
      <c r="I4870" s="1" t="s">
        <v>1528</v>
      </c>
      <c r="J4870" s="1" t="s">
        <v>1336</v>
      </c>
      <c r="K4870" s="1" t="s">
        <v>25</v>
      </c>
      <c r="L4870" t="s">
        <v>25</v>
      </c>
      <c r="M4870" t="str">
        <f t="shared" si="205"/>
        <v>Na</v>
      </c>
      <c r="N4870" t="str">
        <f t="shared" si="206"/>
        <v>Na</v>
      </c>
      <c r="O4870" s="1" t="s">
        <v>25</v>
      </c>
      <c r="P4870" s="3" t="s">
        <v>25</v>
      </c>
      <c r="Q4870" s="37">
        <v>0.34767441900000001</v>
      </c>
      <c r="R4870" t="str">
        <f t="shared" si="203"/>
        <v>mmol/mol</v>
      </c>
      <c r="S4870" s="13" t="s">
        <v>25</v>
      </c>
    </row>
    <row r="4871" spans="1:19">
      <c r="A4871" s="18" t="s">
        <v>4106</v>
      </c>
      <c r="B4871" s="1" t="s">
        <v>5034</v>
      </c>
      <c r="C4871" s="1" t="s">
        <v>5059</v>
      </c>
      <c r="D4871" s="1" t="s">
        <v>5064</v>
      </c>
      <c r="E4871" s="1" t="s">
        <v>25</v>
      </c>
      <c r="F4871">
        <v>580</v>
      </c>
      <c r="G4871">
        <v>580</v>
      </c>
      <c r="H4871">
        <v>179.5</v>
      </c>
      <c r="I4871" s="1" t="s">
        <v>1528</v>
      </c>
      <c r="J4871" s="1" t="s">
        <v>1336</v>
      </c>
      <c r="K4871" s="1" t="s">
        <v>25</v>
      </c>
      <c r="L4871" t="s">
        <v>25</v>
      </c>
      <c r="M4871" t="str">
        <f t="shared" si="205"/>
        <v>Na</v>
      </c>
      <c r="N4871" t="str">
        <f t="shared" si="206"/>
        <v>Na</v>
      </c>
      <c r="O4871" s="1" t="s">
        <v>25</v>
      </c>
      <c r="P4871" s="3" t="s">
        <v>25</v>
      </c>
      <c r="Q4871" s="37" t="s">
        <v>25</v>
      </c>
      <c r="R4871" t="str">
        <f t="shared" si="203"/>
        <v>Na</v>
      </c>
      <c r="S4871" s="13" t="s">
        <v>25</v>
      </c>
    </row>
    <row r="4872" spans="1:19">
      <c r="A4872" s="18" t="s">
        <v>4106</v>
      </c>
      <c r="B4872" s="1" t="s">
        <v>5035</v>
      </c>
      <c r="C4872" s="1" t="s">
        <v>5059</v>
      </c>
      <c r="D4872" s="1" t="s">
        <v>5064</v>
      </c>
      <c r="E4872" s="1" t="s">
        <v>25</v>
      </c>
      <c r="F4872">
        <v>580</v>
      </c>
      <c r="G4872">
        <v>580</v>
      </c>
      <c r="H4872">
        <v>186.8</v>
      </c>
      <c r="I4872" s="1" t="s">
        <v>1528</v>
      </c>
      <c r="J4872" s="1" t="s">
        <v>1336</v>
      </c>
      <c r="K4872" s="1" t="s">
        <v>25</v>
      </c>
      <c r="L4872">
        <v>-0.69744090000000003</v>
      </c>
      <c r="M4872" t="str">
        <f t="shared" si="205"/>
        <v>44/40</v>
      </c>
      <c r="N4872" t="str">
        <f t="shared" si="206"/>
        <v>SW</v>
      </c>
      <c r="O4872" s="1" t="s">
        <v>25</v>
      </c>
      <c r="P4872" s="3" t="s">
        <v>25</v>
      </c>
      <c r="Q4872" s="37">
        <v>0.32790697699999999</v>
      </c>
      <c r="R4872" t="str">
        <f t="shared" si="203"/>
        <v>mmol/mol</v>
      </c>
      <c r="S4872" s="13">
        <f t="shared" si="204"/>
        <v>-0.69744090000000003</v>
      </c>
    </row>
    <row r="4873" spans="1:19">
      <c r="A4873" s="18" t="s">
        <v>4106</v>
      </c>
      <c r="B4873" s="1" t="s">
        <v>5036</v>
      </c>
      <c r="C4873" s="1" t="s">
        <v>5059</v>
      </c>
      <c r="D4873" s="1" t="s">
        <v>5064</v>
      </c>
      <c r="E4873" s="1" t="s">
        <v>25</v>
      </c>
      <c r="F4873">
        <v>580</v>
      </c>
      <c r="G4873">
        <v>580</v>
      </c>
      <c r="H4873">
        <v>189.3</v>
      </c>
      <c r="I4873" s="1" t="s">
        <v>1528</v>
      </c>
      <c r="J4873" s="1" t="s">
        <v>1336</v>
      </c>
      <c r="K4873" s="1" t="s">
        <v>25</v>
      </c>
      <c r="L4873" t="s">
        <v>25</v>
      </c>
      <c r="M4873" t="str">
        <f t="shared" si="205"/>
        <v>Na</v>
      </c>
      <c r="N4873" t="str">
        <f t="shared" si="206"/>
        <v>Na</v>
      </c>
      <c r="O4873" s="1" t="s">
        <v>25</v>
      </c>
      <c r="P4873" s="3" t="s">
        <v>25</v>
      </c>
      <c r="Q4873" s="37">
        <v>0.32093023300000001</v>
      </c>
      <c r="R4873" t="str">
        <f t="shared" si="203"/>
        <v>mmol/mol</v>
      </c>
      <c r="S4873" s="13" t="s">
        <v>25</v>
      </c>
    </row>
    <row r="4874" spans="1:19">
      <c r="A4874" s="18" t="s">
        <v>4106</v>
      </c>
      <c r="B4874" s="1" t="s">
        <v>5037</v>
      </c>
      <c r="C4874" s="1" t="s">
        <v>5059</v>
      </c>
      <c r="D4874" s="1" t="s">
        <v>5064</v>
      </c>
      <c r="E4874" s="1" t="s">
        <v>25</v>
      </c>
      <c r="F4874">
        <v>580</v>
      </c>
      <c r="G4874">
        <v>580</v>
      </c>
      <c r="H4874">
        <v>193.1</v>
      </c>
      <c r="I4874" s="1" t="s">
        <v>1528</v>
      </c>
      <c r="J4874" s="1" t="s">
        <v>1336</v>
      </c>
      <c r="K4874" s="1" t="s">
        <v>25</v>
      </c>
      <c r="L4874" t="s">
        <v>25</v>
      </c>
      <c r="M4874" t="str">
        <f t="shared" si="205"/>
        <v>Na</v>
      </c>
      <c r="N4874" t="str">
        <f t="shared" si="206"/>
        <v>Na</v>
      </c>
      <c r="O4874" s="1" t="s">
        <v>25</v>
      </c>
      <c r="P4874" s="3" t="s">
        <v>25</v>
      </c>
      <c r="Q4874" s="37">
        <v>0.30581395300000003</v>
      </c>
      <c r="R4874" t="str">
        <f t="shared" si="203"/>
        <v>mmol/mol</v>
      </c>
      <c r="S4874" s="13" t="s">
        <v>25</v>
      </c>
    </row>
    <row r="4875" spans="1:19">
      <c r="A4875" s="18" t="s">
        <v>4106</v>
      </c>
      <c r="B4875" s="1" t="s">
        <v>5038</v>
      </c>
      <c r="C4875" s="1" t="s">
        <v>5059</v>
      </c>
      <c r="D4875" s="1" t="s">
        <v>5064</v>
      </c>
      <c r="E4875" s="1" t="s">
        <v>25</v>
      </c>
      <c r="F4875">
        <v>580</v>
      </c>
      <c r="G4875">
        <v>580</v>
      </c>
      <c r="H4875">
        <v>197.5</v>
      </c>
      <c r="I4875" s="1" t="s">
        <v>1528</v>
      </c>
      <c r="J4875" s="1" t="s">
        <v>1336</v>
      </c>
      <c r="K4875" s="1" t="s">
        <v>25</v>
      </c>
      <c r="L4875">
        <v>-0.67739380000000005</v>
      </c>
      <c r="M4875" t="str">
        <f t="shared" si="205"/>
        <v>44/40</v>
      </c>
      <c r="N4875" t="str">
        <f t="shared" si="206"/>
        <v>SW</v>
      </c>
      <c r="O4875" s="1" t="s">
        <v>25</v>
      </c>
      <c r="P4875" s="3" t="s">
        <v>25</v>
      </c>
      <c r="Q4875" s="37">
        <v>0.28139534900000002</v>
      </c>
      <c r="R4875" t="str">
        <f t="shared" si="203"/>
        <v>mmol/mol</v>
      </c>
      <c r="S4875" s="13">
        <f t="shared" si="204"/>
        <v>-0.67739380000000005</v>
      </c>
    </row>
    <row r="4876" spans="1:19">
      <c r="A4876" s="18" t="s">
        <v>4106</v>
      </c>
      <c r="B4876" s="1" t="s">
        <v>5039</v>
      </c>
      <c r="C4876" s="1" t="s">
        <v>5059</v>
      </c>
      <c r="D4876" s="1" t="s">
        <v>5064</v>
      </c>
      <c r="E4876" s="1" t="s">
        <v>25</v>
      </c>
      <c r="F4876">
        <v>580</v>
      </c>
      <c r="G4876">
        <v>580</v>
      </c>
      <c r="H4876">
        <v>200</v>
      </c>
      <c r="I4876" s="1" t="s">
        <v>1528</v>
      </c>
      <c r="J4876" s="1" t="s">
        <v>1336</v>
      </c>
      <c r="K4876" s="1" t="s">
        <v>25</v>
      </c>
      <c r="L4876" t="s">
        <v>25</v>
      </c>
      <c r="M4876" t="str">
        <f t="shared" si="205"/>
        <v>Na</v>
      </c>
      <c r="N4876" t="str">
        <f t="shared" si="206"/>
        <v>Na</v>
      </c>
      <c r="O4876" s="1" t="s">
        <v>25</v>
      </c>
      <c r="P4876" s="3" t="s">
        <v>25</v>
      </c>
      <c r="Q4876" s="37">
        <v>0.27906976700000002</v>
      </c>
      <c r="R4876" t="str">
        <f t="shared" si="203"/>
        <v>mmol/mol</v>
      </c>
      <c r="S4876" s="13" t="s">
        <v>25</v>
      </c>
    </row>
    <row r="4877" spans="1:19">
      <c r="A4877" s="18" t="s">
        <v>4106</v>
      </c>
      <c r="B4877" s="1" t="s">
        <v>5040</v>
      </c>
      <c r="C4877" s="1" t="s">
        <v>5059</v>
      </c>
      <c r="D4877" s="1" t="s">
        <v>5064</v>
      </c>
      <c r="E4877" s="1" t="s">
        <v>25</v>
      </c>
      <c r="F4877">
        <v>580</v>
      </c>
      <c r="G4877">
        <v>580</v>
      </c>
      <c r="H4877">
        <v>208.5</v>
      </c>
      <c r="I4877" s="1" t="s">
        <v>1528</v>
      </c>
      <c r="J4877" s="1" t="s">
        <v>1336</v>
      </c>
      <c r="K4877" s="1" t="s">
        <v>25</v>
      </c>
      <c r="L4877" t="s">
        <v>25</v>
      </c>
      <c r="M4877" t="str">
        <f t="shared" si="205"/>
        <v>Na</v>
      </c>
      <c r="N4877" t="str">
        <f t="shared" si="206"/>
        <v>Na</v>
      </c>
      <c r="O4877" s="1" t="s">
        <v>25</v>
      </c>
      <c r="P4877" s="3" t="s">
        <v>25</v>
      </c>
      <c r="Q4877" s="37">
        <v>0.27558139500000001</v>
      </c>
      <c r="R4877" t="str">
        <f t="shared" si="203"/>
        <v>mmol/mol</v>
      </c>
      <c r="S4877" s="13" t="s">
        <v>25</v>
      </c>
    </row>
    <row r="4878" spans="1:19">
      <c r="A4878" s="18" t="s">
        <v>4106</v>
      </c>
      <c r="B4878" s="1" t="s">
        <v>5041</v>
      </c>
      <c r="C4878" s="1" t="s">
        <v>5059</v>
      </c>
      <c r="D4878" s="1" t="s">
        <v>5064</v>
      </c>
      <c r="E4878" s="1" t="s">
        <v>25</v>
      </c>
      <c r="F4878">
        <v>580</v>
      </c>
      <c r="G4878">
        <v>580</v>
      </c>
      <c r="H4878">
        <v>211</v>
      </c>
      <c r="I4878" s="1" t="s">
        <v>1528</v>
      </c>
      <c r="J4878" s="1" t="s">
        <v>1336</v>
      </c>
      <c r="K4878" s="1" t="s">
        <v>25</v>
      </c>
      <c r="L4878" t="s">
        <v>25</v>
      </c>
      <c r="M4878" t="str">
        <f t="shared" si="205"/>
        <v>Na</v>
      </c>
      <c r="N4878" t="str">
        <f t="shared" si="206"/>
        <v>Na</v>
      </c>
      <c r="O4878" s="1" t="s">
        <v>25</v>
      </c>
      <c r="P4878" s="3" t="s">
        <v>25</v>
      </c>
      <c r="Q4878" s="37">
        <v>0.35813953500000001</v>
      </c>
      <c r="R4878" t="str">
        <f t="shared" si="203"/>
        <v>mmol/mol</v>
      </c>
      <c r="S4878" s="13" t="s">
        <v>25</v>
      </c>
    </row>
    <row r="4879" spans="1:19">
      <c r="A4879" s="18" t="s">
        <v>4106</v>
      </c>
      <c r="B4879" s="1" t="s">
        <v>5042</v>
      </c>
      <c r="C4879" s="1" t="s">
        <v>5059</v>
      </c>
      <c r="D4879" s="1" t="s">
        <v>5064</v>
      </c>
      <c r="E4879" s="1" t="s">
        <v>25</v>
      </c>
      <c r="F4879">
        <v>580</v>
      </c>
      <c r="G4879">
        <v>580</v>
      </c>
      <c r="H4879">
        <v>212.9</v>
      </c>
      <c r="I4879" s="1" t="s">
        <v>1528</v>
      </c>
      <c r="J4879" s="1" t="s">
        <v>1336</v>
      </c>
      <c r="K4879" s="1" t="s">
        <v>25</v>
      </c>
      <c r="L4879" t="s">
        <v>25</v>
      </c>
      <c r="M4879" t="str">
        <f t="shared" si="205"/>
        <v>Na</v>
      </c>
      <c r="N4879" t="str">
        <f t="shared" si="206"/>
        <v>Na</v>
      </c>
      <c r="O4879" s="1" t="s">
        <v>25</v>
      </c>
      <c r="P4879" s="3" t="s">
        <v>25</v>
      </c>
      <c r="Q4879" s="37">
        <v>0.32093023300000001</v>
      </c>
      <c r="R4879" t="str">
        <f t="shared" si="203"/>
        <v>mmol/mol</v>
      </c>
      <c r="S4879" s="13" t="s">
        <v>25</v>
      </c>
    </row>
    <row r="4880" spans="1:19">
      <c r="A4880" s="18" t="s">
        <v>4106</v>
      </c>
      <c r="B4880" s="1" t="s">
        <v>5043</v>
      </c>
      <c r="C4880" s="1" t="s">
        <v>5059</v>
      </c>
      <c r="D4880" s="1" t="s">
        <v>5064</v>
      </c>
      <c r="E4880" s="1" t="s">
        <v>25</v>
      </c>
      <c r="F4880">
        <v>580</v>
      </c>
      <c r="G4880">
        <v>580</v>
      </c>
      <c r="H4880">
        <v>224</v>
      </c>
      <c r="I4880" s="1" t="s">
        <v>1528</v>
      </c>
      <c r="J4880" s="1" t="s">
        <v>1336</v>
      </c>
      <c r="K4880" s="1" t="s">
        <v>25</v>
      </c>
      <c r="L4880" t="s">
        <v>25</v>
      </c>
      <c r="M4880" t="str">
        <f t="shared" si="205"/>
        <v>Na</v>
      </c>
      <c r="N4880" t="str">
        <f t="shared" si="206"/>
        <v>Na</v>
      </c>
      <c r="O4880" s="1" t="s">
        <v>25</v>
      </c>
      <c r="P4880" s="3" t="s">
        <v>25</v>
      </c>
      <c r="Q4880" s="37">
        <v>0.36279069800000002</v>
      </c>
      <c r="R4880" t="str">
        <f t="shared" si="203"/>
        <v>mmol/mol</v>
      </c>
      <c r="S4880" s="13" t="s">
        <v>25</v>
      </c>
    </row>
    <row r="4881" spans="1:19">
      <c r="A4881" s="18" t="s">
        <v>4106</v>
      </c>
      <c r="B4881" s="1" t="s">
        <v>5044</v>
      </c>
      <c r="C4881" s="1" t="s">
        <v>5059</v>
      </c>
      <c r="D4881" s="1" t="s">
        <v>5064</v>
      </c>
      <c r="E4881" s="1" t="s">
        <v>25</v>
      </c>
      <c r="F4881">
        <v>580</v>
      </c>
      <c r="G4881">
        <v>580</v>
      </c>
      <c r="H4881">
        <v>229.2</v>
      </c>
      <c r="I4881" s="1" t="s">
        <v>1528</v>
      </c>
      <c r="J4881" s="1" t="s">
        <v>1336</v>
      </c>
      <c r="K4881" s="1" t="s">
        <v>25</v>
      </c>
      <c r="L4881">
        <v>-0.82022220000000001</v>
      </c>
      <c r="M4881" t="str">
        <f t="shared" si="205"/>
        <v>44/40</v>
      </c>
      <c r="N4881" t="str">
        <f t="shared" si="206"/>
        <v>SW</v>
      </c>
      <c r="O4881" s="1" t="s">
        <v>25</v>
      </c>
      <c r="P4881" s="3" t="s">
        <v>25</v>
      </c>
      <c r="Q4881" s="37">
        <v>0.37441860500000002</v>
      </c>
      <c r="R4881" t="str">
        <f t="shared" si="203"/>
        <v>mmol/mol</v>
      </c>
      <c r="S4881" s="13">
        <f t="shared" si="204"/>
        <v>-0.82022220000000001</v>
      </c>
    </row>
    <row r="4882" spans="1:19">
      <c r="A4882" s="18" t="s">
        <v>4106</v>
      </c>
      <c r="B4882" s="1" t="s">
        <v>5045</v>
      </c>
      <c r="C4882" s="1" t="s">
        <v>5059</v>
      </c>
      <c r="D4882" s="1" t="s">
        <v>5064</v>
      </c>
      <c r="E4882" s="1" t="s">
        <v>25</v>
      </c>
      <c r="F4882">
        <v>580</v>
      </c>
      <c r="G4882">
        <v>580</v>
      </c>
      <c r="H4882">
        <v>231</v>
      </c>
      <c r="I4882" s="1" t="s">
        <v>1528</v>
      </c>
      <c r="J4882" s="1" t="s">
        <v>1336</v>
      </c>
      <c r="K4882" s="1" t="s">
        <v>25</v>
      </c>
      <c r="L4882" t="s">
        <v>25</v>
      </c>
      <c r="M4882" t="str">
        <f t="shared" si="205"/>
        <v>Na</v>
      </c>
      <c r="N4882" t="str">
        <f t="shared" si="206"/>
        <v>Na</v>
      </c>
      <c r="O4882" s="1" t="s">
        <v>25</v>
      </c>
      <c r="P4882" s="3" t="s">
        <v>25</v>
      </c>
      <c r="Q4882" s="37">
        <v>0.37325581400000002</v>
      </c>
      <c r="R4882" t="str">
        <f t="shared" si="203"/>
        <v>mmol/mol</v>
      </c>
      <c r="S4882" s="13" t="s">
        <v>25</v>
      </c>
    </row>
    <row r="4883" spans="1:19">
      <c r="A4883" s="18" t="s">
        <v>4106</v>
      </c>
      <c r="B4883" s="1" t="s">
        <v>5046</v>
      </c>
      <c r="C4883" s="1" t="s">
        <v>5059</v>
      </c>
      <c r="D4883" s="1" t="s">
        <v>5064</v>
      </c>
      <c r="E4883" s="1" t="s">
        <v>25</v>
      </c>
      <c r="F4883">
        <v>580</v>
      </c>
      <c r="G4883">
        <v>580</v>
      </c>
      <c r="H4883">
        <v>235</v>
      </c>
      <c r="I4883" s="1" t="s">
        <v>1528</v>
      </c>
      <c r="J4883" s="1" t="s">
        <v>1336</v>
      </c>
      <c r="K4883" s="1" t="s">
        <v>25</v>
      </c>
      <c r="L4883">
        <v>-0.58633559999999996</v>
      </c>
      <c r="M4883" t="str">
        <f t="shared" si="205"/>
        <v>44/40</v>
      </c>
      <c r="N4883" t="str">
        <f t="shared" si="206"/>
        <v>SW</v>
      </c>
      <c r="O4883" s="1" t="s">
        <v>25</v>
      </c>
      <c r="P4883" s="3" t="s">
        <v>25</v>
      </c>
      <c r="Q4883" s="37">
        <v>0.195348837</v>
      </c>
      <c r="R4883" t="str">
        <f t="shared" si="203"/>
        <v>mmol/mol</v>
      </c>
      <c r="S4883" s="13">
        <f t="shared" si="204"/>
        <v>-0.58633559999999996</v>
      </c>
    </row>
    <row r="4884" spans="1:19">
      <c r="A4884" s="18" t="s">
        <v>4106</v>
      </c>
      <c r="B4884" s="1" t="s">
        <v>5047</v>
      </c>
      <c r="C4884" s="1" t="s">
        <v>5059</v>
      </c>
      <c r="D4884" s="1" t="s">
        <v>5064</v>
      </c>
      <c r="E4884" s="1" t="s">
        <v>25</v>
      </c>
      <c r="F4884">
        <v>580</v>
      </c>
      <c r="G4884">
        <v>580</v>
      </c>
      <c r="H4884">
        <v>239.2</v>
      </c>
      <c r="I4884" s="1" t="s">
        <v>1528</v>
      </c>
      <c r="J4884" s="1" t="s">
        <v>1336</v>
      </c>
      <c r="K4884" s="1" t="s">
        <v>25</v>
      </c>
      <c r="L4884" t="s">
        <v>25</v>
      </c>
      <c r="M4884" t="str">
        <f t="shared" si="205"/>
        <v>Na</v>
      </c>
      <c r="N4884" t="str">
        <f t="shared" si="206"/>
        <v>Na</v>
      </c>
      <c r="O4884" s="1" t="s">
        <v>25</v>
      </c>
      <c r="P4884" s="3" t="s">
        <v>25</v>
      </c>
      <c r="Q4884" s="37">
        <v>0.41976744199999999</v>
      </c>
      <c r="R4884" t="str">
        <f t="shared" si="203"/>
        <v>mmol/mol</v>
      </c>
      <c r="S4884" s="13" t="s">
        <v>25</v>
      </c>
    </row>
    <row r="4885" spans="1:19">
      <c r="A4885" s="18" t="s">
        <v>4106</v>
      </c>
      <c r="B4885" s="1" t="s">
        <v>5048</v>
      </c>
      <c r="C4885" s="1" t="s">
        <v>5059</v>
      </c>
      <c r="D4885" s="1" t="s">
        <v>5064</v>
      </c>
      <c r="E4885" s="1" t="s">
        <v>25</v>
      </c>
      <c r="F4885">
        <v>580</v>
      </c>
      <c r="G4885">
        <v>580</v>
      </c>
      <c r="H4885">
        <v>245.5</v>
      </c>
      <c r="I4885" s="1" t="s">
        <v>1528</v>
      </c>
      <c r="J4885" s="1" t="s">
        <v>1336</v>
      </c>
      <c r="K4885" s="1" t="s">
        <v>25</v>
      </c>
      <c r="L4885" t="s">
        <v>25</v>
      </c>
      <c r="M4885" t="str">
        <f t="shared" si="205"/>
        <v>Na</v>
      </c>
      <c r="N4885" t="str">
        <f t="shared" si="206"/>
        <v>Na</v>
      </c>
      <c r="O4885" s="1" t="s">
        <v>25</v>
      </c>
      <c r="P4885" s="3" t="s">
        <v>25</v>
      </c>
      <c r="Q4885" s="37">
        <v>0.43720930200000002</v>
      </c>
      <c r="R4885" t="str">
        <f t="shared" si="203"/>
        <v>mmol/mol</v>
      </c>
      <c r="S4885" s="13" t="s">
        <v>25</v>
      </c>
    </row>
    <row r="4886" spans="1:19">
      <c r="A4886" s="18" t="s">
        <v>4106</v>
      </c>
      <c r="B4886" s="1" t="s">
        <v>5049</v>
      </c>
      <c r="C4886" s="1" t="s">
        <v>5059</v>
      </c>
      <c r="D4886" s="1" t="s">
        <v>5064</v>
      </c>
      <c r="E4886" s="1" t="s">
        <v>25</v>
      </c>
      <c r="F4886">
        <v>580</v>
      </c>
      <c r="G4886">
        <v>580</v>
      </c>
      <c r="H4886">
        <v>249</v>
      </c>
      <c r="I4886" s="1" t="s">
        <v>1528</v>
      </c>
      <c r="J4886" s="1" t="s">
        <v>1336</v>
      </c>
      <c r="K4886" s="1" t="s">
        <v>25</v>
      </c>
      <c r="L4886">
        <v>-0.91007720000000003</v>
      </c>
      <c r="M4886" t="str">
        <f t="shared" si="205"/>
        <v>44/40</v>
      </c>
      <c r="N4886" t="str">
        <f t="shared" si="206"/>
        <v>SW</v>
      </c>
      <c r="O4886" s="1" t="s">
        <v>25</v>
      </c>
      <c r="P4886" s="3" t="s">
        <v>25</v>
      </c>
      <c r="Q4886" s="37">
        <v>0.45465116300000002</v>
      </c>
      <c r="R4886" t="str">
        <f t="shared" si="203"/>
        <v>mmol/mol</v>
      </c>
      <c r="S4886" s="13">
        <f t="shared" si="204"/>
        <v>-0.91007720000000003</v>
      </c>
    </row>
    <row r="4887" spans="1:19">
      <c r="A4887" s="18" t="s">
        <v>4106</v>
      </c>
      <c r="B4887" s="1" t="s">
        <v>5050</v>
      </c>
      <c r="C4887" s="1" t="s">
        <v>5059</v>
      </c>
      <c r="D4887" s="1" t="s">
        <v>5064</v>
      </c>
      <c r="E4887" s="1" t="s">
        <v>25</v>
      </c>
      <c r="F4887">
        <v>580</v>
      </c>
      <c r="G4887">
        <v>580</v>
      </c>
      <c r="H4887">
        <v>252</v>
      </c>
      <c r="I4887" s="1" t="s">
        <v>1528</v>
      </c>
      <c r="J4887" s="1" t="s">
        <v>1336</v>
      </c>
      <c r="K4887" s="1" t="s">
        <v>25</v>
      </c>
      <c r="L4887" t="s">
        <v>25</v>
      </c>
      <c r="M4887" t="str">
        <f t="shared" si="205"/>
        <v>Na</v>
      </c>
      <c r="N4887" t="str">
        <f t="shared" si="206"/>
        <v>Na</v>
      </c>
      <c r="O4887" s="1" t="s">
        <v>25</v>
      </c>
      <c r="P4887" s="3" t="s">
        <v>25</v>
      </c>
      <c r="Q4887" s="37">
        <v>0.53720930200000006</v>
      </c>
      <c r="R4887" t="str">
        <f t="shared" si="203"/>
        <v>mmol/mol</v>
      </c>
      <c r="S4887" s="13" t="s">
        <v>25</v>
      </c>
    </row>
    <row r="4888" spans="1:19">
      <c r="A4888" s="18" t="s">
        <v>4106</v>
      </c>
      <c r="B4888" s="1" t="s">
        <v>5051</v>
      </c>
      <c r="C4888" s="1" t="s">
        <v>5059</v>
      </c>
      <c r="D4888" s="1" t="s">
        <v>5064</v>
      </c>
      <c r="E4888" s="1" t="s">
        <v>25</v>
      </c>
      <c r="F4888">
        <v>580</v>
      </c>
      <c r="G4888">
        <v>580</v>
      </c>
      <c r="H4888">
        <v>255</v>
      </c>
      <c r="I4888" s="1" t="s">
        <v>1528</v>
      </c>
      <c r="J4888" s="1" t="s">
        <v>1336</v>
      </c>
      <c r="K4888" s="1" t="s">
        <v>25</v>
      </c>
      <c r="L4888">
        <v>-1.1877556</v>
      </c>
      <c r="M4888" t="str">
        <f t="shared" si="205"/>
        <v>44/40</v>
      </c>
      <c r="N4888" t="str">
        <f t="shared" si="206"/>
        <v>SW</v>
      </c>
      <c r="O4888" s="1" t="s">
        <v>25</v>
      </c>
      <c r="P4888" s="3" t="s">
        <v>25</v>
      </c>
      <c r="Q4888" s="37">
        <v>0.54302325600000001</v>
      </c>
      <c r="R4888" t="str">
        <f t="shared" si="203"/>
        <v>mmol/mol</v>
      </c>
      <c r="S4888" s="13">
        <f t="shared" si="204"/>
        <v>-1.1877556</v>
      </c>
    </row>
    <row r="4889" spans="1:19">
      <c r="A4889" s="18" t="s">
        <v>4106</v>
      </c>
      <c r="B4889" s="1" t="s">
        <v>5052</v>
      </c>
      <c r="C4889" s="1" t="s">
        <v>5059</v>
      </c>
      <c r="D4889" s="1" t="s">
        <v>5064</v>
      </c>
      <c r="E4889" s="1" t="s">
        <v>25</v>
      </c>
      <c r="F4889">
        <v>580</v>
      </c>
      <c r="G4889">
        <v>580</v>
      </c>
      <c r="H4889">
        <v>256</v>
      </c>
      <c r="I4889" s="1" t="s">
        <v>1528</v>
      </c>
      <c r="J4889" s="1" t="s">
        <v>1336</v>
      </c>
      <c r="K4889" s="1" t="s">
        <v>25</v>
      </c>
      <c r="L4889" t="s">
        <v>25</v>
      </c>
      <c r="M4889" t="str">
        <f t="shared" si="205"/>
        <v>Na</v>
      </c>
      <c r="N4889" t="str">
        <f t="shared" si="206"/>
        <v>Na</v>
      </c>
      <c r="O4889" s="1" t="s">
        <v>25</v>
      </c>
      <c r="P4889" s="3" t="s">
        <v>25</v>
      </c>
      <c r="Q4889" s="37">
        <v>1.348837209</v>
      </c>
      <c r="R4889" t="str">
        <f t="shared" ref="R4889:R4952" si="207">IF(Q4889="Na","Na","mmol/mol")</f>
        <v>mmol/mol</v>
      </c>
      <c r="S4889" s="13" t="s">
        <v>25</v>
      </c>
    </row>
    <row r="4890" spans="1:19">
      <c r="A4890" s="18" t="s">
        <v>4106</v>
      </c>
      <c r="B4890" s="1" t="s">
        <v>5053</v>
      </c>
      <c r="C4890" s="1" t="s">
        <v>5059</v>
      </c>
      <c r="D4890" s="1" t="s">
        <v>5064</v>
      </c>
      <c r="E4890" s="1" t="s">
        <v>25</v>
      </c>
      <c r="F4890">
        <v>580</v>
      </c>
      <c r="G4890">
        <v>580</v>
      </c>
      <c r="H4890">
        <v>261</v>
      </c>
      <c r="I4890" s="1" t="s">
        <v>1528</v>
      </c>
      <c r="J4890" s="1" t="s">
        <v>1491</v>
      </c>
      <c r="K4890" s="1" t="s">
        <v>25</v>
      </c>
      <c r="L4890" t="s">
        <v>25</v>
      </c>
      <c r="M4890" t="str">
        <f t="shared" si="205"/>
        <v>Na</v>
      </c>
      <c r="N4890" t="str">
        <f t="shared" si="206"/>
        <v>Na</v>
      </c>
      <c r="O4890" s="1" t="s">
        <v>25</v>
      </c>
      <c r="P4890" s="3" t="s">
        <v>25</v>
      </c>
      <c r="Q4890" s="37">
        <v>5.6511628000000001E-2</v>
      </c>
      <c r="R4890" t="str">
        <f t="shared" si="207"/>
        <v>mmol/mol</v>
      </c>
      <c r="S4890" s="13" t="s">
        <v>25</v>
      </c>
    </row>
    <row r="4891" spans="1:19">
      <c r="A4891" s="18" t="s">
        <v>4106</v>
      </c>
      <c r="B4891" s="1" t="s">
        <v>5054</v>
      </c>
      <c r="C4891" s="1" t="s">
        <v>5059</v>
      </c>
      <c r="D4891" s="1" t="s">
        <v>5064</v>
      </c>
      <c r="E4891" s="1" t="s">
        <v>25</v>
      </c>
      <c r="F4891">
        <v>580</v>
      </c>
      <c r="G4891">
        <v>580</v>
      </c>
      <c r="H4891">
        <v>266</v>
      </c>
      <c r="I4891" s="1" t="s">
        <v>1528</v>
      </c>
      <c r="J4891" s="1" t="s">
        <v>1491</v>
      </c>
      <c r="K4891" s="1" t="s">
        <v>25</v>
      </c>
      <c r="L4891" t="s">
        <v>25</v>
      </c>
      <c r="M4891" t="str">
        <f t="shared" si="205"/>
        <v>Na</v>
      </c>
      <c r="N4891" t="str">
        <f t="shared" si="206"/>
        <v>Na</v>
      </c>
      <c r="O4891" s="1" t="s">
        <v>25</v>
      </c>
      <c r="P4891" s="3" t="s">
        <v>25</v>
      </c>
      <c r="Q4891" s="37">
        <v>0.13488372100000001</v>
      </c>
      <c r="R4891" t="str">
        <f t="shared" si="207"/>
        <v>mmol/mol</v>
      </c>
      <c r="S4891" s="13" t="s">
        <v>25</v>
      </c>
    </row>
    <row r="4892" spans="1:19">
      <c r="A4892" s="18" t="s">
        <v>4106</v>
      </c>
      <c r="B4892" s="1" t="s">
        <v>5055</v>
      </c>
      <c r="C4892" s="1" t="s">
        <v>5059</v>
      </c>
      <c r="D4892" s="1" t="s">
        <v>5064</v>
      </c>
      <c r="E4892" s="1" t="s">
        <v>25</v>
      </c>
      <c r="F4892">
        <v>580</v>
      </c>
      <c r="G4892">
        <v>580</v>
      </c>
      <c r="H4892">
        <v>271</v>
      </c>
      <c r="I4892" s="1" t="s">
        <v>1528</v>
      </c>
      <c r="J4892" s="1" t="s">
        <v>1491</v>
      </c>
      <c r="K4892" s="1" t="s">
        <v>25</v>
      </c>
      <c r="L4892" t="s">
        <v>25</v>
      </c>
      <c r="M4892" t="str">
        <f t="shared" si="205"/>
        <v>Na</v>
      </c>
      <c r="N4892" t="str">
        <f t="shared" si="206"/>
        <v>Na</v>
      </c>
      <c r="O4892" s="1" t="s">
        <v>25</v>
      </c>
      <c r="P4892" s="3" t="s">
        <v>25</v>
      </c>
      <c r="Q4892" s="37">
        <v>0.120930233</v>
      </c>
      <c r="R4892" t="str">
        <f t="shared" si="207"/>
        <v>mmol/mol</v>
      </c>
      <c r="S4892" s="13" t="s">
        <v>25</v>
      </c>
    </row>
    <row r="4893" spans="1:19">
      <c r="A4893" s="18" t="s">
        <v>4106</v>
      </c>
      <c r="B4893" s="1" t="s">
        <v>5056</v>
      </c>
      <c r="C4893" s="1" t="s">
        <v>5059</v>
      </c>
      <c r="D4893" s="1" t="s">
        <v>5064</v>
      </c>
      <c r="E4893" s="1" t="s">
        <v>25</v>
      </c>
      <c r="F4893">
        <v>580</v>
      </c>
      <c r="G4893">
        <v>580</v>
      </c>
      <c r="H4893">
        <v>276</v>
      </c>
      <c r="I4893" s="1" t="s">
        <v>1528</v>
      </c>
      <c r="J4893" s="1" t="s">
        <v>1491</v>
      </c>
      <c r="K4893" s="1" t="s">
        <v>25</v>
      </c>
      <c r="L4893" t="s">
        <v>25</v>
      </c>
      <c r="M4893" t="str">
        <f t="shared" si="205"/>
        <v>Na</v>
      </c>
      <c r="N4893" t="str">
        <f t="shared" si="206"/>
        <v>Na</v>
      </c>
      <c r="O4893" s="1" t="s">
        <v>25</v>
      </c>
      <c r="P4893" s="3" t="s">
        <v>25</v>
      </c>
      <c r="Q4893" s="37">
        <v>6.9302325999999997E-2</v>
      </c>
      <c r="R4893" t="str">
        <f t="shared" si="207"/>
        <v>mmol/mol</v>
      </c>
      <c r="S4893" s="13" t="s">
        <v>25</v>
      </c>
    </row>
    <row r="4894" spans="1:19" s="4" customFormat="1">
      <c r="B4894" s="5"/>
      <c r="C4894" s="5"/>
      <c r="D4894" s="5"/>
      <c r="E4894" s="5"/>
      <c r="I4894" s="5"/>
      <c r="J4894" s="5"/>
      <c r="M4894" s="5"/>
      <c r="O4894" s="5"/>
      <c r="P4894" s="6"/>
      <c r="Q4894" s="38"/>
      <c r="S4894" s="24"/>
    </row>
    <row r="4895" spans="1:19">
      <c r="A4895" s="18" t="s">
        <v>5486</v>
      </c>
      <c r="B4895" s="1" t="s">
        <v>5065</v>
      </c>
      <c r="C4895" s="1" t="s">
        <v>5487</v>
      </c>
      <c r="D4895" s="1" t="s">
        <v>5489</v>
      </c>
      <c r="E4895" s="1" t="s">
        <v>25</v>
      </c>
      <c r="F4895">
        <v>540</v>
      </c>
      <c r="G4895">
        <v>540</v>
      </c>
      <c r="H4895">
        <v>163</v>
      </c>
      <c r="I4895" s="1" t="s">
        <v>1528</v>
      </c>
      <c r="J4895" s="1" t="s">
        <v>25</v>
      </c>
      <c r="K4895" s="1" t="s">
        <v>25</v>
      </c>
      <c r="L4895">
        <v>-2.0195574861547629</v>
      </c>
      <c r="M4895" t="str">
        <f t="shared" si="205"/>
        <v>44/40</v>
      </c>
      <c r="N4895" t="str">
        <f t="shared" si="206"/>
        <v>SW</v>
      </c>
      <c r="O4895" s="1" t="s">
        <v>25</v>
      </c>
      <c r="P4895" s="3" t="s">
        <v>25</v>
      </c>
      <c r="Q4895" s="37">
        <v>5.3219917891572646</v>
      </c>
      <c r="R4895" t="str">
        <f t="shared" si="207"/>
        <v>mmol/mol</v>
      </c>
      <c r="S4895" s="13">
        <f t="shared" si="204"/>
        <v>-2.0195574861547629</v>
      </c>
    </row>
    <row r="4896" spans="1:19">
      <c r="A4896" s="18" t="s">
        <v>5486</v>
      </c>
      <c r="B4896" s="1" t="s">
        <v>5066</v>
      </c>
      <c r="C4896" s="1" t="s">
        <v>5487</v>
      </c>
      <c r="D4896" s="1" t="s">
        <v>5489</v>
      </c>
      <c r="E4896" s="1" t="s">
        <v>25</v>
      </c>
      <c r="F4896">
        <v>540</v>
      </c>
      <c r="G4896">
        <v>540</v>
      </c>
      <c r="H4896">
        <v>164</v>
      </c>
      <c r="I4896" s="1" t="s">
        <v>1528</v>
      </c>
      <c r="J4896" s="1" t="s">
        <v>25</v>
      </c>
      <c r="K4896" s="1" t="s">
        <v>25</v>
      </c>
      <c r="L4896">
        <v>-1.974244351384105</v>
      </c>
      <c r="M4896" t="str">
        <f t="shared" si="205"/>
        <v>44/40</v>
      </c>
      <c r="N4896" t="str">
        <f t="shared" si="206"/>
        <v>SW</v>
      </c>
      <c r="O4896" s="1" t="s">
        <v>25</v>
      </c>
      <c r="P4896" s="3" t="s">
        <v>25</v>
      </c>
      <c r="Q4896" s="37">
        <v>6.3294033260392037</v>
      </c>
      <c r="R4896" t="str">
        <f t="shared" si="207"/>
        <v>mmol/mol</v>
      </c>
      <c r="S4896" s="13">
        <f t="shared" si="204"/>
        <v>-1.974244351384105</v>
      </c>
    </row>
    <row r="4897" spans="1:19">
      <c r="A4897" s="18" t="s">
        <v>5486</v>
      </c>
      <c r="B4897" s="1" t="s">
        <v>5067</v>
      </c>
      <c r="C4897" s="1" t="s">
        <v>5487</v>
      </c>
      <c r="D4897" s="1" t="s">
        <v>5489</v>
      </c>
      <c r="E4897" s="1" t="s">
        <v>25</v>
      </c>
      <c r="F4897">
        <v>540</v>
      </c>
      <c r="G4897">
        <v>540</v>
      </c>
      <c r="H4897">
        <v>172</v>
      </c>
      <c r="I4897" s="1" t="s">
        <v>1528</v>
      </c>
      <c r="J4897" s="1" t="s">
        <v>25</v>
      </c>
      <c r="K4897" s="1" t="s">
        <v>25</v>
      </c>
      <c r="L4897">
        <v>-1.9539863910109727</v>
      </c>
      <c r="M4897" t="str">
        <f t="shared" si="205"/>
        <v>44/40</v>
      </c>
      <c r="N4897" t="str">
        <f t="shared" si="206"/>
        <v>SW</v>
      </c>
      <c r="O4897" s="1" t="s">
        <v>25</v>
      </c>
      <c r="P4897" s="3" t="s">
        <v>25</v>
      </c>
      <c r="Q4897" s="37">
        <v>5.4048613215097427</v>
      </c>
      <c r="R4897" t="str">
        <f t="shared" si="207"/>
        <v>mmol/mol</v>
      </c>
      <c r="S4897" s="13">
        <f t="shared" si="204"/>
        <v>-1.9539863910109727</v>
      </c>
    </row>
    <row r="4898" spans="1:19">
      <c r="A4898" s="18" t="s">
        <v>5486</v>
      </c>
      <c r="B4898" s="1" t="s">
        <v>5068</v>
      </c>
      <c r="C4898" s="1" t="s">
        <v>5487</v>
      </c>
      <c r="D4898" s="1" t="s">
        <v>5489</v>
      </c>
      <c r="E4898" s="1" t="s">
        <v>25</v>
      </c>
      <c r="F4898">
        <v>540</v>
      </c>
      <c r="G4898">
        <v>540</v>
      </c>
      <c r="H4898">
        <v>176</v>
      </c>
      <c r="I4898" s="1" t="s">
        <v>1528</v>
      </c>
      <c r="J4898" s="1" t="s">
        <v>25</v>
      </c>
      <c r="K4898" s="1" t="s">
        <v>25</v>
      </c>
      <c r="L4898">
        <v>-1.8996070806206575</v>
      </c>
      <c r="M4898" t="str">
        <f t="shared" si="205"/>
        <v>44/40</v>
      </c>
      <c r="N4898" t="str">
        <f t="shared" si="206"/>
        <v>SW</v>
      </c>
      <c r="O4898" s="1" t="s">
        <v>25</v>
      </c>
      <c r="P4898" s="3" t="s">
        <v>25</v>
      </c>
      <c r="Q4898" s="37">
        <v>5.5805215220943758</v>
      </c>
      <c r="R4898" t="str">
        <f t="shared" si="207"/>
        <v>mmol/mol</v>
      </c>
      <c r="S4898" s="13">
        <f t="shared" si="204"/>
        <v>-1.8996070806206575</v>
      </c>
    </row>
    <row r="4899" spans="1:19">
      <c r="A4899" s="18" t="s">
        <v>5486</v>
      </c>
      <c r="B4899" s="1" t="s">
        <v>5069</v>
      </c>
      <c r="C4899" s="1" t="s">
        <v>5487</v>
      </c>
      <c r="D4899" s="1" t="s">
        <v>5489</v>
      </c>
      <c r="E4899" s="1" t="s">
        <v>25</v>
      </c>
      <c r="F4899">
        <v>540</v>
      </c>
      <c r="G4899">
        <v>540</v>
      </c>
      <c r="H4899">
        <v>178</v>
      </c>
      <c r="I4899" s="1" t="s">
        <v>1528</v>
      </c>
      <c r="J4899" s="1" t="s">
        <v>25</v>
      </c>
      <c r="K4899" s="1" t="s">
        <v>25</v>
      </c>
      <c r="L4899">
        <v>-1.8700115660766512</v>
      </c>
      <c r="M4899" t="str">
        <f t="shared" si="205"/>
        <v>44/40</v>
      </c>
      <c r="N4899" t="str">
        <f t="shared" si="206"/>
        <v>SW</v>
      </c>
      <c r="O4899" s="1" t="s">
        <v>25</v>
      </c>
      <c r="P4899" s="3" t="s">
        <v>25</v>
      </c>
      <c r="Q4899" s="37">
        <v>6.0089145218149262</v>
      </c>
      <c r="R4899" t="str">
        <f t="shared" si="207"/>
        <v>mmol/mol</v>
      </c>
      <c r="S4899" s="13">
        <f t="shared" si="204"/>
        <v>-1.8700115660766512</v>
      </c>
    </row>
    <row r="4900" spans="1:19">
      <c r="A4900" s="18" t="s">
        <v>5486</v>
      </c>
      <c r="B4900" s="1" t="s">
        <v>5070</v>
      </c>
      <c r="C4900" s="1" t="s">
        <v>5487</v>
      </c>
      <c r="D4900" s="1" t="s">
        <v>5489</v>
      </c>
      <c r="E4900" s="1" t="s">
        <v>25</v>
      </c>
      <c r="F4900">
        <v>540</v>
      </c>
      <c r="G4900">
        <v>540</v>
      </c>
      <c r="H4900">
        <v>126</v>
      </c>
      <c r="I4900" s="1" t="s">
        <v>1528</v>
      </c>
      <c r="J4900" s="1" t="s">
        <v>25</v>
      </c>
      <c r="K4900" s="1" t="s">
        <v>25</v>
      </c>
      <c r="L4900">
        <v>-1.8462606746211945</v>
      </c>
      <c r="M4900" t="str">
        <f t="shared" si="205"/>
        <v>44/40</v>
      </c>
      <c r="N4900" t="str">
        <f t="shared" si="206"/>
        <v>SW</v>
      </c>
      <c r="O4900" s="1" t="s">
        <v>25</v>
      </c>
      <c r="P4900" s="3" t="s">
        <v>25</v>
      </c>
      <c r="Q4900" s="37">
        <v>6.041867477633879</v>
      </c>
      <c r="R4900" t="str">
        <f t="shared" si="207"/>
        <v>mmol/mol</v>
      </c>
      <c r="S4900" s="13">
        <f t="shared" si="204"/>
        <v>-1.8462606746211945</v>
      </c>
    </row>
    <row r="4901" spans="1:19">
      <c r="A4901" s="18" t="s">
        <v>5486</v>
      </c>
      <c r="B4901" s="1" t="s">
        <v>5071</v>
      </c>
      <c r="C4901" s="1" t="s">
        <v>5487</v>
      </c>
      <c r="D4901" s="1" t="s">
        <v>5489</v>
      </c>
      <c r="E4901" s="1" t="s">
        <v>25</v>
      </c>
      <c r="F4901">
        <v>540</v>
      </c>
      <c r="G4901">
        <v>540</v>
      </c>
      <c r="H4901">
        <v>124</v>
      </c>
      <c r="I4901" s="1" t="s">
        <v>1528</v>
      </c>
      <c r="J4901" s="1" t="s">
        <v>25</v>
      </c>
      <c r="K4901" s="1" t="s">
        <v>25</v>
      </c>
      <c r="L4901">
        <v>-1.8412196753882364</v>
      </c>
      <c r="M4901" t="str">
        <f t="shared" si="205"/>
        <v>44/40</v>
      </c>
      <c r="N4901" t="str">
        <f t="shared" si="206"/>
        <v>SW</v>
      </c>
      <c r="O4901" s="1" t="s">
        <v>25</v>
      </c>
      <c r="P4901" s="3" t="s">
        <v>25</v>
      </c>
      <c r="Q4901" s="37">
        <v>5.0320527409263169</v>
      </c>
      <c r="R4901" t="str">
        <f t="shared" si="207"/>
        <v>mmol/mol</v>
      </c>
      <c r="S4901" s="13">
        <f t="shared" si="204"/>
        <v>-1.8412196753882364</v>
      </c>
    </row>
    <row r="4902" spans="1:19">
      <c r="A4902" s="18" t="s">
        <v>5486</v>
      </c>
      <c r="B4902" s="1" t="s">
        <v>5072</v>
      </c>
      <c r="C4902" s="1" t="s">
        <v>5487</v>
      </c>
      <c r="D4902" s="1" t="s">
        <v>5489</v>
      </c>
      <c r="E4902" s="1" t="s">
        <v>25</v>
      </c>
      <c r="F4902">
        <v>540</v>
      </c>
      <c r="G4902">
        <v>540</v>
      </c>
      <c r="H4902">
        <v>167</v>
      </c>
      <c r="I4902" s="1" t="s">
        <v>1528</v>
      </c>
      <c r="J4902" s="1" t="s">
        <v>25</v>
      </c>
      <c r="K4902" s="1" t="s">
        <v>25</v>
      </c>
      <c r="L4902">
        <v>-1.8360516319012752</v>
      </c>
      <c r="M4902" t="str">
        <f t="shared" si="205"/>
        <v>44/40</v>
      </c>
      <c r="N4902" t="str">
        <f t="shared" si="206"/>
        <v>SW</v>
      </c>
      <c r="O4902" s="1" t="s">
        <v>25</v>
      </c>
      <c r="P4902" s="3" t="s">
        <v>25</v>
      </c>
      <c r="Q4902" s="37">
        <v>6.0454972640148528</v>
      </c>
      <c r="R4902" t="str">
        <f t="shared" si="207"/>
        <v>mmol/mol</v>
      </c>
      <c r="S4902" s="13">
        <f t="shared" si="204"/>
        <v>-1.8360516319012752</v>
      </c>
    </row>
    <row r="4903" spans="1:19">
      <c r="A4903" s="18" t="s">
        <v>5486</v>
      </c>
      <c r="B4903" s="1" t="s">
        <v>5073</v>
      </c>
      <c r="C4903" s="1" t="s">
        <v>5487</v>
      </c>
      <c r="D4903" s="1" t="s">
        <v>5489</v>
      </c>
      <c r="E4903" s="1" t="s">
        <v>25</v>
      </c>
      <c r="F4903">
        <v>540</v>
      </c>
      <c r="G4903">
        <v>540</v>
      </c>
      <c r="H4903">
        <v>135</v>
      </c>
      <c r="I4903" s="1" t="s">
        <v>1528</v>
      </c>
      <c r="J4903" s="1" t="s">
        <v>25</v>
      </c>
      <c r="K4903" s="1" t="s">
        <v>25</v>
      </c>
      <c r="L4903">
        <v>-1.8072455358635469</v>
      </c>
      <c r="M4903" t="str">
        <f t="shared" si="205"/>
        <v>44/40</v>
      </c>
      <c r="N4903" t="str">
        <f t="shared" si="206"/>
        <v>SW</v>
      </c>
      <c r="O4903" s="1" t="s">
        <v>25</v>
      </c>
      <c r="P4903" s="3" t="s">
        <v>25</v>
      </c>
      <c r="Q4903" s="37">
        <v>4.5823680495252335</v>
      </c>
      <c r="R4903" t="str">
        <f t="shared" si="207"/>
        <v>mmol/mol</v>
      </c>
      <c r="S4903" s="13">
        <f t="shared" si="204"/>
        <v>-1.8072455358635469</v>
      </c>
    </row>
    <row r="4904" spans="1:19">
      <c r="A4904" s="18" t="s">
        <v>5486</v>
      </c>
      <c r="B4904" s="1" t="s">
        <v>5074</v>
      </c>
      <c r="C4904" s="1" t="s">
        <v>5487</v>
      </c>
      <c r="D4904" s="1" t="s">
        <v>5489</v>
      </c>
      <c r="E4904" s="1" t="s">
        <v>25</v>
      </c>
      <c r="F4904">
        <v>540</v>
      </c>
      <c r="G4904">
        <v>540</v>
      </c>
      <c r="H4904">
        <v>108</v>
      </c>
      <c r="I4904" s="1" t="s">
        <v>1528</v>
      </c>
      <c r="J4904" s="1" t="s">
        <v>25</v>
      </c>
      <c r="K4904" s="1" t="s">
        <v>25</v>
      </c>
      <c r="L4904">
        <v>-1.6628277115350558</v>
      </c>
      <c r="M4904" t="str">
        <f t="shared" si="205"/>
        <v>44/40</v>
      </c>
      <c r="N4904" t="str">
        <f t="shared" si="206"/>
        <v>SW</v>
      </c>
      <c r="O4904" s="1" t="s">
        <v>25</v>
      </c>
      <c r="P4904" s="3" t="s">
        <v>25</v>
      </c>
      <c r="Q4904" s="37">
        <v>4.3620052696168123</v>
      </c>
      <c r="R4904" t="str">
        <f t="shared" si="207"/>
        <v>mmol/mol</v>
      </c>
      <c r="S4904" s="13">
        <f t="shared" si="204"/>
        <v>-1.6628277115350558</v>
      </c>
    </row>
    <row r="4905" spans="1:19">
      <c r="A4905" s="18" t="s">
        <v>5486</v>
      </c>
      <c r="B4905" s="1" t="s">
        <v>5075</v>
      </c>
      <c r="C4905" s="1" t="s">
        <v>5487</v>
      </c>
      <c r="D4905" s="1" t="s">
        <v>5489</v>
      </c>
      <c r="E4905" s="1" t="s">
        <v>25</v>
      </c>
      <c r="F4905">
        <v>540</v>
      </c>
      <c r="G4905">
        <v>540</v>
      </c>
      <c r="H4905">
        <v>64</v>
      </c>
      <c r="I4905" s="1" t="s">
        <v>1528</v>
      </c>
      <c r="J4905" s="1" t="s">
        <v>25</v>
      </c>
      <c r="K4905" s="1" t="s">
        <v>25</v>
      </c>
      <c r="L4905">
        <v>-1.6064773778117989</v>
      </c>
      <c r="M4905" t="str">
        <f t="shared" si="205"/>
        <v>44/40</v>
      </c>
      <c r="N4905" t="str">
        <f t="shared" si="206"/>
        <v>SW</v>
      </c>
      <c r="O4905" s="1" t="s">
        <v>25</v>
      </c>
      <c r="P4905" s="3" t="s">
        <v>25</v>
      </c>
      <c r="Q4905" s="37">
        <v>1.9836211738689249</v>
      </c>
      <c r="R4905" t="str">
        <f t="shared" si="207"/>
        <v>mmol/mol</v>
      </c>
      <c r="S4905" s="13">
        <f t="shared" si="204"/>
        <v>-1.6064773778117989</v>
      </c>
    </row>
    <row r="4906" spans="1:19">
      <c r="A4906" s="18" t="s">
        <v>5486</v>
      </c>
      <c r="B4906" s="1" t="s">
        <v>5076</v>
      </c>
      <c r="C4906" s="1" t="s">
        <v>5487</v>
      </c>
      <c r="D4906" s="1" t="s">
        <v>5489</v>
      </c>
      <c r="E4906" s="1" t="s">
        <v>25</v>
      </c>
      <c r="F4906">
        <v>540</v>
      </c>
      <c r="G4906">
        <v>540</v>
      </c>
      <c r="H4906">
        <v>74</v>
      </c>
      <c r="I4906" s="1" t="s">
        <v>1528</v>
      </c>
      <c r="J4906" s="1" t="s">
        <v>25</v>
      </c>
      <c r="K4906" s="1" t="s">
        <v>25</v>
      </c>
      <c r="L4906">
        <v>-1.5394125717092531</v>
      </c>
      <c r="M4906" t="str">
        <f t="shared" si="205"/>
        <v>44/40</v>
      </c>
      <c r="N4906" t="str">
        <f t="shared" si="206"/>
        <v>SW</v>
      </c>
      <c r="O4906" s="1" t="s">
        <v>25</v>
      </c>
      <c r="P4906" s="3" t="s">
        <v>25</v>
      </c>
      <c r="Q4906" s="37">
        <v>2.3000709456362869</v>
      </c>
      <c r="R4906" t="str">
        <f t="shared" si="207"/>
        <v>mmol/mol</v>
      </c>
      <c r="S4906" s="13">
        <f t="shared" si="204"/>
        <v>-1.5394125717092531</v>
      </c>
    </row>
    <row r="4907" spans="1:19">
      <c r="A4907" s="18" t="s">
        <v>5486</v>
      </c>
      <c r="B4907" s="1" t="s">
        <v>5077</v>
      </c>
      <c r="C4907" s="1" t="s">
        <v>5487</v>
      </c>
      <c r="D4907" s="1" t="s">
        <v>5489</v>
      </c>
      <c r="E4907" s="1" t="s">
        <v>25</v>
      </c>
      <c r="F4907">
        <v>540</v>
      </c>
      <c r="G4907">
        <v>540</v>
      </c>
      <c r="H4907">
        <v>66</v>
      </c>
      <c r="I4907" s="1" t="s">
        <v>1528</v>
      </c>
      <c r="J4907" s="1" t="s">
        <v>25</v>
      </c>
      <c r="K4907" s="1" t="s">
        <v>25</v>
      </c>
      <c r="L4907">
        <v>-1.5238279335336917</v>
      </c>
      <c r="M4907" t="str">
        <f t="shared" si="205"/>
        <v>44/40</v>
      </c>
      <c r="N4907" t="str">
        <f t="shared" si="206"/>
        <v>SW</v>
      </c>
      <c r="O4907" s="1" t="s">
        <v>25</v>
      </c>
      <c r="P4907" s="3" t="s">
        <v>25</v>
      </c>
      <c r="Q4907" s="37">
        <v>2.240515707616038</v>
      </c>
      <c r="R4907" t="str">
        <f t="shared" si="207"/>
        <v>mmol/mol</v>
      </c>
      <c r="S4907" s="13">
        <f t="shared" si="204"/>
        <v>-1.5238279335336917</v>
      </c>
    </row>
    <row r="4908" spans="1:19">
      <c r="A4908" s="18" t="s">
        <v>5486</v>
      </c>
      <c r="B4908" s="1" t="s">
        <v>5078</v>
      </c>
      <c r="C4908" s="1" t="s">
        <v>5487</v>
      </c>
      <c r="D4908" s="1" t="s">
        <v>5489</v>
      </c>
      <c r="E4908" s="1" t="s">
        <v>25</v>
      </c>
      <c r="F4908">
        <v>540</v>
      </c>
      <c r="G4908">
        <v>540</v>
      </c>
      <c r="H4908">
        <v>73</v>
      </c>
      <c r="I4908" s="1" t="s">
        <v>1528</v>
      </c>
      <c r="J4908" s="1" t="s">
        <v>25</v>
      </c>
      <c r="K4908" s="1" t="s">
        <v>25</v>
      </c>
      <c r="L4908">
        <v>-1.5067898791958354</v>
      </c>
      <c r="M4908" t="str">
        <f t="shared" si="205"/>
        <v>44/40</v>
      </c>
      <c r="N4908" t="str">
        <f t="shared" si="206"/>
        <v>SW</v>
      </c>
      <c r="O4908" s="1" t="s">
        <v>25</v>
      </c>
      <c r="P4908" s="3" t="s">
        <v>25</v>
      </c>
      <c r="Q4908" s="37">
        <v>1.8176932570672113</v>
      </c>
      <c r="R4908" t="str">
        <f t="shared" si="207"/>
        <v>mmol/mol</v>
      </c>
      <c r="S4908" s="13">
        <f t="shared" ref="S4908:S4932" si="208">IF(NOT(N4908="SW"),L4908-1.88,L4908)</f>
        <v>-1.5067898791958354</v>
      </c>
    </row>
    <row r="4909" spans="1:19">
      <c r="A4909" s="18" t="s">
        <v>5486</v>
      </c>
      <c r="B4909" s="1" t="s">
        <v>5079</v>
      </c>
      <c r="C4909" s="1" t="s">
        <v>5487</v>
      </c>
      <c r="D4909" s="1" t="s">
        <v>5489</v>
      </c>
      <c r="E4909" s="1" t="s">
        <v>25</v>
      </c>
      <c r="F4909">
        <v>540</v>
      </c>
      <c r="G4909">
        <v>540</v>
      </c>
      <c r="H4909">
        <v>58</v>
      </c>
      <c r="I4909" s="1" t="s">
        <v>1528</v>
      </c>
      <c r="J4909" s="1" t="s">
        <v>25</v>
      </c>
      <c r="K4909" s="1" t="s">
        <v>25</v>
      </c>
      <c r="L4909">
        <v>-1.4980639436252383</v>
      </c>
      <c r="M4909" t="str">
        <f t="shared" si="205"/>
        <v>44/40</v>
      </c>
      <c r="N4909" t="str">
        <f t="shared" si="206"/>
        <v>SW</v>
      </c>
      <c r="O4909" s="1" t="s">
        <v>25</v>
      </c>
      <c r="P4909" s="3" t="s">
        <v>25</v>
      </c>
      <c r="Q4909" s="37">
        <v>1.1409535946762888</v>
      </c>
      <c r="R4909" t="str">
        <f t="shared" si="207"/>
        <v>mmol/mol</v>
      </c>
      <c r="S4909" s="13">
        <f t="shared" si="208"/>
        <v>-1.4980639436252383</v>
      </c>
    </row>
    <row r="4910" spans="1:19">
      <c r="A4910" s="18" t="s">
        <v>5486</v>
      </c>
      <c r="B4910" s="1" t="s">
        <v>5080</v>
      </c>
      <c r="C4910" s="1" t="s">
        <v>5487</v>
      </c>
      <c r="D4910" s="1" t="s">
        <v>5489</v>
      </c>
      <c r="E4910" s="1" t="s">
        <v>25</v>
      </c>
      <c r="F4910">
        <v>540</v>
      </c>
      <c r="G4910">
        <v>540</v>
      </c>
      <c r="H4910">
        <v>94</v>
      </c>
      <c r="I4910" s="1" t="s">
        <v>1528</v>
      </c>
      <c r="J4910" s="1" t="s">
        <v>25</v>
      </c>
      <c r="K4910" s="1" t="s">
        <v>25</v>
      </c>
      <c r="L4910">
        <v>-1.4790678783441729</v>
      </c>
      <c r="M4910" t="str">
        <f t="shared" si="205"/>
        <v>44/40</v>
      </c>
      <c r="N4910" t="str">
        <f t="shared" si="206"/>
        <v>SW</v>
      </c>
      <c r="O4910" s="1" t="s">
        <v>25</v>
      </c>
      <c r="P4910" s="3" t="s">
        <v>25</v>
      </c>
      <c r="Q4910" s="37">
        <v>1.9052905765213697</v>
      </c>
      <c r="R4910" t="str">
        <f t="shared" si="207"/>
        <v>mmol/mol</v>
      </c>
      <c r="S4910" s="13">
        <f t="shared" si="208"/>
        <v>-1.4790678783441729</v>
      </c>
    </row>
    <row r="4911" spans="1:19">
      <c r="A4911" s="18" t="s">
        <v>5486</v>
      </c>
      <c r="B4911" s="1" t="s">
        <v>5081</v>
      </c>
      <c r="C4911" s="1" t="s">
        <v>5487</v>
      </c>
      <c r="D4911" s="1" t="s">
        <v>5489</v>
      </c>
      <c r="E4911" s="1" t="s">
        <v>25</v>
      </c>
      <c r="F4911">
        <v>540</v>
      </c>
      <c r="G4911">
        <v>540</v>
      </c>
      <c r="H4911">
        <v>69</v>
      </c>
      <c r="I4911" s="1" t="s">
        <v>1528</v>
      </c>
      <c r="J4911" s="1" t="s">
        <v>25</v>
      </c>
      <c r="K4911" s="1" t="s">
        <v>25</v>
      </c>
      <c r="L4911">
        <v>-1.4608316496620448</v>
      </c>
      <c r="M4911" t="str">
        <f t="shared" si="205"/>
        <v>44/40</v>
      </c>
      <c r="N4911" t="str">
        <f t="shared" si="206"/>
        <v>SW</v>
      </c>
      <c r="O4911" s="1" t="s">
        <v>25</v>
      </c>
      <c r="P4911" s="3" t="s">
        <v>25</v>
      </c>
      <c r="Q4911" s="37">
        <v>2.211697678848044</v>
      </c>
      <c r="R4911" t="str">
        <f t="shared" si="207"/>
        <v>mmol/mol</v>
      </c>
      <c r="S4911" s="13">
        <f t="shared" si="208"/>
        <v>-1.4608316496620448</v>
      </c>
    </row>
    <row r="4912" spans="1:19">
      <c r="A4912" s="18" t="s">
        <v>5486</v>
      </c>
      <c r="B4912" s="1" t="s">
        <v>5082</v>
      </c>
      <c r="C4912" s="1" t="s">
        <v>5487</v>
      </c>
      <c r="D4912" s="1" t="s">
        <v>5489</v>
      </c>
      <c r="E4912" s="1" t="s">
        <v>25</v>
      </c>
      <c r="F4912">
        <v>540</v>
      </c>
      <c r="G4912">
        <v>540</v>
      </c>
      <c r="H4912">
        <v>57</v>
      </c>
      <c r="I4912" s="1" t="s">
        <v>1528</v>
      </c>
      <c r="J4912" s="1" t="s">
        <v>25</v>
      </c>
      <c r="K4912" s="1" t="s">
        <v>25</v>
      </c>
      <c r="L4912">
        <v>-1.4503208310076481</v>
      </c>
      <c r="M4912" t="str">
        <f t="shared" ref="M4912:M4975" si="209">IF(L4912="Na","Na","44/40")</f>
        <v>44/40</v>
      </c>
      <c r="N4912" t="str">
        <f t="shared" ref="N4912:N4975" si="210">IF(M4912="Na","Na","SW")</f>
        <v>SW</v>
      </c>
      <c r="O4912" s="1" t="s">
        <v>25</v>
      </c>
      <c r="P4912" s="3" t="s">
        <v>25</v>
      </c>
      <c r="Q4912" s="37">
        <v>1.2312230934947506</v>
      </c>
      <c r="R4912" t="str">
        <f t="shared" si="207"/>
        <v>mmol/mol</v>
      </c>
      <c r="S4912" s="13">
        <f t="shared" si="208"/>
        <v>-1.4503208310076481</v>
      </c>
    </row>
    <row r="4913" spans="1:19">
      <c r="A4913" s="18" t="s">
        <v>5486</v>
      </c>
      <c r="B4913" s="1" t="s">
        <v>5083</v>
      </c>
      <c r="C4913" s="1" t="s">
        <v>5487</v>
      </c>
      <c r="D4913" s="1" t="s">
        <v>5489</v>
      </c>
      <c r="E4913" s="1" t="s">
        <v>25</v>
      </c>
      <c r="F4913">
        <v>540</v>
      </c>
      <c r="G4913">
        <v>540</v>
      </c>
      <c r="H4913">
        <v>102</v>
      </c>
      <c r="I4913" s="1" t="s">
        <v>1528</v>
      </c>
      <c r="J4913" s="1" t="s">
        <v>25</v>
      </c>
      <c r="K4913" s="1" t="s">
        <v>25</v>
      </c>
      <c r="L4913">
        <v>-1.4445115216918463</v>
      </c>
      <c r="M4913" t="str">
        <f t="shared" si="209"/>
        <v>44/40</v>
      </c>
      <c r="N4913" t="str">
        <f t="shared" si="210"/>
        <v>SW</v>
      </c>
      <c r="O4913" s="1" t="s">
        <v>25</v>
      </c>
      <c r="P4913" s="3" t="s">
        <v>25</v>
      </c>
      <c r="Q4913" s="37">
        <v>1.5850756729018574</v>
      </c>
      <c r="R4913" t="str">
        <f t="shared" si="207"/>
        <v>mmol/mol</v>
      </c>
      <c r="S4913" s="13">
        <f t="shared" si="208"/>
        <v>-1.4445115216918463</v>
      </c>
    </row>
    <row r="4914" spans="1:19">
      <c r="A4914" s="18" t="s">
        <v>5486</v>
      </c>
      <c r="B4914" s="1" t="s">
        <v>5084</v>
      </c>
      <c r="C4914" s="1" t="s">
        <v>5487</v>
      </c>
      <c r="D4914" s="1" t="s">
        <v>5489</v>
      </c>
      <c r="E4914" s="1" t="s">
        <v>25</v>
      </c>
      <c r="F4914">
        <v>540</v>
      </c>
      <c r="G4914">
        <v>540</v>
      </c>
      <c r="H4914">
        <v>76</v>
      </c>
      <c r="I4914" s="1" t="s">
        <v>1528</v>
      </c>
      <c r="J4914" s="1" t="s">
        <v>25</v>
      </c>
      <c r="K4914" s="1" t="s">
        <v>25</v>
      </c>
      <c r="L4914">
        <v>-1.4426946341784623</v>
      </c>
      <c r="M4914" t="str">
        <f t="shared" si="209"/>
        <v>44/40</v>
      </c>
      <c r="N4914" t="str">
        <f t="shared" si="210"/>
        <v>SW</v>
      </c>
      <c r="O4914" s="1" t="s">
        <v>25</v>
      </c>
      <c r="P4914" s="3" t="s">
        <v>25</v>
      </c>
      <c r="Q4914" s="37">
        <v>2.0648887113536976</v>
      </c>
      <c r="R4914" t="str">
        <f t="shared" si="207"/>
        <v>mmol/mol</v>
      </c>
      <c r="S4914" s="13">
        <f t="shared" si="208"/>
        <v>-1.4426946341784623</v>
      </c>
    </row>
    <row r="4915" spans="1:19">
      <c r="A4915" s="18" t="s">
        <v>5486</v>
      </c>
      <c r="B4915" s="1" t="s">
        <v>5085</v>
      </c>
      <c r="C4915" s="1" t="s">
        <v>5487</v>
      </c>
      <c r="D4915" s="1" t="s">
        <v>5489</v>
      </c>
      <c r="E4915" s="1" t="s">
        <v>25</v>
      </c>
      <c r="F4915">
        <v>540</v>
      </c>
      <c r="G4915">
        <v>540</v>
      </c>
      <c r="H4915">
        <v>54</v>
      </c>
      <c r="I4915" s="1" t="s">
        <v>1528</v>
      </c>
      <c r="J4915" s="1" t="s">
        <v>25</v>
      </c>
      <c r="K4915" s="1" t="s">
        <v>25</v>
      </c>
      <c r="L4915">
        <v>-1.4365984500123494</v>
      </c>
      <c r="M4915" t="str">
        <f t="shared" si="209"/>
        <v>44/40</v>
      </c>
      <c r="N4915" t="str">
        <f t="shared" si="210"/>
        <v>SW</v>
      </c>
      <c r="O4915" s="1" t="s">
        <v>25</v>
      </c>
      <c r="P4915" s="3" t="s">
        <v>25</v>
      </c>
      <c r="Q4915" s="37">
        <v>1.3359423599279925</v>
      </c>
      <c r="R4915" t="str">
        <f t="shared" si="207"/>
        <v>mmol/mol</v>
      </c>
      <c r="S4915" s="13">
        <f t="shared" si="208"/>
        <v>-1.4365984500123494</v>
      </c>
    </row>
    <row r="4916" spans="1:19">
      <c r="A4916" s="18" t="s">
        <v>5486</v>
      </c>
      <c r="B4916" s="1" t="s">
        <v>5086</v>
      </c>
      <c r="C4916" s="1" t="s">
        <v>5487</v>
      </c>
      <c r="D4916" s="1" t="s">
        <v>5489</v>
      </c>
      <c r="E4916" s="1" t="s">
        <v>25</v>
      </c>
      <c r="F4916">
        <v>540</v>
      </c>
      <c r="G4916">
        <v>540</v>
      </c>
      <c r="H4916">
        <v>68</v>
      </c>
      <c r="I4916" s="1" t="s">
        <v>1528</v>
      </c>
      <c r="J4916" s="1" t="s">
        <v>25</v>
      </c>
      <c r="K4916" s="1" t="s">
        <v>25</v>
      </c>
      <c r="L4916">
        <v>-1.4249622755053923</v>
      </c>
      <c r="M4916" t="str">
        <f t="shared" si="209"/>
        <v>44/40</v>
      </c>
      <c r="N4916" t="str">
        <f t="shared" si="210"/>
        <v>SW</v>
      </c>
      <c r="O4916" s="1" t="s">
        <v>25</v>
      </c>
      <c r="P4916" s="3" t="s">
        <v>25</v>
      </c>
      <c r="Q4916" s="37">
        <v>1.8549739264730896</v>
      </c>
      <c r="R4916" t="str">
        <f t="shared" si="207"/>
        <v>mmol/mol</v>
      </c>
      <c r="S4916" s="13">
        <f t="shared" si="208"/>
        <v>-1.4249622755053923</v>
      </c>
    </row>
    <row r="4917" spans="1:19">
      <c r="A4917" s="18" t="s">
        <v>5486</v>
      </c>
      <c r="B4917" s="1" t="s">
        <v>5087</v>
      </c>
      <c r="C4917" s="1" t="s">
        <v>5487</v>
      </c>
      <c r="D4917" s="1" t="s">
        <v>5489</v>
      </c>
      <c r="E4917" s="1" t="s">
        <v>25</v>
      </c>
      <c r="F4917">
        <v>540</v>
      </c>
      <c r="G4917">
        <v>540</v>
      </c>
      <c r="H4917">
        <v>114</v>
      </c>
      <c r="I4917" s="1" t="s">
        <v>1528</v>
      </c>
      <c r="J4917" s="1" t="s">
        <v>25</v>
      </c>
      <c r="K4917" s="1" t="s">
        <v>25</v>
      </c>
      <c r="L4917">
        <v>-1.4212447631052301</v>
      </c>
      <c r="M4917" t="str">
        <f t="shared" si="209"/>
        <v>44/40</v>
      </c>
      <c r="N4917" t="str">
        <f t="shared" si="210"/>
        <v>SW</v>
      </c>
      <c r="O4917" s="1" t="s">
        <v>25</v>
      </c>
      <c r="P4917" s="3" t="s">
        <v>25</v>
      </c>
      <c r="Q4917" s="37">
        <v>3.8025348656113227</v>
      </c>
      <c r="R4917" t="str">
        <f t="shared" si="207"/>
        <v>mmol/mol</v>
      </c>
      <c r="S4917" s="13">
        <f t="shared" si="208"/>
        <v>-1.4212447631052301</v>
      </c>
    </row>
    <row r="4918" spans="1:19">
      <c r="A4918" s="18" t="s">
        <v>5486</v>
      </c>
      <c r="B4918" s="1" t="s">
        <v>5088</v>
      </c>
      <c r="C4918" s="1" t="s">
        <v>5487</v>
      </c>
      <c r="D4918" s="1" t="s">
        <v>5489</v>
      </c>
      <c r="E4918" s="1" t="s">
        <v>25</v>
      </c>
      <c r="F4918">
        <v>540</v>
      </c>
      <c r="G4918">
        <v>540</v>
      </c>
      <c r="H4918">
        <v>55</v>
      </c>
      <c r="I4918" s="1" t="s">
        <v>1528</v>
      </c>
      <c r="J4918" s="1" t="s">
        <v>25</v>
      </c>
      <c r="K4918" s="1" t="s">
        <v>25</v>
      </c>
      <c r="L4918">
        <v>-1.4193582121607122</v>
      </c>
      <c r="M4918" t="str">
        <f t="shared" si="209"/>
        <v>44/40</v>
      </c>
      <c r="N4918" t="str">
        <f t="shared" si="210"/>
        <v>SW</v>
      </c>
      <c r="O4918" s="1" t="s">
        <v>25</v>
      </c>
      <c r="P4918" s="3" t="s">
        <v>25</v>
      </c>
      <c r="Q4918" s="37">
        <v>1.0603593271805967</v>
      </c>
      <c r="R4918" t="str">
        <f t="shared" si="207"/>
        <v>mmol/mol</v>
      </c>
      <c r="S4918" s="13">
        <f t="shared" si="208"/>
        <v>-1.4193582121607122</v>
      </c>
    </row>
    <row r="4919" spans="1:19">
      <c r="A4919" s="18" t="s">
        <v>5486</v>
      </c>
      <c r="B4919" s="1" t="s">
        <v>5089</v>
      </c>
      <c r="C4919" s="1" t="s">
        <v>5487</v>
      </c>
      <c r="D4919" s="1" t="s">
        <v>5489</v>
      </c>
      <c r="E4919" s="1" t="s">
        <v>25</v>
      </c>
      <c r="F4919">
        <v>540</v>
      </c>
      <c r="G4919">
        <v>540</v>
      </c>
      <c r="H4919">
        <v>71</v>
      </c>
      <c r="I4919" s="1" t="s">
        <v>1528</v>
      </c>
      <c r="J4919" s="1" t="s">
        <v>25</v>
      </c>
      <c r="K4919" s="1" t="s">
        <v>25</v>
      </c>
      <c r="L4919">
        <v>-1.4164830139088644</v>
      </c>
      <c r="M4919" t="str">
        <f t="shared" si="209"/>
        <v>44/40</v>
      </c>
      <c r="N4919" t="str">
        <f t="shared" si="210"/>
        <v>SW</v>
      </c>
      <c r="O4919" s="1" t="s">
        <v>25</v>
      </c>
      <c r="P4919" s="3" t="s">
        <v>25</v>
      </c>
      <c r="Q4919" s="37">
        <v>2.5161961081429141</v>
      </c>
      <c r="R4919" t="str">
        <f t="shared" si="207"/>
        <v>mmol/mol</v>
      </c>
      <c r="S4919" s="13">
        <f t="shared" si="208"/>
        <v>-1.4164830139088644</v>
      </c>
    </row>
    <row r="4920" spans="1:19">
      <c r="A4920" s="18" t="s">
        <v>5486</v>
      </c>
      <c r="B4920" s="1" t="s">
        <v>5090</v>
      </c>
      <c r="C4920" s="1" t="s">
        <v>5487</v>
      </c>
      <c r="D4920" s="1" t="s">
        <v>5489</v>
      </c>
      <c r="E4920" s="1" t="s">
        <v>25</v>
      </c>
      <c r="F4920">
        <v>540</v>
      </c>
      <c r="G4920">
        <v>540</v>
      </c>
      <c r="H4920">
        <v>79</v>
      </c>
      <c r="I4920" s="1" t="s">
        <v>1528</v>
      </c>
      <c r="J4920" s="1" t="s">
        <v>25</v>
      </c>
      <c r="K4920" s="1" t="s">
        <v>25</v>
      </c>
      <c r="L4920">
        <v>-1.4068665295654479</v>
      </c>
      <c r="M4920" t="str">
        <f t="shared" si="209"/>
        <v>44/40</v>
      </c>
      <c r="N4920" t="str">
        <f t="shared" si="210"/>
        <v>SW</v>
      </c>
      <c r="O4920" s="1" t="s">
        <v>25</v>
      </c>
      <c r="P4920" s="3" t="s">
        <v>25</v>
      </c>
      <c r="Q4920" s="37">
        <v>1.9276339184055535</v>
      </c>
      <c r="R4920" t="str">
        <f t="shared" si="207"/>
        <v>mmol/mol</v>
      </c>
      <c r="S4920" s="13">
        <f t="shared" si="208"/>
        <v>-1.4068665295654479</v>
      </c>
    </row>
    <row r="4921" spans="1:19">
      <c r="A4921" s="18" t="s">
        <v>5486</v>
      </c>
      <c r="B4921" s="1" t="s">
        <v>5091</v>
      </c>
      <c r="C4921" s="1" t="s">
        <v>5487</v>
      </c>
      <c r="D4921" s="1" t="s">
        <v>5489</v>
      </c>
      <c r="E4921" s="1" t="s">
        <v>25</v>
      </c>
      <c r="F4921">
        <v>540</v>
      </c>
      <c r="G4921">
        <v>540</v>
      </c>
      <c r="H4921">
        <v>50</v>
      </c>
      <c r="I4921" s="1" t="s">
        <v>1528</v>
      </c>
      <c r="J4921" s="1" t="s">
        <v>25</v>
      </c>
      <c r="K4921" s="1" t="s">
        <v>25</v>
      </c>
      <c r="L4921">
        <v>-1.3963893272147196</v>
      </c>
      <c r="M4921" t="str">
        <f t="shared" si="209"/>
        <v>44/40</v>
      </c>
      <c r="N4921" t="str">
        <f t="shared" si="210"/>
        <v>SW</v>
      </c>
      <c r="O4921" s="1" t="s">
        <v>25</v>
      </c>
      <c r="P4921" s="3" t="s">
        <v>25</v>
      </c>
      <c r="Q4921" s="37">
        <v>1.0389601933603354</v>
      </c>
      <c r="R4921" t="str">
        <f t="shared" si="207"/>
        <v>mmol/mol</v>
      </c>
      <c r="S4921" s="13">
        <f t="shared" si="208"/>
        <v>-1.3963893272147196</v>
      </c>
    </row>
    <row r="4922" spans="1:19">
      <c r="A4922" s="18" t="s">
        <v>5486</v>
      </c>
      <c r="B4922" s="1" t="s">
        <v>5092</v>
      </c>
      <c r="C4922" s="1" t="s">
        <v>5487</v>
      </c>
      <c r="D4922" s="1" t="s">
        <v>5489</v>
      </c>
      <c r="E4922" s="1" t="s">
        <v>25</v>
      </c>
      <c r="F4922">
        <v>540</v>
      </c>
      <c r="G4922">
        <v>540</v>
      </c>
      <c r="H4922">
        <v>63</v>
      </c>
      <c r="I4922" s="1" t="s">
        <v>1528</v>
      </c>
      <c r="J4922" s="1" t="s">
        <v>25</v>
      </c>
      <c r="K4922" s="1" t="s">
        <v>25</v>
      </c>
      <c r="L4922">
        <v>-1.389455294799216</v>
      </c>
      <c r="M4922" t="str">
        <f t="shared" si="209"/>
        <v>44/40</v>
      </c>
      <c r="N4922" t="str">
        <f t="shared" si="210"/>
        <v>SW</v>
      </c>
      <c r="O4922" s="1" t="s">
        <v>25</v>
      </c>
      <c r="P4922" s="3" t="s">
        <v>25</v>
      </c>
      <c r="Q4922" s="37">
        <v>2.0831685714880561</v>
      </c>
      <c r="R4922" t="str">
        <f t="shared" si="207"/>
        <v>mmol/mol</v>
      </c>
      <c r="S4922" s="13">
        <f t="shared" si="208"/>
        <v>-1.389455294799216</v>
      </c>
    </row>
    <row r="4923" spans="1:19">
      <c r="A4923" s="18" t="s">
        <v>5486</v>
      </c>
      <c r="B4923" s="1" t="s">
        <v>5093</v>
      </c>
      <c r="C4923" s="1" t="s">
        <v>5487</v>
      </c>
      <c r="D4923" s="1" t="s">
        <v>5489</v>
      </c>
      <c r="E4923" s="1" t="s">
        <v>25</v>
      </c>
      <c r="F4923">
        <v>540</v>
      </c>
      <c r="G4923">
        <v>540</v>
      </c>
      <c r="H4923">
        <v>77</v>
      </c>
      <c r="I4923" s="1" t="s">
        <v>1528</v>
      </c>
      <c r="J4923" s="1" t="s">
        <v>25</v>
      </c>
      <c r="K4923" s="1" t="s">
        <v>25</v>
      </c>
      <c r="L4923">
        <v>-1.3852400376683753</v>
      </c>
      <c r="M4923" t="str">
        <f t="shared" si="209"/>
        <v>44/40</v>
      </c>
      <c r="N4923" t="str">
        <f t="shared" si="210"/>
        <v>SW</v>
      </c>
      <c r="O4923" s="1" t="s">
        <v>25</v>
      </c>
      <c r="P4923" s="3" t="s">
        <v>25</v>
      </c>
      <c r="Q4923" s="37">
        <v>1.5597137564108066</v>
      </c>
      <c r="R4923" t="str">
        <f t="shared" si="207"/>
        <v>mmol/mol</v>
      </c>
      <c r="S4923" s="13">
        <f t="shared" si="208"/>
        <v>-1.3852400376683753</v>
      </c>
    </row>
    <row r="4924" spans="1:19">
      <c r="A4924" s="18" t="s">
        <v>5486</v>
      </c>
      <c r="B4924" s="1" t="s">
        <v>5094</v>
      </c>
      <c r="C4924" s="1" t="s">
        <v>5487</v>
      </c>
      <c r="D4924" s="1" t="s">
        <v>5489</v>
      </c>
      <c r="E4924" s="1" t="s">
        <v>25</v>
      </c>
      <c r="F4924">
        <v>540</v>
      </c>
      <c r="G4924">
        <v>540</v>
      </c>
      <c r="H4924">
        <v>65</v>
      </c>
      <c r="I4924" s="1" t="s">
        <v>1528</v>
      </c>
      <c r="J4924" s="1" t="s">
        <v>25</v>
      </c>
      <c r="K4924" s="1" t="s">
        <v>25</v>
      </c>
      <c r="L4924">
        <v>-1.3787053913931644</v>
      </c>
      <c r="M4924" t="str">
        <f t="shared" si="209"/>
        <v>44/40</v>
      </c>
      <c r="N4924" t="str">
        <f t="shared" si="210"/>
        <v>SW</v>
      </c>
      <c r="O4924" s="1" t="s">
        <v>25</v>
      </c>
      <c r="P4924" s="3" t="s">
        <v>25</v>
      </c>
      <c r="Q4924" s="37">
        <v>2.0659029792555219</v>
      </c>
      <c r="R4924" t="str">
        <f t="shared" si="207"/>
        <v>mmol/mol</v>
      </c>
      <c r="S4924" s="13">
        <f t="shared" si="208"/>
        <v>-1.3787053913931644</v>
      </c>
    </row>
    <row r="4925" spans="1:19">
      <c r="A4925" s="18" t="s">
        <v>5486</v>
      </c>
      <c r="B4925" s="1" t="s">
        <v>5095</v>
      </c>
      <c r="C4925" s="1" t="s">
        <v>5487</v>
      </c>
      <c r="D4925" s="1" t="s">
        <v>5489</v>
      </c>
      <c r="E4925" s="1" t="s">
        <v>25</v>
      </c>
      <c r="F4925">
        <v>540</v>
      </c>
      <c r="G4925">
        <v>540</v>
      </c>
      <c r="H4925">
        <v>78</v>
      </c>
      <c r="I4925" s="1" t="s">
        <v>1528</v>
      </c>
      <c r="J4925" s="1" t="s">
        <v>25</v>
      </c>
      <c r="K4925" s="1" t="s">
        <v>25</v>
      </c>
      <c r="L4925">
        <v>-1.3676784024051645</v>
      </c>
      <c r="M4925" t="str">
        <f t="shared" si="209"/>
        <v>44/40</v>
      </c>
      <c r="N4925" t="str">
        <f t="shared" si="210"/>
        <v>SW</v>
      </c>
      <c r="O4925" s="1" t="s">
        <v>25</v>
      </c>
      <c r="P4925" s="3" t="s">
        <v>25</v>
      </c>
      <c r="Q4925" s="37">
        <v>1.9561718578314053</v>
      </c>
      <c r="R4925" t="str">
        <f t="shared" si="207"/>
        <v>mmol/mol</v>
      </c>
      <c r="S4925" s="13">
        <f t="shared" si="208"/>
        <v>-1.3676784024051645</v>
      </c>
    </row>
    <row r="4926" spans="1:19">
      <c r="A4926" s="18" t="s">
        <v>5486</v>
      </c>
      <c r="B4926" s="1" t="s">
        <v>5096</v>
      </c>
      <c r="C4926" s="1" t="s">
        <v>5487</v>
      </c>
      <c r="D4926" s="1" t="s">
        <v>5489</v>
      </c>
      <c r="E4926" s="1" t="s">
        <v>25</v>
      </c>
      <c r="F4926">
        <v>540</v>
      </c>
      <c r="G4926">
        <v>540</v>
      </c>
      <c r="H4926">
        <v>59</v>
      </c>
      <c r="I4926" s="1" t="s">
        <v>1528</v>
      </c>
      <c r="J4926" s="1" t="s">
        <v>25</v>
      </c>
      <c r="K4926" s="1" t="s">
        <v>25</v>
      </c>
      <c r="L4926">
        <v>-1.3491988193074231</v>
      </c>
      <c r="M4926" t="str">
        <f t="shared" si="209"/>
        <v>44/40</v>
      </c>
      <c r="N4926" t="str">
        <f t="shared" si="210"/>
        <v>SW</v>
      </c>
      <c r="O4926" s="1" t="s">
        <v>25</v>
      </c>
      <c r="P4926" s="3" t="s">
        <v>25</v>
      </c>
      <c r="Q4926" s="37">
        <v>1.0319975133018995</v>
      </c>
      <c r="R4926" t="str">
        <f t="shared" si="207"/>
        <v>mmol/mol</v>
      </c>
      <c r="S4926" s="13">
        <f t="shared" si="208"/>
        <v>-1.3491988193074231</v>
      </c>
    </row>
    <row r="4927" spans="1:19">
      <c r="A4927" s="18" t="s">
        <v>5486</v>
      </c>
      <c r="B4927" s="1" t="s">
        <v>5097</v>
      </c>
      <c r="C4927" s="1" t="s">
        <v>5487</v>
      </c>
      <c r="D4927" s="1" t="s">
        <v>5489</v>
      </c>
      <c r="E4927" s="1" t="s">
        <v>25</v>
      </c>
      <c r="F4927">
        <v>540</v>
      </c>
      <c r="G4927">
        <v>540</v>
      </c>
      <c r="H4927">
        <v>80</v>
      </c>
      <c r="I4927" s="1" t="s">
        <v>1528</v>
      </c>
      <c r="J4927" s="1" t="s">
        <v>25</v>
      </c>
      <c r="K4927" s="1" t="s">
        <v>25</v>
      </c>
      <c r="L4927">
        <v>-1.3428605530612201</v>
      </c>
      <c r="M4927" t="str">
        <f t="shared" si="209"/>
        <v>44/40</v>
      </c>
      <c r="N4927" t="str">
        <f t="shared" si="210"/>
        <v>SW</v>
      </c>
      <c r="O4927" s="1" t="s">
        <v>25</v>
      </c>
      <c r="P4927" s="3" t="s">
        <v>25</v>
      </c>
      <c r="Q4927" s="37">
        <v>2.5720109413272443</v>
      </c>
      <c r="R4927" t="str">
        <f t="shared" si="207"/>
        <v>mmol/mol</v>
      </c>
      <c r="S4927" s="13">
        <f t="shared" si="208"/>
        <v>-1.3428605530612201</v>
      </c>
    </row>
    <row r="4928" spans="1:19">
      <c r="A4928" s="18" t="s">
        <v>5486</v>
      </c>
      <c r="B4928" s="1" t="s">
        <v>5098</v>
      </c>
      <c r="C4928" s="1" t="s">
        <v>5487</v>
      </c>
      <c r="D4928" s="1" t="s">
        <v>5489</v>
      </c>
      <c r="E4928" s="1" t="s">
        <v>25</v>
      </c>
      <c r="F4928">
        <v>540</v>
      </c>
      <c r="G4928">
        <v>540</v>
      </c>
      <c r="H4928">
        <v>60</v>
      </c>
      <c r="I4928" s="1" t="s">
        <v>1528</v>
      </c>
      <c r="J4928" s="1" t="s">
        <v>25</v>
      </c>
      <c r="K4928" s="1" t="s">
        <v>25</v>
      </c>
      <c r="L4928">
        <v>-1.3370977644849344</v>
      </c>
      <c r="M4928" t="str">
        <f t="shared" si="209"/>
        <v>44/40</v>
      </c>
      <c r="N4928" t="str">
        <f t="shared" si="210"/>
        <v>SW</v>
      </c>
      <c r="O4928" s="1" t="s">
        <v>25</v>
      </c>
      <c r="P4928" s="3" t="s">
        <v>25</v>
      </c>
      <c r="Q4928" s="37">
        <v>1.5302466247860418</v>
      </c>
      <c r="R4928" t="str">
        <f t="shared" si="207"/>
        <v>mmol/mol</v>
      </c>
      <c r="S4928" s="13">
        <f t="shared" si="208"/>
        <v>-1.3370977644849344</v>
      </c>
    </row>
    <row r="4929" spans="1:19">
      <c r="A4929" s="18" t="s">
        <v>5486</v>
      </c>
      <c r="B4929" s="1" t="s">
        <v>5099</v>
      </c>
      <c r="C4929" s="1" t="s">
        <v>5487</v>
      </c>
      <c r="D4929" s="1" t="s">
        <v>5489</v>
      </c>
      <c r="E4929" s="1" t="s">
        <v>25</v>
      </c>
      <c r="F4929">
        <v>540</v>
      </c>
      <c r="G4929">
        <v>540</v>
      </c>
      <c r="H4929">
        <v>61</v>
      </c>
      <c r="I4929" s="1" t="s">
        <v>1528</v>
      </c>
      <c r="J4929" s="1" t="s">
        <v>25</v>
      </c>
      <c r="K4929" s="1" t="s">
        <v>25</v>
      </c>
      <c r="L4929">
        <v>-1.3360920391864648</v>
      </c>
      <c r="M4929" t="str">
        <f t="shared" si="209"/>
        <v>44/40</v>
      </c>
      <c r="N4929" t="str">
        <f t="shared" si="210"/>
        <v>SW</v>
      </c>
      <c r="O4929" s="1" t="s">
        <v>25</v>
      </c>
      <c r="P4929" s="3" t="s">
        <v>25</v>
      </c>
      <c r="Q4929" s="37">
        <v>1.4072443455554919</v>
      </c>
      <c r="R4929" t="str">
        <f t="shared" si="207"/>
        <v>mmol/mol</v>
      </c>
      <c r="S4929" s="13">
        <f t="shared" si="208"/>
        <v>-1.3360920391864648</v>
      </c>
    </row>
    <row r="4930" spans="1:19">
      <c r="A4930" s="18" t="s">
        <v>5486</v>
      </c>
      <c r="B4930" s="1" t="s">
        <v>5100</v>
      </c>
      <c r="C4930" s="1" t="s">
        <v>5487</v>
      </c>
      <c r="D4930" s="1" t="s">
        <v>5489</v>
      </c>
      <c r="E4930" s="1" t="s">
        <v>25</v>
      </c>
      <c r="F4930">
        <v>540</v>
      </c>
      <c r="G4930">
        <v>540</v>
      </c>
      <c r="H4930">
        <v>52.5</v>
      </c>
      <c r="I4930" s="1" t="s">
        <v>1528</v>
      </c>
      <c r="J4930" s="1" t="s">
        <v>25</v>
      </c>
      <c r="K4930" s="1" t="s">
        <v>25</v>
      </c>
      <c r="L4930">
        <v>-1.3313176441858336</v>
      </c>
      <c r="M4930" t="str">
        <f t="shared" si="209"/>
        <v>44/40</v>
      </c>
      <c r="N4930" t="str">
        <f t="shared" si="210"/>
        <v>SW</v>
      </c>
      <c r="O4930" s="1" t="s">
        <v>25</v>
      </c>
      <c r="P4930" s="3" t="s">
        <v>25</v>
      </c>
      <c r="Q4930" s="37">
        <v>1.7171132321254823</v>
      </c>
      <c r="R4930" t="str">
        <f t="shared" si="207"/>
        <v>mmol/mol</v>
      </c>
      <c r="S4930" s="13">
        <f t="shared" si="208"/>
        <v>-1.3313176441858336</v>
      </c>
    </row>
    <row r="4931" spans="1:19">
      <c r="A4931" s="18" t="s">
        <v>5486</v>
      </c>
      <c r="B4931" s="1" t="s">
        <v>5101</v>
      </c>
      <c r="C4931" s="1" t="s">
        <v>5487</v>
      </c>
      <c r="D4931" s="1" t="s">
        <v>5489</v>
      </c>
      <c r="E4931" s="1" t="s">
        <v>25</v>
      </c>
      <c r="F4931">
        <v>540</v>
      </c>
      <c r="G4931">
        <v>540</v>
      </c>
      <c r="H4931">
        <v>53</v>
      </c>
      <c r="I4931" s="1" t="s">
        <v>1528</v>
      </c>
      <c r="J4931" s="1" t="s">
        <v>25</v>
      </c>
      <c r="K4931" s="1" t="s">
        <v>25</v>
      </c>
      <c r="L4931">
        <v>-1.3256122960613568</v>
      </c>
      <c r="M4931" t="str">
        <f t="shared" si="209"/>
        <v>44/40</v>
      </c>
      <c r="N4931" t="str">
        <f t="shared" si="210"/>
        <v>SW</v>
      </c>
      <c r="O4931" s="1" t="s">
        <v>25</v>
      </c>
      <c r="P4931" s="3" t="s">
        <v>25</v>
      </c>
      <c r="Q4931" s="37">
        <v>1.3323521135963634</v>
      </c>
      <c r="R4931" t="str">
        <f t="shared" si="207"/>
        <v>mmol/mol</v>
      </c>
      <c r="S4931" s="13">
        <f t="shared" si="208"/>
        <v>-1.3256122960613568</v>
      </c>
    </row>
    <row r="4932" spans="1:19">
      <c r="A4932" s="18" t="s">
        <v>5486</v>
      </c>
      <c r="B4932" s="1" t="s">
        <v>5102</v>
      </c>
      <c r="C4932" s="1" t="s">
        <v>5487</v>
      </c>
      <c r="D4932" s="1" t="s">
        <v>5489</v>
      </c>
      <c r="E4932" s="1" t="s">
        <v>25</v>
      </c>
      <c r="F4932">
        <v>540</v>
      </c>
      <c r="G4932">
        <v>540</v>
      </c>
      <c r="H4932">
        <v>72</v>
      </c>
      <c r="I4932" s="1" t="s">
        <v>1528</v>
      </c>
      <c r="J4932" s="1" t="s">
        <v>25</v>
      </c>
      <c r="K4932" s="1" t="s">
        <v>25</v>
      </c>
      <c r="L4932">
        <v>-1.3055190302242445</v>
      </c>
      <c r="M4932" t="str">
        <f t="shared" si="209"/>
        <v>44/40</v>
      </c>
      <c r="N4932" t="str">
        <f t="shared" si="210"/>
        <v>SW</v>
      </c>
      <c r="O4932" s="1" t="s">
        <v>25</v>
      </c>
      <c r="P4932" s="3" t="s">
        <v>25</v>
      </c>
      <c r="Q4932" s="37">
        <v>2.1141742720783272</v>
      </c>
      <c r="R4932" t="str">
        <f t="shared" si="207"/>
        <v>mmol/mol</v>
      </c>
      <c r="S4932" s="13">
        <f t="shared" si="208"/>
        <v>-1.3055190302242445</v>
      </c>
    </row>
    <row r="4933" spans="1:19">
      <c r="A4933" s="18" t="s">
        <v>5486</v>
      </c>
      <c r="B4933" s="1" t="s">
        <v>5103</v>
      </c>
      <c r="C4933" s="1" t="s">
        <v>5487</v>
      </c>
      <c r="D4933" s="1" t="s">
        <v>5489</v>
      </c>
      <c r="E4933" s="1" t="s">
        <v>25</v>
      </c>
      <c r="F4933">
        <v>540</v>
      </c>
      <c r="G4933">
        <v>540</v>
      </c>
      <c r="H4933">
        <v>98</v>
      </c>
      <c r="I4933" s="1" t="s">
        <v>1528</v>
      </c>
      <c r="J4933" s="1" t="s">
        <v>25</v>
      </c>
      <c r="K4933" s="1" t="s">
        <v>25</v>
      </c>
      <c r="L4933" s="1" t="s">
        <v>25</v>
      </c>
      <c r="M4933" t="str">
        <f t="shared" si="209"/>
        <v>Na</v>
      </c>
      <c r="N4933" t="str">
        <f t="shared" si="210"/>
        <v>Na</v>
      </c>
      <c r="O4933" s="1" t="s">
        <v>25</v>
      </c>
      <c r="P4933" s="3" t="s">
        <v>25</v>
      </c>
      <c r="Q4933" s="37">
        <v>2.3672876829305203</v>
      </c>
      <c r="R4933" t="str">
        <f t="shared" si="207"/>
        <v>mmol/mol</v>
      </c>
      <c r="S4933" s="13" t="s">
        <v>25</v>
      </c>
    </row>
    <row r="4934" spans="1:19">
      <c r="A4934" s="18" t="s">
        <v>5486</v>
      </c>
      <c r="B4934" s="1" t="s">
        <v>5104</v>
      </c>
      <c r="C4934" s="1" t="s">
        <v>5487</v>
      </c>
      <c r="D4934" s="1" t="s">
        <v>5489</v>
      </c>
      <c r="E4934" s="1" t="s">
        <v>25</v>
      </c>
      <c r="F4934">
        <v>540</v>
      </c>
      <c r="G4934">
        <v>540</v>
      </c>
      <c r="H4934">
        <v>99</v>
      </c>
      <c r="I4934" s="1" t="s">
        <v>1528</v>
      </c>
      <c r="J4934" s="1" t="s">
        <v>25</v>
      </c>
      <c r="K4934" s="1" t="s">
        <v>25</v>
      </c>
      <c r="L4934" t="s">
        <v>25</v>
      </c>
      <c r="M4934" t="str">
        <f t="shared" si="209"/>
        <v>Na</v>
      </c>
      <c r="N4934" t="str">
        <f t="shared" si="210"/>
        <v>Na</v>
      </c>
      <c r="O4934" s="1" t="s">
        <v>25</v>
      </c>
      <c r="P4934" s="3" t="s">
        <v>25</v>
      </c>
      <c r="Q4934" s="37">
        <v>1.8610554872405456</v>
      </c>
      <c r="R4934" t="str">
        <f t="shared" si="207"/>
        <v>mmol/mol</v>
      </c>
      <c r="S4934" s="13" t="s">
        <v>25</v>
      </c>
    </row>
    <row r="4935" spans="1:19">
      <c r="A4935" s="18" t="s">
        <v>5486</v>
      </c>
      <c r="B4935" s="1" t="s">
        <v>5105</v>
      </c>
      <c r="C4935" s="1" t="s">
        <v>5487</v>
      </c>
      <c r="D4935" s="1" t="s">
        <v>5489</v>
      </c>
      <c r="E4935" s="1" t="s">
        <v>25</v>
      </c>
      <c r="F4935">
        <v>540</v>
      </c>
      <c r="G4935">
        <v>540</v>
      </c>
      <c r="H4935">
        <v>104.5</v>
      </c>
      <c r="I4935" s="1" t="s">
        <v>1528</v>
      </c>
      <c r="J4935" s="1" t="s">
        <v>25</v>
      </c>
      <c r="K4935" s="1" t="s">
        <v>25</v>
      </c>
      <c r="L4935" t="s">
        <v>25</v>
      </c>
      <c r="M4935" t="str">
        <f t="shared" si="209"/>
        <v>Na</v>
      </c>
      <c r="N4935" t="str">
        <f t="shared" si="210"/>
        <v>Na</v>
      </c>
      <c r="O4935" s="1" t="s">
        <v>25</v>
      </c>
      <c r="P4935" s="3" t="s">
        <v>25</v>
      </c>
      <c r="Q4935" s="37">
        <v>2.8104844239424072</v>
      </c>
      <c r="R4935" t="str">
        <f t="shared" si="207"/>
        <v>mmol/mol</v>
      </c>
      <c r="S4935" s="13" t="s">
        <v>25</v>
      </c>
    </row>
    <row r="4936" spans="1:19">
      <c r="A4936" s="18" t="s">
        <v>5486</v>
      </c>
      <c r="B4936" s="1" t="s">
        <v>5106</v>
      </c>
      <c r="C4936" s="1" t="s">
        <v>5487</v>
      </c>
      <c r="D4936" s="1" t="s">
        <v>5489</v>
      </c>
      <c r="E4936" s="1" t="s">
        <v>25</v>
      </c>
      <c r="F4936">
        <v>540</v>
      </c>
      <c r="G4936">
        <v>540</v>
      </c>
      <c r="H4936">
        <v>107</v>
      </c>
      <c r="I4936" s="1" t="s">
        <v>1528</v>
      </c>
      <c r="J4936" s="1" t="s">
        <v>25</v>
      </c>
      <c r="K4936" s="1" t="s">
        <v>25</v>
      </c>
      <c r="L4936" t="s">
        <v>25</v>
      </c>
      <c r="M4936" t="str">
        <f t="shared" si="209"/>
        <v>Na</v>
      </c>
      <c r="N4936" t="str">
        <f t="shared" si="210"/>
        <v>Na</v>
      </c>
      <c r="O4936" s="1" t="s">
        <v>25</v>
      </c>
      <c r="P4936" s="3" t="s">
        <v>25</v>
      </c>
      <c r="Q4936" s="37">
        <v>2.6990683302424325</v>
      </c>
      <c r="R4936" t="str">
        <f t="shared" si="207"/>
        <v>mmol/mol</v>
      </c>
      <c r="S4936" s="13" t="s">
        <v>25</v>
      </c>
    </row>
    <row r="4937" spans="1:19">
      <c r="A4937" s="18" t="s">
        <v>5486</v>
      </c>
      <c r="B4937" s="1" t="s">
        <v>5107</v>
      </c>
      <c r="C4937" s="1" t="s">
        <v>5487</v>
      </c>
      <c r="D4937" s="1" t="s">
        <v>5489</v>
      </c>
      <c r="E4937" s="1" t="s">
        <v>25</v>
      </c>
      <c r="F4937">
        <v>540</v>
      </c>
      <c r="G4937">
        <v>540</v>
      </c>
      <c r="H4937">
        <v>123</v>
      </c>
      <c r="I4937" s="1" t="s">
        <v>1528</v>
      </c>
      <c r="J4937" s="1" t="s">
        <v>25</v>
      </c>
      <c r="K4937" s="1" t="s">
        <v>25</v>
      </c>
      <c r="L4937" t="s">
        <v>25</v>
      </c>
      <c r="M4937" t="str">
        <f t="shared" si="209"/>
        <v>Na</v>
      </c>
      <c r="N4937" t="str">
        <f t="shared" si="210"/>
        <v>Na</v>
      </c>
      <c r="O4937" s="1" t="s">
        <v>25</v>
      </c>
      <c r="P4937" s="3" t="s">
        <v>25</v>
      </c>
      <c r="Q4937" s="37">
        <v>4.7690525169909863</v>
      </c>
      <c r="R4937" t="str">
        <f t="shared" si="207"/>
        <v>mmol/mol</v>
      </c>
      <c r="S4937" s="13" t="s">
        <v>25</v>
      </c>
    </row>
    <row r="4938" spans="1:19">
      <c r="A4938" s="18" t="s">
        <v>5486</v>
      </c>
      <c r="B4938" s="1" t="s">
        <v>5108</v>
      </c>
      <c r="C4938" s="1" t="s">
        <v>5487</v>
      </c>
      <c r="D4938" s="1" t="s">
        <v>5489</v>
      </c>
      <c r="E4938" s="1" t="s">
        <v>25</v>
      </c>
      <c r="F4938">
        <v>540</v>
      </c>
      <c r="G4938">
        <v>540</v>
      </c>
      <c r="H4938">
        <v>125</v>
      </c>
      <c r="I4938" s="1" t="s">
        <v>1528</v>
      </c>
      <c r="J4938" s="1" t="s">
        <v>25</v>
      </c>
      <c r="K4938" s="1" t="s">
        <v>25</v>
      </c>
      <c r="L4938" t="s">
        <v>25</v>
      </c>
      <c r="M4938" t="str">
        <f t="shared" si="209"/>
        <v>Na</v>
      </c>
      <c r="N4938" t="str">
        <f t="shared" si="210"/>
        <v>Na</v>
      </c>
      <c r="O4938" s="1" t="s">
        <v>25</v>
      </c>
      <c r="P4938" s="3" t="s">
        <v>25</v>
      </c>
      <c r="Q4938" s="37">
        <v>4.5561767053657842</v>
      </c>
      <c r="R4938" t="str">
        <f t="shared" si="207"/>
        <v>mmol/mol</v>
      </c>
      <c r="S4938" s="13" t="s">
        <v>25</v>
      </c>
    </row>
    <row r="4939" spans="1:19">
      <c r="A4939" s="18" t="s">
        <v>5486</v>
      </c>
      <c r="B4939" s="1" t="s">
        <v>5109</v>
      </c>
      <c r="C4939" s="1" t="s">
        <v>5487</v>
      </c>
      <c r="D4939" s="1" t="s">
        <v>5489</v>
      </c>
      <c r="E4939" s="1" t="s">
        <v>25</v>
      </c>
      <c r="F4939">
        <v>540</v>
      </c>
      <c r="G4939">
        <v>540</v>
      </c>
      <c r="H4939">
        <v>127</v>
      </c>
      <c r="I4939" s="1" t="s">
        <v>1528</v>
      </c>
      <c r="J4939" s="1" t="s">
        <v>25</v>
      </c>
      <c r="K4939" s="1" t="s">
        <v>25</v>
      </c>
      <c r="L4939" t="s">
        <v>25</v>
      </c>
      <c r="M4939" t="str">
        <f t="shared" si="209"/>
        <v>Na</v>
      </c>
      <c r="N4939" t="str">
        <f t="shared" si="210"/>
        <v>Na</v>
      </c>
      <c r="O4939" s="1" t="s">
        <v>25</v>
      </c>
      <c r="P4939" s="3" t="s">
        <v>25</v>
      </c>
      <c r="Q4939" s="37">
        <v>4.2437914595167161</v>
      </c>
      <c r="R4939" t="str">
        <f t="shared" si="207"/>
        <v>mmol/mol</v>
      </c>
      <c r="S4939" s="13" t="s">
        <v>25</v>
      </c>
    </row>
    <row r="4940" spans="1:19">
      <c r="A4940" s="18" t="s">
        <v>5486</v>
      </c>
      <c r="B4940" s="1" t="s">
        <v>5110</v>
      </c>
      <c r="C4940" s="1" t="s">
        <v>5487</v>
      </c>
      <c r="D4940" s="1" t="s">
        <v>5489</v>
      </c>
      <c r="E4940" s="1" t="s">
        <v>25</v>
      </c>
      <c r="F4940">
        <v>540</v>
      </c>
      <c r="G4940">
        <v>540</v>
      </c>
      <c r="H4940">
        <v>145</v>
      </c>
      <c r="I4940" s="1" t="s">
        <v>1528</v>
      </c>
      <c r="J4940" s="1" t="s">
        <v>25</v>
      </c>
      <c r="K4940" s="1" t="s">
        <v>25</v>
      </c>
      <c r="L4940" t="s">
        <v>25</v>
      </c>
      <c r="M4940" t="str">
        <f t="shared" si="209"/>
        <v>Na</v>
      </c>
      <c r="N4940" t="str">
        <f t="shared" si="210"/>
        <v>Na</v>
      </c>
      <c r="O4940" s="1" t="s">
        <v>25</v>
      </c>
      <c r="P4940" s="3" t="s">
        <v>25</v>
      </c>
      <c r="Q4940" s="37">
        <v>4.8892530845222604</v>
      </c>
      <c r="R4940" t="str">
        <f t="shared" si="207"/>
        <v>mmol/mol</v>
      </c>
      <c r="S4940" s="13" t="s">
        <v>25</v>
      </c>
    </row>
    <row r="4941" spans="1:19">
      <c r="A4941" s="18" t="s">
        <v>5486</v>
      </c>
      <c r="B4941" s="1" t="s">
        <v>5111</v>
      </c>
      <c r="C4941" s="1" t="s">
        <v>5487</v>
      </c>
      <c r="D4941" s="1" t="s">
        <v>5489</v>
      </c>
      <c r="E4941" s="1" t="s">
        <v>25</v>
      </c>
      <c r="F4941">
        <v>540</v>
      </c>
      <c r="G4941">
        <v>540</v>
      </c>
      <c r="H4941">
        <v>158</v>
      </c>
      <c r="I4941" s="1" t="s">
        <v>1528</v>
      </c>
      <c r="J4941" s="1" t="s">
        <v>25</v>
      </c>
      <c r="K4941" s="1" t="s">
        <v>25</v>
      </c>
      <c r="L4941" t="s">
        <v>25</v>
      </c>
      <c r="M4941" t="str">
        <f t="shared" si="209"/>
        <v>Na</v>
      </c>
      <c r="N4941" t="str">
        <f t="shared" si="210"/>
        <v>Na</v>
      </c>
      <c r="O4941" s="1" t="s">
        <v>25</v>
      </c>
      <c r="P4941" s="3" t="s">
        <v>25</v>
      </c>
      <c r="Q4941" s="37">
        <v>4.2697882273840824</v>
      </c>
      <c r="R4941" t="str">
        <f t="shared" si="207"/>
        <v>mmol/mol</v>
      </c>
      <c r="S4941" s="13" t="s">
        <v>25</v>
      </c>
    </row>
    <row r="4942" spans="1:19">
      <c r="A4942" s="18" t="s">
        <v>5486</v>
      </c>
      <c r="B4942" s="1" t="s">
        <v>5112</v>
      </c>
      <c r="C4942" s="1" t="s">
        <v>5487</v>
      </c>
      <c r="D4942" s="1" t="s">
        <v>5489</v>
      </c>
      <c r="E4942" s="1" t="s">
        <v>25</v>
      </c>
      <c r="F4942">
        <v>540</v>
      </c>
      <c r="G4942">
        <v>540</v>
      </c>
      <c r="H4942">
        <v>166</v>
      </c>
      <c r="I4942" s="1" t="s">
        <v>1528</v>
      </c>
      <c r="J4942" s="1" t="s">
        <v>25</v>
      </c>
      <c r="K4942" s="1" t="s">
        <v>25</v>
      </c>
      <c r="L4942" t="s">
        <v>25</v>
      </c>
      <c r="M4942" t="str">
        <f t="shared" si="209"/>
        <v>Na</v>
      </c>
      <c r="N4942" t="str">
        <f t="shared" si="210"/>
        <v>Na</v>
      </c>
      <c r="O4942" s="1" t="s">
        <v>25</v>
      </c>
      <c r="P4942" s="3" t="s">
        <v>25</v>
      </c>
      <c r="Q4942" s="37">
        <v>4.4686742212277446</v>
      </c>
      <c r="R4942" t="str">
        <f t="shared" si="207"/>
        <v>mmol/mol</v>
      </c>
      <c r="S4942" s="13" t="s">
        <v>25</v>
      </c>
    </row>
    <row r="4943" spans="1:19">
      <c r="A4943" s="18" t="s">
        <v>5486</v>
      </c>
      <c r="B4943" s="1" t="s">
        <v>5113</v>
      </c>
      <c r="C4943" s="1" t="s">
        <v>5487</v>
      </c>
      <c r="D4943" s="1" t="s">
        <v>5489</v>
      </c>
      <c r="E4943" s="1" t="s">
        <v>25</v>
      </c>
      <c r="F4943">
        <v>540</v>
      </c>
      <c r="G4943">
        <v>540</v>
      </c>
      <c r="H4943">
        <v>49</v>
      </c>
      <c r="I4943" s="1" t="s">
        <v>1528</v>
      </c>
      <c r="J4943" s="1" t="s">
        <v>25</v>
      </c>
      <c r="K4943" s="1" t="s">
        <v>25</v>
      </c>
      <c r="L4943" t="s">
        <v>25</v>
      </c>
      <c r="M4943" t="str">
        <f t="shared" si="209"/>
        <v>Na</v>
      </c>
      <c r="N4943" t="str">
        <f t="shared" si="210"/>
        <v>Na</v>
      </c>
      <c r="O4943" s="1" t="s">
        <v>25</v>
      </c>
      <c r="P4943" s="3" t="s">
        <v>25</v>
      </c>
      <c r="Q4943" s="37">
        <v>1.4923381995842415</v>
      </c>
      <c r="R4943" t="str">
        <f t="shared" si="207"/>
        <v>mmol/mol</v>
      </c>
      <c r="S4943" s="13" t="s">
        <v>25</v>
      </c>
    </row>
    <row r="4944" spans="1:19">
      <c r="A4944" s="18" t="s">
        <v>5486</v>
      </c>
      <c r="B4944" s="1" t="s">
        <v>5114</v>
      </c>
      <c r="C4944" s="1" t="s">
        <v>5487</v>
      </c>
      <c r="D4944" s="1" t="s">
        <v>5489</v>
      </c>
      <c r="E4944" s="1" t="s">
        <v>25</v>
      </c>
      <c r="F4944">
        <v>540</v>
      </c>
      <c r="G4944">
        <v>540</v>
      </c>
      <c r="H4944">
        <v>62</v>
      </c>
      <c r="I4944" s="1" t="s">
        <v>1528</v>
      </c>
      <c r="J4944" s="1" t="s">
        <v>25</v>
      </c>
      <c r="K4944" s="1" t="s">
        <v>25</v>
      </c>
      <c r="L4944" t="s">
        <v>25</v>
      </c>
      <c r="M4944" t="str">
        <f t="shared" si="209"/>
        <v>Na</v>
      </c>
      <c r="N4944" t="str">
        <f t="shared" si="210"/>
        <v>Na</v>
      </c>
      <c r="O4944" s="1" t="s">
        <v>25</v>
      </c>
      <c r="P4944" s="3" t="s">
        <v>25</v>
      </c>
      <c r="Q4944" s="37">
        <v>1.5647660827424794</v>
      </c>
      <c r="R4944" t="str">
        <f t="shared" si="207"/>
        <v>mmol/mol</v>
      </c>
      <c r="S4944" s="13" t="s">
        <v>25</v>
      </c>
    </row>
    <row r="4945" spans="1:19">
      <c r="A4945" s="18" t="s">
        <v>5486</v>
      </c>
      <c r="B4945" s="1" t="s">
        <v>5115</v>
      </c>
      <c r="C4945" s="1" t="s">
        <v>5487</v>
      </c>
      <c r="D4945" s="1" t="s">
        <v>5489</v>
      </c>
      <c r="E4945" s="1" t="s">
        <v>25</v>
      </c>
      <c r="F4945">
        <v>540</v>
      </c>
      <c r="G4945">
        <v>540</v>
      </c>
      <c r="H4945">
        <v>67</v>
      </c>
      <c r="I4945" s="1" t="s">
        <v>1528</v>
      </c>
      <c r="J4945" s="1" t="s">
        <v>25</v>
      </c>
      <c r="K4945" s="1" t="s">
        <v>25</v>
      </c>
      <c r="L4945" t="s">
        <v>25</v>
      </c>
      <c r="M4945" t="str">
        <f t="shared" si="209"/>
        <v>Na</v>
      </c>
      <c r="N4945" t="str">
        <f t="shared" si="210"/>
        <v>Na</v>
      </c>
      <c r="O4945" s="1" t="s">
        <v>25</v>
      </c>
      <c r="P4945" s="3" t="s">
        <v>25</v>
      </c>
      <c r="Q4945" s="37">
        <v>2.3416669516210908</v>
      </c>
      <c r="R4945" t="str">
        <f t="shared" si="207"/>
        <v>mmol/mol</v>
      </c>
      <c r="S4945" s="13" t="s">
        <v>25</v>
      </c>
    </row>
    <row r="4946" spans="1:19">
      <c r="A4946" s="18" t="s">
        <v>5486</v>
      </c>
      <c r="B4946" s="1" t="s">
        <v>5116</v>
      </c>
      <c r="C4946" s="1" t="s">
        <v>5487</v>
      </c>
      <c r="D4946" s="1" t="s">
        <v>5489</v>
      </c>
      <c r="E4946" s="1" t="s">
        <v>25</v>
      </c>
      <c r="F4946">
        <v>540</v>
      </c>
      <c r="G4946">
        <v>540</v>
      </c>
      <c r="H4946">
        <v>70</v>
      </c>
      <c r="I4946" s="1" t="s">
        <v>1528</v>
      </c>
      <c r="J4946" s="1" t="s">
        <v>25</v>
      </c>
      <c r="K4946" s="1" t="s">
        <v>25</v>
      </c>
      <c r="L4946" t="s">
        <v>25</v>
      </c>
      <c r="M4946" t="str">
        <f t="shared" si="209"/>
        <v>Na</v>
      </c>
      <c r="N4946" t="str">
        <f t="shared" si="210"/>
        <v>Na</v>
      </c>
      <c r="O4946" s="1" t="s">
        <v>25</v>
      </c>
      <c r="P4946" s="3" t="s">
        <v>25</v>
      </c>
      <c r="Q4946" s="37">
        <v>1.9202542139077388</v>
      </c>
      <c r="R4946" t="str">
        <f t="shared" si="207"/>
        <v>mmol/mol</v>
      </c>
      <c r="S4946" s="13" t="s">
        <v>25</v>
      </c>
    </row>
    <row r="4947" spans="1:19">
      <c r="A4947" s="18" t="s">
        <v>5486</v>
      </c>
      <c r="B4947" s="1" t="s">
        <v>5117</v>
      </c>
      <c r="C4947" s="1" t="s">
        <v>5487</v>
      </c>
      <c r="D4947" s="1" t="s">
        <v>5489</v>
      </c>
      <c r="E4947" s="1" t="s">
        <v>25</v>
      </c>
      <c r="F4947">
        <v>540</v>
      </c>
      <c r="G4947">
        <v>540</v>
      </c>
      <c r="H4947">
        <v>75</v>
      </c>
      <c r="I4947" s="1" t="s">
        <v>1528</v>
      </c>
      <c r="J4947" s="1" t="s">
        <v>25</v>
      </c>
      <c r="K4947" s="1" t="s">
        <v>25</v>
      </c>
      <c r="L4947" t="s">
        <v>25</v>
      </c>
      <c r="M4947" t="str">
        <f t="shared" si="209"/>
        <v>Na</v>
      </c>
      <c r="N4947" t="str">
        <f t="shared" si="210"/>
        <v>Na</v>
      </c>
      <c r="O4947" s="1" t="s">
        <v>25</v>
      </c>
      <c r="P4947" s="3" t="s">
        <v>25</v>
      </c>
      <c r="Q4947" s="37">
        <v>2.0065964897738566</v>
      </c>
      <c r="R4947" t="str">
        <f t="shared" si="207"/>
        <v>mmol/mol</v>
      </c>
      <c r="S4947" s="13" t="s">
        <v>25</v>
      </c>
    </row>
    <row r="4948" spans="1:19">
      <c r="A4948" s="18" t="s">
        <v>5486</v>
      </c>
      <c r="B4948" s="1" t="s">
        <v>5118</v>
      </c>
      <c r="C4948" s="1" t="s">
        <v>5487</v>
      </c>
      <c r="D4948" s="1" t="s">
        <v>5489</v>
      </c>
      <c r="E4948" s="1" t="s">
        <v>25</v>
      </c>
      <c r="F4948">
        <v>540</v>
      </c>
      <c r="G4948">
        <v>540</v>
      </c>
      <c r="H4948">
        <v>81</v>
      </c>
      <c r="I4948" s="1" t="s">
        <v>1528</v>
      </c>
      <c r="J4948" s="1" t="s">
        <v>25</v>
      </c>
      <c r="K4948" s="1" t="s">
        <v>25</v>
      </c>
      <c r="L4948" t="s">
        <v>25</v>
      </c>
      <c r="M4948" t="str">
        <f t="shared" si="209"/>
        <v>Na</v>
      </c>
      <c r="N4948" t="str">
        <f t="shared" si="210"/>
        <v>Na</v>
      </c>
      <c r="O4948" s="1" t="s">
        <v>25</v>
      </c>
      <c r="P4948" s="3" t="s">
        <v>25</v>
      </c>
      <c r="Q4948" s="37">
        <v>2.8924669080223588</v>
      </c>
      <c r="R4948" t="str">
        <f t="shared" si="207"/>
        <v>mmol/mol</v>
      </c>
      <c r="S4948" s="13" t="s">
        <v>25</v>
      </c>
    </row>
    <row r="4949" spans="1:19">
      <c r="A4949" s="18" t="s">
        <v>5486</v>
      </c>
      <c r="B4949" s="1" t="s">
        <v>5119</v>
      </c>
      <c r="C4949" s="1" t="s">
        <v>5487</v>
      </c>
      <c r="D4949" s="1" t="s">
        <v>5489</v>
      </c>
      <c r="E4949" s="1" t="s">
        <v>25</v>
      </c>
      <c r="F4949">
        <v>540</v>
      </c>
      <c r="G4949">
        <v>540</v>
      </c>
      <c r="H4949">
        <v>82</v>
      </c>
      <c r="I4949" s="1" t="s">
        <v>1528</v>
      </c>
      <c r="J4949" s="1" t="s">
        <v>25</v>
      </c>
      <c r="K4949" s="1" t="s">
        <v>25</v>
      </c>
      <c r="L4949" t="s">
        <v>25</v>
      </c>
      <c r="M4949" t="str">
        <f t="shared" si="209"/>
        <v>Na</v>
      </c>
      <c r="N4949" t="str">
        <f t="shared" si="210"/>
        <v>Na</v>
      </c>
      <c r="O4949" s="1" t="s">
        <v>25</v>
      </c>
      <c r="P4949" s="3" t="s">
        <v>25</v>
      </c>
      <c r="Q4949" s="37">
        <v>2.8181278753411738</v>
      </c>
      <c r="R4949" t="str">
        <f t="shared" si="207"/>
        <v>mmol/mol</v>
      </c>
      <c r="S4949" s="13" t="s">
        <v>25</v>
      </c>
    </row>
    <row r="4950" spans="1:19">
      <c r="A4950" s="18" t="s">
        <v>5486</v>
      </c>
      <c r="B4950" s="1" t="s">
        <v>5120</v>
      </c>
      <c r="C4950" s="1" t="s">
        <v>5487</v>
      </c>
      <c r="D4950" s="1" t="s">
        <v>5489</v>
      </c>
      <c r="E4950" s="1" t="s">
        <v>25</v>
      </c>
      <c r="F4950">
        <v>540</v>
      </c>
      <c r="G4950">
        <v>540</v>
      </c>
      <c r="H4950">
        <v>83</v>
      </c>
      <c r="I4950" s="1" t="s">
        <v>1528</v>
      </c>
      <c r="J4950" s="1" t="s">
        <v>25</v>
      </c>
      <c r="K4950" s="1" t="s">
        <v>25</v>
      </c>
      <c r="L4950" t="s">
        <v>25</v>
      </c>
      <c r="M4950" t="str">
        <f t="shared" si="209"/>
        <v>Na</v>
      </c>
      <c r="N4950" t="str">
        <f t="shared" si="210"/>
        <v>Na</v>
      </c>
      <c r="O4950" s="1" t="s">
        <v>25</v>
      </c>
      <c r="P4950" s="3" t="s">
        <v>25</v>
      </c>
      <c r="Q4950" s="37">
        <v>2.0129536245790991</v>
      </c>
      <c r="R4950" t="str">
        <f t="shared" si="207"/>
        <v>mmol/mol</v>
      </c>
      <c r="S4950" s="13" t="s">
        <v>25</v>
      </c>
    </row>
    <row r="4951" spans="1:19">
      <c r="A4951" s="18" t="s">
        <v>5486</v>
      </c>
      <c r="B4951" s="1" t="s">
        <v>5121</v>
      </c>
      <c r="C4951" s="1" t="s">
        <v>5487</v>
      </c>
      <c r="D4951" s="1" t="s">
        <v>5489</v>
      </c>
      <c r="E4951" s="1" t="s">
        <v>25</v>
      </c>
      <c r="F4951">
        <v>540</v>
      </c>
      <c r="G4951">
        <v>540</v>
      </c>
      <c r="H4951">
        <v>84</v>
      </c>
      <c r="I4951" s="1" t="s">
        <v>1528</v>
      </c>
      <c r="J4951" s="1" t="s">
        <v>25</v>
      </c>
      <c r="K4951" s="1" t="s">
        <v>25</v>
      </c>
      <c r="L4951" t="s">
        <v>25</v>
      </c>
      <c r="M4951" t="str">
        <f t="shared" si="209"/>
        <v>Na</v>
      </c>
      <c r="N4951" t="str">
        <f t="shared" si="210"/>
        <v>Na</v>
      </c>
      <c r="O4951" s="1" t="s">
        <v>25</v>
      </c>
      <c r="P4951" s="3" t="s">
        <v>25</v>
      </c>
      <c r="Q4951" s="37">
        <v>2.1553563385383421</v>
      </c>
      <c r="R4951" t="str">
        <f t="shared" si="207"/>
        <v>mmol/mol</v>
      </c>
      <c r="S4951" s="13" t="s">
        <v>25</v>
      </c>
    </row>
    <row r="4952" spans="1:19">
      <c r="A4952" s="18" t="s">
        <v>5486</v>
      </c>
      <c r="B4952" s="1" t="s">
        <v>5122</v>
      </c>
      <c r="C4952" s="1" t="s">
        <v>5487</v>
      </c>
      <c r="D4952" s="1" t="s">
        <v>5489</v>
      </c>
      <c r="E4952" s="1" t="s">
        <v>25</v>
      </c>
      <c r="F4952">
        <v>540</v>
      </c>
      <c r="G4952">
        <v>540</v>
      </c>
      <c r="H4952">
        <v>85</v>
      </c>
      <c r="I4952" s="1" t="s">
        <v>1528</v>
      </c>
      <c r="J4952" s="1" t="s">
        <v>25</v>
      </c>
      <c r="K4952" s="1" t="s">
        <v>25</v>
      </c>
      <c r="L4952" t="s">
        <v>25</v>
      </c>
      <c r="M4952" t="str">
        <f t="shared" si="209"/>
        <v>Na</v>
      </c>
      <c r="N4952" t="str">
        <f t="shared" si="210"/>
        <v>Na</v>
      </c>
      <c r="O4952" s="1" t="s">
        <v>25</v>
      </c>
      <c r="P4952" s="3" t="s">
        <v>25</v>
      </c>
      <c r="Q4952" s="37">
        <v>2.2565400405363194</v>
      </c>
      <c r="R4952" t="str">
        <f t="shared" si="207"/>
        <v>mmol/mol</v>
      </c>
      <c r="S4952" s="13" t="s">
        <v>25</v>
      </c>
    </row>
    <row r="4953" spans="1:19">
      <c r="A4953" s="18" t="s">
        <v>5486</v>
      </c>
      <c r="B4953" s="1" t="s">
        <v>5123</v>
      </c>
      <c r="C4953" s="1" t="s">
        <v>5487</v>
      </c>
      <c r="D4953" s="1" t="s">
        <v>5489</v>
      </c>
      <c r="E4953" s="1" t="s">
        <v>25</v>
      </c>
      <c r="F4953">
        <v>540</v>
      </c>
      <c r="G4953">
        <v>540</v>
      </c>
      <c r="H4953">
        <v>86</v>
      </c>
      <c r="I4953" s="1" t="s">
        <v>1528</v>
      </c>
      <c r="J4953" s="1" t="s">
        <v>25</v>
      </c>
      <c r="K4953" s="1" t="s">
        <v>25</v>
      </c>
      <c r="L4953" t="s">
        <v>25</v>
      </c>
      <c r="M4953" t="str">
        <f t="shared" si="209"/>
        <v>Na</v>
      </c>
      <c r="N4953" t="str">
        <f t="shared" si="210"/>
        <v>Na</v>
      </c>
      <c r="O4953" s="1" t="s">
        <v>25</v>
      </c>
      <c r="P4953" s="3" t="s">
        <v>25</v>
      </c>
      <c r="Q4953" s="37">
        <v>2.4970288840641093</v>
      </c>
      <c r="R4953" t="str">
        <f t="shared" ref="R4953:R5016" si="211">IF(Q4953="Na","Na","mmol/mol")</f>
        <v>mmol/mol</v>
      </c>
      <c r="S4953" s="13" t="s">
        <v>25</v>
      </c>
    </row>
    <row r="4954" spans="1:19">
      <c r="A4954" s="18" t="s">
        <v>5486</v>
      </c>
      <c r="B4954" s="1" t="s">
        <v>5124</v>
      </c>
      <c r="C4954" s="1" t="s">
        <v>5487</v>
      </c>
      <c r="D4954" s="1" t="s">
        <v>5489</v>
      </c>
      <c r="E4954" s="1" t="s">
        <v>25</v>
      </c>
      <c r="F4954">
        <v>540</v>
      </c>
      <c r="G4954">
        <v>540</v>
      </c>
      <c r="H4954">
        <v>87</v>
      </c>
      <c r="I4954" s="1" t="s">
        <v>1528</v>
      </c>
      <c r="J4954" s="1" t="s">
        <v>25</v>
      </c>
      <c r="K4954" s="1" t="s">
        <v>25</v>
      </c>
      <c r="L4954" t="s">
        <v>25</v>
      </c>
      <c r="M4954" t="str">
        <f t="shared" si="209"/>
        <v>Na</v>
      </c>
      <c r="N4954" t="str">
        <f t="shared" si="210"/>
        <v>Na</v>
      </c>
      <c r="O4954" s="1" t="s">
        <v>25</v>
      </c>
      <c r="P4954" s="3" t="s">
        <v>25</v>
      </c>
      <c r="Q4954" s="37">
        <v>1.8926199950846045</v>
      </c>
      <c r="R4954" t="str">
        <f t="shared" si="211"/>
        <v>mmol/mol</v>
      </c>
      <c r="S4954" s="13" t="s">
        <v>25</v>
      </c>
    </row>
    <row r="4955" spans="1:19">
      <c r="A4955" s="18" t="s">
        <v>5486</v>
      </c>
      <c r="B4955" s="1" t="s">
        <v>5125</v>
      </c>
      <c r="C4955" s="1" t="s">
        <v>5487</v>
      </c>
      <c r="D4955" s="1" t="s">
        <v>5489</v>
      </c>
      <c r="E4955" s="1" t="s">
        <v>25</v>
      </c>
      <c r="F4955">
        <v>540</v>
      </c>
      <c r="G4955">
        <v>540</v>
      </c>
      <c r="H4955">
        <v>90</v>
      </c>
      <c r="I4955" s="1" t="s">
        <v>1528</v>
      </c>
      <c r="J4955" s="1" t="s">
        <v>25</v>
      </c>
      <c r="K4955" s="1" t="s">
        <v>25</v>
      </c>
      <c r="L4955" t="s">
        <v>25</v>
      </c>
      <c r="M4955" t="str">
        <f t="shared" si="209"/>
        <v>Na</v>
      </c>
      <c r="N4955" t="str">
        <f t="shared" si="210"/>
        <v>Na</v>
      </c>
      <c r="O4955" s="1" t="s">
        <v>25</v>
      </c>
      <c r="P4955" s="3" t="s">
        <v>25</v>
      </c>
      <c r="Q4955" s="37">
        <v>1.8189937784132941</v>
      </c>
      <c r="R4955" t="str">
        <f t="shared" si="211"/>
        <v>mmol/mol</v>
      </c>
      <c r="S4955" s="13" t="s">
        <v>25</v>
      </c>
    </row>
    <row r="4956" spans="1:19">
      <c r="A4956" s="18" t="s">
        <v>5486</v>
      </c>
      <c r="B4956" s="1" t="s">
        <v>5126</v>
      </c>
      <c r="C4956" s="1" t="s">
        <v>5487</v>
      </c>
      <c r="D4956" s="1" t="s">
        <v>5489</v>
      </c>
      <c r="E4956" s="1" t="s">
        <v>25</v>
      </c>
      <c r="F4956">
        <v>540</v>
      </c>
      <c r="G4956">
        <v>540</v>
      </c>
      <c r="H4956">
        <v>92</v>
      </c>
      <c r="I4956" s="1" t="s">
        <v>1528</v>
      </c>
      <c r="J4956" s="1" t="s">
        <v>25</v>
      </c>
      <c r="K4956" s="1" t="s">
        <v>25</v>
      </c>
      <c r="L4956" t="s">
        <v>25</v>
      </c>
      <c r="M4956" t="str">
        <f t="shared" si="209"/>
        <v>Na</v>
      </c>
      <c r="N4956" t="str">
        <f t="shared" si="210"/>
        <v>Na</v>
      </c>
      <c r="O4956" s="1" t="s">
        <v>25</v>
      </c>
      <c r="P4956" s="3" t="s">
        <v>25</v>
      </c>
      <c r="Q4956" s="37">
        <v>2.1770238559077706</v>
      </c>
      <c r="R4956" t="str">
        <f t="shared" si="211"/>
        <v>mmol/mol</v>
      </c>
      <c r="S4956" s="13" t="s">
        <v>25</v>
      </c>
    </row>
    <row r="4957" spans="1:19">
      <c r="A4957" s="18" t="s">
        <v>5486</v>
      </c>
      <c r="B4957" s="1" t="s">
        <v>5127</v>
      </c>
      <c r="C4957" s="1" t="s">
        <v>5487</v>
      </c>
      <c r="D4957" s="1" t="s">
        <v>5489</v>
      </c>
      <c r="E4957" s="1" t="s">
        <v>25</v>
      </c>
      <c r="F4957">
        <v>540</v>
      </c>
      <c r="G4957">
        <v>540</v>
      </c>
      <c r="H4957">
        <v>93</v>
      </c>
      <c r="I4957" s="1" t="s">
        <v>1528</v>
      </c>
      <c r="J4957" s="1" t="s">
        <v>25</v>
      </c>
      <c r="K4957" s="1" t="s">
        <v>25</v>
      </c>
      <c r="L4957" t="s">
        <v>25</v>
      </c>
      <c r="M4957" t="str">
        <f t="shared" si="209"/>
        <v>Na</v>
      </c>
      <c r="N4957" t="str">
        <f t="shared" si="210"/>
        <v>Na</v>
      </c>
      <c r="O4957" s="1" t="s">
        <v>25</v>
      </c>
      <c r="P4957" s="3" t="s">
        <v>25</v>
      </c>
      <c r="Q4957" s="37">
        <v>1.7843411215645726</v>
      </c>
      <c r="R4957" t="str">
        <f t="shared" si="211"/>
        <v>mmol/mol</v>
      </c>
      <c r="S4957" s="13" t="s">
        <v>25</v>
      </c>
    </row>
    <row r="4958" spans="1:19">
      <c r="A4958" s="18" t="s">
        <v>5486</v>
      </c>
      <c r="B4958" s="1" t="s">
        <v>5128</v>
      </c>
      <c r="C4958" s="1" t="s">
        <v>5487</v>
      </c>
      <c r="D4958" s="1" t="s">
        <v>5489</v>
      </c>
      <c r="E4958" s="1" t="s">
        <v>25</v>
      </c>
      <c r="F4958">
        <v>540</v>
      </c>
      <c r="G4958">
        <v>540</v>
      </c>
      <c r="H4958">
        <v>95</v>
      </c>
      <c r="I4958" s="1" t="s">
        <v>1528</v>
      </c>
      <c r="J4958" s="1" t="s">
        <v>25</v>
      </c>
      <c r="K4958" s="1" t="s">
        <v>25</v>
      </c>
      <c r="L4958" t="s">
        <v>25</v>
      </c>
      <c r="M4958" t="str">
        <f t="shared" si="209"/>
        <v>Na</v>
      </c>
      <c r="N4958" t="str">
        <f t="shared" si="210"/>
        <v>Na</v>
      </c>
      <c r="O4958" s="1" t="s">
        <v>25</v>
      </c>
      <c r="P4958" s="3" t="s">
        <v>25</v>
      </c>
      <c r="Q4958" s="37">
        <v>2.3134815269802367</v>
      </c>
      <c r="R4958" t="str">
        <f t="shared" si="211"/>
        <v>mmol/mol</v>
      </c>
      <c r="S4958" s="13" t="s">
        <v>25</v>
      </c>
    </row>
    <row r="4959" spans="1:19">
      <c r="A4959" s="18" t="s">
        <v>5486</v>
      </c>
      <c r="B4959" s="1" t="s">
        <v>5129</v>
      </c>
      <c r="C4959" s="1" t="s">
        <v>5487</v>
      </c>
      <c r="D4959" s="1" t="s">
        <v>5489</v>
      </c>
      <c r="E4959" s="1" t="s">
        <v>25</v>
      </c>
      <c r="F4959">
        <v>540</v>
      </c>
      <c r="G4959">
        <v>540</v>
      </c>
      <c r="H4959">
        <v>96</v>
      </c>
      <c r="I4959" s="1" t="s">
        <v>1528</v>
      </c>
      <c r="J4959" s="1" t="s">
        <v>25</v>
      </c>
      <c r="K4959" s="1" t="s">
        <v>25</v>
      </c>
      <c r="L4959" t="s">
        <v>25</v>
      </c>
      <c r="M4959" t="str">
        <f t="shared" si="209"/>
        <v>Na</v>
      </c>
      <c r="N4959" t="str">
        <f t="shared" si="210"/>
        <v>Na</v>
      </c>
      <c r="O4959" s="1" t="s">
        <v>25</v>
      </c>
      <c r="P4959" s="3" t="s">
        <v>25</v>
      </c>
      <c r="Q4959" s="37">
        <v>2.1808779202832924</v>
      </c>
      <c r="R4959" t="str">
        <f t="shared" si="211"/>
        <v>mmol/mol</v>
      </c>
      <c r="S4959" s="13" t="s">
        <v>25</v>
      </c>
    </row>
    <row r="4960" spans="1:19">
      <c r="A4960" s="18" t="s">
        <v>5486</v>
      </c>
      <c r="B4960" s="1" t="s">
        <v>5130</v>
      </c>
      <c r="C4960" s="1" t="s">
        <v>5487</v>
      </c>
      <c r="D4960" s="1" t="s">
        <v>5489</v>
      </c>
      <c r="E4960" s="1" t="s">
        <v>25</v>
      </c>
      <c r="F4960">
        <v>540</v>
      </c>
      <c r="G4960">
        <v>540</v>
      </c>
      <c r="H4960">
        <v>97</v>
      </c>
      <c r="I4960" s="1" t="s">
        <v>1528</v>
      </c>
      <c r="J4960" s="1" t="s">
        <v>25</v>
      </c>
      <c r="K4960" s="1" t="s">
        <v>25</v>
      </c>
      <c r="L4960" t="s">
        <v>25</v>
      </c>
      <c r="M4960" t="str">
        <f t="shared" si="209"/>
        <v>Na</v>
      </c>
      <c r="N4960" t="str">
        <f t="shared" si="210"/>
        <v>Na</v>
      </c>
      <c r="O4960" s="1" t="s">
        <v>25</v>
      </c>
      <c r="P4960" s="3" t="s">
        <v>25</v>
      </c>
      <c r="Q4960" s="37">
        <v>1.6676533312613802</v>
      </c>
      <c r="R4960" t="str">
        <f t="shared" si="211"/>
        <v>mmol/mol</v>
      </c>
      <c r="S4960" s="13" t="s">
        <v>25</v>
      </c>
    </row>
    <row r="4961" spans="1:19">
      <c r="A4961" s="18" t="s">
        <v>5486</v>
      </c>
      <c r="B4961" s="1" t="s">
        <v>5131</v>
      </c>
      <c r="C4961" s="1" t="s">
        <v>5487</v>
      </c>
      <c r="D4961" s="1" t="s">
        <v>5489</v>
      </c>
      <c r="E4961" s="1" t="s">
        <v>25</v>
      </c>
      <c r="F4961">
        <v>540</v>
      </c>
      <c r="G4961">
        <v>540</v>
      </c>
      <c r="H4961">
        <v>103</v>
      </c>
      <c r="I4961" s="1" t="s">
        <v>1528</v>
      </c>
      <c r="J4961" s="1" t="s">
        <v>25</v>
      </c>
      <c r="K4961" s="1" t="s">
        <v>25</v>
      </c>
      <c r="L4961" t="s">
        <v>25</v>
      </c>
      <c r="M4961" t="str">
        <f t="shared" si="209"/>
        <v>Na</v>
      </c>
      <c r="N4961" t="str">
        <f t="shared" si="210"/>
        <v>Na</v>
      </c>
      <c r="O4961" s="1" t="s">
        <v>25</v>
      </c>
      <c r="P4961" s="3" t="s">
        <v>25</v>
      </c>
      <c r="Q4961" s="37">
        <v>2.7087648435966392</v>
      </c>
      <c r="R4961" t="str">
        <f t="shared" si="211"/>
        <v>mmol/mol</v>
      </c>
      <c r="S4961" s="13" t="s">
        <v>25</v>
      </c>
    </row>
    <row r="4962" spans="1:19">
      <c r="A4962" s="18" t="s">
        <v>5486</v>
      </c>
      <c r="B4962" s="1" t="s">
        <v>5132</v>
      </c>
      <c r="C4962" s="1" t="s">
        <v>5487</v>
      </c>
      <c r="D4962" s="1" t="s">
        <v>5489</v>
      </c>
      <c r="E4962" s="1" t="s">
        <v>25</v>
      </c>
      <c r="F4962">
        <v>540</v>
      </c>
      <c r="G4962">
        <v>540</v>
      </c>
      <c r="H4962">
        <v>106</v>
      </c>
      <c r="I4962" s="1" t="s">
        <v>1528</v>
      </c>
      <c r="J4962" s="1" t="s">
        <v>25</v>
      </c>
      <c r="K4962" s="1" t="s">
        <v>25</v>
      </c>
      <c r="L4962" t="s">
        <v>25</v>
      </c>
      <c r="M4962" t="str">
        <f t="shared" si="209"/>
        <v>Na</v>
      </c>
      <c r="N4962" t="str">
        <f t="shared" si="210"/>
        <v>Na</v>
      </c>
      <c r="O4962" s="1" t="s">
        <v>25</v>
      </c>
      <c r="P4962" s="3" t="s">
        <v>25</v>
      </c>
      <c r="Q4962" s="37">
        <v>4.2048791200636995</v>
      </c>
      <c r="R4962" t="str">
        <f t="shared" si="211"/>
        <v>mmol/mol</v>
      </c>
      <c r="S4962" s="13" t="s">
        <v>25</v>
      </c>
    </row>
    <row r="4963" spans="1:19">
      <c r="A4963" s="18" t="s">
        <v>5486</v>
      </c>
      <c r="B4963" s="1" t="s">
        <v>5133</v>
      </c>
      <c r="C4963" s="1" t="s">
        <v>5487</v>
      </c>
      <c r="D4963" s="1" t="s">
        <v>5489</v>
      </c>
      <c r="E4963" s="1" t="s">
        <v>25</v>
      </c>
      <c r="F4963">
        <v>540</v>
      </c>
      <c r="G4963">
        <v>540</v>
      </c>
      <c r="H4963">
        <v>109</v>
      </c>
      <c r="I4963" s="1" t="s">
        <v>1528</v>
      </c>
      <c r="J4963" s="1" t="s">
        <v>25</v>
      </c>
      <c r="K4963" s="1" t="s">
        <v>25</v>
      </c>
      <c r="L4963" t="s">
        <v>25</v>
      </c>
      <c r="M4963" t="str">
        <f t="shared" si="209"/>
        <v>Na</v>
      </c>
      <c r="N4963" t="str">
        <f t="shared" si="210"/>
        <v>Na</v>
      </c>
      <c r="O4963" s="1" t="s">
        <v>25</v>
      </c>
      <c r="P4963" s="3" t="s">
        <v>25</v>
      </c>
      <c r="Q4963" s="37">
        <v>3.2745837664426047</v>
      </c>
      <c r="R4963" t="str">
        <f t="shared" si="211"/>
        <v>mmol/mol</v>
      </c>
      <c r="S4963" s="13" t="s">
        <v>25</v>
      </c>
    </row>
    <row r="4964" spans="1:19">
      <c r="A4964" s="18" t="s">
        <v>5486</v>
      </c>
      <c r="B4964" s="1" t="s">
        <v>5134</v>
      </c>
      <c r="C4964" s="1" t="s">
        <v>5487</v>
      </c>
      <c r="D4964" s="1" t="s">
        <v>5489</v>
      </c>
      <c r="E4964" s="1" t="s">
        <v>25</v>
      </c>
      <c r="F4964">
        <v>540</v>
      </c>
      <c r="G4964">
        <v>540</v>
      </c>
      <c r="H4964">
        <v>110</v>
      </c>
      <c r="I4964" s="1" t="s">
        <v>1528</v>
      </c>
      <c r="J4964" s="1" t="s">
        <v>25</v>
      </c>
      <c r="K4964" s="1" t="s">
        <v>25</v>
      </c>
      <c r="L4964" t="s">
        <v>25</v>
      </c>
      <c r="M4964" t="str">
        <f t="shared" si="209"/>
        <v>Na</v>
      </c>
      <c r="N4964" t="str">
        <f t="shared" si="210"/>
        <v>Na</v>
      </c>
      <c r="O4964" s="1" t="s">
        <v>25</v>
      </c>
      <c r="P4964" s="3" t="s">
        <v>25</v>
      </c>
      <c r="Q4964" s="37" t="s">
        <v>25</v>
      </c>
      <c r="R4964" t="str">
        <f t="shared" si="211"/>
        <v>Na</v>
      </c>
      <c r="S4964" s="13" t="s">
        <v>25</v>
      </c>
    </row>
    <row r="4965" spans="1:19">
      <c r="A4965" s="18" t="s">
        <v>5486</v>
      </c>
      <c r="B4965" s="1" t="s">
        <v>5135</v>
      </c>
      <c r="C4965" s="1" t="s">
        <v>5487</v>
      </c>
      <c r="D4965" s="1" t="s">
        <v>5489</v>
      </c>
      <c r="E4965" s="1" t="s">
        <v>25</v>
      </c>
      <c r="F4965">
        <v>540</v>
      </c>
      <c r="G4965">
        <v>540</v>
      </c>
      <c r="H4965">
        <v>113</v>
      </c>
      <c r="I4965" s="1" t="s">
        <v>1528</v>
      </c>
      <c r="J4965" s="1" t="s">
        <v>25</v>
      </c>
      <c r="K4965" s="1" t="s">
        <v>25</v>
      </c>
      <c r="L4965" t="s">
        <v>25</v>
      </c>
      <c r="M4965" t="str">
        <f t="shared" si="209"/>
        <v>Na</v>
      </c>
      <c r="N4965" t="str">
        <f t="shared" si="210"/>
        <v>Na</v>
      </c>
      <c r="O4965" s="1" t="s">
        <v>25</v>
      </c>
      <c r="P4965" s="3" t="s">
        <v>25</v>
      </c>
      <c r="Q4965" s="37" t="s">
        <v>25</v>
      </c>
      <c r="R4965" t="str">
        <f t="shared" si="211"/>
        <v>Na</v>
      </c>
      <c r="S4965" s="13" t="s">
        <v>25</v>
      </c>
    </row>
    <row r="4966" spans="1:19">
      <c r="A4966" s="18" t="s">
        <v>5486</v>
      </c>
      <c r="B4966" s="1" t="s">
        <v>5136</v>
      </c>
      <c r="C4966" s="1" t="s">
        <v>5487</v>
      </c>
      <c r="D4966" s="1" t="s">
        <v>5489</v>
      </c>
      <c r="E4966" s="1" t="s">
        <v>25</v>
      </c>
      <c r="F4966">
        <v>540</v>
      </c>
      <c r="G4966">
        <v>540</v>
      </c>
      <c r="H4966">
        <v>120</v>
      </c>
      <c r="I4966" s="1" t="s">
        <v>1528</v>
      </c>
      <c r="J4966" s="1" t="s">
        <v>25</v>
      </c>
      <c r="K4966" s="1" t="s">
        <v>25</v>
      </c>
      <c r="L4966" t="s">
        <v>25</v>
      </c>
      <c r="M4966" t="str">
        <f t="shared" si="209"/>
        <v>Na</v>
      </c>
      <c r="N4966" t="str">
        <f t="shared" si="210"/>
        <v>Na</v>
      </c>
      <c r="O4966" s="1" t="s">
        <v>25</v>
      </c>
      <c r="P4966" s="3" t="s">
        <v>25</v>
      </c>
      <c r="Q4966" s="37" t="s">
        <v>25</v>
      </c>
      <c r="R4966" t="str">
        <f t="shared" si="211"/>
        <v>Na</v>
      </c>
      <c r="S4966" s="13" t="s">
        <v>25</v>
      </c>
    </row>
    <row r="4967" spans="1:19">
      <c r="A4967" s="18" t="s">
        <v>5486</v>
      </c>
      <c r="B4967" s="1" t="s">
        <v>5137</v>
      </c>
      <c r="C4967" s="1" t="s">
        <v>5487</v>
      </c>
      <c r="D4967" s="1" t="s">
        <v>5489</v>
      </c>
      <c r="E4967" s="1" t="s">
        <v>25</v>
      </c>
      <c r="F4967">
        <v>540</v>
      </c>
      <c r="G4967">
        <v>540</v>
      </c>
      <c r="H4967">
        <v>121</v>
      </c>
      <c r="I4967" s="1" t="s">
        <v>1528</v>
      </c>
      <c r="J4967" s="1" t="s">
        <v>25</v>
      </c>
      <c r="K4967" s="1" t="s">
        <v>25</v>
      </c>
      <c r="L4967" t="s">
        <v>25</v>
      </c>
      <c r="M4967" t="str">
        <f t="shared" si="209"/>
        <v>Na</v>
      </c>
      <c r="N4967" t="str">
        <f t="shared" si="210"/>
        <v>Na</v>
      </c>
      <c r="O4967" s="1" t="s">
        <v>25</v>
      </c>
      <c r="P4967" s="3" t="s">
        <v>25</v>
      </c>
      <c r="Q4967" s="37" t="s">
        <v>25</v>
      </c>
      <c r="R4967" t="str">
        <f t="shared" si="211"/>
        <v>Na</v>
      </c>
      <c r="S4967" s="13" t="s">
        <v>25</v>
      </c>
    </row>
    <row r="4968" spans="1:19">
      <c r="A4968" s="18" t="s">
        <v>5486</v>
      </c>
      <c r="B4968" s="1" t="s">
        <v>5138</v>
      </c>
      <c r="C4968" s="1" t="s">
        <v>5487</v>
      </c>
      <c r="D4968" s="1" t="s">
        <v>5489</v>
      </c>
      <c r="E4968" s="1" t="s">
        <v>25</v>
      </c>
      <c r="F4968">
        <v>540</v>
      </c>
      <c r="G4968">
        <v>540</v>
      </c>
      <c r="H4968">
        <v>122</v>
      </c>
      <c r="I4968" s="1" t="s">
        <v>1528</v>
      </c>
      <c r="J4968" s="1" t="s">
        <v>25</v>
      </c>
      <c r="K4968" s="1" t="s">
        <v>25</v>
      </c>
      <c r="L4968" t="s">
        <v>25</v>
      </c>
      <c r="M4968" t="str">
        <f t="shared" si="209"/>
        <v>Na</v>
      </c>
      <c r="N4968" t="str">
        <f t="shared" si="210"/>
        <v>Na</v>
      </c>
      <c r="O4968" s="1" t="s">
        <v>25</v>
      </c>
      <c r="P4968" s="3" t="s">
        <v>25</v>
      </c>
      <c r="Q4968" s="37" t="s">
        <v>25</v>
      </c>
      <c r="R4968" t="str">
        <f t="shared" si="211"/>
        <v>Na</v>
      </c>
      <c r="S4968" s="13" t="s">
        <v>25</v>
      </c>
    </row>
    <row r="4969" spans="1:19">
      <c r="A4969" s="18" t="s">
        <v>5486</v>
      </c>
      <c r="B4969" s="1" t="s">
        <v>5139</v>
      </c>
      <c r="C4969" s="1" t="s">
        <v>5487</v>
      </c>
      <c r="D4969" s="1" t="s">
        <v>5489</v>
      </c>
      <c r="E4969" s="1" t="s">
        <v>25</v>
      </c>
      <c r="F4969">
        <v>540</v>
      </c>
      <c r="G4969">
        <v>540</v>
      </c>
      <c r="H4969">
        <v>129.19999999999999</v>
      </c>
      <c r="I4969" s="1" t="s">
        <v>1528</v>
      </c>
      <c r="J4969" s="1" t="s">
        <v>25</v>
      </c>
      <c r="K4969" s="1" t="s">
        <v>25</v>
      </c>
      <c r="L4969" t="s">
        <v>25</v>
      </c>
      <c r="M4969" t="str">
        <f t="shared" si="209"/>
        <v>Na</v>
      </c>
      <c r="N4969" t="str">
        <f t="shared" si="210"/>
        <v>Na</v>
      </c>
      <c r="O4969" s="1" t="s">
        <v>25</v>
      </c>
      <c r="P4969" s="3" t="s">
        <v>25</v>
      </c>
      <c r="Q4969" s="37" t="s">
        <v>25</v>
      </c>
      <c r="R4969" t="str">
        <f t="shared" si="211"/>
        <v>Na</v>
      </c>
      <c r="S4969" s="13" t="s">
        <v>25</v>
      </c>
    </row>
    <row r="4970" spans="1:19">
      <c r="A4970" s="18" t="s">
        <v>5486</v>
      </c>
      <c r="B4970" s="1" t="s">
        <v>5140</v>
      </c>
      <c r="C4970" s="1" t="s">
        <v>5487</v>
      </c>
      <c r="D4970" s="1" t="s">
        <v>5489</v>
      </c>
      <c r="E4970" s="1" t="s">
        <v>25</v>
      </c>
      <c r="F4970">
        <v>540</v>
      </c>
      <c r="G4970">
        <v>540</v>
      </c>
      <c r="H4970">
        <v>136</v>
      </c>
      <c r="I4970" s="1" t="s">
        <v>1528</v>
      </c>
      <c r="J4970" s="1" t="s">
        <v>25</v>
      </c>
      <c r="K4970" s="1" t="s">
        <v>25</v>
      </c>
      <c r="L4970" t="s">
        <v>25</v>
      </c>
      <c r="M4970" t="str">
        <f t="shared" si="209"/>
        <v>Na</v>
      </c>
      <c r="N4970" t="str">
        <f t="shared" si="210"/>
        <v>Na</v>
      </c>
      <c r="O4970" s="1" t="s">
        <v>25</v>
      </c>
      <c r="P4970" s="3" t="s">
        <v>25</v>
      </c>
      <c r="Q4970" s="37">
        <v>6.6290238721022359</v>
      </c>
      <c r="R4970" t="str">
        <f t="shared" si="211"/>
        <v>mmol/mol</v>
      </c>
      <c r="S4970" s="13" t="s">
        <v>25</v>
      </c>
    </row>
    <row r="4971" spans="1:19">
      <c r="A4971" s="18" t="s">
        <v>5486</v>
      </c>
      <c r="B4971" s="1" t="s">
        <v>5141</v>
      </c>
      <c r="C4971" s="1" t="s">
        <v>5487</v>
      </c>
      <c r="D4971" s="1" t="s">
        <v>5489</v>
      </c>
      <c r="E4971" s="1" t="s">
        <v>25</v>
      </c>
      <c r="F4971">
        <v>540</v>
      </c>
      <c r="G4971">
        <v>540</v>
      </c>
      <c r="H4971">
        <v>138</v>
      </c>
      <c r="I4971" s="1" t="s">
        <v>1528</v>
      </c>
      <c r="J4971" s="1" t="s">
        <v>25</v>
      </c>
      <c r="K4971" s="1" t="s">
        <v>25</v>
      </c>
      <c r="L4971" t="s">
        <v>25</v>
      </c>
      <c r="M4971" t="str">
        <f t="shared" si="209"/>
        <v>Na</v>
      </c>
      <c r="N4971" t="str">
        <f t="shared" si="210"/>
        <v>Na</v>
      </c>
      <c r="O4971" s="1" t="s">
        <v>25</v>
      </c>
      <c r="P4971" s="3" t="s">
        <v>25</v>
      </c>
      <c r="Q4971" s="37">
        <v>3.7294392722497212</v>
      </c>
      <c r="R4971" t="str">
        <f t="shared" si="211"/>
        <v>mmol/mol</v>
      </c>
      <c r="S4971" s="13" t="s">
        <v>25</v>
      </c>
    </row>
    <row r="4972" spans="1:19">
      <c r="A4972" s="18" t="s">
        <v>5486</v>
      </c>
      <c r="B4972" s="1" t="s">
        <v>5142</v>
      </c>
      <c r="C4972" s="1" t="s">
        <v>5487</v>
      </c>
      <c r="D4972" s="1" t="s">
        <v>5489</v>
      </c>
      <c r="E4972" s="1" t="s">
        <v>25</v>
      </c>
      <c r="F4972">
        <v>540</v>
      </c>
      <c r="G4972">
        <v>540</v>
      </c>
      <c r="H4972">
        <v>139</v>
      </c>
      <c r="I4972" s="1" t="s">
        <v>1528</v>
      </c>
      <c r="J4972" s="1" t="s">
        <v>25</v>
      </c>
      <c r="K4972" s="1" t="s">
        <v>25</v>
      </c>
      <c r="L4972" t="s">
        <v>25</v>
      </c>
      <c r="M4972" t="str">
        <f t="shared" si="209"/>
        <v>Na</v>
      </c>
      <c r="N4972" t="str">
        <f t="shared" si="210"/>
        <v>Na</v>
      </c>
      <c r="O4972" s="1" t="s">
        <v>25</v>
      </c>
      <c r="P4972" s="3" t="s">
        <v>25</v>
      </c>
      <c r="Q4972" s="37">
        <v>6.2345734241983113</v>
      </c>
      <c r="R4972" t="str">
        <f t="shared" si="211"/>
        <v>mmol/mol</v>
      </c>
      <c r="S4972" s="13" t="s">
        <v>25</v>
      </c>
    </row>
    <row r="4973" spans="1:19">
      <c r="A4973" s="18" t="s">
        <v>5486</v>
      </c>
      <c r="B4973" s="1" t="s">
        <v>5143</v>
      </c>
      <c r="C4973" s="1" t="s">
        <v>5487</v>
      </c>
      <c r="D4973" s="1" t="s">
        <v>5489</v>
      </c>
      <c r="E4973" s="1" t="s">
        <v>25</v>
      </c>
      <c r="F4973">
        <v>540</v>
      </c>
      <c r="G4973">
        <v>540</v>
      </c>
      <c r="H4973">
        <v>140</v>
      </c>
      <c r="I4973" s="1" t="s">
        <v>1528</v>
      </c>
      <c r="J4973" s="1" t="s">
        <v>25</v>
      </c>
      <c r="K4973" s="1" t="s">
        <v>25</v>
      </c>
      <c r="L4973" t="s">
        <v>25</v>
      </c>
      <c r="M4973" t="str">
        <f t="shared" si="209"/>
        <v>Na</v>
      </c>
      <c r="N4973" t="str">
        <f t="shared" si="210"/>
        <v>Na</v>
      </c>
      <c r="O4973" s="1" t="s">
        <v>25</v>
      </c>
      <c r="P4973" s="3" t="s">
        <v>25</v>
      </c>
      <c r="Q4973" s="37">
        <v>6.8241273501587063</v>
      </c>
      <c r="R4973" t="str">
        <f t="shared" si="211"/>
        <v>mmol/mol</v>
      </c>
      <c r="S4973" s="13" t="s">
        <v>25</v>
      </c>
    </row>
    <row r="4974" spans="1:19">
      <c r="A4974" s="18" t="s">
        <v>5486</v>
      </c>
      <c r="B4974" s="1" t="s">
        <v>5144</v>
      </c>
      <c r="C4974" s="1" t="s">
        <v>5487</v>
      </c>
      <c r="D4974" s="1" t="s">
        <v>5489</v>
      </c>
      <c r="E4974" s="1" t="s">
        <v>25</v>
      </c>
      <c r="F4974">
        <v>540</v>
      </c>
      <c r="G4974">
        <v>540</v>
      </c>
      <c r="H4974">
        <v>143</v>
      </c>
      <c r="I4974" s="1" t="s">
        <v>1528</v>
      </c>
      <c r="J4974" s="1" t="s">
        <v>25</v>
      </c>
      <c r="K4974" s="1" t="s">
        <v>25</v>
      </c>
      <c r="L4974" t="s">
        <v>25</v>
      </c>
      <c r="M4974" t="str">
        <f t="shared" si="209"/>
        <v>Na</v>
      </c>
      <c r="N4974" t="str">
        <f t="shared" si="210"/>
        <v>Na</v>
      </c>
      <c r="O4974" s="1" t="s">
        <v>25</v>
      </c>
      <c r="P4974" s="3" t="s">
        <v>25</v>
      </c>
      <c r="Q4974" s="37">
        <v>5.0305372809029141</v>
      </c>
      <c r="R4974" t="str">
        <f t="shared" si="211"/>
        <v>mmol/mol</v>
      </c>
      <c r="S4974" s="13" t="s">
        <v>25</v>
      </c>
    </row>
    <row r="4975" spans="1:19">
      <c r="A4975" s="18" t="s">
        <v>5486</v>
      </c>
      <c r="B4975" s="1" t="s">
        <v>5145</v>
      </c>
      <c r="C4975" s="1" t="s">
        <v>5487</v>
      </c>
      <c r="D4975" s="1" t="s">
        <v>5489</v>
      </c>
      <c r="E4975" s="1" t="s">
        <v>25</v>
      </c>
      <c r="F4975">
        <v>540</v>
      </c>
      <c r="G4975">
        <v>540</v>
      </c>
      <c r="H4975">
        <v>144</v>
      </c>
      <c r="I4975" s="1" t="s">
        <v>1528</v>
      </c>
      <c r="J4975" s="1" t="s">
        <v>25</v>
      </c>
      <c r="K4975" s="1" t="s">
        <v>25</v>
      </c>
      <c r="L4975" t="s">
        <v>25</v>
      </c>
      <c r="M4975" t="str">
        <f t="shared" si="209"/>
        <v>Na</v>
      </c>
      <c r="N4975" t="str">
        <f t="shared" si="210"/>
        <v>Na</v>
      </c>
      <c r="O4975" s="1" t="s">
        <v>25</v>
      </c>
      <c r="P4975" s="3" t="s">
        <v>25</v>
      </c>
      <c r="Q4975" s="37">
        <v>5.10639533736357</v>
      </c>
      <c r="R4975" t="str">
        <f t="shared" si="211"/>
        <v>mmol/mol</v>
      </c>
      <c r="S4975" s="13" t="s">
        <v>25</v>
      </c>
    </row>
    <row r="4976" spans="1:19">
      <c r="A4976" s="18" t="s">
        <v>5486</v>
      </c>
      <c r="B4976" s="1" t="s">
        <v>5146</v>
      </c>
      <c r="C4976" s="1" t="s">
        <v>5487</v>
      </c>
      <c r="D4976" s="1" t="s">
        <v>5489</v>
      </c>
      <c r="E4976" s="1" t="s">
        <v>25</v>
      </c>
      <c r="F4976">
        <v>540</v>
      </c>
      <c r="G4976">
        <v>540</v>
      </c>
      <c r="H4976">
        <v>146</v>
      </c>
      <c r="I4976" s="1" t="s">
        <v>1528</v>
      </c>
      <c r="J4976" s="1" t="s">
        <v>25</v>
      </c>
      <c r="K4976" s="1" t="s">
        <v>25</v>
      </c>
      <c r="L4976" t="s">
        <v>25</v>
      </c>
      <c r="M4976" t="str">
        <f t="shared" ref="M4976:M5039" si="212">IF(L4976="Na","Na","44/40")</f>
        <v>Na</v>
      </c>
      <c r="N4976" t="str">
        <f t="shared" ref="N4976:N5039" si="213">IF(M4976="Na","Na","SW")</f>
        <v>Na</v>
      </c>
      <c r="O4976" s="1" t="s">
        <v>25</v>
      </c>
      <c r="P4976" s="3" t="s">
        <v>25</v>
      </c>
      <c r="Q4976" s="37">
        <v>4.5426783859904667</v>
      </c>
      <c r="R4976" t="str">
        <f t="shared" si="211"/>
        <v>mmol/mol</v>
      </c>
      <c r="S4976" s="13" t="s">
        <v>25</v>
      </c>
    </row>
    <row r="4977" spans="1:19">
      <c r="A4977" s="18" t="s">
        <v>5486</v>
      </c>
      <c r="B4977" s="1" t="s">
        <v>5147</v>
      </c>
      <c r="C4977" s="1" t="s">
        <v>5487</v>
      </c>
      <c r="D4977" s="1" t="s">
        <v>5489</v>
      </c>
      <c r="E4977" s="1" t="s">
        <v>25</v>
      </c>
      <c r="F4977">
        <v>540</v>
      </c>
      <c r="G4977">
        <v>540</v>
      </c>
      <c r="H4977">
        <v>147</v>
      </c>
      <c r="I4977" s="1" t="s">
        <v>1528</v>
      </c>
      <c r="J4977" s="1" t="s">
        <v>25</v>
      </c>
      <c r="K4977" s="1" t="s">
        <v>25</v>
      </c>
      <c r="L4977" t="s">
        <v>25</v>
      </c>
      <c r="M4977" t="str">
        <f t="shared" si="212"/>
        <v>Na</v>
      </c>
      <c r="N4977" t="str">
        <f t="shared" si="213"/>
        <v>Na</v>
      </c>
      <c r="O4977" s="1" t="s">
        <v>25</v>
      </c>
      <c r="P4977" s="3" t="s">
        <v>25</v>
      </c>
      <c r="Q4977" s="37">
        <v>5.6894996874896826</v>
      </c>
      <c r="R4977" t="str">
        <f t="shared" si="211"/>
        <v>mmol/mol</v>
      </c>
      <c r="S4977" s="13" t="s">
        <v>25</v>
      </c>
    </row>
    <row r="4978" spans="1:19">
      <c r="A4978" s="18" t="s">
        <v>5486</v>
      </c>
      <c r="B4978" s="1" t="s">
        <v>5148</v>
      </c>
      <c r="C4978" s="1" t="s">
        <v>5487</v>
      </c>
      <c r="D4978" s="1" t="s">
        <v>5489</v>
      </c>
      <c r="E4978" s="1" t="s">
        <v>25</v>
      </c>
      <c r="F4978">
        <v>540</v>
      </c>
      <c r="G4978">
        <v>540</v>
      </c>
      <c r="H4978">
        <v>149</v>
      </c>
      <c r="I4978" s="1" t="s">
        <v>1528</v>
      </c>
      <c r="J4978" s="1" t="s">
        <v>25</v>
      </c>
      <c r="K4978" s="1" t="s">
        <v>25</v>
      </c>
      <c r="L4978" t="s">
        <v>25</v>
      </c>
      <c r="M4978" t="str">
        <f t="shared" si="212"/>
        <v>Na</v>
      </c>
      <c r="N4978" t="str">
        <f t="shared" si="213"/>
        <v>Na</v>
      </c>
      <c r="O4978" s="1" t="s">
        <v>25</v>
      </c>
      <c r="P4978" s="3" t="s">
        <v>25</v>
      </c>
      <c r="Q4978" s="37">
        <v>5.2862357418502253</v>
      </c>
      <c r="R4978" t="str">
        <f t="shared" si="211"/>
        <v>mmol/mol</v>
      </c>
      <c r="S4978" s="13" t="s">
        <v>25</v>
      </c>
    </row>
    <row r="4979" spans="1:19">
      <c r="A4979" s="18" t="s">
        <v>5486</v>
      </c>
      <c r="B4979" s="1" t="s">
        <v>5149</v>
      </c>
      <c r="C4979" s="1" t="s">
        <v>5487</v>
      </c>
      <c r="D4979" s="1" t="s">
        <v>5489</v>
      </c>
      <c r="E4979" s="1" t="s">
        <v>25</v>
      </c>
      <c r="F4979">
        <v>540</v>
      </c>
      <c r="G4979">
        <v>540</v>
      </c>
      <c r="H4979">
        <v>151</v>
      </c>
      <c r="I4979" s="1" t="s">
        <v>1528</v>
      </c>
      <c r="J4979" s="1" t="s">
        <v>25</v>
      </c>
      <c r="K4979" s="1" t="s">
        <v>25</v>
      </c>
      <c r="L4979" t="s">
        <v>25</v>
      </c>
      <c r="M4979" t="str">
        <f t="shared" si="212"/>
        <v>Na</v>
      </c>
      <c r="N4979" t="str">
        <f t="shared" si="213"/>
        <v>Na</v>
      </c>
      <c r="O4979" s="1" t="s">
        <v>25</v>
      </c>
      <c r="P4979" s="3" t="s">
        <v>25</v>
      </c>
      <c r="Q4979" s="37">
        <v>4.288876966922162</v>
      </c>
      <c r="R4979" t="str">
        <f t="shared" si="211"/>
        <v>mmol/mol</v>
      </c>
      <c r="S4979" s="13" t="s">
        <v>25</v>
      </c>
    </row>
    <row r="4980" spans="1:19">
      <c r="A4980" s="18" t="s">
        <v>5486</v>
      </c>
      <c r="B4980" s="1" t="s">
        <v>5150</v>
      </c>
      <c r="C4980" s="1" t="s">
        <v>5487</v>
      </c>
      <c r="D4980" s="1" t="s">
        <v>5489</v>
      </c>
      <c r="E4980" s="1" t="s">
        <v>25</v>
      </c>
      <c r="F4980">
        <v>540</v>
      </c>
      <c r="G4980">
        <v>540</v>
      </c>
      <c r="H4980">
        <v>152</v>
      </c>
      <c r="I4980" s="1" t="s">
        <v>1528</v>
      </c>
      <c r="J4980" s="1" t="s">
        <v>25</v>
      </c>
      <c r="K4980" s="1" t="s">
        <v>25</v>
      </c>
      <c r="L4980" t="s">
        <v>25</v>
      </c>
      <c r="M4980" t="str">
        <f t="shared" si="212"/>
        <v>Na</v>
      </c>
      <c r="N4980" t="str">
        <f t="shared" si="213"/>
        <v>Na</v>
      </c>
      <c r="O4980" s="1" t="s">
        <v>25</v>
      </c>
      <c r="P4980" s="3" t="s">
        <v>25</v>
      </c>
      <c r="Q4980" s="37">
        <v>4.8447688472384689</v>
      </c>
      <c r="R4980" t="str">
        <f t="shared" si="211"/>
        <v>mmol/mol</v>
      </c>
      <c r="S4980" s="13" t="s">
        <v>25</v>
      </c>
    </row>
    <row r="4981" spans="1:19">
      <c r="A4981" s="18" t="s">
        <v>5486</v>
      </c>
      <c r="B4981" s="1" t="s">
        <v>5151</v>
      </c>
      <c r="C4981" s="1" t="s">
        <v>5487</v>
      </c>
      <c r="D4981" s="1" t="s">
        <v>5489</v>
      </c>
      <c r="E4981" s="1" t="s">
        <v>25</v>
      </c>
      <c r="F4981">
        <v>540</v>
      </c>
      <c r="G4981">
        <v>540</v>
      </c>
      <c r="H4981">
        <v>153</v>
      </c>
      <c r="I4981" s="1" t="s">
        <v>1528</v>
      </c>
      <c r="J4981" s="1" t="s">
        <v>25</v>
      </c>
      <c r="K4981" s="1" t="s">
        <v>25</v>
      </c>
      <c r="L4981" t="s">
        <v>25</v>
      </c>
      <c r="M4981" t="str">
        <f t="shared" si="212"/>
        <v>Na</v>
      </c>
      <c r="N4981" t="str">
        <f t="shared" si="213"/>
        <v>Na</v>
      </c>
      <c r="O4981" s="1" t="s">
        <v>25</v>
      </c>
      <c r="P4981" s="3" t="s">
        <v>25</v>
      </c>
      <c r="Q4981" s="37">
        <v>5.7380268240927812</v>
      </c>
      <c r="R4981" t="str">
        <f t="shared" si="211"/>
        <v>mmol/mol</v>
      </c>
      <c r="S4981" s="13" t="s">
        <v>25</v>
      </c>
    </row>
    <row r="4982" spans="1:19">
      <c r="A4982" s="18" t="s">
        <v>5486</v>
      </c>
      <c r="B4982" s="1" t="s">
        <v>5152</v>
      </c>
      <c r="C4982" s="1" t="s">
        <v>5487</v>
      </c>
      <c r="D4982" s="1" t="s">
        <v>5489</v>
      </c>
      <c r="E4982" s="1" t="s">
        <v>25</v>
      </c>
      <c r="F4982">
        <v>540</v>
      </c>
      <c r="G4982">
        <v>540</v>
      </c>
      <c r="H4982">
        <v>154</v>
      </c>
      <c r="I4982" s="1" t="s">
        <v>1528</v>
      </c>
      <c r="J4982" s="1" t="s">
        <v>25</v>
      </c>
      <c r="K4982" s="1" t="s">
        <v>25</v>
      </c>
      <c r="L4982" t="s">
        <v>25</v>
      </c>
      <c r="M4982" t="str">
        <f t="shared" si="212"/>
        <v>Na</v>
      </c>
      <c r="N4982" t="str">
        <f t="shared" si="213"/>
        <v>Na</v>
      </c>
      <c r="O4982" s="1" t="s">
        <v>25</v>
      </c>
      <c r="P4982" s="3" t="s">
        <v>25</v>
      </c>
      <c r="Q4982" s="37">
        <v>5.7412831242590601</v>
      </c>
      <c r="R4982" t="str">
        <f t="shared" si="211"/>
        <v>mmol/mol</v>
      </c>
      <c r="S4982" s="13" t="s">
        <v>25</v>
      </c>
    </row>
    <row r="4983" spans="1:19">
      <c r="A4983" s="18" t="s">
        <v>5486</v>
      </c>
      <c r="B4983" s="1" t="s">
        <v>5153</v>
      </c>
      <c r="C4983" s="1" t="s">
        <v>5487</v>
      </c>
      <c r="D4983" s="1" t="s">
        <v>5489</v>
      </c>
      <c r="E4983" s="1" t="s">
        <v>25</v>
      </c>
      <c r="F4983">
        <v>540</v>
      </c>
      <c r="G4983">
        <v>540</v>
      </c>
      <c r="H4983">
        <v>155</v>
      </c>
      <c r="I4983" s="1" t="s">
        <v>1528</v>
      </c>
      <c r="J4983" s="1" t="s">
        <v>25</v>
      </c>
      <c r="K4983" s="1" t="s">
        <v>25</v>
      </c>
      <c r="L4983" t="s">
        <v>25</v>
      </c>
      <c r="M4983" t="str">
        <f t="shared" si="212"/>
        <v>Na</v>
      </c>
      <c r="N4983" t="str">
        <f t="shared" si="213"/>
        <v>Na</v>
      </c>
      <c r="O4983" s="1" t="s">
        <v>25</v>
      </c>
      <c r="P4983" s="3" t="s">
        <v>25</v>
      </c>
      <c r="Q4983" s="37">
        <v>5.2196255593244016</v>
      </c>
      <c r="R4983" t="str">
        <f t="shared" si="211"/>
        <v>mmol/mol</v>
      </c>
      <c r="S4983" s="13" t="s">
        <v>25</v>
      </c>
    </row>
    <row r="4984" spans="1:19">
      <c r="A4984" s="18" t="s">
        <v>5486</v>
      </c>
      <c r="B4984" s="1" t="s">
        <v>5154</v>
      </c>
      <c r="C4984" s="1" t="s">
        <v>5487</v>
      </c>
      <c r="D4984" s="1" t="s">
        <v>5489</v>
      </c>
      <c r="E4984" s="1" t="s">
        <v>25</v>
      </c>
      <c r="F4984">
        <v>540</v>
      </c>
      <c r="G4984">
        <v>540</v>
      </c>
      <c r="H4984">
        <v>156</v>
      </c>
      <c r="I4984" s="1" t="s">
        <v>1528</v>
      </c>
      <c r="J4984" s="1" t="s">
        <v>25</v>
      </c>
      <c r="K4984" s="1" t="s">
        <v>25</v>
      </c>
      <c r="L4984" t="s">
        <v>25</v>
      </c>
      <c r="M4984" t="str">
        <f t="shared" si="212"/>
        <v>Na</v>
      </c>
      <c r="N4984" t="str">
        <f t="shared" si="213"/>
        <v>Na</v>
      </c>
      <c r="O4984" s="1" t="s">
        <v>25</v>
      </c>
      <c r="P4984" s="3" t="s">
        <v>25</v>
      </c>
      <c r="Q4984" s="37">
        <v>6.0522965396951074</v>
      </c>
      <c r="R4984" t="str">
        <f t="shared" si="211"/>
        <v>mmol/mol</v>
      </c>
      <c r="S4984" s="13" t="s">
        <v>25</v>
      </c>
    </row>
    <row r="4985" spans="1:19">
      <c r="A4985" s="18" t="s">
        <v>5486</v>
      </c>
      <c r="B4985" s="1" t="s">
        <v>5155</v>
      </c>
      <c r="C4985" s="1" t="s">
        <v>5487</v>
      </c>
      <c r="D4985" s="1" t="s">
        <v>5489</v>
      </c>
      <c r="E4985" s="1" t="s">
        <v>25</v>
      </c>
      <c r="F4985">
        <v>540</v>
      </c>
      <c r="G4985">
        <v>540</v>
      </c>
      <c r="H4985">
        <v>157</v>
      </c>
      <c r="I4985" s="1" t="s">
        <v>1528</v>
      </c>
      <c r="J4985" s="1" t="s">
        <v>25</v>
      </c>
      <c r="K4985" s="1" t="s">
        <v>25</v>
      </c>
      <c r="L4985" t="s">
        <v>25</v>
      </c>
      <c r="M4985" t="str">
        <f t="shared" si="212"/>
        <v>Na</v>
      </c>
      <c r="N4985" t="str">
        <f t="shared" si="213"/>
        <v>Na</v>
      </c>
      <c r="O4985" s="1" t="s">
        <v>25</v>
      </c>
      <c r="P4985" s="3" t="s">
        <v>25</v>
      </c>
      <c r="Q4985" s="37">
        <v>4.7467171066573499</v>
      </c>
      <c r="R4985" t="str">
        <f t="shared" si="211"/>
        <v>mmol/mol</v>
      </c>
      <c r="S4985" s="13" t="s">
        <v>25</v>
      </c>
    </row>
    <row r="4986" spans="1:19">
      <c r="A4986" s="18" t="s">
        <v>5486</v>
      </c>
      <c r="B4986" s="1" t="s">
        <v>5156</v>
      </c>
      <c r="C4986" s="1" t="s">
        <v>5487</v>
      </c>
      <c r="D4986" s="1" t="s">
        <v>5489</v>
      </c>
      <c r="E4986" s="1" t="s">
        <v>25</v>
      </c>
      <c r="F4986">
        <v>540</v>
      </c>
      <c r="G4986">
        <v>540</v>
      </c>
      <c r="H4986">
        <v>159</v>
      </c>
      <c r="I4986" s="1" t="s">
        <v>1528</v>
      </c>
      <c r="J4986" s="1" t="s">
        <v>25</v>
      </c>
      <c r="K4986" s="1" t="s">
        <v>25</v>
      </c>
      <c r="L4986" t="s">
        <v>25</v>
      </c>
      <c r="M4986" t="str">
        <f t="shared" si="212"/>
        <v>Na</v>
      </c>
      <c r="N4986" t="str">
        <f t="shared" si="213"/>
        <v>Na</v>
      </c>
      <c r="O4986" s="1" t="s">
        <v>25</v>
      </c>
      <c r="P4986" s="3" t="s">
        <v>25</v>
      </c>
      <c r="Q4986" s="37">
        <v>6.3419303852856661</v>
      </c>
      <c r="R4986" t="str">
        <f t="shared" si="211"/>
        <v>mmol/mol</v>
      </c>
      <c r="S4986" s="13" t="s">
        <v>25</v>
      </c>
    </row>
    <row r="4987" spans="1:19">
      <c r="A4987" s="18" t="s">
        <v>5486</v>
      </c>
      <c r="B4987" s="1" t="s">
        <v>5157</v>
      </c>
      <c r="C4987" s="1" t="s">
        <v>5487</v>
      </c>
      <c r="D4987" s="1" t="s">
        <v>5489</v>
      </c>
      <c r="E4987" s="1" t="s">
        <v>25</v>
      </c>
      <c r="F4987">
        <v>540</v>
      </c>
      <c r="G4987">
        <v>540</v>
      </c>
      <c r="H4987">
        <v>160</v>
      </c>
      <c r="I4987" s="1" t="s">
        <v>1528</v>
      </c>
      <c r="J4987" s="1" t="s">
        <v>25</v>
      </c>
      <c r="K4987" s="1" t="s">
        <v>25</v>
      </c>
      <c r="L4987" t="s">
        <v>25</v>
      </c>
      <c r="M4987" t="str">
        <f t="shared" si="212"/>
        <v>Na</v>
      </c>
      <c r="N4987" t="str">
        <f t="shared" si="213"/>
        <v>Na</v>
      </c>
      <c r="O4987" s="1" t="s">
        <v>25</v>
      </c>
      <c r="P4987" s="3" t="s">
        <v>25</v>
      </c>
      <c r="Q4987" s="37">
        <v>6.186406995169456</v>
      </c>
      <c r="R4987" t="str">
        <f t="shared" si="211"/>
        <v>mmol/mol</v>
      </c>
      <c r="S4987" s="13" t="s">
        <v>25</v>
      </c>
    </row>
    <row r="4988" spans="1:19">
      <c r="A4988" s="18" t="s">
        <v>5486</v>
      </c>
      <c r="B4988" s="1" t="s">
        <v>5158</v>
      </c>
      <c r="C4988" s="1" t="s">
        <v>5487</v>
      </c>
      <c r="D4988" s="1" t="s">
        <v>5489</v>
      </c>
      <c r="E4988" s="1" t="s">
        <v>25</v>
      </c>
      <c r="F4988">
        <v>540</v>
      </c>
      <c r="G4988">
        <v>540</v>
      </c>
      <c r="H4988">
        <v>161</v>
      </c>
      <c r="I4988" s="1" t="s">
        <v>1528</v>
      </c>
      <c r="J4988" s="1" t="s">
        <v>25</v>
      </c>
      <c r="K4988" s="1" t="s">
        <v>25</v>
      </c>
      <c r="L4988" t="s">
        <v>25</v>
      </c>
      <c r="M4988" t="str">
        <f t="shared" si="212"/>
        <v>Na</v>
      </c>
      <c r="N4988" t="str">
        <f t="shared" si="213"/>
        <v>Na</v>
      </c>
      <c r="O4988" s="1" t="s">
        <v>25</v>
      </c>
      <c r="P4988" s="3" t="s">
        <v>25</v>
      </c>
      <c r="Q4988" s="37">
        <v>5.0083588541211181</v>
      </c>
      <c r="R4988" t="str">
        <f t="shared" si="211"/>
        <v>mmol/mol</v>
      </c>
      <c r="S4988" s="13" t="s">
        <v>25</v>
      </c>
    </row>
    <row r="4989" spans="1:19">
      <c r="A4989" s="18" t="s">
        <v>5486</v>
      </c>
      <c r="B4989" s="1" t="s">
        <v>5159</v>
      </c>
      <c r="C4989" s="1" t="s">
        <v>5487</v>
      </c>
      <c r="D4989" s="1" t="s">
        <v>5489</v>
      </c>
      <c r="E4989" s="1" t="s">
        <v>25</v>
      </c>
      <c r="F4989">
        <v>540</v>
      </c>
      <c r="G4989">
        <v>540</v>
      </c>
      <c r="H4989">
        <v>162</v>
      </c>
      <c r="I4989" s="1" t="s">
        <v>1528</v>
      </c>
      <c r="J4989" s="1" t="s">
        <v>25</v>
      </c>
      <c r="K4989" s="1" t="s">
        <v>25</v>
      </c>
      <c r="L4989" t="s">
        <v>25</v>
      </c>
      <c r="M4989" t="str">
        <f t="shared" si="212"/>
        <v>Na</v>
      </c>
      <c r="N4989" t="str">
        <f t="shared" si="213"/>
        <v>Na</v>
      </c>
      <c r="O4989" s="1" t="s">
        <v>25</v>
      </c>
      <c r="P4989" s="3" t="s">
        <v>25</v>
      </c>
      <c r="Q4989" s="37">
        <v>4.2826881262966863</v>
      </c>
      <c r="R4989" t="str">
        <f t="shared" si="211"/>
        <v>mmol/mol</v>
      </c>
      <c r="S4989" s="13" t="s">
        <v>25</v>
      </c>
    </row>
    <row r="4990" spans="1:19">
      <c r="A4990" s="18" t="s">
        <v>5486</v>
      </c>
      <c r="B4990" s="1" t="s">
        <v>5066</v>
      </c>
      <c r="C4990" s="1" t="s">
        <v>5487</v>
      </c>
      <c r="D4990" s="1" t="s">
        <v>5489</v>
      </c>
      <c r="E4990" s="1" t="s">
        <v>25</v>
      </c>
      <c r="F4990">
        <v>540</v>
      </c>
      <c r="G4990">
        <v>540</v>
      </c>
      <c r="H4990">
        <v>164</v>
      </c>
      <c r="I4990" s="1" t="s">
        <v>1528</v>
      </c>
      <c r="J4990" s="1" t="s">
        <v>25</v>
      </c>
      <c r="K4990" s="1" t="s">
        <v>25</v>
      </c>
      <c r="L4990" t="s">
        <v>25</v>
      </c>
      <c r="M4990" t="str">
        <f t="shared" si="212"/>
        <v>Na</v>
      </c>
      <c r="N4990" t="str">
        <f t="shared" si="213"/>
        <v>Na</v>
      </c>
      <c r="O4990" s="1" t="s">
        <v>25</v>
      </c>
      <c r="P4990" s="3" t="s">
        <v>25</v>
      </c>
      <c r="Q4990" s="37">
        <v>6.3294033260392037</v>
      </c>
      <c r="R4990" t="str">
        <f t="shared" si="211"/>
        <v>mmol/mol</v>
      </c>
      <c r="S4990" s="13" t="s">
        <v>25</v>
      </c>
    </row>
    <row r="4991" spans="1:19">
      <c r="A4991" s="18" t="s">
        <v>5486</v>
      </c>
      <c r="B4991" s="1" t="s">
        <v>5112</v>
      </c>
      <c r="C4991" s="1" t="s">
        <v>5487</v>
      </c>
      <c r="D4991" s="1" t="s">
        <v>5489</v>
      </c>
      <c r="E4991" s="1" t="s">
        <v>25</v>
      </c>
      <c r="F4991">
        <v>540</v>
      </c>
      <c r="G4991">
        <v>540</v>
      </c>
      <c r="H4991">
        <v>166</v>
      </c>
      <c r="I4991" s="1" t="s">
        <v>1528</v>
      </c>
      <c r="J4991" s="1" t="s">
        <v>25</v>
      </c>
      <c r="K4991" s="1" t="s">
        <v>25</v>
      </c>
      <c r="L4991" t="s">
        <v>25</v>
      </c>
      <c r="M4991" t="str">
        <f t="shared" si="212"/>
        <v>Na</v>
      </c>
      <c r="N4991" t="str">
        <f t="shared" si="213"/>
        <v>Na</v>
      </c>
      <c r="O4991" s="1" t="s">
        <v>25</v>
      </c>
      <c r="P4991" s="3" t="s">
        <v>25</v>
      </c>
      <c r="Q4991" s="37">
        <v>4.4686742212277446</v>
      </c>
      <c r="R4991" t="str">
        <f t="shared" si="211"/>
        <v>mmol/mol</v>
      </c>
      <c r="S4991" s="13" t="s">
        <v>25</v>
      </c>
    </row>
    <row r="4992" spans="1:19">
      <c r="A4992" s="18" t="s">
        <v>5486</v>
      </c>
      <c r="B4992" s="1" t="s">
        <v>5160</v>
      </c>
      <c r="C4992" s="1" t="s">
        <v>5487</v>
      </c>
      <c r="D4992" s="1" t="s">
        <v>5489</v>
      </c>
      <c r="E4992" s="1" t="s">
        <v>25</v>
      </c>
      <c r="F4992">
        <v>540</v>
      </c>
      <c r="G4992">
        <v>540</v>
      </c>
      <c r="H4992">
        <v>11</v>
      </c>
      <c r="I4992" s="1" t="s">
        <v>1528</v>
      </c>
      <c r="J4992" s="1" t="s">
        <v>25</v>
      </c>
      <c r="K4992" s="1" t="s">
        <v>25</v>
      </c>
      <c r="L4992">
        <v>-1.4123354779978667</v>
      </c>
      <c r="M4992" t="str">
        <f t="shared" si="212"/>
        <v>44/40</v>
      </c>
      <c r="N4992" t="str">
        <f t="shared" si="213"/>
        <v>SW</v>
      </c>
      <c r="O4992" s="1" t="s">
        <v>25</v>
      </c>
      <c r="P4992" s="3" t="s">
        <v>25</v>
      </c>
      <c r="Q4992" s="37">
        <v>0.93585252722336565</v>
      </c>
      <c r="R4992" t="str">
        <f t="shared" si="211"/>
        <v>mmol/mol</v>
      </c>
      <c r="S4992" s="13">
        <f t="shared" ref="S4992:S5035" si="214">IF(NOT(N4992="SW"),L4992-1.88,L4992)</f>
        <v>-1.4123354779978667</v>
      </c>
    </row>
    <row r="4993" spans="1:19">
      <c r="A4993" s="18" t="s">
        <v>5486</v>
      </c>
      <c r="B4993" s="1" t="s">
        <v>5161</v>
      </c>
      <c r="C4993" s="1" t="s">
        <v>5487</v>
      </c>
      <c r="D4993" s="1" t="s">
        <v>5489</v>
      </c>
      <c r="E4993" s="1" t="s">
        <v>25</v>
      </c>
      <c r="F4993">
        <v>540</v>
      </c>
      <c r="G4993">
        <v>540</v>
      </c>
      <c r="H4993">
        <v>12</v>
      </c>
      <c r="I4993" s="1" t="s">
        <v>1528</v>
      </c>
      <c r="J4993" s="1" t="s">
        <v>25</v>
      </c>
      <c r="K4993" s="1" t="s">
        <v>25</v>
      </c>
      <c r="L4993">
        <v>-1.3358171481134022</v>
      </c>
      <c r="M4993" t="str">
        <f t="shared" si="212"/>
        <v>44/40</v>
      </c>
      <c r="N4993" t="str">
        <f t="shared" si="213"/>
        <v>SW</v>
      </c>
      <c r="O4993" s="1" t="s">
        <v>25</v>
      </c>
      <c r="P4993" s="3" t="s">
        <v>25</v>
      </c>
      <c r="Q4993" s="37">
        <v>0.92695245751353006</v>
      </c>
      <c r="R4993" t="str">
        <f t="shared" si="211"/>
        <v>mmol/mol</v>
      </c>
      <c r="S4993" s="13">
        <f t="shared" si="214"/>
        <v>-1.3358171481134022</v>
      </c>
    </row>
    <row r="4994" spans="1:19">
      <c r="A4994" s="18" t="s">
        <v>5486</v>
      </c>
      <c r="B4994" s="1" t="s">
        <v>5162</v>
      </c>
      <c r="C4994" s="1" t="s">
        <v>5487</v>
      </c>
      <c r="D4994" s="1" t="s">
        <v>5489</v>
      </c>
      <c r="E4994" s="1" t="s">
        <v>25</v>
      </c>
      <c r="F4994">
        <v>540</v>
      </c>
      <c r="G4994">
        <v>540</v>
      </c>
      <c r="H4994">
        <v>13</v>
      </c>
      <c r="I4994" s="1" t="s">
        <v>1528</v>
      </c>
      <c r="J4994" s="1" t="s">
        <v>25</v>
      </c>
      <c r="K4994" s="1" t="s">
        <v>25</v>
      </c>
      <c r="L4994">
        <v>-1.4183734284723524</v>
      </c>
      <c r="M4994" t="str">
        <f t="shared" si="212"/>
        <v>44/40</v>
      </c>
      <c r="N4994" t="str">
        <f t="shared" si="213"/>
        <v>SW</v>
      </c>
      <c r="O4994" s="1" t="s">
        <v>25</v>
      </c>
      <c r="P4994" s="3" t="s">
        <v>25</v>
      </c>
      <c r="Q4994" s="37">
        <v>0.76012555634638013</v>
      </c>
      <c r="R4994" t="str">
        <f t="shared" si="211"/>
        <v>mmol/mol</v>
      </c>
      <c r="S4994" s="13">
        <f t="shared" si="214"/>
        <v>-1.4183734284723524</v>
      </c>
    </row>
    <row r="4995" spans="1:19">
      <c r="A4995" s="18" t="s">
        <v>5486</v>
      </c>
      <c r="B4995" s="1" t="s">
        <v>5163</v>
      </c>
      <c r="C4995" s="1" t="s">
        <v>5487</v>
      </c>
      <c r="D4995" s="1" t="s">
        <v>5489</v>
      </c>
      <c r="E4995" s="1" t="s">
        <v>25</v>
      </c>
      <c r="F4995">
        <v>540</v>
      </c>
      <c r="G4995">
        <v>540</v>
      </c>
      <c r="H4995">
        <v>20</v>
      </c>
      <c r="I4995" s="1" t="s">
        <v>1528</v>
      </c>
      <c r="J4995" s="1" t="s">
        <v>25</v>
      </c>
      <c r="K4995" s="1" t="s">
        <v>25</v>
      </c>
      <c r="L4995">
        <v>-1.57877440403118</v>
      </c>
      <c r="M4995" t="str">
        <f t="shared" si="212"/>
        <v>44/40</v>
      </c>
      <c r="N4995" t="str">
        <f t="shared" si="213"/>
        <v>SW</v>
      </c>
      <c r="O4995" s="1" t="s">
        <v>25</v>
      </c>
      <c r="P4995" s="3" t="s">
        <v>25</v>
      </c>
      <c r="Q4995" s="37">
        <v>1.430321114439856</v>
      </c>
      <c r="R4995" t="str">
        <f t="shared" si="211"/>
        <v>mmol/mol</v>
      </c>
      <c r="S4995" s="13">
        <f t="shared" si="214"/>
        <v>-1.57877440403118</v>
      </c>
    </row>
    <row r="4996" spans="1:19">
      <c r="A4996" s="18" t="s">
        <v>5486</v>
      </c>
      <c r="B4996" s="1" t="s">
        <v>5164</v>
      </c>
      <c r="C4996" s="1" t="s">
        <v>5487</v>
      </c>
      <c r="D4996" s="1" t="s">
        <v>5489</v>
      </c>
      <c r="E4996" s="1" t="s">
        <v>25</v>
      </c>
      <c r="F4996">
        <v>540</v>
      </c>
      <c r="G4996">
        <v>540</v>
      </c>
      <c r="H4996">
        <v>21</v>
      </c>
      <c r="I4996" s="1" t="s">
        <v>1528</v>
      </c>
      <c r="J4996" s="1" t="s">
        <v>25</v>
      </c>
      <c r="K4996" s="1" t="s">
        <v>25</v>
      </c>
      <c r="L4996">
        <v>-1.3314722338073597</v>
      </c>
      <c r="M4996" t="str">
        <f t="shared" si="212"/>
        <v>44/40</v>
      </c>
      <c r="N4996" t="str">
        <f t="shared" si="213"/>
        <v>SW</v>
      </c>
      <c r="O4996" s="1" t="s">
        <v>25</v>
      </c>
      <c r="P4996" s="3" t="s">
        <v>25</v>
      </c>
      <c r="Q4996" s="37">
        <v>0.71817628683318935</v>
      </c>
      <c r="R4996" t="str">
        <f t="shared" si="211"/>
        <v>mmol/mol</v>
      </c>
      <c r="S4996" s="13">
        <f t="shared" si="214"/>
        <v>-1.3314722338073597</v>
      </c>
    </row>
    <row r="4997" spans="1:19">
      <c r="A4997" s="18" t="s">
        <v>5486</v>
      </c>
      <c r="B4997" s="1" t="s">
        <v>5165</v>
      </c>
      <c r="C4997" s="1" t="s">
        <v>5487</v>
      </c>
      <c r="D4997" s="1" t="s">
        <v>5489</v>
      </c>
      <c r="E4997" s="1" t="s">
        <v>25</v>
      </c>
      <c r="F4997">
        <v>540</v>
      </c>
      <c r="G4997">
        <v>540</v>
      </c>
      <c r="H4997">
        <v>22</v>
      </c>
      <c r="I4997" s="1" t="s">
        <v>1528</v>
      </c>
      <c r="J4997" s="1" t="s">
        <v>25</v>
      </c>
      <c r="K4997" s="1" t="s">
        <v>25</v>
      </c>
      <c r="L4997">
        <v>-1.0868248312003836</v>
      </c>
      <c r="M4997" t="str">
        <f t="shared" si="212"/>
        <v>44/40</v>
      </c>
      <c r="N4997" t="str">
        <f t="shared" si="213"/>
        <v>SW</v>
      </c>
      <c r="O4997" s="1" t="s">
        <v>25</v>
      </c>
      <c r="P4997" s="3" t="s">
        <v>25</v>
      </c>
      <c r="Q4997" s="37">
        <v>0.69014790687079641</v>
      </c>
      <c r="R4997" t="str">
        <f t="shared" si="211"/>
        <v>mmol/mol</v>
      </c>
      <c r="S4997" s="13">
        <f t="shared" si="214"/>
        <v>-1.0868248312003836</v>
      </c>
    </row>
    <row r="4998" spans="1:19">
      <c r="A4998" s="18" t="s">
        <v>5486</v>
      </c>
      <c r="B4998" s="1" t="s">
        <v>5166</v>
      </c>
      <c r="C4998" s="1" t="s">
        <v>5487</v>
      </c>
      <c r="D4998" s="1" t="s">
        <v>5489</v>
      </c>
      <c r="E4998" s="1" t="s">
        <v>25</v>
      </c>
      <c r="F4998">
        <v>540</v>
      </c>
      <c r="G4998">
        <v>540</v>
      </c>
      <c r="H4998">
        <v>23</v>
      </c>
      <c r="I4998" s="1" t="s">
        <v>1528</v>
      </c>
      <c r="J4998" s="1" t="s">
        <v>25</v>
      </c>
      <c r="K4998" s="1" t="s">
        <v>25</v>
      </c>
      <c r="L4998">
        <v>-1.2471177109000531</v>
      </c>
      <c r="M4998" t="str">
        <f t="shared" si="212"/>
        <v>44/40</v>
      </c>
      <c r="N4998" t="str">
        <f t="shared" si="213"/>
        <v>SW</v>
      </c>
      <c r="O4998" s="1" t="s">
        <v>25</v>
      </c>
      <c r="P4998" s="3" t="s">
        <v>25</v>
      </c>
      <c r="Q4998" s="37">
        <v>1.0622582951955688</v>
      </c>
      <c r="R4998" t="str">
        <f t="shared" si="211"/>
        <v>mmol/mol</v>
      </c>
      <c r="S4998" s="13">
        <f t="shared" si="214"/>
        <v>-1.2471177109000531</v>
      </c>
    </row>
    <row r="4999" spans="1:19">
      <c r="A4999" s="18" t="s">
        <v>5486</v>
      </c>
      <c r="B4999" s="1" t="s">
        <v>5167</v>
      </c>
      <c r="C4999" s="1" t="s">
        <v>5487</v>
      </c>
      <c r="D4999" s="1" t="s">
        <v>5489</v>
      </c>
      <c r="E4999" s="1" t="s">
        <v>25</v>
      </c>
      <c r="F4999">
        <v>540</v>
      </c>
      <c r="G4999">
        <v>540</v>
      </c>
      <c r="H4999">
        <v>24</v>
      </c>
      <c r="I4999" s="1" t="s">
        <v>1528</v>
      </c>
      <c r="J4999" s="1" t="s">
        <v>25</v>
      </c>
      <c r="K4999" s="1" t="s">
        <v>25</v>
      </c>
      <c r="L4999">
        <v>-1.2095240439968014</v>
      </c>
      <c r="M4999" t="str">
        <f t="shared" si="212"/>
        <v>44/40</v>
      </c>
      <c r="N4999" t="str">
        <f t="shared" si="213"/>
        <v>SW</v>
      </c>
      <c r="O4999" s="1" t="s">
        <v>25</v>
      </c>
      <c r="P4999" s="3" t="s">
        <v>25</v>
      </c>
      <c r="Q4999" s="37">
        <v>0.821587815264327</v>
      </c>
      <c r="R4999" t="str">
        <f t="shared" si="211"/>
        <v>mmol/mol</v>
      </c>
      <c r="S4999" s="13">
        <f t="shared" si="214"/>
        <v>-1.2095240439968014</v>
      </c>
    </row>
    <row r="5000" spans="1:19">
      <c r="A5000" s="18" t="s">
        <v>5486</v>
      </c>
      <c r="B5000" s="1" t="s">
        <v>5168</v>
      </c>
      <c r="C5000" s="1" t="s">
        <v>5487</v>
      </c>
      <c r="D5000" s="1" t="s">
        <v>5489</v>
      </c>
      <c r="E5000" s="1" t="s">
        <v>25</v>
      </c>
      <c r="F5000">
        <v>540</v>
      </c>
      <c r="G5000">
        <v>540</v>
      </c>
      <c r="H5000">
        <v>25</v>
      </c>
      <c r="I5000" s="1" t="s">
        <v>1528</v>
      </c>
      <c r="J5000" s="1" t="s">
        <v>25</v>
      </c>
      <c r="K5000" s="1" t="s">
        <v>25</v>
      </c>
      <c r="L5000">
        <v>-1.3457386785559049</v>
      </c>
      <c r="M5000" t="str">
        <f t="shared" si="212"/>
        <v>44/40</v>
      </c>
      <c r="N5000" t="str">
        <f t="shared" si="213"/>
        <v>SW</v>
      </c>
      <c r="O5000" s="1" t="s">
        <v>25</v>
      </c>
      <c r="P5000" s="3" t="s">
        <v>25</v>
      </c>
      <c r="Q5000" s="37">
        <v>0.88896774732035311</v>
      </c>
      <c r="R5000" t="str">
        <f t="shared" si="211"/>
        <v>mmol/mol</v>
      </c>
      <c r="S5000" s="13">
        <f t="shared" si="214"/>
        <v>-1.3457386785559049</v>
      </c>
    </row>
    <row r="5001" spans="1:19">
      <c r="A5001" s="18" t="s">
        <v>5486</v>
      </c>
      <c r="B5001" s="1" t="s">
        <v>5169</v>
      </c>
      <c r="C5001" s="1" t="s">
        <v>5487</v>
      </c>
      <c r="D5001" s="1" t="s">
        <v>5489</v>
      </c>
      <c r="E5001" s="1" t="s">
        <v>25</v>
      </c>
      <c r="F5001">
        <v>540</v>
      </c>
      <c r="G5001">
        <v>540</v>
      </c>
      <c r="H5001">
        <v>26</v>
      </c>
      <c r="I5001" s="1" t="s">
        <v>1528</v>
      </c>
      <c r="J5001" s="1" t="s">
        <v>25</v>
      </c>
      <c r="K5001" s="1" t="s">
        <v>25</v>
      </c>
      <c r="L5001">
        <v>-1.3065323748024436</v>
      </c>
      <c r="M5001" t="str">
        <f t="shared" si="212"/>
        <v>44/40</v>
      </c>
      <c r="N5001" t="str">
        <f t="shared" si="213"/>
        <v>SW</v>
      </c>
      <c r="O5001" s="1" t="s">
        <v>25</v>
      </c>
      <c r="P5001" s="3" t="s">
        <v>25</v>
      </c>
      <c r="Q5001" s="37">
        <v>0.86482812485826599</v>
      </c>
      <c r="R5001" t="str">
        <f t="shared" si="211"/>
        <v>mmol/mol</v>
      </c>
      <c r="S5001" s="13">
        <f t="shared" si="214"/>
        <v>-1.3065323748024436</v>
      </c>
    </row>
    <row r="5002" spans="1:19">
      <c r="A5002" s="18" t="s">
        <v>5486</v>
      </c>
      <c r="B5002" s="1" t="s">
        <v>5170</v>
      </c>
      <c r="C5002" s="1" t="s">
        <v>5487</v>
      </c>
      <c r="D5002" s="1" t="s">
        <v>5489</v>
      </c>
      <c r="E5002" s="1" t="s">
        <v>25</v>
      </c>
      <c r="F5002">
        <v>540</v>
      </c>
      <c r="G5002">
        <v>540</v>
      </c>
      <c r="H5002">
        <v>27</v>
      </c>
      <c r="I5002" s="1" t="s">
        <v>1528</v>
      </c>
      <c r="J5002" s="1" t="s">
        <v>25</v>
      </c>
      <c r="K5002" s="1" t="s">
        <v>25</v>
      </c>
      <c r="L5002">
        <v>-1.2451968912514655</v>
      </c>
      <c r="M5002" t="str">
        <f t="shared" si="212"/>
        <v>44/40</v>
      </c>
      <c r="N5002" t="str">
        <f t="shared" si="213"/>
        <v>SW</v>
      </c>
      <c r="O5002" s="1" t="s">
        <v>25</v>
      </c>
      <c r="P5002" s="3" t="s">
        <v>25</v>
      </c>
      <c r="Q5002" s="37">
        <v>1.2625664815572675</v>
      </c>
      <c r="R5002" t="str">
        <f t="shared" si="211"/>
        <v>mmol/mol</v>
      </c>
      <c r="S5002" s="13">
        <f t="shared" si="214"/>
        <v>-1.2451968912514655</v>
      </c>
    </row>
    <row r="5003" spans="1:19">
      <c r="A5003" s="18" t="s">
        <v>5486</v>
      </c>
      <c r="B5003" s="1" t="s">
        <v>5171</v>
      </c>
      <c r="C5003" s="1" t="s">
        <v>5487</v>
      </c>
      <c r="D5003" s="1" t="s">
        <v>5489</v>
      </c>
      <c r="E5003" s="1" t="s">
        <v>25</v>
      </c>
      <c r="F5003">
        <v>540</v>
      </c>
      <c r="G5003">
        <v>540</v>
      </c>
      <c r="H5003">
        <v>28</v>
      </c>
      <c r="I5003" s="1" t="s">
        <v>1528</v>
      </c>
      <c r="J5003" s="1" t="s">
        <v>25</v>
      </c>
      <c r="K5003" s="1" t="s">
        <v>25</v>
      </c>
      <c r="L5003">
        <v>-1.4795982209260232</v>
      </c>
      <c r="M5003" t="str">
        <f t="shared" si="212"/>
        <v>44/40</v>
      </c>
      <c r="N5003" t="str">
        <f t="shared" si="213"/>
        <v>SW</v>
      </c>
      <c r="O5003" s="1" t="s">
        <v>25</v>
      </c>
      <c r="P5003" s="3" t="s">
        <v>25</v>
      </c>
      <c r="Q5003" s="37">
        <v>1.5594150926398853</v>
      </c>
      <c r="R5003" t="str">
        <f t="shared" si="211"/>
        <v>mmol/mol</v>
      </c>
      <c r="S5003" s="13">
        <f t="shared" si="214"/>
        <v>-1.4795982209260232</v>
      </c>
    </row>
    <row r="5004" spans="1:19">
      <c r="A5004" s="18" t="s">
        <v>5486</v>
      </c>
      <c r="B5004" s="1" t="s">
        <v>5172</v>
      </c>
      <c r="C5004" s="1" t="s">
        <v>5487</v>
      </c>
      <c r="D5004" s="1" t="s">
        <v>5489</v>
      </c>
      <c r="E5004" s="1" t="s">
        <v>25</v>
      </c>
      <c r="F5004">
        <v>540</v>
      </c>
      <c r="G5004">
        <v>540</v>
      </c>
      <c r="H5004">
        <v>29</v>
      </c>
      <c r="I5004" s="1" t="s">
        <v>1528</v>
      </c>
      <c r="J5004" s="1" t="s">
        <v>25</v>
      </c>
      <c r="K5004" s="1" t="s">
        <v>25</v>
      </c>
      <c r="L5004">
        <v>-1.2064036513337899</v>
      </c>
      <c r="M5004" t="str">
        <f t="shared" si="212"/>
        <v>44/40</v>
      </c>
      <c r="N5004" t="str">
        <f t="shared" si="213"/>
        <v>SW</v>
      </c>
      <c r="O5004" s="1" t="s">
        <v>25</v>
      </c>
      <c r="P5004" s="3" t="s">
        <v>25</v>
      </c>
      <c r="Q5004" s="37">
        <v>1.1539743920807475</v>
      </c>
      <c r="R5004" t="str">
        <f t="shared" si="211"/>
        <v>mmol/mol</v>
      </c>
      <c r="S5004" s="13">
        <f t="shared" si="214"/>
        <v>-1.2064036513337899</v>
      </c>
    </row>
    <row r="5005" spans="1:19">
      <c r="A5005" s="18" t="s">
        <v>5486</v>
      </c>
      <c r="B5005" s="1" t="s">
        <v>5173</v>
      </c>
      <c r="C5005" s="1" t="s">
        <v>5487</v>
      </c>
      <c r="D5005" s="1" t="s">
        <v>5489</v>
      </c>
      <c r="E5005" s="1" t="s">
        <v>25</v>
      </c>
      <c r="F5005">
        <v>540</v>
      </c>
      <c r="G5005">
        <v>540</v>
      </c>
      <c r="H5005">
        <v>30</v>
      </c>
      <c r="I5005" s="1" t="s">
        <v>1528</v>
      </c>
      <c r="J5005" s="1" t="s">
        <v>25</v>
      </c>
      <c r="K5005" s="1" t="s">
        <v>25</v>
      </c>
      <c r="L5005">
        <v>-1.3327855143062781</v>
      </c>
      <c r="M5005" t="str">
        <f t="shared" si="212"/>
        <v>44/40</v>
      </c>
      <c r="N5005" t="str">
        <f t="shared" si="213"/>
        <v>SW</v>
      </c>
      <c r="O5005" s="1" t="s">
        <v>25</v>
      </c>
      <c r="P5005" s="3" t="s">
        <v>25</v>
      </c>
      <c r="Q5005" s="37">
        <v>1.3550832760541747</v>
      </c>
      <c r="R5005" t="str">
        <f t="shared" si="211"/>
        <v>mmol/mol</v>
      </c>
      <c r="S5005" s="13">
        <f t="shared" si="214"/>
        <v>-1.3327855143062781</v>
      </c>
    </row>
    <row r="5006" spans="1:19">
      <c r="A5006" s="18" t="s">
        <v>5486</v>
      </c>
      <c r="B5006" s="1" t="s">
        <v>5174</v>
      </c>
      <c r="C5006" s="1" t="s">
        <v>5487</v>
      </c>
      <c r="D5006" s="1" t="s">
        <v>5489</v>
      </c>
      <c r="E5006" s="1" t="s">
        <v>25</v>
      </c>
      <c r="F5006">
        <v>540</v>
      </c>
      <c r="G5006">
        <v>540</v>
      </c>
      <c r="H5006">
        <v>31</v>
      </c>
      <c r="I5006" s="1" t="s">
        <v>1528</v>
      </c>
      <c r="J5006" s="1" t="s">
        <v>25</v>
      </c>
      <c r="K5006" s="1" t="s">
        <v>25</v>
      </c>
      <c r="L5006">
        <v>-1.5593805236676859</v>
      </c>
      <c r="M5006" t="str">
        <f t="shared" si="212"/>
        <v>44/40</v>
      </c>
      <c r="N5006" t="str">
        <f t="shared" si="213"/>
        <v>SW</v>
      </c>
      <c r="O5006" s="1" t="s">
        <v>25</v>
      </c>
      <c r="P5006" s="3" t="s">
        <v>25</v>
      </c>
      <c r="Q5006" s="37">
        <v>0.96485285224211237</v>
      </c>
      <c r="R5006" t="str">
        <f t="shared" si="211"/>
        <v>mmol/mol</v>
      </c>
      <c r="S5006" s="13">
        <f t="shared" si="214"/>
        <v>-1.5593805236676859</v>
      </c>
    </row>
    <row r="5007" spans="1:19">
      <c r="A5007" s="18" t="s">
        <v>5486</v>
      </c>
      <c r="B5007" s="1" t="s">
        <v>5175</v>
      </c>
      <c r="C5007" s="1" t="s">
        <v>5487</v>
      </c>
      <c r="D5007" s="1" t="s">
        <v>5489</v>
      </c>
      <c r="E5007" s="1" t="s">
        <v>25</v>
      </c>
      <c r="F5007">
        <v>540</v>
      </c>
      <c r="G5007">
        <v>540</v>
      </c>
      <c r="H5007">
        <v>32</v>
      </c>
      <c r="I5007" s="1" t="s">
        <v>1528</v>
      </c>
      <c r="J5007" s="1" t="s">
        <v>25</v>
      </c>
      <c r="K5007" s="1" t="s">
        <v>25</v>
      </c>
      <c r="L5007">
        <v>-1.3129288865023068</v>
      </c>
      <c r="M5007" t="str">
        <f t="shared" si="212"/>
        <v>44/40</v>
      </c>
      <c r="N5007" t="str">
        <f t="shared" si="213"/>
        <v>SW</v>
      </c>
      <c r="O5007" s="1" t="s">
        <v>25</v>
      </c>
      <c r="P5007" s="3" t="s">
        <v>25</v>
      </c>
      <c r="Q5007" s="37">
        <v>1.2905361410645688</v>
      </c>
      <c r="R5007" t="str">
        <f t="shared" si="211"/>
        <v>mmol/mol</v>
      </c>
      <c r="S5007" s="13">
        <f t="shared" si="214"/>
        <v>-1.3129288865023068</v>
      </c>
    </row>
    <row r="5008" spans="1:19">
      <c r="A5008" s="18" t="s">
        <v>5486</v>
      </c>
      <c r="B5008" s="1" t="s">
        <v>5176</v>
      </c>
      <c r="C5008" s="1" t="s">
        <v>5487</v>
      </c>
      <c r="D5008" s="1" t="s">
        <v>5489</v>
      </c>
      <c r="E5008" s="1" t="s">
        <v>25</v>
      </c>
      <c r="F5008">
        <v>540</v>
      </c>
      <c r="G5008">
        <v>540</v>
      </c>
      <c r="H5008">
        <v>33</v>
      </c>
      <c r="I5008" s="1" t="s">
        <v>1528</v>
      </c>
      <c r="J5008" s="1" t="s">
        <v>25</v>
      </c>
      <c r="K5008" s="1" t="s">
        <v>25</v>
      </c>
      <c r="L5008">
        <v>-1.3541145657472551</v>
      </c>
      <c r="M5008" t="str">
        <f t="shared" si="212"/>
        <v>44/40</v>
      </c>
      <c r="N5008" t="str">
        <f t="shared" si="213"/>
        <v>SW</v>
      </c>
      <c r="O5008" s="1" t="s">
        <v>25</v>
      </c>
      <c r="P5008" s="3" t="s">
        <v>25</v>
      </c>
      <c r="Q5008" s="37">
        <v>1.1745464629187232</v>
      </c>
      <c r="R5008" t="str">
        <f t="shared" si="211"/>
        <v>mmol/mol</v>
      </c>
      <c r="S5008" s="13">
        <f t="shared" si="214"/>
        <v>-1.3541145657472551</v>
      </c>
    </row>
    <row r="5009" spans="1:19">
      <c r="A5009" s="18" t="s">
        <v>5486</v>
      </c>
      <c r="B5009" s="1" t="s">
        <v>5177</v>
      </c>
      <c r="C5009" s="1" t="s">
        <v>5487</v>
      </c>
      <c r="D5009" s="1" t="s">
        <v>5489</v>
      </c>
      <c r="E5009" s="1" t="s">
        <v>25</v>
      </c>
      <c r="F5009">
        <v>540</v>
      </c>
      <c r="G5009">
        <v>540</v>
      </c>
      <c r="H5009">
        <v>34</v>
      </c>
      <c r="I5009" s="1" t="s">
        <v>1528</v>
      </c>
      <c r="J5009" s="1" t="s">
        <v>25</v>
      </c>
      <c r="K5009" s="1" t="s">
        <v>25</v>
      </c>
      <c r="L5009">
        <v>-1.2600719237759073</v>
      </c>
      <c r="M5009" t="str">
        <f t="shared" si="212"/>
        <v>44/40</v>
      </c>
      <c r="N5009" t="str">
        <f t="shared" si="213"/>
        <v>SW</v>
      </c>
      <c r="O5009" s="1" t="s">
        <v>25</v>
      </c>
      <c r="P5009" s="3" t="s">
        <v>25</v>
      </c>
      <c r="Q5009" s="37">
        <v>1.2872768856992403</v>
      </c>
      <c r="R5009" t="str">
        <f t="shared" si="211"/>
        <v>mmol/mol</v>
      </c>
      <c r="S5009" s="13">
        <f t="shared" si="214"/>
        <v>-1.2600719237759073</v>
      </c>
    </row>
    <row r="5010" spans="1:19">
      <c r="A5010" s="18" t="s">
        <v>5486</v>
      </c>
      <c r="B5010" s="1" t="s">
        <v>5178</v>
      </c>
      <c r="C5010" s="1" t="s">
        <v>5487</v>
      </c>
      <c r="D5010" s="1" t="s">
        <v>5489</v>
      </c>
      <c r="E5010" s="1" t="s">
        <v>25</v>
      </c>
      <c r="F5010">
        <v>540</v>
      </c>
      <c r="G5010">
        <v>540</v>
      </c>
      <c r="H5010">
        <v>35</v>
      </c>
      <c r="I5010" s="1" t="s">
        <v>1528</v>
      </c>
      <c r="J5010" s="1" t="s">
        <v>25</v>
      </c>
      <c r="K5010" s="1" t="s">
        <v>25</v>
      </c>
      <c r="L5010">
        <v>-1.3943466076539788</v>
      </c>
      <c r="M5010" t="str">
        <f t="shared" si="212"/>
        <v>44/40</v>
      </c>
      <c r="N5010" t="str">
        <f t="shared" si="213"/>
        <v>SW</v>
      </c>
      <c r="O5010" s="1" t="s">
        <v>25</v>
      </c>
      <c r="P5010" s="3" t="s">
        <v>25</v>
      </c>
      <c r="Q5010" s="37">
        <v>1.1343700440520486</v>
      </c>
      <c r="R5010" t="str">
        <f t="shared" si="211"/>
        <v>mmol/mol</v>
      </c>
      <c r="S5010" s="13">
        <f t="shared" si="214"/>
        <v>-1.3943466076539788</v>
      </c>
    </row>
    <row r="5011" spans="1:19">
      <c r="A5011" s="18" t="s">
        <v>5486</v>
      </c>
      <c r="B5011" s="1" t="s">
        <v>5179</v>
      </c>
      <c r="C5011" s="1" t="s">
        <v>5487</v>
      </c>
      <c r="D5011" s="1" t="s">
        <v>5489</v>
      </c>
      <c r="E5011" s="1" t="s">
        <v>25</v>
      </c>
      <c r="F5011">
        <v>540</v>
      </c>
      <c r="G5011">
        <v>540</v>
      </c>
      <c r="H5011">
        <v>36</v>
      </c>
      <c r="I5011" s="1" t="s">
        <v>1528</v>
      </c>
      <c r="J5011" s="1" t="s">
        <v>25</v>
      </c>
      <c r="K5011" s="1" t="s">
        <v>25</v>
      </c>
      <c r="L5011">
        <v>-1.4029301328412096</v>
      </c>
      <c r="M5011" t="str">
        <f t="shared" si="212"/>
        <v>44/40</v>
      </c>
      <c r="N5011" t="str">
        <f t="shared" si="213"/>
        <v>SW</v>
      </c>
      <c r="O5011" s="1" t="s">
        <v>25</v>
      </c>
      <c r="P5011" s="3" t="s">
        <v>25</v>
      </c>
      <c r="Q5011" s="37">
        <v>1.1981271247498511</v>
      </c>
      <c r="R5011" t="str">
        <f t="shared" si="211"/>
        <v>mmol/mol</v>
      </c>
      <c r="S5011" s="13">
        <f t="shared" si="214"/>
        <v>-1.4029301328412096</v>
      </c>
    </row>
    <row r="5012" spans="1:19">
      <c r="A5012" s="18" t="s">
        <v>5486</v>
      </c>
      <c r="B5012" s="1" t="s">
        <v>5180</v>
      </c>
      <c r="C5012" s="1" t="s">
        <v>5487</v>
      </c>
      <c r="D5012" s="1" t="s">
        <v>5489</v>
      </c>
      <c r="E5012" s="1" t="s">
        <v>25</v>
      </c>
      <c r="F5012">
        <v>540</v>
      </c>
      <c r="G5012">
        <v>540</v>
      </c>
      <c r="H5012">
        <v>37</v>
      </c>
      <c r="I5012" s="1" t="s">
        <v>1528</v>
      </c>
      <c r="J5012" s="1" t="s">
        <v>25</v>
      </c>
      <c r="K5012" s="1" t="s">
        <v>25</v>
      </c>
      <c r="L5012">
        <v>-1.3160766537412576</v>
      </c>
      <c r="M5012" t="str">
        <f t="shared" si="212"/>
        <v>44/40</v>
      </c>
      <c r="N5012" t="str">
        <f t="shared" si="213"/>
        <v>SW</v>
      </c>
      <c r="O5012" s="1" t="s">
        <v>25</v>
      </c>
      <c r="P5012" s="3" t="s">
        <v>25</v>
      </c>
      <c r="Q5012" s="37">
        <v>1.2284595459929557</v>
      </c>
      <c r="R5012" t="str">
        <f t="shared" si="211"/>
        <v>mmol/mol</v>
      </c>
      <c r="S5012" s="13">
        <f t="shared" si="214"/>
        <v>-1.3160766537412576</v>
      </c>
    </row>
    <row r="5013" spans="1:19">
      <c r="A5013" s="18" t="s">
        <v>5486</v>
      </c>
      <c r="B5013" s="1" t="s">
        <v>5181</v>
      </c>
      <c r="C5013" s="1" t="s">
        <v>5487</v>
      </c>
      <c r="D5013" s="1" t="s">
        <v>5489</v>
      </c>
      <c r="E5013" s="1" t="s">
        <v>25</v>
      </c>
      <c r="F5013">
        <v>540</v>
      </c>
      <c r="G5013">
        <v>540</v>
      </c>
      <c r="H5013">
        <v>38</v>
      </c>
      <c r="I5013" s="1" t="s">
        <v>1528</v>
      </c>
      <c r="J5013" s="1" t="s">
        <v>25</v>
      </c>
      <c r="K5013" s="1" t="s">
        <v>25</v>
      </c>
      <c r="L5013">
        <v>-1.247506976090254</v>
      </c>
      <c r="M5013" t="str">
        <f t="shared" si="212"/>
        <v>44/40</v>
      </c>
      <c r="N5013" t="str">
        <f t="shared" si="213"/>
        <v>SW</v>
      </c>
      <c r="O5013" s="1" t="s">
        <v>25</v>
      </c>
      <c r="P5013" s="3" t="s">
        <v>25</v>
      </c>
      <c r="Q5013" s="37">
        <v>1.1665619032320504</v>
      </c>
      <c r="R5013" t="str">
        <f t="shared" si="211"/>
        <v>mmol/mol</v>
      </c>
      <c r="S5013" s="13">
        <f t="shared" si="214"/>
        <v>-1.247506976090254</v>
      </c>
    </row>
    <row r="5014" spans="1:19">
      <c r="A5014" s="18" t="s">
        <v>5486</v>
      </c>
      <c r="B5014" s="1" t="s">
        <v>5182</v>
      </c>
      <c r="C5014" s="1" t="s">
        <v>5487</v>
      </c>
      <c r="D5014" s="1" t="s">
        <v>5489</v>
      </c>
      <c r="E5014" s="1" t="s">
        <v>25</v>
      </c>
      <c r="F5014">
        <v>540</v>
      </c>
      <c r="G5014">
        <v>540</v>
      </c>
      <c r="H5014">
        <v>39</v>
      </c>
      <c r="I5014" s="1" t="s">
        <v>1528</v>
      </c>
      <c r="J5014" s="1" t="s">
        <v>25</v>
      </c>
      <c r="K5014" s="1" t="s">
        <v>25</v>
      </c>
      <c r="L5014">
        <v>-1.3309118133478346</v>
      </c>
      <c r="M5014" t="str">
        <f t="shared" si="212"/>
        <v>44/40</v>
      </c>
      <c r="N5014" t="str">
        <f t="shared" si="213"/>
        <v>SW</v>
      </c>
      <c r="O5014" s="1" t="s">
        <v>25</v>
      </c>
      <c r="P5014" s="3" t="s">
        <v>25</v>
      </c>
      <c r="Q5014" s="37">
        <v>0.57639438867932324</v>
      </c>
      <c r="R5014" t="str">
        <f t="shared" si="211"/>
        <v>mmol/mol</v>
      </c>
      <c r="S5014" s="13">
        <f t="shared" si="214"/>
        <v>-1.3309118133478346</v>
      </c>
    </row>
    <row r="5015" spans="1:19">
      <c r="A5015" s="18" t="s">
        <v>5486</v>
      </c>
      <c r="B5015" s="1" t="s">
        <v>5183</v>
      </c>
      <c r="C5015" s="1" t="s">
        <v>5487</v>
      </c>
      <c r="D5015" s="1" t="s">
        <v>5489</v>
      </c>
      <c r="E5015" s="1" t="s">
        <v>25</v>
      </c>
      <c r="F5015">
        <v>540</v>
      </c>
      <c r="G5015">
        <v>540</v>
      </c>
      <c r="H5015">
        <v>40</v>
      </c>
      <c r="I5015" s="1" t="s">
        <v>1528</v>
      </c>
      <c r="J5015" s="1" t="s">
        <v>25</v>
      </c>
      <c r="K5015" s="1" t="s">
        <v>25</v>
      </c>
      <c r="L5015">
        <v>-1.4703945080969532</v>
      </c>
      <c r="M5015" t="str">
        <f t="shared" si="212"/>
        <v>44/40</v>
      </c>
      <c r="N5015" t="str">
        <f t="shared" si="213"/>
        <v>SW</v>
      </c>
      <c r="O5015" s="1" t="s">
        <v>25</v>
      </c>
      <c r="P5015" s="3" t="s">
        <v>25</v>
      </c>
      <c r="Q5015" s="37">
        <v>1.3703461608602501</v>
      </c>
      <c r="R5015" t="str">
        <f t="shared" si="211"/>
        <v>mmol/mol</v>
      </c>
      <c r="S5015" s="13">
        <f t="shared" si="214"/>
        <v>-1.4703945080969532</v>
      </c>
    </row>
    <row r="5016" spans="1:19">
      <c r="A5016" s="18" t="s">
        <v>5486</v>
      </c>
      <c r="B5016" s="1" t="s">
        <v>5184</v>
      </c>
      <c r="C5016" s="1" t="s">
        <v>5487</v>
      </c>
      <c r="D5016" s="1" t="s">
        <v>5489</v>
      </c>
      <c r="E5016" s="1" t="s">
        <v>25</v>
      </c>
      <c r="F5016">
        <v>540</v>
      </c>
      <c r="G5016">
        <v>540</v>
      </c>
      <c r="H5016">
        <v>42</v>
      </c>
      <c r="I5016" s="1" t="s">
        <v>1528</v>
      </c>
      <c r="J5016" s="1" t="s">
        <v>25</v>
      </c>
      <c r="K5016" s="1" t="s">
        <v>25</v>
      </c>
      <c r="L5016" t="s">
        <v>25</v>
      </c>
      <c r="M5016" t="str">
        <f t="shared" si="212"/>
        <v>Na</v>
      </c>
      <c r="N5016" t="str">
        <f t="shared" si="213"/>
        <v>Na</v>
      </c>
      <c r="O5016" s="1" t="s">
        <v>25</v>
      </c>
      <c r="P5016" s="3" t="s">
        <v>25</v>
      </c>
      <c r="Q5016" s="37">
        <v>0.33587730084342438</v>
      </c>
      <c r="R5016" t="str">
        <f t="shared" si="211"/>
        <v>mmol/mol</v>
      </c>
      <c r="S5016" s="13" t="s">
        <v>25</v>
      </c>
    </row>
    <row r="5017" spans="1:19">
      <c r="A5017" s="18" t="s">
        <v>5486</v>
      </c>
      <c r="B5017" s="1" t="s">
        <v>5185</v>
      </c>
      <c r="C5017" s="1" t="s">
        <v>5487</v>
      </c>
      <c r="D5017" s="1" t="s">
        <v>5489</v>
      </c>
      <c r="E5017" s="1" t="s">
        <v>25</v>
      </c>
      <c r="F5017">
        <v>540</v>
      </c>
      <c r="G5017">
        <v>540</v>
      </c>
      <c r="H5017">
        <v>43</v>
      </c>
      <c r="I5017" s="1" t="s">
        <v>1528</v>
      </c>
      <c r="J5017" s="1" t="s">
        <v>25</v>
      </c>
      <c r="K5017" s="1" t="s">
        <v>25</v>
      </c>
      <c r="L5017">
        <v>-1.3658754892329177</v>
      </c>
      <c r="M5017" t="str">
        <f t="shared" si="212"/>
        <v>44/40</v>
      </c>
      <c r="N5017" t="str">
        <f t="shared" si="213"/>
        <v>SW</v>
      </c>
      <c r="O5017" s="1" t="s">
        <v>25</v>
      </c>
      <c r="P5017" s="3" t="s">
        <v>25</v>
      </c>
      <c r="Q5017" s="37">
        <v>1.2263616463169891</v>
      </c>
      <c r="R5017" t="str">
        <f t="shared" ref="R5017:R5080" si="215">IF(Q5017="Na","Na","mmol/mol")</f>
        <v>mmol/mol</v>
      </c>
      <c r="S5017" s="13">
        <f t="shared" si="214"/>
        <v>-1.3658754892329177</v>
      </c>
    </row>
    <row r="5018" spans="1:19">
      <c r="A5018" s="18" t="s">
        <v>5486</v>
      </c>
      <c r="B5018" s="1" t="s">
        <v>5186</v>
      </c>
      <c r="C5018" s="1" t="s">
        <v>5487</v>
      </c>
      <c r="D5018" s="1" t="s">
        <v>5489</v>
      </c>
      <c r="E5018" s="1" t="s">
        <v>25</v>
      </c>
      <c r="F5018">
        <v>540</v>
      </c>
      <c r="G5018">
        <v>540</v>
      </c>
      <c r="H5018">
        <v>44</v>
      </c>
      <c r="I5018" s="1" t="s">
        <v>1528</v>
      </c>
      <c r="J5018" s="1" t="s">
        <v>25</v>
      </c>
      <c r="K5018" s="1" t="s">
        <v>25</v>
      </c>
      <c r="L5018">
        <v>-1.4652308956393161</v>
      </c>
      <c r="M5018" t="str">
        <f t="shared" si="212"/>
        <v>44/40</v>
      </c>
      <c r="N5018" t="str">
        <f t="shared" si="213"/>
        <v>SW</v>
      </c>
      <c r="O5018" s="1" t="s">
        <v>25</v>
      </c>
      <c r="P5018" s="3" t="s">
        <v>25</v>
      </c>
      <c r="Q5018" s="37">
        <v>1.3290673973930678</v>
      </c>
      <c r="R5018" t="str">
        <f t="shared" si="215"/>
        <v>mmol/mol</v>
      </c>
      <c r="S5018" s="13">
        <f t="shared" si="214"/>
        <v>-1.4652308956393161</v>
      </c>
    </row>
    <row r="5019" spans="1:19">
      <c r="A5019" s="18" t="s">
        <v>5486</v>
      </c>
      <c r="B5019" s="1" t="s">
        <v>5187</v>
      </c>
      <c r="C5019" s="1" t="s">
        <v>5487</v>
      </c>
      <c r="D5019" s="1" t="s">
        <v>5489</v>
      </c>
      <c r="E5019" s="1" t="s">
        <v>25</v>
      </c>
      <c r="F5019">
        <v>540</v>
      </c>
      <c r="G5019">
        <v>540</v>
      </c>
      <c r="H5019">
        <v>45</v>
      </c>
      <c r="I5019" s="1" t="s">
        <v>1528</v>
      </c>
      <c r="J5019" s="1" t="s">
        <v>25</v>
      </c>
      <c r="K5019" s="1" t="s">
        <v>25</v>
      </c>
      <c r="L5019">
        <v>-1.3976211624166843</v>
      </c>
      <c r="M5019" t="str">
        <f t="shared" si="212"/>
        <v>44/40</v>
      </c>
      <c r="N5019" t="str">
        <f t="shared" si="213"/>
        <v>SW</v>
      </c>
      <c r="O5019" s="1" t="s">
        <v>25</v>
      </c>
      <c r="P5019" s="3" t="s">
        <v>25</v>
      </c>
      <c r="Q5019" s="37">
        <v>1.6023845628781925</v>
      </c>
      <c r="R5019" t="str">
        <f t="shared" si="215"/>
        <v>mmol/mol</v>
      </c>
      <c r="S5019" s="13">
        <f t="shared" si="214"/>
        <v>-1.3976211624166843</v>
      </c>
    </row>
    <row r="5020" spans="1:19">
      <c r="A5020" s="18" t="s">
        <v>5486</v>
      </c>
      <c r="B5020" s="1" t="s">
        <v>5188</v>
      </c>
      <c r="C5020" s="1" t="s">
        <v>5487</v>
      </c>
      <c r="D5020" s="1" t="s">
        <v>5489</v>
      </c>
      <c r="E5020" s="1" t="s">
        <v>25</v>
      </c>
      <c r="F5020">
        <v>540</v>
      </c>
      <c r="G5020">
        <v>540</v>
      </c>
      <c r="H5020">
        <v>46</v>
      </c>
      <c r="I5020" s="1" t="s">
        <v>1528</v>
      </c>
      <c r="J5020" s="1" t="s">
        <v>25</v>
      </c>
      <c r="K5020" s="1" t="s">
        <v>25</v>
      </c>
      <c r="L5020">
        <v>-1.6287500490386684</v>
      </c>
      <c r="M5020" t="str">
        <f t="shared" si="212"/>
        <v>44/40</v>
      </c>
      <c r="N5020" t="str">
        <f t="shared" si="213"/>
        <v>SW</v>
      </c>
      <c r="O5020" s="1" t="s">
        <v>25</v>
      </c>
      <c r="P5020" s="3" t="s">
        <v>25</v>
      </c>
      <c r="Q5020" s="37">
        <v>1.4120336934398527</v>
      </c>
      <c r="R5020" t="str">
        <f t="shared" si="215"/>
        <v>mmol/mol</v>
      </c>
      <c r="S5020" s="13">
        <f t="shared" si="214"/>
        <v>-1.6287500490386684</v>
      </c>
    </row>
    <row r="5021" spans="1:19">
      <c r="A5021" s="18" t="s">
        <v>5486</v>
      </c>
      <c r="B5021" s="1" t="s">
        <v>5189</v>
      </c>
      <c r="C5021" s="1" t="s">
        <v>5487</v>
      </c>
      <c r="D5021" s="1" t="s">
        <v>5489</v>
      </c>
      <c r="E5021" s="1" t="s">
        <v>25</v>
      </c>
      <c r="F5021">
        <v>540</v>
      </c>
      <c r="G5021">
        <v>540</v>
      </c>
      <c r="H5021">
        <v>47.5</v>
      </c>
      <c r="I5021" s="1" t="s">
        <v>1528</v>
      </c>
      <c r="J5021" s="1" t="s">
        <v>25</v>
      </c>
      <c r="K5021" s="1" t="s">
        <v>25</v>
      </c>
      <c r="L5021">
        <v>-1.3650975255444646</v>
      </c>
      <c r="M5021" t="str">
        <f t="shared" si="212"/>
        <v>44/40</v>
      </c>
      <c r="N5021" t="str">
        <f t="shared" si="213"/>
        <v>SW</v>
      </c>
      <c r="O5021" s="1" t="s">
        <v>25</v>
      </c>
      <c r="P5021" s="3" t="s">
        <v>25</v>
      </c>
      <c r="Q5021" s="37">
        <v>1.5194734818401314</v>
      </c>
      <c r="R5021" t="str">
        <f t="shared" si="215"/>
        <v>mmol/mol</v>
      </c>
      <c r="S5021" s="13">
        <f t="shared" si="214"/>
        <v>-1.3650975255444646</v>
      </c>
    </row>
    <row r="5022" spans="1:19">
      <c r="A5022" s="18" t="s">
        <v>5486</v>
      </c>
      <c r="B5022" s="1" t="s">
        <v>5190</v>
      </c>
      <c r="C5022" s="1" t="s">
        <v>5487</v>
      </c>
      <c r="D5022" s="1" t="s">
        <v>5489</v>
      </c>
      <c r="E5022" s="1" t="s">
        <v>25</v>
      </c>
      <c r="F5022">
        <v>540</v>
      </c>
      <c r="G5022">
        <v>540</v>
      </c>
      <c r="H5022">
        <v>48</v>
      </c>
      <c r="I5022" s="1" t="s">
        <v>1528</v>
      </c>
      <c r="J5022" s="1" t="s">
        <v>25</v>
      </c>
      <c r="K5022" s="1" t="s">
        <v>25</v>
      </c>
      <c r="L5022">
        <v>-1.423437345824363</v>
      </c>
      <c r="M5022" t="str">
        <f t="shared" si="212"/>
        <v>44/40</v>
      </c>
      <c r="N5022" t="str">
        <f t="shared" si="213"/>
        <v>SW</v>
      </c>
      <c r="O5022" s="1" t="s">
        <v>25</v>
      </c>
      <c r="P5022" s="3" t="s">
        <v>25</v>
      </c>
      <c r="Q5022" s="37">
        <v>1.3793607839918591</v>
      </c>
      <c r="R5022" t="str">
        <f t="shared" si="215"/>
        <v>mmol/mol</v>
      </c>
      <c r="S5022" s="13">
        <f t="shared" si="214"/>
        <v>-1.423437345824363</v>
      </c>
    </row>
    <row r="5023" spans="1:19">
      <c r="A5023" s="18" t="s">
        <v>5486</v>
      </c>
      <c r="B5023" s="1" t="s">
        <v>5191</v>
      </c>
      <c r="C5023" s="1" t="s">
        <v>5487</v>
      </c>
      <c r="D5023" s="1" t="s">
        <v>5489</v>
      </c>
      <c r="E5023" s="1" t="s">
        <v>25</v>
      </c>
      <c r="F5023">
        <v>540</v>
      </c>
      <c r="G5023">
        <v>540</v>
      </c>
      <c r="H5023">
        <v>12</v>
      </c>
      <c r="I5023" s="1" t="s">
        <v>1528</v>
      </c>
      <c r="J5023" s="1" t="s">
        <v>25</v>
      </c>
      <c r="K5023" s="1" t="s">
        <v>25</v>
      </c>
      <c r="L5023">
        <v>-1.2531387816441919</v>
      </c>
      <c r="M5023" t="str">
        <f t="shared" si="212"/>
        <v>44/40</v>
      </c>
      <c r="N5023" t="str">
        <f t="shared" si="213"/>
        <v>SW</v>
      </c>
      <c r="O5023" s="1" t="s">
        <v>25</v>
      </c>
      <c r="P5023" s="3" t="s">
        <v>25</v>
      </c>
      <c r="Q5023" s="37">
        <v>0.92613532446201841</v>
      </c>
      <c r="R5023" t="str">
        <f t="shared" si="215"/>
        <v>mmol/mol</v>
      </c>
      <c r="S5023" s="13">
        <f t="shared" si="214"/>
        <v>-1.2531387816441919</v>
      </c>
    </row>
    <row r="5024" spans="1:19">
      <c r="A5024" s="18" t="s">
        <v>5486</v>
      </c>
      <c r="B5024" s="1" t="s">
        <v>5192</v>
      </c>
      <c r="C5024" s="1" t="s">
        <v>5487</v>
      </c>
      <c r="D5024" s="1" t="s">
        <v>5489</v>
      </c>
      <c r="E5024" s="1" t="s">
        <v>25</v>
      </c>
      <c r="F5024">
        <v>540</v>
      </c>
      <c r="G5024">
        <v>540</v>
      </c>
      <c r="H5024">
        <v>41</v>
      </c>
      <c r="I5024" s="1" t="s">
        <v>1528</v>
      </c>
      <c r="J5024" s="1" t="s">
        <v>25</v>
      </c>
      <c r="K5024" s="1" t="s">
        <v>25</v>
      </c>
      <c r="L5024" t="s">
        <v>25</v>
      </c>
      <c r="M5024" t="str">
        <f t="shared" si="212"/>
        <v>Na</v>
      </c>
      <c r="N5024" t="str">
        <f t="shared" si="213"/>
        <v>Na</v>
      </c>
      <c r="O5024" s="1" t="s">
        <v>25</v>
      </c>
      <c r="P5024" s="3" t="s">
        <v>25</v>
      </c>
      <c r="Q5024" s="37">
        <v>1.1853548931305637</v>
      </c>
      <c r="R5024" t="str">
        <f t="shared" si="215"/>
        <v>mmol/mol</v>
      </c>
      <c r="S5024" s="13" t="s">
        <v>25</v>
      </c>
    </row>
    <row r="5025" spans="1:19">
      <c r="A5025" s="18" t="s">
        <v>5486</v>
      </c>
      <c r="B5025" s="1" t="s">
        <v>5193</v>
      </c>
      <c r="C5025" s="1" t="s">
        <v>5488</v>
      </c>
      <c r="D5025" s="1" t="s">
        <v>5489</v>
      </c>
      <c r="E5025" s="1" t="s">
        <v>25</v>
      </c>
      <c r="F5025">
        <v>540</v>
      </c>
      <c r="G5025">
        <v>540</v>
      </c>
      <c r="H5025">
        <v>170</v>
      </c>
      <c r="I5025" s="1" t="s">
        <v>1528</v>
      </c>
      <c r="J5025" s="1" t="s">
        <v>25</v>
      </c>
      <c r="K5025" s="1" t="s">
        <v>25</v>
      </c>
      <c r="L5025">
        <v>-1.3582577884273526</v>
      </c>
      <c r="M5025" t="str">
        <f t="shared" si="212"/>
        <v>44/40</v>
      </c>
      <c r="N5025" t="str">
        <f t="shared" si="213"/>
        <v>SW</v>
      </c>
      <c r="O5025" s="1" t="s">
        <v>25</v>
      </c>
      <c r="P5025" s="3" t="s">
        <v>25</v>
      </c>
      <c r="Q5025" s="37">
        <v>0.35849491106689318</v>
      </c>
      <c r="R5025" t="str">
        <f t="shared" si="215"/>
        <v>mmol/mol</v>
      </c>
      <c r="S5025" s="13">
        <f t="shared" si="214"/>
        <v>-1.3582577884273526</v>
      </c>
    </row>
    <row r="5026" spans="1:19">
      <c r="A5026" s="18" t="s">
        <v>5486</v>
      </c>
      <c r="B5026" s="1" t="s">
        <v>5194</v>
      </c>
      <c r="C5026" s="1" t="s">
        <v>5488</v>
      </c>
      <c r="D5026" s="1" t="s">
        <v>5489</v>
      </c>
      <c r="E5026" s="1" t="s">
        <v>25</v>
      </c>
      <c r="F5026">
        <v>540</v>
      </c>
      <c r="G5026">
        <v>540</v>
      </c>
      <c r="H5026">
        <v>156</v>
      </c>
      <c r="I5026" s="1" t="s">
        <v>1528</v>
      </c>
      <c r="J5026" s="1" t="s">
        <v>25</v>
      </c>
      <c r="K5026" s="1" t="s">
        <v>25</v>
      </c>
      <c r="L5026">
        <v>-1.3552760194510847</v>
      </c>
      <c r="M5026" t="str">
        <f t="shared" si="212"/>
        <v>44/40</v>
      </c>
      <c r="N5026" t="str">
        <f t="shared" si="213"/>
        <v>SW</v>
      </c>
      <c r="O5026" s="1" t="s">
        <v>25</v>
      </c>
      <c r="P5026" s="3" t="s">
        <v>25</v>
      </c>
      <c r="Q5026" s="37">
        <v>0.37645229151351589</v>
      </c>
      <c r="R5026" t="str">
        <f t="shared" si="215"/>
        <v>mmol/mol</v>
      </c>
      <c r="S5026" s="13">
        <f t="shared" si="214"/>
        <v>-1.3552760194510847</v>
      </c>
    </row>
    <row r="5027" spans="1:19">
      <c r="A5027" s="18" t="s">
        <v>5486</v>
      </c>
      <c r="B5027" s="1" t="s">
        <v>5195</v>
      </c>
      <c r="C5027" s="1" t="s">
        <v>5488</v>
      </c>
      <c r="D5027" s="1" t="s">
        <v>5489</v>
      </c>
      <c r="E5027" s="1" t="s">
        <v>25</v>
      </c>
      <c r="F5027">
        <v>540</v>
      </c>
      <c r="G5027">
        <v>540</v>
      </c>
      <c r="H5027">
        <v>138</v>
      </c>
      <c r="I5027" s="1" t="s">
        <v>1528</v>
      </c>
      <c r="J5027" s="1" t="s">
        <v>25</v>
      </c>
      <c r="K5027" s="1" t="s">
        <v>25</v>
      </c>
      <c r="L5027">
        <v>-1.3359727777199153</v>
      </c>
      <c r="M5027" t="str">
        <f t="shared" si="212"/>
        <v>44/40</v>
      </c>
      <c r="N5027" t="str">
        <f t="shared" si="213"/>
        <v>SW</v>
      </c>
      <c r="O5027" s="1" t="s">
        <v>25</v>
      </c>
      <c r="P5027" s="3" t="s">
        <v>25</v>
      </c>
      <c r="Q5027" s="37">
        <v>0.29781728872517249</v>
      </c>
      <c r="R5027" t="str">
        <f t="shared" si="215"/>
        <v>mmol/mol</v>
      </c>
      <c r="S5027" s="13">
        <f t="shared" si="214"/>
        <v>-1.3359727777199153</v>
      </c>
    </row>
    <row r="5028" spans="1:19">
      <c r="A5028" s="18" t="s">
        <v>5486</v>
      </c>
      <c r="B5028" s="1" t="s">
        <v>5196</v>
      </c>
      <c r="C5028" s="1" t="s">
        <v>5488</v>
      </c>
      <c r="D5028" s="1" t="s">
        <v>5489</v>
      </c>
      <c r="E5028" s="1" t="s">
        <v>25</v>
      </c>
      <c r="F5028">
        <v>540</v>
      </c>
      <c r="G5028">
        <v>540</v>
      </c>
      <c r="H5028">
        <v>160</v>
      </c>
      <c r="I5028" s="1" t="s">
        <v>1528</v>
      </c>
      <c r="J5028" s="1" t="s">
        <v>25</v>
      </c>
      <c r="K5028" s="1" t="s">
        <v>25</v>
      </c>
      <c r="L5028">
        <v>-1.3281044284942587</v>
      </c>
      <c r="M5028" t="str">
        <f t="shared" si="212"/>
        <v>44/40</v>
      </c>
      <c r="N5028" t="str">
        <f t="shared" si="213"/>
        <v>SW</v>
      </c>
      <c r="O5028" s="1" t="s">
        <v>25</v>
      </c>
      <c r="P5028" s="3" t="s">
        <v>25</v>
      </c>
      <c r="Q5028" s="37">
        <v>0.37722981593917077</v>
      </c>
      <c r="R5028" t="str">
        <f t="shared" si="215"/>
        <v>mmol/mol</v>
      </c>
      <c r="S5028" s="13">
        <f t="shared" si="214"/>
        <v>-1.3281044284942587</v>
      </c>
    </row>
    <row r="5029" spans="1:19">
      <c r="A5029" s="18" t="s">
        <v>5486</v>
      </c>
      <c r="B5029" s="1" t="s">
        <v>5197</v>
      </c>
      <c r="C5029" s="1" t="s">
        <v>5488</v>
      </c>
      <c r="D5029" s="1" t="s">
        <v>5489</v>
      </c>
      <c r="E5029" s="1" t="s">
        <v>25</v>
      </c>
      <c r="F5029">
        <v>540</v>
      </c>
      <c r="G5029">
        <v>540</v>
      </c>
      <c r="H5029">
        <v>100</v>
      </c>
      <c r="I5029" s="1" t="s">
        <v>1528</v>
      </c>
      <c r="J5029" s="1" t="s">
        <v>25</v>
      </c>
      <c r="K5029" s="1" t="s">
        <v>25</v>
      </c>
      <c r="L5029">
        <v>-1.3223277127341002</v>
      </c>
      <c r="M5029" t="str">
        <f t="shared" si="212"/>
        <v>44/40</v>
      </c>
      <c r="N5029" t="str">
        <f t="shared" si="213"/>
        <v>SW</v>
      </c>
      <c r="O5029" s="1" t="s">
        <v>25</v>
      </c>
      <c r="P5029" s="3" t="s">
        <v>25</v>
      </c>
      <c r="Q5029" s="37">
        <v>1.1309145573167794</v>
      </c>
      <c r="R5029" t="str">
        <f t="shared" si="215"/>
        <v>mmol/mol</v>
      </c>
      <c r="S5029" s="13">
        <f t="shared" si="214"/>
        <v>-1.3223277127341002</v>
      </c>
    </row>
    <row r="5030" spans="1:19">
      <c r="A5030" s="18" t="s">
        <v>5486</v>
      </c>
      <c r="B5030" s="1" t="s">
        <v>5198</v>
      </c>
      <c r="C5030" s="1" t="s">
        <v>5488</v>
      </c>
      <c r="D5030" s="1" t="s">
        <v>5489</v>
      </c>
      <c r="E5030" s="1" t="s">
        <v>25</v>
      </c>
      <c r="F5030">
        <v>540</v>
      </c>
      <c r="G5030">
        <v>540</v>
      </c>
      <c r="H5030">
        <v>164</v>
      </c>
      <c r="I5030" s="1" t="s">
        <v>1528</v>
      </c>
      <c r="J5030" s="1" t="s">
        <v>25</v>
      </c>
      <c r="K5030" s="1" t="s">
        <v>25</v>
      </c>
      <c r="L5030">
        <v>-1.3211362959969413</v>
      </c>
      <c r="M5030" t="str">
        <f t="shared" si="212"/>
        <v>44/40</v>
      </c>
      <c r="N5030" t="str">
        <f t="shared" si="213"/>
        <v>SW</v>
      </c>
      <c r="O5030" s="1" t="s">
        <v>25</v>
      </c>
      <c r="P5030" s="3" t="s">
        <v>25</v>
      </c>
      <c r="Q5030" s="37">
        <v>0.5195279555038661</v>
      </c>
      <c r="R5030" t="str">
        <f t="shared" si="215"/>
        <v>mmol/mol</v>
      </c>
      <c r="S5030" s="13">
        <f t="shared" si="214"/>
        <v>-1.3211362959969413</v>
      </c>
    </row>
    <row r="5031" spans="1:19">
      <c r="A5031" s="18" t="s">
        <v>5486</v>
      </c>
      <c r="B5031" s="1" t="s">
        <v>5199</v>
      </c>
      <c r="C5031" s="1" t="s">
        <v>5488</v>
      </c>
      <c r="D5031" s="1" t="s">
        <v>5489</v>
      </c>
      <c r="E5031" s="1" t="s">
        <v>25</v>
      </c>
      <c r="F5031">
        <v>540</v>
      </c>
      <c r="G5031">
        <v>540</v>
      </c>
      <c r="H5031">
        <v>168</v>
      </c>
      <c r="I5031" s="1" t="s">
        <v>1528</v>
      </c>
      <c r="J5031" s="1" t="s">
        <v>25</v>
      </c>
      <c r="K5031" s="1" t="s">
        <v>25</v>
      </c>
      <c r="L5031">
        <v>-1.316949686932156</v>
      </c>
      <c r="M5031" t="str">
        <f t="shared" si="212"/>
        <v>44/40</v>
      </c>
      <c r="N5031" t="str">
        <f t="shared" si="213"/>
        <v>SW</v>
      </c>
      <c r="O5031" s="1" t="s">
        <v>25</v>
      </c>
      <c r="P5031" s="3" t="s">
        <v>25</v>
      </c>
      <c r="Q5031" s="37">
        <v>0.38215232333685928</v>
      </c>
      <c r="R5031" t="str">
        <f t="shared" si="215"/>
        <v>mmol/mol</v>
      </c>
      <c r="S5031" s="13">
        <f t="shared" si="214"/>
        <v>-1.316949686932156</v>
      </c>
    </row>
    <row r="5032" spans="1:19">
      <c r="A5032" s="18" t="s">
        <v>5486</v>
      </c>
      <c r="B5032" s="1" t="s">
        <v>5200</v>
      </c>
      <c r="C5032" s="1" t="s">
        <v>5488</v>
      </c>
      <c r="D5032" s="1" t="s">
        <v>5489</v>
      </c>
      <c r="E5032" s="1" t="s">
        <v>25</v>
      </c>
      <c r="F5032">
        <v>540</v>
      </c>
      <c r="G5032">
        <v>540</v>
      </c>
      <c r="H5032">
        <v>186</v>
      </c>
      <c r="I5032" s="1" t="s">
        <v>1528</v>
      </c>
      <c r="J5032" s="1" t="s">
        <v>25</v>
      </c>
      <c r="K5032" s="1" t="s">
        <v>25</v>
      </c>
      <c r="L5032">
        <v>-1.3031528070052338</v>
      </c>
      <c r="M5032" t="str">
        <f t="shared" si="212"/>
        <v>44/40</v>
      </c>
      <c r="N5032" t="str">
        <f t="shared" si="213"/>
        <v>SW</v>
      </c>
      <c r="O5032" s="1" t="s">
        <v>25</v>
      </c>
      <c r="P5032" s="3" t="s">
        <v>25</v>
      </c>
      <c r="Q5032" s="37">
        <v>0.38432269268985053</v>
      </c>
      <c r="R5032" t="str">
        <f t="shared" si="215"/>
        <v>mmol/mol</v>
      </c>
      <c r="S5032" s="13">
        <f t="shared" si="214"/>
        <v>-1.3031528070052338</v>
      </c>
    </row>
    <row r="5033" spans="1:19">
      <c r="A5033" s="18" t="s">
        <v>5486</v>
      </c>
      <c r="B5033" s="1" t="s">
        <v>5201</v>
      </c>
      <c r="C5033" s="1" t="s">
        <v>5488</v>
      </c>
      <c r="D5033" s="1" t="s">
        <v>5489</v>
      </c>
      <c r="E5033" s="1" t="s">
        <v>25</v>
      </c>
      <c r="F5033">
        <v>540</v>
      </c>
      <c r="G5033">
        <v>540</v>
      </c>
      <c r="H5033">
        <v>174</v>
      </c>
      <c r="I5033" s="1" t="s">
        <v>1528</v>
      </c>
      <c r="J5033" s="1" t="s">
        <v>25</v>
      </c>
      <c r="K5033" s="1" t="s">
        <v>25</v>
      </c>
      <c r="L5033">
        <v>-1.3029961621469019</v>
      </c>
      <c r="M5033" t="str">
        <f t="shared" si="212"/>
        <v>44/40</v>
      </c>
      <c r="N5033" t="str">
        <f t="shared" si="213"/>
        <v>SW</v>
      </c>
      <c r="O5033" s="1" t="s">
        <v>25</v>
      </c>
      <c r="P5033" s="3" t="s">
        <v>25</v>
      </c>
      <c r="Q5033" s="37">
        <v>0.41065761924609123</v>
      </c>
      <c r="R5033" t="str">
        <f t="shared" si="215"/>
        <v>mmol/mol</v>
      </c>
      <c r="S5033" s="13">
        <f t="shared" si="214"/>
        <v>-1.3029961621469019</v>
      </c>
    </row>
    <row r="5034" spans="1:19">
      <c r="A5034" s="18" t="s">
        <v>5486</v>
      </c>
      <c r="B5034" s="1" t="s">
        <v>5202</v>
      </c>
      <c r="C5034" s="1" t="s">
        <v>5488</v>
      </c>
      <c r="D5034" s="1" t="s">
        <v>5489</v>
      </c>
      <c r="E5034" s="1" t="s">
        <v>25</v>
      </c>
      <c r="F5034">
        <v>540</v>
      </c>
      <c r="G5034">
        <v>540</v>
      </c>
      <c r="H5034">
        <v>162</v>
      </c>
      <c r="I5034" s="1" t="s">
        <v>1528</v>
      </c>
      <c r="J5034" s="1" t="s">
        <v>25</v>
      </c>
      <c r="K5034" s="1" t="s">
        <v>25</v>
      </c>
      <c r="L5034">
        <v>-1.302952937547494</v>
      </c>
      <c r="M5034" t="str">
        <f t="shared" si="212"/>
        <v>44/40</v>
      </c>
      <c r="N5034" t="str">
        <f t="shared" si="213"/>
        <v>SW</v>
      </c>
      <c r="O5034" s="1" t="s">
        <v>25</v>
      </c>
      <c r="P5034" s="3" t="s">
        <v>25</v>
      </c>
      <c r="Q5034" s="37">
        <v>0.4502192596278658</v>
      </c>
      <c r="R5034" t="str">
        <f t="shared" si="215"/>
        <v>mmol/mol</v>
      </c>
      <c r="S5034" s="13">
        <f t="shared" si="214"/>
        <v>-1.302952937547494</v>
      </c>
    </row>
    <row r="5035" spans="1:19">
      <c r="A5035" s="18" t="s">
        <v>5486</v>
      </c>
      <c r="B5035" s="1" t="s">
        <v>5203</v>
      </c>
      <c r="C5035" s="1" t="s">
        <v>5488</v>
      </c>
      <c r="D5035" s="1" t="s">
        <v>5489</v>
      </c>
      <c r="E5035" s="1" t="s">
        <v>25</v>
      </c>
      <c r="F5035">
        <v>540</v>
      </c>
      <c r="G5035">
        <v>540</v>
      </c>
      <c r="H5035">
        <v>196</v>
      </c>
      <c r="I5035" s="1" t="s">
        <v>1528</v>
      </c>
      <c r="J5035" s="1" t="s">
        <v>25</v>
      </c>
      <c r="K5035" s="1" t="s">
        <v>25</v>
      </c>
      <c r="L5035">
        <v>-1.228782509554599</v>
      </c>
      <c r="M5035" t="str">
        <f t="shared" si="212"/>
        <v>44/40</v>
      </c>
      <c r="N5035" t="str">
        <f t="shared" si="213"/>
        <v>SW</v>
      </c>
      <c r="O5035" s="1" t="s">
        <v>25</v>
      </c>
      <c r="P5035" s="3" t="s">
        <v>25</v>
      </c>
      <c r="Q5035" s="37">
        <v>0.41463729500579399</v>
      </c>
      <c r="R5035" t="str">
        <f t="shared" si="215"/>
        <v>mmol/mol</v>
      </c>
      <c r="S5035" s="13">
        <f t="shared" si="214"/>
        <v>-1.228782509554599</v>
      </c>
    </row>
    <row r="5036" spans="1:19">
      <c r="A5036" s="18" t="s">
        <v>5486</v>
      </c>
      <c r="B5036" s="1" t="s">
        <v>5204</v>
      </c>
      <c r="C5036" s="1" t="s">
        <v>5488</v>
      </c>
      <c r="D5036" s="1" t="s">
        <v>5489</v>
      </c>
      <c r="E5036" s="1" t="s">
        <v>25</v>
      </c>
      <c r="F5036">
        <v>540</v>
      </c>
      <c r="G5036">
        <v>540</v>
      </c>
      <c r="H5036">
        <v>102</v>
      </c>
      <c r="I5036" s="1" t="s">
        <v>1528</v>
      </c>
      <c r="J5036" s="1" t="s">
        <v>25</v>
      </c>
      <c r="K5036" s="1" t="s">
        <v>25</v>
      </c>
      <c r="L5036">
        <v>-1.2113574899000694</v>
      </c>
      <c r="M5036" t="str">
        <f t="shared" si="212"/>
        <v>44/40</v>
      </c>
      <c r="N5036" t="str">
        <f t="shared" si="213"/>
        <v>SW</v>
      </c>
      <c r="O5036" s="1" t="s">
        <v>25</v>
      </c>
      <c r="P5036" s="3" t="s">
        <v>25</v>
      </c>
      <c r="Q5036" s="37">
        <v>0.28449376186773329</v>
      </c>
      <c r="R5036" t="str">
        <f t="shared" si="215"/>
        <v>mmol/mol</v>
      </c>
      <c r="S5036" s="13">
        <f t="shared" ref="S5036:S5051" si="216">IF(NOT(N5036="SW"),L5036-1.88,L5036)</f>
        <v>-1.2113574899000694</v>
      </c>
    </row>
    <row r="5037" spans="1:19">
      <c r="A5037" s="18" t="s">
        <v>5486</v>
      </c>
      <c r="B5037" s="1" t="s">
        <v>5205</v>
      </c>
      <c r="C5037" s="1" t="s">
        <v>5488</v>
      </c>
      <c r="D5037" s="1" t="s">
        <v>5489</v>
      </c>
      <c r="E5037" s="1" t="s">
        <v>25</v>
      </c>
      <c r="F5037">
        <v>540</v>
      </c>
      <c r="G5037">
        <v>540</v>
      </c>
      <c r="H5037">
        <v>192</v>
      </c>
      <c r="I5037" s="1" t="s">
        <v>1528</v>
      </c>
      <c r="J5037" s="1" t="s">
        <v>25</v>
      </c>
      <c r="K5037" s="1" t="s">
        <v>25</v>
      </c>
      <c r="L5037">
        <v>-1.2050910621733717</v>
      </c>
      <c r="M5037" t="str">
        <f t="shared" si="212"/>
        <v>44/40</v>
      </c>
      <c r="N5037" t="str">
        <f t="shared" si="213"/>
        <v>SW</v>
      </c>
      <c r="O5037" s="1" t="s">
        <v>25</v>
      </c>
      <c r="P5037" s="3" t="s">
        <v>25</v>
      </c>
      <c r="Q5037" s="37">
        <v>0.39237392094475604</v>
      </c>
      <c r="R5037" t="str">
        <f t="shared" si="215"/>
        <v>mmol/mol</v>
      </c>
      <c r="S5037" s="13">
        <f t="shared" si="216"/>
        <v>-1.2050910621733717</v>
      </c>
    </row>
    <row r="5038" spans="1:19">
      <c r="A5038" s="18" t="s">
        <v>5486</v>
      </c>
      <c r="B5038" s="1" t="s">
        <v>5206</v>
      </c>
      <c r="C5038" s="1" t="s">
        <v>5488</v>
      </c>
      <c r="D5038" s="1" t="s">
        <v>5489</v>
      </c>
      <c r="E5038" s="1" t="s">
        <v>25</v>
      </c>
      <c r="F5038">
        <v>540</v>
      </c>
      <c r="G5038">
        <v>540</v>
      </c>
      <c r="H5038">
        <v>150</v>
      </c>
      <c r="I5038" s="1" t="s">
        <v>1528</v>
      </c>
      <c r="J5038" s="1" t="s">
        <v>25</v>
      </c>
      <c r="K5038" s="1" t="s">
        <v>25</v>
      </c>
      <c r="L5038">
        <v>-1.1946828540818493</v>
      </c>
      <c r="M5038" t="str">
        <f t="shared" si="212"/>
        <v>44/40</v>
      </c>
      <c r="N5038" t="str">
        <f t="shared" si="213"/>
        <v>SW</v>
      </c>
      <c r="O5038" s="1" t="s">
        <v>25</v>
      </c>
      <c r="P5038" s="3" t="s">
        <v>25</v>
      </c>
      <c r="Q5038" s="37">
        <v>0.339355575405969</v>
      </c>
      <c r="R5038" t="str">
        <f t="shared" si="215"/>
        <v>mmol/mol</v>
      </c>
      <c r="S5038" s="13">
        <f t="shared" si="216"/>
        <v>-1.1946828540818493</v>
      </c>
    </row>
    <row r="5039" spans="1:19">
      <c r="A5039" s="18" t="s">
        <v>5486</v>
      </c>
      <c r="B5039" s="1" t="s">
        <v>5207</v>
      </c>
      <c r="C5039" s="1" t="s">
        <v>5488</v>
      </c>
      <c r="D5039" s="1" t="s">
        <v>5489</v>
      </c>
      <c r="E5039" s="1" t="s">
        <v>25</v>
      </c>
      <c r="F5039">
        <v>540</v>
      </c>
      <c r="G5039">
        <v>540</v>
      </c>
      <c r="H5039">
        <v>114</v>
      </c>
      <c r="I5039" s="1" t="s">
        <v>1528</v>
      </c>
      <c r="J5039" s="1" t="s">
        <v>25</v>
      </c>
      <c r="K5039" s="1" t="s">
        <v>25</v>
      </c>
      <c r="L5039">
        <v>-1.1841470048233049</v>
      </c>
      <c r="M5039" t="str">
        <f t="shared" si="212"/>
        <v>44/40</v>
      </c>
      <c r="N5039" t="str">
        <f t="shared" si="213"/>
        <v>SW</v>
      </c>
      <c r="O5039" s="1" t="s">
        <v>25</v>
      </c>
      <c r="P5039" s="3" t="s">
        <v>25</v>
      </c>
      <c r="Q5039" s="37">
        <v>0.2448148716581455</v>
      </c>
      <c r="R5039" t="str">
        <f t="shared" si="215"/>
        <v>mmol/mol</v>
      </c>
      <c r="S5039" s="13">
        <f t="shared" si="216"/>
        <v>-1.1841470048233049</v>
      </c>
    </row>
    <row r="5040" spans="1:19">
      <c r="A5040" s="18" t="s">
        <v>5486</v>
      </c>
      <c r="B5040" s="1" t="s">
        <v>5208</v>
      </c>
      <c r="C5040" s="1" t="s">
        <v>5488</v>
      </c>
      <c r="D5040" s="1" t="s">
        <v>5489</v>
      </c>
      <c r="E5040" s="1" t="s">
        <v>25</v>
      </c>
      <c r="F5040">
        <v>540</v>
      </c>
      <c r="G5040">
        <v>540</v>
      </c>
      <c r="H5040">
        <v>182</v>
      </c>
      <c r="I5040" s="1" t="s">
        <v>1528</v>
      </c>
      <c r="J5040" s="1" t="s">
        <v>25</v>
      </c>
      <c r="K5040" s="1" t="s">
        <v>25</v>
      </c>
      <c r="L5040">
        <v>-1.1799551679548159</v>
      </c>
      <c r="M5040" t="str">
        <f t="shared" ref="M5040:M5103" si="217">IF(L5040="Na","Na","44/40")</f>
        <v>44/40</v>
      </c>
      <c r="N5040" t="str">
        <f t="shared" ref="N5040:N5103" si="218">IF(M5040="Na","Na","SW")</f>
        <v>SW</v>
      </c>
      <c r="O5040" s="1" t="s">
        <v>25</v>
      </c>
      <c r="P5040" s="3" t="s">
        <v>25</v>
      </c>
      <c r="Q5040" s="37">
        <v>0.38130520245013522</v>
      </c>
      <c r="R5040" t="str">
        <f t="shared" si="215"/>
        <v>mmol/mol</v>
      </c>
      <c r="S5040" s="13">
        <f t="shared" si="216"/>
        <v>-1.1799551679548159</v>
      </c>
    </row>
    <row r="5041" spans="1:19">
      <c r="A5041" s="18" t="s">
        <v>5486</v>
      </c>
      <c r="B5041" s="1" t="s">
        <v>5209</v>
      </c>
      <c r="C5041" s="1" t="s">
        <v>5488</v>
      </c>
      <c r="D5041" s="1" t="s">
        <v>5489</v>
      </c>
      <c r="E5041" s="1" t="s">
        <v>25</v>
      </c>
      <c r="F5041">
        <v>540</v>
      </c>
      <c r="G5041">
        <v>540</v>
      </c>
      <c r="H5041">
        <v>188</v>
      </c>
      <c r="I5041" s="1" t="s">
        <v>1528</v>
      </c>
      <c r="J5041" s="1" t="s">
        <v>25</v>
      </c>
      <c r="K5041" s="1" t="s">
        <v>25</v>
      </c>
      <c r="L5041">
        <v>-1.1655541774859834</v>
      </c>
      <c r="M5041" t="str">
        <f t="shared" si="217"/>
        <v>44/40</v>
      </c>
      <c r="N5041" t="str">
        <f t="shared" si="218"/>
        <v>SW</v>
      </c>
      <c r="O5041" s="1" t="s">
        <v>25</v>
      </c>
      <c r="P5041" s="3" t="s">
        <v>25</v>
      </c>
      <c r="Q5041" s="37">
        <v>0.45119579080199546</v>
      </c>
      <c r="R5041" t="str">
        <f t="shared" si="215"/>
        <v>mmol/mol</v>
      </c>
      <c r="S5041" s="13">
        <f t="shared" si="216"/>
        <v>-1.1655541774859834</v>
      </c>
    </row>
    <row r="5042" spans="1:19">
      <c r="A5042" s="18" t="s">
        <v>5486</v>
      </c>
      <c r="B5042" s="1" t="s">
        <v>5210</v>
      </c>
      <c r="C5042" s="1" t="s">
        <v>5488</v>
      </c>
      <c r="D5042" s="1" t="s">
        <v>5489</v>
      </c>
      <c r="E5042" s="1" t="s">
        <v>25</v>
      </c>
      <c r="F5042">
        <v>540</v>
      </c>
      <c r="G5042">
        <v>540</v>
      </c>
      <c r="H5042">
        <v>134</v>
      </c>
      <c r="I5042" s="1" t="s">
        <v>1528</v>
      </c>
      <c r="J5042" s="1" t="s">
        <v>25</v>
      </c>
      <c r="K5042" s="1" t="s">
        <v>25</v>
      </c>
      <c r="L5042">
        <v>-1.1635300144213101</v>
      </c>
      <c r="M5042" t="str">
        <f t="shared" si="217"/>
        <v>44/40</v>
      </c>
      <c r="N5042" t="str">
        <f t="shared" si="218"/>
        <v>SW</v>
      </c>
      <c r="O5042" s="1" t="s">
        <v>25</v>
      </c>
      <c r="P5042" s="3" t="s">
        <v>25</v>
      </c>
      <c r="Q5042" s="37">
        <v>0.31933287465564997</v>
      </c>
      <c r="R5042" t="str">
        <f t="shared" si="215"/>
        <v>mmol/mol</v>
      </c>
      <c r="S5042" s="13">
        <f t="shared" si="216"/>
        <v>-1.1635300144213101</v>
      </c>
    </row>
    <row r="5043" spans="1:19">
      <c r="A5043" s="18" t="s">
        <v>5486</v>
      </c>
      <c r="B5043" s="1" t="s">
        <v>5211</v>
      </c>
      <c r="C5043" s="1" t="s">
        <v>5488</v>
      </c>
      <c r="D5043" s="1" t="s">
        <v>5489</v>
      </c>
      <c r="E5043" s="1" t="s">
        <v>25</v>
      </c>
      <c r="F5043">
        <v>540</v>
      </c>
      <c r="G5043">
        <v>540</v>
      </c>
      <c r="H5043">
        <v>144</v>
      </c>
      <c r="I5043" s="1" t="s">
        <v>1528</v>
      </c>
      <c r="J5043" s="1" t="s">
        <v>25</v>
      </c>
      <c r="K5043" s="1" t="s">
        <v>25</v>
      </c>
      <c r="L5043">
        <v>-1.1612800976619513</v>
      </c>
      <c r="M5043" t="str">
        <f t="shared" si="217"/>
        <v>44/40</v>
      </c>
      <c r="N5043" t="str">
        <f t="shared" si="218"/>
        <v>SW</v>
      </c>
      <c r="O5043" s="1" t="s">
        <v>25</v>
      </c>
      <c r="P5043" s="3" t="s">
        <v>25</v>
      </c>
      <c r="Q5043" s="37">
        <v>0.36010506784407248</v>
      </c>
      <c r="R5043" t="str">
        <f t="shared" si="215"/>
        <v>mmol/mol</v>
      </c>
      <c r="S5043" s="13">
        <f t="shared" si="216"/>
        <v>-1.1612800976619513</v>
      </c>
    </row>
    <row r="5044" spans="1:19">
      <c r="A5044" s="18" t="s">
        <v>5486</v>
      </c>
      <c r="B5044" s="1" t="s">
        <v>5212</v>
      </c>
      <c r="C5044" s="1" t="s">
        <v>5488</v>
      </c>
      <c r="D5044" s="1" t="s">
        <v>5489</v>
      </c>
      <c r="E5044" s="1" t="s">
        <v>25</v>
      </c>
      <c r="F5044">
        <v>540</v>
      </c>
      <c r="G5044">
        <v>540</v>
      </c>
      <c r="H5044">
        <v>105</v>
      </c>
      <c r="I5044" s="1" t="s">
        <v>1528</v>
      </c>
      <c r="J5044" s="1" t="s">
        <v>25</v>
      </c>
      <c r="K5044" s="1" t="s">
        <v>25</v>
      </c>
      <c r="L5044">
        <v>-1.155084001391804</v>
      </c>
      <c r="M5044" t="str">
        <f t="shared" si="217"/>
        <v>44/40</v>
      </c>
      <c r="N5044" t="str">
        <f t="shared" si="218"/>
        <v>SW</v>
      </c>
      <c r="O5044" s="1" t="s">
        <v>25</v>
      </c>
      <c r="P5044" s="3" t="s">
        <v>25</v>
      </c>
      <c r="Q5044" s="37">
        <v>0.28470536332748964</v>
      </c>
      <c r="R5044" t="str">
        <f t="shared" si="215"/>
        <v>mmol/mol</v>
      </c>
      <c r="S5044" s="13">
        <f t="shared" si="216"/>
        <v>-1.155084001391804</v>
      </c>
    </row>
    <row r="5045" spans="1:19">
      <c r="A5045" s="18" t="s">
        <v>5486</v>
      </c>
      <c r="B5045" s="1" t="s">
        <v>5213</v>
      </c>
      <c r="C5045" s="1" t="s">
        <v>5488</v>
      </c>
      <c r="D5045" s="1" t="s">
        <v>5489</v>
      </c>
      <c r="E5045" s="1" t="s">
        <v>25</v>
      </c>
      <c r="F5045">
        <v>540</v>
      </c>
      <c r="G5045">
        <v>540</v>
      </c>
      <c r="H5045">
        <v>140</v>
      </c>
      <c r="I5045" s="1" t="s">
        <v>1528</v>
      </c>
      <c r="J5045" s="1" t="s">
        <v>25</v>
      </c>
      <c r="K5045" s="1" t="s">
        <v>25</v>
      </c>
      <c r="L5045">
        <v>-1.1527569963686672</v>
      </c>
      <c r="M5045" t="str">
        <f t="shared" si="217"/>
        <v>44/40</v>
      </c>
      <c r="N5045" t="str">
        <f t="shared" si="218"/>
        <v>SW</v>
      </c>
      <c r="O5045" s="1" t="s">
        <v>25</v>
      </c>
      <c r="P5045" s="3" t="s">
        <v>25</v>
      </c>
      <c r="Q5045" s="37">
        <v>0.2882857356551411</v>
      </c>
      <c r="R5045" t="str">
        <f t="shared" si="215"/>
        <v>mmol/mol</v>
      </c>
      <c r="S5045" s="13">
        <f t="shared" si="216"/>
        <v>-1.1527569963686672</v>
      </c>
    </row>
    <row r="5046" spans="1:19">
      <c r="A5046" s="18" t="s">
        <v>5486</v>
      </c>
      <c r="B5046" s="1" t="s">
        <v>5214</v>
      </c>
      <c r="C5046" s="1" t="s">
        <v>5488</v>
      </c>
      <c r="D5046" s="1" t="s">
        <v>5489</v>
      </c>
      <c r="E5046" s="1" t="s">
        <v>25</v>
      </c>
      <c r="F5046">
        <v>540</v>
      </c>
      <c r="G5046">
        <v>540</v>
      </c>
      <c r="H5046">
        <v>110</v>
      </c>
      <c r="I5046" s="1" t="s">
        <v>1528</v>
      </c>
      <c r="J5046" s="1" t="s">
        <v>25</v>
      </c>
      <c r="K5046" s="1" t="s">
        <v>25</v>
      </c>
      <c r="L5046">
        <v>-1.1122710338144297</v>
      </c>
      <c r="M5046" t="str">
        <f t="shared" si="217"/>
        <v>44/40</v>
      </c>
      <c r="N5046" t="str">
        <f t="shared" si="218"/>
        <v>SW</v>
      </c>
      <c r="O5046" s="1" t="s">
        <v>25</v>
      </c>
      <c r="P5046" s="3" t="s">
        <v>25</v>
      </c>
      <c r="Q5046" s="37">
        <v>0.27930620449636012</v>
      </c>
      <c r="R5046" t="str">
        <f t="shared" si="215"/>
        <v>mmol/mol</v>
      </c>
      <c r="S5046" s="13">
        <f t="shared" si="216"/>
        <v>-1.1122710338144297</v>
      </c>
    </row>
    <row r="5047" spans="1:19">
      <c r="A5047" s="18" t="s">
        <v>5486</v>
      </c>
      <c r="B5047" s="1" t="s">
        <v>5215</v>
      </c>
      <c r="C5047" s="1" t="s">
        <v>5488</v>
      </c>
      <c r="D5047" s="1" t="s">
        <v>5489</v>
      </c>
      <c r="E5047" s="1" t="s">
        <v>25</v>
      </c>
      <c r="F5047">
        <v>540</v>
      </c>
      <c r="G5047">
        <v>540</v>
      </c>
      <c r="H5047">
        <v>172</v>
      </c>
      <c r="I5047" s="1" t="s">
        <v>1528</v>
      </c>
      <c r="J5047" s="1" t="s">
        <v>25</v>
      </c>
      <c r="K5047" s="1" t="s">
        <v>25</v>
      </c>
      <c r="L5047">
        <v>-1.0677533095277774</v>
      </c>
      <c r="M5047" t="str">
        <f t="shared" si="217"/>
        <v>44/40</v>
      </c>
      <c r="N5047" t="str">
        <f t="shared" si="218"/>
        <v>SW</v>
      </c>
      <c r="O5047" s="1" t="s">
        <v>25</v>
      </c>
      <c r="P5047" s="3" t="s">
        <v>25</v>
      </c>
      <c r="Q5047" s="37">
        <v>0.34260039643643553</v>
      </c>
      <c r="R5047" t="str">
        <f t="shared" si="215"/>
        <v>mmol/mol</v>
      </c>
      <c r="S5047" s="13">
        <f t="shared" si="216"/>
        <v>-1.0677533095277774</v>
      </c>
    </row>
    <row r="5048" spans="1:19">
      <c r="A5048" s="18" t="s">
        <v>5486</v>
      </c>
      <c r="B5048" s="1" t="s">
        <v>5216</v>
      </c>
      <c r="C5048" s="1" t="s">
        <v>5488</v>
      </c>
      <c r="D5048" s="1" t="s">
        <v>5489</v>
      </c>
      <c r="E5048" s="1" t="s">
        <v>25</v>
      </c>
      <c r="F5048">
        <v>540</v>
      </c>
      <c r="G5048">
        <v>540</v>
      </c>
      <c r="H5048">
        <v>200</v>
      </c>
      <c r="I5048" s="1" t="s">
        <v>1528</v>
      </c>
      <c r="J5048" s="1" t="s">
        <v>25</v>
      </c>
      <c r="K5048" s="1" t="s">
        <v>25</v>
      </c>
      <c r="L5048">
        <v>-1.0414978271572422</v>
      </c>
      <c r="M5048" t="str">
        <f t="shared" si="217"/>
        <v>44/40</v>
      </c>
      <c r="N5048" t="str">
        <f t="shared" si="218"/>
        <v>SW</v>
      </c>
      <c r="O5048" s="1" t="s">
        <v>25</v>
      </c>
      <c r="P5048" s="3" t="s">
        <v>25</v>
      </c>
      <c r="Q5048" s="37">
        <v>0.36226414321633843</v>
      </c>
      <c r="R5048" t="str">
        <f t="shared" si="215"/>
        <v>mmol/mol</v>
      </c>
      <c r="S5048" s="13">
        <f t="shared" si="216"/>
        <v>-1.0414978271572422</v>
      </c>
    </row>
    <row r="5049" spans="1:19">
      <c r="A5049" s="18" t="s">
        <v>5486</v>
      </c>
      <c r="B5049" s="1" t="s">
        <v>5217</v>
      </c>
      <c r="C5049" s="1" t="s">
        <v>5488</v>
      </c>
      <c r="D5049" s="1" t="s">
        <v>5489</v>
      </c>
      <c r="E5049" s="1" t="s">
        <v>25</v>
      </c>
      <c r="F5049">
        <v>540</v>
      </c>
      <c r="G5049">
        <v>540</v>
      </c>
      <c r="H5049">
        <v>154</v>
      </c>
      <c r="I5049" s="1" t="s">
        <v>1528</v>
      </c>
      <c r="J5049" s="1" t="s">
        <v>25</v>
      </c>
      <c r="K5049" s="1" t="s">
        <v>25</v>
      </c>
      <c r="L5049">
        <v>-1.0346807930660922</v>
      </c>
      <c r="M5049" t="str">
        <f t="shared" si="217"/>
        <v>44/40</v>
      </c>
      <c r="N5049" t="str">
        <f t="shared" si="218"/>
        <v>SW</v>
      </c>
      <c r="O5049" s="1" t="s">
        <v>25</v>
      </c>
      <c r="P5049" s="3" t="s">
        <v>25</v>
      </c>
      <c r="Q5049" s="37">
        <v>0.3571631387549839</v>
      </c>
      <c r="R5049" t="str">
        <f t="shared" si="215"/>
        <v>mmol/mol</v>
      </c>
      <c r="S5049" s="13">
        <f t="shared" si="216"/>
        <v>-1.0346807930660922</v>
      </c>
    </row>
    <row r="5050" spans="1:19">
      <c r="A5050" s="18" t="s">
        <v>5486</v>
      </c>
      <c r="B5050" s="1" t="s">
        <v>5218</v>
      </c>
      <c r="C5050" s="1" t="s">
        <v>5488</v>
      </c>
      <c r="D5050" s="1" t="s">
        <v>5489</v>
      </c>
      <c r="E5050" s="1" t="s">
        <v>25</v>
      </c>
      <c r="F5050">
        <v>540</v>
      </c>
      <c r="G5050">
        <v>540</v>
      </c>
      <c r="H5050">
        <v>153</v>
      </c>
      <c r="I5050" s="1" t="s">
        <v>1528</v>
      </c>
      <c r="J5050" s="1" t="s">
        <v>25</v>
      </c>
      <c r="K5050" s="1" t="s">
        <v>25</v>
      </c>
      <c r="L5050">
        <v>-0.98100349359962469</v>
      </c>
      <c r="M5050" t="str">
        <f t="shared" si="217"/>
        <v>44/40</v>
      </c>
      <c r="N5050" t="str">
        <f t="shared" si="218"/>
        <v>SW</v>
      </c>
      <c r="O5050" s="1" t="s">
        <v>25</v>
      </c>
      <c r="P5050" s="3" t="s">
        <v>25</v>
      </c>
      <c r="Q5050" s="37">
        <v>0.36445428366834515</v>
      </c>
      <c r="R5050" t="str">
        <f t="shared" si="215"/>
        <v>mmol/mol</v>
      </c>
      <c r="S5050" s="13">
        <f t="shared" si="216"/>
        <v>-0.98100349359962469</v>
      </c>
    </row>
    <row r="5051" spans="1:19">
      <c r="A5051" s="18" t="s">
        <v>5486</v>
      </c>
      <c r="B5051" s="1" t="s">
        <v>5219</v>
      </c>
      <c r="C5051" s="1" t="s">
        <v>5488</v>
      </c>
      <c r="D5051" s="1" t="s">
        <v>5489</v>
      </c>
      <c r="E5051" s="1" t="s">
        <v>25</v>
      </c>
      <c r="F5051">
        <v>540</v>
      </c>
      <c r="G5051">
        <v>540</v>
      </c>
      <c r="H5051">
        <v>201</v>
      </c>
      <c r="I5051" s="1" t="s">
        <v>1528</v>
      </c>
      <c r="J5051" s="1" t="s">
        <v>25</v>
      </c>
      <c r="K5051" s="1" t="s">
        <v>25</v>
      </c>
      <c r="L5051">
        <v>-0.89550407175504876</v>
      </c>
      <c r="M5051" t="str">
        <f t="shared" si="217"/>
        <v>44/40</v>
      </c>
      <c r="N5051" t="str">
        <f t="shared" si="218"/>
        <v>SW</v>
      </c>
      <c r="O5051" s="1" t="s">
        <v>25</v>
      </c>
      <c r="P5051" s="3" t="s">
        <v>25</v>
      </c>
      <c r="Q5051" s="37">
        <v>0.38632587269920132</v>
      </c>
      <c r="R5051" t="str">
        <f t="shared" si="215"/>
        <v>mmol/mol</v>
      </c>
      <c r="S5051" s="13">
        <f t="shared" si="216"/>
        <v>-0.89550407175504876</v>
      </c>
    </row>
    <row r="5052" spans="1:19">
      <c r="A5052" s="18" t="s">
        <v>5486</v>
      </c>
      <c r="B5052" s="1" t="s">
        <v>5220</v>
      </c>
      <c r="C5052" s="1" t="s">
        <v>5488</v>
      </c>
      <c r="D5052" s="1" t="s">
        <v>5489</v>
      </c>
      <c r="E5052" s="1" t="s">
        <v>25</v>
      </c>
      <c r="F5052">
        <v>540</v>
      </c>
      <c r="G5052">
        <v>540</v>
      </c>
      <c r="H5052">
        <v>0.4</v>
      </c>
      <c r="I5052" s="1" t="s">
        <v>1528</v>
      </c>
      <c r="J5052" s="1" t="s">
        <v>25</v>
      </c>
      <c r="K5052" s="1" t="s">
        <v>25</v>
      </c>
      <c r="L5052" t="s">
        <v>25</v>
      </c>
      <c r="M5052" t="str">
        <f t="shared" si="217"/>
        <v>Na</v>
      </c>
      <c r="N5052" t="str">
        <f t="shared" si="218"/>
        <v>Na</v>
      </c>
      <c r="O5052" s="1" t="s">
        <v>25</v>
      </c>
      <c r="P5052" s="3" t="s">
        <v>25</v>
      </c>
      <c r="Q5052" s="37">
        <v>0.19592718355330996</v>
      </c>
      <c r="R5052" t="str">
        <f t="shared" si="215"/>
        <v>mmol/mol</v>
      </c>
      <c r="S5052" s="13" t="s">
        <v>25</v>
      </c>
    </row>
    <row r="5053" spans="1:19">
      <c r="A5053" s="18" t="s">
        <v>5486</v>
      </c>
      <c r="B5053" s="1" t="s">
        <v>5221</v>
      </c>
      <c r="C5053" s="1" t="s">
        <v>5488</v>
      </c>
      <c r="D5053" s="1" t="s">
        <v>5489</v>
      </c>
      <c r="E5053" s="1" t="s">
        <v>25</v>
      </c>
      <c r="F5053">
        <v>540</v>
      </c>
      <c r="G5053">
        <v>540</v>
      </c>
      <c r="H5053">
        <v>2</v>
      </c>
      <c r="I5053" s="1" t="s">
        <v>1528</v>
      </c>
      <c r="J5053" s="1" t="s">
        <v>25</v>
      </c>
      <c r="K5053" s="1" t="s">
        <v>25</v>
      </c>
      <c r="L5053" t="s">
        <v>25</v>
      </c>
      <c r="M5053" t="str">
        <f t="shared" si="217"/>
        <v>Na</v>
      </c>
      <c r="N5053" t="str">
        <f t="shared" si="218"/>
        <v>Na</v>
      </c>
      <c r="O5053" s="1" t="s">
        <v>25</v>
      </c>
      <c r="P5053" s="3" t="s">
        <v>25</v>
      </c>
      <c r="Q5053" s="37">
        <v>0.16100795374313101</v>
      </c>
      <c r="R5053" t="str">
        <f t="shared" si="215"/>
        <v>mmol/mol</v>
      </c>
      <c r="S5053" s="13" t="s">
        <v>25</v>
      </c>
    </row>
    <row r="5054" spans="1:19">
      <c r="A5054" s="18" t="s">
        <v>5486</v>
      </c>
      <c r="B5054" s="1" t="s">
        <v>5222</v>
      </c>
      <c r="C5054" s="1" t="s">
        <v>5488</v>
      </c>
      <c r="D5054" s="1" t="s">
        <v>5489</v>
      </c>
      <c r="E5054" s="1" t="s">
        <v>25</v>
      </c>
      <c r="F5054">
        <v>540</v>
      </c>
      <c r="G5054">
        <v>540</v>
      </c>
      <c r="H5054">
        <v>3.5</v>
      </c>
      <c r="I5054" s="1" t="s">
        <v>1528</v>
      </c>
      <c r="J5054" s="1" t="s">
        <v>25</v>
      </c>
      <c r="K5054" s="1" t="s">
        <v>25</v>
      </c>
      <c r="L5054" t="s">
        <v>25</v>
      </c>
      <c r="M5054" t="str">
        <f t="shared" si="217"/>
        <v>Na</v>
      </c>
      <c r="N5054" t="str">
        <f t="shared" si="218"/>
        <v>Na</v>
      </c>
      <c r="O5054" s="1" t="s">
        <v>25</v>
      </c>
      <c r="P5054" s="3" t="s">
        <v>25</v>
      </c>
      <c r="Q5054" s="37">
        <v>0.14746963468835</v>
      </c>
      <c r="R5054" t="str">
        <f t="shared" si="215"/>
        <v>mmol/mol</v>
      </c>
      <c r="S5054" s="13" t="s">
        <v>25</v>
      </c>
    </row>
    <row r="5055" spans="1:19">
      <c r="A5055" s="18" t="s">
        <v>5486</v>
      </c>
      <c r="B5055" s="1" t="s">
        <v>5223</v>
      </c>
      <c r="C5055" s="1" t="s">
        <v>5488</v>
      </c>
      <c r="D5055" s="1" t="s">
        <v>5489</v>
      </c>
      <c r="E5055" s="1" t="s">
        <v>25</v>
      </c>
      <c r="F5055">
        <v>540</v>
      </c>
      <c r="G5055">
        <v>540</v>
      </c>
      <c r="H5055">
        <v>5</v>
      </c>
      <c r="I5055" s="1" t="s">
        <v>1528</v>
      </c>
      <c r="J5055" s="1" t="s">
        <v>25</v>
      </c>
      <c r="K5055" s="1" t="s">
        <v>25</v>
      </c>
      <c r="L5055" t="s">
        <v>25</v>
      </c>
      <c r="M5055" t="str">
        <f t="shared" si="217"/>
        <v>Na</v>
      </c>
      <c r="N5055" t="str">
        <f t="shared" si="218"/>
        <v>Na</v>
      </c>
      <c r="O5055" s="1" t="s">
        <v>25</v>
      </c>
      <c r="P5055" s="3" t="s">
        <v>25</v>
      </c>
      <c r="Q5055" s="37">
        <v>0.10750936441334166</v>
      </c>
      <c r="R5055" t="str">
        <f t="shared" si="215"/>
        <v>mmol/mol</v>
      </c>
      <c r="S5055" s="13" t="s">
        <v>25</v>
      </c>
    </row>
    <row r="5056" spans="1:19">
      <c r="A5056" s="18" t="s">
        <v>5486</v>
      </c>
      <c r="B5056" s="1" t="s">
        <v>5224</v>
      </c>
      <c r="C5056" s="1" t="s">
        <v>5488</v>
      </c>
      <c r="D5056" s="1" t="s">
        <v>5489</v>
      </c>
      <c r="E5056" s="1" t="s">
        <v>25</v>
      </c>
      <c r="F5056">
        <v>540</v>
      </c>
      <c r="G5056">
        <v>540</v>
      </c>
      <c r="H5056">
        <v>6.5</v>
      </c>
      <c r="I5056" s="1" t="s">
        <v>1528</v>
      </c>
      <c r="J5056" s="1" t="s">
        <v>25</v>
      </c>
      <c r="K5056" s="1" t="s">
        <v>25</v>
      </c>
      <c r="L5056" t="s">
        <v>25</v>
      </c>
      <c r="M5056" t="str">
        <f t="shared" si="217"/>
        <v>Na</v>
      </c>
      <c r="N5056" t="str">
        <f t="shared" si="218"/>
        <v>Na</v>
      </c>
      <c r="O5056" s="1" t="s">
        <v>25</v>
      </c>
      <c r="P5056" s="3" t="s">
        <v>25</v>
      </c>
      <c r="Q5056" s="37">
        <v>9.771218920722162E-2</v>
      </c>
      <c r="R5056" t="str">
        <f t="shared" si="215"/>
        <v>mmol/mol</v>
      </c>
      <c r="S5056" s="13" t="s">
        <v>25</v>
      </c>
    </row>
    <row r="5057" spans="1:19">
      <c r="A5057" s="18" t="s">
        <v>5486</v>
      </c>
      <c r="B5057" s="1" t="s">
        <v>5225</v>
      </c>
      <c r="C5057" s="1" t="s">
        <v>5488</v>
      </c>
      <c r="D5057" s="1" t="s">
        <v>5489</v>
      </c>
      <c r="E5057" s="1" t="s">
        <v>25</v>
      </c>
      <c r="F5057">
        <v>540</v>
      </c>
      <c r="G5057">
        <v>540</v>
      </c>
      <c r="H5057">
        <v>8</v>
      </c>
      <c r="I5057" s="1" t="s">
        <v>1528</v>
      </c>
      <c r="J5057" s="1" t="s">
        <v>25</v>
      </c>
      <c r="K5057" s="1" t="s">
        <v>25</v>
      </c>
      <c r="L5057" t="s">
        <v>25</v>
      </c>
      <c r="M5057" t="str">
        <f t="shared" si="217"/>
        <v>Na</v>
      </c>
      <c r="N5057" t="str">
        <f t="shared" si="218"/>
        <v>Na</v>
      </c>
      <c r="O5057" s="1" t="s">
        <v>25</v>
      </c>
      <c r="P5057" s="3" t="s">
        <v>25</v>
      </c>
      <c r="Q5057" s="37">
        <v>0.18002226503608601</v>
      </c>
      <c r="R5057" t="str">
        <f t="shared" si="215"/>
        <v>mmol/mol</v>
      </c>
      <c r="S5057" s="13" t="s">
        <v>25</v>
      </c>
    </row>
    <row r="5058" spans="1:19">
      <c r="A5058" s="18" t="s">
        <v>5486</v>
      </c>
      <c r="B5058" s="1" t="s">
        <v>5226</v>
      </c>
      <c r="C5058" s="1" t="s">
        <v>5488</v>
      </c>
      <c r="D5058" s="1" t="s">
        <v>5489</v>
      </c>
      <c r="E5058" s="1" t="s">
        <v>25</v>
      </c>
      <c r="F5058">
        <v>540</v>
      </c>
      <c r="G5058">
        <v>540</v>
      </c>
      <c r="H5058">
        <v>9</v>
      </c>
      <c r="I5058" s="1" t="s">
        <v>1528</v>
      </c>
      <c r="J5058" s="1" t="s">
        <v>25</v>
      </c>
      <c r="K5058" s="1" t="s">
        <v>25</v>
      </c>
      <c r="L5058" t="s">
        <v>25</v>
      </c>
      <c r="M5058" t="str">
        <f t="shared" si="217"/>
        <v>Na</v>
      </c>
      <c r="N5058" t="str">
        <f t="shared" si="218"/>
        <v>Na</v>
      </c>
      <c r="O5058" s="1" t="s">
        <v>25</v>
      </c>
      <c r="P5058" s="3" t="s">
        <v>25</v>
      </c>
      <c r="Q5058" s="37">
        <v>0.13726498723440014</v>
      </c>
      <c r="R5058" t="str">
        <f t="shared" si="215"/>
        <v>mmol/mol</v>
      </c>
      <c r="S5058" s="13" t="s">
        <v>25</v>
      </c>
    </row>
    <row r="5059" spans="1:19">
      <c r="A5059" s="18" t="s">
        <v>5486</v>
      </c>
      <c r="B5059" s="1" t="s">
        <v>5227</v>
      </c>
      <c r="C5059" s="1" t="s">
        <v>5488</v>
      </c>
      <c r="D5059" s="1" t="s">
        <v>5489</v>
      </c>
      <c r="E5059" s="1" t="s">
        <v>25</v>
      </c>
      <c r="F5059">
        <v>540</v>
      </c>
      <c r="G5059">
        <v>540</v>
      </c>
      <c r="H5059">
        <v>10.5</v>
      </c>
      <c r="I5059" s="1" t="s">
        <v>1528</v>
      </c>
      <c r="J5059" s="1" t="s">
        <v>25</v>
      </c>
      <c r="K5059" s="1" t="s">
        <v>25</v>
      </c>
      <c r="L5059" t="s">
        <v>25</v>
      </c>
      <c r="M5059" t="str">
        <f t="shared" si="217"/>
        <v>Na</v>
      </c>
      <c r="N5059" t="str">
        <f t="shared" si="218"/>
        <v>Na</v>
      </c>
      <c r="O5059" s="1" t="s">
        <v>25</v>
      </c>
      <c r="P5059" s="3" t="s">
        <v>25</v>
      </c>
      <c r="Q5059" s="37">
        <v>0.19880524238542405</v>
      </c>
      <c r="R5059" t="str">
        <f t="shared" si="215"/>
        <v>mmol/mol</v>
      </c>
      <c r="S5059" s="13" t="s">
        <v>25</v>
      </c>
    </row>
    <row r="5060" spans="1:19">
      <c r="A5060" s="18" t="s">
        <v>5486</v>
      </c>
      <c r="B5060" s="1" t="s">
        <v>5228</v>
      </c>
      <c r="C5060" s="1" t="s">
        <v>5488</v>
      </c>
      <c r="D5060" s="1" t="s">
        <v>5489</v>
      </c>
      <c r="E5060" s="1" t="s">
        <v>25</v>
      </c>
      <c r="F5060">
        <v>540</v>
      </c>
      <c r="G5060">
        <v>540</v>
      </c>
      <c r="H5060">
        <v>12</v>
      </c>
      <c r="I5060" s="1" t="s">
        <v>1528</v>
      </c>
      <c r="J5060" s="1" t="s">
        <v>25</v>
      </c>
      <c r="K5060" s="1" t="s">
        <v>25</v>
      </c>
      <c r="L5060" t="s">
        <v>25</v>
      </c>
      <c r="M5060" t="str">
        <f t="shared" si="217"/>
        <v>Na</v>
      </c>
      <c r="N5060" t="str">
        <f t="shared" si="218"/>
        <v>Na</v>
      </c>
      <c r="O5060" s="1" t="s">
        <v>25</v>
      </c>
      <c r="P5060" s="3" t="s">
        <v>25</v>
      </c>
      <c r="Q5060" s="37">
        <v>0.12896290180771025</v>
      </c>
      <c r="R5060" t="str">
        <f t="shared" si="215"/>
        <v>mmol/mol</v>
      </c>
      <c r="S5060" s="13" t="s">
        <v>25</v>
      </c>
    </row>
    <row r="5061" spans="1:19">
      <c r="A5061" s="18" t="s">
        <v>5486</v>
      </c>
      <c r="B5061" s="1" t="s">
        <v>5229</v>
      </c>
      <c r="C5061" s="1" t="s">
        <v>5488</v>
      </c>
      <c r="D5061" s="1" t="s">
        <v>5489</v>
      </c>
      <c r="E5061" s="1" t="s">
        <v>25</v>
      </c>
      <c r="F5061">
        <v>540</v>
      </c>
      <c r="G5061">
        <v>540</v>
      </c>
      <c r="H5061">
        <v>13</v>
      </c>
      <c r="I5061" s="1" t="s">
        <v>1528</v>
      </c>
      <c r="J5061" s="1" t="s">
        <v>25</v>
      </c>
      <c r="K5061" s="1" t="s">
        <v>25</v>
      </c>
      <c r="L5061" t="s">
        <v>25</v>
      </c>
      <c r="M5061" t="str">
        <f t="shared" si="217"/>
        <v>Na</v>
      </c>
      <c r="N5061" t="str">
        <f t="shared" si="218"/>
        <v>Na</v>
      </c>
      <c r="O5061" s="1" t="s">
        <v>25</v>
      </c>
      <c r="P5061" s="3" t="s">
        <v>25</v>
      </c>
      <c r="Q5061" s="37">
        <v>0.12842373335083393</v>
      </c>
      <c r="R5061" t="str">
        <f t="shared" si="215"/>
        <v>mmol/mol</v>
      </c>
      <c r="S5061" s="13" t="s">
        <v>25</v>
      </c>
    </row>
    <row r="5062" spans="1:19">
      <c r="A5062" s="18" t="s">
        <v>5486</v>
      </c>
      <c r="B5062" s="1" t="s">
        <v>5230</v>
      </c>
      <c r="C5062" s="1" t="s">
        <v>5488</v>
      </c>
      <c r="D5062" s="1" t="s">
        <v>5489</v>
      </c>
      <c r="E5062" s="1" t="s">
        <v>25</v>
      </c>
      <c r="F5062">
        <v>540</v>
      </c>
      <c r="G5062">
        <v>540</v>
      </c>
      <c r="H5062">
        <v>15</v>
      </c>
      <c r="I5062" s="1" t="s">
        <v>1528</v>
      </c>
      <c r="J5062" s="1" t="s">
        <v>25</v>
      </c>
      <c r="K5062" s="1" t="s">
        <v>25</v>
      </c>
      <c r="L5062" t="s">
        <v>25</v>
      </c>
      <c r="M5062" t="str">
        <f t="shared" si="217"/>
        <v>Na</v>
      </c>
      <c r="N5062" t="str">
        <f t="shared" si="218"/>
        <v>Na</v>
      </c>
      <c r="O5062" s="1" t="s">
        <v>25</v>
      </c>
      <c r="P5062" s="3" t="s">
        <v>25</v>
      </c>
      <c r="Q5062" s="37">
        <v>7.9618695639977796E-2</v>
      </c>
      <c r="R5062" t="str">
        <f t="shared" si="215"/>
        <v>mmol/mol</v>
      </c>
      <c r="S5062" s="13" t="s">
        <v>25</v>
      </c>
    </row>
    <row r="5063" spans="1:19">
      <c r="A5063" s="18" t="s">
        <v>5486</v>
      </c>
      <c r="B5063" s="1" t="s">
        <v>5231</v>
      </c>
      <c r="C5063" s="1" t="s">
        <v>5488</v>
      </c>
      <c r="D5063" s="1" t="s">
        <v>5489</v>
      </c>
      <c r="E5063" s="1" t="s">
        <v>25</v>
      </c>
      <c r="F5063">
        <v>540</v>
      </c>
      <c r="G5063">
        <v>540</v>
      </c>
      <c r="H5063">
        <v>16.5</v>
      </c>
      <c r="I5063" s="1" t="s">
        <v>1528</v>
      </c>
      <c r="J5063" s="1" t="s">
        <v>25</v>
      </c>
      <c r="K5063" s="1" t="s">
        <v>25</v>
      </c>
      <c r="L5063" t="s">
        <v>25</v>
      </c>
      <c r="M5063" t="str">
        <f t="shared" si="217"/>
        <v>Na</v>
      </c>
      <c r="N5063" t="str">
        <f t="shared" si="218"/>
        <v>Na</v>
      </c>
      <c r="O5063" s="1" t="s">
        <v>25</v>
      </c>
      <c r="P5063" s="3" t="s">
        <v>25</v>
      </c>
      <c r="Q5063" s="37">
        <v>0.1523827383037285</v>
      </c>
      <c r="R5063" t="str">
        <f t="shared" si="215"/>
        <v>mmol/mol</v>
      </c>
      <c r="S5063" s="13" t="s">
        <v>25</v>
      </c>
    </row>
    <row r="5064" spans="1:19">
      <c r="A5064" s="18" t="s">
        <v>5486</v>
      </c>
      <c r="B5064" s="1" t="s">
        <v>5232</v>
      </c>
      <c r="C5064" s="1" t="s">
        <v>5488</v>
      </c>
      <c r="D5064" s="1" t="s">
        <v>5489</v>
      </c>
      <c r="E5064" s="1" t="s">
        <v>25</v>
      </c>
      <c r="F5064">
        <v>540</v>
      </c>
      <c r="G5064">
        <v>540</v>
      </c>
      <c r="H5064">
        <v>18</v>
      </c>
      <c r="I5064" s="1" t="s">
        <v>1528</v>
      </c>
      <c r="J5064" s="1" t="s">
        <v>25</v>
      </c>
      <c r="K5064" s="1" t="s">
        <v>25</v>
      </c>
      <c r="L5064" t="s">
        <v>25</v>
      </c>
      <c r="M5064" t="str">
        <f t="shared" si="217"/>
        <v>Na</v>
      </c>
      <c r="N5064" t="str">
        <f t="shared" si="218"/>
        <v>Na</v>
      </c>
      <c r="O5064" s="1" t="s">
        <v>25</v>
      </c>
      <c r="P5064" s="3" t="s">
        <v>25</v>
      </c>
      <c r="Q5064" s="37">
        <v>0.13997308284703439</v>
      </c>
      <c r="R5064" t="str">
        <f t="shared" si="215"/>
        <v>mmol/mol</v>
      </c>
      <c r="S5064" s="13" t="s">
        <v>25</v>
      </c>
    </row>
    <row r="5065" spans="1:19">
      <c r="A5065" s="18" t="s">
        <v>5486</v>
      </c>
      <c r="B5065" s="1" t="s">
        <v>5233</v>
      </c>
      <c r="C5065" s="1" t="s">
        <v>5488</v>
      </c>
      <c r="D5065" s="1" t="s">
        <v>5489</v>
      </c>
      <c r="E5065" s="1" t="s">
        <v>25</v>
      </c>
      <c r="F5065">
        <v>540</v>
      </c>
      <c r="G5065">
        <v>540</v>
      </c>
      <c r="H5065">
        <v>19.5</v>
      </c>
      <c r="I5065" s="1" t="s">
        <v>1528</v>
      </c>
      <c r="J5065" s="1" t="s">
        <v>25</v>
      </c>
      <c r="K5065" s="1" t="s">
        <v>25</v>
      </c>
      <c r="L5065" t="s">
        <v>25</v>
      </c>
      <c r="M5065" t="str">
        <f t="shared" si="217"/>
        <v>Na</v>
      </c>
      <c r="N5065" t="str">
        <f t="shared" si="218"/>
        <v>Na</v>
      </c>
      <c r="O5065" s="1" t="s">
        <v>25</v>
      </c>
      <c r="P5065" s="3" t="s">
        <v>25</v>
      </c>
      <c r="Q5065" s="37">
        <v>0.17466172136486416</v>
      </c>
      <c r="R5065" t="str">
        <f t="shared" si="215"/>
        <v>mmol/mol</v>
      </c>
      <c r="S5065" s="13" t="s">
        <v>25</v>
      </c>
    </row>
    <row r="5066" spans="1:19">
      <c r="A5066" s="18" t="s">
        <v>5486</v>
      </c>
      <c r="B5066" s="1" t="s">
        <v>5234</v>
      </c>
      <c r="C5066" s="1" t="s">
        <v>5488</v>
      </c>
      <c r="D5066" s="1" t="s">
        <v>5489</v>
      </c>
      <c r="E5066" s="1" t="s">
        <v>25</v>
      </c>
      <c r="F5066">
        <v>540</v>
      </c>
      <c r="G5066">
        <v>540</v>
      </c>
      <c r="H5066">
        <v>21</v>
      </c>
      <c r="I5066" s="1" t="s">
        <v>1528</v>
      </c>
      <c r="J5066" s="1" t="s">
        <v>25</v>
      </c>
      <c r="K5066" s="1" t="s">
        <v>25</v>
      </c>
      <c r="L5066" t="s">
        <v>25</v>
      </c>
      <c r="M5066" t="str">
        <f t="shared" si="217"/>
        <v>Na</v>
      </c>
      <c r="N5066" t="str">
        <f t="shared" si="218"/>
        <v>Na</v>
      </c>
      <c r="O5066" s="1" t="s">
        <v>25</v>
      </c>
      <c r="P5066" s="3" t="s">
        <v>25</v>
      </c>
      <c r="Q5066" s="37">
        <v>0.20505363593502868</v>
      </c>
      <c r="R5066" t="str">
        <f t="shared" si="215"/>
        <v>mmol/mol</v>
      </c>
      <c r="S5066" s="13" t="s">
        <v>25</v>
      </c>
    </row>
    <row r="5067" spans="1:19">
      <c r="A5067" s="18" t="s">
        <v>5486</v>
      </c>
      <c r="B5067" s="1" t="s">
        <v>5235</v>
      </c>
      <c r="C5067" s="1" t="s">
        <v>5488</v>
      </c>
      <c r="D5067" s="1" t="s">
        <v>5489</v>
      </c>
      <c r="E5067" s="1" t="s">
        <v>25</v>
      </c>
      <c r="F5067">
        <v>540</v>
      </c>
      <c r="G5067">
        <v>540</v>
      </c>
      <c r="H5067">
        <v>22.5</v>
      </c>
      <c r="I5067" s="1" t="s">
        <v>1528</v>
      </c>
      <c r="J5067" s="1" t="s">
        <v>25</v>
      </c>
      <c r="K5067" s="1" t="s">
        <v>25</v>
      </c>
      <c r="L5067" t="s">
        <v>25</v>
      </c>
      <c r="M5067" t="str">
        <f t="shared" si="217"/>
        <v>Na</v>
      </c>
      <c r="N5067" t="str">
        <f t="shared" si="218"/>
        <v>Na</v>
      </c>
      <c r="O5067" s="1" t="s">
        <v>25</v>
      </c>
      <c r="P5067" s="3" t="s">
        <v>25</v>
      </c>
      <c r="Q5067" s="37">
        <v>0.33795126959432381</v>
      </c>
      <c r="R5067" t="str">
        <f t="shared" si="215"/>
        <v>mmol/mol</v>
      </c>
      <c r="S5067" s="13" t="s">
        <v>25</v>
      </c>
    </row>
    <row r="5068" spans="1:19">
      <c r="A5068" s="18" t="s">
        <v>5486</v>
      </c>
      <c r="B5068" s="1" t="s">
        <v>5236</v>
      </c>
      <c r="C5068" s="1" t="s">
        <v>5488</v>
      </c>
      <c r="D5068" s="1" t="s">
        <v>5489</v>
      </c>
      <c r="E5068" s="1" t="s">
        <v>25</v>
      </c>
      <c r="F5068">
        <v>540</v>
      </c>
      <c r="G5068">
        <v>540</v>
      </c>
      <c r="H5068">
        <v>27</v>
      </c>
      <c r="I5068" s="1" t="s">
        <v>1528</v>
      </c>
      <c r="J5068" s="1" t="s">
        <v>25</v>
      </c>
      <c r="K5068" s="1" t="s">
        <v>25</v>
      </c>
      <c r="L5068" t="s">
        <v>25</v>
      </c>
      <c r="M5068" t="str">
        <f t="shared" si="217"/>
        <v>Na</v>
      </c>
      <c r="N5068" t="str">
        <f t="shared" si="218"/>
        <v>Na</v>
      </c>
      <c r="O5068" s="1" t="s">
        <v>25</v>
      </c>
      <c r="P5068" s="3" t="s">
        <v>25</v>
      </c>
      <c r="Q5068" s="37">
        <v>0.39217312424447753</v>
      </c>
      <c r="R5068" t="str">
        <f t="shared" si="215"/>
        <v>mmol/mol</v>
      </c>
      <c r="S5068" s="13" t="s">
        <v>25</v>
      </c>
    </row>
    <row r="5069" spans="1:19">
      <c r="A5069" s="18" t="s">
        <v>5486</v>
      </c>
      <c r="B5069" s="1" t="s">
        <v>5237</v>
      </c>
      <c r="C5069" s="1" t="s">
        <v>5488</v>
      </c>
      <c r="D5069" s="1" t="s">
        <v>5489</v>
      </c>
      <c r="E5069" s="1" t="s">
        <v>25</v>
      </c>
      <c r="F5069">
        <v>540</v>
      </c>
      <c r="G5069">
        <v>540</v>
      </c>
      <c r="H5069">
        <v>28.5</v>
      </c>
      <c r="I5069" s="1" t="s">
        <v>1528</v>
      </c>
      <c r="J5069" s="1" t="s">
        <v>25</v>
      </c>
      <c r="K5069" s="1" t="s">
        <v>25</v>
      </c>
      <c r="L5069" t="s">
        <v>25</v>
      </c>
      <c r="M5069" t="str">
        <f t="shared" si="217"/>
        <v>Na</v>
      </c>
      <c r="N5069" t="str">
        <f t="shared" si="218"/>
        <v>Na</v>
      </c>
      <c r="O5069" s="1" t="s">
        <v>25</v>
      </c>
      <c r="P5069" s="3" t="s">
        <v>25</v>
      </c>
      <c r="Q5069" s="37">
        <v>0.25716633776027231</v>
      </c>
      <c r="R5069" t="str">
        <f t="shared" si="215"/>
        <v>mmol/mol</v>
      </c>
      <c r="S5069" s="13" t="s">
        <v>25</v>
      </c>
    </row>
    <row r="5070" spans="1:19">
      <c r="A5070" s="18" t="s">
        <v>5486</v>
      </c>
      <c r="B5070" s="1" t="s">
        <v>5238</v>
      </c>
      <c r="C5070" s="1" t="s">
        <v>5488</v>
      </c>
      <c r="D5070" s="1" t="s">
        <v>5489</v>
      </c>
      <c r="E5070" s="1" t="s">
        <v>25</v>
      </c>
      <c r="F5070">
        <v>540</v>
      </c>
      <c r="G5070">
        <v>540</v>
      </c>
      <c r="H5070">
        <v>30</v>
      </c>
      <c r="I5070" s="1" t="s">
        <v>1528</v>
      </c>
      <c r="J5070" s="1" t="s">
        <v>25</v>
      </c>
      <c r="K5070" s="1" t="s">
        <v>25</v>
      </c>
      <c r="L5070" t="s">
        <v>25</v>
      </c>
      <c r="M5070" t="str">
        <f t="shared" si="217"/>
        <v>Na</v>
      </c>
      <c r="N5070" t="str">
        <f t="shared" si="218"/>
        <v>Na</v>
      </c>
      <c r="O5070" s="1" t="s">
        <v>25</v>
      </c>
      <c r="P5070" s="3" t="s">
        <v>25</v>
      </c>
      <c r="Q5070" s="37">
        <v>0.26194002801141603</v>
      </c>
      <c r="R5070" t="str">
        <f t="shared" si="215"/>
        <v>mmol/mol</v>
      </c>
      <c r="S5070" s="13" t="s">
        <v>25</v>
      </c>
    </row>
    <row r="5071" spans="1:19">
      <c r="A5071" s="18" t="s">
        <v>5486</v>
      </c>
      <c r="B5071" s="1" t="s">
        <v>5239</v>
      </c>
      <c r="C5071" s="1" t="s">
        <v>5488</v>
      </c>
      <c r="D5071" s="1" t="s">
        <v>5489</v>
      </c>
      <c r="E5071" s="1" t="s">
        <v>25</v>
      </c>
      <c r="F5071">
        <v>540</v>
      </c>
      <c r="G5071">
        <v>540</v>
      </c>
      <c r="H5071">
        <v>31.5</v>
      </c>
      <c r="I5071" s="1" t="s">
        <v>1528</v>
      </c>
      <c r="J5071" s="1" t="s">
        <v>25</v>
      </c>
      <c r="K5071" s="1" t="s">
        <v>25</v>
      </c>
      <c r="L5071" t="s">
        <v>25</v>
      </c>
      <c r="M5071" t="str">
        <f t="shared" si="217"/>
        <v>Na</v>
      </c>
      <c r="N5071" t="str">
        <f t="shared" si="218"/>
        <v>Na</v>
      </c>
      <c r="O5071" s="1" t="s">
        <v>25</v>
      </c>
      <c r="P5071" s="3" t="s">
        <v>25</v>
      </c>
      <c r="Q5071" s="37">
        <v>0.29368653708750597</v>
      </c>
      <c r="R5071" t="str">
        <f t="shared" si="215"/>
        <v>mmol/mol</v>
      </c>
      <c r="S5071" s="13" t="s">
        <v>25</v>
      </c>
    </row>
    <row r="5072" spans="1:19">
      <c r="A5072" s="18" t="s">
        <v>5486</v>
      </c>
      <c r="B5072" s="1" t="s">
        <v>5240</v>
      </c>
      <c r="C5072" s="1" t="s">
        <v>5488</v>
      </c>
      <c r="D5072" s="1" t="s">
        <v>5489</v>
      </c>
      <c r="E5072" s="1" t="s">
        <v>25</v>
      </c>
      <c r="F5072">
        <v>540</v>
      </c>
      <c r="G5072">
        <v>540</v>
      </c>
      <c r="H5072">
        <v>33</v>
      </c>
      <c r="I5072" s="1" t="s">
        <v>1528</v>
      </c>
      <c r="J5072" s="1" t="s">
        <v>25</v>
      </c>
      <c r="K5072" s="1" t="s">
        <v>25</v>
      </c>
      <c r="L5072" t="s">
        <v>25</v>
      </c>
      <c r="M5072" t="str">
        <f t="shared" si="217"/>
        <v>Na</v>
      </c>
      <c r="N5072" t="str">
        <f t="shared" si="218"/>
        <v>Na</v>
      </c>
      <c r="O5072" s="1" t="s">
        <v>25</v>
      </c>
      <c r="P5072" s="3" t="s">
        <v>25</v>
      </c>
      <c r="Q5072" s="37">
        <v>0.2676147822442359</v>
      </c>
      <c r="R5072" t="str">
        <f t="shared" si="215"/>
        <v>mmol/mol</v>
      </c>
      <c r="S5072" s="13" t="s">
        <v>25</v>
      </c>
    </row>
    <row r="5073" spans="1:19">
      <c r="A5073" s="18" t="s">
        <v>5486</v>
      </c>
      <c r="B5073" s="1" t="s">
        <v>5241</v>
      </c>
      <c r="C5073" s="1" t="s">
        <v>5488</v>
      </c>
      <c r="D5073" s="1" t="s">
        <v>5489</v>
      </c>
      <c r="E5073" s="1" t="s">
        <v>25</v>
      </c>
      <c r="F5073">
        <v>540</v>
      </c>
      <c r="G5073">
        <v>540</v>
      </c>
      <c r="H5073">
        <v>34</v>
      </c>
      <c r="I5073" s="1" t="s">
        <v>1528</v>
      </c>
      <c r="J5073" s="1" t="s">
        <v>25</v>
      </c>
      <c r="K5073" s="1" t="s">
        <v>25</v>
      </c>
      <c r="L5073" t="s">
        <v>25</v>
      </c>
      <c r="M5073" t="str">
        <f t="shared" si="217"/>
        <v>Na</v>
      </c>
      <c r="N5073" t="str">
        <f t="shared" si="218"/>
        <v>Na</v>
      </c>
      <c r="O5073" s="1" t="s">
        <v>25</v>
      </c>
      <c r="P5073" s="3" t="s">
        <v>25</v>
      </c>
      <c r="Q5073" s="37">
        <v>0.33876630934486968</v>
      </c>
      <c r="R5073" t="str">
        <f t="shared" si="215"/>
        <v>mmol/mol</v>
      </c>
      <c r="S5073" s="13" t="s">
        <v>25</v>
      </c>
    </row>
    <row r="5074" spans="1:19">
      <c r="A5074" s="18" t="s">
        <v>5486</v>
      </c>
      <c r="B5074" s="1" t="s">
        <v>5242</v>
      </c>
      <c r="C5074" s="1" t="s">
        <v>5488</v>
      </c>
      <c r="D5074" s="1" t="s">
        <v>5489</v>
      </c>
      <c r="E5074" s="1" t="s">
        <v>25</v>
      </c>
      <c r="F5074">
        <v>540</v>
      </c>
      <c r="G5074">
        <v>540</v>
      </c>
      <c r="H5074">
        <v>35.5</v>
      </c>
      <c r="I5074" s="1" t="s">
        <v>1528</v>
      </c>
      <c r="J5074" s="1" t="s">
        <v>25</v>
      </c>
      <c r="K5074" s="1" t="s">
        <v>25</v>
      </c>
      <c r="L5074" t="s">
        <v>25</v>
      </c>
      <c r="M5074" t="str">
        <f t="shared" si="217"/>
        <v>Na</v>
      </c>
      <c r="N5074" t="str">
        <f t="shared" si="218"/>
        <v>Na</v>
      </c>
      <c r="O5074" s="1" t="s">
        <v>25</v>
      </c>
      <c r="P5074" s="3" t="s">
        <v>25</v>
      </c>
      <c r="Q5074" s="37">
        <v>0.6511748622644411</v>
      </c>
      <c r="R5074" t="str">
        <f t="shared" si="215"/>
        <v>mmol/mol</v>
      </c>
      <c r="S5074" s="13" t="s">
        <v>25</v>
      </c>
    </row>
    <row r="5075" spans="1:19">
      <c r="A5075" s="18" t="s">
        <v>5486</v>
      </c>
      <c r="B5075" s="1" t="s">
        <v>5243</v>
      </c>
      <c r="C5075" s="1" t="s">
        <v>5488</v>
      </c>
      <c r="D5075" s="1" t="s">
        <v>5489</v>
      </c>
      <c r="E5075" s="1" t="s">
        <v>25</v>
      </c>
      <c r="F5075">
        <v>540</v>
      </c>
      <c r="G5075">
        <v>540</v>
      </c>
      <c r="H5075">
        <v>37.5</v>
      </c>
      <c r="I5075" s="1" t="s">
        <v>1528</v>
      </c>
      <c r="J5075" s="1" t="s">
        <v>25</v>
      </c>
      <c r="K5075" s="1" t="s">
        <v>25</v>
      </c>
      <c r="L5075" t="s">
        <v>25</v>
      </c>
      <c r="M5075" t="str">
        <f t="shared" si="217"/>
        <v>Na</v>
      </c>
      <c r="N5075" t="str">
        <f t="shared" si="218"/>
        <v>Na</v>
      </c>
      <c r="O5075" s="1" t="s">
        <v>25</v>
      </c>
      <c r="P5075" s="3" t="s">
        <v>25</v>
      </c>
      <c r="Q5075" s="37">
        <v>0.7619759892557969</v>
      </c>
      <c r="R5075" t="str">
        <f t="shared" si="215"/>
        <v>mmol/mol</v>
      </c>
      <c r="S5075" s="13" t="s">
        <v>25</v>
      </c>
    </row>
    <row r="5076" spans="1:19">
      <c r="A5076" s="18" t="s">
        <v>5486</v>
      </c>
      <c r="B5076" s="1" t="s">
        <v>5244</v>
      </c>
      <c r="C5076" s="1" t="s">
        <v>5488</v>
      </c>
      <c r="D5076" s="1" t="s">
        <v>5489</v>
      </c>
      <c r="E5076" s="1" t="s">
        <v>25</v>
      </c>
      <c r="F5076">
        <v>540</v>
      </c>
      <c r="G5076">
        <v>540</v>
      </c>
      <c r="H5076">
        <v>38.5</v>
      </c>
      <c r="I5076" s="1" t="s">
        <v>1528</v>
      </c>
      <c r="J5076" s="1" t="s">
        <v>25</v>
      </c>
      <c r="K5076" s="1" t="s">
        <v>25</v>
      </c>
      <c r="L5076" t="s">
        <v>25</v>
      </c>
      <c r="M5076" t="str">
        <f t="shared" si="217"/>
        <v>Na</v>
      </c>
      <c r="N5076" t="str">
        <f t="shared" si="218"/>
        <v>Na</v>
      </c>
      <c r="O5076" s="1" t="s">
        <v>25</v>
      </c>
      <c r="P5076" s="3" t="s">
        <v>25</v>
      </c>
      <c r="Q5076" s="37">
        <v>2.6475467978554579</v>
      </c>
      <c r="R5076" t="str">
        <f t="shared" si="215"/>
        <v>mmol/mol</v>
      </c>
      <c r="S5076" s="13" t="s">
        <v>25</v>
      </c>
    </row>
    <row r="5077" spans="1:19">
      <c r="A5077" s="18" t="s">
        <v>5486</v>
      </c>
      <c r="B5077" s="1" t="s">
        <v>5245</v>
      </c>
      <c r="C5077" s="1" t="s">
        <v>5488</v>
      </c>
      <c r="D5077" s="1" t="s">
        <v>5489</v>
      </c>
      <c r="E5077" s="1" t="s">
        <v>25</v>
      </c>
      <c r="F5077">
        <v>540</v>
      </c>
      <c r="G5077">
        <v>540</v>
      </c>
      <c r="H5077">
        <v>42</v>
      </c>
      <c r="I5077" s="1" t="s">
        <v>1528</v>
      </c>
      <c r="J5077" s="1" t="s">
        <v>25</v>
      </c>
      <c r="K5077" s="1" t="s">
        <v>25</v>
      </c>
      <c r="L5077" t="s">
        <v>25</v>
      </c>
      <c r="M5077" t="str">
        <f t="shared" si="217"/>
        <v>Na</v>
      </c>
      <c r="N5077" t="str">
        <f t="shared" si="218"/>
        <v>Na</v>
      </c>
      <c r="O5077" s="1" t="s">
        <v>25</v>
      </c>
      <c r="P5077" s="3" t="s">
        <v>25</v>
      </c>
      <c r="Q5077" s="37">
        <v>0.92822490682337588</v>
      </c>
      <c r="R5077" t="str">
        <f t="shared" si="215"/>
        <v>mmol/mol</v>
      </c>
      <c r="S5077" s="13" t="s">
        <v>25</v>
      </c>
    </row>
    <row r="5078" spans="1:19">
      <c r="A5078" s="18" t="s">
        <v>5486</v>
      </c>
      <c r="B5078" s="1" t="s">
        <v>5246</v>
      </c>
      <c r="C5078" s="1" t="s">
        <v>5488</v>
      </c>
      <c r="D5078" s="1" t="s">
        <v>5489</v>
      </c>
      <c r="E5078" s="1" t="s">
        <v>25</v>
      </c>
      <c r="F5078">
        <v>540</v>
      </c>
      <c r="G5078">
        <v>540</v>
      </c>
      <c r="H5078">
        <v>43.5</v>
      </c>
      <c r="I5078" s="1" t="s">
        <v>1528</v>
      </c>
      <c r="J5078" s="1" t="s">
        <v>25</v>
      </c>
      <c r="K5078" s="1" t="s">
        <v>25</v>
      </c>
      <c r="L5078" t="s">
        <v>25</v>
      </c>
      <c r="M5078" t="str">
        <f t="shared" si="217"/>
        <v>Na</v>
      </c>
      <c r="N5078" t="str">
        <f t="shared" si="218"/>
        <v>Na</v>
      </c>
      <c r="O5078" s="1" t="s">
        <v>25</v>
      </c>
      <c r="P5078" s="3" t="s">
        <v>25</v>
      </c>
      <c r="Q5078" s="37">
        <v>0.78616150509772453</v>
      </c>
      <c r="R5078" t="str">
        <f t="shared" si="215"/>
        <v>mmol/mol</v>
      </c>
      <c r="S5078" s="13" t="s">
        <v>25</v>
      </c>
    </row>
    <row r="5079" spans="1:19">
      <c r="A5079" s="18" t="s">
        <v>5486</v>
      </c>
      <c r="B5079" s="1" t="s">
        <v>5247</v>
      </c>
      <c r="C5079" s="1" t="s">
        <v>5488</v>
      </c>
      <c r="D5079" s="1" t="s">
        <v>5489</v>
      </c>
      <c r="E5079" s="1" t="s">
        <v>25</v>
      </c>
      <c r="F5079">
        <v>540</v>
      </c>
      <c r="G5079">
        <v>540</v>
      </c>
      <c r="H5079">
        <v>46</v>
      </c>
      <c r="I5079" s="1" t="s">
        <v>1528</v>
      </c>
      <c r="J5079" s="1" t="s">
        <v>25</v>
      </c>
      <c r="K5079" s="1" t="s">
        <v>25</v>
      </c>
      <c r="L5079" t="s">
        <v>25</v>
      </c>
      <c r="M5079" t="str">
        <f t="shared" si="217"/>
        <v>Na</v>
      </c>
      <c r="N5079" t="str">
        <f t="shared" si="218"/>
        <v>Na</v>
      </c>
      <c r="O5079" s="1" t="s">
        <v>25</v>
      </c>
      <c r="P5079" s="3" t="s">
        <v>25</v>
      </c>
      <c r="Q5079" s="37">
        <v>2.6627610282927812</v>
      </c>
      <c r="R5079" t="str">
        <f t="shared" si="215"/>
        <v>mmol/mol</v>
      </c>
      <c r="S5079" s="13" t="s">
        <v>25</v>
      </c>
    </row>
    <row r="5080" spans="1:19">
      <c r="A5080" s="18" t="s">
        <v>5486</v>
      </c>
      <c r="B5080" s="1" t="s">
        <v>5248</v>
      </c>
      <c r="C5080" s="1" t="s">
        <v>5488</v>
      </c>
      <c r="D5080" s="1" t="s">
        <v>5489</v>
      </c>
      <c r="E5080" s="1" t="s">
        <v>25</v>
      </c>
      <c r="F5080">
        <v>540</v>
      </c>
      <c r="G5080">
        <v>540</v>
      </c>
      <c r="H5080">
        <v>48</v>
      </c>
      <c r="I5080" s="1" t="s">
        <v>1528</v>
      </c>
      <c r="J5080" s="1" t="s">
        <v>25</v>
      </c>
      <c r="K5080" s="1" t="s">
        <v>25</v>
      </c>
      <c r="L5080" t="s">
        <v>25</v>
      </c>
      <c r="M5080" t="str">
        <f t="shared" si="217"/>
        <v>Na</v>
      </c>
      <c r="N5080" t="str">
        <f t="shared" si="218"/>
        <v>Na</v>
      </c>
      <c r="O5080" s="1" t="s">
        <v>25</v>
      </c>
      <c r="P5080" s="3" t="s">
        <v>25</v>
      </c>
      <c r="Q5080" s="37">
        <v>0.86956843602625067</v>
      </c>
      <c r="R5080" t="str">
        <f t="shared" si="215"/>
        <v>mmol/mol</v>
      </c>
      <c r="S5080" s="13" t="s">
        <v>25</v>
      </c>
    </row>
    <row r="5081" spans="1:19">
      <c r="A5081" s="18" t="s">
        <v>5486</v>
      </c>
      <c r="B5081" s="1" t="s">
        <v>5249</v>
      </c>
      <c r="C5081" s="1" t="s">
        <v>5488</v>
      </c>
      <c r="D5081" s="1" t="s">
        <v>5489</v>
      </c>
      <c r="E5081" s="1" t="s">
        <v>25</v>
      </c>
      <c r="F5081">
        <v>540</v>
      </c>
      <c r="G5081">
        <v>540</v>
      </c>
      <c r="H5081">
        <v>49</v>
      </c>
      <c r="I5081" s="1" t="s">
        <v>1528</v>
      </c>
      <c r="J5081" s="1" t="s">
        <v>25</v>
      </c>
      <c r="K5081" s="1" t="s">
        <v>25</v>
      </c>
      <c r="L5081" t="s">
        <v>25</v>
      </c>
      <c r="M5081" t="str">
        <f t="shared" si="217"/>
        <v>Na</v>
      </c>
      <c r="N5081" t="str">
        <f t="shared" si="218"/>
        <v>Na</v>
      </c>
      <c r="O5081" s="1" t="s">
        <v>25</v>
      </c>
      <c r="P5081" s="3" t="s">
        <v>25</v>
      </c>
      <c r="Q5081" s="37">
        <v>2.163576227626772</v>
      </c>
      <c r="R5081" t="str">
        <f t="shared" ref="R5081:R5144" si="219">IF(Q5081="Na","Na","mmol/mol")</f>
        <v>mmol/mol</v>
      </c>
      <c r="S5081" s="13" t="s">
        <v>25</v>
      </c>
    </row>
    <row r="5082" spans="1:19">
      <c r="A5082" s="18" t="s">
        <v>5486</v>
      </c>
      <c r="B5082" s="1" t="s">
        <v>5250</v>
      </c>
      <c r="C5082" s="1" t="s">
        <v>5488</v>
      </c>
      <c r="D5082" s="1" t="s">
        <v>5489</v>
      </c>
      <c r="E5082" s="1" t="s">
        <v>25</v>
      </c>
      <c r="F5082">
        <v>540</v>
      </c>
      <c r="G5082">
        <v>540</v>
      </c>
      <c r="H5082">
        <v>50</v>
      </c>
      <c r="I5082" s="1" t="s">
        <v>1528</v>
      </c>
      <c r="J5082" s="1" t="s">
        <v>25</v>
      </c>
      <c r="K5082" s="1" t="s">
        <v>25</v>
      </c>
      <c r="L5082" t="s">
        <v>25</v>
      </c>
      <c r="M5082" t="str">
        <f t="shared" si="217"/>
        <v>Na</v>
      </c>
      <c r="N5082" t="str">
        <f t="shared" si="218"/>
        <v>Na</v>
      </c>
      <c r="O5082" s="1" t="s">
        <v>25</v>
      </c>
      <c r="P5082" s="3" t="s">
        <v>25</v>
      </c>
      <c r="Q5082" s="37">
        <v>3.597346211809743</v>
      </c>
      <c r="R5082" t="str">
        <f t="shared" si="219"/>
        <v>mmol/mol</v>
      </c>
      <c r="S5082" s="13" t="s">
        <v>25</v>
      </c>
    </row>
    <row r="5083" spans="1:19">
      <c r="A5083" s="18" t="s">
        <v>5486</v>
      </c>
      <c r="B5083" s="1" t="s">
        <v>5251</v>
      </c>
      <c r="C5083" s="1" t="s">
        <v>5488</v>
      </c>
      <c r="D5083" s="1" t="s">
        <v>5489</v>
      </c>
      <c r="E5083" s="1" t="s">
        <v>25</v>
      </c>
      <c r="F5083">
        <v>540</v>
      </c>
      <c r="G5083">
        <v>540</v>
      </c>
      <c r="H5083">
        <v>51</v>
      </c>
      <c r="I5083" s="1" t="s">
        <v>1528</v>
      </c>
      <c r="J5083" s="1" t="s">
        <v>25</v>
      </c>
      <c r="K5083" s="1" t="s">
        <v>25</v>
      </c>
      <c r="L5083" t="s">
        <v>25</v>
      </c>
      <c r="M5083" t="str">
        <f t="shared" si="217"/>
        <v>Na</v>
      </c>
      <c r="N5083" t="str">
        <f t="shared" si="218"/>
        <v>Na</v>
      </c>
      <c r="O5083" s="1" t="s">
        <v>25</v>
      </c>
      <c r="P5083" s="3" t="s">
        <v>25</v>
      </c>
      <c r="Q5083" s="37">
        <v>3.8447677218753902</v>
      </c>
      <c r="R5083" t="str">
        <f t="shared" si="219"/>
        <v>mmol/mol</v>
      </c>
      <c r="S5083" s="13" t="s">
        <v>25</v>
      </c>
    </row>
    <row r="5084" spans="1:19">
      <c r="A5084" s="18" t="s">
        <v>5486</v>
      </c>
      <c r="B5084" s="1" t="s">
        <v>5252</v>
      </c>
      <c r="C5084" s="1" t="s">
        <v>5488</v>
      </c>
      <c r="D5084" s="1" t="s">
        <v>5489</v>
      </c>
      <c r="E5084" s="1" t="s">
        <v>25</v>
      </c>
      <c r="F5084">
        <v>540</v>
      </c>
      <c r="G5084">
        <v>540</v>
      </c>
      <c r="H5084">
        <v>52</v>
      </c>
      <c r="I5084" s="1" t="s">
        <v>1528</v>
      </c>
      <c r="J5084" s="1" t="s">
        <v>25</v>
      </c>
      <c r="K5084" s="1" t="s">
        <v>25</v>
      </c>
      <c r="L5084" t="s">
        <v>25</v>
      </c>
      <c r="M5084" t="str">
        <f t="shared" si="217"/>
        <v>Na</v>
      </c>
      <c r="N5084" t="str">
        <f t="shared" si="218"/>
        <v>Na</v>
      </c>
      <c r="O5084" s="1" t="s">
        <v>25</v>
      </c>
      <c r="P5084" s="3" t="s">
        <v>25</v>
      </c>
      <c r="Q5084" s="37">
        <v>5.5576003644535907</v>
      </c>
      <c r="R5084" t="str">
        <f t="shared" si="219"/>
        <v>mmol/mol</v>
      </c>
      <c r="S5084" s="13" t="s">
        <v>25</v>
      </c>
    </row>
    <row r="5085" spans="1:19">
      <c r="A5085" s="18" t="s">
        <v>5486</v>
      </c>
      <c r="B5085" s="1" t="s">
        <v>5253</v>
      </c>
      <c r="C5085" s="1" t="s">
        <v>5488</v>
      </c>
      <c r="D5085" s="1" t="s">
        <v>5489</v>
      </c>
      <c r="E5085" s="1" t="s">
        <v>25</v>
      </c>
      <c r="F5085">
        <v>540</v>
      </c>
      <c r="G5085">
        <v>540</v>
      </c>
      <c r="H5085">
        <v>53</v>
      </c>
      <c r="I5085" s="1" t="s">
        <v>1528</v>
      </c>
      <c r="J5085" s="1" t="s">
        <v>25</v>
      </c>
      <c r="K5085" s="1" t="s">
        <v>25</v>
      </c>
      <c r="L5085" t="s">
        <v>25</v>
      </c>
      <c r="M5085" t="str">
        <f t="shared" si="217"/>
        <v>Na</v>
      </c>
      <c r="N5085" t="str">
        <f t="shared" si="218"/>
        <v>Na</v>
      </c>
      <c r="O5085" s="1" t="s">
        <v>25</v>
      </c>
      <c r="P5085" s="3" t="s">
        <v>25</v>
      </c>
      <c r="Q5085" s="37">
        <v>5.3497120090511112</v>
      </c>
      <c r="R5085" t="str">
        <f t="shared" si="219"/>
        <v>mmol/mol</v>
      </c>
      <c r="S5085" s="13" t="s">
        <v>25</v>
      </c>
    </row>
    <row r="5086" spans="1:19">
      <c r="A5086" s="18" t="s">
        <v>5486</v>
      </c>
      <c r="B5086" s="1" t="s">
        <v>5254</v>
      </c>
      <c r="C5086" s="1" t="s">
        <v>5488</v>
      </c>
      <c r="D5086" s="1" t="s">
        <v>5489</v>
      </c>
      <c r="E5086" s="1" t="s">
        <v>25</v>
      </c>
      <c r="F5086">
        <v>540</v>
      </c>
      <c r="G5086">
        <v>540</v>
      </c>
      <c r="H5086">
        <v>54</v>
      </c>
      <c r="I5086" s="1" t="s">
        <v>1528</v>
      </c>
      <c r="J5086" s="1" t="s">
        <v>25</v>
      </c>
      <c r="K5086" s="1" t="s">
        <v>25</v>
      </c>
      <c r="L5086" t="s">
        <v>25</v>
      </c>
      <c r="M5086" t="str">
        <f t="shared" si="217"/>
        <v>Na</v>
      </c>
      <c r="N5086" t="str">
        <f t="shared" si="218"/>
        <v>Na</v>
      </c>
      <c r="O5086" s="1" t="s">
        <v>25</v>
      </c>
      <c r="P5086" s="3" t="s">
        <v>25</v>
      </c>
      <c r="Q5086" s="37">
        <v>5.2678514755084445</v>
      </c>
      <c r="R5086" t="str">
        <f t="shared" si="219"/>
        <v>mmol/mol</v>
      </c>
      <c r="S5086" s="13" t="s">
        <v>25</v>
      </c>
    </row>
    <row r="5087" spans="1:19">
      <c r="A5087" s="18" t="s">
        <v>5486</v>
      </c>
      <c r="B5087" s="1" t="s">
        <v>5255</v>
      </c>
      <c r="C5087" s="1" t="s">
        <v>5488</v>
      </c>
      <c r="D5087" s="1" t="s">
        <v>5489</v>
      </c>
      <c r="E5087" s="1" t="s">
        <v>25</v>
      </c>
      <c r="F5087">
        <v>540</v>
      </c>
      <c r="G5087">
        <v>540</v>
      </c>
      <c r="H5087">
        <v>55</v>
      </c>
      <c r="I5087" s="1" t="s">
        <v>1528</v>
      </c>
      <c r="J5087" s="1" t="s">
        <v>25</v>
      </c>
      <c r="K5087" s="1" t="s">
        <v>25</v>
      </c>
      <c r="L5087" t="s">
        <v>25</v>
      </c>
      <c r="M5087" t="str">
        <f t="shared" si="217"/>
        <v>Na</v>
      </c>
      <c r="N5087" t="str">
        <f t="shared" si="218"/>
        <v>Na</v>
      </c>
      <c r="O5087" s="1" t="s">
        <v>25</v>
      </c>
      <c r="P5087" s="3" t="s">
        <v>25</v>
      </c>
      <c r="Q5087" s="37">
        <v>2.0908305738751842</v>
      </c>
      <c r="R5087" t="str">
        <f t="shared" si="219"/>
        <v>mmol/mol</v>
      </c>
      <c r="S5087" s="13" t="s">
        <v>25</v>
      </c>
    </row>
    <row r="5088" spans="1:19">
      <c r="A5088" s="18" t="s">
        <v>5486</v>
      </c>
      <c r="B5088" s="1" t="s">
        <v>5256</v>
      </c>
      <c r="C5088" s="1" t="s">
        <v>5488</v>
      </c>
      <c r="D5088" s="1" t="s">
        <v>5489</v>
      </c>
      <c r="E5088" s="1" t="s">
        <v>25</v>
      </c>
      <c r="F5088">
        <v>540</v>
      </c>
      <c r="G5088">
        <v>540</v>
      </c>
      <c r="H5088">
        <v>56</v>
      </c>
      <c r="I5088" s="1" t="s">
        <v>1528</v>
      </c>
      <c r="J5088" s="1" t="s">
        <v>25</v>
      </c>
      <c r="K5088" s="1" t="s">
        <v>25</v>
      </c>
      <c r="L5088" t="s">
        <v>25</v>
      </c>
      <c r="M5088" t="str">
        <f t="shared" si="217"/>
        <v>Na</v>
      </c>
      <c r="N5088" t="str">
        <f t="shared" si="218"/>
        <v>Na</v>
      </c>
      <c r="O5088" s="1" t="s">
        <v>25</v>
      </c>
      <c r="P5088" s="3" t="s">
        <v>25</v>
      </c>
      <c r="Q5088" s="37">
        <v>3.283453513315405</v>
      </c>
      <c r="R5088" t="str">
        <f t="shared" si="219"/>
        <v>mmol/mol</v>
      </c>
      <c r="S5088" s="13" t="s">
        <v>25</v>
      </c>
    </row>
    <row r="5089" spans="1:19">
      <c r="A5089" s="18" t="s">
        <v>5486</v>
      </c>
      <c r="B5089" s="1" t="s">
        <v>5257</v>
      </c>
      <c r="C5089" s="1" t="s">
        <v>5488</v>
      </c>
      <c r="D5089" s="1" t="s">
        <v>5489</v>
      </c>
      <c r="E5089" s="1" t="s">
        <v>25</v>
      </c>
      <c r="F5089">
        <v>540</v>
      </c>
      <c r="G5089">
        <v>540</v>
      </c>
      <c r="H5089">
        <v>57</v>
      </c>
      <c r="I5089" s="1" t="s">
        <v>1528</v>
      </c>
      <c r="J5089" s="1" t="s">
        <v>25</v>
      </c>
      <c r="K5089" s="1" t="s">
        <v>25</v>
      </c>
      <c r="L5089" t="s">
        <v>25</v>
      </c>
      <c r="M5089" t="str">
        <f t="shared" si="217"/>
        <v>Na</v>
      </c>
      <c r="N5089" t="str">
        <f t="shared" si="218"/>
        <v>Na</v>
      </c>
      <c r="O5089" s="1" t="s">
        <v>25</v>
      </c>
      <c r="P5089" s="3" t="s">
        <v>25</v>
      </c>
      <c r="Q5089" s="37">
        <v>3.6116537059902973</v>
      </c>
      <c r="R5089" t="str">
        <f t="shared" si="219"/>
        <v>mmol/mol</v>
      </c>
      <c r="S5089" s="13" t="s">
        <v>25</v>
      </c>
    </row>
    <row r="5090" spans="1:19">
      <c r="A5090" s="18" t="s">
        <v>5486</v>
      </c>
      <c r="B5090" s="1" t="s">
        <v>5258</v>
      </c>
      <c r="C5090" s="1" t="s">
        <v>5488</v>
      </c>
      <c r="D5090" s="1" t="s">
        <v>5489</v>
      </c>
      <c r="E5090" s="1" t="s">
        <v>25</v>
      </c>
      <c r="F5090">
        <v>540</v>
      </c>
      <c r="G5090">
        <v>540</v>
      </c>
      <c r="H5090">
        <v>106</v>
      </c>
      <c r="I5090" s="1" t="s">
        <v>1528</v>
      </c>
      <c r="J5090" s="1" t="s">
        <v>25</v>
      </c>
      <c r="K5090" s="1" t="s">
        <v>25</v>
      </c>
      <c r="L5090" t="s">
        <v>25</v>
      </c>
      <c r="M5090" t="str">
        <f t="shared" si="217"/>
        <v>Na</v>
      </c>
      <c r="N5090" t="str">
        <f t="shared" si="218"/>
        <v>Na</v>
      </c>
      <c r="O5090" s="1" t="s">
        <v>25</v>
      </c>
      <c r="P5090" s="3" t="s">
        <v>25</v>
      </c>
      <c r="Q5090" s="37">
        <v>0.26597947716818421</v>
      </c>
      <c r="R5090" t="str">
        <f t="shared" si="219"/>
        <v>mmol/mol</v>
      </c>
      <c r="S5090" s="13" t="s">
        <v>25</v>
      </c>
    </row>
    <row r="5091" spans="1:19">
      <c r="A5091" s="18" t="s">
        <v>5486</v>
      </c>
      <c r="B5091" s="1" t="s">
        <v>5259</v>
      </c>
      <c r="C5091" s="1" t="s">
        <v>5488</v>
      </c>
      <c r="D5091" s="1" t="s">
        <v>5489</v>
      </c>
      <c r="E5091" s="1" t="s">
        <v>25</v>
      </c>
      <c r="F5091">
        <v>540</v>
      </c>
      <c r="G5091">
        <v>540</v>
      </c>
      <c r="H5091">
        <v>142</v>
      </c>
      <c r="I5091" s="1" t="s">
        <v>1528</v>
      </c>
      <c r="J5091" s="1" t="s">
        <v>25</v>
      </c>
      <c r="K5091" s="1" t="s">
        <v>25</v>
      </c>
      <c r="L5091" t="s">
        <v>25</v>
      </c>
      <c r="M5091" t="str">
        <f t="shared" si="217"/>
        <v>Na</v>
      </c>
      <c r="N5091" t="str">
        <f t="shared" si="218"/>
        <v>Na</v>
      </c>
      <c r="O5091" s="1" t="s">
        <v>25</v>
      </c>
      <c r="P5091" s="3" t="s">
        <v>25</v>
      </c>
      <c r="Q5091" s="37">
        <v>0.32113862230935775</v>
      </c>
      <c r="R5091" t="str">
        <f t="shared" si="219"/>
        <v>mmol/mol</v>
      </c>
      <c r="S5091" s="13" t="s">
        <v>25</v>
      </c>
    </row>
    <row r="5092" spans="1:19">
      <c r="A5092" s="18" t="s">
        <v>5486</v>
      </c>
      <c r="B5092" s="1" t="s">
        <v>5260</v>
      </c>
      <c r="C5092" s="1" t="s">
        <v>5488</v>
      </c>
      <c r="D5092" s="1" t="s">
        <v>5489</v>
      </c>
      <c r="E5092" s="1" t="s">
        <v>25</v>
      </c>
      <c r="F5092">
        <v>540</v>
      </c>
      <c r="G5092">
        <v>540</v>
      </c>
      <c r="H5092">
        <v>146</v>
      </c>
      <c r="I5092" s="1" t="s">
        <v>1528</v>
      </c>
      <c r="J5092" s="1" t="s">
        <v>25</v>
      </c>
      <c r="K5092" s="1" t="s">
        <v>25</v>
      </c>
      <c r="L5092" t="s">
        <v>25</v>
      </c>
      <c r="M5092" t="str">
        <f t="shared" si="217"/>
        <v>Na</v>
      </c>
      <c r="N5092" t="str">
        <f t="shared" si="218"/>
        <v>Na</v>
      </c>
      <c r="O5092" s="1" t="s">
        <v>25</v>
      </c>
      <c r="P5092" s="3" t="s">
        <v>25</v>
      </c>
      <c r="Q5092" s="37">
        <v>0.29460490273629347</v>
      </c>
      <c r="R5092" t="str">
        <f t="shared" si="219"/>
        <v>mmol/mol</v>
      </c>
      <c r="S5092" s="13" t="s">
        <v>25</v>
      </c>
    </row>
    <row r="5093" spans="1:19">
      <c r="A5093" s="18" t="s">
        <v>5486</v>
      </c>
      <c r="B5093" s="1" t="s">
        <v>5261</v>
      </c>
      <c r="C5093" s="1" t="s">
        <v>5488</v>
      </c>
      <c r="D5093" s="1" t="s">
        <v>5489</v>
      </c>
      <c r="E5093" s="1" t="s">
        <v>25</v>
      </c>
      <c r="F5093">
        <v>540</v>
      </c>
      <c r="G5093">
        <v>540</v>
      </c>
      <c r="H5093">
        <v>148</v>
      </c>
      <c r="I5093" s="1" t="s">
        <v>1528</v>
      </c>
      <c r="J5093" s="1" t="s">
        <v>25</v>
      </c>
      <c r="K5093" s="1" t="s">
        <v>25</v>
      </c>
      <c r="L5093" t="s">
        <v>25</v>
      </c>
      <c r="M5093" t="str">
        <f t="shared" si="217"/>
        <v>Na</v>
      </c>
      <c r="N5093" t="str">
        <f t="shared" si="218"/>
        <v>Na</v>
      </c>
      <c r="O5093" s="1" t="s">
        <v>25</v>
      </c>
      <c r="P5093" s="3" t="s">
        <v>25</v>
      </c>
      <c r="Q5093" s="37">
        <v>0.24481797533230887</v>
      </c>
      <c r="R5093" t="str">
        <f t="shared" si="219"/>
        <v>mmol/mol</v>
      </c>
      <c r="S5093" s="13" t="s">
        <v>25</v>
      </c>
    </row>
    <row r="5094" spans="1:19">
      <c r="A5094" s="18" t="s">
        <v>5486</v>
      </c>
      <c r="B5094" s="1" t="s">
        <v>5262</v>
      </c>
      <c r="C5094" s="1" t="s">
        <v>5488</v>
      </c>
      <c r="D5094" s="1" t="s">
        <v>5489</v>
      </c>
      <c r="E5094" s="1" t="s">
        <v>25</v>
      </c>
      <c r="F5094">
        <v>540</v>
      </c>
      <c r="G5094">
        <v>540</v>
      </c>
      <c r="H5094">
        <v>152</v>
      </c>
      <c r="I5094" s="1" t="s">
        <v>1528</v>
      </c>
      <c r="J5094" s="1" t="s">
        <v>25</v>
      </c>
      <c r="K5094" s="1" t="s">
        <v>25</v>
      </c>
      <c r="L5094" t="s">
        <v>25</v>
      </c>
      <c r="M5094" t="str">
        <f t="shared" si="217"/>
        <v>Na</v>
      </c>
      <c r="N5094" t="str">
        <f t="shared" si="218"/>
        <v>Na</v>
      </c>
      <c r="O5094" s="1" t="s">
        <v>25</v>
      </c>
      <c r="P5094" s="3" t="s">
        <v>25</v>
      </c>
      <c r="Q5094" s="37">
        <v>0.28517230270535615</v>
      </c>
      <c r="R5094" t="str">
        <f t="shared" si="219"/>
        <v>mmol/mol</v>
      </c>
      <c r="S5094" s="13" t="s">
        <v>25</v>
      </c>
    </row>
    <row r="5095" spans="1:19">
      <c r="A5095" s="18" t="s">
        <v>5486</v>
      </c>
      <c r="B5095" s="1" t="s">
        <v>5263</v>
      </c>
      <c r="C5095" s="1" t="s">
        <v>5488</v>
      </c>
      <c r="D5095" s="1" t="s">
        <v>5489</v>
      </c>
      <c r="E5095" s="1" t="s">
        <v>25</v>
      </c>
      <c r="F5095">
        <v>540</v>
      </c>
      <c r="G5095">
        <v>540</v>
      </c>
      <c r="H5095">
        <v>158</v>
      </c>
      <c r="I5095" s="1" t="s">
        <v>1528</v>
      </c>
      <c r="J5095" s="1" t="s">
        <v>25</v>
      </c>
      <c r="K5095" s="1" t="s">
        <v>25</v>
      </c>
      <c r="L5095" t="s">
        <v>25</v>
      </c>
      <c r="M5095" t="str">
        <f t="shared" si="217"/>
        <v>Na</v>
      </c>
      <c r="N5095" t="str">
        <f t="shared" si="218"/>
        <v>Na</v>
      </c>
      <c r="O5095" s="1" t="s">
        <v>25</v>
      </c>
      <c r="P5095" s="3" t="s">
        <v>25</v>
      </c>
      <c r="Q5095" s="37">
        <v>0.4406648048364582</v>
      </c>
      <c r="R5095" t="str">
        <f t="shared" si="219"/>
        <v>mmol/mol</v>
      </c>
      <c r="S5095" s="13" t="s">
        <v>25</v>
      </c>
    </row>
    <row r="5096" spans="1:19">
      <c r="A5096" s="18" t="s">
        <v>5486</v>
      </c>
      <c r="B5096" s="1" t="s">
        <v>5264</v>
      </c>
      <c r="C5096" s="1" t="s">
        <v>5488</v>
      </c>
      <c r="D5096" s="1" t="s">
        <v>5489</v>
      </c>
      <c r="E5096" s="1" t="s">
        <v>25</v>
      </c>
      <c r="F5096">
        <v>540</v>
      </c>
      <c r="G5096">
        <v>540</v>
      </c>
      <c r="H5096">
        <v>166</v>
      </c>
      <c r="I5096" s="1" t="s">
        <v>1528</v>
      </c>
      <c r="J5096" s="1" t="s">
        <v>25</v>
      </c>
      <c r="K5096" s="1" t="s">
        <v>25</v>
      </c>
      <c r="L5096" t="s">
        <v>25</v>
      </c>
      <c r="M5096" t="str">
        <f t="shared" si="217"/>
        <v>Na</v>
      </c>
      <c r="N5096" t="str">
        <f t="shared" si="218"/>
        <v>Na</v>
      </c>
      <c r="O5096" s="1" t="s">
        <v>25</v>
      </c>
      <c r="P5096" s="3" t="s">
        <v>25</v>
      </c>
      <c r="Q5096" s="37">
        <v>0.48476268340550849</v>
      </c>
      <c r="R5096" t="str">
        <f t="shared" si="219"/>
        <v>mmol/mol</v>
      </c>
      <c r="S5096" s="13" t="s">
        <v>25</v>
      </c>
    </row>
    <row r="5097" spans="1:19">
      <c r="A5097" s="18" t="s">
        <v>5486</v>
      </c>
      <c r="B5097" s="1" t="s">
        <v>5265</v>
      </c>
      <c r="C5097" s="1" t="s">
        <v>5488</v>
      </c>
      <c r="D5097" s="1" t="s">
        <v>5489</v>
      </c>
      <c r="E5097" s="1" t="s">
        <v>25</v>
      </c>
      <c r="F5097">
        <v>540</v>
      </c>
      <c r="G5097">
        <v>540</v>
      </c>
      <c r="H5097">
        <v>176</v>
      </c>
      <c r="I5097" s="1" t="s">
        <v>1528</v>
      </c>
      <c r="J5097" s="1" t="s">
        <v>25</v>
      </c>
      <c r="K5097" s="1" t="s">
        <v>25</v>
      </c>
      <c r="L5097" t="s">
        <v>25</v>
      </c>
      <c r="M5097" t="str">
        <f t="shared" si="217"/>
        <v>Na</v>
      </c>
      <c r="N5097" t="str">
        <f t="shared" si="218"/>
        <v>Na</v>
      </c>
      <c r="O5097" s="1" t="s">
        <v>25</v>
      </c>
      <c r="P5097" s="3" t="s">
        <v>25</v>
      </c>
      <c r="Q5097" s="37">
        <v>0.30779961567948233</v>
      </c>
      <c r="R5097" t="str">
        <f t="shared" si="219"/>
        <v>mmol/mol</v>
      </c>
      <c r="S5097" s="13" t="s">
        <v>25</v>
      </c>
    </row>
    <row r="5098" spans="1:19">
      <c r="A5098" s="18" t="s">
        <v>5486</v>
      </c>
      <c r="B5098" s="1" t="s">
        <v>5266</v>
      </c>
      <c r="C5098" s="1" t="s">
        <v>5488</v>
      </c>
      <c r="D5098" s="1" t="s">
        <v>5489</v>
      </c>
      <c r="E5098" s="1" t="s">
        <v>25</v>
      </c>
      <c r="F5098">
        <v>540</v>
      </c>
      <c r="G5098">
        <v>540</v>
      </c>
      <c r="H5098">
        <v>178</v>
      </c>
      <c r="I5098" s="1" t="s">
        <v>1528</v>
      </c>
      <c r="J5098" s="1" t="s">
        <v>25</v>
      </c>
      <c r="K5098" s="1" t="s">
        <v>25</v>
      </c>
      <c r="L5098" t="s">
        <v>25</v>
      </c>
      <c r="M5098" t="str">
        <f t="shared" si="217"/>
        <v>Na</v>
      </c>
      <c r="N5098" t="str">
        <f t="shared" si="218"/>
        <v>Na</v>
      </c>
      <c r="O5098" s="1" t="s">
        <v>25</v>
      </c>
      <c r="P5098" s="3" t="s">
        <v>25</v>
      </c>
      <c r="Q5098" s="37">
        <v>0.33694256923489518</v>
      </c>
      <c r="R5098" t="str">
        <f t="shared" si="219"/>
        <v>mmol/mol</v>
      </c>
      <c r="S5098" s="13" t="s">
        <v>25</v>
      </c>
    </row>
    <row r="5099" spans="1:19">
      <c r="A5099" s="18" t="s">
        <v>5486</v>
      </c>
      <c r="B5099" s="1" t="s">
        <v>5267</v>
      </c>
      <c r="C5099" s="1" t="s">
        <v>5488</v>
      </c>
      <c r="D5099" s="1" t="s">
        <v>5489</v>
      </c>
      <c r="E5099" s="1" t="s">
        <v>25</v>
      </c>
      <c r="F5099">
        <v>540</v>
      </c>
      <c r="G5099">
        <v>540</v>
      </c>
      <c r="H5099">
        <v>180</v>
      </c>
      <c r="I5099" s="1" t="s">
        <v>1528</v>
      </c>
      <c r="J5099" s="1" t="s">
        <v>25</v>
      </c>
      <c r="K5099" s="1" t="s">
        <v>25</v>
      </c>
      <c r="L5099" t="s">
        <v>25</v>
      </c>
      <c r="M5099" t="str">
        <f t="shared" si="217"/>
        <v>Na</v>
      </c>
      <c r="N5099" t="str">
        <f t="shared" si="218"/>
        <v>Na</v>
      </c>
      <c r="O5099" s="1" t="s">
        <v>25</v>
      </c>
      <c r="P5099" s="3" t="s">
        <v>25</v>
      </c>
      <c r="Q5099" s="37">
        <v>0.31770737776180391</v>
      </c>
      <c r="R5099" t="str">
        <f t="shared" si="219"/>
        <v>mmol/mol</v>
      </c>
      <c r="S5099" s="13" t="s">
        <v>25</v>
      </c>
    </row>
    <row r="5100" spans="1:19">
      <c r="A5100" s="18" t="s">
        <v>5486</v>
      </c>
      <c r="B5100" s="1" t="s">
        <v>5268</v>
      </c>
      <c r="C5100" s="1" t="s">
        <v>5488</v>
      </c>
      <c r="D5100" s="1" t="s">
        <v>5489</v>
      </c>
      <c r="E5100" s="1" t="s">
        <v>25</v>
      </c>
      <c r="F5100">
        <v>540</v>
      </c>
      <c r="G5100">
        <v>540</v>
      </c>
      <c r="H5100">
        <v>184</v>
      </c>
      <c r="I5100" s="1" t="s">
        <v>1528</v>
      </c>
      <c r="J5100" s="1" t="s">
        <v>25</v>
      </c>
      <c r="K5100" s="1" t="s">
        <v>25</v>
      </c>
      <c r="L5100" t="s">
        <v>25</v>
      </c>
      <c r="M5100" t="str">
        <f t="shared" si="217"/>
        <v>Na</v>
      </c>
      <c r="N5100" t="str">
        <f t="shared" si="218"/>
        <v>Na</v>
      </c>
      <c r="O5100" s="1" t="s">
        <v>25</v>
      </c>
      <c r="P5100" s="3" t="s">
        <v>25</v>
      </c>
      <c r="Q5100" s="37">
        <v>0.35557151769424256</v>
      </c>
      <c r="R5100" t="str">
        <f t="shared" si="219"/>
        <v>mmol/mol</v>
      </c>
      <c r="S5100" s="13" t="s">
        <v>25</v>
      </c>
    </row>
    <row r="5101" spans="1:19">
      <c r="A5101" s="18" t="s">
        <v>5486</v>
      </c>
      <c r="B5101" s="1" t="s">
        <v>5269</v>
      </c>
      <c r="C5101" s="1" t="s">
        <v>5488</v>
      </c>
      <c r="D5101" s="1" t="s">
        <v>5489</v>
      </c>
      <c r="E5101" s="1" t="s">
        <v>25</v>
      </c>
      <c r="F5101">
        <v>540</v>
      </c>
      <c r="G5101">
        <v>540</v>
      </c>
      <c r="H5101">
        <v>190</v>
      </c>
      <c r="I5101" s="1" t="s">
        <v>1528</v>
      </c>
      <c r="J5101" s="1" t="s">
        <v>25</v>
      </c>
      <c r="K5101" s="1" t="s">
        <v>25</v>
      </c>
      <c r="L5101" t="s">
        <v>25</v>
      </c>
      <c r="M5101" t="str">
        <f t="shared" si="217"/>
        <v>Na</v>
      </c>
      <c r="N5101" t="str">
        <f t="shared" si="218"/>
        <v>Na</v>
      </c>
      <c r="O5101" s="1" t="s">
        <v>25</v>
      </c>
      <c r="P5101" s="3" t="s">
        <v>25</v>
      </c>
      <c r="Q5101" s="37">
        <v>0.43553666353393772</v>
      </c>
      <c r="R5101" t="str">
        <f t="shared" si="219"/>
        <v>mmol/mol</v>
      </c>
      <c r="S5101" s="13" t="s">
        <v>25</v>
      </c>
    </row>
    <row r="5102" spans="1:19">
      <c r="A5102" s="18" t="s">
        <v>5486</v>
      </c>
      <c r="B5102" s="1" t="s">
        <v>5270</v>
      </c>
      <c r="C5102" s="1" t="s">
        <v>5488</v>
      </c>
      <c r="D5102" s="1" t="s">
        <v>5489</v>
      </c>
      <c r="E5102" s="1" t="s">
        <v>25</v>
      </c>
      <c r="F5102">
        <v>540</v>
      </c>
      <c r="G5102">
        <v>540</v>
      </c>
      <c r="H5102">
        <v>198</v>
      </c>
      <c r="I5102" s="1" t="s">
        <v>1528</v>
      </c>
      <c r="J5102" s="1" t="s">
        <v>25</v>
      </c>
      <c r="K5102" s="1" t="s">
        <v>25</v>
      </c>
      <c r="L5102" t="s">
        <v>25</v>
      </c>
      <c r="M5102" t="str">
        <f t="shared" si="217"/>
        <v>Na</v>
      </c>
      <c r="N5102" t="str">
        <f t="shared" si="218"/>
        <v>Na</v>
      </c>
      <c r="O5102" s="1" t="s">
        <v>25</v>
      </c>
      <c r="P5102" s="3" t="s">
        <v>25</v>
      </c>
      <c r="Q5102" s="37">
        <v>0.42730957298508915</v>
      </c>
      <c r="R5102" t="str">
        <f t="shared" si="219"/>
        <v>mmol/mol</v>
      </c>
      <c r="S5102" s="13" t="s">
        <v>25</v>
      </c>
    </row>
    <row r="5103" spans="1:19">
      <c r="A5103" s="18" t="s">
        <v>5486</v>
      </c>
      <c r="B5103" s="1" t="s">
        <v>5271</v>
      </c>
      <c r="C5103" s="1" t="s">
        <v>5490</v>
      </c>
      <c r="D5103" s="1" t="s">
        <v>5489</v>
      </c>
      <c r="E5103" s="1" t="s">
        <v>25</v>
      </c>
      <c r="F5103">
        <v>540</v>
      </c>
      <c r="G5103">
        <v>540</v>
      </c>
      <c r="H5103">
        <v>20.5</v>
      </c>
      <c r="I5103" s="1" t="s">
        <v>1528</v>
      </c>
      <c r="J5103" s="1" t="s">
        <v>25</v>
      </c>
      <c r="K5103" s="1" t="s">
        <v>25</v>
      </c>
      <c r="L5103" t="s">
        <v>25</v>
      </c>
      <c r="M5103" t="str">
        <f t="shared" si="217"/>
        <v>Na</v>
      </c>
      <c r="N5103" t="str">
        <f t="shared" si="218"/>
        <v>Na</v>
      </c>
      <c r="O5103" s="1" t="s">
        <v>25</v>
      </c>
      <c r="P5103" s="3" t="s">
        <v>25</v>
      </c>
      <c r="Q5103" s="37">
        <v>0.8416824473743677</v>
      </c>
      <c r="R5103" t="str">
        <f t="shared" si="219"/>
        <v>mmol/mol</v>
      </c>
      <c r="S5103" s="13" t="s">
        <v>25</v>
      </c>
    </row>
    <row r="5104" spans="1:19">
      <c r="A5104" s="18" t="s">
        <v>5486</v>
      </c>
      <c r="B5104" s="1" t="s">
        <v>5272</v>
      </c>
      <c r="C5104" s="1" t="s">
        <v>5490</v>
      </c>
      <c r="D5104" s="1" t="s">
        <v>5489</v>
      </c>
      <c r="E5104" s="1" t="s">
        <v>25</v>
      </c>
      <c r="F5104">
        <v>540</v>
      </c>
      <c r="G5104">
        <v>540</v>
      </c>
      <c r="H5104">
        <v>22</v>
      </c>
      <c r="I5104" s="1" t="s">
        <v>1528</v>
      </c>
      <c r="J5104" s="1" t="s">
        <v>25</v>
      </c>
      <c r="K5104" s="1" t="s">
        <v>25</v>
      </c>
      <c r="L5104" t="s">
        <v>25</v>
      </c>
      <c r="M5104" t="str">
        <f t="shared" ref="M5104:M5167" si="220">IF(L5104="Na","Na","44/40")</f>
        <v>Na</v>
      </c>
      <c r="N5104" t="str">
        <f t="shared" ref="N5104:N5167" si="221">IF(M5104="Na","Na","SW")</f>
        <v>Na</v>
      </c>
      <c r="O5104" s="1" t="s">
        <v>25</v>
      </c>
      <c r="P5104" s="3" t="s">
        <v>25</v>
      </c>
      <c r="Q5104" s="37">
        <v>0.95513465002983633</v>
      </c>
      <c r="R5104" t="str">
        <f t="shared" si="219"/>
        <v>mmol/mol</v>
      </c>
      <c r="S5104" s="13" t="s">
        <v>25</v>
      </c>
    </row>
    <row r="5105" spans="1:19">
      <c r="A5105" s="18" t="s">
        <v>5486</v>
      </c>
      <c r="B5105" s="1" t="s">
        <v>5273</v>
      </c>
      <c r="C5105" s="1" t="s">
        <v>5490</v>
      </c>
      <c r="D5105" s="1" t="s">
        <v>5489</v>
      </c>
      <c r="E5105" s="1" t="s">
        <v>25</v>
      </c>
      <c r="F5105">
        <v>540</v>
      </c>
      <c r="G5105">
        <v>540</v>
      </c>
      <c r="H5105">
        <v>23.5</v>
      </c>
      <c r="I5105" s="1" t="s">
        <v>1528</v>
      </c>
      <c r="J5105" s="1" t="s">
        <v>25</v>
      </c>
      <c r="K5105" s="1" t="s">
        <v>25</v>
      </c>
      <c r="L5105" t="s">
        <v>25</v>
      </c>
      <c r="M5105" t="str">
        <f t="shared" si="220"/>
        <v>Na</v>
      </c>
      <c r="N5105" t="str">
        <f t="shared" si="221"/>
        <v>Na</v>
      </c>
      <c r="O5105" s="1" t="s">
        <v>25</v>
      </c>
      <c r="P5105" s="3" t="s">
        <v>25</v>
      </c>
      <c r="Q5105" s="37">
        <v>0.7067682752726504</v>
      </c>
      <c r="R5105" t="str">
        <f t="shared" si="219"/>
        <v>mmol/mol</v>
      </c>
      <c r="S5105" s="13" t="s">
        <v>25</v>
      </c>
    </row>
    <row r="5106" spans="1:19">
      <c r="A5106" s="18" t="s">
        <v>5486</v>
      </c>
      <c r="B5106" s="1" t="s">
        <v>5274</v>
      </c>
      <c r="C5106" s="1" t="s">
        <v>5490</v>
      </c>
      <c r="D5106" s="1" t="s">
        <v>5489</v>
      </c>
      <c r="E5106" s="1" t="s">
        <v>25</v>
      </c>
      <c r="F5106">
        <v>540</v>
      </c>
      <c r="G5106">
        <v>540</v>
      </c>
      <c r="H5106">
        <v>25</v>
      </c>
      <c r="I5106" s="1" t="s">
        <v>1528</v>
      </c>
      <c r="J5106" s="1" t="s">
        <v>25</v>
      </c>
      <c r="K5106" s="1" t="s">
        <v>25</v>
      </c>
      <c r="L5106" t="s">
        <v>25</v>
      </c>
      <c r="M5106" t="str">
        <f t="shared" si="220"/>
        <v>Na</v>
      </c>
      <c r="N5106" t="str">
        <f t="shared" si="221"/>
        <v>Na</v>
      </c>
      <c r="O5106" s="1" t="s">
        <v>25</v>
      </c>
      <c r="P5106" s="3" t="s">
        <v>25</v>
      </c>
      <c r="Q5106" s="37">
        <v>0.69042577872649979</v>
      </c>
      <c r="R5106" t="str">
        <f t="shared" si="219"/>
        <v>mmol/mol</v>
      </c>
      <c r="S5106" s="13" t="s">
        <v>25</v>
      </c>
    </row>
    <row r="5107" spans="1:19">
      <c r="A5107" s="18" t="s">
        <v>5486</v>
      </c>
      <c r="B5107" s="1" t="s">
        <v>5275</v>
      </c>
      <c r="C5107" s="1" t="s">
        <v>5490</v>
      </c>
      <c r="D5107" s="1" t="s">
        <v>5489</v>
      </c>
      <c r="E5107" s="1" t="s">
        <v>25</v>
      </c>
      <c r="F5107">
        <v>540</v>
      </c>
      <c r="G5107">
        <v>540</v>
      </c>
      <c r="H5107">
        <v>26.5</v>
      </c>
      <c r="I5107" s="1" t="s">
        <v>1528</v>
      </c>
      <c r="J5107" s="1" t="s">
        <v>25</v>
      </c>
      <c r="K5107" s="1" t="s">
        <v>25</v>
      </c>
      <c r="L5107" t="s">
        <v>25</v>
      </c>
      <c r="M5107" t="str">
        <f t="shared" si="220"/>
        <v>Na</v>
      </c>
      <c r="N5107" t="str">
        <f t="shared" si="221"/>
        <v>Na</v>
      </c>
      <c r="O5107" s="1" t="s">
        <v>25</v>
      </c>
      <c r="P5107" s="3" t="s">
        <v>25</v>
      </c>
      <c r="Q5107" s="37">
        <v>0.64137566534739665</v>
      </c>
      <c r="R5107" t="str">
        <f t="shared" si="219"/>
        <v>mmol/mol</v>
      </c>
      <c r="S5107" s="13" t="s">
        <v>25</v>
      </c>
    </row>
    <row r="5108" spans="1:19">
      <c r="A5108" s="18" t="s">
        <v>5486</v>
      </c>
      <c r="B5108" s="1" t="s">
        <v>5276</v>
      </c>
      <c r="C5108" s="1" t="s">
        <v>5490</v>
      </c>
      <c r="D5108" s="1" t="s">
        <v>5489</v>
      </c>
      <c r="E5108" s="1" t="s">
        <v>25</v>
      </c>
      <c r="F5108">
        <v>540</v>
      </c>
      <c r="G5108">
        <v>540</v>
      </c>
      <c r="H5108">
        <v>28</v>
      </c>
      <c r="I5108" s="1" t="s">
        <v>1528</v>
      </c>
      <c r="J5108" s="1" t="s">
        <v>25</v>
      </c>
      <c r="K5108" s="1" t="s">
        <v>25</v>
      </c>
      <c r="L5108" t="s">
        <v>25</v>
      </c>
      <c r="M5108" t="str">
        <f t="shared" si="220"/>
        <v>Na</v>
      </c>
      <c r="N5108" t="str">
        <f t="shared" si="221"/>
        <v>Na</v>
      </c>
      <c r="O5108" s="1" t="s">
        <v>25</v>
      </c>
      <c r="P5108" s="3" t="s">
        <v>25</v>
      </c>
      <c r="Q5108" s="37">
        <v>0.76575065791616603</v>
      </c>
      <c r="R5108" t="str">
        <f t="shared" si="219"/>
        <v>mmol/mol</v>
      </c>
      <c r="S5108" s="13" t="s">
        <v>25</v>
      </c>
    </row>
    <row r="5109" spans="1:19">
      <c r="A5109" s="18" t="s">
        <v>5486</v>
      </c>
      <c r="B5109" s="1" t="s">
        <v>5277</v>
      </c>
      <c r="C5109" s="1" t="s">
        <v>5490</v>
      </c>
      <c r="D5109" s="1" t="s">
        <v>5489</v>
      </c>
      <c r="E5109" s="1" t="s">
        <v>25</v>
      </c>
      <c r="F5109">
        <v>540</v>
      </c>
      <c r="G5109">
        <v>540</v>
      </c>
      <c r="H5109">
        <v>29.5</v>
      </c>
      <c r="I5109" s="1" t="s">
        <v>1528</v>
      </c>
      <c r="J5109" s="1" t="s">
        <v>25</v>
      </c>
      <c r="K5109" s="1" t="s">
        <v>25</v>
      </c>
      <c r="L5109" t="s">
        <v>25</v>
      </c>
      <c r="M5109" t="str">
        <f t="shared" si="220"/>
        <v>Na</v>
      </c>
      <c r="N5109" t="str">
        <f t="shared" si="221"/>
        <v>Na</v>
      </c>
      <c r="O5109" s="1" t="s">
        <v>25</v>
      </c>
      <c r="P5109" s="3" t="s">
        <v>25</v>
      </c>
      <c r="Q5109" s="37">
        <v>0.49659147351568705</v>
      </c>
      <c r="R5109" t="str">
        <f t="shared" si="219"/>
        <v>mmol/mol</v>
      </c>
      <c r="S5109" s="13" t="s">
        <v>25</v>
      </c>
    </row>
    <row r="5110" spans="1:19">
      <c r="A5110" s="18" t="s">
        <v>5486</v>
      </c>
      <c r="B5110" s="1" t="s">
        <v>5278</v>
      </c>
      <c r="C5110" s="1" t="s">
        <v>5490</v>
      </c>
      <c r="D5110" s="1" t="s">
        <v>5489</v>
      </c>
      <c r="E5110" s="1" t="s">
        <v>25</v>
      </c>
      <c r="F5110">
        <v>540</v>
      </c>
      <c r="G5110">
        <v>540</v>
      </c>
      <c r="H5110">
        <v>31</v>
      </c>
      <c r="I5110" s="1" t="s">
        <v>1528</v>
      </c>
      <c r="J5110" s="1" t="s">
        <v>25</v>
      </c>
      <c r="K5110" s="1" t="s">
        <v>25</v>
      </c>
      <c r="L5110" t="s">
        <v>25</v>
      </c>
      <c r="M5110" t="str">
        <f t="shared" si="220"/>
        <v>Na</v>
      </c>
      <c r="N5110" t="str">
        <f t="shared" si="221"/>
        <v>Na</v>
      </c>
      <c r="O5110" s="1" t="s">
        <v>25</v>
      </c>
      <c r="P5110" s="3" t="s">
        <v>25</v>
      </c>
      <c r="Q5110" s="37">
        <v>0.88009027186510669</v>
      </c>
      <c r="R5110" t="str">
        <f t="shared" si="219"/>
        <v>mmol/mol</v>
      </c>
      <c r="S5110" s="13" t="s">
        <v>25</v>
      </c>
    </row>
    <row r="5111" spans="1:19">
      <c r="A5111" s="18" t="s">
        <v>5486</v>
      </c>
      <c r="B5111" s="1" t="s">
        <v>5279</v>
      </c>
      <c r="C5111" s="1" t="s">
        <v>5490</v>
      </c>
      <c r="D5111" s="1" t="s">
        <v>5489</v>
      </c>
      <c r="E5111" s="1" t="s">
        <v>25</v>
      </c>
      <c r="F5111">
        <v>540</v>
      </c>
      <c r="G5111">
        <v>540</v>
      </c>
      <c r="H5111">
        <v>32.5</v>
      </c>
      <c r="I5111" s="1" t="s">
        <v>1528</v>
      </c>
      <c r="J5111" s="1" t="s">
        <v>25</v>
      </c>
      <c r="K5111" s="1" t="s">
        <v>25</v>
      </c>
      <c r="L5111" t="s">
        <v>25</v>
      </c>
      <c r="M5111" t="str">
        <f t="shared" si="220"/>
        <v>Na</v>
      </c>
      <c r="N5111" t="str">
        <f t="shared" si="221"/>
        <v>Na</v>
      </c>
      <c r="O5111" s="1" t="s">
        <v>25</v>
      </c>
      <c r="P5111" s="3" t="s">
        <v>25</v>
      </c>
      <c r="Q5111" s="37">
        <v>0.71250000303039041</v>
      </c>
      <c r="R5111" t="str">
        <f t="shared" si="219"/>
        <v>mmol/mol</v>
      </c>
      <c r="S5111" s="13" t="s">
        <v>25</v>
      </c>
    </row>
    <row r="5112" spans="1:19">
      <c r="A5112" s="18" t="s">
        <v>5486</v>
      </c>
      <c r="B5112" s="1" t="s">
        <v>5280</v>
      </c>
      <c r="C5112" s="1" t="s">
        <v>5490</v>
      </c>
      <c r="D5112" s="1" t="s">
        <v>5489</v>
      </c>
      <c r="E5112" s="1" t="s">
        <v>25</v>
      </c>
      <c r="F5112">
        <v>540</v>
      </c>
      <c r="G5112">
        <v>540</v>
      </c>
      <c r="H5112">
        <v>34</v>
      </c>
      <c r="I5112" s="1" t="s">
        <v>1528</v>
      </c>
      <c r="J5112" s="1" t="s">
        <v>25</v>
      </c>
      <c r="K5112" s="1" t="s">
        <v>25</v>
      </c>
      <c r="L5112" t="s">
        <v>25</v>
      </c>
      <c r="M5112" t="str">
        <f t="shared" si="220"/>
        <v>Na</v>
      </c>
      <c r="N5112" t="str">
        <f t="shared" si="221"/>
        <v>Na</v>
      </c>
      <c r="O5112" s="1" t="s">
        <v>25</v>
      </c>
      <c r="P5112" s="3" t="s">
        <v>25</v>
      </c>
      <c r="Q5112" s="37">
        <v>0.55909941031679589</v>
      </c>
      <c r="R5112" t="str">
        <f t="shared" si="219"/>
        <v>mmol/mol</v>
      </c>
      <c r="S5112" s="13" t="s">
        <v>25</v>
      </c>
    </row>
    <row r="5113" spans="1:19">
      <c r="A5113" s="18" t="s">
        <v>5486</v>
      </c>
      <c r="B5113" s="1" t="s">
        <v>5281</v>
      </c>
      <c r="C5113" s="1" t="s">
        <v>5490</v>
      </c>
      <c r="D5113" s="1" t="s">
        <v>5489</v>
      </c>
      <c r="E5113" s="1" t="s">
        <v>25</v>
      </c>
      <c r="F5113">
        <v>540</v>
      </c>
      <c r="G5113">
        <v>540</v>
      </c>
      <c r="H5113">
        <v>35.5</v>
      </c>
      <c r="I5113" s="1" t="s">
        <v>1528</v>
      </c>
      <c r="J5113" s="1" t="s">
        <v>25</v>
      </c>
      <c r="K5113" s="1" t="s">
        <v>25</v>
      </c>
      <c r="L5113" t="s">
        <v>25</v>
      </c>
      <c r="M5113" t="str">
        <f t="shared" si="220"/>
        <v>Na</v>
      </c>
      <c r="N5113" t="str">
        <f t="shared" si="221"/>
        <v>Na</v>
      </c>
      <c r="O5113" s="1" t="s">
        <v>25</v>
      </c>
      <c r="P5113" s="3" t="s">
        <v>25</v>
      </c>
      <c r="Q5113" s="37">
        <v>0.38812141466600286</v>
      </c>
      <c r="R5113" t="str">
        <f t="shared" si="219"/>
        <v>mmol/mol</v>
      </c>
      <c r="S5113" s="13" t="s">
        <v>25</v>
      </c>
    </row>
    <row r="5114" spans="1:19">
      <c r="A5114" s="18" t="s">
        <v>5486</v>
      </c>
      <c r="B5114" s="1" t="s">
        <v>5282</v>
      </c>
      <c r="C5114" s="1" t="s">
        <v>5490</v>
      </c>
      <c r="D5114" s="1" t="s">
        <v>5489</v>
      </c>
      <c r="E5114" s="1" t="s">
        <v>25</v>
      </c>
      <c r="F5114">
        <v>540</v>
      </c>
      <c r="G5114">
        <v>540</v>
      </c>
      <c r="H5114">
        <v>37.5</v>
      </c>
      <c r="I5114" s="1" t="s">
        <v>1528</v>
      </c>
      <c r="J5114" s="1" t="s">
        <v>25</v>
      </c>
      <c r="K5114" s="1" t="s">
        <v>25</v>
      </c>
      <c r="L5114" t="s">
        <v>25</v>
      </c>
      <c r="M5114" t="str">
        <f t="shared" si="220"/>
        <v>Na</v>
      </c>
      <c r="N5114" t="str">
        <f t="shared" si="221"/>
        <v>Na</v>
      </c>
      <c r="O5114" s="1" t="s">
        <v>25</v>
      </c>
      <c r="P5114" s="3" t="s">
        <v>25</v>
      </c>
      <c r="Q5114" s="37">
        <v>0.50031985541516721</v>
      </c>
      <c r="R5114" t="str">
        <f t="shared" si="219"/>
        <v>mmol/mol</v>
      </c>
      <c r="S5114" s="13" t="s">
        <v>25</v>
      </c>
    </row>
    <row r="5115" spans="1:19">
      <c r="A5115" s="18" t="s">
        <v>5486</v>
      </c>
      <c r="B5115" s="1" t="s">
        <v>5283</v>
      </c>
      <c r="C5115" s="1" t="s">
        <v>5490</v>
      </c>
      <c r="D5115" s="1" t="s">
        <v>5489</v>
      </c>
      <c r="E5115" s="1" t="s">
        <v>25</v>
      </c>
      <c r="F5115">
        <v>540</v>
      </c>
      <c r="G5115">
        <v>540</v>
      </c>
      <c r="H5115">
        <v>39</v>
      </c>
      <c r="I5115" s="1" t="s">
        <v>1528</v>
      </c>
      <c r="J5115" s="1" t="s">
        <v>25</v>
      </c>
      <c r="K5115" s="1" t="s">
        <v>25</v>
      </c>
      <c r="L5115" t="s">
        <v>25</v>
      </c>
      <c r="M5115" t="str">
        <f t="shared" si="220"/>
        <v>Na</v>
      </c>
      <c r="N5115" t="str">
        <f t="shared" si="221"/>
        <v>Na</v>
      </c>
      <c r="O5115" s="1" t="s">
        <v>25</v>
      </c>
      <c r="P5115" s="3" t="s">
        <v>25</v>
      </c>
      <c r="Q5115" s="37">
        <v>0.61059471524989972</v>
      </c>
      <c r="R5115" t="str">
        <f t="shared" si="219"/>
        <v>mmol/mol</v>
      </c>
      <c r="S5115" s="13" t="s">
        <v>25</v>
      </c>
    </row>
    <row r="5116" spans="1:19">
      <c r="A5116" s="18" t="s">
        <v>5486</v>
      </c>
      <c r="B5116" s="1" t="s">
        <v>5284</v>
      </c>
      <c r="C5116" s="1" t="s">
        <v>5490</v>
      </c>
      <c r="D5116" s="1" t="s">
        <v>5489</v>
      </c>
      <c r="E5116" s="1" t="s">
        <v>25</v>
      </c>
      <c r="F5116">
        <v>540</v>
      </c>
      <c r="G5116">
        <v>540</v>
      </c>
      <c r="H5116">
        <v>40.5</v>
      </c>
      <c r="I5116" s="1" t="s">
        <v>1528</v>
      </c>
      <c r="J5116" s="1" t="s">
        <v>25</v>
      </c>
      <c r="K5116" s="1" t="s">
        <v>25</v>
      </c>
      <c r="L5116" t="s">
        <v>25</v>
      </c>
      <c r="M5116" t="str">
        <f t="shared" si="220"/>
        <v>Na</v>
      </c>
      <c r="N5116" t="str">
        <f t="shared" si="221"/>
        <v>Na</v>
      </c>
      <c r="O5116" s="1" t="s">
        <v>25</v>
      </c>
      <c r="P5116" s="3" t="s">
        <v>25</v>
      </c>
      <c r="Q5116" s="37">
        <v>0.72925069034043244</v>
      </c>
      <c r="R5116" t="str">
        <f t="shared" si="219"/>
        <v>mmol/mol</v>
      </c>
      <c r="S5116" s="13" t="s">
        <v>25</v>
      </c>
    </row>
    <row r="5117" spans="1:19">
      <c r="A5117" s="18" t="s">
        <v>5486</v>
      </c>
      <c r="B5117" s="1" t="s">
        <v>5285</v>
      </c>
      <c r="C5117" s="1" t="s">
        <v>5490</v>
      </c>
      <c r="D5117" s="1" t="s">
        <v>5489</v>
      </c>
      <c r="E5117" s="1" t="s">
        <v>25</v>
      </c>
      <c r="F5117">
        <v>540</v>
      </c>
      <c r="G5117">
        <v>540</v>
      </c>
      <c r="H5117">
        <v>42</v>
      </c>
      <c r="I5117" s="1" t="s">
        <v>1528</v>
      </c>
      <c r="J5117" s="1" t="s">
        <v>25</v>
      </c>
      <c r="K5117" s="1" t="s">
        <v>25</v>
      </c>
      <c r="L5117" t="s">
        <v>25</v>
      </c>
      <c r="M5117" t="str">
        <f t="shared" si="220"/>
        <v>Na</v>
      </c>
      <c r="N5117" t="str">
        <f t="shared" si="221"/>
        <v>Na</v>
      </c>
      <c r="O5117" s="1" t="s">
        <v>25</v>
      </c>
      <c r="P5117" s="3" t="s">
        <v>25</v>
      </c>
      <c r="Q5117" s="37">
        <v>0.58428976801331467</v>
      </c>
      <c r="R5117" t="str">
        <f t="shared" si="219"/>
        <v>mmol/mol</v>
      </c>
      <c r="S5117" s="13" t="s">
        <v>25</v>
      </c>
    </row>
    <row r="5118" spans="1:19">
      <c r="A5118" s="18" t="s">
        <v>5486</v>
      </c>
      <c r="B5118" s="1" t="s">
        <v>5286</v>
      </c>
      <c r="C5118" s="1" t="s">
        <v>5490</v>
      </c>
      <c r="D5118" s="1" t="s">
        <v>5489</v>
      </c>
      <c r="E5118" s="1" t="s">
        <v>25</v>
      </c>
      <c r="F5118">
        <v>540</v>
      </c>
      <c r="G5118">
        <v>540</v>
      </c>
      <c r="H5118">
        <v>43.5</v>
      </c>
      <c r="I5118" s="1" t="s">
        <v>1528</v>
      </c>
      <c r="J5118" s="1" t="s">
        <v>25</v>
      </c>
      <c r="K5118" s="1" t="s">
        <v>25</v>
      </c>
      <c r="L5118" t="s">
        <v>25</v>
      </c>
      <c r="M5118" t="str">
        <f t="shared" si="220"/>
        <v>Na</v>
      </c>
      <c r="N5118" t="str">
        <f t="shared" si="221"/>
        <v>Na</v>
      </c>
      <c r="O5118" s="1" t="s">
        <v>25</v>
      </c>
      <c r="P5118" s="3" t="s">
        <v>25</v>
      </c>
      <c r="Q5118" s="37">
        <v>0.58742686024158131</v>
      </c>
      <c r="R5118" t="str">
        <f t="shared" si="219"/>
        <v>mmol/mol</v>
      </c>
      <c r="S5118" s="13" t="s">
        <v>25</v>
      </c>
    </row>
    <row r="5119" spans="1:19">
      <c r="A5119" s="18" t="s">
        <v>5486</v>
      </c>
      <c r="B5119" s="1" t="s">
        <v>5287</v>
      </c>
      <c r="C5119" s="1" t="s">
        <v>5490</v>
      </c>
      <c r="D5119" s="1" t="s">
        <v>5489</v>
      </c>
      <c r="E5119" s="1" t="s">
        <v>25</v>
      </c>
      <c r="F5119">
        <v>540</v>
      </c>
      <c r="G5119">
        <v>540</v>
      </c>
      <c r="H5119">
        <v>45</v>
      </c>
      <c r="I5119" s="1" t="s">
        <v>1528</v>
      </c>
      <c r="J5119" s="1" t="s">
        <v>25</v>
      </c>
      <c r="K5119" s="1" t="s">
        <v>25</v>
      </c>
      <c r="L5119" t="s">
        <v>25</v>
      </c>
      <c r="M5119" t="str">
        <f t="shared" si="220"/>
        <v>Na</v>
      </c>
      <c r="N5119" t="str">
        <f t="shared" si="221"/>
        <v>Na</v>
      </c>
      <c r="O5119" s="1" t="s">
        <v>25</v>
      </c>
      <c r="P5119" s="3" t="s">
        <v>25</v>
      </c>
      <c r="Q5119" s="37">
        <v>0.53165466037379217</v>
      </c>
      <c r="R5119" t="str">
        <f t="shared" si="219"/>
        <v>mmol/mol</v>
      </c>
      <c r="S5119" s="13" t="s">
        <v>25</v>
      </c>
    </row>
    <row r="5120" spans="1:19">
      <c r="A5120" s="18" t="s">
        <v>5486</v>
      </c>
      <c r="B5120" s="1" t="s">
        <v>5288</v>
      </c>
      <c r="C5120" s="1" t="s">
        <v>5490</v>
      </c>
      <c r="D5120" s="1" t="s">
        <v>5489</v>
      </c>
      <c r="E5120" s="1" t="s">
        <v>25</v>
      </c>
      <c r="F5120">
        <v>540</v>
      </c>
      <c r="G5120">
        <v>540</v>
      </c>
      <c r="H5120">
        <v>46.5</v>
      </c>
      <c r="I5120" s="1" t="s">
        <v>1528</v>
      </c>
      <c r="J5120" s="1" t="s">
        <v>25</v>
      </c>
      <c r="K5120" s="1" t="s">
        <v>25</v>
      </c>
      <c r="L5120" t="s">
        <v>25</v>
      </c>
      <c r="M5120" t="str">
        <f t="shared" si="220"/>
        <v>Na</v>
      </c>
      <c r="N5120" t="str">
        <f t="shared" si="221"/>
        <v>Na</v>
      </c>
      <c r="O5120" s="1" t="s">
        <v>25</v>
      </c>
      <c r="P5120" s="3" t="s">
        <v>25</v>
      </c>
      <c r="Q5120" s="37">
        <v>0.6358007542991011</v>
      </c>
      <c r="R5120" t="str">
        <f t="shared" si="219"/>
        <v>mmol/mol</v>
      </c>
      <c r="S5120" s="13" t="s">
        <v>25</v>
      </c>
    </row>
    <row r="5121" spans="1:19">
      <c r="A5121" s="18" t="s">
        <v>5486</v>
      </c>
      <c r="B5121" s="1" t="s">
        <v>5289</v>
      </c>
      <c r="C5121" s="1" t="s">
        <v>5490</v>
      </c>
      <c r="D5121" s="1" t="s">
        <v>5489</v>
      </c>
      <c r="E5121" s="1" t="s">
        <v>25</v>
      </c>
      <c r="F5121">
        <v>540</v>
      </c>
      <c r="G5121">
        <v>540</v>
      </c>
      <c r="H5121">
        <v>48</v>
      </c>
      <c r="I5121" s="1" t="s">
        <v>1528</v>
      </c>
      <c r="J5121" s="1" t="s">
        <v>25</v>
      </c>
      <c r="K5121" s="1" t="s">
        <v>25</v>
      </c>
      <c r="L5121" t="s">
        <v>25</v>
      </c>
      <c r="M5121" t="str">
        <f t="shared" si="220"/>
        <v>Na</v>
      </c>
      <c r="N5121" t="str">
        <f t="shared" si="221"/>
        <v>Na</v>
      </c>
      <c r="O5121" s="1" t="s">
        <v>25</v>
      </c>
      <c r="P5121" s="3" t="s">
        <v>25</v>
      </c>
      <c r="Q5121" s="37">
        <v>0.65487771467181077</v>
      </c>
      <c r="R5121" t="str">
        <f t="shared" si="219"/>
        <v>mmol/mol</v>
      </c>
      <c r="S5121" s="13" t="s">
        <v>25</v>
      </c>
    </row>
    <row r="5122" spans="1:19">
      <c r="A5122" s="18" t="s">
        <v>5486</v>
      </c>
      <c r="B5122" s="1" t="s">
        <v>5290</v>
      </c>
      <c r="C5122" s="1" t="s">
        <v>5490</v>
      </c>
      <c r="D5122" s="1" t="s">
        <v>5489</v>
      </c>
      <c r="E5122" s="1" t="s">
        <v>25</v>
      </c>
      <c r="F5122">
        <v>540</v>
      </c>
      <c r="G5122">
        <v>540</v>
      </c>
      <c r="H5122">
        <v>49.5</v>
      </c>
      <c r="I5122" s="1" t="s">
        <v>1528</v>
      </c>
      <c r="J5122" s="1" t="s">
        <v>25</v>
      </c>
      <c r="K5122" s="1" t="s">
        <v>25</v>
      </c>
      <c r="L5122" t="s">
        <v>25</v>
      </c>
      <c r="M5122" t="str">
        <f t="shared" si="220"/>
        <v>Na</v>
      </c>
      <c r="N5122" t="str">
        <f t="shared" si="221"/>
        <v>Na</v>
      </c>
      <c r="O5122" s="1" t="s">
        <v>25</v>
      </c>
      <c r="P5122" s="3" t="s">
        <v>25</v>
      </c>
      <c r="Q5122" s="37">
        <v>0.62437237784807942</v>
      </c>
      <c r="R5122" t="str">
        <f t="shared" si="219"/>
        <v>mmol/mol</v>
      </c>
      <c r="S5122" s="13" t="s">
        <v>25</v>
      </c>
    </row>
    <row r="5123" spans="1:19">
      <c r="A5123" s="18" t="s">
        <v>5486</v>
      </c>
      <c r="B5123" s="1" t="s">
        <v>5291</v>
      </c>
      <c r="C5123" s="1" t="s">
        <v>5490</v>
      </c>
      <c r="D5123" s="1" t="s">
        <v>5489</v>
      </c>
      <c r="E5123" s="1" t="s">
        <v>25</v>
      </c>
      <c r="F5123">
        <v>540</v>
      </c>
      <c r="G5123">
        <v>540</v>
      </c>
      <c r="H5123">
        <v>51</v>
      </c>
      <c r="I5123" s="1" t="s">
        <v>1528</v>
      </c>
      <c r="J5123" s="1" t="s">
        <v>25</v>
      </c>
      <c r="K5123" s="1" t="s">
        <v>25</v>
      </c>
      <c r="L5123" t="s">
        <v>25</v>
      </c>
      <c r="M5123" t="str">
        <f t="shared" si="220"/>
        <v>Na</v>
      </c>
      <c r="N5123" t="str">
        <f t="shared" si="221"/>
        <v>Na</v>
      </c>
      <c r="O5123" s="1" t="s">
        <v>25</v>
      </c>
      <c r="P5123" s="3" t="s">
        <v>25</v>
      </c>
      <c r="Q5123" s="37">
        <v>0.60257024944063386</v>
      </c>
      <c r="R5123" t="str">
        <f t="shared" si="219"/>
        <v>mmol/mol</v>
      </c>
      <c r="S5123" s="13" t="s">
        <v>25</v>
      </c>
    </row>
    <row r="5124" spans="1:19">
      <c r="A5124" s="18" t="s">
        <v>5486</v>
      </c>
      <c r="B5124" s="1" t="s">
        <v>5292</v>
      </c>
      <c r="C5124" s="1" t="s">
        <v>5490</v>
      </c>
      <c r="D5124" s="1" t="s">
        <v>5489</v>
      </c>
      <c r="E5124" s="1" t="s">
        <v>25</v>
      </c>
      <c r="F5124">
        <v>540</v>
      </c>
      <c r="G5124">
        <v>540</v>
      </c>
      <c r="H5124">
        <v>52.5</v>
      </c>
      <c r="I5124" s="1" t="s">
        <v>1528</v>
      </c>
      <c r="J5124" s="1" t="s">
        <v>25</v>
      </c>
      <c r="K5124" s="1" t="s">
        <v>25</v>
      </c>
      <c r="L5124" t="s">
        <v>25</v>
      </c>
      <c r="M5124" t="str">
        <f t="shared" si="220"/>
        <v>Na</v>
      </c>
      <c r="N5124" t="str">
        <f t="shared" si="221"/>
        <v>Na</v>
      </c>
      <c r="O5124" s="1" t="s">
        <v>25</v>
      </c>
      <c r="P5124" s="3" t="s">
        <v>25</v>
      </c>
      <c r="Q5124" s="37">
        <v>0.72280738520630794</v>
      </c>
      <c r="R5124" t="str">
        <f t="shared" si="219"/>
        <v>mmol/mol</v>
      </c>
      <c r="S5124" s="13" t="s">
        <v>25</v>
      </c>
    </row>
    <row r="5125" spans="1:19">
      <c r="A5125" s="18" t="s">
        <v>5486</v>
      </c>
      <c r="B5125" s="1" t="s">
        <v>5293</v>
      </c>
      <c r="C5125" s="1" t="s">
        <v>5490</v>
      </c>
      <c r="D5125" s="1" t="s">
        <v>5489</v>
      </c>
      <c r="E5125" s="1" t="s">
        <v>25</v>
      </c>
      <c r="F5125">
        <v>540</v>
      </c>
      <c r="G5125">
        <v>540</v>
      </c>
      <c r="H5125">
        <v>54</v>
      </c>
      <c r="I5125" s="1" t="s">
        <v>1528</v>
      </c>
      <c r="J5125" s="1" t="s">
        <v>25</v>
      </c>
      <c r="K5125" s="1" t="s">
        <v>25</v>
      </c>
      <c r="L5125" t="s">
        <v>25</v>
      </c>
      <c r="M5125" t="str">
        <f t="shared" si="220"/>
        <v>Na</v>
      </c>
      <c r="N5125" t="str">
        <f t="shared" si="221"/>
        <v>Na</v>
      </c>
      <c r="O5125" s="1" t="s">
        <v>25</v>
      </c>
      <c r="P5125" s="3" t="s">
        <v>25</v>
      </c>
      <c r="Q5125" s="37">
        <v>0.78757957314379934</v>
      </c>
      <c r="R5125" t="str">
        <f t="shared" si="219"/>
        <v>mmol/mol</v>
      </c>
      <c r="S5125" s="13" t="s">
        <v>25</v>
      </c>
    </row>
    <row r="5126" spans="1:19">
      <c r="A5126" s="18" t="s">
        <v>5486</v>
      </c>
      <c r="B5126" s="1" t="s">
        <v>5294</v>
      </c>
      <c r="C5126" s="1" t="s">
        <v>5490</v>
      </c>
      <c r="D5126" s="1" t="s">
        <v>5489</v>
      </c>
      <c r="E5126" s="1" t="s">
        <v>25</v>
      </c>
      <c r="F5126">
        <v>540</v>
      </c>
      <c r="G5126">
        <v>540</v>
      </c>
      <c r="H5126">
        <v>55.5</v>
      </c>
      <c r="I5126" s="1" t="s">
        <v>1528</v>
      </c>
      <c r="J5126" s="1" t="s">
        <v>25</v>
      </c>
      <c r="K5126" s="1" t="s">
        <v>25</v>
      </c>
      <c r="L5126" t="s">
        <v>25</v>
      </c>
      <c r="M5126" t="str">
        <f t="shared" si="220"/>
        <v>Na</v>
      </c>
      <c r="N5126" t="str">
        <f t="shared" si="221"/>
        <v>Na</v>
      </c>
      <c r="O5126" s="1" t="s">
        <v>25</v>
      </c>
      <c r="P5126" s="3" t="s">
        <v>25</v>
      </c>
      <c r="Q5126" s="37">
        <v>0.81373914215581711</v>
      </c>
      <c r="R5126" t="str">
        <f t="shared" si="219"/>
        <v>mmol/mol</v>
      </c>
      <c r="S5126" s="13" t="s">
        <v>25</v>
      </c>
    </row>
    <row r="5127" spans="1:19">
      <c r="A5127" s="18" t="s">
        <v>5486</v>
      </c>
      <c r="B5127" s="1" t="s">
        <v>5295</v>
      </c>
      <c r="C5127" s="1" t="s">
        <v>5490</v>
      </c>
      <c r="D5127" s="1" t="s">
        <v>5489</v>
      </c>
      <c r="E5127" s="1" t="s">
        <v>25</v>
      </c>
      <c r="F5127">
        <v>540</v>
      </c>
      <c r="G5127">
        <v>540</v>
      </c>
      <c r="H5127">
        <v>57</v>
      </c>
      <c r="I5127" s="1" t="s">
        <v>1528</v>
      </c>
      <c r="J5127" s="1" t="s">
        <v>25</v>
      </c>
      <c r="K5127" s="1" t="s">
        <v>25</v>
      </c>
      <c r="L5127" t="s">
        <v>25</v>
      </c>
      <c r="M5127" t="str">
        <f t="shared" si="220"/>
        <v>Na</v>
      </c>
      <c r="N5127" t="str">
        <f t="shared" si="221"/>
        <v>Na</v>
      </c>
      <c r="O5127" s="1" t="s">
        <v>25</v>
      </c>
      <c r="P5127" s="3" t="s">
        <v>25</v>
      </c>
      <c r="Q5127" s="37">
        <v>0.63658723564573061</v>
      </c>
      <c r="R5127" t="str">
        <f t="shared" si="219"/>
        <v>mmol/mol</v>
      </c>
      <c r="S5127" s="13" t="s">
        <v>25</v>
      </c>
    </row>
    <row r="5128" spans="1:19">
      <c r="A5128" s="18" t="s">
        <v>5486</v>
      </c>
      <c r="B5128" s="1" t="s">
        <v>5296</v>
      </c>
      <c r="C5128" s="1" t="s">
        <v>5490</v>
      </c>
      <c r="D5128" s="1" t="s">
        <v>5489</v>
      </c>
      <c r="E5128" s="1" t="s">
        <v>25</v>
      </c>
      <c r="F5128">
        <v>540</v>
      </c>
      <c r="G5128">
        <v>540</v>
      </c>
      <c r="H5128">
        <v>58.5</v>
      </c>
      <c r="I5128" s="1" t="s">
        <v>1528</v>
      </c>
      <c r="J5128" s="1" t="s">
        <v>25</v>
      </c>
      <c r="K5128" s="1" t="s">
        <v>25</v>
      </c>
      <c r="L5128" t="s">
        <v>25</v>
      </c>
      <c r="M5128" t="str">
        <f t="shared" si="220"/>
        <v>Na</v>
      </c>
      <c r="N5128" t="str">
        <f t="shared" si="221"/>
        <v>Na</v>
      </c>
      <c r="O5128" s="1" t="s">
        <v>25</v>
      </c>
      <c r="P5128" s="3" t="s">
        <v>25</v>
      </c>
      <c r="Q5128" s="37">
        <v>0.94933527503811765</v>
      </c>
      <c r="R5128" t="str">
        <f t="shared" si="219"/>
        <v>mmol/mol</v>
      </c>
      <c r="S5128" s="13" t="s">
        <v>25</v>
      </c>
    </row>
    <row r="5129" spans="1:19">
      <c r="A5129" s="18" t="s">
        <v>5486</v>
      </c>
      <c r="B5129" s="1" t="s">
        <v>5297</v>
      </c>
      <c r="C5129" s="1" t="s">
        <v>5490</v>
      </c>
      <c r="D5129" s="1" t="s">
        <v>5489</v>
      </c>
      <c r="E5129" s="1" t="s">
        <v>25</v>
      </c>
      <c r="F5129">
        <v>540</v>
      </c>
      <c r="G5129">
        <v>540</v>
      </c>
      <c r="H5129">
        <v>60</v>
      </c>
      <c r="I5129" s="1" t="s">
        <v>1528</v>
      </c>
      <c r="J5129" s="1" t="s">
        <v>25</v>
      </c>
      <c r="K5129" s="1" t="s">
        <v>25</v>
      </c>
      <c r="L5129" t="s">
        <v>25</v>
      </c>
      <c r="M5129" t="str">
        <f t="shared" si="220"/>
        <v>Na</v>
      </c>
      <c r="N5129" t="str">
        <f t="shared" si="221"/>
        <v>Na</v>
      </c>
      <c r="O5129" s="1" t="s">
        <v>25</v>
      </c>
      <c r="P5129" s="3" t="s">
        <v>25</v>
      </c>
      <c r="Q5129" s="37">
        <v>0.78751551647261131</v>
      </c>
      <c r="R5129" t="str">
        <f t="shared" si="219"/>
        <v>mmol/mol</v>
      </c>
      <c r="S5129" s="13" t="s">
        <v>25</v>
      </c>
    </row>
    <row r="5130" spans="1:19">
      <c r="A5130" s="18" t="s">
        <v>5486</v>
      </c>
      <c r="B5130" s="1" t="s">
        <v>5298</v>
      </c>
      <c r="C5130" s="1" t="s">
        <v>5490</v>
      </c>
      <c r="D5130" s="1" t="s">
        <v>5489</v>
      </c>
      <c r="E5130" s="1" t="s">
        <v>25</v>
      </c>
      <c r="F5130">
        <v>540</v>
      </c>
      <c r="G5130">
        <v>540</v>
      </c>
      <c r="H5130">
        <v>61.5</v>
      </c>
      <c r="I5130" s="1" t="s">
        <v>1528</v>
      </c>
      <c r="J5130" s="1" t="s">
        <v>25</v>
      </c>
      <c r="K5130" s="1" t="s">
        <v>25</v>
      </c>
      <c r="L5130" t="s">
        <v>25</v>
      </c>
      <c r="M5130" t="str">
        <f t="shared" si="220"/>
        <v>Na</v>
      </c>
      <c r="N5130" t="str">
        <f t="shared" si="221"/>
        <v>Na</v>
      </c>
      <c r="O5130" s="1" t="s">
        <v>25</v>
      </c>
      <c r="P5130" s="3" t="s">
        <v>25</v>
      </c>
      <c r="Q5130" s="37">
        <v>0.73985335023984633</v>
      </c>
      <c r="R5130" t="str">
        <f t="shared" si="219"/>
        <v>mmol/mol</v>
      </c>
      <c r="S5130" s="13" t="s">
        <v>25</v>
      </c>
    </row>
    <row r="5131" spans="1:19">
      <c r="A5131" s="18" t="s">
        <v>5486</v>
      </c>
      <c r="B5131" s="1" t="s">
        <v>5299</v>
      </c>
      <c r="C5131" s="1" t="s">
        <v>5490</v>
      </c>
      <c r="D5131" s="1" t="s">
        <v>5489</v>
      </c>
      <c r="E5131" s="1" t="s">
        <v>25</v>
      </c>
      <c r="F5131">
        <v>540</v>
      </c>
      <c r="G5131">
        <v>540</v>
      </c>
      <c r="H5131">
        <v>63</v>
      </c>
      <c r="I5131" s="1" t="s">
        <v>1528</v>
      </c>
      <c r="J5131" s="1" t="s">
        <v>25</v>
      </c>
      <c r="K5131" s="1" t="s">
        <v>25</v>
      </c>
      <c r="L5131" t="s">
        <v>25</v>
      </c>
      <c r="M5131" t="str">
        <f t="shared" si="220"/>
        <v>Na</v>
      </c>
      <c r="N5131" t="str">
        <f t="shared" si="221"/>
        <v>Na</v>
      </c>
      <c r="O5131" s="1" t="s">
        <v>25</v>
      </c>
      <c r="P5131" s="3" t="s">
        <v>25</v>
      </c>
      <c r="Q5131" s="37">
        <v>0.74012839791711038</v>
      </c>
      <c r="R5131" t="str">
        <f t="shared" si="219"/>
        <v>mmol/mol</v>
      </c>
      <c r="S5131" s="13" t="s">
        <v>25</v>
      </c>
    </row>
    <row r="5132" spans="1:19">
      <c r="A5132" s="18" t="s">
        <v>5486</v>
      </c>
      <c r="B5132" s="1" t="s">
        <v>5300</v>
      </c>
      <c r="C5132" s="1" t="s">
        <v>5490</v>
      </c>
      <c r="D5132" s="1" t="s">
        <v>5489</v>
      </c>
      <c r="E5132" s="1" t="s">
        <v>25</v>
      </c>
      <c r="F5132">
        <v>540</v>
      </c>
      <c r="G5132">
        <v>540</v>
      </c>
      <c r="H5132">
        <v>64.5</v>
      </c>
      <c r="I5132" s="1" t="s">
        <v>1528</v>
      </c>
      <c r="J5132" s="1" t="s">
        <v>25</v>
      </c>
      <c r="K5132" s="1" t="s">
        <v>25</v>
      </c>
      <c r="L5132" t="s">
        <v>25</v>
      </c>
      <c r="M5132" t="str">
        <f t="shared" si="220"/>
        <v>Na</v>
      </c>
      <c r="N5132" t="str">
        <f t="shared" si="221"/>
        <v>Na</v>
      </c>
      <c r="O5132" s="1" t="s">
        <v>25</v>
      </c>
      <c r="P5132" s="3" t="s">
        <v>25</v>
      </c>
      <c r="Q5132" s="37">
        <v>0.62142944224959951</v>
      </c>
      <c r="R5132" t="str">
        <f t="shared" si="219"/>
        <v>mmol/mol</v>
      </c>
      <c r="S5132" s="13" t="s">
        <v>25</v>
      </c>
    </row>
    <row r="5133" spans="1:19">
      <c r="A5133" s="18" t="s">
        <v>5486</v>
      </c>
      <c r="B5133" s="1" t="s">
        <v>5301</v>
      </c>
      <c r="C5133" s="1" t="s">
        <v>5490</v>
      </c>
      <c r="D5133" s="1" t="s">
        <v>5489</v>
      </c>
      <c r="E5133" s="1" t="s">
        <v>25</v>
      </c>
      <c r="F5133">
        <v>540</v>
      </c>
      <c r="G5133">
        <v>540</v>
      </c>
      <c r="H5133">
        <v>65.5</v>
      </c>
      <c r="I5133" s="1" t="s">
        <v>1528</v>
      </c>
      <c r="J5133" s="1" t="s">
        <v>25</v>
      </c>
      <c r="K5133" s="1" t="s">
        <v>25</v>
      </c>
      <c r="L5133" t="s">
        <v>25</v>
      </c>
      <c r="M5133" t="str">
        <f t="shared" si="220"/>
        <v>Na</v>
      </c>
      <c r="N5133" t="str">
        <f t="shared" si="221"/>
        <v>Na</v>
      </c>
      <c r="O5133" s="1" t="s">
        <v>25</v>
      </c>
      <c r="P5133" s="3" t="s">
        <v>25</v>
      </c>
      <c r="Q5133" s="37">
        <v>0.67046219545141572</v>
      </c>
      <c r="R5133" t="str">
        <f t="shared" si="219"/>
        <v>mmol/mol</v>
      </c>
      <c r="S5133" s="13" t="s">
        <v>25</v>
      </c>
    </row>
    <row r="5134" spans="1:19">
      <c r="A5134" s="18" t="s">
        <v>5486</v>
      </c>
      <c r="B5134" s="1" t="s">
        <v>5302</v>
      </c>
      <c r="C5134" s="1" t="s">
        <v>5490</v>
      </c>
      <c r="D5134" s="1" t="s">
        <v>5489</v>
      </c>
      <c r="E5134" s="1" t="s">
        <v>25</v>
      </c>
      <c r="F5134">
        <v>540</v>
      </c>
      <c r="G5134">
        <v>540</v>
      </c>
      <c r="H5134">
        <v>67</v>
      </c>
      <c r="I5134" s="1" t="s">
        <v>1528</v>
      </c>
      <c r="J5134" s="1" t="s">
        <v>25</v>
      </c>
      <c r="K5134" s="1" t="s">
        <v>25</v>
      </c>
      <c r="L5134" t="s">
        <v>25</v>
      </c>
      <c r="M5134" t="str">
        <f t="shared" si="220"/>
        <v>Na</v>
      </c>
      <c r="N5134" t="str">
        <f t="shared" si="221"/>
        <v>Na</v>
      </c>
      <c r="O5134" s="1" t="s">
        <v>25</v>
      </c>
      <c r="P5134" s="3" t="s">
        <v>25</v>
      </c>
      <c r="Q5134" s="37">
        <v>0.66120161294727953</v>
      </c>
      <c r="R5134" t="str">
        <f t="shared" si="219"/>
        <v>mmol/mol</v>
      </c>
      <c r="S5134" s="13" t="s">
        <v>25</v>
      </c>
    </row>
    <row r="5135" spans="1:19">
      <c r="A5135" s="18" t="s">
        <v>5486</v>
      </c>
      <c r="B5135" s="1" t="s">
        <v>5303</v>
      </c>
      <c r="C5135" s="1" t="s">
        <v>5490</v>
      </c>
      <c r="D5135" s="1" t="s">
        <v>5489</v>
      </c>
      <c r="E5135" s="1" t="s">
        <v>25</v>
      </c>
      <c r="F5135">
        <v>540</v>
      </c>
      <c r="G5135">
        <v>540</v>
      </c>
      <c r="H5135">
        <v>96</v>
      </c>
      <c r="I5135" s="1" t="s">
        <v>1528</v>
      </c>
      <c r="J5135" s="1" t="s">
        <v>25</v>
      </c>
      <c r="K5135" s="1" t="s">
        <v>25</v>
      </c>
      <c r="L5135" t="s">
        <v>25</v>
      </c>
      <c r="M5135" t="str">
        <f t="shared" si="220"/>
        <v>Na</v>
      </c>
      <c r="N5135" t="str">
        <f t="shared" si="221"/>
        <v>Na</v>
      </c>
      <c r="O5135" s="1" t="s">
        <v>25</v>
      </c>
      <c r="P5135" s="3" t="s">
        <v>25</v>
      </c>
      <c r="Q5135" s="37">
        <v>1.1039381446798482</v>
      </c>
      <c r="R5135" t="str">
        <f t="shared" si="219"/>
        <v>mmol/mol</v>
      </c>
      <c r="S5135" s="13" t="s">
        <v>25</v>
      </c>
    </row>
    <row r="5136" spans="1:19">
      <c r="A5136" s="18" t="s">
        <v>5486</v>
      </c>
      <c r="B5136" s="1" t="s">
        <v>5304</v>
      </c>
      <c r="C5136" s="1" t="s">
        <v>5490</v>
      </c>
      <c r="D5136" s="1" t="s">
        <v>5489</v>
      </c>
      <c r="E5136" s="1" t="s">
        <v>25</v>
      </c>
      <c r="F5136">
        <v>540</v>
      </c>
      <c r="G5136">
        <v>540</v>
      </c>
      <c r="H5136">
        <v>97.5</v>
      </c>
      <c r="I5136" s="1" t="s">
        <v>1528</v>
      </c>
      <c r="J5136" s="1" t="s">
        <v>25</v>
      </c>
      <c r="K5136" s="1" t="s">
        <v>25</v>
      </c>
      <c r="L5136" t="s">
        <v>25</v>
      </c>
      <c r="M5136" t="str">
        <f t="shared" si="220"/>
        <v>Na</v>
      </c>
      <c r="N5136" t="str">
        <f t="shared" si="221"/>
        <v>Na</v>
      </c>
      <c r="O5136" s="1" t="s">
        <v>25</v>
      </c>
      <c r="P5136" s="3" t="s">
        <v>25</v>
      </c>
      <c r="Q5136" s="37">
        <v>2.1170453204856292</v>
      </c>
      <c r="R5136" t="str">
        <f t="shared" si="219"/>
        <v>mmol/mol</v>
      </c>
      <c r="S5136" s="13" t="s">
        <v>25</v>
      </c>
    </row>
    <row r="5137" spans="1:19">
      <c r="A5137" s="18" t="s">
        <v>5486</v>
      </c>
      <c r="B5137" s="1" t="s">
        <v>5305</v>
      </c>
      <c r="C5137" s="1" t="s">
        <v>5490</v>
      </c>
      <c r="D5137" s="1" t="s">
        <v>5489</v>
      </c>
      <c r="E5137" s="1" t="s">
        <v>25</v>
      </c>
      <c r="F5137">
        <v>540</v>
      </c>
      <c r="G5137">
        <v>540</v>
      </c>
      <c r="H5137">
        <v>99</v>
      </c>
      <c r="I5137" s="1" t="s">
        <v>1528</v>
      </c>
      <c r="J5137" s="1" t="s">
        <v>25</v>
      </c>
      <c r="K5137" s="1" t="s">
        <v>25</v>
      </c>
      <c r="L5137" t="s">
        <v>25</v>
      </c>
      <c r="M5137" t="str">
        <f t="shared" si="220"/>
        <v>Na</v>
      </c>
      <c r="N5137" t="str">
        <f t="shared" si="221"/>
        <v>Na</v>
      </c>
      <c r="O5137" s="1" t="s">
        <v>25</v>
      </c>
      <c r="P5137" s="3" t="s">
        <v>25</v>
      </c>
      <c r="Q5137" s="37">
        <v>2.5566222263058518</v>
      </c>
      <c r="R5137" t="str">
        <f t="shared" si="219"/>
        <v>mmol/mol</v>
      </c>
      <c r="S5137" s="13" t="s">
        <v>25</v>
      </c>
    </row>
    <row r="5138" spans="1:19">
      <c r="A5138" s="18" t="s">
        <v>5486</v>
      </c>
      <c r="B5138" s="1" t="s">
        <v>5306</v>
      </c>
      <c r="C5138" s="1" t="s">
        <v>5490</v>
      </c>
      <c r="D5138" s="1" t="s">
        <v>5489</v>
      </c>
      <c r="E5138" s="1" t="s">
        <v>25</v>
      </c>
      <c r="F5138">
        <v>540</v>
      </c>
      <c r="G5138">
        <v>540</v>
      </c>
      <c r="H5138">
        <v>100.5</v>
      </c>
      <c r="I5138" s="1" t="s">
        <v>1528</v>
      </c>
      <c r="J5138" s="1" t="s">
        <v>25</v>
      </c>
      <c r="K5138" s="1" t="s">
        <v>25</v>
      </c>
      <c r="L5138" t="s">
        <v>25</v>
      </c>
      <c r="M5138" t="str">
        <f t="shared" si="220"/>
        <v>Na</v>
      </c>
      <c r="N5138" t="str">
        <f t="shared" si="221"/>
        <v>Na</v>
      </c>
      <c r="O5138" s="1" t="s">
        <v>25</v>
      </c>
      <c r="P5138" s="3" t="s">
        <v>25</v>
      </c>
      <c r="Q5138" s="37">
        <v>1.341874958578867</v>
      </c>
      <c r="R5138" t="str">
        <f t="shared" si="219"/>
        <v>mmol/mol</v>
      </c>
      <c r="S5138" s="13" t="s">
        <v>25</v>
      </c>
    </row>
    <row r="5139" spans="1:19">
      <c r="A5139" s="18" t="s">
        <v>5486</v>
      </c>
      <c r="B5139" s="1" t="s">
        <v>5307</v>
      </c>
      <c r="C5139" s="1" t="s">
        <v>5490</v>
      </c>
      <c r="D5139" s="1" t="s">
        <v>5489</v>
      </c>
      <c r="E5139" s="1" t="s">
        <v>25</v>
      </c>
      <c r="F5139">
        <v>540</v>
      </c>
      <c r="G5139">
        <v>540</v>
      </c>
      <c r="H5139">
        <v>101.5</v>
      </c>
      <c r="I5139" s="1" t="s">
        <v>1528</v>
      </c>
      <c r="J5139" s="1" t="s">
        <v>25</v>
      </c>
      <c r="K5139" s="1" t="s">
        <v>25</v>
      </c>
      <c r="L5139" t="s">
        <v>25</v>
      </c>
      <c r="M5139" t="str">
        <f t="shared" si="220"/>
        <v>Na</v>
      </c>
      <c r="N5139" t="str">
        <f t="shared" si="221"/>
        <v>Na</v>
      </c>
      <c r="O5139" s="1" t="s">
        <v>25</v>
      </c>
      <c r="P5139" s="3" t="s">
        <v>25</v>
      </c>
      <c r="Q5139" s="37">
        <v>2.3356698796965478</v>
      </c>
      <c r="R5139" t="str">
        <f t="shared" si="219"/>
        <v>mmol/mol</v>
      </c>
      <c r="S5139" s="13" t="s">
        <v>25</v>
      </c>
    </row>
    <row r="5140" spans="1:19">
      <c r="A5140" s="18" t="s">
        <v>5486</v>
      </c>
      <c r="B5140" s="1" t="s">
        <v>5308</v>
      </c>
      <c r="C5140" s="1" t="s">
        <v>5490</v>
      </c>
      <c r="D5140" s="1" t="s">
        <v>5489</v>
      </c>
      <c r="E5140" s="1" t="s">
        <v>25</v>
      </c>
      <c r="F5140">
        <v>540</v>
      </c>
      <c r="G5140">
        <v>540</v>
      </c>
      <c r="H5140">
        <v>103</v>
      </c>
      <c r="I5140" s="1" t="s">
        <v>1528</v>
      </c>
      <c r="J5140" s="1" t="s">
        <v>25</v>
      </c>
      <c r="K5140" s="1" t="s">
        <v>25</v>
      </c>
      <c r="L5140" t="s">
        <v>25</v>
      </c>
      <c r="M5140" t="str">
        <f t="shared" si="220"/>
        <v>Na</v>
      </c>
      <c r="N5140" t="str">
        <f t="shared" si="221"/>
        <v>Na</v>
      </c>
      <c r="O5140" s="1" t="s">
        <v>25</v>
      </c>
      <c r="P5140" s="3" t="s">
        <v>25</v>
      </c>
      <c r="Q5140" s="37">
        <v>1.3703329548814887</v>
      </c>
      <c r="R5140" t="str">
        <f t="shared" si="219"/>
        <v>mmol/mol</v>
      </c>
      <c r="S5140" s="13" t="s">
        <v>25</v>
      </c>
    </row>
    <row r="5141" spans="1:19">
      <c r="A5141" s="18" t="s">
        <v>5486</v>
      </c>
      <c r="B5141" s="1" t="s">
        <v>5309</v>
      </c>
      <c r="C5141" s="1" t="s">
        <v>5490</v>
      </c>
      <c r="D5141" s="1" t="s">
        <v>5489</v>
      </c>
      <c r="E5141" s="1" t="s">
        <v>25</v>
      </c>
      <c r="F5141">
        <v>540</v>
      </c>
      <c r="G5141">
        <v>540</v>
      </c>
      <c r="H5141">
        <v>106</v>
      </c>
      <c r="I5141" s="1" t="s">
        <v>1528</v>
      </c>
      <c r="J5141" s="1" t="s">
        <v>25</v>
      </c>
      <c r="K5141" s="1" t="s">
        <v>25</v>
      </c>
      <c r="L5141" t="s">
        <v>25</v>
      </c>
      <c r="M5141" t="str">
        <f t="shared" si="220"/>
        <v>Na</v>
      </c>
      <c r="N5141" t="str">
        <f t="shared" si="221"/>
        <v>Na</v>
      </c>
      <c r="O5141" s="1" t="s">
        <v>25</v>
      </c>
      <c r="P5141" s="3" t="s">
        <v>25</v>
      </c>
      <c r="Q5141" s="37">
        <v>1.3281398659348596</v>
      </c>
      <c r="R5141" t="str">
        <f t="shared" si="219"/>
        <v>mmol/mol</v>
      </c>
      <c r="S5141" s="13" t="s">
        <v>25</v>
      </c>
    </row>
    <row r="5142" spans="1:19">
      <c r="A5142" s="18" t="s">
        <v>5486</v>
      </c>
      <c r="B5142" s="1" t="s">
        <v>5310</v>
      </c>
      <c r="C5142" s="1" t="s">
        <v>5490</v>
      </c>
      <c r="D5142" s="1" t="s">
        <v>5489</v>
      </c>
      <c r="E5142" s="1" t="s">
        <v>25</v>
      </c>
      <c r="F5142">
        <v>540</v>
      </c>
      <c r="G5142">
        <v>540</v>
      </c>
      <c r="H5142">
        <v>107.5</v>
      </c>
      <c r="I5142" s="1" t="s">
        <v>1528</v>
      </c>
      <c r="J5142" s="1" t="s">
        <v>25</v>
      </c>
      <c r="K5142" s="1" t="s">
        <v>25</v>
      </c>
      <c r="L5142" t="s">
        <v>25</v>
      </c>
      <c r="M5142" t="str">
        <f t="shared" si="220"/>
        <v>Na</v>
      </c>
      <c r="N5142" t="str">
        <f t="shared" si="221"/>
        <v>Na</v>
      </c>
      <c r="O5142" s="1" t="s">
        <v>25</v>
      </c>
      <c r="P5142" s="3" t="s">
        <v>25</v>
      </c>
      <c r="Q5142" s="37">
        <v>2.0893877491560335</v>
      </c>
      <c r="R5142" t="str">
        <f t="shared" si="219"/>
        <v>mmol/mol</v>
      </c>
      <c r="S5142" s="13" t="s">
        <v>25</v>
      </c>
    </row>
    <row r="5143" spans="1:19">
      <c r="A5143" s="18" t="s">
        <v>5486</v>
      </c>
      <c r="B5143" s="1" t="s">
        <v>5311</v>
      </c>
      <c r="C5143" s="1" t="s">
        <v>5490</v>
      </c>
      <c r="D5143" s="1" t="s">
        <v>5489</v>
      </c>
      <c r="E5143" s="1" t="s">
        <v>25</v>
      </c>
      <c r="F5143">
        <v>540</v>
      </c>
      <c r="G5143">
        <v>540</v>
      </c>
      <c r="H5143">
        <v>109</v>
      </c>
      <c r="I5143" s="1" t="s">
        <v>1528</v>
      </c>
      <c r="J5143" s="1" t="s">
        <v>25</v>
      </c>
      <c r="K5143" s="1" t="s">
        <v>25</v>
      </c>
      <c r="L5143" t="s">
        <v>25</v>
      </c>
      <c r="M5143" t="str">
        <f t="shared" si="220"/>
        <v>Na</v>
      </c>
      <c r="N5143" t="str">
        <f t="shared" si="221"/>
        <v>Na</v>
      </c>
      <c r="O5143" s="1" t="s">
        <v>25</v>
      </c>
      <c r="P5143" s="3" t="s">
        <v>25</v>
      </c>
      <c r="Q5143" s="37">
        <v>1.9680961252438729</v>
      </c>
      <c r="R5143" t="str">
        <f t="shared" si="219"/>
        <v>mmol/mol</v>
      </c>
      <c r="S5143" s="13" t="s">
        <v>25</v>
      </c>
    </row>
    <row r="5144" spans="1:19">
      <c r="A5144" s="18" t="s">
        <v>5486</v>
      </c>
      <c r="B5144" s="1" t="s">
        <v>5312</v>
      </c>
      <c r="C5144" s="1" t="s">
        <v>5490</v>
      </c>
      <c r="D5144" s="1" t="s">
        <v>5489</v>
      </c>
      <c r="E5144" s="1" t="s">
        <v>25</v>
      </c>
      <c r="F5144">
        <v>540</v>
      </c>
      <c r="G5144">
        <v>540</v>
      </c>
      <c r="H5144">
        <v>112</v>
      </c>
      <c r="I5144" s="1" t="s">
        <v>1528</v>
      </c>
      <c r="J5144" s="1" t="s">
        <v>25</v>
      </c>
      <c r="K5144" s="1" t="s">
        <v>25</v>
      </c>
      <c r="L5144" t="s">
        <v>25</v>
      </c>
      <c r="M5144" t="str">
        <f t="shared" si="220"/>
        <v>Na</v>
      </c>
      <c r="N5144" t="str">
        <f t="shared" si="221"/>
        <v>Na</v>
      </c>
      <c r="O5144" s="1" t="s">
        <v>25</v>
      </c>
      <c r="P5144" s="3" t="s">
        <v>25</v>
      </c>
      <c r="Q5144" s="37">
        <v>1.5657238023009292</v>
      </c>
      <c r="R5144" t="str">
        <f t="shared" si="219"/>
        <v>mmol/mol</v>
      </c>
      <c r="S5144" s="13" t="s">
        <v>25</v>
      </c>
    </row>
    <row r="5145" spans="1:19">
      <c r="A5145" s="18" t="s">
        <v>5486</v>
      </c>
      <c r="B5145" s="1" t="s">
        <v>5313</v>
      </c>
      <c r="C5145" s="1" t="s">
        <v>5490</v>
      </c>
      <c r="D5145" s="1" t="s">
        <v>5489</v>
      </c>
      <c r="E5145" s="1" t="s">
        <v>25</v>
      </c>
      <c r="F5145">
        <v>540</v>
      </c>
      <c r="G5145">
        <v>540</v>
      </c>
      <c r="H5145">
        <v>113.5</v>
      </c>
      <c r="I5145" s="1" t="s">
        <v>1528</v>
      </c>
      <c r="J5145" s="1" t="s">
        <v>25</v>
      </c>
      <c r="K5145" s="1" t="s">
        <v>25</v>
      </c>
      <c r="L5145" t="s">
        <v>25</v>
      </c>
      <c r="M5145" t="str">
        <f t="shared" si="220"/>
        <v>Na</v>
      </c>
      <c r="N5145" t="str">
        <f t="shared" si="221"/>
        <v>Na</v>
      </c>
      <c r="O5145" s="1" t="s">
        <v>25</v>
      </c>
      <c r="P5145" s="3" t="s">
        <v>25</v>
      </c>
      <c r="Q5145" s="37">
        <v>1.8283691171771059</v>
      </c>
      <c r="R5145" t="str">
        <f t="shared" ref="R5145:R5208" si="222">IF(Q5145="Na","Na","mmol/mol")</f>
        <v>mmol/mol</v>
      </c>
      <c r="S5145" s="13" t="s">
        <v>25</v>
      </c>
    </row>
    <row r="5146" spans="1:19">
      <c r="A5146" s="18" t="s">
        <v>5486</v>
      </c>
      <c r="B5146" s="1" t="s">
        <v>5314</v>
      </c>
      <c r="C5146" s="1" t="s">
        <v>5490</v>
      </c>
      <c r="D5146" s="1" t="s">
        <v>5489</v>
      </c>
      <c r="E5146" s="1" t="s">
        <v>25</v>
      </c>
      <c r="F5146">
        <v>540</v>
      </c>
      <c r="G5146">
        <v>540</v>
      </c>
      <c r="H5146">
        <v>115</v>
      </c>
      <c r="I5146" s="1" t="s">
        <v>1528</v>
      </c>
      <c r="J5146" s="1" t="s">
        <v>25</v>
      </c>
      <c r="K5146" s="1" t="s">
        <v>25</v>
      </c>
      <c r="L5146" t="s">
        <v>25</v>
      </c>
      <c r="M5146" t="str">
        <f t="shared" si="220"/>
        <v>Na</v>
      </c>
      <c r="N5146" t="str">
        <f t="shared" si="221"/>
        <v>Na</v>
      </c>
      <c r="O5146" s="1" t="s">
        <v>25</v>
      </c>
      <c r="P5146" s="3" t="s">
        <v>25</v>
      </c>
      <c r="Q5146" s="37">
        <v>1.9456329088333306</v>
      </c>
      <c r="R5146" t="str">
        <f t="shared" si="222"/>
        <v>mmol/mol</v>
      </c>
      <c r="S5146" s="13" t="s">
        <v>25</v>
      </c>
    </row>
    <row r="5147" spans="1:19">
      <c r="A5147" s="18" t="s">
        <v>5486</v>
      </c>
      <c r="B5147" s="1" t="s">
        <v>5315</v>
      </c>
      <c r="C5147" s="1" t="s">
        <v>5490</v>
      </c>
      <c r="D5147" s="1" t="s">
        <v>5489</v>
      </c>
      <c r="E5147" s="1" t="s">
        <v>25</v>
      </c>
      <c r="F5147">
        <v>540</v>
      </c>
      <c r="G5147">
        <v>540</v>
      </c>
      <c r="H5147">
        <v>116</v>
      </c>
      <c r="I5147" s="1" t="s">
        <v>1528</v>
      </c>
      <c r="J5147" s="1" t="s">
        <v>25</v>
      </c>
      <c r="K5147" s="1" t="s">
        <v>25</v>
      </c>
      <c r="L5147" t="s">
        <v>25</v>
      </c>
      <c r="M5147" t="str">
        <f t="shared" si="220"/>
        <v>Na</v>
      </c>
      <c r="N5147" t="str">
        <f t="shared" si="221"/>
        <v>Na</v>
      </c>
      <c r="O5147" s="1" t="s">
        <v>25</v>
      </c>
      <c r="P5147" s="3" t="s">
        <v>25</v>
      </c>
      <c r="Q5147" s="37">
        <v>1.9539451344729799</v>
      </c>
      <c r="R5147" t="str">
        <f t="shared" si="222"/>
        <v>mmol/mol</v>
      </c>
      <c r="S5147" s="13" t="s">
        <v>25</v>
      </c>
    </row>
    <row r="5148" spans="1:19">
      <c r="A5148" s="18" t="s">
        <v>5486</v>
      </c>
      <c r="B5148" s="1" t="s">
        <v>5316</v>
      </c>
      <c r="C5148" s="1" t="s">
        <v>5490</v>
      </c>
      <c r="D5148" s="1" t="s">
        <v>5489</v>
      </c>
      <c r="E5148" s="1" t="s">
        <v>25</v>
      </c>
      <c r="F5148">
        <v>540</v>
      </c>
      <c r="G5148">
        <v>540</v>
      </c>
      <c r="H5148">
        <v>117.5</v>
      </c>
      <c r="I5148" s="1" t="s">
        <v>1528</v>
      </c>
      <c r="J5148" s="1" t="s">
        <v>25</v>
      </c>
      <c r="K5148" s="1" t="s">
        <v>25</v>
      </c>
      <c r="L5148" t="s">
        <v>25</v>
      </c>
      <c r="M5148" t="str">
        <f t="shared" si="220"/>
        <v>Na</v>
      </c>
      <c r="N5148" t="str">
        <f t="shared" si="221"/>
        <v>Na</v>
      </c>
      <c r="O5148" s="1" t="s">
        <v>25</v>
      </c>
      <c r="P5148" s="3" t="s">
        <v>25</v>
      </c>
      <c r="Q5148" s="37">
        <v>1.6648605821982707</v>
      </c>
      <c r="R5148" t="str">
        <f t="shared" si="222"/>
        <v>mmol/mol</v>
      </c>
      <c r="S5148" s="13" t="s">
        <v>25</v>
      </c>
    </row>
    <row r="5149" spans="1:19">
      <c r="A5149" s="18" t="s">
        <v>5486</v>
      </c>
      <c r="B5149" s="1" t="s">
        <v>5317</v>
      </c>
      <c r="C5149" s="1" t="s">
        <v>5490</v>
      </c>
      <c r="D5149" s="1" t="s">
        <v>5489</v>
      </c>
      <c r="E5149" s="1" t="s">
        <v>25</v>
      </c>
      <c r="F5149">
        <v>540</v>
      </c>
      <c r="G5149">
        <v>540</v>
      </c>
      <c r="H5149">
        <v>119</v>
      </c>
      <c r="I5149" s="1" t="s">
        <v>1528</v>
      </c>
      <c r="J5149" s="1" t="s">
        <v>25</v>
      </c>
      <c r="K5149" s="1" t="s">
        <v>25</v>
      </c>
      <c r="L5149" t="s">
        <v>25</v>
      </c>
      <c r="M5149" t="str">
        <f t="shared" si="220"/>
        <v>Na</v>
      </c>
      <c r="N5149" t="str">
        <f t="shared" si="221"/>
        <v>Na</v>
      </c>
      <c r="O5149" s="1" t="s">
        <v>25</v>
      </c>
      <c r="P5149" s="3" t="s">
        <v>25</v>
      </c>
      <c r="Q5149" s="37">
        <v>1.2538755690580639</v>
      </c>
      <c r="R5149" t="str">
        <f t="shared" si="222"/>
        <v>mmol/mol</v>
      </c>
      <c r="S5149" s="13" t="s">
        <v>25</v>
      </c>
    </row>
    <row r="5150" spans="1:19">
      <c r="A5150" s="18" t="s">
        <v>5486</v>
      </c>
      <c r="B5150" s="1" t="s">
        <v>5318</v>
      </c>
      <c r="C5150" s="1" t="s">
        <v>5490</v>
      </c>
      <c r="D5150" s="1" t="s">
        <v>5489</v>
      </c>
      <c r="E5150" s="1" t="s">
        <v>25</v>
      </c>
      <c r="F5150">
        <v>540</v>
      </c>
      <c r="G5150">
        <v>540</v>
      </c>
      <c r="H5150">
        <v>120.5</v>
      </c>
      <c r="I5150" s="1" t="s">
        <v>1528</v>
      </c>
      <c r="J5150" s="1" t="s">
        <v>25</v>
      </c>
      <c r="K5150" s="1" t="s">
        <v>25</v>
      </c>
      <c r="L5150" t="s">
        <v>25</v>
      </c>
      <c r="M5150" t="str">
        <f t="shared" si="220"/>
        <v>Na</v>
      </c>
      <c r="N5150" t="str">
        <f t="shared" si="221"/>
        <v>Na</v>
      </c>
      <c r="O5150" s="1" t="s">
        <v>25</v>
      </c>
      <c r="P5150" s="3" t="s">
        <v>25</v>
      </c>
      <c r="Q5150" s="37">
        <v>1.7203379843681925</v>
      </c>
      <c r="R5150" t="str">
        <f t="shared" si="222"/>
        <v>mmol/mol</v>
      </c>
      <c r="S5150" s="13" t="s">
        <v>25</v>
      </c>
    </row>
    <row r="5151" spans="1:19">
      <c r="A5151" s="18" t="s">
        <v>5486</v>
      </c>
      <c r="B5151" s="1" t="s">
        <v>5319</v>
      </c>
      <c r="C5151" s="1" t="s">
        <v>5490</v>
      </c>
      <c r="D5151" s="1" t="s">
        <v>5489</v>
      </c>
      <c r="E5151" s="1" t="s">
        <v>25</v>
      </c>
      <c r="F5151">
        <v>540</v>
      </c>
      <c r="G5151">
        <v>540</v>
      </c>
      <c r="H5151">
        <v>122</v>
      </c>
      <c r="I5151" s="1" t="s">
        <v>1528</v>
      </c>
      <c r="J5151" s="1" t="s">
        <v>25</v>
      </c>
      <c r="K5151" s="1" t="s">
        <v>25</v>
      </c>
      <c r="L5151" t="s">
        <v>25</v>
      </c>
      <c r="M5151" t="str">
        <f t="shared" si="220"/>
        <v>Na</v>
      </c>
      <c r="N5151" t="str">
        <f t="shared" si="221"/>
        <v>Na</v>
      </c>
      <c r="O5151" s="1" t="s">
        <v>25</v>
      </c>
      <c r="P5151" s="3" t="s">
        <v>25</v>
      </c>
      <c r="Q5151" s="37">
        <v>1.8608301859508354</v>
      </c>
      <c r="R5151" t="str">
        <f t="shared" si="222"/>
        <v>mmol/mol</v>
      </c>
      <c r="S5151" s="13" t="s">
        <v>25</v>
      </c>
    </row>
    <row r="5152" spans="1:19">
      <c r="A5152" s="18" t="s">
        <v>5486</v>
      </c>
      <c r="B5152" s="1" t="s">
        <v>5320</v>
      </c>
      <c r="C5152" s="1" t="s">
        <v>5490</v>
      </c>
      <c r="D5152" s="1" t="s">
        <v>5489</v>
      </c>
      <c r="E5152" s="1" t="s">
        <v>25</v>
      </c>
      <c r="F5152">
        <v>540</v>
      </c>
      <c r="G5152">
        <v>540</v>
      </c>
      <c r="H5152">
        <v>125</v>
      </c>
      <c r="I5152" s="1" t="s">
        <v>1528</v>
      </c>
      <c r="J5152" s="1" t="s">
        <v>25</v>
      </c>
      <c r="K5152" s="1" t="s">
        <v>25</v>
      </c>
      <c r="L5152" t="s">
        <v>25</v>
      </c>
      <c r="M5152" t="str">
        <f t="shared" si="220"/>
        <v>Na</v>
      </c>
      <c r="N5152" t="str">
        <f t="shared" si="221"/>
        <v>Na</v>
      </c>
      <c r="O5152" s="1" t="s">
        <v>25</v>
      </c>
      <c r="P5152" s="3" t="s">
        <v>25</v>
      </c>
      <c r="Q5152" s="37">
        <v>1.0765486687592247</v>
      </c>
      <c r="R5152" t="str">
        <f t="shared" si="222"/>
        <v>mmol/mol</v>
      </c>
      <c r="S5152" s="13" t="s">
        <v>25</v>
      </c>
    </row>
    <row r="5153" spans="1:19">
      <c r="A5153" s="18" t="s">
        <v>5486</v>
      </c>
      <c r="B5153" s="1" t="s">
        <v>5321</v>
      </c>
      <c r="C5153" s="1" t="s">
        <v>5490</v>
      </c>
      <c r="D5153" s="1" t="s">
        <v>5489</v>
      </c>
      <c r="E5153" s="1" t="s">
        <v>25</v>
      </c>
      <c r="F5153">
        <v>540</v>
      </c>
      <c r="G5153">
        <v>540</v>
      </c>
      <c r="H5153">
        <v>126.5</v>
      </c>
      <c r="I5153" s="1" t="s">
        <v>1528</v>
      </c>
      <c r="J5153" s="1" t="s">
        <v>25</v>
      </c>
      <c r="K5153" s="1" t="s">
        <v>25</v>
      </c>
      <c r="L5153" t="s">
        <v>25</v>
      </c>
      <c r="M5153" t="str">
        <f t="shared" si="220"/>
        <v>Na</v>
      </c>
      <c r="N5153" t="str">
        <f t="shared" si="221"/>
        <v>Na</v>
      </c>
      <c r="O5153" s="1" t="s">
        <v>25</v>
      </c>
      <c r="P5153" s="3" t="s">
        <v>25</v>
      </c>
      <c r="Q5153" s="37">
        <v>1.8033060990587262</v>
      </c>
      <c r="R5153" t="str">
        <f t="shared" si="222"/>
        <v>mmol/mol</v>
      </c>
      <c r="S5153" s="13" t="s">
        <v>25</v>
      </c>
    </row>
    <row r="5154" spans="1:19">
      <c r="A5154" s="18" t="s">
        <v>5486</v>
      </c>
      <c r="B5154" s="1" t="s">
        <v>5322</v>
      </c>
      <c r="C5154" s="1" t="s">
        <v>5490</v>
      </c>
      <c r="D5154" s="1" t="s">
        <v>5489</v>
      </c>
      <c r="E5154" s="1" t="s">
        <v>25</v>
      </c>
      <c r="F5154">
        <v>540</v>
      </c>
      <c r="G5154">
        <v>540</v>
      </c>
      <c r="H5154">
        <v>128</v>
      </c>
      <c r="I5154" s="1" t="s">
        <v>1528</v>
      </c>
      <c r="J5154" s="1" t="s">
        <v>25</v>
      </c>
      <c r="K5154" s="1" t="s">
        <v>25</v>
      </c>
      <c r="L5154" t="s">
        <v>25</v>
      </c>
      <c r="M5154" t="str">
        <f t="shared" si="220"/>
        <v>Na</v>
      </c>
      <c r="N5154" t="str">
        <f t="shared" si="221"/>
        <v>Na</v>
      </c>
      <c r="O5154" s="1" t="s">
        <v>25</v>
      </c>
      <c r="P5154" s="3" t="s">
        <v>25</v>
      </c>
      <c r="Q5154" s="37">
        <v>2.3555161781207783</v>
      </c>
      <c r="R5154" t="str">
        <f t="shared" si="222"/>
        <v>mmol/mol</v>
      </c>
      <c r="S5154" s="13" t="s">
        <v>25</v>
      </c>
    </row>
    <row r="5155" spans="1:19">
      <c r="A5155" s="18" t="s">
        <v>5486</v>
      </c>
      <c r="B5155" s="1" t="s">
        <v>5323</v>
      </c>
      <c r="C5155" s="1" t="s">
        <v>5490</v>
      </c>
      <c r="D5155" s="1" t="s">
        <v>5489</v>
      </c>
      <c r="E5155" s="1" t="s">
        <v>25</v>
      </c>
      <c r="F5155">
        <v>540</v>
      </c>
      <c r="G5155">
        <v>540</v>
      </c>
      <c r="H5155">
        <v>129</v>
      </c>
      <c r="I5155" s="1" t="s">
        <v>1528</v>
      </c>
      <c r="J5155" s="1" t="s">
        <v>25</v>
      </c>
      <c r="K5155" s="1" t="s">
        <v>25</v>
      </c>
      <c r="L5155" t="s">
        <v>25</v>
      </c>
      <c r="M5155" t="str">
        <f t="shared" si="220"/>
        <v>Na</v>
      </c>
      <c r="N5155" t="str">
        <f t="shared" si="221"/>
        <v>Na</v>
      </c>
      <c r="O5155" s="1" t="s">
        <v>25</v>
      </c>
      <c r="P5155" s="3" t="s">
        <v>25</v>
      </c>
      <c r="Q5155" s="37">
        <v>2.4375067681350138</v>
      </c>
      <c r="R5155" t="str">
        <f t="shared" si="222"/>
        <v>mmol/mol</v>
      </c>
      <c r="S5155" s="13" t="s">
        <v>25</v>
      </c>
    </row>
    <row r="5156" spans="1:19">
      <c r="A5156" s="18" t="s">
        <v>5486</v>
      </c>
      <c r="B5156" s="1" t="s">
        <v>5324</v>
      </c>
      <c r="C5156" s="1" t="s">
        <v>5490</v>
      </c>
      <c r="D5156" s="1" t="s">
        <v>5489</v>
      </c>
      <c r="E5156" s="1" t="s">
        <v>25</v>
      </c>
      <c r="F5156">
        <v>540</v>
      </c>
      <c r="G5156">
        <v>540</v>
      </c>
      <c r="H5156">
        <v>130.5</v>
      </c>
      <c r="I5156" s="1" t="s">
        <v>1528</v>
      </c>
      <c r="J5156" s="1" t="s">
        <v>25</v>
      </c>
      <c r="K5156" s="1" t="s">
        <v>25</v>
      </c>
      <c r="L5156" t="s">
        <v>25</v>
      </c>
      <c r="M5156" t="str">
        <f t="shared" si="220"/>
        <v>Na</v>
      </c>
      <c r="N5156" t="str">
        <f t="shared" si="221"/>
        <v>Na</v>
      </c>
      <c r="O5156" s="1" t="s">
        <v>25</v>
      </c>
      <c r="P5156" s="3" t="s">
        <v>25</v>
      </c>
      <c r="Q5156" s="37">
        <v>1.5099095142071763</v>
      </c>
      <c r="R5156" t="str">
        <f t="shared" si="222"/>
        <v>mmol/mol</v>
      </c>
      <c r="S5156" s="13" t="s">
        <v>25</v>
      </c>
    </row>
    <row r="5157" spans="1:19">
      <c r="A5157" s="18" t="s">
        <v>5486</v>
      </c>
      <c r="B5157" s="1" t="s">
        <v>5325</v>
      </c>
      <c r="C5157" s="1" t="s">
        <v>5490</v>
      </c>
      <c r="D5157" s="1" t="s">
        <v>5489</v>
      </c>
      <c r="E5157" s="1" t="s">
        <v>25</v>
      </c>
      <c r="F5157">
        <v>540</v>
      </c>
      <c r="G5157">
        <v>540</v>
      </c>
      <c r="H5157">
        <v>132</v>
      </c>
      <c r="I5157" s="1" t="s">
        <v>1528</v>
      </c>
      <c r="J5157" s="1" t="s">
        <v>25</v>
      </c>
      <c r="K5157" s="1" t="s">
        <v>25</v>
      </c>
      <c r="L5157" t="s">
        <v>25</v>
      </c>
      <c r="M5157" t="str">
        <f t="shared" si="220"/>
        <v>Na</v>
      </c>
      <c r="N5157" t="str">
        <f t="shared" si="221"/>
        <v>Na</v>
      </c>
      <c r="O5157" s="1" t="s">
        <v>25</v>
      </c>
      <c r="P5157" s="3" t="s">
        <v>25</v>
      </c>
      <c r="Q5157" s="37">
        <v>1.0250493550076123</v>
      </c>
      <c r="R5157" t="str">
        <f t="shared" si="222"/>
        <v>mmol/mol</v>
      </c>
      <c r="S5157" s="13" t="s">
        <v>25</v>
      </c>
    </row>
    <row r="5158" spans="1:19">
      <c r="A5158" s="18" t="s">
        <v>5486</v>
      </c>
      <c r="B5158" s="1" t="s">
        <v>5326</v>
      </c>
      <c r="C5158" s="1" t="s">
        <v>5490</v>
      </c>
      <c r="D5158" s="1" t="s">
        <v>5489</v>
      </c>
      <c r="E5158" s="1" t="s">
        <v>25</v>
      </c>
      <c r="F5158">
        <v>540</v>
      </c>
      <c r="G5158">
        <v>540</v>
      </c>
      <c r="H5158">
        <v>133.5</v>
      </c>
      <c r="I5158" s="1" t="s">
        <v>1528</v>
      </c>
      <c r="J5158" s="1" t="s">
        <v>25</v>
      </c>
      <c r="K5158" s="1" t="s">
        <v>25</v>
      </c>
      <c r="L5158" t="s">
        <v>25</v>
      </c>
      <c r="M5158" t="str">
        <f t="shared" si="220"/>
        <v>Na</v>
      </c>
      <c r="N5158" t="str">
        <f t="shared" si="221"/>
        <v>Na</v>
      </c>
      <c r="O5158" s="1" t="s">
        <v>25</v>
      </c>
      <c r="P5158" s="3" t="s">
        <v>25</v>
      </c>
      <c r="Q5158" s="37">
        <v>1.2206876940767883</v>
      </c>
      <c r="R5158" t="str">
        <f t="shared" si="222"/>
        <v>mmol/mol</v>
      </c>
      <c r="S5158" s="13" t="s">
        <v>25</v>
      </c>
    </row>
    <row r="5159" spans="1:19">
      <c r="A5159" s="18" t="s">
        <v>5486</v>
      </c>
      <c r="B5159" s="1" t="s">
        <v>5327</v>
      </c>
      <c r="C5159" s="1" t="s">
        <v>5490</v>
      </c>
      <c r="D5159" s="1" t="s">
        <v>5489</v>
      </c>
      <c r="E5159" s="1" t="s">
        <v>25</v>
      </c>
      <c r="F5159">
        <v>540</v>
      </c>
      <c r="G5159">
        <v>540</v>
      </c>
      <c r="H5159">
        <v>135</v>
      </c>
      <c r="I5159" s="1" t="s">
        <v>1528</v>
      </c>
      <c r="J5159" s="1" t="s">
        <v>25</v>
      </c>
      <c r="K5159" s="1" t="s">
        <v>25</v>
      </c>
      <c r="L5159" t="s">
        <v>25</v>
      </c>
      <c r="M5159" t="str">
        <f t="shared" si="220"/>
        <v>Na</v>
      </c>
      <c r="N5159" t="str">
        <f t="shared" si="221"/>
        <v>Na</v>
      </c>
      <c r="O5159" s="1" t="s">
        <v>25</v>
      </c>
      <c r="P5159" s="3" t="s">
        <v>25</v>
      </c>
      <c r="Q5159" s="37">
        <v>1.0449603067132998</v>
      </c>
      <c r="R5159" t="str">
        <f t="shared" si="222"/>
        <v>mmol/mol</v>
      </c>
      <c r="S5159" s="13" t="s">
        <v>25</v>
      </c>
    </row>
    <row r="5160" spans="1:19">
      <c r="A5160" s="18" t="s">
        <v>5486</v>
      </c>
      <c r="B5160" s="1" t="s">
        <v>5328</v>
      </c>
      <c r="C5160" s="1" t="s">
        <v>5490</v>
      </c>
      <c r="D5160" s="1" t="s">
        <v>5489</v>
      </c>
      <c r="E5160" s="1" t="s">
        <v>25</v>
      </c>
      <c r="F5160">
        <v>540</v>
      </c>
      <c r="G5160">
        <v>540</v>
      </c>
      <c r="H5160">
        <v>136.5</v>
      </c>
      <c r="I5160" s="1" t="s">
        <v>1528</v>
      </c>
      <c r="J5160" s="1" t="s">
        <v>25</v>
      </c>
      <c r="K5160" s="1" t="s">
        <v>25</v>
      </c>
      <c r="L5160" t="s">
        <v>25</v>
      </c>
      <c r="M5160" t="str">
        <f t="shared" si="220"/>
        <v>Na</v>
      </c>
      <c r="N5160" t="str">
        <f t="shared" si="221"/>
        <v>Na</v>
      </c>
      <c r="O5160" s="1" t="s">
        <v>25</v>
      </c>
      <c r="P5160" s="3" t="s">
        <v>25</v>
      </c>
      <c r="Q5160" s="37">
        <v>1.3219957558655189</v>
      </c>
      <c r="R5160" t="str">
        <f t="shared" si="222"/>
        <v>mmol/mol</v>
      </c>
      <c r="S5160" s="13" t="s">
        <v>25</v>
      </c>
    </row>
    <row r="5161" spans="1:19">
      <c r="A5161" s="18" t="s">
        <v>5486</v>
      </c>
      <c r="B5161" s="1" t="s">
        <v>5329</v>
      </c>
      <c r="C5161" s="1" t="s">
        <v>5490</v>
      </c>
      <c r="D5161" s="1" t="s">
        <v>5489</v>
      </c>
      <c r="E5161" s="1" t="s">
        <v>25</v>
      </c>
      <c r="F5161">
        <v>540</v>
      </c>
      <c r="G5161">
        <v>540</v>
      </c>
      <c r="H5161">
        <v>138</v>
      </c>
      <c r="I5161" s="1" t="s">
        <v>1528</v>
      </c>
      <c r="J5161" s="1" t="s">
        <v>25</v>
      </c>
      <c r="K5161" s="1" t="s">
        <v>25</v>
      </c>
      <c r="L5161" t="s">
        <v>25</v>
      </c>
      <c r="M5161" t="str">
        <f t="shared" si="220"/>
        <v>Na</v>
      </c>
      <c r="N5161" t="str">
        <f t="shared" si="221"/>
        <v>Na</v>
      </c>
      <c r="O5161" s="1" t="s">
        <v>25</v>
      </c>
      <c r="P5161" s="3" t="s">
        <v>25</v>
      </c>
      <c r="Q5161" s="37">
        <v>1.3500947518724979</v>
      </c>
      <c r="R5161" t="str">
        <f t="shared" si="222"/>
        <v>mmol/mol</v>
      </c>
      <c r="S5161" s="13" t="s">
        <v>25</v>
      </c>
    </row>
    <row r="5162" spans="1:19">
      <c r="A5162" s="18" t="s">
        <v>5486</v>
      </c>
      <c r="B5162" s="1" t="s">
        <v>5330</v>
      </c>
      <c r="C5162" s="1" t="s">
        <v>5490</v>
      </c>
      <c r="D5162" s="1" t="s">
        <v>5489</v>
      </c>
      <c r="E5162" s="1" t="s">
        <v>25</v>
      </c>
      <c r="F5162">
        <v>540</v>
      </c>
      <c r="G5162">
        <v>540</v>
      </c>
      <c r="H5162">
        <v>139</v>
      </c>
      <c r="I5162" s="1" t="s">
        <v>1528</v>
      </c>
      <c r="J5162" s="1" t="s">
        <v>25</v>
      </c>
      <c r="K5162" s="1" t="s">
        <v>25</v>
      </c>
      <c r="L5162" t="s">
        <v>25</v>
      </c>
      <c r="M5162" t="str">
        <f t="shared" si="220"/>
        <v>Na</v>
      </c>
      <c r="N5162" t="str">
        <f t="shared" si="221"/>
        <v>Na</v>
      </c>
      <c r="O5162" s="1" t="s">
        <v>25</v>
      </c>
      <c r="P5162" s="3" t="s">
        <v>25</v>
      </c>
      <c r="Q5162" s="37">
        <v>2.0493710077216232</v>
      </c>
      <c r="R5162" t="str">
        <f t="shared" si="222"/>
        <v>mmol/mol</v>
      </c>
      <c r="S5162" s="13" t="s">
        <v>25</v>
      </c>
    </row>
    <row r="5163" spans="1:19">
      <c r="A5163" s="18" t="s">
        <v>5486</v>
      </c>
      <c r="B5163" s="1" t="s">
        <v>5331</v>
      </c>
      <c r="C5163" s="1" t="s">
        <v>5490</v>
      </c>
      <c r="D5163" s="1" t="s">
        <v>5489</v>
      </c>
      <c r="E5163" s="1" t="s">
        <v>25</v>
      </c>
      <c r="F5163">
        <v>540</v>
      </c>
      <c r="G5163">
        <v>540</v>
      </c>
      <c r="H5163">
        <v>140.5</v>
      </c>
      <c r="I5163" s="1" t="s">
        <v>1528</v>
      </c>
      <c r="J5163" s="1" t="s">
        <v>25</v>
      </c>
      <c r="K5163" s="1" t="s">
        <v>25</v>
      </c>
      <c r="L5163" t="s">
        <v>25</v>
      </c>
      <c r="M5163" t="str">
        <f t="shared" si="220"/>
        <v>Na</v>
      </c>
      <c r="N5163" t="str">
        <f t="shared" si="221"/>
        <v>Na</v>
      </c>
      <c r="O5163" s="1" t="s">
        <v>25</v>
      </c>
      <c r="P5163" s="3" t="s">
        <v>25</v>
      </c>
      <c r="Q5163" s="37">
        <v>1.9391502647274286</v>
      </c>
      <c r="R5163" t="str">
        <f t="shared" si="222"/>
        <v>mmol/mol</v>
      </c>
      <c r="S5163" s="13" t="s">
        <v>25</v>
      </c>
    </row>
    <row r="5164" spans="1:19">
      <c r="A5164" s="18" t="s">
        <v>5486</v>
      </c>
      <c r="B5164" s="1" t="s">
        <v>5332</v>
      </c>
      <c r="C5164" s="1" t="s">
        <v>5490</v>
      </c>
      <c r="D5164" s="1" t="s">
        <v>5489</v>
      </c>
      <c r="E5164" s="1" t="s">
        <v>25</v>
      </c>
      <c r="F5164">
        <v>540</v>
      </c>
      <c r="G5164">
        <v>540</v>
      </c>
      <c r="H5164">
        <v>142</v>
      </c>
      <c r="I5164" s="1" t="s">
        <v>1528</v>
      </c>
      <c r="J5164" s="1" t="s">
        <v>25</v>
      </c>
      <c r="K5164" s="1" t="s">
        <v>25</v>
      </c>
      <c r="L5164" t="s">
        <v>25</v>
      </c>
      <c r="M5164" t="str">
        <f t="shared" si="220"/>
        <v>Na</v>
      </c>
      <c r="N5164" t="str">
        <f t="shared" si="221"/>
        <v>Na</v>
      </c>
      <c r="O5164" s="1" t="s">
        <v>25</v>
      </c>
      <c r="P5164" s="3" t="s">
        <v>25</v>
      </c>
      <c r="Q5164" s="37">
        <v>3.3067892473666585</v>
      </c>
      <c r="R5164" t="str">
        <f t="shared" si="222"/>
        <v>mmol/mol</v>
      </c>
      <c r="S5164" s="13" t="s">
        <v>25</v>
      </c>
    </row>
    <row r="5165" spans="1:19">
      <c r="A5165" s="18" t="s">
        <v>5486</v>
      </c>
      <c r="B5165" s="1" t="s">
        <v>5333</v>
      </c>
      <c r="C5165" s="1" t="s">
        <v>5490</v>
      </c>
      <c r="D5165" s="1" t="s">
        <v>5489</v>
      </c>
      <c r="E5165" s="1" t="s">
        <v>25</v>
      </c>
      <c r="F5165">
        <v>540</v>
      </c>
      <c r="G5165">
        <v>540</v>
      </c>
      <c r="H5165">
        <v>143.5</v>
      </c>
      <c r="I5165" s="1" t="s">
        <v>1528</v>
      </c>
      <c r="J5165" s="1" t="s">
        <v>25</v>
      </c>
      <c r="K5165" s="1" t="s">
        <v>25</v>
      </c>
      <c r="L5165" t="s">
        <v>25</v>
      </c>
      <c r="M5165" t="str">
        <f t="shared" si="220"/>
        <v>Na</v>
      </c>
      <c r="N5165" t="str">
        <f t="shared" si="221"/>
        <v>Na</v>
      </c>
      <c r="O5165" s="1" t="s">
        <v>25</v>
      </c>
      <c r="P5165" s="3" t="s">
        <v>25</v>
      </c>
      <c r="Q5165" s="37">
        <v>0.71104431808810142</v>
      </c>
      <c r="R5165" t="str">
        <f t="shared" si="222"/>
        <v>mmol/mol</v>
      </c>
      <c r="S5165" s="13" t="s">
        <v>25</v>
      </c>
    </row>
    <row r="5166" spans="1:19">
      <c r="A5166" s="18" t="s">
        <v>5486</v>
      </c>
      <c r="B5166" s="1" t="s">
        <v>5334</v>
      </c>
      <c r="C5166" s="1" t="s">
        <v>5490</v>
      </c>
      <c r="D5166" s="1" t="s">
        <v>5489</v>
      </c>
      <c r="E5166" s="1" t="s">
        <v>25</v>
      </c>
      <c r="F5166">
        <v>540</v>
      </c>
      <c r="G5166">
        <v>540</v>
      </c>
      <c r="H5166">
        <v>145</v>
      </c>
      <c r="I5166" s="1" t="s">
        <v>1528</v>
      </c>
      <c r="J5166" s="1" t="s">
        <v>25</v>
      </c>
      <c r="K5166" s="1" t="s">
        <v>25</v>
      </c>
      <c r="L5166" t="s">
        <v>25</v>
      </c>
      <c r="M5166" t="str">
        <f t="shared" si="220"/>
        <v>Na</v>
      </c>
      <c r="N5166" t="str">
        <f t="shared" si="221"/>
        <v>Na</v>
      </c>
      <c r="O5166" s="1" t="s">
        <v>25</v>
      </c>
      <c r="P5166" s="3" t="s">
        <v>25</v>
      </c>
      <c r="Q5166" s="37">
        <v>0.5448387977780601</v>
      </c>
      <c r="R5166" t="str">
        <f t="shared" si="222"/>
        <v>mmol/mol</v>
      </c>
      <c r="S5166" s="13" t="s">
        <v>25</v>
      </c>
    </row>
    <row r="5167" spans="1:19">
      <c r="A5167" s="18" t="s">
        <v>5486</v>
      </c>
      <c r="B5167" s="1" t="s">
        <v>5335</v>
      </c>
      <c r="C5167" s="1" t="s">
        <v>5490</v>
      </c>
      <c r="D5167" s="1" t="s">
        <v>5489</v>
      </c>
      <c r="E5167" s="1" t="s">
        <v>25</v>
      </c>
      <c r="F5167">
        <v>540</v>
      </c>
      <c r="G5167">
        <v>540</v>
      </c>
      <c r="H5167">
        <v>146</v>
      </c>
      <c r="I5167" s="1" t="s">
        <v>1528</v>
      </c>
      <c r="J5167" s="1" t="s">
        <v>25</v>
      </c>
      <c r="K5167" s="1" t="s">
        <v>25</v>
      </c>
      <c r="L5167" t="s">
        <v>25</v>
      </c>
      <c r="M5167" t="str">
        <f t="shared" si="220"/>
        <v>Na</v>
      </c>
      <c r="N5167" t="str">
        <f t="shared" si="221"/>
        <v>Na</v>
      </c>
      <c r="O5167" s="1" t="s">
        <v>25</v>
      </c>
      <c r="P5167" s="3" t="s">
        <v>25</v>
      </c>
      <c r="Q5167" s="37">
        <v>0.96586893527482909</v>
      </c>
      <c r="R5167" t="str">
        <f t="shared" si="222"/>
        <v>mmol/mol</v>
      </c>
      <c r="S5167" s="13" t="s">
        <v>25</v>
      </c>
    </row>
    <row r="5168" spans="1:19">
      <c r="A5168" s="18" t="s">
        <v>5486</v>
      </c>
      <c r="B5168" s="1" t="s">
        <v>5336</v>
      </c>
      <c r="C5168" s="1" t="s">
        <v>5490</v>
      </c>
      <c r="D5168" s="1" t="s">
        <v>5489</v>
      </c>
      <c r="E5168" s="1" t="s">
        <v>25</v>
      </c>
      <c r="F5168">
        <v>540</v>
      </c>
      <c r="G5168">
        <v>540</v>
      </c>
      <c r="H5168">
        <v>147</v>
      </c>
      <c r="I5168" s="1" t="s">
        <v>1528</v>
      </c>
      <c r="J5168" s="1" t="s">
        <v>25</v>
      </c>
      <c r="K5168" s="1" t="s">
        <v>25</v>
      </c>
      <c r="L5168" t="s">
        <v>25</v>
      </c>
      <c r="M5168" t="str">
        <f t="shared" ref="M5168:M5231" si="223">IF(L5168="Na","Na","44/40")</f>
        <v>Na</v>
      </c>
      <c r="N5168" t="str">
        <f t="shared" ref="N5168:N5231" si="224">IF(M5168="Na","Na","SW")</f>
        <v>Na</v>
      </c>
      <c r="O5168" s="1" t="s">
        <v>25</v>
      </c>
      <c r="P5168" s="3" t="s">
        <v>25</v>
      </c>
      <c r="Q5168" s="37">
        <v>1.6419723972555698</v>
      </c>
      <c r="R5168" t="str">
        <f t="shared" si="222"/>
        <v>mmol/mol</v>
      </c>
      <c r="S5168" s="13" t="s">
        <v>25</v>
      </c>
    </row>
    <row r="5169" spans="1:19">
      <c r="A5169" s="18" t="s">
        <v>5486</v>
      </c>
      <c r="B5169" s="1" t="s">
        <v>5337</v>
      </c>
      <c r="C5169" s="1" t="s">
        <v>5490</v>
      </c>
      <c r="D5169" s="1" t="s">
        <v>5489</v>
      </c>
      <c r="E5169" s="1" t="s">
        <v>25</v>
      </c>
      <c r="F5169">
        <v>540</v>
      </c>
      <c r="G5169">
        <v>540</v>
      </c>
      <c r="H5169">
        <v>148</v>
      </c>
      <c r="I5169" s="1" t="s">
        <v>1528</v>
      </c>
      <c r="J5169" s="1" t="s">
        <v>25</v>
      </c>
      <c r="K5169" s="1" t="s">
        <v>25</v>
      </c>
      <c r="L5169" t="s">
        <v>25</v>
      </c>
      <c r="M5169" t="str">
        <f t="shared" si="223"/>
        <v>Na</v>
      </c>
      <c r="N5169" t="str">
        <f t="shared" si="224"/>
        <v>Na</v>
      </c>
      <c r="O5169" s="1" t="s">
        <v>25</v>
      </c>
      <c r="P5169" s="3" t="s">
        <v>25</v>
      </c>
      <c r="Q5169" s="37" t="s">
        <v>25</v>
      </c>
      <c r="R5169" t="str">
        <f t="shared" si="222"/>
        <v>Na</v>
      </c>
      <c r="S5169" s="13" t="s">
        <v>25</v>
      </c>
    </row>
    <row r="5170" spans="1:19">
      <c r="A5170" s="18" t="s">
        <v>5486</v>
      </c>
      <c r="B5170" s="1" t="s">
        <v>5338</v>
      </c>
      <c r="C5170" s="1" t="s">
        <v>5490</v>
      </c>
      <c r="D5170" s="1" t="s">
        <v>5489</v>
      </c>
      <c r="E5170" s="1" t="s">
        <v>25</v>
      </c>
      <c r="F5170">
        <v>540</v>
      </c>
      <c r="G5170">
        <v>540</v>
      </c>
      <c r="H5170">
        <v>149</v>
      </c>
      <c r="I5170" s="1" t="s">
        <v>1528</v>
      </c>
      <c r="J5170" s="1" t="s">
        <v>25</v>
      </c>
      <c r="K5170" s="1" t="s">
        <v>25</v>
      </c>
      <c r="L5170" t="s">
        <v>25</v>
      </c>
      <c r="M5170" t="str">
        <f t="shared" si="223"/>
        <v>Na</v>
      </c>
      <c r="N5170" t="str">
        <f t="shared" si="224"/>
        <v>Na</v>
      </c>
      <c r="O5170" s="1" t="s">
        <v>25</v>
      </c>
      <c r="P5170" s="3" t="s">
        <v>25</v>
      </c>
      <c r="Q5170" s="37">
        <v>0.7049138058578498</v>
      </c>
      <c r="R5170" t="str">
        <f t="shared" si="222"/>
        <v>mmol/mol</v>
      </c>
      <c r="S5170" s="13" t="s">
        <v>25</v>
      </c>
    </row>
    <row r="5171" spans="1:19">
      <c r="A5171" s="18" t="s">
        <v>5486</v>
      </c>
      <c r="B5171" s="1" t="s">
        <v>5339</v>
      </c>
      <c r="C5171" s="1" t="s">
        <v>5490</v>
      </c>
      <c r="D5171" s="1" t="s">
        <v>5489</v>
      </c>
      <c r="E5171" s="1" t="s">
        <v>25</v>
      </c>
      <c r="F5171">
        <v>540</v>
      </c>
      <c r="G5171">
        <v>540</v>
      </c>
      <c r="H5171">
        <v>150</v>
      </c>
      <c r="I5171" s="1" t="s">
        <v>1528</v>
      </c>
      <c r="J5171" s="1" t="s">
        <v>25</v>
      </c>
      <c r="K5171" s="1" t="s">
        <v>25</v>
      </c>
      <c r="L5171" t="s">
        <v>25</v>
      </c>
      <c r="M5171" t="str">
        <f t="shared" si="223"/>
        <v>Na</v>
      </c>
      <c r="N5171" t="str">
        <f t="shared" si="224"/>
        <v>Na</v>
      </c>
      <c r="O5171" s="1" t="s">
        <v>25</v>
      </c>
      <c r="P5171" s="3" t="s">
        <v>25</v>
      </c>
      <c r="Q5171" s="37" t="s">
        <v>25</v>
      </c>
      <c r="R5171" t="str">
        <f t="shared" si="222"/>
        <v>Na</v>
      </c>
      <c r="S5171" s="13" t="s">
        <v>25</v>
      </c>
    </row>
    <row r="5172" spans="1:19">
      <c r="A5172" s="18" t="s">
        <v>5486</v>
      </c>
      <c r="B5172" s="1" t="s">
        <v>5340</v>
      </c>
      <c r="C5172" s="1" t="s">
        <v>5490</v>
      </c>
      <c r="D5172" s="1" t="s">
        <v>5489</v>
      </c>
      <c r="E5172" s="1" t="s">
        <v>25</v>
      </c>
      <c r="F5172">
        <v>540</v>
      </c>
      <c r="G5172">
        <v>540</v>
      </c>
      <c r="H5172">
        <v>151</v>
      </c>
      <c r="I5172" s="1" t="s">
        <v>1528</v>
      </c>
      <c r="J5172" s="1" t="s">
        <v>25</v>
      </c>
      <c r="K5172" s="1" t="s">
        <v>25</v>
      </c>
      <c r="L5172" t="s">
        <v>25</v>
      </c>
      <c r="M5172" t="str">
        <f t="shared" si="223"/>
        <v>Na</v>
      </c>
      <c r="N5172" t="str">
        <f t="shared" si="224"/>
        <v>Na</v>
      </c>
      <c r="O5172" s="1" t="s">
        <v>25</v>
      </c>
      <c r="P5172" s="3" t="s">
        <v>25</v>
      </c>
      <c r="Q5172" s="37">
        <v>1.4288103713239815</v>
      </c>
      <c r="R5172" t="str">
        <f t="shared" si="222"/>
        <v>mmol/mol</v>
      </c>
      <c r="S5172" s="13" t="s">
        <v>25</v>
      </c>
    </row>
    <row r="5173" spans="1:19">
      <c r="A5173" s="18" t="s">
        <v>5486</v>
      </c>
      <c r="B5173" s="1" t="s">
        <v>5341</v>
      </c>
      <c r="C5173" s="1" t="s">
        <v>5490</v>
      </c>
      <c r="D5173" s="1" t="s">
        <v>5489</v>
      </c>
      <c r="E5173" s="1" t="s">
        <v>25</v>
      </c>
      <c r="F5173">
        <v>540</v>
      </c>
      <c r="G5173">
        <v>540</v>
      </c>
      <c r="H5173">
        <v>152</v>
      </c>
      <c r="I5173" s="1" t="s">
        <v>1528</v>
      </c>
      <c r="J5173" s="1" t="s">
        <v>25</v>
      </c>
      <c r="K5173" s="1" t="s">
        <v>25</v>
      </c>
      <c r="L5173" t="s">
        <v>25</v>
      </c>
      <c r="M5173" t="str">
        <f t="shared" si="223"/>
        <v>Na</v>
      </c>
      <c r="N5173" t="str">
        <f t="shared" si="224"/>
        <v>Na</v>
      </c>
      <c r="O5173" s="1" t="s">
        <v>25</v>
      </c>
      <c r="P5173" s="3" t="s">
        <v>25</v>
      </c>
      <c r="Q5173" s="37">
        <v>0.93709824677447595</v>
      </c>
      <c r="R5173" t="str">
        <f t="shared" si="222"/>
        <v>mmol/mol</v>
      </c>
      <c r="S5173" s="13" t="s">
        <v>25</v>
      </c>
    </row>
    <row r="5174" spans="1:19">
      <c r="A5174" s="18" t="s">
        <v>5486</v>
      </c>
      <c r="B5174" s="1" t="s">
        <v>5342</v>
      </c>
      <c r="C5174" s="1" t="s">
        <v>5490</v>
      </c>
      <c r="D5174" s="1" t="s">
        <v>5489</v>
      </c>
      <c r="E5174" s="1" t="s">
        <v>25</v>
      </c>
      <c r="F5174">
        <v>540</v>
      </c>
      <c r="G5174">
        <v>540</v>
      </c>
      <c r="H5174">
        <v>153</v>
      </c>
      <c r="I5174" s="1" t="s">
        <v>1528</v>
      </c>
      <c r="J5174" s="1" t="s">
        <v>25</v>
      </c>
      <c r="K5174" s="1" t="s">
        <v>25</v>
      </c>
      <c r="L5174" t="s">
        <v>25</v>
      </c>
      <c r="M5174" t="str">
        <f t="shared" si="223"/>
        <v>Na</v>
      </c>
      <c r="N5174" t="str">
        <f t="shared" si="224"/>
        <v>Na</v>
      </c>
      <c r="O5174" s="1" t="s">
        <v>25</v>
      </c>
      <c r="P5174" s="3" t="s">
        <v>25</v>
      </c>
      <c r="Q5174" s="37">
        <v>1.076367567545963</v>
      </c>
      <c r="R5174" t="str">
        <f t="shared" si="222"/>
        <v>mmol/mol</v>
      </c>
      <c r="S5174" s="13" t="s">
        <v>25</v>
      </c>
    </row>
    <row r="5175" spans="1:19">
      <c r="A5175" s="18" t="s">
        <v>5486</v>
      </c>
      <c r="B5175" s="1" t="s">
        <v>5343</v>
      </c>
      <c r="C5175" s="1" t="s">
        <v>5490</v>
      </c>
      <c r="D5175" s="1" t="s">
        <v>5489</v>
      </c>
      <c r="E5175" s="1" t="s">
        <v>25</v>
      </c>
      <c r="F5175">
        <v>540</v>
      </c>
      <c r="G5175">
        <v>540</v>
      </c>
      <c r="H5175">
        <v>154</v>
      </c>
      <c r="I5175" s="1" t="s">
        <v>1528</v>
      </c>
      <c r="J5175" s="1" t="s">
        <v>25</v>
      </c>
      <c r="K5175" s="1" t="s">
        <v>25</v>
      </c>
      <c r="L5175" t="s">
        <v>25</v>
      </c>
      <c r="M5175" t="str">
        <f t="shared" si="223"/>
        <v>Na</v>
      </c>
      <c r="N5175" t="str">
        <f t="shared" si="224"/>
        <v>Na</v>
      </c>
      <c r="O5175" s="1" t="s">
        <v>25</v>
      </c>
      <c r="P5175" s="3" t="s">
        <v>25</v>
      </c>
      <c r="Q5175" s="37" t="s">
        <v>25</v>
      </c>
      <c r="R5175" t="str">
        <f t="shared" si="222"/>
        <v>Na</v>
      </c>
      <c r="S5175" s="13" t="s">
        <v>25</v>
      </c>
    </row>
    <row r="5176" spans="1:19">
      <c r="A5176" s="18" t="s">
        <v>5486</v>
      </c>
      <c r="B5176" s="1" t="s">
        <v>5344</v>
      </c>
      <c r="C5176" s="1" t="s">
        <v>5490</v>
      </c>
      <c r="D5176" s="1" t="s">
        <v>5489</v>
      </c>
      <c r="E5176" s="1" t="s">
        <v>25</v>
      </c>
      <c r="F5176">
        <v>540</v>
      </c>
      <c r="G5176">
        <v>540</v>
      </c>
      <c r="H5176">
        <v>155</v>
      </c>
      <c r="I5176" s="1" t="s">
        <v>1528</v>
      </c>
      <c r="J5176" s="1" t="s">
        <v>25</v>
      </c>
      <c r="K5176" s="1" t="s">
        <v>25</v>
      </c>
      <c r="L5176" t="s">
        <v>25</v>
      </c>
      <c r="M5176" t="str">
        <f t="shared" si="223"/>
        <v>Na</v>
      </c>
      <c r="N5176" t="str">
        <f t="shared" si="224"/>
        <v>Na</v>
      </c>
      <c r="O5176" s="1" t="s">
        <v>25</v>
      </c>
      <c r="P5176" s="3" t="s">
        <v>25</v>
      </c>
      <c r="Q5176" s="37">
        <v>0.75891379117460156</v>
      </c>
      <c r="R5176" t="str">
        <f t="shared" si="222"/>
        <v>mmol/mol</v>
      </c>
      <c r="S5176" s="13" t="s">
        <v>25</v>
      </c>
    </row>
    <row r="5177" spans="1:19">
      <c r="A5177" s="18" t="s">
        <v>5486</v>
      </c>
      <c r="B5177" s="1" t="s">
        <v>5345</v>
      </c>
      <c r="C5177" s="1" t="s">
        <v>5490</v>
      </c>
      <c r="D5177" s="1" t="s">
        <v>5489</v>
      </c>
      <c r="E5177" s="1" t="s">
        <v>25</v>
      </c>
      <c r="F5177">
        <v>540</v>
      </c>
      <c r="G5177">
        <v>540</v>
      </c>
      <c r="H5177">
        <v>156</v>
      </c>
      <c r="I5177" s="1" t="s">
        <v>1528</v>
      </c>
      <c r="J5177" s="1" t="s">
        <v>25</v>
      </c>
      <c r="K5177" s="1" t="s">
        <v>25</v>
      </c>
      <c r="L5177" t="s">
        <v>25</v>
      </c>
      <c r="M5177" t="str">
        <f t="shared" si="223"/>
        <v>Na</v>
      </c>
      <c r="N5177" t="str">
        <f t="shared" si="224"/>
        <v>Na</v>
      </c>
      <c r="O5177" s="1" t="s">
        <v>25</v>
      </c>
      <c r="P5177" s="3" t="s">
        <v>25</v>
      </c>
      <c r="Q5177" s="37" t="s">
        <v>25</v>
      </c>
      <c r="R5177" t="str">
        <f t="shared" si="222"/>
        <v>Na</v>
      </c>
      <c r="S5177" s="13" t="s">
        <v>25</v>
      </c>
    </row>
    <row r="5178" spans="1:19">
      <c r="A5178" s="18" t="s">
        <v>5486</v>
      </c>
      <c r="B5178" s="1" t="s">
        <v>5346</v>
      </c>
      <c r="C5178" s="1" t="s">
        <v>5490</v>
      </c>
      <c r="D5178" s="1" t="s">
        <v>5489</v>
      </c>
      <c r="E5178" s="1" t="s">
        <v>25</v>
      </c>
      <c r="F5178">
        <v>540</v>
      </c>
      <c r="G5178">
        <v>540</v>
      </c>
      <c r="H5178">
        <v>157</v>
      </c>
      <c r="I5178" s="1" t="s">
        <v>1528</v>
      </c>
      <c r="J5178" s="1" t="s">
        <v>25</v>
      </c>
      <c r="K5178" s="1" t="s">
        <v>25</v>
      </c>
      <c r="L5178" t="s">
        <v>25</v>
      </c>
      <c r="M5178" t="str">
        <f t="shared" si="223"/>
        <v>Na</v>
      </c>
      <c r="N5178" t="str">
        <f t="shared" si="224"/>
        <v>Na</v>
      </c>
      <c r="O5178" s="1" t="s">
        <v>25</v>
      </c>
      <c r="P5178" s="3" t="s">
        <v>25</v>
      </c>
      <c r="Q5178" s="37">
        <v>0.80818005447456753</v>
      </c>
      <c r="R5178" t="str">
        <f t="shared" si="222"/>
        <v>mmol/mol</v>
      </c>
      <c r="S5178" s="13" t="s">
        <v>25</v>
      </c>
    </row>
    <row r="5179" spans="1:19">
      <c r="A5179" s="18" t="s">
        <v>5486</v>
      </c>
      <c r="B5179" s="1" t="s">
        <v>5347</v>
      </c>
      <c r="C5179" s="1" t="s">
        <v>5490</v>
      </c>
      <c r="D5179" s="1" t="s">
        <v>5489</v>
      </c>
      <c r="E5179" s="1" t="s">
        <v>25</v>
      </c>
      <c r="F5179">
        <v>540</v>
      </c>
      <c r="G5179">
        <v>540</v>
      </c>
      <c r="H5179">
        <v>158</v>
      </c>
      <c r="I5179" s="1" t="s">
        <v>1528</v>
      </c>
      <c r="J5179" s="1" t="s">
        <v>25</v>
      </c>
      <c r="K5179" s="1" t="s">
        <v>25</v>
      </c>
      <c r="L5179" t="s">
        <v>25</v>
      </c>
      <c r="M5179" t="str">
        <f t="shared" si="223"/>
        <v>Na</v>
      </c>
      <c r="N5179" t="str">
        <f t="shared" si="224"/>
        <v>Na</v>
      </c>
      <c r="O5179" s="1" t="s">
        <v>25</v>
      </c>
      <c r="P5179" s="3" t="s">
        <v>25</v>
      </c>
      <c r="Q5179" s="37" t="s">
        <v>25</v>
      </c>
      <c r="R5179" t="str">
        <f t="shared" si="222"/>
        <v>Na</v>
      </c>
      <c r="S5179" s="13" t="s">
        <v>25</v>
      </c>
    </row>
    <row r="5180" spans="1:19">
      <c r="A5180" s="18" t="s">
        <v>5486</v>
      </c>
      <c r="B5180" s="1" t="s">
        <v>5348</v>
      </c>
      <c r="C5180" s="1" t="s">
        <v>5490</v>
      </c>
      <c r="D5180" s="1" t="s">
        <v>5489</v>
      </c>
      <c r="E5180" s="1" t="s">
        <v>25</v>
      </c>
      <c r="F5180">
        <v>540</v>
      </c>
      <c r="G5180">
        <v>540</v>
      </c>
      <c r="H5180">
        <v>159</v>
      </c>
      <c r="I5180" s="1" t="s">
        <v>1528</v>
      </c>
      <c r="J5180" s="1" t="s">
        <v>25</v>
      </c>
      <c r="K5180" s="1" t="s">
        <v>25</v>
      </c>
      <c r="L5180" t="s">
        <v>25</v>
      </c>
      <c r="M5180" t="str">
        <f t="shared" si="223"/>
        <v>Na</v>
      </c>
      <c r="N5180" t="str">
        <f t="shared" si="224"/>
        <v>Na</v>
      </c>
      <c r="O5180" s="1" t="s">
        <v>25</v>
      </c>
      <c r="P5180" s="3" t="s">
        <v>25</v>
      </c>
      <c r="Q5180" s="37">
        <v>0.79351032860835424</v>
      </c>
      <c r="R5180" t="str">
        <f t="shared" si="222"/>
        <v>mmol/mol</v>
      </c>
      <c r="S5180" s="13" t="s">
        <v>25</v>
      </c>
    </row>
    <row r="5181" spans="1:19">
      <c r="A5181" s="18" t="s">
        <v>5486</v>
      </c>
      <c r="B5181" s="1" t="s">
        <v>5349</v>
      </c>
      <c r="C5181" s="1" t="s">
        <v>5490</v>
      </c>
      <c r="D5181" s="1" t="s">
        <v>5489</v>
      </c>
      <c r="E5181" s="1" t="s">
        <v>25</v>
      </c>
      <c r="F5181">
        <v>540</v>
      </c>
      <c r="G5181">
        <v>540</v>
      </c>
      <c r="H5181">
        <v>160</v>
      </c>
      <c r="I5181" s="1" t="s">
        <v>1528</v>
      </c>
      <c r="J5181" s="1" t="s">
        <v>25</v>
      </c>
      <c r="K5181" s="1" t="s">
        <v>25</v>
      </c>
      <c r="L5181" t="s">
        <v>25</v>
      </c>
      <c r="M5181" t="str">
        <f t="shared" si="223"/>
        <v>Na</v>
      </c>
      <c r="N5181" t="str">
        <f t="shared" si="224"/>
        <v>Na</v>
      </c>
      <c r="O5181" s="1" t="s">
        <v>25</v>
      </c>
      <c r="P5181" s="3" t="s">
        <v>25</v>
      </c>
      <c r="Q5181" s="37" t="s">
        <v>25</v>
      </c>
      <c r="R5181" t="str">
        <f t="shared" si="222"/>
        <v>Na</v>
      </c>
      <c r="S5181" s="13" t="s">
        <v>25</v>
      </c>
    </row>
    <row r="5182" spans="1:19">
      <c r="A5182" s="18" t="s">
        <v>5486</v>
      </c>
      <c r="B5182" s="1" t="s">
        <v>5350</v>
      </c>
      <c r="C5182" s="1" t="s">
        <v>5490</v>
      </c>
      <c r="D5182" s="1" t="s">
        <v>5489</v>
      </c>
      <c r="E5182" s="1" t="s">
        <v>25</v>
      </c>
      <c r="F5182">
        <v>540</v>
      </c>
      <c r="G5182">
        <v>540</v>
      </c>
      <c r="H5182">
        <v>161</v>
      </c>
      <c r="I5182" s="1" t="s">
        <v>1528</v>
      </c>
      <c r="J5182" s="1" t="s">
        <v>25</v>
      </c>
      <c r="K5182" s="1" t="s">
        <v>25</v>
      </c>
      <c r="L5182" t="s">
        <v>25</v>
      </c>
      <c r="M5182" t="str">
        <f t="shared" si="223"/>
        <v>Na</v>
      </c>
      <c r="N5182" t="str">
        <f t="shared" si="224"/>
        <v>Na</v>
      </c>
      <c r="O5182" s="1" t="s">
        <v>25</v>
      </c>
      <c r="P5182" s="3" t="s">
        <v>25</v>
      </c>
      <c r="Q5182" s="37">
        <v>0.98552039660025104</v>
      </c>
      <c r="R5182" t="str">
        <f t="shared" si="222"/>
        <v>mmol/mol</v>
      </c>
      <c r="S5182" s="13" t="s">
        <v>25</v>
      </c>
    </row>
    <row r="5183" spans="1:19">
      <c r="A5183" s="18" t="s">
        <v>5486</v>
      </c>
      <c r="B5183" s="1" t="s">
        <v>5351</v>
      </c>
      <c r="C5183" s="1" t="s">
        <v>5490</v>
      </c>
      <c r="D5183" s="1" t="s">
        <v>5489</v>
      </c>
      <c r="E5183" s="1" t="s">
        <v>25</v>
      </c>
      <c r="F5183">
        <v>540</v>
      </c>
      <c r="G5183">
        <v>540</v>
      </c>
      <c r="H5183">
        <v>162</v>
      </c>
      <c r="I5183" s="1" t="s">
        <v>1528</v>
      </c>
      <c r="J5183" s="1" t="s">
        <v>25</v>
      </c>
      <c r="K5183" s="1" t="s">
        <v>25</v>
      </c>
      <c r="L5183" t="s">
        <v>25</v>
      </c>
      <c r="M5183" t="str">
        <f t="shared" si="223"/>
        <v>Na</v>
      </c>
      <c r="N5183" t="str">
        <f t="shared" si="224"/>
        <v>Na</v>
      </c>
      <c r="O5183" s="1" t="s">
        <v>25</v>
      </c>
      <c r="P5183" s="3" t="s">
        <v>25</v>
      </c>
      <c r="Q5183" s="37" t="s">
        <v>25</v>
      </c>
      <c r="R5183" t="str">
        <f t="shared" si="222"/>
        <v>Na</v>
      </c>
      <c r="S5183" s="13" t="s">
        <v>25</v>
      </c>
    </row>
    <row r="5184" spans="1:19">
      <c r="A5184" s="18" t="s">
        <v>5486</v>
      </c>
      <c r="B5184" s="1" t="s">
        <v>5352</v>
      </c>
      <c r="C5184" s="1" t="s">
        <v>5490</v>
      </c>
      <c r="D5184" s="1" t="s">
        <v>5489</v>
      </c>
      <c r="E5184" s="1" t="s">
        <v>25</v>
      </c>
      <c r="F5184">
        <v>540</v>
      </c>
      <c r="G5184">
        <v>540</v>
      </c>
      <c r="H5184">
        <v>163</v>
      </c>
      <c r="I5184" s="1" t="s">
        <v>1528</v>
      </c>
      <c r="J5184" s="1" t="s">
        <v>25</v>
      </c>
      <c r="K5184" s="1" t="s">
        <v>25</v>
      </c>
      <c r="L5184" t="s">
        <v>25</v>
      </c>
      <c r="M5184" t="str">
        <f t="shared" si="223"/>
        <v>Na</v>
      </c>
      <c r="N5184" t="str">
        <f t="shared" si="224"/>
        <v>Na</v>
      </c>
      <c r="O5184" s="1" t="s">
        <v>25</v>
      </c>
      <c r="P5184" s="3" t="s">
        <v>25</v>
      </c>
      <c r="Q5184" s="37">
        <v>0.92912473566341869</v>
      </c>
      <c r="R5184" t="str">
        <f t="shared" si="222"/>
        <v>mmol/mol</v>
      </c>
      <c r="S5184" s="13" t="s">
        <v>25</v>
      </c>
    </row>
    <row r="5185" spans="1:19">
      <c r="A5185" s="18" t="s">
        <v>5486</v>
      </c>
      <c r="B5185" s="1" t="s">
        <v>5353</v>
      </c>
      <c r="C5185" s="1" t="s">
        <v>5490</v>
      </c>
      <c r="D5185" s="1" t="s">
        <v>5489</v>
      </c>
      <c r="E5185" s="1" t="s">
        <v>25</v>
      </c>
      <c r="F5185">
        <v>540</v>
      </c>
      <c r="G5185">
        <v>540</v>
      </c>
      <c r="H5185">
        <v>164</v>
      </c>
      <c r="I5185" s="1" t="s">
        <v>1528</v>
      </c>
      <c r="J5185" s="1" t="s">
        <v>25</v>
      </c>
      <c r="K5185" s="1" t="s">
        <v>25</v>
      </c>
      <c r="L5185" t="s">
        <v>25</v>
      </c>
      <c r="M5185" t="str">
        <f t="shared" si="223"/>
        <v>Na</v>
      </c>
      <c r="N5185" t="str">
        <f t="shared" si="224"/>
        <v>Na</v>
      </c>
      <c r="O5185" s="1" t="s">
        <v>25</v>
      </c>
      <c r="P5185" s="3" t="s">
        <v>25</v>
      </c>
      <c r="Q5185" s="37" t="s">
        <v>25</v>
      </c>
      <c r="R5185" t="str">
        <f t="shared" si="222"/>
        <v>Na</v>
      </c>
      <c r="S5185" s="13" t="s">
        <v>25</v>
      </c>
    </row>
    <row r="5186" spans="1:19">
      <c r="A5186" s="18" t="s">
        <v>5486</v>
      </c>
      <c r="B5186" s="1" t="s">
        <v>5354</v>
      </c>
      <c r="C5186" s="1" t="s">
        <v>5490</v>
      </c>
      <c r="D5186" s="1" t="s">
        <v>5489</v>
      </c>
      <c r="E5186" s="1" t="s">
        <v>25</v>
      </c>
      <c r="F5186">
        <v>540</v>
      </c>
      <c r="G5186">
        <v>540</v>
      </c>
      <c r="H5186">
        <v>165</v>
      </c>
      <c r="I5186" s="1" t="s">
        <v>1528</v>
      </c>
      <c r="J5186" s="1" t="s">
        <v>25</v>
      </c>
      <c r="K5186" s="1" t="s">
        <v>25</v>
      </c>
      <c r="L5186" t="s">
        <v>25</v>
      </c>
      <c r="M5186" t="str">
        <f t="shared" si="223"/>
        <v>Na</v>
      </c>
      <c r="N5186" t="str">
        <f t="shared" si="224"/>
        <v>Na</v>
      </c>
      <c r="O5186" s="1" t="s">
        <v>25</v>
      </c>
      <c r="P5186" s="3" t="s">
        <v>25</v>
      </c>
      <c r="Q5186" s="37">
        <v>1.050471921905124</v>
      </c>
      <c r="R5186" t="str">
        <f t="shared" si="222"/>
        <v>mmol/mol</v>
      </c>
      <c r="S5186" s="13" t="s">
        <v>25</v>
      </c>
    </row>
    <row r="5187" spans="1:19">
      <c r="A5187" s="18" t="s">
        <v>5486</v>
      </c>
      <c r="B5187" s="1" t="s">
        <v>5355</v>
      </c>
      <c r="C5187" s="1" t="s">
        <v>5490</v>
      </c>
      <c r="D5187" s="1" t="s">
        <v>5489</v>
      </c>
      <c r="E5187" s="1" t="s">
        <v>25</v>
      </c>
      <c r="F5187">
        <v>540</v>
      </c>
      <c r="G5187">
        <v>540</v>
      </c>
      <c r="H5187">
        <v>166</v>
      </c>
      <c r="I5187" s="1" t="s">
        <v>1528</v>
      </c>
      <c r="J5187" s="1" t="s">
        <v>25</v>
      </c>
      <c r="K5187" s="1" t="s">
        <v>25</v>
      </c>
      <c r="L5187" t="s">
        <v>25</v>
      </c>
      <c r="M5187" t="str">
        <f t="shared" si="223"/>
        <v>Na</v>
      </c>
      <c r="N5187" t="str">
        <f t="shared" si="224"/>
        <v>Na</v>
      </c>
      <c r="O5187" s="1" t="s">
        <v>25</v>
      </c>
      <c r="P5187" s="3" t="s">
        <v>25</v>
      </c>
      <c r="Q5187" s="37" t="s">
        <v>25</v>
      </c>
      <c r="R5187" t="str">
        <f t="shared" si="222"/>
        <v>Na</v>
      </c>
      <c r="S5187" s="13" t="s">
        <v>25</v>
      </c>
    </row>
    <row r="5188" spans="1:19">
      <c r="A5188" s="18" t="s">
        <v>5486</v>
      </c>
      <c r="B5188" s="1" t="s">
        <v>5356</v>
      </c>
      <c r="C5188" s="1" t="s">
        <v>5490</v>
      </c>
      <c r="D5188" s="1" t="s">
        <v>5489</v>
      </c>
      <c r="E5188" s="1" t="s">
        <v>25</v>
      </c>
      <c r="F5188">
        <v>540</v>
      </c>
      <c r="G5188">
        <v>540</v>
      </c>
      <c r="H5188">
        <v>167</v>
      </c>
      <c r="I5188" s="1" t="s">
        <v>1528</v>
      </c>
      <c r="J5188" s="1" t="s">
        <v>25</v>
      </c>
      <c r="K5188" s="1" t="s">
        <v>25</v>
      </c>
      <c r="L5188" t="s">
        <v>25</v>
      </c>
      <c r="M5188" t="str">
        <f t="shared" si="223"/>
        <v>Na</v>
      </c>
      <c r="N5188" t="str">
        <f t="shared" si="224"/>
        <v>Na</v>
      </c>
      <c r="O5188" s="1" t="s">
        <v>25</v>
      </c>
      <c r="P5188" s="3" t="s">
        <v>25</v>
      </c>
      <c r="Q5188" s="37">
        <v>1.4096506873596499</v>
      </c>
      <c r="R5188" t="str">
        <f t="shared" si="222"/>
        <v>mmol/mol</v>
      </c>
      <c r="S5188" s="13" t="s">
        <v>25</v>
      </c>
    </row>
    <row r="5189" spans="1:19">
      <c r="A5189" s="18" t="s">
        <v>5486</v>
      </c>
      <c r="B5189" s="1" t="s">
        <v>5357</v>
      </c>
      <c r="C5189" s="1" t="s">
        <v>5490</v>
      </c>
      <c r="D5189" s="1" t="s">
        <v>5489</v>
      </c>
      <c r="E5189" s="1" t="s">
        <v>25</v>
      </c>
      <c r="F5189">
        <v>540</v>
      </c>
      <c r="G5189">
        <v>540</v>
      </c>
      <c r="H5189">
        <v>168</v>
      </c>
      <c r="I5189" s="1" t="s">
        <v>1528</v>
      </c>
      <c r="J5189" s="1" t="s">
        <v>25</v>
      </c>
      <c r="K5189" s="1" t="s">
        <v>25</v>
      </c>
      <c r="L5189" t="s">
        <v>25</v>
      </c>
      <c r="M5189" t="str">
        <f t="shared" si="223"/>
        <v>Na</v>
      </c>
      <c r="N5189" t="str">
        <f t="shared" si="224"/>
        <v>Na</v>
      </c>
      <c r="O5189" s="1" t="s">
        <v>25</v>
      </c>
      <c r="P5189" s="3" t="s">
        <v>25</v>
      </c>
      <c r="Q5189" s="37" t="s">
        <v>25</v>
      </c>
      <c r="R5189" t="str">
        <f t="shared" si="222"/>
        <v>Na</v>
      </c>
      <c r="S5189" s="13" t="s">
        <v>25</v>
      </c>
    </row>
    <row r="5190" spans="1:19">
      <c r="A5190" s="18" t="s">
        <v>5486</v>
      </c>
      <c r="B5190" s="1" t="s">
        <v>5358</v>
      </c>
      <c r="C5190" s="1" t="s">
        <v>5490</v>
      </c>
      <c r="D5190" s="1" t="s">
        <v>5489</v>
      </c>
      <c r="E5190" s="1" t="s">
        <v>25</v>
      </c>
      <c r="F5190">
        <v>540</v>
      </c>
      <c r="G5190">
        <v>540</v>
      </c>
      <c r="H5190">
        <v>169</v>
      </c>
      <c r="I5190" s="1" t="s">
        <v>1528</v>
      </c>
      <c r="J5190" s="1" t="s">
        <v>25</v>
      </c>
      <c r="K5190" s="1" t="s">
        <v>25</v>
      </c>
      <c r="L5190" t="s">
        <v>25</v>
      </c>
      <c r="M5190" t="str">
        <f t="shared" si="223"/>
        <v>Na</v>
      </c>
      <c r="N5190" t="str">
        <f t="shared" si="224"/>
        <v>Na</v>
      </c>
      <c r="O5190" s="1" t="s">
        <v>25</v>
      </c>
      <c r="P5190" s="3" t="s">
        <v>25</v>
      </c>
      <c r="Q5190" s="37">
        <v>1.0180125434531531</v>
      </c>
      <c r="R5190" t="str">
        <f t="shared" si="222"/>
        <v>mmol/mol</v>
      </c>
      <c r="S5190" s="13" t="s">
        <v>25</v>
      </c>
    </row>
    <row r="5191" spans="1:19">
      <c r="A5191" s="18" t="s">
        <v>5486</v>
      </c>
      <c r="B5191" s="1" t="s">
        <v>5359</v>
      </c>
      <c r="C5191" s="1" t="s">
        <v>5490</v>
      </c>
      <c r="D5191" s="1" t="s">
        <v>5489</v>
      </c>
      <c r="E5191" s="1" t="s">
        <v>25</v>
      </c>
      <c r="F5191">
        <v>540</v>
      </c>
      <c r="G5191">
        <v>540</v>
      </c>
      <c r="H5191">
        <v>170</v>
      </c>
      <c r="I5191" s="1" t="s">
        <v>1528</v>
      </c>
      <c r="J5191" s="1" t="s">
        <v>25</v>
      </c>
      <c r="K5191" s="1" t="s">
        <v>25</v>
      </c>
      <c r="L5191" t="s">
        <v>25</v>
      </c>
      <c r="M5191" t="str">
        <f t="shared" si="223"/>
        <v>Na</v>
      </c>
      <c r="N5191" t="str">
        <f t="shared" si="224"/>
        <v>Na</v>
      </c>
      <c r="O5191" s="1" t="s">
        <v>25</v>
      </c>
      <c r="P5191" s="3" t="s">
        <v>25</v>
      </c>
      <c r="Q5191" s="37" t="s">
        <v>25</v>
      </c>
      <c r="R5191" t="str">
        <f t="shared" si="222"/>
        <v>Na</v>
      </c>
      <c r="S5191" s="13" t="s">
        <v>25</v>
      </c>
    </row>
    <row r="5192" spans="1:19">
      <c r="A5192" s="18" t="s">
        <v>5486</v>
      </c>
      <c r="B5192" s="1" t="s">
        <v>5360</v>
      </c>
      <c r="C5192" s="1" t="s">
        <v>5490</v>
      </c>
      <c r="D5192" s="1" t="s">
        <v>5489</v>
      </c>
      <c r="E5192" s="1" t="s">
        <v>25</v>
      </c>
      <c r="F5192">
        <v>540</v>
      </c>
      <c r="G5192">
        <v>540</v>
      </c>
      <c r="H5192">
        <v>171</v>
      </c>
      <c r="I5192" s="1" t="s">
        <v>1528</v>
      </c>
      <c r="J5192" s="1" t="s">
        <v>25</v>
      </c>
      <c r="K5192" s="1" t="s">
        <v>25</v>
      </c>
      <c r="L5192" t="s">
        <v>25</v>
      </c>
      <c r="M5192" t="str">
        <f t="shared" si="223"/>
        <v>Na</v>
      </c>
      <c r="N5192" t="str">
        <f t="shared" si="224"/>
        <v>Na</v>
      </c>
      <c r="O5192" s="1" t="s">
        <v>25</v>
      </c>
      <c r="P5192" s="3" t="s">
        <v>25</v>
      </c>
      <c r="Q5192" s="37">
        <v>0.81052190161594539</v>
      </c>
      <c r="R5192" t="str">
        <f t="shared" si="222"/>
        <v>mmol/mol</v>
      </c>
      <c r="S5192" s="13" t="s">
        <v>25</v>
      </c>
    </row>
    <row r="5193" spans="1:19">
      <c r="A5193" s="18" t="s">
        <v>5486</v>
      </c>
      <c r="B5193" s="1" t="s">
        <v>5361</v>
      </c>
      <c r="C5193" s="1" t="s">
        <v>5490</v>
      </c>
      <c r="D5193" s="1" t="s">
        <v>5489</v>
      </c>
      <c r="E5193" s="1" t="s">
        <v>25</v>
      </c>
      <c r="F5193">
        <v>540</v>
      </c>
      <c r="G5193">
        <v>540</v>
      </c>
      <c r="H5193">
        <v>172</v>
      </c>
      <c r="I5193" s="1" t="s">
        <v>1528</v>
      </c>
      <c r="J5193" s="1" t="s">
        <v>25</v>
      </c>
      <c r="K5193" s="1" t="s">
        <v>25</v>
      </c>
      <c r="L5193" t="s">
        <v>25</v>
      </c>
      <c r="M5193" t="str">
        <f t="shared" si="223"/>
        <v>Na</v>
      </c>
      <c r="N5193" t="str">
        <f t="shared" si="224"/>
        <v>Na</v>
      </c>
      <c r="O5193" s="1" t="s">
        <v>25</v>
      </c>
      <c r="P5193" s="3" t="s">
        <v>25</v>
      </c>
      <c r="Q5193" s="37" t="s">
        <v>25</v>
      </c>
      <c r="R5193" t="str">
        <f t="shared" si="222"/>
        <v>Na</v>
      </c>
      <c r="S5193" s="13" t="s">
        <v>25</v>
      </c>
    </row>
    <row r="5194" spans="1:19">
      <c r="A5194" s="18" t="s">
        <v>5486</v>
      </c>
      <c r="B5194" s="1" t="s">
        <v>5362</v>
      </c>
      <c r="C5194" s="1" t="s">
        <v>5490</v>
      </c>
      <c r="D5194" s="1" t="s">
        <v>5489</v>
      </c>
      <c r="E5194" s="1" t="s">
        <v>25</v>
      </c>
      <c r="F5194">
        <v>540</v>
      </c>
      <c r="G5194">
        <v>540</v>
      </c>
      <c r="H5194">
        <v>173</v>
      </c>
      <c r="I5194" s="1" t="s">
        <v>1528</v>
      </c>
      <c r="J5194" s="1" t="s">
        <v>25</v>
      </c>
      <c r="K5194" s="1" t="s">
        <v>25</v>
      </c>
      <c r="L5194" t="s">
        <v>25</v>
      </c>
      <c r="M5194" t="str">
        <f t="shared" si="223"/>
        <v>Na</v>
      </c>
      <c r="N5194" t="str">
        <f t="shared" si="224"/>
        <v>Na</v>
      </c>
      <c r="O5194" s="1" t="s">
        <v>25</v>
      </c>
      <c r="P5194" s="3" t="s">
        <v>25</v>
      </c>
      <c r="Q5194" s="37">
        <v>2.1554447007516369</v>
      </c>
      <c r="R5194" t="str">
        <f t="shared" si="222"/>
        <v>mmol/mol</v>
      </c>
      <c r="S5194" s="13" t="s">
        <v>25</v>
      </c>
    </row>
    <row r="5195" spans="1:19">
      <c r="A5195" s="18" t="s">
        <v>5486</v>
      </c>
      <c r="B5195" s="1" t="s">
        <v>5363</v>
      </c>
      <c r="C5195" s="1" t="s">
        <v>5490</v>
      </c>
      <c r="D5195" s="1" t="s">
        <v>5489</v>
      </c>
      <c r="E5195" s="1" t="s">
        <v>25</v>
      </c>
      <c r="F5195">
        <v>540</v>
      </c>
      <c r="G5195">
        <v>540</v>
      </c>
      <c r="H5195">
        <v>174</v>
      </c>
      <c r="I5195" s="1" t="s">
        <v>1528</v>
      </c>
      <c r="J5195" s="1" t="s">
        <v>25</v>
      </c>
      <c r="K5195" s="1" t="s">
        <v>25</v>
      </c>
      <c r="L5195" t="s">
        <v>25</v>
      </c>
      <c r="M5195" t="str">
        <f t="shared" si="223"/>
        <v>Na</v>
      </c>
      <c r="N5195" t="str">
        <f t="shared" si="224"/>
        <v>Na</v>
      </c>
      <c r="O5195" s="1" t="s">
        <v>25</v>
      </c>
      <c r="P5195" s="3" t="s">
        <v>25</v>
      </c>
      <c r="Q5195" s="37" t="s">
        <v>25</v>
      </c>
      <c r="R5195" t="str">
        <f t="shared" si="222"/>
        <v>Na</v>
      </c>
      <c r="S5195" s="13" t="s">
        <v>25</v>
      </c>
    </row>
    <row r="5196" spans="1:19">
      <c r="A5196" s="18" t="s">
        <v>5486</v>
      </c>
      <c r="B5196" s="1" t="s">
        <v>5364</v>
      </c>
      <c r="C5196" s="1" t="s">
        <v>5490</v>
      </c>
      <c r="D5196" s="1" t="s">
        <v>5489</v>
      </c>
      <c r="E5196" s="1" t="s">
        <v>25</v>
      </c>
      <c r="F5196">
        <v>540</v>
      </c>
      <c r="G5196">
        <v>540</v>
      </c>
      <c r="H5196">
        <v>175</v>
      </c>
      <c r="I5196" s="1" t="s">
        <v>1528</v>
      </c>
      <c r="J5196" s="1" t="s">
        <v>25</v>
      </c>
      <c r="K5196" s="1" t="s">
        <v>25</v>
      </c>
      <c r="L5196" t="s">
        <v>25</v>
      </c>
      <c r="M5196" t="str">
        <f t="shared" si="223"/>
        <v>Na</v>
      </c>
      <c r="N5196" t="str">
        <f t="shared" si="224"/>
        <v>Na</v>
      </c>
      <c r="O5196" s="1" t="s">
        <v>25</v>
      </c>
      <c r="P5196" s="3" t="s">
        <v>25</v>
      </c>
      <c r="Q5196" s="37">
        <v>1.0654082076184528</v>
      </c>
      <c r="R5196" t="str">
        <f t="shared" si="222"/>
        <v>mmol/mol</v>
      </c>
      <c r="S5196" s="13" t="s">
        <v>25</v>
      </c>
    </row>
    <row r="5197" spans="1:19">
      <c r="A5197" s="18" t="s">
        <v>5486</v>
      </c>
      <c r="B5197" s="1" t="s">
        <v>5365</v>
      </c>
      <c r="C5197" s="1" t="s">
        <v>5490</v>
      </c>
      <c r="D5197" s="1" t="s">
        <v>5489</v>
      </c>
      <c r="E5197" s="1" t="s">
        <v>25</v>
      </c>
      <c r="F5197">
        <v>540</v>
      </c>
      <c r="G5197">
        <v>540</v>
      </c>
      <c r="H5197">
        <v>176</v>
      </c>
      <c r="I5197" s="1" t="s">
        <v>1528</v>
      </c>
      <c r="J5197" s="1" t="s">
        <v>25</v>
      </c>
      <c r="K5197" s="1" t="s">
        <v>25</v>
      </c>
      <c r="L5197" t="s">
        <v>25</v>
      </c>
      <c r="M5197" t="str">
        <f t="shared" si="223"/>
        <v>Na</v>
      </c>
      <c r="N5197" t="str">
        <f t="shared" si="224"/>
        <v>Na</v>
      </c>
      <c r="O5197" s="1" t="s">
        <v>25</v>
      </c>
      <c r="P5197" s="3" t="s">
        <v>25</v>
      </c>
      <c r="Q5197" s="37" t="s">
        <v>25</v>
      </c>
      <c r="R5197" t="str">
        <f t="shared" si="222"/>
        <v>Na</v>
      </c>
      <c r="S5197" s="13" t="s">
        <v>25</v>
      </c>
    </row>
    <row r="5198" spans="1:19">
      <c r="A5198" s="18" t="s">
        <v>5486</v>
      </c>
      <c r="B5198" s="1" t="s">
        <v>5366</v>
      </c>
      <c r="C5198" s="1" t="s">
        <v>5490</v>
      </c>
      <c r="D5198" s="1" t="s">
        <v>5489</v>
      </c>
      <c r="E5198" s="1" t="s">
        <v>25</v>
      </c>
      <c r="F5198">
        <v>540</v>
      </c>
      <c r="G5198">
        <v>540</v>
      </c>
      <c r="H5198">
        <v>84</v>
      </c>
      <c r="I5198" s="1" t="s">
        <v>1528</v>
      </c>
      <c r="J5198" s="1" t="s">
        <v>25</v>
      </c>
      <c r="K5198" s="1" t="s">
        <v>25</v>
      </c>
      <c r="L5198" t="s">
        <v>25</v>
      </c>
      <c r="M5198" t="str">
        <f t="shared" si="223"/>
        <v>Na</v>
      </c>
      <c r="N5198" t="str">
        <f t="shared" si="224"/>
        <v>Na</v>
      </c>
      <c r="O5198" s="1" t="s">
        <v>25</v>
      </c>
      <c r="P5198" s="3" t="s">
        <v>25</v>
      </c>
      <c r="Q5198" s="37">
        <v>1.9943318801151495</v>
      </c>
      <c r="R5198" t="str">
        <f t="shared" si="222"/>
        <v>mmol/mol</v>
      </c>
      <c r="S5198" s="13" t="s">
        <v>25</v>
      </c>
    </row>
    <row r="5199" spans="1:19">
      <c r="A5199" s="18" t="s">
        <v>5486</v>
      </c>
      <c r="B5199" s="1" t="s">
        <v>5367</v>
      </c>
      <c r="C5199" s="1" t="s">
        <v>5491</v>
      </c>
      <c r="D5199" s="1" t="s">
        <v>5492</v>
      </c>
      <c r="E5199" s="1" t="s">
        <v>25</v>
      </c>
      <c r="F5199">
        <v>540</v>
      </c>
      <c r="G5199">
        <v>540</v>
      </c>
      <c r="H5199">
        <v>63.8</v>
      </c>
      <c r="I5199" s="1" t="s">
        <v>1528</v>
      </c>
      <c r="J5199" s="1" t="s">
        <v>25</v>
      </c>
      <c r="K5199" s="1" t="s">
        <v>25</v>
      </c>
      <c r="L5199">
        <v>-1.2282878043297112</v>
      </c>
      <c r="M5199" t="str">
        <f t="shared" si="223"/>
        <v>44/40</v>
      </c>
      <c r="N5199" t="str">
        <f t="shared" si="224"/>
        <v>SW</v>
      </c>
      <c r="O5199" s="1" t="s">
        <v>25</v>
      </c>
      <c r="P5199" s="3" t="s">
        <v>25</v>
      </c>
      <c r="Q5199" s="37">
        <v>0.35854509766805476</v>
      </c>
      <c r="R5199" t="str">
        <f t="shared" si="222"/>
        <v>mmol/mol</v>
      </c>
      <c r="S5199" s="13">
        <f t="shared" ref="S5199:S5227" si="225">IF(NOT(N5199="SW"),L5199-1.88,L5199)</f>
        <v>-1.2282878043297112</v>
      </c>
    </row>
    <row r="5200" spans="1:19">
      <c r="A5200" s="18" t="s">
        <v>5486</v>
      </c>
      <c r="B5200" s="1" t="s">
        <v>5368</v>
      </c>
      <c r="C5200" s="1" t="s">
        <v>5491</v>
      </c>
      <c r="D5200" s="1" t="s">
        <v>5492</v>
      </c>
      <c r="E5200" s="1" t="s">
        <v>25</v>
      </c>
      <c r="F5200">
        <v>540</v>
      </c>
      <c r="G5200">
        <v>540</v>
      </c>
      <c r="H5200">
        <v>65.5</v>
      </c>
      <c r="I5200" s="1" t="s">
        <v>1528</v>
      </c>
      <c r="J5200" s="1" t="s">
        <v>25</v>
      </c>
      <c r="K5200" s="1" t="s">
        <v>25</v>
      </c>
      <c r="L5200">
        <v>-1.064937276405429</v>
      </c>
      <c r="M5200" t="str">
        <f t="shared" si="223"/>
        <v>44/40</v>
      </c>
      <c r="N5200" t="str">
        <f t="shared" si="224"/>
        <v>SW</v>
      </c>
      <c r="O5200" s="1" t="s">
        <v>25</v>
      </c>
      <c r="P5200" s="3" t="s">
        <v>25</v>
      </c>
      <c r="Q5200" s="37">
        <v>0.36403816836594954</v>
      </c>
      <c r="R5200" t="str">
        <f t="shared" si="222"/>
        <v>mmol/mol</v>
      </c>
      <c r="S5200" s="13">
        <f t="shared" si="225"/>
        <v>-1.064937276405429</v>
      </c>
    </row>
    <row r="5201" spans="1:19">
      <c r="A5201" s="18" t="s">
        <v>5486</v>
      </c>
      <c r="B5201" s="1" t="s">
        <v>5369</v>
      </c>
      <c r="C5201" s="1" t="s">
        <v>5491</v>
      </c>
      <c r="D5201" s="1" t="s">
        <v>5492</v>
      </c>
      <c r="E5201" s="1" t="s">
        <v>25</v>
      </c>
      <c r="F5201">
        <v>540</v>
      </c>
      <c r="G5201">
        <v>540</v>
      </c>
      <c r="H5201">
        <v>67</v>
      </c>
      <c r="I5201" s="1" t="s">
        <v>1528</v>
      </c>
      <c r="J5201" s="1" t="s">
        <v>25</v>
      </c>
      <c r="K5201" s="1" t="s">
        <v>25</v>
      </c>
      <c r="L5201">
        <v>-1.1256820880805456</v>
      </c>
      <c r="M5201" t="str">
        <f t="shared" si="223"/>
        <v>44/40</v>
      </c>
      <c r="N5201" t="str">
        <f t="shared" si="224"/>
        <v>SW</v>
      </c>
      <c r="O5201" s="1" t="s">
        <v>25</v>
      </c>
      <c r="P5201" s="3" t="s">
        <v>25</v>
      </c>
      <c r="Q5201" s="37">
        <v>0.47476045929424798</v>
      </c>
      <c r="R5201" t="str">
        <f t="shared" si="222"/>
        <v>mmol/mol</v>
      </c>
      <c r="S5201" s="13">
        <f t="shared" si="225"/>
        <v>-1.1256820880805456</v>
      </c>
    </row>
    <row r="5202" spans="1:19">
      <c r="A5202" s="18" t="s">
        <v>5486</v>
      </c>
      <c r="B5202" s="1" t="s">
        <v>5370</v>
      </c>
      <c r="C5202" s="1" t="s">
        <v>5491</v>
      </c>
      <c r="D5202" s="1" t="s">
        <v>5492</v>
      </c>
      <c r="E5202" s="1" t="s">
        <v>25</v>
      </c>
      <c r="F5202">
        <v>540</v>
      </c>
      <c r="G5202">
        <v>540</v>
      </c>
      <c r="H5202">
        <v>70</v>
      </c>
      <c r="I5202" s="1" t="s">
        <v>1528</v>
      </c>
      <c r="J5202" s="1" t="s">
        <v>25</v>
      </c>
      <c r="K5202" s="1" t="s">
        <v>25</v>
      </c>
      <c r="L5202">
        <v>-0.7830082680640531</v>
      </c>
      <c r="M5202" t="str">
        <f t="shared" si="223"/>
        <v>44/40</v>
      </c>
      <c r="N5202" t="str">
        <f t="shared" si="224"/>
        <v>SW</v>
      </c>
      <c r="O5202" s="1" t="s">
        <v>25</v>
      </c>
      <c r="P5202" s="3" t="s">
        <v>25</v>
      </c>
      <c r="Q5202" s="37">
        <v>0.32454276864935333</v>
      </c>
      <c r="R5202" t="str">
        <f t="shared" si="222"/>
        <v>mmol/mol</v>
      </c>
      <c r="S5202" s="13">
        <f t="shared" si="225"/>
        <v>-0.7830082680640531</v>
      </c>
    </row>
    <row r="5203" spans="1:19">
      <c r="A5203" s="18" t="s">
        <v>5486</v>
      </c>
      <c r="B5203" s="1" t="s">
        <v>5371</v>
      </c>
      <c r="C5203" s="1" t="s">
        <v>5491</v>
      </c>
      <c r="D5203" s="1" t="s">
        <v>5492</v>
      </c>
      <c r="E5203" s="1" t="s">
        <v>25</v>
      </c>
      <c r="F5203">
        <v>540</v>
      </c>
      <c r="G5203">
        <v>540</v>
      </c>
      <c r="H5203">
        <v>76.7</v>
      </c>
      <c r="I5203" s="1" t="s">
        <v>1528</v>
      </c>
      <c r="J5203" s="1" t="s">
        <v>25</v>
      </c>
      <c r="K5203" s="1" t="s">
        <v>25</v>
      </c>
      <c r="L5203">
        <v>-0.92122476922668606</v>
      </c>
      <c r="M5203" t="str">
        <f t="shared" si="223"/>
        <v>44/40</v>
      </c>
      <c r="N5203" t="str">
        <f t="shared" si="224"/>
        <v>SW</v>
      </c>
      <c r="O5203" s="1" t="s">
        <v>25</v>
      </c>
      <c r="P5203" s="3" t="s">
        <v>25</v>
      </c>
      <c r="Q5203" s="37">
        <v>0.55613752270366967</v>
      </c>
      <c r="R5203" t="str">
        <f t="shared" si="222"/>
        <v>mmol/mol</v>
      </c>
      <c r="S5203" s="13">
        <f t="shared" si="225"/>
        <v>-0.92122476922668606</v>
      </c>
    </row>
    <row r="5204" spans="1:19">
      <c r="A5204" s="18" t="s">
        <v>5486</v>
      </c>
      <c r="B5204" s="1" t="s">
        <v>5372</v>
      </c>
      <c r="C5204" s="1" t="s">
        <v>5491</v>
      </c>
      <c r="D5204" s="1" t="s">
        <v>5492</v>
      </c>
      <c r="E5204" s="1" t="s">
        <v>25</v>
      </c>
      <c r="F5204">
        <v>540</v>
      </c>
      <c r="G5204">
        <v>540</v>
      </c>
      <c r="H5204">
        <v>78.3</v>
      </c>
      <c r="I5204" s="1" t="s">
        <v>1528</v>
      </c>
      <c r="J5204" s="1" t="s">
        <v>25</v>
      </c>
      <c r="K5204" s="1" t="s">
        <v>25</v>
      </c>
      <c r="L5204">
        <v>-1.0664098575057872</v>
      </c>
      <c r="M5204" t="str">
        <f t="shared" si="223"/>
        <v>44/40</v>
      </c>
      <c r="N5204" t="str">
        <f t="shared" si="224"/>
        <v>SW</v>
      </c>
      <c r="O5204" s="1" t="s">
        <v>25</v>
      </c>
      <c r="P5204" s="3" t="s">
        <v>25</v>
      </c>
      <c r="Q5204" s="37">
        <v>0.57708490987877881</v>
      </c>
      <c r="R5204" t="str">
        <f t="shared" si="222"/>
        <v>mmol/mol</v>
      </c>
      <c r="S5204" s="13">
        <f t="shared" si="225"/>
        <v>-1.0664098575057872</v>
      </c>
    </row>
    <row r="5205" spans="1:19">
      <c r="A5205" s="18" t="s">
        <v>5486</v>
      </c>
      <c r="B5205" s="1" t="s">
        <v>5373</v>
      </c>
      <c r="C5205" s="1" t="s">
        <v>5491</v>
      </c>
      <c r="D5205" s="1" t="s">
        <v>5492</v>
      </c>
      <c r="E5205" s="1" t="s">
        <v>25</v>
      </c>
      <c r="F5205">
        <v>540</v>
      </c>
      <c r="G5205">
        <v>540</v>
      </c>
      <c r="H5205">
        <v>80</v>
      </c>
      <c r="I5205" s="1" t="s">
        <v>1528</v>
      </c>
      <c r="J5205" s="1" t="s">
        <v>25</v>
      </c>
      <c r="K5205" s="1" t="s">
        <v>25</v>
      </c>
      <c r="L5205">
        <v>-0.91264720960071699</v>
      </c>
      <c r="M5205" t="str">
        <f t="shared" si="223"/>
        <v>44/40</v>
      </c>
      <c r="N5205" t="str">
        <f t="shared" si="224"/>
        <v>SW</v>
      </c>
      <c r="O5205" s="1" t="s">
        <v>25</v>
      </c>
      <c r="P5205" s="3" t="s">
        <v>25</v>
      </c>
      <c r="Q5205" s="37">
        <v>0.38384438068065024</v>
      </c>
      <c r="R5205" t="str">
        <f t="shared" si="222"/>
        <v>mmol/mol</v>
      </c>
      <c r="S5205" s="13">
        <f t="shared" si="225"/>
        <v>-0.91264720960071699</v>
      </c>
    </row>
    <row r="5206" spans="1:19">
      <c r="A5206" s="18" t="s">
        <v>5486</v>
      </c>
      <c r="B5206" s="1" t="s">
        <v>5374</v>
      </c>
      <c r="C5206" s="1" t="s">
        <v>5491</v>
      </c>
      <c r="D5206" s="1" t="s">
        <v>5492</v>
      </c>
      <c r="E5206" s="1" t="s">
        <v>25</v>
      </c>
      <c r="F5206">
        <v>540</v>
      </c>
      <c r="G5206">
        <v>540</v>
      </c>
      <c r="H5206">
        <v>81.599999999999994</v>
      </c>
      <c r="I5206" s="1" t="s">
        <v>1528</v>
      </c>
      <c r="J5206" s="1" t="s">
        <v>25</v>
      </c>
      <c r="K5206" s="1" t="s">
        <v>25</v>
      </c>
      <c r="L5206">
        <v>-0.99267575893754723</v>
      </c>
      <c r="M5206" t="str">
        <f t="shared" si="223"/>
        <v>44/40</v>
      </c>
      <c r="N5206" t="str">
        <f t="shared" si="224"/>
        <v>SW</v>
      </c>
      <c r="O5206" s="1" t="s">
        <v>25</v>
      </c>
      <c r="P5206" s="3" t="s">
        <v>25</v>
      </c>
      <c r="Q5206" s="37">
        <v>0.43798326314619812</v>
      </c>
      <c r="R5206" t="str">
        <f t="shared" si="222"/>
        <v>mmol/mol</v>
      </c>
      <c r="S5206" s="13">
        <f t="shared" si="225"/>
        <v>-0.99267575893754723</v>
      </c>
    </row>
    <row r="5207" spans="1:19">
      <c r="A5207" s="18" t="s">
        <v>5486</v>
      </c>
      <c r="B5207" s="1" t="s">
        <v>5375</v>
      </c>
      <c r="C5207" s="1" t="s">
        <v>5491</v>
      </c>
      <c r="D5207" s="1" t="s">
        <v>5492</v>
      </c>
      <c r="E5207" s="1" t="s">
        <v>25</v>
      </c>
      <c r="F5207">
        <v>540</v>
      </c>
      <c r="G5207">
        <v>540</v>
      </c>
      <c r="H5207">
        <v>83</v>
      </c>
      <c r="I5207" s="1" t="s">
        <v>1528</v>
      </c>
      <c r="J5207" s="1" t="s">
        <v>25</v>
      </c>
      <c r="K5207" s="1" t="s">
        <v>25</v>
      </c>
      <c r="L5207">
        <v>-0.91308039363636173</v>
      </c>
      <c r="M5207" t="str">
        <f t="shared" si="223"/>
        <v>44/40</v>
      </c>
      <c r="N5207" t="str">
        <f t="shared" si="224"/>
        <v>SW</v>
      </c>
      <c r="O5207" s="1" t="s">
        <v>25</v>
      </c>
      <c r="P5207" s="3" t="s">
        <v>25</v>
      </c>
      <c r="Q5207" s="37">
        <v>0.48557866174613296</v>
      </c>
      <c r="R5207" t="str">
        <f t="shared" si="222"/>
        <v>mmol/mol</v>
      </c>
      <c r="S5207" s="13">
        <f t="shared" si="225"/>
        <v>-0.91308039363636173</v>
      </c>
    </row>
    <row r="5208" spans="1:19">
      <c r="A5208" s="18" t="s">
        <v>5486</v>
      </c>
      <c r="B5208" s="1" t="s">
        <v>5376</v>
      </c>
      <c r="C5208" s="1" t="s">
        <v>5491</v>
      </c>
      <c r="D5208" s="1" t="s">
        <v>5492</v>
      </c>
      <c r="E5208" s="1" t="s">
        <v>25</v>
      </c>
      <c r="F5208">
        <v>540</v>
      </c>
      <c r="G5208">
        <v>540</v>
      </c>
      <c r="H5208">
        <v>85</v>
      </c>
      <c r="I5208" s="1" t="s">
        <v>1528</v>
      </c>
      <c r="J5208" s="1" t="s">
        <v>25</v>
      </c>
      <c r="K5208" s="1" t="s">
        <v>25</v>
      </c>
      <c r="L5208">
        <v>-0.81206287054947635</v>
      </c>
      <c r="M5208" t="str">
        <f t="shared" si="223"/>
        <v>44/40</v>
      </c>
      <c r="N5208" t="str">
        <f t="shared" si="224"/>
        <v>SW</v>
      </c>
      <c r="O5208" s="1" t="s">
        <v>25</v>
      </c>
      <c r="P5208" s="3" t="s">
        <v>25</v>
      </c>
      <c r="Q5208" s="37">
        <v>0.24616666823523703</v>
      </c>
      <c r="R5208" t="str">
        <f t="shared" si="222"/>
        <v>mmol/mol</v>
      </c>
      <c r="S5208" s="13">
        <f t="shared" si="225"/>
        <v>-0.81206287054947635</v>
      </c>
    </row>
    <row r="5209" spans="1:19">
      <c r="A5209" s="18" t="s">
        <v>5486</v>
      </c>
      <c r="B5209" s="1" t="s">
        <v>5377</v>
      </c>
      <c r="C5209" s="1" t="s">
        <v>5491</v>
      </c>
      <c r="D5209" s="1" t="s">
        <v>5492</v>
      </c>
      <c r="E5209" s="1" t="s">
        <v>25</v>
      </c>
      <c r="F5209">
        <v>540</v>
      </c>
      <c r="G5209">
        <v>540</v>
      </c>
      <c r="H5209">
        <v>92.6</v>
      </c>
      <c r="I5209" s="1" t="s">
        <v>1528</v>
      </c>
      <c r="J5209" s="1" t="s">
        <v>25</v>
      </c>
      <c r="K5209" s="1" t="s">
        <v>25</v>
      </c>
      <c r="L5209">
        <v>-0.83548590273687096</v>
      </c>
      <c r="M5209" t="str">
        <f t="shared" si="223"/>
        <v>44/40</v>
      </c>
      <c r="N5209" t="str">
        <f t="shared" si="224"/>
        <v>SW</v>
      </c>
      <c r="O5209" s="1" t="s">
        <v>25</v>
      </c>
      <c r="P5209" s="3" t="s">
        <v>25</v>
      </c>
      <c r="Q5209" s="37">
        <v>0.25477336009464746</v>
      </c>
      <c r="R5209" t="str">
        <f t="shared" ref="R5209:R5272" si="226">IF(Q5209="Na","Na","mmol/mol")</f>
        <v>mmol/mol</v>
      </c>
      <c r="S5209" s="13">
        <f t="shared" si="225"/>
        <v>-0.83548590273687096</v>
      </c>
    </row>
    <row r="5210" spans="1:19">
      <c r="A5210" s="18" t="s">
        <v>5486</v>
      </c>
      <c r="B5210" s="1" t="s">
        <v>5378</v>
      </c>
      <c r="C5210" s="1" t="s">
        <v>5491</v>
      </c>
      <c r="D5210" s="1" t="s">
        <v>5492</v>
      </c>
      <c r="E5210" s="1" t="s">
        <v>25</v>
      </c>
      <c r="F5210">
        <v>540</v>
      </c>
      <c r="G5210">
        <v>540</v>
      </c>
      <c r="H5210">
        <v>94</v>
      </c>
      <c r="I5210" s="1" t="s">
        <v>1528</v>
      </c>
      <c r="J5210" s="1" t="s">
        <v>25</v>
      </c>
      <c r="K5210" s="1" t="s">
        <v>25</v>
      </c>
      <c r="L5210">
        <v>-0.78414531565088585</v>
      </c>
      <c r="M5210" t="str">
        <f t="shared" si="223"/>
        <v>44/40</v>
      </c>
      <c r="N5210" t="str">
        <f t="shared" si="224"/>
        <v>SW</v>
      </c>
      <c r="O5210" s="1" t="s">
        <v>25</v>
      </c>
      <c r="P5210" s="3" t="s">
        <v>25</v>
      </c>
      <c r="Q5210" s="37">
        <v>0.31013306544684577</v>
      </c>
      <c r="R5210" t="str">
        <f t="shared" si="226"/>
        <v>mmol/mol</v>
      </c>
      <c r="S5210" s="13">
        <f t="shared" si="225"/>
        <v>-0.78414531565088585</v>
      </c>
    </row>
    <row r="5211" spans="1:19">
      <c r="A5211" s="18" t="s">
        <v>5486</v>
      </c>
      <c r="B5211" s="1" t="s">
        <v>5379</v>
      </c>
      <c r="C5211" s="1" t="s">
        <v>5491</v>
      </c>
      <c r="D5211" s="1" t="s">
        <v>5492</v>
      </c>
      <c r="E5211" s="1" t="s">
        <v>25</v>
      </c>
      <c r="F5211">
        <v>540</v>
      </c>
      <c r="G5211">
        <v>540</v>
      </c>
      <c r="H5211">
        <v>95.5</v>
      </c>
      <c r="I5211" s="1" t="s">
        <v>1528</v>
      </c>
      <c r="J5211" s="1" t="s">
        <v>25</v>
      </c>
      <c r="K5211" s="1" t="s">
        <v>25</v>
      </c>
      <c r="L5211">
        <v>-0.91139646562138066</v>
      </c>
      <c r="M5211" t="str">
        <f t="shared" si="223"/>
        <v>44/40</v>
      </c>
      <c r="N5211" t="str">
        <f t="shared" si="224"/>
        <v>SW</v>
      </c>
      <c r="O5211" s="1" t="s">
        <v>25</v>
      </c>
      <c r="P5211" s="3" t="s">
        <v>25</v>
      </c>
      <c r="Q5211" s="37">
        <v>0.41610606549201606</v>
      </c>
      <c r="R5211" t="str">
        <f t="shared" si="226"/>
        <v>mmol/mol</v>
      </c>
      <c r="S5211" s="13">
        <f t="shared" si="225"/>
        <v>-0.91139646562138066</v>
      </c>
    </row>
    <row r="5212" spans="1:19">
      <c r="A5212" s="18" t="s">
        <v>5486</v>
      </c>
      <c r="B5212" s="1" t="s">
        <v>5380</v>
      </c>
      <c r="C5212" s="1" t="s">
        <v>5491</v>
      </c>
      <c r="D5212" s="1" t="s">
        <v>5492</v>
      </c>
      <c r="E5212" s="1" t="s">
        <v>25</v>
      </c>
      <c r="F5212">
        <v>540</v>
      </c>
      <c r="G5212">
        <v>540</v>
      </c>
      <c r="H5212">
        <v>97.3</v>
      </c>
      <c r="I5212" s="1" t="s">
        <v>1528</v>
      </c>
      <c r="J5212" s="1" t="s">
        <v>25</v>
      </c>
      <c r="K5212" s="1" t="s">
        <v>25</v>
      </c>
      <c r="L5212">
        <v>-0.75499489309534806</v>
      </c>
      <c r="M5212" t="str">
        <f t="shared" si="223"/>
        <v>44/40</v>
      </c>
      <c r="N5212" t="str">
        <f t="shared" si="224"/>
        <v>SW</v>
      </c>
      <c r="O5212" s="1" t="s">
        <v>25</v>
      </c>
      <c r="P5212" s="3" t="s">
        <v>25</v>
      </c>
      <c r="Q5212" s="37">
        <v>0.37492302324831167</v>
      </c>
      <c r="R5212" t="str">
        <f t="shared" si="226"/>
        <v>mmol/mol</v>
      </c>
      <c r="S5212" s="13">
        <f t="shared" si="225"/>
        <v>-0.75499489309534806</v>
      </c>
    </row>
    <row r="5213" spans="1:19">
      <c r="A5213" s="18" t="s">
        <v>5486</v>
      </c>
      <c r="B5213" s="1" t="s">
        <v>5381</v>
      </c>
      <c r="C5213" s="1" t="s">
        <v>5491</v>
      </c>
      <c r="D5213" s="1" t="s">
        <v>5492</v>
      </c>
      <c r="E5213" s="1" t="s">
        <v>25</v>
      </c>
      <c r="F5213">
        <v>540</v>
      </c>
      <c r="G5213">
        <v>540</v>
      </c>
      <c r="H5213">
        <v>102.6</v>
      </c>
      <c r="I5213" s="1" t="s">
        <v>1528</v>
      </c>
      <c r="J5213" s="1" t="s">
        <v>25</v>
      </c>
      <c r="K5213" s="1" t="s">
        <v>25</v>
      </c>
      <c r="L5213">
        <v>-0.84394675024010424</v>
      </c>
      <c r="M5213" t="str">
        <f t="shared" si="223"/>
        <v>44/40</v>
      </c>
      <c r="N5213" t="str">
        <f t="shared" si="224"/>
        <v>SW</v>
      </c>
      <c r="O5213" s="1" t="s">
        <v>25</v>
      </c>
      <c r="P5213" s="3" t="s">
        <v>25</v>
      </c>
      <c r="Q5213" s="37">
        <v>0.30289682411865859</v>
      </c>
      <c r="R5213" t="str">
        <f t="shared" si="226"/>
        <v>mmol/mol</v>
      </c>
      <c r="S5213" s="13">
        <f t="shared" si="225"/>
        <v>-0.84394675024010424</v>
      </c>
    </row>
    <row r="5214" spans="1:19">
      <c r="A5214" s="18" t="s">
        <v>5486</v>
      </c>
      <c r="B5214" s="1" t="s">
        <v>5382</v>
      </c>
      <c r="C5214" s="1" t="s">
        <v>5491</v>
      </c>
      <c r="D5214" s="1" t="s">
        <v>5492</v>
      </c>
      <c r="E5214" s="1" t="s">
        <v>25</v>
      </c>
      <c r="F5214">
        <v>540</v>
      </c>
      <c r="G5214">
        <v>540</v>
      </c>
      <c r="H5214">
        <v>104</v>
      </c>
      <c r="I5214" s="1" t="s">
        <v>1528</v>
      </c>
      <c r="J5214" s="1" t="s">
        <v>25</v>
      </c>
      <c r="K5214" s="1" t="s">
        <v>25</v>
      </c>
      <c r="L5214">
        <v>-0.91233282794643622</v>
      </c>
      <c r="M5214" t="str">
        <f t="shared" si="223"/>
        <v>44/40</v>
      </c>
      <c r="N5214" t="str">
        <f t="shared" si="224"/>
        <v>SW</v>
      </c>
      <c r="O5214" s="1" t="s">
        <v>25</v>
      </c>
      <c r="P5214" s="3" t="s">
        <v>25</v>
      </c>
      <c r="Q5214" s="37">
        <v>9.2091631092223666E-2</v>
      </c>
      <c r="R5214" t="str">
        <f t="shared" si="226"/>
        <v>mmol/mol</v>
      </c>
      <c r="S5214" s="13">
        <f t="shared" si="225"/>
        <v>-0.91233282794643622</v>
      </c>
    </row>
    <row r="5215" spans="1:19">
      <c r="A5215" s="18" t="s">
        <v>5486</v>
      </c>
      <c r="B5215" s="1" t="s">
        <v>5383</v>
      </c>
      <c r="C5215" s="1" t="s">
        <v>5491</v>
      </c>
      <c r="D5215" s="1" t="s">
        <v>5492</v>
      </c>
      <c r="E5215" s="1" t="s">
        <v>25</v>
      </c>
      <c r="F5215">
        <v>540</v>
      </c>
      <c r="G5215">
        <v>540</v>
      </c>
      <c r="H5215">
        <v>105.6</v>
      </c>
      <c r="I5215" s="1" t="s">
        <v>1528</v>
      </c>
      <c r="J5215" s="1" t="s">
        <v>25</v>
      </c>
      <c r="K5215" s="1" t="s">
        <v>25</v>
      </c>
      <c r="L5215">
        <v>-0.82484527045091893</v>
      </c>
      <c r="M5215" t="str">
        <f t="shared" si="223"/>
        <v>44/40</v>
      </c>
      <c r="N5215" t="str">
        <f t="shared" si="224"/>
        <v>SW</v>
      </c>
      <c r="O5215" s="1" t="s">
        <v>25</v>
      </c>
      <c r="P5215" s="3" t="s">
        <v>25</v>
      </c>
      <c r="Q5215" s="37">
        <v>0.27316104501014277</v>
      </c>
      <c r="R5215" t="str">
        <f t="shared" si="226"/>
        <v>mmol/mol</v>
      </c>
      <c r="S5215" s="13">
        <f t="shared" si="225"/>
        <v>-0.82484527045091893</v>
      </c>
    </row>
    <row r="5216" spans="1:19">
      <c r="A5216" s="18" t="s">
        <v>5486</v>
      </c>
      <c r="B5216" s="1" t="s">
        <v>5384</v>
      </c>
      <c r="C5216" s="1" t="s">
        <v>5491</v>
      </c>
      <c r="D5216" s="1" t="s">
        <v>5492</v>
      </c>
      <c r="E5216" s="1" t="s">
        <v>25</v>
      </c>
      <c r="F5216">
        <v>540</v>
      </c>
      <c r="G5216">
        <v>540</v>
      </c>
      <c r="H5216">
        <v>107</v>
      </c>
      <c r="I5216" s="1" t="s">
        <v>1528</v>
      </c>
      <c r="J5216" s="1" t="s">
        <v>25</v>
      </c>
      <c r="K5216" s="1" t="s">
        <v>25</v>
      </c>
      <c r="L5216">
        <v>-0.68511691425192911</v>
      </c>
      <c r="M5216" t="str">
        <f t="shared" si="223"/>
        <v>44/40</v>
      </c>
      <c r="N5216" t="str">
        <f t="shared" si="224"/>
        <v>SW</v>
      </c>
      <c r="O5216" s="1" t="s">
        <v>25</v>
      </c>
      <c r="P5216" s="3" t="s">
        <v>25</v>
      </c>
      <c r="Q5216" s="37">
        <v>0.26217799565122502</v>
      </c>
      <c r="R5216" t="str">
        <f t="shared" si="226"/>
        <v>mmol/mol</v>
      </c>
      <c r="S5216" s="13">
        <f t="shared" si="225"/>
        <v>-0.68511691425192911</v>
      </c>
    </row>
    <row r="5217" spans="1:19">
      <c r="A5217" s="18" t="s">
        <v>5486</v>
      </c>
      <c r="B5217" s="1" t="s">
        <v>5385</v>
      </c>
      <c r="C5217" s="1" t="s">
        <v>5491</v>
      </c>
      <c r="D5217" s="1" t="s">
        <v>5492</v>
      </c>
      <c r="E5217" s="1" t="s">
        <v>25</v>
      </c>
      <c r="F5217">
        <v>540</v>
      </c>
      <c r="G5217">
        <v>540</v>
      </c>
      <c r="H5217">
        <v>110.6</v>
      </c>
      <c r="I5217" s="1" t="s">
        <v>1528</v>
      </c>
      <c r="J5217" s="1" t="s">
        <v>25</v>
      </c>
      <c r="K5217" s="1" t="s">
        <v>25</v>
      </c>
      <c r="L5217">
        <v>-1.0067630166992274</v>
      </c>
      <c r="M5217" t="str">
        <f t="shared" si="223"/>
        <v>44/40</v>
      </c>
      <c r="N5217" t="str">
        <f t="shared" si="224"/>
        <v>SW</v>
      </c>
      <c r="O5217" s="1" t="s">
        <v>25</v>
      </c>
      <c r="P5217" s="3" t="s">
        <v>25</v>
      </c>
      <c r="Q5217" s="37">
        <v>0.30551104794209388</v>
      </c>
      <c r="R5217" t="str">
        <f t="shared" si="226"/>
        <v>mmol/mol</v>
      </c>
      <c r="S5217" s="13">
        <f t="shared" si="225"/>
        <v>-1.0067630166992274</v>
      </c>
    </row>
    <row r="5218" spans="1:19">
      <c r="A5218" s="18" t="s">
        <v>5486</v>
      </c>
      <c r="B5218" s="1" t="s">
        <v>5386</v>
      </c>
      <c r="C5218" s="1" t="s">
        <v>5491</v>
      </c>
      <c r="D5218" s="1" t="s">
        <v>5492</v>
      </c>
      <c r="E5218" s="1" t="s">
        <v>25</v>
      </c>
      <c r="F5218">
        <v>540</v>
      </c>
      <c r="G5218">
        <v>540</v>
      </c>
      <c r="H5218">
        <v>112</v>
      </c>
      <c r="I5218" s="1" t="s">
        <v>1528</v>
      </c>
      <c r="J5218" s="1" t="s">
        <v>25</v>
      </c>
      <c r="K5218" s="1" t="s">
        <v>25</v>
      </c>
      <c r="L5218">
        <v>-0.81777492143664243</v>
      </c>
      <c r="M5218" t="str">
        <f t="shared" si="223"/>
        <v>44/40</v>
      </c>
      <c r="N5218" t="str">
        <f t="shared" si="224"/>
        <v>SW</v>
      </c>
      <c r="O5218" s="1" t="s">
        <v>25</v>
      </c>
      <c r="P5218" s="3" t="s">
        <v>25</v>
      </c>
      <c r="Q5218" s="37">
        <v>0.32265569228508112</v>
      </c>
      <c r="R5218" t="str">
        <f t="shared" si="226"/>
        <v>mmol/mol</v>
      </c>
      <c r="S5218" s="13">
        <f t="shared" si="225"/>
        <v>-0.81777492143664243</v>
      </c>
    </row>
    <row r="5219" spans="1:19">
      <c r="A5219" s="18" t="s">
        <v>5486</v>
      </c>
      <c r="B5219" s="1" t="s">
        <v>5387</v>
      </c>
      <c r="C5219" s="1" t="s">
        <v>5491</v>
      </c>
      <c r="D5219" s="1" t="s">
        <v>5492</v>
      </c>
      <c r="E5219" s="1" t="s">
        <v>25</v>
      </c>
      <c r="F5219">
        <v>540</v>
      </c>
      <c r="G5219">
        <v>540</v>
      </c>
      <c r="H5219">
        <v>113</v>
      </c>
      <c r="I5219" s="1" t="s">
        <v>1528</v>
      </c>
      <c r="J5219" s="1" t="s">
        <v>25</v>
      </c>
      <c r="K5219" s="1" t="s">
        <v>25</v>
      </c>
      <c r="L5219">
        <v>-0.87490769222914311</v>
      </c>
      <c r="M5219" t="str">
        <f t="shared" si="223"/>
        <v>44/40</v>
      </c>
      <c r="N5219" t="str">
        <f t="shared" si="224"/>
        <v>SW</v>
      </c>
      <c r="O5219" s="1" t="s">
        <v>25</v>
      </c>
      <c r="P5219" s="3" t="s">
        <v>25</v>
      </c>
      <c r="Q5219" s="37">
        <v>0.29912810022717251</v>
      </c>
      <c r="R5219" t="str">
        <f t="shared" si="226"/>
        <v>mmol/mol</v>
      </c>
      <c r="S5219" s="13">
        <f t="shared" si="225"/>
        <v>-0.87490769222914311</v>
      </c>
    </row>
    <row r="5220" spans="1:19">
      <c r="A5220" s="18" t="s">
        <v>5486</v>
      </c>
      <c r="B5220" s="1" t="s">
        <v>5388</v>
      </c>
      <c r="C5220" s="1" t="s">
        <v>5491</v>
      </c>
      <c r="D5220" s="1" t="s">
        <v>5492</v>
      </c>
      <c r="E5220" s="1" t="s">
        <v>25</v>
      </c>
      <c r="F5220">
        <v>540</v>
      </c>
      <c r="G5220">
        <v>540</v>
      </c>
      <c r="H5220">
        <v>116</v>
      </c>
      <c r="I5220" s="1" t="s">
        <v>1528</v>
      </c>
      <c r="J5220" s="1" t="s">
        <v>25</v>
      </c>
      <c r="K5220" s="1" t="s">
        <v>25</v>
      </c>
      <c r="L5220">
        <v>-0.79521942364413611</v>
      </c>
      <c r="M5220" t="str">
        <f t="shared" si="223"/>
        <v>44/40</v>
      </c>
      <c r="N5220" t="str">
        <f t="shared" si="224"/>
        <v>SW</v>
      </c>
      <c r="O5220" s="1" t="s">
        <v>25</v>
      </c>
      <c r="P5220" s="3" t="s">
        <v>25</v>
      </c>
      <c r="Q5220" s="37">
        <v>0.27805184906574731</v>
      </c>
      <c r="R5220" t="str">
        <f t="shared" si="226"/>
        <v>mmol/mol</v>
      </c>
      <c r="S5220" s="13">
        <f t="shared" si="225"/>
        <v>-0.79521942364413611</v>
      </c>
    </row>
    <row r="5221" spans="1:19">
      <c r="A5221" s="18" t="s">
        <v>5486</v>
      </c>
      <c r="B5221" s="1" t="s">
        <v>5389</v>
      </c>
      <c r="C5221" s="1" t="s">
        <v>5491</v>
      </c>
      <c r="D5221" s="1" t="s">
        <v>5492</v>
      </c>
      <c r="E5221" s="1" t="s">
        <v>25</v>
      </c>
      <c r="F5221">
        <v>540</v>
      </c>
      <c r="G5221">
        <v>540</v>
      </c>
      <c r="H5221">
        <v>117.5</v>
      </c>
      <c r="I5221" s="1" t="s">
        <v>1528</v>
      </c>
      <c r="J5221" s="1" t="s">
        <v>25</v>
      </c>
      <c r="K5221" s="1" t="s">
        <v>25</v>
      </c>
      <c r="L5221">
        <v>-0.74126663098749701</v>
      </c>
      <c r="M5221" t="str">
        <f t="shared" si="223"/>
        <v>44/40</v>
      </c>
      <c r="N5221" t="str">
        <f t="shared" si="224"/>
        <v>SW</v>
      </c>
      <c r="O5221" s="1" t="s">
        <v>25</v>
      </c>
      <c r="P5221" s="3" t="s">
        <v>25</v>
      </c>
      <c r="Q5221" s="37">
        <v>0.27748759717368471</v>
      </c>
      <c r="R5221" t="str">
        <f t="shared" si="226"/>
        <v>mmol/mol</v>
      </c>
      <c r="S5221" s="13">
        <f t="shared" si="225"/>
        <v>-0.74126663098749701</v>
      </c>
    </row>
    <row r="5222" spans="1:19">
      <c r="A5222" s="18" t="s">
        <v>5486</v>
      </c>
      <c r="B5222" s="1" t="s">
        <v>5390</v>
      </c>
      <c r="C5222" s="1" t="s">
        <v>5491</v>
      </c>
      <c r="D5222" s="1" t="s">
        <v>5492</v>
      </c>
      <c r="E5222" s="1" t="s">
        <v>25</v>
      </c>
      <c r="F5222">
        <v>540</v>
      </c>
      <c r="G5222">
        <v>540</v>
      </c>
      <c r="H5222">
        <v>119</v>
      </c>
      <c r="I5222" s="1" t="s">
        <v>1528</v>
      </c>
      <c r="J5222" s="1" t="s">
        <v>25</v>
      </c>
      <c r="K5222" s="1" t="s">
        <v>25</v>
      </c>
      <c r="L5222">
        <v>-0.76288940072817546</v>
      </c>
      <c r="M5222" t="str">
        <f t="shared" si="223"/>
        <v>44/40</v>
      </c>
      <c r="N5222" t="str">
        <f t="shared" si="224"/>
        <v>SW</v>
      </c>
      <c r="O5222" s="1" t="s">
        <v>25</v>
      </c>
      <c r="P5222" s="3" t="s">
        <v>25</v>
      </c>
      <c r="Q5222" s="37">
        <v>0.22603475941442949</v>
      </c>
      <c r="R5222" t="str">
        <f t="shared" si="226"/>
        <v>mmol/mol</v>
      </c>
      <c r="S5222" s="13">
        <f t="shared" si="225"/>
        <v>-0.76288940072817546</v>
      </c>
    </row>
    <row r="5223" spans="1:19">
      <c r="A5223" s="18" t="s">
        <v>5486</v>
      </c>
      <c r="B5223" s="1" t="s">
        <v>5391</v>
      </c>
      <c r="C5223" s="1" t="s">
        <v>5491</v>
      </c>
      <c r="D5223" s="1" t="s">
        <v>5492</v>
      </c>
      <c r="E5223" s="1" t="s">
        <v>25</v>
      </c>
      <c r="F5223">
        <v>540</v>
      </c>
      <c r="G5223">
        <v>540</v>
      </c>
      <c r="H5223">
        <v>120</v>
      </c>
      <c r="I5223" s="1" t="s">
        <v>1528</v>
      </c>
      <c r="J5223" s="1" t="s">
        <v>25</v>
      </c>
      <c r="K5223" s="1" t="s">
        <v>25</v>
      </c>
      <c r="L5223">
        <v>-0.92304940810486169</v>
      </c>
      <c r="M5223" t="str">
        <f t="shared" si="223"/>
        <v>44/40</v>
      </c>
      <c r="N5223" t="str">
        <f t="shared" si="224"/>
        <v>SW</v>
      </c>
      <c r="O5223" s="1" t="s">
        <v>25</v>
      </c>
      <c r="P5223" s="3" t="s">
        <v>25</v>
      </c>
      <c r="Q5223" s="37">
        <v>0.36205397927915939</v>
      </c>
      <c r="R5223" t="str">
        <f t="shared" si="226"/>
        <v>mmol/mol</v>
      </c>
      <c r="S5223" s="13">
        <f t="shared" si="225"/>
        <v>-0.92304940810486169</v>
      </c>
    </row>
    <row r="5224" spans="1:19">
      <c r="A5224" s="18" t="s">
        <v>5486</v>
      </c>
      <c r="B5224" s="1" t="s">
        <v>5392</v>
      </c>
      <c r="C5224" s="1" t="s">
        <v>5491</v>
      </c>
      <c r="D5224" s="1" t="s">
        <v>5492</v>
      </c>
      <c r="E5224" s="1" t="s">
        <v>25</v>
      </c>
      <c r="F5224">
        <v>540</v>
      </c>
      <c r="G5224">
        <v>540</v>
      </c>
      <c r="H5224">
        <v>123.3</v>
      </c>
      <c r="I5224" s="1" t="s">
        <v>1528</v>
      </c>
      <c r="J5224" s="1" t="s">
        <v>25</v>
      </c>
      <c r="K5224" s="1" t="s">
        <v>25</v>
      </c>
      <c r="L5224">
        <v>-1.1036769748480584</v>
      </c>
      <c r="M5224" t="str">
        <f t="shared" si="223"/>
        <v>44/40</v>
      </c>
      <c r="N5224" t="str">
        <f t="shared" si="224"/>
        <v>SW</v>
      </c>
      <c r="O5224" s="1" t="s">
        <v>25</v>
      </c>
      <c r="P5224" s="3" t="s">
        <v>25</v>
      </c>
      <c r="Q5224" s="37">
        <v>0.38367136088033715</v>
      </c>
      <c r="R5224" t="str">
        <f t="shared" si="226"/>
        <v>mmol/mol</v>
      </c>
      <c r="S5224" s="13">
        <f t="shared" si="225"/>
        <v>-1.1036769748480584</v>
      </c>
    </row>
    <row r="5225" spans="1:19">
      <c r="A5225" s="18" t="s">
        <v>5486</v>
      </c>
      <c r="B5225" s="1" t="s">
        <v>5393</v>
      </c>
      <c r="C5225" s="1" t="s">
        <v>5491</v>
      </c>
      <c r="D5225" s="1" t="s">
        <v>5492</v>
      </c>
      <c r="E5225" s="1" t="s">
        <v>25</v>
      </c>
      <c r="F5225">
        <v>540</v>
      </c>
      <c r="G5225">
        <v>540</v>
      </c>
      <c r="H5225">
        <v>124.7</v>
      </c>
      <c r="I5225" s="1" t="s">
        <v>1528</v>
      </c>
      <c r="J5225" s="1" t="s">
        <v>25</v>
      </c>
      <c r="K5225" s="1" t="s">
        <v>25</v>
      </c>
      <c r="L5225">
        <v>-1.0917695123686566</v>
      </c>
      <c r="M5225" t="str">
        <f t="shared" si="223"/>
        <v>44/40</v>
      </c>
      <c r="N5225" t="str">
        <f t="shared" si="224"/>
        <v>SW</v>
      </c>
      <c r="O5225" s="1" t="s">
        <v>25</v>
      </c>
      <c r="P5225" s="3" t="s">
        <v>25</v>
      </c>
      <c r="Q5225" s="37">
        <v>0.50022014592994202</v>
      </c>
      <c r="R5225" t="str">
        <f t="shared" si="226"/>
        <v>mmol/mol</v>
      </c>
      <c r="S5225" s="13">
        <f t="shared" si="225"/>
        <v>-1.0917695123686566</v>
      </c>
    </row>
    <row r="5226" spans="1:19">
      <c r="A5226" s="18" t="s">
        <v>5486</v>
      </c>
      <c r="B5226" s="1" t="s">
        <v>5394</v>
      </c>
      <c r="C5226" s="1" t="s">
        <v>5491</v>
      </c>
      <c r="D5226" s="1" t="s">
        <v>5492</v>
      </c>
      <c r="E5226" s="1" t="s">
        <v>25</v>
      </c>
      <c r="F5226">
        <v>540</v>
      </c>
      <c r="G5226">
        <v>540</v>
      </c>
      <c r="H5226">
        <v>126.5</v>
      </c>
      <c r="I5226" s="1" t="s">
        <v>1528</v>
      </c>
      <c r="J5226" s="1" t="s">
        <v>25</v>
      </c>
      <c r="K5226" s="1" t="s">
        <v>25</v>
      </c>
      <c r="L5226">
        <v>-1.2281015151588859</v>
      </c>
      <c r="M5226" t="str">
        <f t="shared" si="223"/>
        <v>44/40</v>
      </c>
      <c r="N5226" t="str">
        <f t="shared" si="224"/>
        <v>SW</v>
      </c>
      <c r="O5226" s="1" t="s">
        <v>25</v>
      </c>
      <c r="P5226" s="3" t="s">
        <v>25</v>
      </c>
      <c r="Q5226" s="37">
        <v>0.30695207351973447</v>
      </c>
      <c r="R5226" t="str">
        <f t="shared" si="226"/>
        <v>mmol/mol</v>
      </c>
      <c r="S5226" s="13">
        <f t="shared" si="225"/>
        <v>-1.2281015151588859</v>
      </c>
    </row>
    <row r="5227" spans="1:19">
      <c r="A5227" s="18" t="s">
        <v>5486</v>
      </c>
      <c r="B5227" s="1" t="s">
        <v>5395</v>
      </c>
      <c r="C5227" s="1" t="s">
        <v>5491</v>
      </c>
      <c r="D5227" s="1" t="s">
        <v>5492</v>
      </c>
      <c r="E5227" s="1" t="s">
        <v>25</v>
      </c>
      <c r="F5227">
        <v>540</v>
      </c>
      <c r="G5227">
        <v>540</v>
      </c>
      <c r="H5227">
        <v>128.6</v>
      </c>
      <c r="I5227" s="1" t="s">
        <v>1528</v>
      </c>
      <c r="J5227" s="1" t="s">
        <v>25</v>
      </c>
      <c r="K5227" s="1" t="s">
        <v>25</v>
      </c>
      <c r="L5227">
        <v>-1.0582114736452328</v>
      </c>
      <c r="M5227" t="str">
        <f t="shared" si="223"/>
        <v>44/40</v>
      </c>
      <c r="N5227" t="str">
        <f t="shared" si="224"/>
        <v>SW</v>
      </c>
      <c r="O5227" s="1" t="s">
        <v>25</v>
      </c>
      <c r="P5227" s="3" t="s">
        <v>25</v>
      </c>
      <c r="Q5227" s="37">
        <v>0.26064226151532516</v>
      </c>
      <c r="R5227" t="str">
        <f t="shared" si="226"/>
        <v>mmol/mol</v>
      </c>
      <c r="S5227" s="13">
        <f t="shared" si="225"/>
        <v>-1.0582114736452328</v>
      </c>
    </row>
    <row r="5228" spans="1:19">
      <c r="A5228" s="18" t="s">
        <v>5486</v>
      </c>
      <c r="B5228" s="1" t="s">
        <v>5396</v>
      </c>
      <c r="C5228" s="1" t="s">
        <v>5491</v>
      </c>
      <c r="D5228" s="1" t="s">
        <v>5492</v>
      </c>
      <c r="E5228" s="1" t="s">
        <v>25</v>
      </c>
      <c r="F5228">
        <v>540</v>
      </c>
      <c r="G5228">
        <v>540</v>
      </c>
      <c r="H5228">
        <v>129.5</v>
      </c>
      <c r="I5228" s="1" t="s">
        <v>1528</v>
      </c>
      <c r="J5228" s="1" t="s">
        <v>25</v>
      </c>
      <c r="K5228" s="1" t="s">
        <v>25</v>
      </c>
      <c r="L5228">
        <v>-1.0452048997219243</v>
      </c>
      <c r="M5228" t="str">
        <f t="shared" si="223"/>
        <v>44/40</v>
      </c>
      <c r="N5228" t="str">
        <f t="shared" si="224"/>
        <v>SW</v>
      </c>
      <c r="O5228" s="1" t="s">
        <v>25</v>
      </c>
      <c r="P5228" s="3" t="s">
        <v>25</v>
      </c>
      <c r="Q5228" s="37">
        <v>0.34203882545298531</v>
      </c>
      <c r="R5228" t="str">
        <f t="shared" si="226"/>
        <v>mmol/mol</v>
      </c>
      <c r="S5228" s="13">
        <f t="shared" ref="S5228:S5291" si="227">IF(NOT(N5228="SW"),L5228-1.88,L5228)</f>
        <v>-1.0452048997219243</v>
      </c>
    </row>
    <row r="5229" spans="1:19">
      <c r="A5229" s="18" t="s">
        <v>5486</v>
      </c>
      <c r="B5229" s="1" t="s">
        <v>5397</v>
      </c>
      <c r="C5229" s="1" t="s">
        <v>5491</v>
      </c>
      <c r="D5229" s="1" t="s">
        <v>5492</v>
      </c>
      <c r="E5229" s="1" t="s">
        <v>25</v>
      </c>
      <c r="F5229">
        <v>540</v>
      </c>
      <c r="G5229">
        <v>540</v>
      </c>
      <c r="H5229">
        <v>131.4</v>
      </c>
      <c r="I5229" s="1" t="s">
        <v>1528</v>
      </c>
      <c r="J5229" s="1" t="s">
        <v>25</v>
      </c>
      <c r="K5229" s="1" t="s">
        <v>25</v>
      </c>
      <c r="L5229">
        <v>-1.0588211238504701</v>
      </c>
      <c r="M5229" t="str">
        <f t="shared" si="223"/>
        <v>44/40</v>
      </c>
      <c r="N5229" t="str">
        <f t="shared" si="224"/>
        <v>SW</v>
      </c>
      <c r="O5229" s="1" t="s">
        <v>25</v>
      </c>
      <c r="P5229" s="3" t="s">
        <v>25</v>
      </c>
      <c r="Q5229" s="37">
        <v>0.34755659069054506</v>
      </c>
      <c r="R5229" t="str">
        <f t="shared" si="226"/>
        <v>mmol/mol</v>
      </c>
      <c r="S5229" s="13">
        <f t="shared" si="227"/>
        <v>-1.0588211238504701</v>
      </c>
    </row>
    <row r="5230" spans="1:19">
      <c r="A5230" s="18" t="s">
        <v>5486</v>
      </c>
      <c r="B5230" s="1" t="s">
        <v>5398</v>
      </c>
      <c r="C5230" s="1" t="s">
        <v>5491</v>
      </c>
      <c r="D5230" s="1" t="s">
        <v>5492</v>
      </c>
      <c r="E5230" s="1" t="s">
        <v>25</v>
      </c>
      <c r="F5230">
        <v>540</v>
      </c>
      <c r="G5230">
        <v>540</v>
      </c>
      <c r="H5230">
        <v>133.5</v>
      </c>
      <c r="I5230" s="1" t="s">
        <v>1528</v>
      </c>
      <c r="J5230" s="1" t="s">
        <v>25</v>
      </c>
      <c r="K5230" s="1" t="s">
        <v>25</v>
      </c>
      <c r="L5230">
        <v>-1.3956354214537889</v>
      </c>
      <c r="M5230" t="str">
        <f t="shared" si="223"/>
        <v>44/40</v>
      </c>
      <c r="N5230" t="str">
        <f t="shared" si="224"/>
        <v>SW</v>
      </c>
      <c r="O5230" s="1" t="s">
        <v>25</v>
      </c>
      <c r="P5230" s="3" t="s">
        <v>25</v>
      </c>
      <c r="Q5230" s="37">
        <v>0.42234923633024896</v>
      </c>
      <c r="R5230" t="str">
        <f t="shared" si="226"/>
        <v>mmol/mol</v>
      </c>
      <c r="S5230" s="13">
        <f t="shared" si="227"/>
        <v>-1.3956354214537889</v>
      </c>
    </row>
    <row r="5231" spans="1:19">
      <c r="A5231" s="18" t="s">
        <v>5486</v>
      </c>
      <c r="B5231" s="1" t="s">
        <v>5399</v>
      </c>
      <c r="C5231" s="1" t="s">
        <v>5491</v>
      </c>
      <c r="D5231" s="1" t="s">
        <v>5492</v>
      </c>
      <c r="E5231" s="1" t="s">
        <v>25</v>
      </c>
      <c r="F5231">
        <v>540</v>
      </c>
      <c r="G5231">
        <v>540</v>
      </c>
      <c r="H5231">
        <v>135.5</v>
      </c>
      <c r="I5231" s="1" t="s">
        <v>1528</v>
      </c>
      <c r="J5231" s="1" t="s">
        <v>25</v>
      </c>
      <c r="K5231" s="1" t="s">
        <v>25</v>
      </c>
      <c r="L5231">
        <v>-0.92373616883284848</v>
      </c>
      <c r="M5231" t="str">
        <f t="shared" si="223"/>
        <v>44/40</v>
      </c>
      <c r="N5231" t="str">
        <f t="shared" si="224"/>
        <v>SW</v>
      </c>
      <c r="O5231" s="1" t="s">
        <v>25</v>
      </c>
      <c r="P5231" s="3" t="s">
        <v>25</v>
      </c>
      <c r="Q5231" s="37">
        <v>0.40209350712861325</v>
      </c>
      <c r="R5231" t="str">
        <f t="shared" si="226"/>
        <v>mmol/mol</v>
      </c>
      <c r="S5231" s="13">
        <f t="shared" si="227"/>
        <v>-0.92373616883284848</v>
      </c>
    </row>
    <row r="5232" spans="1:19">
      <c r="A5232" s="18" t="s">
        <v>5486</v>
      </c>
      <c r="B5232" s="1" t="s">
        <v>5400</v>
      </c>
      <c r="C5232" s="1" t="s">
        <v>5491</v>
      </c>
      <c r="D5232" s="1" t="s">
        <v>5492</v>
      </c>
      <c r="E5232" s="1" t="s">
        <v>25</v>
      </c>
      <c r="F5232">
        <v>540</v>
      </c>
      <c r="G5232">
        <v>540</v>
      </c>
      <c r="H5232">
        <v>136.5</v>
      </c>
      <c r="I5232" s="1" t="s">
        <v>1528</v>
      </c>
      <c r="J5232" s="1" t="s">
        <v>25</v>
      </c>
      <c r="K5232" s="1" t="s">
        <v>25</v>
      </c>
      <c r="L5232">
        <v>-1.0489145665183275</v>
      </c>
      <c r="M5232" t="str">
        <f t="shared" ref="M5232:M5295" si="228">IF(L5232="Na","Na","44/40")</f>
        <v>44/40</v>
      </c>
      <c r="N5232" t="str">
        <f t="shared" ref="N5232:N5295" si="229">IF(M5232="Na","Na","SW")</f>
        <v>SW</v>
      </c>
      <c r="O5232" s="1" t="s">
        <v>25</v>
      </c>
      <c r="P5232" s="3" t="s">
        <v>25</v>
      </c>
      <c r="Q5232" s="37">
        <v>0.40562926356287388</v>
      </c>
      <c r="R5232" t="str">
        <f t="shared" si="226"/>
        <v>mmol/mol</v>
      </c>
      <c r="S5232" s="13">
        <f t="shared" si="227"/>
        <v>-1.0489145665183275</v>
      </c>
    </row>
    <row r="5233" spans="1:19">
      <c r="A5233" s="18" t="s">
        <v>5486</v>
      </c>
      <c r="B5233" s="1" t="s">
        <v>5401</v>
      </c>
      <c r="C5233" s="1" t="s">
        <v>5491</v>
      </c>
      <c r="D5233" s="1" t="s">
        <v>5492</v>
      </c>
      <c r="E5233" s="1" t="s">
        <v>25</v>
      </c>
      <c r="F5233">
        <v>540</v>
      </c>
      <c r="G5233">
        <v>540</v>
      </c>
      <c r="H5233">
        <v>138</v>
      </c>
      <c r="I5233" s="1" t="s">
        <v>1528</v>
      </c>
      <c r="J5233" s="1" t="s">
        <v>25</v>
      </c>
      <c r="K5233" s="1" t="s">
        <v>25</v>
      </c>
      <c r="L5233">
        <v>-0.84905630739440041</v>
      </c>
      <c r="M5233" t="str">
        <f t="shared" si="228"/>
        <v>44/40</v>
      </c>
      <c r="N5233" t="str">
        <f t="shared" si="229"/>
        <v>SW</v>
      </c>
      <c r="O5233" s="1" t="s">
        <v>25</v>
      </c>
      <c r="P5233" s="3" t="s">
        <v>25</v>
      </c>
      <c r="Q5233" s="37">
        <v>0.372174711483506</v>
      </c>
      <c r="R5233" t="str">
        <f t="shared" si="226"/>
        <v>mmol/mol</v>
      </c>
      <c r="S5233" s="13">
        <f t="shared" si="227"/>
        <v>-0.84905630739440041</v>
      </c>
    </row>
    <row r="5234" spans="1:19">
      <c r="A5234" s="18" t="s">
        <v>5486</v>
      </c>
      <c r="B5234" s="1" t="s">
        <v>5402</v>
      </c>
      <c r="C5234" s="1" t="s">
        <v>5491</v>
      </c>
      <c r="D5234" s="1" t="s">
        <v>5492</v>
      </c>
      <c r="E5234" s="1" t="s">
        <v>25</v>
      </c>
      <c r="F5234">
        <v>540</v>
      </c>
      <c r="G5234">
        <v>540</v>
      </c>
      <c r="H5234">
        <v>139.5</v>
      </c>
      <c r="I5234" s="1" t="s">
        <v>1528</v>
      </c>
      <c r="J5234" s="1" t="s">
        <v>25</v>
      </c>
      <c r="K5234" s="1" t="s">
        <v>25</v>
      </c>
      <c r="L5234">
        <v>-0.9054109760945338</v>
      </c>
      <c r="M5234" t="str">
        <f t="shared" si="228"/>
        <v>44/40</v>
      </c>
      <c r="N5234" t="str">
        <f t="shared" si="229"/>
        <v>SW</v>
      </c>
      <c r="O5234" s="1" t="s">
        <v>25</v>
      </c>
      <c r="P5234" s="3" t="s">
        <v>25</v>
      </c>
      <c r="Q5234" s="37">
        <v>0.32124794840079574</v>
      </c>
      <c r="R5234" t="str">
        <f t="shared" si="226"/>
        <v>mmol/mol</v>
      </c>
      <c r="S5234" s="13">
        <f t="shared" si="227"/>
        <v>-0.9054109760945338</v>
      </c>
    </row>
    <row r="5235" spans="1:19">
      <c r="A5235" s="18" t="s">
        <v>5486</v>
      </c>
      <c r="B5235" s="1" t="s">
        <v>5403</v>
      </c>
      <c r="C5235" s="1" t="s">
        <v>5491</v>
      </c>
      <c r="D5235" s="1" t="s">
        <v>5492</v>
      </c>
      <c r="E5235" s="1" t="s">
        <v>25</v>
      </c>
      <c r="F5235">
        <v>540</v>
      </c>
      <c r="G5235">
        <v>540</v>
      </c>
      <c r="H5235">
        <v>141</v>
      </c>
      <c r="I5235" s="1" t="s">
        <v>1528</v>
      </c>
      <c r="J5235" s="1" t="s">
        <v>25</v>
      </c>
      <c r="K5235" s="1" t="s">
        <v>25</v>
      </c>
      <c r="L5235">
        <v>-1.1826666055286565</v>
      </c>
      <c r="M5235" t="str">
        <f t="shared" si="228"/>
        <v>44/40</v>
      </c>
      <c r="N5235" t="str">
        <f t="shared" si="229"/>
        <v>SW</v>
      </c>
      <c r="O5235" s="1" t="s">
        <v>25</v>
      </c>
      <c r="P5235" s="3" t="s">
        <v>25</v>
      </c>
      <c r="Q5235" s="37">
        <v>0.37008443012047393</v>
      </c>
      <c r="R5235" t="str">
        <f t="shared" si="226"/>
        <v>mmol/mol</v>
      </c>
      <c r="S5235" s="13">
        <f t="shared" si="227"/>
        <v>-1.1826666055286565</v>
      </c>
    </row>
    <row r="5236" spans="1:19">
      <c r="A5236" s="18" t="s">
        <v>5486</v>
      </c>
      <c r="B5236" s="1" t="s">
        <v>5404</v>
      </c>
      <c r="C5236" s="1" t="s">
        <v>5491</v>
      </c>
      <c r="D5236" s="1" t="s">
        <v>5492</v>
      </c>
      <c r="E5236" s="1" t="s">
        <v>25</v>
      </c>
      <c r="F5236">
        <v>540</v>
      </c>
      <c r="G5236">
        <v>540</v>
      </c>
      <c r="H5236">
        <v>143.5</v>
      </c>
      <c r="I5236" s="1" t="s">
        <v>1528</v>
      </c>
      <c r="J5236" s="1" t="s">
        <v>25</v>
      </c>
      <c r="K5236" s="1" t="s">
        <v>25</v>
      </c>
      <c r="L5236">
        <v>-0.96184070538803113</v>
      </c>
      <c r="M5236" t="str">
        <f t="shared" si="228"/>
        <v>44/40</v>
      </c>
      <c r="N5236" t="str">
        <f t="shared" si="229"/>
        <v>SW</v>
      </c>
      <c r="O5236" s="1" t="s">
        <v>25</v>
      </c>
      <c r="P5236" s="3" t="s">
        <v>25</v>
      </c>
      <c r="Q5236" s="37">
        <v>0.33672681758903272</v>
      </c>
      <c r="R5236" t="str">
        <f t="shared" si="226"/>
        <v>mmol/mol</v>
      </c>
      <c r="S5236" s="13">
        <f t="shared" si="227"/>
        <v>-0.96184070538803113</v>
      </c>
    </row>
    <row r="5237" spans="1:19">
      <c r="A5237" s="18" t="s">
        <v>5486</v>
      </c>
      <c r="B5237" s="1" t="s">
        <v>5405</v>
      </c>
      <c r="C5237" s="1" t="s">
        <v>5491</v>
      </c>
      <c r="D5237" s="1" t="s">
        <v>5492</v>
      </c>
      <c r="E5237" s="1" t="s">
        <v>25</v>
      </c>
      <c r="F5237">
        <v>540</v>
      </c>
      <c r="G5237">
        <v>540</v>
      </c>
      <c r="H5237">
        <v>145</v>
      </c>
      <c r="I5237" s="1" t="s">
        <v>1528</v>
      </c>
      <c r="J5237" s="1" t="s">
        <v>25</v>
      </c>
      <c r="K5237" s="1" t="s">
        <v>25</v>
      </c>
      <c r="L5237">
        <v>-1.1520398249668504</v>
      </c>
      <c r="M5237" t="str">
        <f t="shared" si="228"/>
        <v>44/40</v>
      </c>
      <c r="N5237" t="str">
        <f t="shared" si="229"/>
        <v>SW</v>
      </c>
      <c r="O5237" s="1" t="s">
        <v>25</v>
      </c>
      <c r="P5237" s="3" t="s">
        <v>25</v>
      </c>
      <c r="Q5237" s="37">
        <v>0.35180271531658647</v>
      </c>
      <c r="R5237" t="str">
        <f t="shared" si="226"/>
        <v>mmol/mol</v>
      </c>
      <c r="S5237" s="13">
        <f t="shared" si="227"/>
        <v>-1.1520398249668504</v>
      </c>
    </row>
    <row r="5238" spans="1:19">
      <c r="A5238" s="18" t="s">
        <v>5486</v>
      </c>
      <c r="B5238" s="1" t="s">
        <v>5406</v>
      </c>
      <c r="C5238" s="1" t="s">
        <v>5491</v>
      </c>
      <c r="D5238" s="1" t="s">
        <v>5492</v>
      </c>
      <c r="E5238" s="1" t="s">
        <v>25</v>
      </c>
      <c r="F5238">
        <v>540</v>
      </c>
      <c r="G5238">
        <v>540</v>
      </c>
      <c r="H5238">
        <v>146.5</v>
      </c>
      <c r="I5238" s="1" t="s">
        <v>1528</v>
      </c>
      <c r="J5238" s="1" t="s">
        <v>25</v>
      </c>
      <c r="K5238" s="1" t="s">
        <v>25</v>
      </c>
      <c r="L5238">
        <v>-0.97244856144272995</v>
      </c>
      <c r="M5238" t="str">
        <f t="shared" si="228"/>
        <v>44/40</v>
      </c>
      <c r="N5238" t="str">
        <f t="shared" si="229"/>
        <v>SW</v>
      </c>
      <c r="O5238" s="1" t="s">
        <v>25</v>
      </c>
      <c r="P5238" s="3" t="s">
        <v>25</v>
      </c>
      <c r="Q5238" s="37">
        <v>0.45009062360689073</v>
      </c>
      <c r="R5238" t="str">
        <f t="shared" si="226"/>
        <v>mmol/mol</v>
      </c>
      <c r="S5238" s="13">
        <f t="shared" si="227"/>
        <v>-0.97244856144272995</v>
      </c>
    </row>
    <row r="5239" spans="1:19">
      <c r="A5239" s="18" t="s">
        <v>5486</v>
      </c>
      <c r="B5239" s="1" t="s">
        <v>5407</v>
      </c>
      <c r="C5239" s="1" t="s">
        <v>5491</v>
      </c>
      <c r="D5239" s="1" t="s">
        <v>5492</v>
      </c>
      <c r="E5239" s="1" t="s">
        <v>25</v>
      </c>
      <c r="F5239">
        <v>540</v>
      </c>
      <c r="G5239">
        <v>540</v>
      </c>
      <c r="H5239">
        <v>148</v>
      </c>
      <c r="I5239" s="1" t="s">
        <v>1528</v>
      </c>
      <c r="J5239" s="1" t="s">
        <v>25</v>
      </c>
      <c r="K5239" s="1" t="s">
        <v>25</v>
      </c>
      <c r="L5239">
        <v>-0.99627712180268635</v>
      </c>
      <c r="M5239" t="str">
        <f t="shared" si="228"/>
        <v>44/40</v>
      </c>
      <c r="N5239" t="str">
        <f t="shared" si="229"/>
        <v>SW</v>
      </c>
      <c r="O5239" s="1" t="s">
        <v>25</v>
      </c>
      <c r="P5239" s="3" t="s">
        <v>25</v>
      </c>
      <c r="Q5239" s="37">
        <v>0.35450640148907864</v>
      </c>
      <c r="R5239" t="str">
        <f t="shared" si="226"/>
        <v>mmol/mol</v>
      </c>
      <c r="S5239" s="13">
        <f t="shared" si="227"/>
        <v>-0.99627712180268635</v>
      </c>
    </row>
    <row r="5240" spans="1:19">
      <c r="A5240" s="18" t="s">
        <v>5486</v>
      </c>
      <c r="B5240" s="1" t="s">
        <v>5408</v>
      </c>
      <c r="C5240" s="1" t="s">
        <v>5491</v>
      </c>
      <c r="D5240" s="1" t="s">
        <v>5492</v>
      </c>
      <c r="E5240" s="1" t="s">
        <v>25</v>
      </c>
      <c r="F5240">
        <v>540</v>
      </c>
      <c r="G5240">
        <v>540</v>
      </c>
      <c r="H5240">
        <v>149.80000000000001</v>
      </c>
      <c r="I5240" s="1" t="s">
        <v>1528</v>
      </c>
      <c r="J5240" s="1" t="s">
        <v>25</v>
      </c>
      <c r="K5240" s="1" t="s">
        <v>25</v>
      </c>
      <c r="L5240">
        <v>-1.0217061320446335</v>
      </c>
      <c r="M5240" t="str">
        <f t="shared" si="228"/>
        <v>44/40</v>
      </c>
      <c r="N5240" t="str">
        <f t="shared" si="229"/>
        <v>SW</v>
      </c>
      <c r="O5240" s="1" t="s">
        <v>25</v>
      </c>
      <c r="P5240" s="3" t="s">
        <v>25</v>
      </c>
      <c r="Q5240" s="37">
        <v>0.33452157805836474</v>
      </c>
      <c r="R5240" t="str">
        <f t="shared" si="226"/>
        <v>mmol/mol</v>
      </c>
      <c r="S5240" s="13">
        <f t="shared" si="227"/>
        <v>-1.0217061320446335</v>
      </c>
    </row>
    <row r="5241" spans="1:19">
      <c r="A5241" s="18" t="s">
        <v>5486</v>
      </c>
      <c r="B5241" s="1" t="s">
        <v>5409</v>
      </c>
      <c r="C5241" s="1" t="s">
        <v>5491</v>
      </c>
      <c r="D5241" s="1" t="s">
        <v>5492</v>
      </c>
      <c r="E5241" s="1" t="s">
        <v>25</v>
      </c>
      <c r="F5241">
        <v>540</v>
      </c>
      <c r="G5241">
        <v>540</v>
      </c>
      <c r="H5241">
        <v>151.5</v>
      </c>
      <c r="I5241" s="1" t="s">
        <v>1528</v>
      </c>
      <c r="J5241" s="1" t="s">
        <v>25</v>
      </c>
      <c r="K5241" s="1" t="s">
        <v>25</v>
      </c>
      <c r="L5241">
        <v>-1.3276310433110781</v>
      </c>
      <c r="M5241" t="str">
        <f t="shared" si="228"/>
        <v>44/40</v>
      </c>
      <c r="N5241" t="str">
        <f t="shared" si="229"/>
        <v>SW</v>
      </c>
      <c r="O5241" s="1" t="s">
        <v>25</v>
      </c>
      <c r="P5241" s="3" t="s">
        <v>25</v>
      </c>
      <c r="Q5241" s="37">
        <v>0.27002457624060594</v>
      </c>
      <c r="R5241" t="str">
        <f t="shared" si="226"/>
        <v>mmol/mol</v>
      </c>
      <c r="S5241" s="13">
        <f t="shared" si="227"/>
        <v>-1.3276310433110781</v>
      </c>
    </row>
    <row r="5242" spans="1:19">
      <c r="A5242" s="18" t="s">
        <v>5486</v>
      </c>
      <c r="B5242" s="1" t="s">
        <v>5410</v>
      </c>
      <c r="C5242" s="1" t="s">
        <v>5491</v>
      </c>
      <c r="D5242" s="1" t="s">
        <v>5492</v>
      </c>
      <c r="E5242" s="1" t="s">
        <v>25</v>
      </c>
      <c r="F5242">
        <v>540</v>
      </c>
      <c r="G5242">
        <v>540</v>
      </c>
      <c r="H5242">
        <v>161.4</v>
      </c>
      <c r="I5242" s="1" t="s">
        <v>1528</v>
      </c>
      <c r="J5242" s="1" t="s">
        <v>25</v>
      </c>
      <c r="K5242" s="1" t="s">
        <v>25</v>
      </c>
      <c r="L5242">
        <v>-1.1353076603457579</v>
      </c>
      <c r="M5242" t="str">
        <f t="shared" si="228"/>
        <v>44/40</v>
      </c>
      <c r="N5242" t="str">
        <f t="shared" si="229"/>
        <v>SW</v>
      </c>
      <c r="O5242" s="1" t="s">
        <v>25</v>
      </c>
      <c r="P5242" s="3" t="s">
        <v>25</v>
      </c>
      <c r="Q5242" s="37">
        <v>0.46838288401384243</v>
      </c>
      <c r="R5242" t="str">
        <f t="shared" si="226"/>
        <v>mmol/mol</v>
      </c>
      <c r="S5242" s="13">
        <f t="shared" si="227"/>
        <v>-1.1353076603457579</v>
      </c>
    </row>
    <row r="5243" spans="1:19">
      <c r="A5243" s="18" t="s">
        <v>5486</v>
      </c>
      <c r="B5243" s="1" t="s">
        <v>5411</v>
      </c>
      <c r="C5243" s="1" t="s">
        <v>5491</v>
      </c>
      <c r="D5243" s="1" t="s">
        <v>5492</v>
      </c>
      <c r="E5243" s="1" t="s">
        <v>25</v>
      </c>
      <c r="F5243">
        <v>540</v>
      </c>
      <c r="G5243">
        <v>540</v>
      </c>
      <c r="H5243">
        <v>162.5</v>
      </c>
      <c r="I5243" s="1" t="s">
        <v>1528</v>
      </c>
      <c r="J5243" s="1" t="s">
        <v>25</v>
      </c>
      <c r="K5243" s="1" t="s">
        <v>25</v>
      </c>
      <c r="L5243">
        <v>-1.1698495263739208</v>
      </c>
      <c r="M5243" t="str">
        <f t="shared" si="228"/>
        <v>44/40</v>
      </c>
      <c r="N5243" t="str">
        <f t="shared" si="229"/>
        <v>SW</v>
      </c>
      <c r="O5243" s="1" t="s">
        <v>25</v>
      </c>
      <c r="P5243" s="3" t="s">
        <v>25</v>
      </c>
      <c r="Q5243" s="37">
        <v>0.4236542961079024</v>
      </c>
      <c r="R5243" t="str">
        <f t="shared" si="226"/>
        <v>mmol/mol</v>
      </c>
      <c r="S5243" s="13">
        <f t="shared" si="227"/>
        <v>-1.1698495263739208</v>
      </c>
    </row>
    <row r="5244" spans="1:19">
      <c r="A5244" s="18" t="s">
        <v>5486</v>
      </c>
      <c r="B5244" s="1" t="s">
        <v>5412</v>
      </c>
      <c r="C5244" s="1" t="s">
        <v>5491</v>
      </c>
      <c r="D5244" s="1" t="s">
        <v>5492</v>
      </c>
      <c r="E5244" s="1" t="s">
        <v>25</v>
      </c>
      <c r="F5244">
        <v>540</v>
      </c>
      <c r="G5244">
        <v>540</v>
      </c>
      <c r="H5244">
        <v>166.5</v>
      </c>
      <c r="I5244" s="1" t="s">
        <v>1528</v>
      </c>
      <c r="J5244" s="1" t="s">
        <v>25</v>
      </c>
      <c r="K5244" s="1" t="s">
        <v>25</v>
      </c>
      <c r="L5244">
        <v>-1.0276853397477561</v>
      </c>
      <c r="M5244" t="str">
        <f t="shared" si="228"/>
        <v>44/40</v>
      </c>
      <c r="N5244" t="str">
        <f t="shared" si="229"/>
        <v>SW</v>
      </c>
      <c r="O5244" s="1" t="s">
        <v>25</v>
      </c>
      <c r="P5244" s="3" t="s">
        <v>25</v>
      </c>
      <c r="Q5244" s="37">
        <v>0.45787418596581314</v>
      </c>
      <c r="R5244" t="str">
        <f t="shared" si="226"/>
        <v>mmol/mol</v>
      </c>
      <c r="S5244" s="13">
        <f t="shared" si="227"/>
        <v>-1.0276853397477561</v>
      </c>
    </row>
    <row r="5245" spans="1:19">
      <c r="A5245" s="18" t="s">
        <v>5486</v>
      </c>
      <c r="B5245" s="1" t="s">
        <v>5413</v>
      </c>
      <c r="C5245" s="1" t="s">
        <v>5491</v>
      </c>
      <c r="D5245" s="1" t="s">
        <v>5492</v>
      </c>
      <c r="E5245" s="1" t="s">
        <v>25</v>
      </c>
      <c r="F5245">
        <v>540</v>
      </c>
      <c r="G5245">
        <v>540</v>
      </c>
      <c r="H5245">
        <v>168.5</v>
      </c>
      <c r="I5245" s="1" t="s">
        <v>1528</v>
      </c>
      <c r="J5245" s="1" t="s">
        <v>25</v>
      </c>
      <c r="K5245" s="1" t="s">
        <v>25</v>
      </c>
      <c r="L5245">
        <v>-1.2794957621326235</v>
      </c>
      <c r="M5245" t="str">
        <f t="shared" si="228"/>
        <v>44/40</v>
      </c>
      <c r="N5245" t="str">
        <f t="shared" si="229"/>
        <v>SW</v>
      </c>
      <c r="O5245" s="1" t="s">
        <v>25</v>
      </c>
      <c r="P5245" s="3" t="s">
        <v>25</v>
      </c>
      <c r="Q5245" s="37">
        <v>0.36345576449422973</v>
      </c>
      <c r="R5245" t="str">
        <f t="shared" si="226"/>
        <v>mmol/mol</v>
      </c>
      <c r="S5245" s="13">
        <f t="shared" si="227"/>
        <v>-1.2794957621326235</v>
      </c>
    </row>
    <row r="5246" spans="1:19">
      <c r="A5246" s="18" t="s">
        <v>5486</v>
      </c>
      <c r="B5246" s="1" t="s">
        <v>5414</v>
      </c>
      <c r="C5246" s="1" t="s">
        <v>5491</v>
      </c>
      <c r="D5246" s="1" t="s">
        <v>5492</v>
      </c>
      <c r="E5246" s="1" t="s">
        <v>25</v>
      </c>
      <c r="F5246">
        <v>540</v>
      </c>
      <c r="G5246">
        <v>540</v>
      </c>
      <c r="H5246">
        <v>170</v>
      </c>
      <c r="I5246" s="1" t="s">
        <v>1528</v>
      </c>
      <c r="J5246" s="1" t="s">
        <v>25</v>
      </c>
      <c r="K5246" s="1" t="s">
        <v>25</v>
      </c>
      <c r="L5246">
        <v>-1.1406794890149627</v>
      </c>
      <c r="M5246" t="str">
        <f t="shared" si="228"/>
        <v>44/40</v>
      </c>
      <c r="N5246" t="str">
        <f t="shared" si="229"/>
        <v>SW</v>
      </c>
      <c r="O5246" s="1" t="s">
        <v>25</v>
      </c>
      <c r="P5246" s="3" t="s">
        <v>25</v>
      </c>
      <c r="Q5246" s="37">
        <v>0.51758114661143373</v>
      </c>
      <c r="R5246" t="str">
        <f t="shared" si="226"/>
        <v>mmol/mol</v>
      </c>
      <c r="S5246" s="13">
        <f t="shared" si="227"/>
        <v>-1.1406794890149627</v>
      </c>
    </row>
    <row r="5247" spans="1:19">
      <c r="A5247" s="18" t="s">
        <v>5486</v>
      </c>
      <c r="B5247" s="1" t="s">
        <v>5415</v>
      </c>
      <c r="C5247" s="1" t="s">
        <v>5491</v>
      </c>
      <c r="D5247" s="1" t="s">
        <v>5492</v>
      </c>
      <c r="E5247" s="1" t="s">
        <v>25</v>
      </c>
      <c r="F5247">
        <v>540</v>
      </c>
      <c r="G5247">
        <v>540</v>
      </c>
      <c r="H5247">
        <v>171</v>
      </c>
      <c r="I5247" s="1" t="s">
        <v>1528</v>
      </c>
      <c r="J5247" s="1" t="s">
        <v>25</v>
      </c>
      <c r="K5247" s="1" t="s">
        <v>25</v>
      </c>
      <c r="L5247">
        <v>-1.33691848738382</v>
      </c>
      <c r="M5247" t="str">
        <f t="shared" si="228"/>
        <v>44/40</v>
      </c>
      <c r="N5247" t="str">
        <f t="shared" si="229"/>
        <v>SW</v>
      </c>
      <c r="O5247" s="1" t="s">
        <v>25</v>
      </c>
      <c r="P5247" s="3" t="s">
        <v>25</v>
      </c>
      <c r="Q5247" s="37">
        <v>0.69333323356710908</v>
      </c>
      <c r="R5247" t="str">
        <f t="shared" si="226"/>
        <v>mmol/mol</v>
      </c>
      <c r="S5247" s="13">
        <f t="shared" si="227"/>
        <v>-1.33691848738382</v>
      </c>
    </row>
    <row r="5248" spans="1:19">
      <c r="A5248" s="18" t="s">
        <v>5486</v>
      </c>
      <c r="B5248" s="1" t="s">
        <v>5416</v>
      </c>
      <c r="C5248" s="1" t="s">
        <v>5491</v>
      </c>
      <c r="D5248" s="1" t="s">
        <v>5492</v>
      </c>
      <c r="E5248" s="1" t="s">
        <v>25</v>
      </c>
      <c r="F5248">
        <v>540</v>
      </c>
      <c r="G5248">
        <v>540</v>
      </c>
      <c r="H5248">
        <v>173.4</v>
      </c>
      <c r="I5248" s="1" t="s">
        <v>1528</v>
      </c>
      <c r="J5248" s="1" t="s">
        <v>25</v>
      </c>
      <c r="K5248" s="1" t="s">
        <v>25</v>
      </c>
      <c r="L5248">
        <v>-1.3448009503261358</v>
      </c>
      <c r="M5248" t="str">
        <f t="shared" si="228"/>
        <v>44/40</v>
      </c>
      <c r="N5248" t="str">
        <f t="shared" si="229"/>
        <v>SW</v>
      </c>
      <c r="O5248" s="1" t="s">
        <v>25</v>
      </c>
      <c r="P5248" s="3" t="s">
        <v>25</v>
      </c>
      <c r="Q5248" s="37">
        <v>1.2334727269755752</v>
      </c>
      <c r="R5248" t="str">
        <f t="shared" si="226"/>
        <v>mmol/mol</v>
      </c>
      <c r="S5248" s="13">
        <f t="shared" si="227"/>
        <v>-1.3448009503261358</v>
      </c>
    </row>
    <row r="5249" spans="1:19">
      <c r="A5249" s="18" t="s">
        <v>5486</v>
      </c>
      <c r="B5249" s="1" t="s">
        <v>5417</v>
      </c>
      <c r="C5249" s="1" t="s">
        <v>5491</v>
      </c>
      <c r="D5249" s="1" t="s">
        <v>5492</v>
      </c>
      <c r="E5249" s="1" t="s">
        <v>25</v>
      </c>
      <c r="F5249">
        <v>540</v>
      </c>
      <c r="G5249">
        <v>540</v>
      </c>
      <c r="H5249">
        <v>176.3</v>
      </c>
      <c r="I5249" s="1" t="s">
        <v>1528</v>
      </c>
      <c r="J5249" s="1" t="s">
        <v>25</v>
      </c>
      <c r="K5249" s="1" t="s">
        <v>25</v>
      </c>
      <c r="L5249">
        <v>-1.1144826200077089</v>
      </c>
      <c r="M5249" t="str">
        <f t="shared" si="228"/>
        <v>44/40</v>
      </c>
      <c r="N5249" t="str">
        <f t="shared" si="229"/>
        <v>SW</v>
      </c>
      <c r="O5249" s="1" t="s">
        <v>25</v>
      </c>
      <c r="P5249" s="3" t="s">
        <v>25</v>
      </c>
      <c r="Q5249" s="37">
        <v>1.0445180221674972</v>
      </c>
      <c r="R5249" t="str">
        <f t="shared" si="226"/>
        <v>mmol/mol</v>
      </c>
      <c r="S5249" s="13">
        <f t="shared" si="227"/>
        <v>-1.1144826200077089</v>
      </c>
    </row>
    <row r="5250" spans="1:19">
      <c r="A5250" s="18" t="s">
        <v>5486</v>
      </c>
      <c r="B5250" s="1" t="s">
        <v>5418</v>
      </c>
      <c r="C5250" s="1" t="s">
        <v>5491</v>
      </c>
      <c r="D5250" s="1" t="s">
        <v>5492</v>
      </c>
      <c r="E5250" s="1" t="s">
        <v>25</v>
      </c>
      <c r="F5250">
        <v>540</v>
      </c>
      <c r="G5250">
        <v>540</v>
      </c>
      <c r="H5250">
        <v>177.7</v>
      </c>
      <c r="I5250" s="1" t="s">
        <v>1528</v>
      </c>
      <c r="J5250" s="1" t="s">
        <v>25</v>
      </c>
      <c r="K5250" s="1" t="s">
        <v>25</v>
      </c>
      <c r="L5250">
        <v>-1.153155045210106</v>
      </c>
      <c r="M5250" t="str">
        <f t="shared" si="228"/>
        <v>44/40</v>
      </c>
      <c r="N5250" t="str">
        <f t="shared" si="229"/>
        <v>SW</v>
      </c>
      <c r="O5250" s="1" t="s">
        <v>25</v>
      </c>
      <c r="P5250" s="3" t="s">
        <v>25</v>
      </c>
      <c r="Q5250" s="37">
        <v>0.51146041299119227</v>
      </c>
      <c r="R5250" t="str">
        <f t="shared" si="226"/>
        <v>mmol/mol</v>
      </c>
      <c r="S5250" s="13">
        <f t="shared" si="227"/>
        <v>-1.153155045210106</v>
      </c>
    </row>
    <row r="5251" spans="1:19">
      <c r="A5251" s="18" t="s">
        <v>5486</v>
      </c>
      <c r="B5251" s="1" t="s">
        <v>5419</v>
      </c>
      <c r="C5251" s="1" t="s">
        <v>5491</v>
      </c>
      <c r="D5251" s="1" t="s">
        <v>5492</v>
      </c>
      <c r="E5251" s="1" t="s">
        <v>25</v>
      </c>
      <c r="F5251">
        <v>540</v>
      </c>
      <c r="G5251">
        <v>540</v>
      </c>
      <c r="H5251">
        <v>180.4</v>
      </c>
      <c r="I5251" s="1" t="s">
        <v>1528</v>
      </c>
      <c r="J5251" s="1" t="s">
        <v>25</v>
      </c>
      <c r="K5251" s="1" t="s">
        <v>25</v>
      </c>
      <c r="L5251">
        <v>-1.1436890168897409</v>
      </c>
      <c r="M5251" t="str">
        <f t="shared" si="228"/>
        <v>44/40</v>
      </c>
      <c r="N5251" t="str">
        <f t="shared" si="229"/>
        <v>SW</v>
      </c>
      <c r="O5251" s="1" t="s">
        <v>25</v>
      </c>
      <c r="P5251" s="3" t="s">
        <v>25</v>
      </c>
      <c r="Q5251" s="37">
        <v>0.7469257309452576</v>
      </c>
      <c r="R5251" t="str">
        <f t="shared" si="226"/>
        <v>mmol/mol</v>
      </c>
      <c r="S5251" s="13">
        <f t="shared" si="227"/>
        <v>-1.1436890168897409</v>
      </c>
    </row>
    <row r="5252" spans="1:19">
      <c r="A5252" s="18" t="s">
        <v>5486</v>
      </c>
      <c r="B5252" s="1" t="s">
        <v>5420</v>
      </c>
      <c r="C5252" s="1" t="s">
        <v>5491</v>
      </c>
      <c r="D5252" s="1" t="s">
        <v>5492</v>
      </c>
      <c r="E5252" s="1" t="s">
        <v>25</v>
      </c>
      <c r="F5252">
        <v>540</v>
      </c>
      <c r="G5252">
        <v>540</v>
      </c>
      <c r="H5252">
        <v>182</v>
      </c>
      <c r="I5252" s="1" t="s">
        <v>1528</v>
      </c>
      <c r="J5252" s="1" t="s">
        <v>25</v>
      </c>
      <c r="K5252" s="1" t="s">
        <v>25</v>
      </c>
      <c r="L5252">
        <v>-1.0960173306568879</v>
      </c>
      <c r="M5252" t="str">
        <f t="shared" si="228"/>
        <v>44/40</v>
      </c>
      <c r="N5252" t="str">
        <f t="shared" si="229"/>
        <v>SW</v>
      </c>
      <c r="O5252" s="1" t="s">
        <v>25</v>
      </c>
      <c r="P5252" s="3" t="s">
        <v>25</v>
      </c>
      <c r="Q5252" s="37">
        <v>0.78488189547959919</v>
      </c>
      <c r="R5252" t="str">
        <f t="shared" si="226"/>
        <v>mmol/mol</v>
      </c>
      <c r="S5252" s="13">
        <f t="shared" si="227"/>
        <v>-1.0960173306568879</v>
      </c>
    </row>
    <row r="5253" spans="1:19">
      <c r="A5253" s="18" t="s">
        <v>5486</v>
      </c>
      <c r="B5253" s="1" t="s">
        <v>5421</v>
      </c>
      <c r="C5253" s="1" t="s">
        <v>5491</v>
      </c>
      <c r="D5253" s="1" t="s">
        <v>5492</v>
      </c>
      <c r="E5253" s="1" t="s">
        <v>25</v>
      </c>
      <c r="F5253">
        <v>540</v>
      </c>
      <c r="G5253">
        <v>540</v>
      </c>
      <c r="H5253">
        <v>183.7</v>
      </c>
      <c r="I5253" s="1" t="s">
        <v>1528</v>
      </c>
      <c r="J5253" s="1" t="s">
        <v>25</v>
      </c>
      <c r="K5253" s="1" t="s">
        <v>25</v>
      </c>
      <c r="L5253">
        <v>-1.0979555482492021</v>
      </c>
      <c r="M5253" t="str">
        <f t="shared" si="228"/>
        <v>44/40</v>
      </c>
      <c r="N5253" t="str">
        <f t="shared" si="229"/>
        <v>SW</v>
      </c>
      <c r="O5253" s="1" t="s">
        <v>25</v>
      </c>
      <c r="P5253" s="3" t="s">
        <v>25</v>
      </c>
      <c r="Q5253" s="37">
        <v>0.6175454751877093</v>
      </c>
      <c r="R5253" t="str">
        <f t="shared" si="226"/>
        <v>mmol/mol</v>
      </c>
      <c r="S5253" s="13">
        <f t="shared" si="227"/>
        <v>-1.0979555482492021</v>
      </c>
    </row>
    <row r="5254" spans="1:19">
      <c r="A5254" s="18" t="s">
        <v>5486</v>
      </c>
      <c r="B5254" s="1" t="s">
        <v>5422</v>
      </c>
      <c r="C5254" s="1" t="s">
        <v>5491</v>
      </c>
      <c r="D5254" s="1" t="s">
        <v>5492</v>
      </c>
      <c r="E5254" s="1" t="s">
        <v>25</v>
      </c>
      <c r="F5254">
        <v>540</v>
      </c>
      <c r="G5254">
        <v>540</v>
      </c>
      <c r="H5254">
        <v>185.3</v>
      </c>
      <c r="I5254" s="1" t="s">
        <v>1528</v>
      </c>
      <c r="J5254" s="1" t="s">
        <v>25</v>
      </c>
      <c r="K5254" s="1" t="s">
        <v>25</v>
      </c>
      <c r="L5254">
        <v>-0.94108186666395632</v>
      </c>
      <c r="M5254" t="str">
        <f t="shared" si="228"/>
        <v>44/40</v>
      </c>
      <c r="N5254" t="str">
        <f t="shared" si="229"/>
        <v>SW</v>
      </c>
      <c r="O5254" s="1" t="s">
        <v>25</v>
      </c>
      <c r="P5254" s="3" t="s">
        <v>25</v>
      </c>
      <c r="Q5254" s="37">
        <v>0.62502722350534334</v>
      </c>
      <c r="R5254" t="str">
        <f t="shared" si="226"/>
        <v>mmol/mol</v>
      </c>
      <c r="S5254" s="13">
        <f t="shared" si="227"/>
        <v>-0.94108186666395632</v>
      </c>
    </row>
    <row r="5255" spans="1:19">
      <c r="A5255" s="18" t="s">
        <v>5486</v>
      </c>
      <c r="B5255" s="1" t="s">
        <v>5423</v>
      </c>
      <c r="C5255" s="1" t="s">
        <v>5491</v>
      </c>
      <c r="D5255" s="1" t="s">
        <v>5492</v>
      </c>
      <c r="E5255" s="1" t="s">
        <v>25</v>
      </c>
      <c r="F5255">
        <v>540</v>
      </c>
      <c r="G5255">
        <v>540</v>
      </c>
      <c r="H5255">
        <v>188</v>
      </c>
      <c r="I5255" s="1" t="s">
        <v>1528</v>
      </c>
      <c r="J5255" s="1" t="s">
        <v>25</v>
      </c>
      <c r="K5255" s="1" t="s">
        <v>25</v>
      </c>
      <c r="L5255">
        <v>-1.3000561362941947</v>
      </c>
      <c r="M5255" t="str">
        <f t="shared" si="228"/>
        <v>44/40</v>
      </c>
      <c r="N5255" t="str">
        <f t="shared" si="229"/>
        <v>SW</v>
      </c>
      <c r="O5255" s="1" t="s">
        <v>25</v>
      </c>
      <c r="P5255" s="3" t="s">
        <v>25</v>
      </c>
      <c r="Q5255" s="37">
        <v>0.72038401265774199</v>
      </c>
      <c r="R5255" t="str">
        <f t="shared" si="226"/>
        <v>mmol/mol</v>
      </c>
      <c r="S5255" s="13">
        <f t="shared" si="227"/>
        <v>-1.3000561362941947</v>
      </c>
    </row>
    <row r="5256" spans="1:19">
      <c r="A5256" s="18" t="s">
        <v>5486</v>
      </c>
      <c r="B5256" s="1" t="s">
        <v>5424</v>
      </c>
      <c r="C5256" s="1" t="s">
        <v>5491</v>
      </c>
      <c r="D5256" s="1" t="s">
        <v>5492</v>
      </c>
      <c r="E5256" s="1" t="s">
        <v>25</v>
      </c>
      <c r="F5256">
        <v>540</v>
      </c>
      <c r="G5256">
        <v>540</v>
      </c>
      <c r="H5256">
        <v>189</v>
      </c>
      <c r="I5256" s="1" t="s">
        <v>1528</v>
      </c>
      <c r="J5256" s="1" t="s">
        <v>25</v>
      </c>
      <c r="K5256" s="1" t="s">
        <v>25</v>
      </c>
      <c r="L5256">
        <v>-0.93660086012129296</v>
      </c>
      <c r="M5256" t="str">
        <f t="shared" si="228"/>
        <v>44/40</v>
      </c>
      <c r="N5256" t="str">
        <f t="shared" si="229"/>
        <v>SW</v>
      </c>
      <c r="O5256" s="1" t="s">
        <v>25</v>
      </c>
      <c r="P5256" s="3" t="s">
        <v>25</v>
      </c>
      <c r="Q5256" s="37">
        <v>0.38699923330865882</v>
      </c>
      <c r="R5256" t="str">
        <f t="shared" si="226"/>
        <v>mmol/mol</v>
      </c>
      <c r="S5256" s="13">
        <f t="shared" si="227"/>
        <v>-0.93660086012129296</v>
      </c>
    </row>
    <row r="5257" spans="1:19">
      <c r="A5257" s="18" t="s">
        <v>5486</v>
      </c>
      <c r="B5257" s="1" t="s">
        <v>5425</v>
      </c>
      <c r="C5257" s="1" t="s">
        <v>5491</v>
      </c>
      <c r="D5257" s="1" t="s">
        <v>5492</v>
      </c>
      <c r="E5257" s="1" t="s">
        <v>25</v>
      </c>
      <c r="F5257">
        <v>540</v>
      </c>
      <c r="G5257">
        <v>540</v>
      </c>
      <c r="H5257">
        <v>191.4</v>
      </c>
      <c r="I5257" s="1" t="s">
        <v>1528</v>
      </c>
      <c r="J5257" s="1" t="s">
        <v>25</v>
      </c>
      <c r="K5257" s="1" t="s">
        <v>25</v>
      </c>
      <c r="L5257">
        <v>-0.87199258827267223</v>
      </c>
      <c r="M5257" t="str">
        <f t="shared" si="228"/>
        <v>44/40</v>
      </c>
      <c r="N5257" t="str">
        <f t="shared" si="229"/>
        <v>SW</v>
      </c>
      <c r="O5257" s="1" t="s">
        <v>25</v>
      </c>
      <c r="P5257" s="3" t="s">
        <v>25</v>
      </c>
      <c r="Q5257" s="37">
        <v>0.53451258189368178</v>
      </c>
      <c r="R5257" t="str">
        <f t="shared" si="226"/>
        <v>mmol/mol</v>
      </c>
      <c r="S5257" s="13">
        <f t="shared" si="227"/>
        <v>-0.87199258827267223</v>
      </c>
    </row>
    <row r="5258" spans="1:19">
      <c r="A5258" s="18" t="s">
        <v>5486</v>
      </c>
      <c r="B5258" s="1" t="s">
        <v>5426</v>
      </c>
      <c r="C5258" s="1" t="s">
        <v>5491</v>
      </c>
      <c r="D5258" s="1" t="s">
        <v>5492</v>
      </c>
      <c r="E5258" s="1" t="s">
        <v>25</v>
      </c>
      <c r="F5258">
        <v>540</v>
      </c>
      <c r="G5258">
        <v>540</v>
      </c>
      <c r="H5258">
        <v>193.3</v>
      </c>
      <c r="I5258" s="1" t="s">
        <v>1528</v>
      </c>
      <c r="J5258" s="1" t="s">
        <v>25</v>
      </c>
      <c r="K5258" s="1" t="s">
        <v>25</v>
      </c>
      <c r="L5258">
        <v>-0.94449777442375338</v>
      </c>
      <c r="M5258" t="str">
        <f t="shared" si="228"/>
        <v>44/40</v>
      </c>
      <c r="N5258" t="str">
        <f t="shared" si="229"/>
        <v>SW</v>
      </c>
      <c r="O5258" s="1" t="s">
        <v>25</v>
      </c>
      <c r="P5258" s="3" t="s">
        <v>25</v>
      </c>
      <c r="Q5258" s="37">
        <v>0.92612334172284194</v>
      </c>
      <c r="R5258" t="str">
        <f t="shared" si="226"/>
        <v>mmol/mol</v>
      </c>
      <c r="S5258" s="13">
        <f t="shared" si="227"/>
        <v>-0.94449777442375338</v>
      </c>
    </row>
    <row r="5259" spans="1:19">
      <c r="A5259" s="18" t="s">
        <v>5486</v>
      </c>
      <c r="B5259" s="1" t="s">
        <v>5427</v>
      </c>
      <c r="C5259" s="1" t="s">
        <v>5491</v>
      </c>
      <c r="D5259" s="1" t="s">
        <v>5492</v>
      </c>
      <c r="E5259" s="1" t="s">
        <v>25</v>
      </c>
      <c r="F5259">
        <v>540</v>
      </c>
      <c r="G5259">
        <v>540</v>
      </c>
      <c r="H5259">
        <v>194.6</v>
      </c>
      <c r="I5259" s="1" t="s">
        <v>1528</v>
      </c>
      <c r="J5259" s="1" t="s">
        <v>25</v>
      </c>
      <c r="K5259" s="1" t="s">
        <v>25</v>
      </c>
      <c r="L5259">
        <v>-1.1764002264509992</v>
      </c>
      <c r="M5259" t="str">
        <f t="shared" si="228"/>
        <v>44/40</v>
      </c>
      <c r="N5259" t="str">
        <f t="shared" si="229"/>
        <v>SW</v>
      </c>
      <c r="O5259" s="1" t="s">
        <v>25</v>
      </c>
      <c r="P5259" s="3" t="s">
        <v>25</v>
      </c>
      <c r="Q5259" s="37">
        <v>0.88002992596871255</v>
      </c>
      <c r="R5259" t="str">
        <f t="shared" si="226"/>
        <v>mmol/mol</v>
      </c>
      <c r="S5259" s="13">
        <f t="shared" si="227"/>
        <v>-1.1764002264509992</v>
      </c>
    </row>
    <row r="5260" spans="1:19">
      <c r="A5260" s="18" t="s">
        <v>5486</v>
      </c>
      <c r="B5260" s="1" t="s">
        <v>5428</v>
      </c>
      <c r="C5260" s="1" t="s">
        <v>5491</v>
      </c>
      <c r="D5260" s="1" t="s">
        <v>5492</v>
      </c>
      <c r="E5260" s="1" t="s">
        <v>25</v>
      </c>
      <c r="F5260">
        <v>540</v>
      </c>
      <c r="G5260">
        <v>540</v>
      </c>
      <c r="H5260">
        <v>195.6</v>
      </c>
      <c r="I5260" s="1" t="s">
        <v>1528</v>
      </c>
      <c r="J5260" s="1" t="s">
        <v>25</v>
      </c>
      <c r="K5260" s="1" t="s">
        <v>25</v>
      </c>
      <c r="L5260">
        <v>-0.92833475415646038</v>
      </c>
      <c r="M5260" t="str">
        <f t="shared" si="228"/>
        <v>44/40</v>
      </c>
      <c r="N5260" t="str">
        <f t="shared" si="229"/>
        <v>SW</v>
      </c>
      <c r="O5260" s="1" t="s">
        <v>25</v>
      </c>
      <c r="P5260" s="3" t="s">
        <v>25</v>
      </c>
      <c r="Q5260" s="37">
        <v>0.62995028852146784</v>
      </c>
      <c r="R5260" t="str">
        <f t="shared" si="226"/>
        <v>mmol/mol</v>
      </c>
      <c r="S5260" s="13">
        <f t="shared" si="227"/>
        <v>-0.92833475415646038</v>
      </c>
    </row>
    <row r="5261" spans="1:19">
      <c r="A5261" s="18" t="s">
        <v>5486</v>
      </c>
      <c r="B5261" s="1" t="s">
        <v>5429</v>
      </c>
      <c r="C5261" s="1" t="s">
        <v>5491</v>
      </c>
      <c r="D5261" s="1" t="s">
        <v>5492</v>
      </c>
      <c r="E5261" s="1" t="s">
        <v>25</v>
      </c>
      <c r="F5261">
        <v>540</v>
      </c>
      <c r="G5261">
        <v>540</v>
      </c>
      <c r="H5261">
        <v>197</v>
      </c>
      <c r="I5261" s="1" t="s">
        <v>1528</v>
      </c>
      <c r="J5261" s="1" t="s">
        <v>25</v>
      </c>
      <c r="K5261" s="1" t="s">
        <v>25</v>
      </c>
      <c r="L5261">
        <v>-0.9283728166440296</v>
      </c>
      <c r="M5261" t="str">
        <f t="shared" si="228"/>
        <v>44/40</v>
      </c>
      <c r="N5261" t="str">
        <f t="shared" si="229"/>
        <v>SW</v>
      </c>
      <c r="O5261" s="1" t="s">
        <v>25</v>
      </c>
      <c r="P5261" s="3" t="s">
        <v>25</v>
      </c>
      <c r="Q5261" s="37">
        <v>0.4229902266008595</v>
      </c>
      <c r="R5261" t="str">
        <f t="shared" si="226"/>
        <v>mmol/mol</v>
      </c>
      <c r="S5261" s="13">
        <f t="shared" si="227"/>
        <v>-0.9283728166440296</v>
      </c>
    </row>
    <row r="5262" spans="1:19">
      <c r="A5262" s="18" t="s">
        <v>5486</v>
      </c>
      <c r="B5262" s="1" t="s">
        <v>5430</v>
      </c>
      <c r="C5262" s="1" t="s">
        <v>5491</v>
      </c>
      <c r="D5262" s="1" t="s">
        <v>5492</v>
      </c>
      <c r="E5262" s="1" t="s">
        <v>25</v>
      </c>
      <c r="F5262">
        <v>540</v>
      </c>
      <c r="G5262">
        <v>540</v>
      </c>
      <c r="H5262">
        <v>198</v>
      </c>
      <c r="I5262" s="1" t="s">
        <v>1528</v>
      </c>
      <c r="J5262" s="1" t="s">
        <v>25</v>
      </c>
      <c r="K5262" s="1" t="s">
        <v>25</v>
      </c>
      <c r="L5262">
        <v>-0.93912655964427183</v>
      </c>
      <c r="M5262" t="str">
        <f t="shared" si="228"/>
        <v>44/40</v>
      </c>
      <c r="N5262" t="str">
        <f t="shared" si="229"/>
        <v>SW</v>
      </c>
      <c r="O5262" s="1" t="s">
        <v>25</v>
      </c>
      <c r="P5262" s="3" t="s">
        <v>25</v>
      </c>
      <c r="Q5262" s="37">
        <v>0.36300087611413207</v>
      </c>
      <c r="R5262" t="str">
        <f t="shared" si="226"/>
        <v>mmol/mol</v>
      </c>
      <c r="S5262" s="13">
        <f t="shared" si="227"/>
        <v>-0.93912655964427183</v>
      </c>
    </row>
    <row r="5263" spans="1:19">
      <c r="A5263" s="18" t="s">
        <v>5486</v>
      </c>
      <c r="B5263" s="1" t="s">
        <v>5431</v>
      </c>
      <c r="C5263" s="1" t="s">
        <v>5491</v>
      </c>
      <c r="D5263" s="1" t="s">
        <v>5492</v>
      </c>
      <c r="E5263" s="1" t="s">
        <v>25</v>
      </c>
      <c r="F5263">
        <v>540</v>
      </c>
      <c r="G5263">
        <v>540</v>
      </c>
      <c r="H5263">
        <v>199.4</v>
      </c>
      <c r="I5263" s="1" t="s">
        <v>1528</v>
      </c>
      <c r="J5263" s="1" t="s">
        <v>25</v>
      </c>
      <c r="K5263" s="1" t="s">
        <v>25</v>
      </c>
      <c r="L5263">
        <v>-0.93074364739534698</v>
      </c>
      <c r="M5263" t="str">
        <f t="shared" si="228"/>
        <v>44/40</v>
      </c>
      <c r="N5263" t="str">
        <f t="shared" si="229"/>
        <v>SW</v>
      </c>
      <c r="O5263" s="1" t="s">
        <v>25</v>
      </c>
      <c r="P5263" s="3" t="s">
        <v>25</v>
      </c>
      <c r="Q5263" s="37">
        <v>0.59144711231992586</v>
      </c>
      <c r="R5263" t="str">
        <f t="shared" si="226"/>
        <v>mmol/mol</v>
      </c>
      <c r="S5263" s="13">
        <f t="shared" si="227"/>
        <v>-0.93074364739534698</v>
      </c>
    </row>
    <row r="5264" spans="1:19">
      <c r="A5264" s="18" t="s">
        <v>5486</v>
      </c>
      <c r="B5264" s="1" t="s">
        <v>5432</v>
      </c>
      <c r="C5264" s="1" t="s">
        <v>5491</v>
      </c>
      <c r="D5264" s="1" t="s">
        <v>5492</v>
      </c>
      <c r="E5264" s="1" t="s">
        <v>25</v>
      </c>
      <c r="F5264">
        <v>540</v>
      </c>
      <c r="G5264">
        <v>540</v>
      </c>
      <c r="H5264">
        <v>202.5</v>
      </c>
      <c r="I5264" s="1" t="s">
        <v>1528</v>
      </c>
      <c r="J5264" s="1" t="s">
        <v>25</v>
      </c>
      <c r="K5264" s="1" t="s">
        <v>25</v>
      </c>
      <c r="L5264">
        <v>-0.81550116237895176</v>
      </c>
      <c r="M5264" t="str">
        <f t="shared" si="228"/>
        <v>44/40</v>
      </c>
      <c r="N5264" t="str">
        <f t="shared" si="229"/>
        <v>SW</v>
      </c>
      <c r="O5264" s="1" t="s">
        <v>25</v>
      </c>
      <c r="P5264" s="3" t="s">
        <v>25</v>
      </c>
      <c r="Q5264" s="37">
        <v>0.35286826222391188</v>
      </c>
      <c r="R5264" t="str">
        <f t="shared" si="226"/>
        <v>mmol/mol</v>
      </c>
      <c r="S5264" s="13">
        <f t="shared" si="227"/>
        <v>-0.81550116237895176</v>
      </c>
    </row>
    <row r="5265" spans="1:19">
      <c r="A5265" s="18" t="s">
        <v>5486</v>
      </c>
      <c r="B5265" s="1" t="s">
        <v>5433</v>
      </c>
      <c r="C5265" s="1" t="s">
        <v>5491</v>
      </c>
      <c r="D5265" s="1" t="s">
        <v>5492</v>
      </c>
      <c r="E5265" s="1" t="s">
        <v>25</v>
      </c>
      <c r="F5265">
        <v>540</v>
      </c>
      <c r="G5265">
        <v>540</v>
      </c>
      <c r="H5265">
        <v>204</v>
      </c>
      <c r="I5265" s="1" t="s">
        <v>1528</v>
      </c>
      <c r="J5265" s="1" t="s">
        <v>25</v>
      </c>
      <c r="K5265" s="1" t="s">
        <v>25</v>
      </c>
      <c r="L5265">
        <v>-0.87576605203014402</v>
      </c>
      <c r="M5265" t="str">
        <f t="shared" si="228"/>
        <v>44/40</v>
      </c>
      <c r="N5265" t="str">
        <f t="shared" si="229"/>
        <v>SW</v>
      </c>
      <c r="O5265" s="1" t="s">
        <v>25</v>
      </c>
      <c r="P5265" s="3" t="s">
        <v>25</v>
      </c>
      <c r="Q5265" s="37">
        <v>0.23219686377342078</v>
      </c>
      <c r="R5265" t="str">
        <f t="shared" si="226"/>
        <v>mmol/mol</v>
      </c>
      <c r="S5265" s="13">
        <f t="shared" si="227"/>
        <v>-0.87576605203014402</v>
      </c>
    </row>
    <row r="5266" spans="1:19">
      <c r="A5266" s="18" t="s">
        <v>5486</v>
      </c>
      <c r="B5266" s="1" t="s">
        <v>5434</v>
      </c>
      <c r="C5266" s="1" t="s">
        <v>5491</v>
      </c>
      <c r="D5266" s="1" t="s">
        <v>5492</v>
      </c>
      <c r="E5266" s="1" t="s">
        <v>25</v>
      </c>
      <c r="F5266">
        <v>540</v>
      </c>
      <c r="G5266">
        <v>540</v>
      </c>
      <c r="H5266">
        <v>205.5</v>
      </c>
      <c r="I5266" s="1" t="s">
        <v>1528</v>
      </c>
      <c r="J5266" s="1" t="s">
        <v>25</v>
      </c>
      <c r="K5266" s="1" t="s">
        <v>25</v>
      </c>
      <c r="L5266">
        <v>-0.93048913085535334</v>
      </c>
      <c r="M5266" t="str">
        <f t="shared" si="228"/>
        <v>44/40</v>
      </c>
      <c r="N5266" t="str">
        <f t="shared" si="229"/>
        <v>SW</v>
      </c>
      <c r="O5266" s="1" t="s">
        <v>25</v>
      </c>
      <c r="P5266" s="3" t="s">
        <v>25</v>
      </c>
      <c r="Q5266" s="37">
        <v>0.30024309449113351</v>
      </c>
      <c r="R5266" t="str">
        <f t="shared" si="226"/>
        <v>mmol/mol</v>
      </c>
      <c r="S5266" s="13">
        <f t="shared" si="227"/>
        <v>-0.93048913085535334</v>
      </c>
    </row>
    <row r="5267" spans="1:19">
      <c r="A5267" s="18" t="s">
        <v>5486</v>
      </c>
      <c r="B5267" s="1" t="s">
        <v>5435</v>
      </c>
      <c r="C5267" s="1" t="s">
        <v>5491</v>
      </c>
      <c r="D5267" s="1" t="s">
        <v>5492</v>
      </c>
      <c r="E5267" s="1" t="s">
        <v>25</v>
      </c>
      <c r="F5267">
        <v>540</v>
      </c>
      <c r="G5267">
        <v>540</v>
      </c>
      <c r="H5267">
        <v>207</v>
      </c>
      <c r="I5267" s="1" t="s">
        <v>1528</v>
      </c>
      <c r="J5267" s="1" t="s">
        <v>25</v>
      </c>
      <c r="K5267" s="1" t="s">
        <v>25</v>
      </c>
      <c r="L5267">
        <v>-0.81959676137849735</v>
      </c>
      <c r="M5267" t="str">
        <f t="shared" si="228"/>
        <v>44/40</v>
      </c>
      <c r="N5267" t="str">
        <f t="shared" si="229"/>
        <v>SW</v>
      </c>
      <c r="O5267" s="1" t="s">
        <v>25</v>
      </c>
      <c r="P5267" s="3" t="s">
        <v>25</v>
      </c>
      <c r="Q5267" s="37">
        <v>0.54657450581221212</v>
      </c>
      <c r="R5267" t="str">
        <f t="shared" si="226"/>
        <v>mmol/mol</v>
      </c>
      <c r="S5267" s="13">
        <f t="shared" si="227"/>
        <v>-0.81959676137849735</v>
      </c>
    </row>
    <row r="5268" spans="1:19">
      <c r="A5268" s="18" t="s">
        <v>5486</v>
      </c>
      <c r="B5268" s="1" t="s">
        <v>5436</v>
      </c>
      <c r="C5268" s="1" t="s">
        <v>5491</v>
      </c>
      <c r="D5268" s="1" t="s">
        <v>5492</v>
      </c>
      <c r="E5268" s="1" t="s">
        <v>25</v>
      </c>
      <c r="F5268">
        <v>540</v>
      </c>
      <c r="G5268">
        <v>540</v>
      </c>
      <c r="H5268">
        <v>209</v>
      </c>
      <c r="I5268" s="1" t="s">
        <v>1528</v>
      </c>
      <c r="J5268" s="1" t="s">
        <v>25</v>
      </c>
      <c r="K5268" s="1" t="s">
        <v>25</v>
      </c>
      <c r="L5268">
        <v>-0.92836575075202754</v>
      </c>
      <c r="M5268" t="str">
        <f t="shared" si="228"/>
        <v>44/40</v>
      </c>
      <c r="N5268" t="str">
        <f t="shared" si="229"/>
        <v>SW</v>
      </c>
      <c r="O5268" s="1" t="s">
        <v>25</v>
      </c>
      <c r="P5268" s="3" t="s">
        <v>25</v>
      </c>
      <c r="Q5268" s="37">
        <v>0.24769377267831988</v>
      </c>
      <c r="R5268" t="str">
        <f t="shared" si="226"/>
        <v>mmol/mol</v>
      </c>
      <c r="S5268" s="13">
        <f t="shared" si="227"/>
        <v>-0.92836575075202754</v>
      </c>
    </row>
    <row r="5269" spans="1:19">
      <c r="A5269" s="18" t="s">
        <v>5486</v>
      </c>
      <c r="B5269" s="1" t="s">
        <v>5437</v>
      </c>
      <c r="C5269" s="1" t="s">
        <v>5491</v>
      </c>
      <c r="D5269" s="1" t="s">
        <v>5492</v>
      </c>
      <c r="E5269" s="1" t="s">
        <v>25</v>
      </c>
      <c r="F5269">
        <v>540</v>
      </c>
      <c r="G5269">
        <v>540</v>
      </c>
      <c r="H5269">
        <v>210.5</v>
      </c>
      <c r="I5269" s="1" t="s">
        <v>1528</v>
      </c>
      <c r="J5269" s="1" t="s">
        <v>25</v>
      </c>
      <c r="K5269" s="1" t="s">
        <v>25</v>
      </c>
      <c r="L5269">
        <v>-1.000274497549708</v>
      </c>
      <c r="M5269" t="str">
        <f t="shared" si="228"/>
        <v>44/40</v>
      </c>
      <c r="N5269" t="str">
        <f t="shared" si="229"/>
        <v>SW</v>
      </c>
      <c r="O5269" s="1" t="s">
        <v>25</v>
      </c>
      <c r="P5269" s="3" t="s">
        <v>25</v>
      </c>
      <c r="Q5269" s="37">
        <v>0.75964896211835853</v>
      </c>
      <c r="R5269" t="str">
        <f t="shared" si="226"/>
        <v>mmol/mol</v>
      </c>
      <c r="S5269" s="13">
        <f t="shared" si="227"/>
        <v>-1.000274497549708</v>
      </c>
    </row>
    <row r="5270" spans="1:19">
      <c r="A5270" s="18" t="s">
        <v>5486</v>
      </c>
      <c r="B5270" s="1" t="s">
        <v>5438</v>
      </c>
      <c r="C5270" s="1" t="s">
        <v>5491</v>
      </c>
      <c r="D5270" s="1" t="s">
        <v>5492</v>
      </c>
      <c r="E5270" s="1" t="s">
        <v>25</v>
      </c>
      <c r="F5270">
        <v>540</v>
      </c>
      <c r="G5270">
        <v>540</v>
      </c>
      <c r="H5270">
        <v>212</v>
      </c>
      <c r="I5270" s="1" t="s">
        <v>1528</v>
      </c>
      <c r="J5270" s="1" t="s">
        <v>25</v>
      </c>
      <c r="K5270" s="1" t="s">
        <v>25</v>
      </c>
      <c r="L5270">
        <v>-0.89150118853970972</v>
      </c>
      <c r="M5270" t="str">
        <f t="shared" si="228"/>
        <v>44/40</v>
      </c>
      <c r="N5270" t="str">
        <f t="shared" si="229"/>
        <v>SW</v>
      </c>
      <c r="O5270" s="1" t="s">
        <v>25</v>
      </c>
      <c r="P5270" s="3" t="s">
        <v>25</v>
      </c>
      <c r="Q5270" s="37">
        <v>0.45513406947258722</v>
      </c>
      <c r="R5270" t="str">
        <f t="shared" si="226"/>
        <v>mmol/mol</v>
      </c>
      <c r="S5270" s="13">
        <f t="shared" si="227"/>
        <v>-0.89150118853970972</v>
      </c>
    </row>
    <row r="5271" spans="1:19">
      <c r="A5271" s="18" t="s">
        <v>5486</v>
      </c>
      <c r="B5271" s="1" t="s">
        <v>5439</v>
      </c>
      <c r="C5271" s="1" t="s">
        <v>5491</v>
      </c>
      <c r="D5271" s="1" t="s">
        <v>5492</v>
      </c>
      <c r="E5271" s="1" t="s">
        <v>25</v>
      </c>
      <c r="F5271">
        <v>540</v>
      </c>
      <c r="G5271">
        <v>540</v>
      </c>
      <c r="H5271">
        <v>214</v>
      </c>
      <c r="I5271" s="1" t="s">
        <v>1528</v>
      </c>
      <c r="J5271" s="1" t="s">
        <v>25</v>
      </c>
      <c r="K5271" s="1" t="s">
        <v>25</v>
      </c>
      <c r="L5271">
        <v>-0.92259312670886207</v>
      </c>
      <c r="M5271" t="str">
        <f t="shared" si="228"/>
        <v>44/40</v>
      </c>
      <c r="N5271" t="str">
        <f t="shared" si="229"/>
        <v>SW</v>
      </c>
      <c r="O5271" s="1" t="s">
        <v>25</v>
      </c>
      <c r="P5271" s="3" t="s">
        <v>25</v>
      </c>
      <c r="Q5271" s="37">
        <v>0.21037211991472479</v>
      </c>
      <c r="R5271" t="str">
        <f t="shared" si="226"/>
        <v>mmol/mol</v>
      </c>
      <c r="S5271" s="13">
        <f t="shared" si="227"/>
        <v>-0.92259312670886207</v>
      </c>
    </row>
    <row r="5272" spans="1:19">
      <c r="A5272" s="18" t="s">
        <v>5486</v>
      </c>
      <c r="B5272" s="1" t="s">
        <v>5440</v>
      </c>
      <c r="C5272" s="1" t="s">
        <v>5491</v>
      </c>
      <c r="D5272" s="1" t="s">
        <v>5492</v>
      </c>
      <c r="E5272" s="1" t="s">
        <v>25</v>
      </c>
      <c r="F5272">
        <v>540</v>
      </c>
      <c r="G5272">
        <v>540</v>
      </c>
      <c r="H5272">
        <v>216</v>
      </c>
      <c r="I5272" s="1" t="s">
        <v>1528</v>
      </c>
      <c r="J5272" s="1" t="s">
        <v>25</v>
      </c>
      <c r="K5272" s="1" t="s">
        <v>25</v>
      </c>
      <c r="L5272">
        <v>-0.82721028333807922</v>
      </c>
      <c r="M5272" t="str">
        <f t="shared" si="228"/>
        <v>44/40</v>
      </c>
      <c r="N5272" t="str">
        <f t="shared" si="229"/>
        <v>SW</v>
      </c>
      <c r="O5272" s="1" t="s">
        <v>25</v>
      </c>
      <c r="P5272" s="3" t="s">
        <v>25</v>
      </c>
      <c r="Q5272" s="37">
        <v>0.37706084648611121</v>
      </c>
      <c r="R5272" t="str">
        <f t="shared" si="226"/>
        <v>mmol/mol</v>
      </c>
      <c r="S5272" s="13">
        <f t="shared" si="227"/>
        <v>-0.82721028333807922</v>
      </c>
    </row>
    <row r="5273" spans="1:19">
      <c r="A5273" s="18" t="s">
        <v>5486</v>
      </c>
      <c r="B5273" s="1" t="s">
        <v>5441</v>
      </c>
      <c r="C5273" s="1" t="s">
        <v>5491</v>
      </c>
      <c r="D5273" s="1" t="s">
        <v>5492</v>
      </c>
      <c r="E5273" s="1" t="s">
        <v>25</v>
      </c>
      <c r="F5273">
        <v>540</v>
      </c>
      <c r="G5273">
        <v>540</v>
      </c>
      <c r="H5273">
        <v>304.39999999999998</v>
      </c>
      <c r="I5273" s="1" t="s">
        <v>1528</v>
      </c>
      <c r="J5273" s="1" t="s">
        <v>25</v>
      </c>
      <c r="K5273" s="1" t="s">
        <v>25</v>
      </c>
      <c r="L5273">
        <v>-0.99964435272245433</v>
      </c>
      <c r="M5273" t="str">
        <f t="shared" si="228"/>
        <v>44/40</v>
      </c>
      <c r="N5273" t="str">
        <f t="shared" si="229"/>
        <v>SW</v>
      </c>
      <c r="O5273" s="1" t="s">
        <v>25</v>
      </c>
      <c r="P5273" s="3" t="s">
        <v>25</v>
      </c>
      <c r="Q5273" s="37">
        <v>0.18239968260579983</v>
      </c>
      <c r="R5273" t="str">
        <f t="shared" ref="R5273:R5317" si="230">IF(Q5273="Na","Na","mmol/mol")</f>
        <v>mmol/mol</v>
      </c>
      <c r="S5273" s="13">
        <f t="shared" si="227"/>
        <v>-0.99964435272245433</v>
      </c>
    </row>
    <row r="5274" spans="1:19">
      <c r="A5274" s="18" t="s">
        <v>5486</v>
      </c>
      <c r="B5274" s="1" t="s">
        <v>5442</v>
      </c>
      <c r="C5274" s="1" t="s">
        <v>5491</v>
      </c>
      <c r="D5274" s="1" t="s">
        <v>5492</v>
      </c>
      <c r="E5274" s="1" t="s">
        <v>25</v>
      </c>
      <c r="F5274">
        <v>540</v>
      </c>
      <c r="G5274">
        <v>540</v>
      </c>
      <c r="H5274">
        <v>306</v>
      </c>
      <c r="I5274" s="1" t="s">
        <v>1528</v>
      </c>
      <c r="J5274" s="1" t="s">
        <v>25</v>
      </c>
      <c r="K5274" s="1" t="s">
        <v>25</v>
      </c>
      <c r="L5274">
        <v>-0.90451555849438225</v>
      </c>
      <c r="M5274" t="str">
        <f t="shared" si="228"/>
        <v>44/40</v>
      </c>
      <c r="N5274" t="str">
        <f t="shared" si="229"/>
        <v>SW</v>
      </c>
      <c r="O5274" s="1" t="s">
        <v>25</v>
      </c>
      <c r="P5274" s="3" t="s">
        <v>25</v>
      </c>
      <c r="Q5274" s="37">
        <v>0.14320666842138843</v>
      </c>
      <c r="R5274" t="str">
        <f t="shared" si="230"/>
        <v>mmol/mol</v>
      </c>
      <c r="S5274" s="13">
        <f t="shared" si="227"/>
        <v>-0.90451555849438225</v>
      </c>
    </row>
    <row r="5275" spans="1:19">
      <c r="A5275" s="18" t="s">
        <v>5486</v>
      </c>
      <c r="B5275" s="1" t="s">
        <v>5443</v>
      </c>
      <c r="C5275" s="1" t="s">
        <v>5491</v>
      </c>
      <c r="D5275" s="1" t="s">
        <v>5492</v>
      </c>
      <c r="E5275" s="1" t="s">
        <v>25</v>
      </c>
      <c r="F5275">
        <v>540</v>
      </c>
      <c r="G5275">
        <v>540</v>
      </c>
      <c r="H5275">
        <v>307</v>
      </c>
      <c r="I5275" s="1" t="s">
        <v>1528</v>
      </c>
      <c r="J5275" s="1" t="s">
        <v>25</v>
      </c>
      <c r="K5275" s="1" t="s">
        <v>25</v>
      </c>
      <c r="L5275">
        <v>-1.0335149844847578</v>
      </c>
      <c r="M5275" t="str">
        <f t="shared" si="228"/>
        <v>44/40</v>
      </c>
      <c r="N5275" t="str">
        <f t="shared" si="229"/>
        <v>SW</v>
      </c>
      <c r="O5275" s="1" t="s">
        <v>25</v>
      </c>
      <c r="P5275" s="3" t="s">
        <v>25</v>
      </c>
      <c r="Q5275" s="37">
        <v>0.13922052619792946</v>
      </c>
      <c r="R5275" t="str">
        <f t="shared" si="230"/>
        <v>mmol/mol</v>
      </c>
      <c r="S5275" s="13">
        <f t="shared" si="227"/>
        <v>-1.0335149844847578</v>
      </c>
    </row>
    <row r="5276" spans="1:19">
      <c r="A5276" s="18" t="s">
        <v>5486</v>
      </c>
      <c r="B5276" s="1" t="s">
        <v>5444</v>
      </c>
      <c r="C5276" s="1" t="s">
        <v>5491</v>
      </c>
      <c r="D5276" s="1" t="s">
        <v>5492</v>
      </c>
      <c r="E5276" s="1" t="s">
        <v>25</v>
      </c>
      <c r="F5276">
        <v>540</v>
      </c>
      <c r="G5276">
        <v>540</v>
      </c>
      <c r="H5276">
        <v>311</v>
      </c>
      <c r="I5276" s="1" t="s">
        <v>1528</v>
      </c>
      <c r="J5276" s="1" t="s">
        <v>25</v>
      </c>
      <c r="K5276" s="1" t="s">
        <v>25</v>
      </c>
      <c r="L5276">
        <v>-1.0146043615100526</v>
      </c>
      <c r="M5276" t="str">
        <f t="shared" si="228"/>
        <v>44/40</v>
      </c>
      <c r="N5276" t="str">
        <f t="shared" si="229"/>
        <v>SW</v>
      </c>
      <c r="O5276" s="1" t="s">
        <v>25</v>
      </c>
      <c r="P5276" s="3" t="s">
        <v>25</v>
      </c>
      <c r="Q5276" s="37">
        <v>0.13533540542108188</v>
      </c>
      <c r="R5276" t="str">
        <f t="shared" si="230"/>
        <v>mmol/mol</v>
      </c>
      <c r="S5276" s="13">
        <f t="shared" si="227"/>
        <v>-1.0146043615100526</v>
      </c>
    </row>
    <row r="5277" spans="1:19">
      <c r="A5277" s="18" t="s">
        <v>5486</v>
      </c>
      <c r="B5277" s="1" t="s">
        <v>5445</v>
      </c>
      <c r="C5277" s="1" t="s">
        <v>5491</v>
      </c>
      <c r="D5277" s="1" t="s">
        <v>5492</v>
      </c>
      <c r="E5277" s="1" t="s">
        <v>25</v>
      </c>
      <c r="F5277">
        <v>540</v>
      </c>
      <c r="G5277">
        <v>540</v>
      </c>
      <c r="H5277">
        <v>313</v>
      </c>
      <c r="I5277" s="1" t="s">
        <v>1528</v>
      </c>
      <c r="J5277" s="1" t="s">
        <v>25</v>
      </c>
      <c r="K5277" s="1" t="s">
        <v>25</v>
      </c>
      <c r="L5277">
        <v>-0.96441897304507884</v>
      </c>
      <c r="M5277" t="str">
        <f t="shared" si="228"/>
        <v>44/40</v>
      </c>
      <c r="N5277" t="str">
        <f t="shared" si="229"/>
        <v>SW</v>
      </c>
      <c r="O5277" s="1" t="s">
        <v>25</v>
      </c>
      <c r="P5277" s="3" t="s">
        <v>25</v>
      </c>
      <c r="Q5277" s="37">
        <v>0.12207527185479622</v>
      </c>
      <c r="R5277" t="str">
        <f t="shared" si="230"/>
        <v>mmol/mol</v>
      </c>
      <c r="S5277" s="13">
        <f t="shared" si="227"/>
        <v>-0.96441897304507884</v>
      </c>
    </row>
    <row r="5278" spans="1:19">
      <c r="A5278" s="18" t="s">
        <v>5486</v>
      </c>
      <c r="B5278" s="1" t="s">
        <v>5446</v>
      </c>
      <c r="C5278" s="1" t="s">
        <v>5491</v>
      </c>
      <c r="D5278" s="1" t="s">
        <v>5492</v>
      </c>
      <c r="E5278" s="1" t="s">
        <v>25</v>
      </c>
      <c r="F5278">
        <v>540</v>
      </c>
      <c r="G5278">
        <v>540</v>
      </c>
      <c r="H5278">
        <v>315</v>
      </c>
      <c r="I5278" s="1" t="s">
        <v>1528</v>
      </c>
      <c r="J5278" s="1" t="s">
        <v>25</v>
      </c>
      <c r="K5278" s="1" t="s">
        <v>25</v>
      </c>
      <c r="L5278">
        <v>-0.99563962978775611</v>
      </c>
      <c r="M5278" t="str">
        <f t="shared" si="228"/>
        <v>44/40</v>
      </c>
      <c r="N5278" t="str">
        <f t="shared" si="229"/>
        <v>SW</v>
      </c>
      <c r="O5278" s="1" t="s">
        <v>25</v>
      </c>
      <c r="P5278" s="3" t="s">
        <v>25</v>
      </c>
      <c r="Q5278" s="37">
        <v>0.12455638999125661</v>
      </c>
      <c r="R5278" t="str">
        <f t="shared" si="230"/>
        <v>mmol/mol</v>
      </c>
      <c r="S5278" s="13">
        <f t="shared" si="227"/>
        <v>-0.99563962978775611</v>
      </c>
    </row>
    <row r="5279" spans="1:19">
      <c r="A5279" s="18" t="s">
        <v>5486</v>
      </c>
      <c r="B5279" s="1" t="s">
        <v>5447</v>
      </c>
      <c r="C5279" s="1" t="s">
        <v>5491</v>
      </c>
      <c r="D5279" s="1" t="s">
        <v>5492</v>
      </c>
      <c r="E5279" s="1" t="s">
        <v>25</v>
      </c>
      <c r="F5279">
        <v>540</v>
      </c>
      <c r="G5279">
        <v>540</v>
      </c>
      <c r="H5279">
        <v>317</v>
      </c>
      <c r="I5279" s="1" t="s">
        <v>1528</v>
      </c>
      <c r="J5279" s="1" t="s">
        <v>25</v>
      </c>
      <c r="K5279" s="1" t="s">
        <v>25</v>
      </c>
      <c r="L5279">
        <v>-0.98183545249214954</v>
      </c>
      <c r="M5279" t="str">
        <f t="shared" si="228"/>
        <v>44/40</v>
      </c>
      <c r="N5279" t="str">
        <f t="shared" si="229"/>
        <v>SW</v>
      </c>
      <c r="O5279" s="1" t="s">
        <v>25</v>
      </c>
      <c r="P5279" s="3" t="s">
        <v>25</v>
      </c>
      <c r="Q5279" s="37">
        <v>0.1357460180127335</v>
      </c>
      <c r="R5279" t="str">
        <f t="shared" si="230"/>
        <v>mmol/mol</v>
      </c>
      <c r="S5279" s="13">
        <f t="shared" si="227"/>
        <v>-0.98183545249214954</v>
      </c>
    </row>
    <row r="5280" spans="1:19">
      <c r="A5280" s="18" t="s">
        <v>5486</v>
      </c>
      <c r="B5280" s="1" t="s">
        <v>5448</v>
      </c>
      <c r="C5280" s="1" t="s">
        <v>5491</v>
      </c>
      <c r="D5280" s="1" t="s">
        <v>5492</v>
      </c>
      <c r="E5280" s="1" t="s">
        <v>25</v>
      </c>
      <c r="F5280">
        <v>540</v>
      </c>
      <c r="G5280">
        <v>540</v>
      </c>
      <c r="H5280">
        <v>319</v>
      </c>
      <c r="I5280" s="1" t="s">
        <v>1528</v>
      </c>
      <c r="J5280" s="1" t="s">
        <v>25</v>
      </c>
      <c r="K5280" s="1" t="s">
        <v>25</v>
      </c>
      <c r="L5280">
        <v>-1.0520758785664561</v>
      </c>
      <c r="M5280" t="str">
        <f t="shared" si="228"/>
        <v>44/40</v>
      </c>
      <c r="N5280" t="str">
        <f t="shared" si="229"/>
        <v>SW</v>
      </c>
      <c r="O5280" s="1" t="s">
        <v>25</v>
      </c>
      <c r="P5280" s="3" t="s">
        <v>25</v>
      </c>
      <c r="Q5280" s="37">
        <v>0.12479497882077513</v>
      </c>
      <c r="R5280" t="str">
        <f t="shared" si="230"/>
        <v>mmol/mol</v>
      </c>
      <c r="S5280" s="13">
        <f t="shared" si="227"/>
        <v>-1.0520758785664561</v>
      </c>
    </row>
    <row r="5281" spans="1:19">
      <c r="A5281" s="18" t="s">
        <v>5486</v>
      </c>
      <c r="B5281" s="1" t="s">
        <v>5449</v>
      </c>
      <c r="C5281" s="1" t="s">
        <v>5491</v>
      </c>
      <c r="D5281" s="1" t="s">
        <v>5492</v>
      </c>
      <c r="E5281" s="1" t="s">
        <v>25</v>
      </c>
      <c r="F5281">
        <v>540</v>
      </c>
      <c r="G5281">
        <v>540</v>
      </c>
      <c r="H5281">
        <v>321</v>
      </c>
      <c r="I5281" s="1" t="s">
        <v>1528</v>
      </c>
      <c r="J5281" s="1" t="s">
        <v>25</v>
      </c>
      <c r="K5281" s="1" t="s">
        <v>25</v>
      </c>
      <c r="L5281">
        <v>-1.0453492246122658</v>
      </c>
      <c r="M5281" t="str">
        <f t="shared" si="228"/>
        <v>44/40</v>
      </c>
      <c r="N5281" t="str">
        <f t="shared" si="229"/>
        <v>SW</v>
      </c>
      <c r="O5281" s="1" t="s">
        <v>25</v>
      </c>
      <c r="P5281" s="3" t="s">
        <v>25</v>
      </c>
      <c r="Q5281" s="37">
        <v>0.14249169086562097</v>
      </c>
      <c r="R5281" t="str">
        <f t="shared" si="230"/>
        <v>mmol/mol</v>
      </c>
      <c r="S5281" s="13">
        <f t="shared" si="227"/>
        <v>-1.0453492246122658</v>
      </c>
    </row>
    <row r="5282" spans="1:19">
      <c r="A5282" s="18" t="s">
        <v>5486</v>
      </c>
      <c r="B5282" s="1" t="s">
        <v>5450</v>
      </c>
      <c r="C5282" s="1" t="s">
        <v>5491</v>
      </c>
      <c r="D5282" s="1" t="s">
        <v>5492</v>
      </c>
      <c r="E5282" s="1" t="s">
        <v>25</v>
      </c>
      <c r="F5282">
        <v>540</v>
      </c>
      <c r="G5282">
        <v>540</v>
      </c>
      <c r="H5282">
        <v>323</v>
      </c>
      <c r="I5282" s="1" t="s">
        <v>1528</v>
      </c>
      <c r="J5282" s="1" t="s">
        <v>25</v>
      </c>
      <c r="K5282" s="1" t="s">
        <v>25</v>
      </c>
      <c r="L5282">
        <v>-0.94278518297636604</v>
      </c>
      <c r="M5282" t="str">
        <f t="shared" si="228"/>
        <v>44/40</v>
      </c>
      <c r="N5282" t="str">
        <f t="shared" si="229"/>
        <v>SW</v>
      </c>
      <c r="O5282" s="1" t="s">
        <v>25</v>
      </c>
      <c r="P5282" s="3" t="s">
        <v>25</v>
      </c>
      <c r="Q5282" s="37">
        <v>0.15257404410319356</v>
      </c>
      <c r="R5282" t="str">
        <f t="shared" si="230"/>
        <v>mmol/mol</v>
      </c>
      <c r="S5282" s="13">
        <f t="shared" si="227"/>
        <v>-0.94278518297636604</v>
      </c>
    </row>
    <row r="5283" spans="1:19">
      <c r="A5283" s="18" t="s">
        <v>5486</v>
      </c>
      <c r="B5283" s="1" t="s">
        <v>5451</v>
      </c>
      <c r="C5283" s="1" t="s">
        <v>5491</v>
      </c>
      <c r="D5283" s="1" t="s">
        <v>5492</v>
      </c>
      <c r="E5283" s="1" t="s">
        <v>25</v>
      </c>
      <c r="F5283">
        <v>540</v>
      </c>
      <c r="G5283">
        <v>540</v>
      </c>
      <c r="H5283">
        <v>325</v>
      </c>
      <c r="I5283" s="1" t="s">
        <v>1528</v>
      </c>
      <c r="J5283" s="1" t="s">
        <v>25</v>
      </c>
      <c r="K5283" s="1" t="s">
        <v>25</v>
      </c>
      <c r="L5283">
        <v>-0.73939292283975988</v>
      </c>
      <c r="M5283" t="str">
        <f t="shared" si="228"/>
        <v>44/40</v>
      </c>
      <c r="N5283" t="str">
        <f t="shared" si="229"/>
        <v>SW</v>
      </c>
      <c r="O5283" s="1" t="s">
        <v>25</v>
      </c>
      <c r="P5283" s="3" t="s">
        <v>25</v>
      </c>
      <c r="Q5283" s="37">
        <v>0.14995559747323453</v>
      </c>
      <c r="R5283" t="str">
        <f t="shared" si="230"/>
        <v>mmol/mol</v>
      </c>
      <c r="S5283" s="13">
        <f t="shared" si="227"/>
        <v>-0.73939292283975988</v>
      </c>
    </row>
    <row r="5284" spans="1:19">
      <c r="A5284" s="18" t="s">
        <v>5486</v>
      </c>
      <c r="B5284" s="1" t="s">
        <v>5452</v>
      </c>
      <c r="C5284" s="1" t="s">
        <v>5491</v>
      </c>
      <c r="D5284" s="1" t="s">
        <v>5492</v>
      </c>
      <c r="E5284" s="1" t="s">
        <v>25</v>
      </c>
      <c r="F5284">
        <v>540</v>
      </c>
      <c r="G5284">
        <v>540</v>
      </c>
      <c r="H5284">
        <v>201.5</v>
      </c>
      <c r="I5284" s="1" t="s">
        <v>1528</v>
      </c>
      <c r="J5284" s="1" t="s">
        <v>25</v>
      </c>
      <c r="K5284" s="1" t="s">
        <v>25</v>
      </c>
      <c r="L5284">
        <v>-0.85669746656320811</v>
      </c>
      <c r="M5284" t="str">
        <f t="shared" si="228"/>
        <v>44/40</v>
      </c>
      <c r="N5284" t="str">
        <f t="shared" si="229"/>
        <v>SW</v>
      </c>
      <c r="O5284" s="1" t="s">
        <v>25</v>
      </c>
      <c r="P5284" s="3" t="s">
        <v>25</v>
      </c>
      <c r="Q5284" s="37">
        <v>0.74713862099851169</v>
      </c>
      <c r="R5284" t="str">
        <f t="shared" si="230"/>
        <v>mmol/mol</v>
      </c>
      <c r="S5284" s="13">
        <f t="shared" si="227"/>
        <v>-0.85669746656320811</v>
      </c>
    </row>
    <row r="5285" spans="1:19">
      <c r="A5285" s="18" t="s">
        <v>5486</v>
      </c>
      <c r="B5285" s="1" t="s">
        <v>5453</v>
      </c>
      <c r="C5285" s="1" t="s">
        <v>5491</v>
      </c>
      <c r="D5285" s="1" t="s">
        <v>5492</v>
      </c>
      <c r="E5285" s="1" t="s">
        <v>25</v>
      </c>
      <c r="F5285">
        <v>540</v>
      </c>
      <c r="G5285">
        <v>540</v>
      </c>
      <c r="H5285">
        <v>68.5</v>
      </c>
      <c r="I5285" s="1" t="s">
        <v>1528</v>
      </c>
      <c r="J5285" s="1" t="s">
        <v>25</v>
      </c>
      <c r="K5285" s="1" t="s">
        <v>25</v>
      </c>
      <c r="L5285" t="s">
        <v>25</v>
      </c>
      <c r="M5285" t="str">
        <f t="shared" si="228"/>
        <v>Na</v>
      </c>
      <c r="N5285" t="str">
        <f t="shared" si="229"/>
        <v>Na</v>
      </c>
      <c r="O5285" s="1" t="s">
        <v>25</v>
      </c>
      <c r="P5285" s="3" t="s">
        <v>25</v>
      </c>
      <c r="Q5285" s="37">
        <v>0.43824937007965897</v>
      </c>
      <c r="R5285" t="str">
        <f t="shared" si="230"/>
        <v>mmol/mol</v>
      </c>
      <c r="S5285" s="13" t="s">
        <v>25</v>
      </c>
    </row>
    <row r="5286" spans="1:19">
      <c r="A5286" s="18" t="s">
        <v>5486</v>
      </c>
      <c r="B5286" s="1" t="s">
        <v>5454</v>
      </c>
      <c r="C5286" s="1" t="s">
        <v>5491</v>
      </c>
      <c r="D5286" s="1" t="s">
        <v>5492</v>
      </c>
      <c r="E5286" s="1" t="s">
        <v>25</v>
      </c>
      <c r="F5286">
        <v>540</v>
      </c>
      <c r="G5286">
        <v>540</v>
      </c>
      <c r="H5286">
        <v>179.1</v>
      </c>
      <c r="I5286" s="1" t="s">
        <v>1528</v>
      </c>
      <c r="J5286" s="1" t="s">
        <v>25</v>
      </c>
      <c r="K5286" s="1" t="s">
        <v>25</v>
      </c>
      <c r="L5286" t="s">
        <v>25</v>
      </c>
      <c r="M5286" t="str">
        <f t="shared" si="228"/>
        <v>Na</v>
      </c>
      <c r="N5286" t="str">
        <f t="shared" si="229"/>
        <v>Na</v>
      </c>
      <c r="O5286" s="1" t="s">
        <v>25</v>
      </c>
      <c r="P5286" s="3" t="s">
        <v>25</v>
      </c>
      <c r="Q5286" s="37">
        <v>0.97423035501414701</v>
      </c>
      <c r="R5286" t="str">
        <f t="shared" si="230"/>
        <v>mmol/mol</v>
      </c>
      <c r="S5286" s="13" t="s">
        <v>25</v>
      </c>
    </row>
    <row r="5287" spans="1:19">
      <c r="A5287" s="18" t="s">
        <v>5486</v>
      </c>
      <c r="B5287" s="1" t="s">
        <v>5455</v>
      </c>
      <c r="C5287" s="1" t="s">
        <v>5491</v>
      </c>
      <c r="D5287" s="1" t="s">
        <v>5492</v>
      </c>
      <c r="E5287" s="1" t="s">
        <v>25</v>
      </c>
      <c r="F5287">
        <v>540</v>
      </c>
      <c r="G5287">
        <v>540</v>
      </c>
      <c r="H5287">
        <v>121.7</v>
      </c>
      <c r="I5287" s="1" t="s">
        <v>1528</v>
      </c>
      <c r="J5287" s="1" t="s">
        <v>25</v>
      </c>
      <c r="K5287" s="1" t="s">
        <v>25</v>
      </c>
      <c r="L5287" t="s">
        <v>25</v>
      </c>
      <c r="M5287" t="str">
        <f t="shared" si="228"/>
        <v>Na</v>
      </c>
      <c r="N5287" t="str">
        <f t="shared" si="229"/>
        <v>Na</v>
      </c>
      <c r="O5287" s="1" t="s">
        <v>25</v>
      </c>
      <c r="P5287" s="3" t="s">
        <v>25</v>
      </c>
      <c r="Q5287" s="37">
        <v>0.13620089362680221</v>
      </c>
      <c r="R5287" t="str">
        <f t="shared" si="230"/>
        <v>mmol/mol</v>
      </c>
      <c r="S5287" s="13" t="s">
        <v>25</v>
      </c>
    </row>
    <row r="5288" spans="1:19">
      <c r="A5288" s="18" t="s">
        <v>5486</v>
      </c>
      <c r="B5288" s="1" t="s">
        <v>5456</v>
      </c>
      <c r="C5288" s="1" t="s">
        <v>5491</v>
      </c>
      <c r="D5288" s="1" t="s">
        <v>5492</v>
      </c>
      <c r="E5288" s="1" t="s">
        <v>25</v>
      </c>
      <c r="F5288">
        <v>540</v>
      </c>
      <c r="G5288">
        <v>540</v>
      </c>
      <c r="H5288">
        <v>0.3</v>
      </c>
      <c r="I5288" s="1" t="s">
        <v>1528</v>
      </c>
      <c r="J5288" s="1" t="s">
        <v>25</v>
      </c>
      <c r="K5288" s="1" t="s">
        <v>25</v>
      </c>
      <c r="L5288">
        <v>-1.5657931642391318</v>
      </c>
      <c r="M5288" t="str">
        <f t="shared" si="228"/>
        <v>44/40</v>
      </c>
      <c r="N5288" t="str">
        <f t="shared" si="229"/>
        <v>SW</v>
      </c>
      <c r="O5288" s="1" t="s">
        <v>25</v>
      </c>
      <c r="P5288" s="3" t="s">
        <v>25</v>
      </c>
      <c r="Q5288" s="37">
        <v>2.7716391878999032</v>
      </c>
      <c r="R5288" t="str">
        <f t="shared" si="230"/>
        <v>mmol/mol</v>
      </c>
      <c r="S5288" s="13">
        <f t="shared" si="227"/>
        <v>-1.5657931642391318</v>
      </c>
    </row>
    <row r="5289" spans="1:19">
      <c r="A5289" s="18" t="s">
        <v>5486</v>
      </c>
      <c r="B5289" s="1" t="s">
        <v>5457</v>
      </c>
      <c r="C5289" s="1" t="s">
        <v>5491</v>
      </c>
      <c r="D5289" s="1" t="s">
        <v>5492</v>
      </c>
      <c r="E5289" s="1" t="s">
        <v>25</v>
      </c>
      <c r="F5289">
        <v>540</v>
      </c>
      <c r="G5289">
        <v>540</v>
      </c>
      <c r="H5289">
        <v>1.6</v>
      </c>
      <c r="I5289" s="1" t="s">
        <v>1528</v>
      </c>
      <c r="J5289" s="1" t="s">
        <v>25</v>
      </c>
      <c r="K5289" s="1" t="s">
        <v>25</v>
      </c>
      <c r="L5289">
        <v>-1.6117471365139551</v>
      </c>
      <c r="M5289" t="str">
        <f t="shared" si="228"/>
        <v>44/40</v>
      </c>
      <c r="N5289" t="str">
        <f t="shared" si="229"/>
        <v>SW</v>
      </c>
      <c r="O5289" s="1" t="s">
        <v>25</v>
      </c>
      <c r="P5289" s="3" t="s">
        <v>25</v>
      </c>
      <c r="Q5289" s="37">
        <v>1.8898638392561387</v>
      </c>
      <c r="R5289" t="str">
        <f t="shared" si="230"/>
        <v>mmol/mol</v>
      </c>
      <c r="S5289" s="13">
        <f t="shared" si="227"/>
        <v>-1.6117471365139551</v>
      </c>
    </row>
    <row r="5290" spans="1:19">
      <c r="A5290" s="18" t="s">
        <v>5486</v>
      </c>
      <c r="B5290" s="1" t="s">
        <v>5458</v>
      </c>
      <c r="C5290" s="1" t="s">
        <v>5491</v>
      </c>
      <c r="D5290" s="1" t="s">
        <v>5492</v>
      </c>
      <c r="E5290" s="1" t="s">
        <v>25</v>
      </c>
      <c r="F5290">
        <v>540</v>
      </c>
      <c r="G5290">
        <v>540</v>
      </c>
      <c r="H5290">
        <v>3.1</v>
      </c>
      <c r="I5290" s="1" t="s">
        <v>1528</v>
      </c>
      <c r="J5290" s="1" t="s">
        <v>25</v>
      </c>
      <c r="K5290" s="1" t="s">
        <v>25</v>
      </c>
      <c r="L5290">
        <v>-1.384757265971394</v>
      </c>
      <c r="M5290" t="str">
        <f t="shared" si="228"/>
        <v>44/40</v>
      </c>
      <c r="N5290" t="str">
        <f t="shared" si="229"/>
        <v>SW</v>
      </c>
      <c r="O5290" s="1" t="s">
        <v>25</v>
      </c>
      <c r="P5290" s="3" t="s">
        <v>25</v>
      </c>
      <c r="Q5290" s="37">
        <v>0.81976655493095318</v>
      </c>
      <c r="R5290" t="str">
        <f t="shared" si="230"/>
        <v>mmol/mol</v>
      </c>
      <c r="S5290" s="13">
        <f t="shared" si="227"/>
        <v>-1.384757265971394</v>
      </c>
    </row>
    <row r="5291" spans="1:19">
      <c r="A5291" s="18" t="s">
        <v>5486</v>
      </c>
      <c r="B5291" s="1" t="s">
        <v>5459</v>
      </c>
      <c r="C5291" s="1" t="s">
        <v>5491</v>
      </c>
      <c r="D5291" s="1" t="s">
        <v>5492</v>
      </c>
      <c r="E5291" s="1" t="s">
        <v>25</v>
      </c>
      <c r="F5291">
        <v>540</v>
      </c>
      <c r="G5291">
        <v>540</v>
      </c>
      <c r="H5291">
        <v>4.5</v>
      </c>
      <c r="I5291" s="1" t="s">
        <v>1528</v>
      </c>
      <c r="J5291" s="1" t="s">
        <v>25</v>
      </c>
      <c r="K5291" s="1" t="s">
        <v>25</v>
      </c>
      <c r="L5291">
        <v>-1.3648164830863145</v>
      </c>
      <c r="M5291" t="str">
        <f t="shared" si="228"/>
        <v>44/40</v>
      </c>
      <c r="N5291" t="str">
        <f t="shared" si="229"/>
        <v>SW</v>
      </c>
      <c r="O5291" s="1" t="s">
        <v>25</v>
      </c>
      <c r="P5291" s="3" t="s">
        <v>25</v>
      </c>
      <c r="Q5291" s="37">
        <v>0.59972089430030318</v>
      </c>
      <c r="R5291" t="str">
        <f t="shared" si="230"/>
        <v>mmol/mol</v>
      </c>
      <c r="S5291" s="13">
        <f t="shared" si="227"/>
        <v>-1.3648164830863145</v>
      </c>
    </row>
    <row r="5292" spans="1:19">
      <c r="A5292" s="18" t="s">
        <v>5486</v>
      </c>
      <c r="B5292" s="1" t="s">
        <v>5460</v>
      </c>
      <c r="C5292" s="1" t="s">
        <v>5491</v>
      </c>
      <c r="D5292" s="1" t="s">
        <v>5492</v>
      </c>
      <c r="E5292" s="1" t="s">
        <v>25</v>
      </c>
      <c r="F5292">
        <v>540</v>
      </c>
      <c r="G5292">
        <v>540</v>
      </c>
      <c r="H5292">
        <v>6</v>
      </c>
      <c r="I5292" s="1" t="s">
        <v>1528</v>
      </c>
      <c r="J5292" s="1" t="s">
        <v>25</v>
      </c>
      <c r="K5292" s="1" t="s">
        <v>25</v>
      </c>
      <c r="L5292">
        <v>-1.514080668913381</v>
      </c>
      <c r="M5292" t="str">
        <f t="shared" si="228"/>
        <v>44/40</v>
      </c>
      <c r="N5292" t="str">
        <f t="shared" si="229"/>
        <v>SW</v>
      </c>
      <c r="O5292" s="1" t="s">
        <v>25</v>
      </c>
      <c r="P5292" s="3" t="s">
        <v>25</v>
      </c>
      <c r="Q5292" s="37">
        <v>0.85036866542262857</v>
      </c>
      <c r="R5292" t="str">
        <f t="shared" si="230"/>
        <v>mmol/mol</v>
      </c>
      <c r="S5292" s="13">
        <f t="shared" ref="S5292:S5355" si="231">IF(NOT(N5292="SW"),L5292-1.88,L5292)</f>
        <v>-1.514080668913381</v>
      </c>
    </row>
    <row r="5293" spans="1:19">
      <c r="A5293" s="18" t="s">
        <v>5486</v>
      </c>
      <c r="B5293" s="1" t="s">
        <v>5461</v>
      </c>
      <c r="C5293" s="1" t="s">
        <v>5491</v>
      </c>
      <c r="D5293" s="1" t="s">
        <v>5492</v>
      </c>
      <c r="E5293" s="1" t="s">
        <v>25</v>
      </c>
      <c r="F5293">
        <v>540</v>
      </c>
      <c r="G5293">
        <v>540</v>
      </c>
      <c r="H5293">
        <v>7</v>
      </c>
      <c r="I5293" s="1" t="s">
        <v>1528</v>
      </c>
      <c r="J5293" s="1" t="s">
        <v>25</v>
      </c>
      <c r="K5293" s="1" t="s">
        <v>25</v>
      </c>
      <c r="L5293">
        <v>-1.3743720588735435</v>
      </c>
      <c r="M5293" t="str">
        <f t="shared" si="228"/>
        <v>44/40</v>
      </c>
      <c r="N5293" t="str">
        <f t="shared" si="229"/>
        <v>SW</v>
      </c>
      <c r="O5293" s="1" t="s">
        <v>25</v>
      </c>
      <c r="P5293" s="3" t="s">
        <v>25</v>
      </c>
      <c r="Q5293" s="37">
        <v>1.4336864583566882</v>
      </c>
      <c r="R5293" t="str">
        <f t="shared" si="230"/>
        <v>mmol/mol</v>
      </c>
      <c r="S5293" s="13">
        <f t="shared" si="231"/>
        <v>-1.3743720588735435</v>
      </c>
    </row>
    <row r="5294" spans="1:19">
      <c r="A5294" s="18" t="s">
        <v>5486</v>
      </c>
      <c r="B5294" s="1" t="s">
        <v>5462</v>
      </c>
      <c r="C5294" s="1" t="s">
        <v>5491</v>
      </c>
      <c r="D5294" s="1" t="s">
        <v>5492</v>
      </c>
      <c r="E5294" s="1" t="s">
        <v>25</v>
      </c>
      <c r="F5294">
        <v>540</v>
      </c>
      <c r="G5294">
        <v>540</v>
      </c>
      <c r="H5294">
        <v>8.5</v>
      </c>
      <c r="I5294" s="1" t="s">
        <v>1528</v>
      </c>
      <c r="J5294" s="1" t="s">
        <v>25</v>
      </c>
      <c r="K5294" s="1" t="s">
        <v>25</v>
      </c>
      <c r="L5294">
        <v>-1.1437613658684398</v>
      </c>
      <c r="M5294" t="str">
        <f t="shared" si="228"/>
        <v>44/40</v>
      </c>
      <c r="N5294" t="str">
        <f t="shared" si="229"/>
        <v>SW</v>
      </c>
      <c r="O5294" s="1" t="s">
        <v>25</v>
      </c>
      <c r="P5294" s="3" t="s">
        <v>25</v>
      </c>
      <c r="Q5294" s="37">
        <v>2.2053672456915576</v>
      </c>
      <c r="R5294" t="str">
        <f t="shared" si="230"/>
        <v>mmol/mol</v>
      </c>
      <c r="S5294" s="13">
        <f t="shared" si="231"/>
        <v>-1.1437613658684398</v>
      </c>
    </row>
    <row r="5295" spans="1:19">
      <c r="A5295" s="18" t="s">
        <v>5486</v>
      </c>
      <c r="B5295" s="1" t="s">
        <v>5463</v>
      </c>
      <c r="C5295" s="1" t="s">
        <v>5491</v>
      </c>
      <c r="D5295" s="1" t="s">
        <v>5492</v>
      </c>
      <c r="E5295" s="1" t="s">
        <v>25</v>
      </c>
      <c r="F5295">
        <v>540</v>
      </c>
      <c r="G5295">
        <v>540</v>
      </c>
      <c r="H5295">
        <v>10</v>
      </c>
      <c r="I5295" s="1" t="s">
        <v>1528</v>
      </c>
      <c r="J5295" s="1" t="s">
        <v>25</v>
      </c>
      <c r="K5295" s="1" t="s">
        <v>25</v>
      </c>
      <c r="L5295">
        <v>-1.8861479168686495</v>
      </c>
      <c r="M5295" t="str">
        <f t="shared" si="228"/>
        <v>44/40</v>
      </c>
      <c r="N5295" t="str">
        <f t="shared" si="229"/>
        <v>SW</v>
      </c>
      <c r="O5295" s="1" t="s">
        <v>25</v>
      </c>
      <c r="P5295" s="3" t="s">
        <v>25</v>
      </c>
      <c r="Q5295" s="37">
        <v>1.8479598225418341</v>
      </c>
      <c r="R5295" t="str">
        <f t="shared" si="230"/>
        <v>mmol/mol</v>
      </c>
      <c r="S5295" s="13">
        <f t="shared" si="231"/>
        <v>-1.8861479168686495</v>
      </c>
    </row>
    <row r="5296" spans="1:19">
      <c r="A5296" s="18" t="s">
        <v>5486</v>
      </c>
      <c r="B5296" s="1" t="s">
        <v>5464</v>
      </c>
      <c r="C5296" s="1" t="s">
        <v>5491</v>
      </c>
      <c r="D5296" s="1" t="s">
        <v>5492</v>
      </c>
      <c r="E5296" s="1" t="s">
        <v>25</v>
      </c>
      <c r="F5296">
        <v>540</v>
      </c>
      <c r="G5296">
        <v>540</v>
      </c>
      <c r="H5296">
        <v>11.3</v>
      </c>
      <c r="I5296" s="1" t="s">
        <v>1528</v>
      </c>
      <c r="J5296" s="1" t="s">
        <v>25</v>
      </c>
      <c r="K5296" s="1" t="s">
        <v>25</v>
      </c>
      <c r="L5296">
        <v>-1.6769856892714705</v>
      </c>
      <c r="M5296" t="str">
        <f t="shared" ref="M5296:M5317" si="232">IF(L5296="Na","Na","44/40")</f>
        <v>44/40</v>
      </c>
      <c r="N5296" t="str">
        <f t="shared" ref="N5296:N5317" si="233">IF(M5296="Na","Na","SW")</f>
        <v>SW</v>
      </c>
      <c r="O5296" s="1" t="s">
        <v>25</v>
      </c>
      <c r="P5296" s="3" t="s">
        <v>25</v>
      </c>
      <c r="Q5296" s="37">
        <v>0.14598987234071614</v>
      </c>
      <c r="R5296" t="str">
        <f t="shared" si="230"/>
        <v>mmol/mol</v>
      </c>
      <c r="S5296" s="13">
        <f t="shared" si="231"/>
        <v>-1.6769856892714705</v>
      </c>
    </row>
    <row r="5297" spans="1:19">
      <c r="A5297" s="18" t="s">
        <v>5486</v>
      </c>
      <c r="B5297" s="1" t="s">
        <v>5465</v>
      </c>
      <c r="C5297" s="1" t="s">
        <v>5491</v>
      </c>
      <c r="D5297" s="1" t="s">
        <v>5492</v>
      </c>
      <c r="E5297" s="1" t="s">
        <v>25</v>
      </c>
      <c r="F5297">
        <v>540</v>
      </c>
      <c r="G5297">
        <v>540</v>
      </c>
      <c r="H5297">
        <v>13</v>
      </c>
      <c r="I5297" s="1" t="s">
        <v>1528</v>
      </c>
      <c r="J5297" s="1" t="s">
        <v>25</v>
      </c>
      <c r="K5297" s="1" t="s">
        <v>25</v>
      </c>
      <c r="L5297">
        <v>-1.2707816840514168</v>
      </c>
      <c r="M5297" t="str">
        <f t="shared" si="232"/>
        <v>44/40</v>
      </c>
      <c r="N5297" t="str">
        <f t="shared" si="233"/>
        <v>SW</v>
      </c>
      <c r="O5297" s="1" t="s">
        <v>25</v>
      </c>
      <c r="P5297" s="3" t="s">
        <v>25</v>
      </c>
      <c r="Q5297" s="37">
        <v>0.60539501135237417</v>
      </c>
      <c r="R5297" t="str">
        <f t="shared" si="230"/>
        <v>mmol/mol</v>
      </c>
      <c r="S5297" s="13">
        <f t="shared" si="231"/>
        <v>-1.2707816840514168</v>
      </c>
    </row>
    <row r="5298" spans="1:19">
      <c r="A5298" s="18" t="s">
        <v>5486</v>
      </c>
      <c r="B5298" s="1" t="s">
        <v>5466</v>
      </c>
      <c r="C5298" s="1" t="s">
        <v>5491</v>
      </c>
      <c r="D5298" s="1" t="s">
        <v>5492</v>
      </c>
      <c r="E5298" s="1" t="s">
        <v>25</v>
      </c>
      <c r="F5298">
        <v>540</v>
      </c>
      <c r="G5298">
        <v>540</v>
      </c>
      <c r="H5298">
        <v>14.5</v>
      </c>
      <c r="I5298" s="1" t="s">
        <v>1528</v>
      </c>
      <c r="J5298" s="1" t="s">
        <v>25</v>
      </c>
      <c r="K5298" s="1" t="s">
        <v>25</v>
      </c>
      <c r="L5298">
        <v>-1.3557857818548429</v>
      </c>
      <c r="M5298" t="str">
        <f t="shared" si="232"/>
        <v>44/40</v>
      </c>
      <c r="N5298" t="str">
        <f t="shared" si="233"/>
        <v>SW</v>
      </c>
      <c r="O5298" s="1" t="s">
        <v>25</v>
      </c>
      <c r="P5298" s="3" t="s">
        <v>25</v>
      </c>
      <c r="Q5298" s="37">
        <v>1.2169663406454316</v>
      </c>
      <c r="R5298" t="str">
        <f t="shared" si="230"/>
        <v>mmol/mol</v>
      </c>
      <c r="S5298" s="13">
        <f t="shared" si="231"/>
        <v>-1.3557857818548429</v>
      </c>
    </row>
    <row r="5299" spans="1:19">
      <c r="A5299" s="18" t="s">
        <v>5486</v>
      </c>
      <c r="B5299" s="1" t="s">
        <v>5467</v>
      </c>
      <c r="C5299" s="1" t="s">
        <v>5491</v>
      </c>
      <c r="D5299" s="1" t="s">
        <v>5492</v>
      </c>
      <c r="E5299" s="1" t="s">
        <v>25</v>
      </c>
      <c r="F5299">
        <v>540</v>
      </c>
      <c r="G5299">
        <v>540</v>
      </c>
      <c r="H5299">
        <v>16</v>
      </c>
      <c r="I5299" s="1" t="s">
        <v>1528</v>
      </c>
      <c r="J5299" s="1" t="s">
        <v>25</v>
      </c>
      <c r="K5299" s="1" t="s">
        <v>25</v>
      </c>
      <c r="L5299">
        <v>-1.395077385222959</v>
      </c>
      <c r="M5299" t="str">
        <f t="shared" si="232"/>
        <v>44/40</v>
      </c>
      <c r="N5299" t="str">
        <f t="shared" si="233"/>
        <v>SW</v>
      </c>
      <c r="O5299" s="1" t="s">
        <v>25</v>
      </c>
      <c r="P5299" s="3" t="s">
        <v>25</v>
      </c>
      <c r="Q5299" s="37">
        <v>9.3873358936841039E-2</v>
      </c>
      <c r="R5299" t="str">
        <f t="shared" si="230"/>
        <v>mmol/mol</v>
      </c>
      <c r="S5299" s="13">
        <f t="shared" si="231"/>
        <v>-1.395077385222959</v>
      </c>
    </row>
    <row r="5300" spans="1:19">
      <c r="A5300" s="18" t="s">
        <v>5486</v>
      </c>
      <c r="B5300" s="1" t="s">
        <v>5468</v>
      </c>
      <c r="C5300" s="1" t="s">
        <v>5491</v>
      </c>
      <c r="D5300" s="1" t="s">
        <v>5492</v>
      </c>
      <c r="E5300" s="1" t="s">
        <v>25</v>
      </c>
      <c r="F5300">
        <v>540</v>
      </c>
      <c r="G5300">
        <v>540</v>
      </c>
      <c r="H5300">
        <v>17.5</v>
      </c>
      <c r="I5300" s="1" t="s">
        <v>1528</v>
      </c>
      <c r="J5300" s="1" t="s">
        <v>25</v>
      </c>
      <c r="K5300" s="1" t="s">
        <v>25</v>
      </c>
      <c r="L5300">
        <v>-1.4303589973166217</v>
      </c>
      <c r="M5300" t="str">
        <f t="shared" si="232"/>
        <v>44/40</v>
      </c>
      <c r="N5300" t="str">
        <f t="shared" si="233"/>
        <v>SW</v>
      </c>
      <c r="O5300" s="1" t="s">
        <v>25</v>
      </c>
      <c r="P5300" s="3" t="s">
        <v>25</v>
      </c>
      <c r="Q5300" s="37">
        <v>0.5672141382817798</v>
      </c>
      <c r="R5300" t="str">
        <f t="shared" si="230"/>
        <v>mmol/mol</v>
      </c>
      <c r="S5300" s="13">
        <f t="shared" si="231"/>
        <v>-1.4303589973166217</v>
      </c>
    </row>
    <row r="5301" spans="1:19">
      <c r="A5301" s="18" t="s">
        <v>5486</v>
      </c>
      <c r="B5301" s="1" t="s">
        <v>5469</v>
      </c>
      <c r="C5301" s="1" t="s">
        <v>5491</v>
      </c>
      <c r="D5301" s="1" t="s">
        <v>5492</v>
      </c>
      <c r="E5301" s="1" t="s">
        <v>25</v>
      </c>
      <c r="F5301">
        <v>540</v>
      </c>
      <c r="G5301">
        <v>540</v>
      </c>
      <c r="H5301">
        <v>19</v>
      </c>
      <c r="I5301" s="1" t="s">
        <v>1528</v>
      </c>
      <c r="J5301" s="1" t="s">
        <v>25</v>
      </c>
      <c r="K5301" s="1" t="s">
        <v>25</v>
      </c>
      <c r="L5301">
        <v>-1.767781416486147</v>
      </c>
      <c r="M5301" t="str">
        <f t="shared" si="232"/>
        <v>44/40</v>
      </c>
      <c r="N5301" t="str">
        <f t="shared" si="233"/>
        <v>SW</v>
      </c>
      <c r="O5301" s="1" t="s">
        <v>25</v>
      </c>
      <c r="P5301" s="3" t="s">
        <v>25</v>
      </c>
      <c r="Q5301" s="37">
        <v>9.7672399234705054E-2</v>
      </c>
      <c r="R5301" t="str">
        <f t="shared" si="230"/>
        <v>mmol/mol</v>
      </c>
      <c r="S5301" s="13">
        <f t="shared" si="231"/>
        <v>-1.767781416486147</v>
      </c>
    </row>
    <row r="5302" spans="1:19">
      <c r="A5302" s="18" t="s">
        <v>5486</v>
      </c>
      <c r="B5302" s="1" t="s">
        <v>5470</v>
      </c>
      <c r="C5302" s="1" t="s">
        <v>5491</v>
      </c>
      <c r="D5302" s="1" t="s">
        <v>5492</v>
      </c>
      <c r="E5302" s="1" t="s">
        <v>25</v>
      </c>
      <c r="F5302">
        <v>540</v>
      </c>
      <c r="G5302">
        <v>540</v>
      </c>
      <c r="H5302">
        <v>20.5</v>
      </c>
      <c r="I5302" s="1" t="s">
        <v>1528</v>
      </c>
      <c r="J5302" s="1" t="s">
        <v>25</v>
      </c>
      <c r="K5302" s="1" t="s">
        <v>25</v>
      </c>
      <c r="L5302">
        <v>-1.4678622775234933</v>
      </c>
      <c r="M5302" t="str">
        <f t="shared" si="232"/>
        <v>44/40</v>
      </c>
      <c r="N5302" t="str">
        <f t="shared" si="233"/>
        <v>SW</v>
      </c>
      <c r="O5302" s="1" t="s">
        <v>25</v>
      </c>
      <c r="P5302" s="3" t="s">
        <v>25</v>
      </c>
      <c r="Q5302" s="37">
        <v>0.29413190082873153</v>
      </c>
      <c r="R5302" t="str">
        <f t="shared" si="230"/>
        <v>mmol/mol</v>
      </c>
      <c r="S5302" s="13">
        <f t="shared" si="231"/>
        <v>-1.4678622775234933</v>
      </c>
    </row>
    <row r="5303" spans="1:19">
      <c r="A5303" s="18" t="s">
        <v>5486</v>
      </c>
      <c r="B5303" s="1" t="s">
        <v>5471</v>
      </c>
      <c r="C5303" s="1" t="s">
        <v>5491</v>
      </c>
      <c r="D5303" s="1" t="s">
        <v>5492</v>
      </c>
      <c r="E5303" s="1" t="s">
        <v>25</v>
      </c>
      <c r="F5303">
        <v>540</v>
      </c>
      <c r="G5303">
        <v>540</v>
      </c>
      <c r="H5303">
        <v>22</v>
      </c>
      <c r="I5303" s="1" t="s">
        <v>1528</v>
      </c>
      <c r="J5303" s="1" t="s">
        <v>25</v>
      </c>
      <c r="K5303" s="1" t="s">
        <v>25</v>
      </c>
      <c r="L5303">
        <v>-1.2365425235286358</v>
      </c>
      <c r="M5303" t="str">
        <f t="shared" si="232"/>
        <v>44/40</v>
      </c>
      <c r="N5303" t="str">
        <f t="shared" si="233"/>
        <v>SW</v>
      </c>
      <c r="O5303" s="1" t="s">
        <v>25</v>
      </c>
      <c r="P5303" s="3" t="s">
        <v>25</v>
      </c>
      <c r="Q5303" s="37">
        <v>1.6243924935249197</v>
      </c>
      <c r="R5303" t="str">
        <f t="shared" si="230"/>
        <v>mmol/mol</v>
      </c>
      <c r="S5303" s="13">
        <f t="shared" si="231"/>
        <v>-1.2365425235286358</v>
      </c>
    </row>
    <row r="5304" spans="1:19">
      <c r="A5304" s="18" t="s">
        <v>5486</v>
      </c>
      <c r="B5304" s="1" t="s">
        <v>5472</v>
      </c>
      <c r="C5304" s="1" t="s">
        <v>5491</v>
      </c>
      <c r="D5304" s="1" t="s">
        <v>5492</v>
      </c>
      <c r="E5304" s="1" t="s">
        <v>25</v>
      </c>
      <c r="F5304">
        <v>540</v>
      </c>
      <c r="G5304">
        <v>540</v>
      </c>
      <c r="H5304">
        <v>23.5</v>
      </c>
      <c r="I5304" s="1" t="s">
        <v>1528</v>
      </c>
      <c r="J5304" s="1" t="s">
        <v>25</v>
      </c>
      <c r="K5304" s="1" t="s">
        <v>25</v>
      </c>
      <c r="L5304">
        <v>-1.2493871905963849</v>
      </c>
      <c r="M5304" t="str">
        <f t="shared" si="232"/>
        <v>44/40</v>
      </c>
      <c r="N5304" t="str">
        <f t="shared" si="233"/>
        <v>SW</v>
      </c>
      <c r="O5304" s="1" t="s">
        <v>25</v>
      </c>
      <c r="P5304" s="3" t="s">
        <v>25</v>
      </c>
      <c r="Q5304" s="37">
        <v>1.4184497092712034</v>
      </c>
      <c r="R5304" t="str">
        <f t="shared" si="230"/>
        <v>mmol/mol</v>
      </c>
      <c r="S5304" s="13">
        <f t="shared" si="231"/>
        <v>-1.2493871905963849</v>
      </c>
    </row>
    <row r="5305" spans="1:19">
      <c r="A5305" s="18" t="s">
        <v>5486</v>
      </c>
      <c r="B5305" s="1" t="s">
        <v>5473</v>
      </c>
      <c r="C5305" s="1" t="s">
        <v>5491</v>
      </c>
      <c r="D5305" s="1" t="s">
        <v>5492</v>
      </c>
      <c r="E5305" s="1" t="s">
        <v>25</v>
      </c>
      <c r="F5305">
        <v>540</v>
      </c>
      <c r="G5305">
        <v>540</v>
      </c>
      <c r="H5305">
        <v>25</v>
      </c>
      <c r="I5305" s="1" t="s">
        <v>1528</v>
      </c>
      <c r="J5305" s="1" t="s">
        <v>25</v>
      </c>
      <c r="K5305" s="1" t="s">
        <v>25</v>
      </c>
      <c r="L5305">
        <v>-1.4931773654676821</v>
      </c>
      <c r="M5305" t="str">
        <f t="shared" si="232"/>
        <v>44/40</v>
      </c>
      <c r="N5305" t="str">
        <f t="shared" si="233"/>
        <v>SW</v>
      </c>
      <c r="O5305" s="1" t="s">
        <v>25</v>
      </c>
      <c r="P5305" s="3" t="s">
        <v>25</v>
      </c>
      <c r="Q5305" s="37">
        <v>1.3257614960594959</v>
      </c>
      <c r="R5305" t="str">
        <f t="shared" si="230"/>
        <v>mmol/mol</v>
      </c>
      <c r="S5305" s="13">
        <f t="shared" si="231"/>
        <v>-1.4931773654676821</v>
      </c>
    </row>
    <row r="5306" spans="1:19">
      <c r="A5306" s="18" t="s">
        <v>5486</v>
      </c>
      <c r="B5306" s="1" t="s">
        <v>5474</v>
      </c>
      <c r="C5306" s="1" t="s">
        <v>5491</v>
      </c>
      <c r="D5306" s="1" t="s">
        <v>5492</v>
      </c>
      <c r="E5306" s="1" t="s">
        <v>25</v>
      </c>
      <c r="F5306">
        <v>540</v>
      </c>
      <c r="G5306">
        <v>540</v>
      </c>
      <c r="H5306">
        <v>26.3</v>
      </c>
      <c r="I5306" s="1" t="s">
        <v>1528</v>
      </c>
      <c r="J5306" s="1" t="s">
        <v>25</v>
      </c>
      <c r="K5306" s="1" t="s">
        <v>25</v>
      </c>
      <c r="L5306">
        <v>-1.1397334276362414</v>
      </c>
      <c r="M5306" t="str">
        <f t="shared" si="232"/>
        <v>44/40</v>
      </c>
      <c r="N5306" t="str">
        <f t="shared" si="233"/>
        <v>SW</v>
      </c>
      <c r="O5306" s="1" t="s">
        <v>25</v>
      </c>
      <c r="P5306" s="3" t="s">
        <v>25</v>
      </c>
      <c r="Q5306" s="37">
        <v>0.14978974586367211</v>
      </c>
      <c r="R5306" t="str">
        <f t="shared" si="230"/>
        <v>mmol/mol</v>
      </c>
      <c r="S5306" s="13">
        <f t="shared" si="231"/>
        <v>-1.1397334276362414</v>
      </c>
    </row>
    <row r="5307" spans="1:19">
      <c r="A5307" s="18" t="s">
        <v>5486</v>
      </c>
      <c r="B5307" s="1" t="s">
        <v>5475</v>
      </c>
      <c r="C5307" s="1" t="s">
        <v>5491</v>
      </c>
      <c r="D5307" s="1" t="s">
        <v>5492</v>
      </c>
      <c r="E5307" s="1" t="s">
        <v>25</v>
      </c>
      <c r="F5307">
        <v>540</v>
      </c>
      <c r="G5307">
        <v>540</v>
      </c>
      <c r="H5307">
        <v>28</v>
      </c>
      <c r="I5307" s="1" t="s">
        <v>1528</v>
      </c>
      <c r="J5307" s="1" t="s">
        <v>25</v>
      </c>
      <c r="K5307" s="1" t="s">
        <v>25</v>
      </c>
      <c r="L5307">
        <v>-1.067471584587673</v>
      </c>
      <c r="M5307" t="str">
        <f t="shared" si="232"/>
        <v>44/40</v>
      </c>
      <c r="N5307" t="str">
        <f t="shared" si="233"/>
        <v>SW</v>
      </c>
      <c r="O5307" s="1" t="s">
        <v>25</v>
      </c>
      <c r="P5307" s="3" t="s">
        <v>25</v>
      </c>
      <c r="Q5307" s="37">
        <v>9.3469441951859633E-2</v>
      </c>
      <c r="R5307" t="str">
        <f t="shared" si="230"/>
        <v>mmol/mol</v>
      </c>
      <c r="S5307" s="13">
        <f t="shared" si="231"/>
        <v>-1.067471584587673</v>
      </c>
    </row>
    <row r="5308" spans="1:19">
      <c r="A5308" s="18" t="s">
        <v>5486</v>
      </c>
      <c r="B5308" s="1" t="s">
        <v>5476</v>
      </c>
      <c r="C5308" s="1" t="s">
        <v>5491</v>
      </c>
      <c r="D5308" s="1" t="s">
        <v>5492</v>
      </c>
      <c r="E5308" s="1" t="s">
        <v>25</v>
      </c>
      <c r="F5308">
        <v>540</v>
      </c>
      <c r="G5308">
        <v>540</v>
      </c>
      <c r="H5308">
        <v>29</v>
      </c>
      <c r="I5308" s="1" t="s">
        <v>1528</v>
      </c>
      <c r="J5308" s="1" t="s">
        <v>25</v>
      </c>
      <c r="K5308" s="1" t="s">
        <v>25</v>
      </c>
      <c r="L5308">
        <v>-1.1367783395015123</v>
      </c>
      <c r="M5308" t="str">
        <f t="shared" si="232"/>
        <v>44/40</v>
      </c>
      <c r="N5308" t="str">
        <f t="shared" si="233"/>
        <v>SW</v>
      </c>
      <c r="O5308" s="1" t="s">
        <v>25</v>
      </c>
      <c r="P5308" s="3" t="s">
        <v>25</v>
      </c>
      <c r="Q5308" s="37">
        <v>9.9767854239439638E-2</v>
      </c>
      <c r="R5308" t="str">
        <f t="shared" si="230"/>
        <v>mmol/mol</v>
      </c>
      <c r="S5308" s="13">
        <f t="shared" si="231"/>
        <v>-1.1367783395015123</v>
      </c>
    </row>
    <row r="5309" spans="1:19">
      <c r="A5309" s="18" t="s">
        <v>5486</v>
      </c>
      <c r="B5309" s="1" t="s">
        <v>5477</v>
      </c>
      <c r="C5309" s="1" t="s">
        <v>5491</v>
      </c>
      <c r="D5309" s="1" t="s">
        <v>5492</v>
      </c>
      <c r="E5309" s="1" t="s">
        <v>25</v>
      </c>
      <c r="F5309">
        <v>540</v>
      </c>
      <c r="G5309">
        <v>540</v>
      </c>
      <c r="H5309">
        <v>31</v>
      </c>
      <c r="I5309" s="1" t="s">
        <v>1528</v>
      </c>
      <c r="J5309" s="1" t="s">
        <v>25</v>
      </c>
      <c r="K5309" s="1" t="s">
        <v>25</v>
      </c>
      <c r="L5309">
        <v>-1.2740230157542081</v>
      </c>
      <c r="M5309" t="str">
        <f t="shared" si="232"/>
        <v>44/40</v>
      </c>
      <c r="N5309" t="str">
        <f t="shared" si="233"/>
        <v>SW</v>
      </c>
      <c r="O5309" s="1" t="s">
        <v>25</v>
      </c>
      <c r="P5309" s="3" t="s">
        <v>25</v>
      </c>
      <c r="Q5309" s="37">
        <v>8.7711809988324493E-2</v>
      </c>
      <c r="R5309" t="str">
        <f t="shared" si="230"/>
        <v>mmol/mol</v>
      </c>
      <c r="S5309" s="13">
        <f t="shared" si="231"/>
        <v>-1.2740230157542081</v>
      </c>
    </row>
    <row r="5310" spans="1:19">
      <c r="A5310" s="18" t="s">
        <v>5486</v>
      </c>
      <c r="B5310" s="1" t="s">
        <v>5478</v>
      </c>
      <c r="C5310" s="1" t="s">
        <v>5491</v>
      </c>
      <c r="D5310" s="1" t="s">
        <v>5492</v>
      </c>
      <c r="E5310" s="1" t="s">
        <v>25</v>
      </c>
      <c r="F5310">
        <v>540</v>
      </c>
      <c r="G5310">
        <v>540</v>
      </c>
      <c r="H5310">
        <v>32.5</v>
      </c>
      <c r="I5310" s="1" t="s">
        <v>1528</v>
      </c>
      <c r="J5310" s="1" t="s">
        <v>25</v>
      </c>
      <c r="K5310" s="1" t="s">
        <v>25</v>
      </c>
      <c r="L5310">
        <v>-1.2030576753000815</v>
      </c>
      <c r="M5310" t="str">
        <f t="shared" si="232"/>
        <v>44/40</v>
      </c>
      <c r="N5310" t="str">
        <f t="shared" si="233"/>
        <v>SW</v>
      </c>
      <c r="O5310" s="1" t="s">
        <v>25</v>
      </c>
      <c r="P5310" s="3" t="s">
        <v>25</v>
      </c>
      <c r="Q5310" s="37">
        <v>0.11337244853460521</v>
      </c>
      <c r="R5310" t="str">
        <f t="shared" si="230"/>
        <v>mmol/mol</v>
      </c>
      <c r="S5310" s="13">
        <f t="shared" si="231"/>
        <v>-1.2030576753000815</v>
      </c>
    </row>
    <row r="5311" spans="1:19">
      <c r="A5311" s="18" t="s">
        <v>5486</v>
      </c>
      <c r="B5311" s="1" t="s">
        <v>5479</v>
      </c>
      <c r="C5311" s="1" t="s">
        <v>5491</v>
      </c>
      <c r="D5311" s="1" t="s">
        <v>5492</v>
      </c>
      <c r="E5311" s="1" t="s">
        <v>25</v>
      </c>
      <c r="F5311">
        <v>540</v>
      </c>
      <c r="G5311">
        <v>540</v>
      </c>
      <c r="H5311">
        <v>34</v>
      </c>
      <c r="I5311" s="1" t="s">
        <v>1528</v>
      </c>
      <c r="J5311" s="1" t="s">
        <v>25</v>
      </c>
      <c r="K5311" s="1" t="s">
        <v>25</v>
      </c>
      <c r="L5311">
        <v>-1.0085528221495192</v>
      </c>
      <c r="M5311" t="str">
        <f t="shared" si="232"/>
        <v>44/40</v>
      </c>
      <c r="N5311" t="str">
        <f t="shared" si="233"/>
        <v>SW</v>
      </c>
      <c r="O5311" s="1" t="s">
        <v>25</v>
      </c>
      <c r="P5311" s="3" t="s">
        <v>25</v>
      </c>
      <c r="Q5311" s="37">
        <v>8.3271471536125186E-2</v>
      </c>
      <c r="R5311" t="str">
        <f t="shared" si="230"/>
        <v>mmol/mol</v>
      </c>
      <c r="S5311" s="13">
        <f t="shared" si="231"/>
        <v>-1.0085528221495192</v>
      </c>
    </row>
    <row r="5312" spans="1:19">
      <c r="A5312" s="18" t="s">
        <v>5486</v>
      </c>
      <c r="B5312" s="1" t="s">
        <v>5480</v>
      </c>
      <c r="C5312" s="1" t="s">
        <v>5491</v>
      </c>
      <c r="D5312" s="1" t="s">
        <v>5492</v>
      </c>
      <c r="E5312" s="1" t="s">
        <v>25</v>
      </c>
      <c r="F5312">
        <v>540</v>
      </c>
      <c r="G5312">
        <v>540</v>
      </c>
      <c r="H5312">
        <v>36</v>
      </c>
      <c r="I5312" s="1" t="s">
        <v>1528</v>
      </c>
      <c r="J5312" s="1" t="s">
        <v>25</v>
      </c>
      <c r="K5312" s="1" t="s">
        <v>25</v>
      </c>
      <c r="L5312">
        <v>-1.1351313277060071</v>
      </c>
      <c r="M5312" t="str">
        <f t="shared" si="232"/>
        <v>44/40</v>
      </c>
      <c r="N5312" t="str">
        <f t="shared" si="233"/>
        <v>SW</v>
      </c>
      <c r="O5312" s="1" t="s">
        <v>25</v>
      </c>
      <c r="P5312" s="3" t="s">
        <v>25</v>
      </c>
      <c r="Q5312" s="37">
        <v>8.3584138675853722E-2</v>
      </c>
      <c r="R5312" t="str">
        <f t="shared" si="230"/>
        <v>mmol/mol</v>
      </c>
      <c r="S5312" s="13">
        <f t="shared" si="231"/>
        <v>-1.1351313277060071</v>
      </c>
    </row>
    <row r="5313" spans="1:19">
      <c r="A5313" s="18" t="s">
        <v>5486</v>
      </c>
      <c r="B5313" s="1" t="s">
        <v>5481</v>
      </c>
      <c r="C5313" s="1" t="s">
        <v>5491</v>
      </c>
      <c r="D5313" s="1" t="s">
        <v>5492</v>
      </c>
      <c r="E5313" s="1" t="s">
        <v>25</v>
      </c>
      <c r="F5313">
        <v>540</v>
      </c>
      <c r="G5313">
        <v>540</v>
      </c>
      <c r="H5313">
        <v>38</v>
      </c>
      <c r="I5313" s="1" t="s">
        <v>1528</v>
      </c>
      <c r="J5313" s="1" t="s">
        <v>25</v>
      </c>
      <c r="K5313" s="1" t="s">
        <v>25</v>
      </c>
      <c r="L5313">
        <v>-0.95457858779841576</v>
      </c>
      <c r="M5313" t="str">
        <f t="shared" si="232"/>
        <v>44/40</v>
      </c>
      <c r="N5313" t="str">
        <f t="shared" si="233"/>
        <v>SW</v>
      </c>
      <c r="O5313" s="1" t="s">
        <v>25</v>
      </c>
      <c r="P5313" s="3" t="s">
        <v>25</v>
      </c>
      <c r="Q5313" s="37">
        <v>0.16089889484777323</v>
      </c>
      <c r="R5313" t="str">
        <f t="shared" si="230"/>
        <v>mmol/mol</v>
      </c>
      <c r="S5313" s="13">
        <f t="shared" si="231"/>
        <v>-0.95457858779841576</v>
      </c>
    </row>
    <row r="5314" spans="1:19">
      <c r="A5314" s="18" t="s">
        <v>5486</v>
      </c>
      <c r="B5314" s="1" t="s">
        <v>5482</v>
      </c>
      <c r="C5314" s="1" t="s">
        <v>5491</v>
      </c>
      <c r="D5314" s="1" t="s">
        <v>5492</v>
      </c>
      <c r="E5314" s="1" t="s">
        <v>25</v>
      </c>
      <c r="F5314">
        <v>540</v>
      </c>
      <c r="G5314">
        <v>540</v>
      </c>
      <c r="H5314">
        <v>40</v>
      </c>
      <c r="I5314" s="1" t="s">
        <v>1528</v>
      </c>
      <c r="J5314" s="1" t="s">
        <v>25</v>
      </c>
      <c r="K5314" s="1" t="s">
        <v>25</v>
      </c>
      <c r="L5314">
        <v>-1.1161572066555352</v>
      </c>
      <c r="M5314" t="str">
        <f t="shared" si="232"/>
        <v>44/40</v>
      </c>
      <c r="N5314" t="str">
        <f t="shared" si="233"/>
        <v>SW</v>
      </c>
      <c r="O5314" s="1" t="s">
        <v>25</v>
      </c>
      <c r="P5314" s="3" t="s">
        <v>25</v>
      </c>
      <c r="Q5314" s="37">
        <v>8.8160024410285046E-2</v>
      </c>
      <c r="R5314" t="str">
        <f t="shared" si="230"/>
        <v>mmol/mol</v>
      </c>
      <c r="S5314" s="13">
        <f t="shared" si="231"/>
        <v>-1.1161572066555352</v>
      </c>
    </row>
    <row r="5315" spans="1:19">
      <c r="A5315" s="18" t="s">
        <v>5486</v>
      </c>
      <c r="B5315" s="1" t="s">
        <v>5483</v>
      </c>
      <c r="C5315" s="1" t="s">
        <v>5491</v>
      </c>
      <c r="D5315" s="1" t="s">
        <v>5492</v>
      </c>
      <c r="E5315" s="1" t="s">
        <v>25</v>
      </c>
      <c r="F5315">
        <v>540</v>
      </c>
      <c r="G5315">
        <v>540</v>
      </c>
      <c r="H5315">
        <v>43.5</v>
      </c>
      <c r="I5315" s="1" t="s">
        <v>1528</v>
      </c>
      <c r="J5315" s="1" t="s">
        <v>25</v>
      </c>
      <c r="K5315" s="1" t="s">
        <v>25</v>
      </c>
      <c r="L5315">
        <v>-1.1797275583921685</v>
      </c>
      <c r="M5315" t="str">
        <f t="shared" si="232"/>
        <v>44/40</v>
      </c>
      <c r="N5315" t="str">
        <f t="shared" si="233"/>
        <v>SW</v>
      </c>
      <c r="O5315" s="1" t="s">
        <v>25</v>
      </c>
      <c r="P5315" s="3" t="s">
        <v>25</v>
      </c>
      <c r="Q5315" s="37">
        <v>8.5444574270623116E-2</v>
      </c>
      <c r="R5315" t="str">
        <f t="shared" si="230"/>
        <v>mmol/mol</v>
      </c>
      <c r="S5315" s="13">
        <f t="shared" si="231"/>
        <v>-1.1797275583921685</v>
      </c>
    </row>
    <row r="5316" spans="1:19">
      <c r="A5316" s="18" t="s">
        <v>5486</v>
      </c>
      <c r="B5316" s="1" t="s">
        <v>5484</v>
      </c>
      <c r="C5316" s="1" t="s">
        <v>5491</v>
      </c>
      <c r="D5316" s="1" t="s">
        <v>5492</v>
      </c>
      <c r="E5316" s="1" t="s">
        <v>25</v>
      </c>
      <c r="F5316">
        <v>540</v>
      </c>
      <c r="G5316">
        <v>540</v>
      </c>
      <c r="H5316">
        <v>44.8</v>
      </c>
      <c r="I5316" s="1" t="s">
        <v>1528</v>
      </c>
      <c r="J5316" s="1" t="s">
        <v>25</v>
      </c>
      <c r="K5316" s="1" t="s">
        <v>25</v>
      </c>
      <c r="L5316">
        <v>-1.2367015679971485</v>
      </c>
      <c r="M5316" t="str">
        <f t="shared" si="232"/>
        <v>44/40</v>
      </c>
      <c r="N5316" t="str">
        <f t="shared" si="233"/>
        <v>SW</v>
      </c>
      <c r="O5316" s="1" t="s">
        <v>25</v>
      </c>
      <c r="P5316" s="3" t="s">
        <v>25</v>
      </c>
      <c r="Q5316" s="37">
        <v>9.7873183564421776E-2</v>
      </c>
      <c r="R5316" t="str">
        <f t="shared" si="230"/>
        <v>mmol/mol</v>
      </c>
      <c r="S5316" s="13">
        <f t="shared" si="231"/>
        <v>-1.2367015679971485</v>
      </c>
    </row>
    <row r="5317" spans="1:19">
      <c r="A5317" s="18" t="s">
        <v>5486</v>
      </c>
      <c r="B5317" s="1" t="s">
        <v>5485</v>
      </c>
      <c r="C5317" s="1" t="s">
        <v>5491</v>
      </c>
      <c r="D5317" s="1" t="s">
        <v>5492</v>
      </c>
      <c r="E5317" s="1" t="s">
        <v>25</v>
      </c>
      <c r="F5317">
        <v>540</v>
      </c>
      <c r="G5317">
        <v>540</v>
      </c>
      <c r="H5317">
        <v>42</v>
      </c>
      <c r="I5317" s="1" t="s">
        <v>1528</v>
      </c>
      <c r="J5317" s="1" t="s">
        <v>25</v>
      </c>
      <c r="K5317" s="1" t="s">
        <v>25</v>
      </c>
      <c r="L5317">
        <v>-1.0315766549164911</v>
      </c>
      <c r="M5317" t="str">
        <f t="shared" si="232"/>
        <v>44/40</v>
      </c>
      <c r="N5317" t="str">
        <f t="shared" si="233"/>
        <v>SW</v>
      </c>
      <c r="O5317" s="1" t="s">
        <v>25</v>
      </c>
      <c r="P5317" s="3" t="s">
        <v>25</v>
      </c>
      <c r="Q5317" s="37">
        <v>8.6613293204447023E-2</v>
      </c>
      <c r="R5317" t="str">
        <f t="shared" si="230"/>
        <v>mmol/mol</v>
      </c>
      <c r="S5317" s="13">
        <f t="shared" si="231"/>
        <v>-1.0315766549164911</v>
      </c>
    </row>
    <row r="5318" spans="1:19" s="4" customFormat="1">
      <c r="B5318" s="5"/>
      <c r="C5318" s="5"/>
      <c r="D5318" s="5"/>
      <c r="E5318" s="5"/>
      <c r="I5318" s="5"/>
      <c r="J5318" s="5"/>
      <c r="M5318" s="5"/>
      <c r="O5318" s="5"/>
      <c r="P5318" s="6"/>
      <c r="Q5318" s="38"/>
      <c r="S5318" s="24"/>
    </row>
    <row r="5319" spans="1:19">
      <c r="A5319" s="18" t="s">
        <v>5496</v>
      </c>
      <c r="B5319" s="1" t="s">
        <v>5497</v>
      </c>
      <c r="C5319" s="1" t="s">
        <v>5498</v>
      </c>
      <c r="D5319" s="1" t="s">
        <v>5499</v>
      </c>
      <c r="E5319" s="1" t="s">
        <v>5500</v>
      </c>
      <c r="F5319">
        <f>VLOOKUP(E5319,Legends!$G$2:$I$100,2,FALSE)</f>
        <v>443.1</v>
      </c>
      <c r="G5319">
        <f>VLOOKUP(E5319,Legends!$G$2:$I$100,3,FALSE)</f>
        <v>486.65</v>
      </c>
      <c r="H5319">
        <v>6</v>
      </c>
      <c r="I5319" s="1" t="s">
        <v>1528</v>
      </c>
      <c r="J5319" s="1" t="s">
        <v>5501</v>
      </c>
      <c r="K5319" s="1" t="s">
        <v>25</v>
      </c>
      <c r="L5319">
        <v>-1.46</v>
      </c>
      <c r="M5319" s="1" t="s">
        <v>23</v>
      </c>
      <c r="N5319" s="1" t="s">
        <v>230</v>
      </c>
      <c r="O5319" s="1" t="s">
        <v>25</v>
      </c>
      <c r="P5319" s="3" t="s">
        <v>25</v>
      </c>
      <c r="Q5319" s="37">
        <v>0.22</v>
      </c>
      <c r="R5319" s="1" t="s">
        <v>231</v>
      </c>
      <c r="S5319" s="13">
        <f t="shared" si="231"/>
        <v>-1.46</v>
      </c>
    </row>
    <row r="5320" spans="1:19">
      <c r="A5320" s="18" t="s">
        <v>5496</v>
      </c>
      <c r="B5320" s="1" t="s">
        <v>5502</v>
      </c>
      <c r="C5320" s="1" t="s">
        <v>5498</v>
      </c>
      <c r="D5320" s="1" t="s">
        <v>5499</v>
      </c>
      <c r="E5320" s="1" t="s">
        <v>5500</v>
      </c>
      <c r="F5320">
        <f>VLOOKUP(E5320,Legends!$G$2:$I$100,2,FALSE)</f>
        <v>443.1</v>
      </c>
      <c r="G5320">
        <f>VLOOKUP(E5320,Legends!$G$2:$I$100,3,FALSE)</f>
        <v>486.65</v>
      </c>
      <c r="H5320">
        <v>5.8</v>
      </c>
      <c r="I5320" s="1" t="s">
        <v>1528</v>
      </c>
      <c r="J5320" s="1" t="s">
        <v>5501</v>
      </c>
      <c r="K5320" s="1" t="s">
        <v>25</v>
      </c>
      <c r="L5320">
        <v>-1.3</v>
      </c>
      <c r="M5320" s="1" t="s">
        <v>23</v>
      </c>
      <c r="N5320" s="1" t="s">
        <v>230</v>
      </c>
      <c r="O5320" s="1" t="s">
        <v>25</v>
      </c>
      <c r="P5320" s="3" t="s">
        <v>25</v>
      </c>
      <c r="Q5320" s="37">
        <v>0.23</v>
      </c>
      <c r="R5320" s="1" t="s">
        <v>231</v>
      </c>
      <c r="S5320" s="13">
        <f t="shared" si="231"/>
        <v>-1.3</v>
      </c>
    </row>
    <row r="5321" spans="1:19">
      <c r="A5321" s="18" t="s">
        <v>5496</v>
      </c>
      <c r="B5321" s="1" t="s">
        <v>5503</v>
      </c>
      <c r="C5321" s="1" t="s">
        <v>5498</v>
      </c>
      <c r="D5321" s="1" t="s">
        <v>5499</v>
      </c>
      <c r="E5321" s="1" t="s">
        <v>5500</v>
      </c>
      <c r="F5321">
        <f>VLOOKUP(E5321,Legends!$G$2:$I$100,2,FALSE)</f>
        <v>443.1</v>
      </c>
      <c r="G5321">
        <f>VLOOKUP(E5321,Legends!$G$2:$I$100,3,FALSE)</f>
        <v>486.65</v>
      </c>
      <c r="H5321">
        <v>0.3</v>
      </c>
      <c r="I5321" s="1" t="s">
        <v>1528</v>
      </c>
      <c r="J5321" s="1" t="s">
        <v>5501</v>
      </c>
      <c r="K5321" s="1" t="s">
        <v>25</v>
      </c>
      <c r="L5321">
        <v>-1.3</v>
      </c>
      <c r="M5321" s="1" t="s">
        <v>23</v>
      </c>
      <c r="N5321" s="1" t="s">
        <v>230</v>
      </c>
      <c r="O5321" s="1" t="s">
        <v>25</v>
      </c>
      <c r="P5321" s="3" t="s">
        <v>25</v>
      </c>
      <c r="Q5321" s="37">
        <v>0.38</v>
      </c>
      <c r="R5321" s="1" t="s">
        <v>231</v>
      </c>
      <c r="S5321" s="13">
        <f t="shared" si="231"/>
        <v>-1.3</v>
      </c>
    </row>
    <row r="5322" spans="1:19">
      <c r="A5322" s="18" t="s">
        <v>5496</v>
      </c>
      <c r="B5322" s="1" t="s">
        <v>5504</v>
      </c>
      <c r="C5322" s="1" t="s">
        <v>5498</v>
      </c>
      <c r="D5322" s="1" t="s">
        <v>5499</v>
      </c>
      <c r="E5322" s="1" t="s">
        <v>5500</v>
      </c>
      <c r="F5322">
        <f>VLOOKUP(E5322,Legends!$G$2:$I$100,2,FALSE)</f>
        <v>443.1</v>
      </c>
      <c r="G5322">
        <f>VLOOKUP(E5322,Legends!$G$2:$I$100,3,FALSE)</f>
        <v>486.65</v>
      </c>
      <c r="H5322">
        <v>6.1</v>
      </c>
      <c r="I5322" s="1" t="s">
        <v>1528</v>
      </c>
      <c r="J5322" s="1" t="s">
        <v>5501</v>
      </c>
      <c r="K5322" s="1" t="s">
        <v>25</v>
      </c>
      <c r="L5322">
        <v>-1.26</v>
      </c>
      <c r="M5322" s="1" t="s">
        <v>23</v>
      </c>
      <c r="N5322" s="1" t="s">
        <v>230</v>
      </c>
      <c r="O5322" s="1" t="s">
        <v>25</v>
      </c>
      <c r="P5322" s="3" t="s">
        <v>25</v>
      </c>
      <c r="Q5322" s="37">
        <v>0.26</v>
      </c>
      <c r="R5322" s="1" t="s">
        <v>231</v>
      </c>
      <c r="S5322" s="13">
        <f t="shared" si="231"/>
        <v>-1.26</v>
      </c>
    </row>
    <row r="5323" spans="1:19">
      <c r="A5323" s="18" t="s">
        <v>5496</v>
      </c>
      <c r="B5323" s="1" t="s">
        <v>5505</v>
      </c>
      <c r="C5323" s="1" t="s">
        <v>5498</v>
      </c>
      <c r="D5323" s="1" t="s">
        <v>5499</v>
      </c>
      <c r="E5323" s="1" t="s">
        <v>5500</v>
      </c>
      <c r="F5323">
        <f>VLOOKUP(E5323,Legends!$G$2:$I$100,2,FALSE)</f>
        <v>443.1</v>
      </c>
      <c r="G5323">
        <f>VLOOKUP(E5323,Legends!$G$2:$I$100,3,FALSE)</f>
        <v>486.65</v>
      </c>
      <c r="H5323">
        <v>7.6</v>
      </c>
      <c r="I5323" s="1" t="s">
        <v>1528</v>
      </c>
      <c r="J5323" s="1" t="s">
        <v>5501</v>
      </c>
      <c r="K5323" s="1" t="s">
        <v>25</v>
      </c>
      <c r="L5323">
        <v>-1.41</v>
      </c>
      <c r="M5323" s="1" t="s">
        <v>23</v>
      </c>
      <c r="N5323" s="1" t="s">
        <v>230</v>
      </c>
      <c r="O5323" s="1" t="s">
        <v>25</v>
      </c>
      <c r="P5323" s="3" t="s">
        <v>25</v>
      </c>
      <c r="Q5323" s="37">
        <v>0.44</v>
      </c>
      <c r="R5323" s="1" t="s">
        <v>231</v>
      </c>
      <c r="S5323" s="13">
        <f t="shared" si="231"/>
        <v>-1.41</v>
      </c>
    </row>
    <row r="5324" spans="1:19">
      <c r="A5324" s="18" t="s">
        <v>5496</v>
      </c>
      <c r="B5324" s="1" t="s">
        <v>5506</v>
      </c>
      <c r="C5324" s="1" t="s">
        <v>5498</v>
      </c>
      <c r="D5324" s="1" t="s">
        <v>5499</v>
      </c>
      <c r="E5324" s="1" t="s">
        <v>5500</v>
      </c>
      <c r="F5324">
        <f>VLOOKUP(E5324,Legends!$G$2:$I$100,2,FALSE)</f>
        <v>443.1</v>
      </c>
      <c r="G5324">
        <f>VLOOKUP(E5324,Legends!$G$2:$I$100,3,FALSE)</f>
        <v>486.65</v>
      </c>
      <c r="H5324">
        <v>2.5</v>
      </c>
      <c r="I5324" s="1" t="s">
        <v>1528</v>
      </c>
      <c r="J5324" s="1" t="s">
        <v>5501</v>
      </c>
      <c r="K5324" s="1" t="s">
        <v>25</v>
      </c>
      <c r="L5324">
        <v>-1.4</v>
      </c>
      <c r="M5324" s="1" t="s">
        <v>23</v>
      </c>
      <c r="N5324" s="1" t="s">
        <v>230</v>
      </c>
      <c r="O5324" s="1" t="s">
        <v>25</v>
      </c>
      <c r="P5324" s="3" t="s">
        <v>25</v>
      </c>
      <c r="Q5324" s="37">
        <v>0.37</v>
      </c>
      <c r="R5324" s="1" t="s">
        <v>231</v>
      </c>
      <c r="S5324" s="13">
        <f t="shared" si="231"/>
        <v>-1.4</v>
      </c>
    </row>
    <row r="5325" spans="1:19">
      <c r="A5325" s="18" t="s">
        <v>5496</v>
      </c>
      <c r="B5325" s="1" t="s">
        <v>5507</v>
      </c>
      <c r="C5325" s="1" t="s">
        <v>5498</v>
      </c>
      <c r="D5325" s="1" t="s">
        <v>5499</v>
      </c>
      <c r="E5325" s="1" t="s">
        <v>5500</v>
      </c>
      <c r="F5325">
        <f>VLOOKUP(E5325,Legends!$G$2:$I$100,2,FALSE)</f>
        <v>443.1</v>
      </c>
      <c r="G5325">
        <f>VLOOKUP(E5325,Legends!$G$2:$I$100,3,FALSE)</f>
        <v>486.65</v>
      </c>
      <c r="H5325">
        <v>0.6</v>
      </c>
      <c r="I5325" s="1" t="s">
        <v>1528</v>
      </c>
      <c r="J5325" s="1" t="s">
        <v>5501</v>
      </c>
      <c r="K5325" s="1" t="s">
        <v>25</v>
      </c>
      <c r="L5325">
        <v>-1.29</v>
      </c>
      <c r="M5325" s="1" t="s">
        <v>23</v>
      </c>
      <c r="N5325" s="1" t="s">
        <v>230</v>
      </c>
      <c r="O5325" s="1" t="s">
        <v>25</v>
      </c>
      <c r="P5325" s="3" t="s">
        <v>25</v>
      </c>
      <c r="Q5325" s="37">
        <v>0.26</v>
      </c>
      <c r="R5325" s="1" t="s">
        <v>231</v>
      </c>
      <c r="S5325" s="13">
        <f t="shared" si="231"/>
        <v>-1.29</v>
      </c>
    </row>
    <row r="5326" spans="1:19">
      <c r="A5326" s="18" t="s">
        <v>5496</v>
      </c>
      <c r="B5326" s="1" t="s">
        <v>5508</v>
      </c>
      <c r="C5326" s="1" t="s">
        <v>5498</v>
      </c>
      <c r="D5326" s="1" t="s">
        <v>5499</v>
      </c>
      <c r="E5326" s="1" t="s">
        <v>5500</v>
      </c>
      <c r="F5326">
        <f>VLOOKUP(E5326,Legends!$G$2:$I$100,2,FALSE)</f>
        <v>443.1</v>
      </c>
      <c r="G5326">
        <f>VLOOKUP(E5326,Legends!$G$2:$I$100,3,FALSE)</f>
        <v>486.65</v>
      </c>
      <c r="H5326">
        <v>7.1</v>
      </c>
      <c r="I5326" s="1" t="s">
        <v>1528</v>
      </c>
      <c r="J5326" s="1" t="s">
        <v>5501</v>
      </c>
      <c r="K5326" s="1" t="s">
        <v>25</v>
      </c>
      <c r="L5326">
        <v>-1.37</v>
      </c>
      <c r="M5326" s="1" t="s">
        <v>23</v>
      </c>
      <c r="N5326" s="1" t="s">
        <v>230</v>
      </c>
      <c r="O5326" s="1" t="s">
        <v>25</v>
      </c>
      <c r="P5326" s="3" t="s">
        <v>25</v>
      </c>
      <c r="Q5326" s="37">
        <v>0.59</v>
      </c>
      <c r="R5326" s="1" t="s">
        <v>231</v>
      </c>
      <c r="S5326" s="13">
        <f t="shared" si="231"/>
        <v>-1.37</v>
      </c>
    </row>
    <row r="5327" spans="1:19">
      <c r="A5327" s="18" t="s">
        <v>5496</v>
      </c>
      <c r="B5327" s="1" t="s">
        <v>5509</v>
      </c>
      <c r="C5327" s="1" t="s">
        <v>5498</v>
      </c>
      <c r="D5327" s="1" t="s">
        <v>5499</v>
      </c>
      <c r="E5327" s="1" t="s">
        <v>5500</v>
      </c>
      <c r="F5327">
        <f>VLOOKUP(E5327,Legends!$G$2:$I$100,2,FALSE)</f>
        <v>443.1</v>
      </c>
      <c r="G5327">
        <f>VLOOKUP(E5327,Legends!$G$2:$I$100,3,FALSE)</f>
        <v>486.65</v>
      </c>
      <c r="H5327">
        <v>4</v>
      </c>
      <c r="I5327" s="1" t="s">
        <v>1528</v>
      </c>
      <c r="J5327" s="1" t="s">
        <v>5501</v>
      </c>
      <c r="K5327" s="1" t="s">
        <v>25</v>
      </c>
      <c r="L5327">
        <v>-1.1599999999999999</v>
      </c>
      <c r="M5327" s="1" t="s">
        <v>23</v>
      </c>
      <c r="N5327" s="1" t="s">
        <v>230</v>
      </c>
      <c r="O5327" s="1" t="s">
        <v>25</v>
      </c>
      <c r="P5327" s="3" t="s">
        <v>25</v>
      </c>
      <c r="Q5327" s="37">
        <v>0.61</v>
      </c>
      <c r="R5327" s="1" t="s">
        <v>231</v>
      </c>
      <c r="S5327" s="13">
        <f t="shared" si="231"/>
        <v>-1.1599999999999999</v>
      </c>
    </row>
    <row r="5328" spans="1:19">
      <c r="A5328" s="18" t="s">
        <v>5496</v>
      </c>
      <c r="B5328" s="1" t="s">
        <v>5510</v>
      </c>
      <c r="C5328" s="1" t="s">
        <v>5498</v>
      </c>
      <c r="D5328" s="1" t="s">
        <v>5499</v>
      </c>
      <c r="E5328" s="1" t="s">
        <v>5500</v>
      </c>
      <c r="F5328">
        <f>VLOOKUP(E5328,Legends!$G$2:$I$100,2,FALSE)</f>
        <v>443.1</v>
      </c>
      <c r="G5328">
        <f>VLOOKUP(E5328,Legends!$G$2:$I$100,3,FALSE)</f>
        <v>486.65</v>
      </c>
      <c r="H5328">
        <v>1</v>
      </c>
      <c r="I5328" s="1" t="s">
        <v>1528</v>
      </c>
      <c r="J5328" s="1" t="s">
        <v>5501</v>
      </c>
      <c r="K5328" s="1" t="s">
        <v>25</v>
      </c>
      <c r="L5328">
        <v>-1.5</v>
      </c>
      <c r="M5328" s="1" t="s">
        <v>23</v>
      </c>
      <c r="N5328" s="1" t="s">
        <v>230</v>
      </c>
      <c r="O5328" s="1" t="s">
        <v>25</v>
      </c>
      <c r="P5328" s="3" t="s">
        <v>25</v>
      </c>
      <c r="Q5328" s="37">
        <v>0.64</v>
      </c>
      <c r="R5328" s="1" t="s">
        <v>231</v>
      </c>
      <c r="S5328" s="13">
        <f t="shared" si="231"/>
        <v>-1.5</v>
      </c>
    </row>
    <row r="5329" spans="1:19">
      <c r="A5329" s="18" t="s">
        <v>5496</v>
      </c>
      <c r="B5329" s="1" t="s">
        <v>5511</v>
      </c>
      <c r="C5329" s="1" t="s">
        <v>5498</v>
      </c>
      <c r="D5329" s="1" t="s">
        <v>5499</v>
      </c>
      <c r="E5329" s="1" t="s">
        <v>5500</v>
      </c>
      <c r="F5329">
        <f>VLOOKUP(E5329,Legends!$G$2:$I$100,2,FALSE)</f>
        <v>443.1</v>
      </c>
      <c r="G5329">
        <f>VLOOKUP(E5329,Legends!$G$2:$I$100,3,FALSE)</f>
        <v>486.65</v>
      </c>
      <c r="H5329">
        <v>3</v>
      </c>
      <c r="I5329" s="1" t="s">
        <v>1528</v>
      </c>
      <c r="J5329" s="1" t="s">
        <v>5501</v>
      </c>
      <c r="K5329" s="1" t="s">
        <v>25</v>
      </c>
      <c r="L5329">
        <v>-1.24</v>
      </c>
      <c r="M5329" s="1" t="s">
        <v>23</v>
      </c>
      <c r="N5329" s="1" t="s">
        <v>230</v>
      </c>
      <c r="O5329" s="1" t="s">
        <v>25</v>
      </c>
      <c r="P5329" s="3" t="s">
        <v>25</v>
      </c>
      <c r="Q5329" s="37">
        <v>0.46</v>
      </c>
      <c r="R5329" s="1" t="s">
        <v>231</v>
      </c>
      <c r="S5329" s="13">
        <f t="shared" si="231"/>
        <v>-1.24</v>
      </c>
    </row>
    <row r="5330" spans="1:19">
      <c r="A5330" s="18" t="s">
        <v>5496</v>
      </c>
      <c r="B5330" s="1" t="s">
        <v>5512</v>
      </c>
      <c r="C5330" s="1" t="s">
        <v>5498</v>
      </c>
      <c r="D5330" s="1" t="s">
        <v>5499</v>
      </c>
      <c r="E5330" s="1" t="s">
        <v>5500</v>
      </c>
      <c r="F5330">
        <f>VLOOKUP(E5330,Legends!$G$2:$I$100,2,FALSE)</f>
        <v>443.1</v>
      </c>
      <c r="G5330">
        <f>VLOOKUP(E5330,Legends!$G$2:$I$100,3,FALSE)</f>
        <v>486.65</v>
      </c>
      <c r="H5330">
        <v>4.5</v>
      </c>
      <c r="I5330" s="1" t="s">
        <v>1528</v>
      </c>
      <c r="J5330" s="1" t="s">
        <v>5501</v>
      </c>
      <c r="K5330" s="1" t="s">
        <v>25</v>
      </c>
      <c r="L5330">
        <v>-1.1200000000000001</v>
      </c>
      <c r="M5330" s="1" t="s">
        <v>23</v>
      </c>
      <c r="N5330" s="1" t="s">
        <v>230</v>
      </c>
      <c r="O5330" s="1" t="s">
        <v>25</v>
      </c>
      <c r="P5330" s="3" t="s">
        <v>25</v>
      </c>
      <c r="Q5330" s="37">
        <v>0.64</v>
      </c>
      <c r="R5330" s="1" t="s">
        <v>231</v>
      </c>
      <c r="S5330" s="13">
        <f t="shared" si="231"/>
        <v>-1.1200000000000001</v>
      </c>
    </row>
    <row r="5331" spans="1:19">
      <c r="A5331" s="18" t="s">
        <v>5496</v>
      </c>
      <c r="B5331" s="1" t="s">
        <v>5513</v>
      </c>
      <c r="C5331" s="1" t="s">
        <v>5498</v>
      </c>
      <c r="D5331" s="1" t="s">
        <v>5499</v>
      </c>
      <c r="E5331" s="1" t="s">
        <v>5500</v>
      </c>
      <c r="F5331">
        <f>VLOOKUP(E5331,Legends!$G$2:$I$100,2,FALSE)</f>
        <v>443.1</v>
      </c>
      <c r="G5331">
        <f>VLOOKUP(E5331,Legends!$G$2:$I$100,3,FALSE)</f>
        <v>486.65</v>
      </c>
      <c r="H5331">
        <v>5</v>
      </c>
      <c r="I5331" s="1" t="s">
        <v>1528</v>
      </c>
      <c r="J5331" s="1" t="s">
        <v>5501</v>
      </c>
      <c r="K5331" s="1" t="s">
        <v>25</v>
      </c>
      <c r="L5331">
        <v>-1.23</v>
      </c>
      <c r="M5331" s="1" t="s">
        <v>23</v>
      </c>
      <c r="N5331" s="1" t="s">
        <v>230</v>
      </c>
      <c r="O5331" s="1" t="s">
        <v>25</v>
      </c>
      <c r="P5331" s="3" t="s">
        <v>25</v>
      </c>
      <c r="Q5331" s="37">
        <v>0.67</v>
      </c>
      <c r="R5331" s="1" t="s">
        <v>231</v>
      </c>
      <c r="S5331" s="13">
        <f t="shared" si="231"/>
        <v>-1.23</v>
      </c>
    </row>
    <row r="5332" spans="1:19">
      <c r="A5332" s="18" t="s">
        <v>5496</v>
      </c>
      <c r="B5332" s="1" t="s">
        <v>5514</v>
      </c>
      <c r="C5332" s="1" t="s">
        <v>5498</v>
      </c>
      <c r="D5332" s="1" t="s">
        <v>5499</v>
      </c>
      <c r="E5332" s="1" t="s">
        <v>5500</v>
      </c>
      <c r="F5332">
        <f>VLOOKUP(E5332,Legends!$G$2:$I$100,2,FALSE)</f>
        <v>443.1</v>
      </c>
      <c r="G5332">
        <f>VLOOKUP(E5332,Legends!$G$2:$I$100,3,FALSE)</f>
        <v>486.65</v>
      </c>
      <c r="H5332">
        <v>5.5</v>
      </c>
      <c r="I5332" s="1" t="s">
        <v>1528</v>
      </c>
      <c r="J5332" s="1" t="s">
        <v>5501</v>
      </c>
      <c r="K5332" s="1" t="s">
        <v>25</v>
      </c>
      <c r="L5332">
        <v>-1.28</v>
      </c>
      <c r="M5332" s="1" t="s">
        <v>23</v>
      </c>
      <c r="N5332" s="1" t="s">
        <v>230</v>
      </c>
      <c r="O5332" s="1" t="s">
        <v>25</v>
      </c>
      <c r="P5332" s="3" t="s">
        <v>25</v>
      </c>
      <c r="Q5332" s="37">
        <v>1.03</v>
      </c>
      <c r="R5332" s="1" t="s">
        <v>231</v>
      </c>
      <c r="S5332" s="13">
        <f t="shared" si="231"/>
        <v>-1.28</v>
      </c>
    </row>
    <row r="5333" spans="1:19">
      <c r="A5333" s="18" t="s">
        <v>5496</v>
      </c>
      <c r="B5333" s="1" t="s">
        <v>5515</v>
      </c>
      <c r="C5333" s="1" t="s">
        <v>5498</v>
      </c>
      <c r="D5333" s="1" t="s">
        <v>5499</v>
      </c>
      <c r="E5333" s="1" t="s">
        <v>5500</v>
      </c>
      <c r="F5333">
        <f>VLOOKUP(E5333,Legends!$G$2:$I$100,2,FALSE)</f>
        <v>443.1</v>
      </c>
      <c r="G5333">
        <f>VLOOKUP(E5333,Legends!$G$2:$I$100,3,FALSE)</f>
        <v>486.65</v>
      </c>
      <c r="H5333">
        <v>3.5</v>
      </c>
      <c r="I5333" s="1" t="s">
        <v>1528</v>
      </c>
      <c r="J5333" s="1" t="s">
        <v>5501</v>
      </c>
      <c r="K5333" s="1" t="s">
        <v>25</v>
      </c>
      <c r="L5333">
        <v>-1.25</v>
      </c>
      <c r="M5333" s="1" t="s">
        <v>23</v>
      </c>
      <c r="N5333" s="1" t="s">
        <v>230</v>
      </c>
      <c r="O5333" s="1" t="s">
        <v>25</v>
      </c>
      <c r="P5333" s="3" t="s">
        <v>25</v>
      </c>
      <c r="Q5333" s="37">
        <v>0.48</v>
      </c>
      <c r="R5333" s="1" t="s">
        <v>231</v>
      </c>
      <c r="S5333" s="13">
        <f t="shared" si="231"/>
        <v>-1.25</v>
      </c>
    </row>
    <row r="5334" spans="1:19">
      <c r="A5334" s="18" t="s">
        <v>5496</v>
      </c>
      <c r="B5334" s="1" t="s">
        <v>5516</v>
      </c>
      <c r="C5334" s="1" t="s">
        <v>5498</v>
      </c>
      <c r="D5334" s="1" t="s">
        <v>5499</v>
      </c>
      <c r="E5334" s="1" t="s">
        <v>5500</v>
      </c>
      <c r="F5334">
        <f>VLOOKUP(E5334,Legends!$G$2:$I$100,2,FALSE)</f>
        <v>443.1</v>
      </c>
      <c r="G5334">
        <f>VLOOKUP(E5334,Legends!$G$2:$I$100,3,FALSE)</f>
        <v>486.65</v>
      </c>
      <c r="H5334">
        <v>8</v>
      </c>
      <c r="I5334" s="1" t="s">
        <v>1528</v>
      </c>
      <c r="J5334" s="1" t="s">
        <v>5501</v>
      </c>
      <c r="K5334" s="1" t="s">
        <v>25</v>
      </c>
      <c r="L5334">
        <v>-1.32</v>
      </c>
      <c r="M5334" s="1" t="s">
        <v>23</v>
      </c>
      <c r="N5334" s="1" t="s">
        <v>230</v>
      </c>
      <c r="O5334" s="1" t="s">
        <v>25</v>
      </c>
      <c r="P5334" s="3" t="s">
        <v>25</v>
      </c>
      <c r="Q5334" s="37">
        <v>0.56000000000000005</v>
      </c>
      <c r="R5334" s="1" t="s">
        <v>231</v>
      </c>
      <c r="S5334" s="13">
        <f t="shared" si="231"/>
        <v>-1.32</v>
      </c>
    </row>
    <row r="5335" spans="1:19">
      <c r="A5335" s="18" t="s">
        <v>5496</v>
      </c>
      <c r="B5335" s="1" t="s">
        <v>5517</v>
      </c>
      <c r="C5335" s="1" t="s">
        <v>5498</v>
      </c>
      <c r="D5335" s="1" t="s">
        <v>5499</v>
      </c>
      <c r="E5335" s="1" t="s">
        <v>5500</v>
      </c>
      <c r="F5335">
        <f>VLOOKUP(E5335,Legends!$G$2:$I$100,2,FALSE)</f>
        <v>443.1</v>
      </c>
      <c r="G5335">
        <f>VLOOKUP(E5335,Legends!$G$2:$I$100,3,FALSE)</f>
        <v>486.65</v>
      </c>
      <c r="H5335">
        <v>1.8</v>
      </c>
      <c r="I5335" s="1" t="s">
        <v>1528</v>
      </c>
      <c r="J5335" s="1" t="s">
        <v>5501</v>
      </c>
      <c r="K5335" s="1" t="s">
        <v>25</v>
      </c>
      <c r="L5335">
        <v>-1.33</v>
      </c>
      <c r="M5335" s="1" t="s">
        <v>23</v>
      </c>
      <c r="N5335" s="1" t="s">
        <v>230</v>
      </c>
      <c r="O5335" s="1" t="s">
        <v>25</v>
      </c>
      <c r="P5335" s="3" t="s">
        <v>25</v>
      </c>
      <c r="Q5335" s="37">
        <v>0.49</v>
      </c>
      <c r="R5335" s="1" t="s">
        <v>231</v>
      </c>
      <c r="S5335" s="13">
        <f t="shared" si="231"/>
        <v>-1.33</v>
      </c>
    </row>
    <row r="5336" spans="1:19">
      <c r="A5336" s="18" t="s">
        <v>5496</v>
      </c>
      <c r="B5336" s="1" t="s">
        <v>5518</v>
      </c>
      <c r="C5336" s="1" t="s">
        <v>5498</v>
      </c>
      <c r="D5336" s="1" t="s">
        <v>5499</v>
      </c>
      <c r="E5336" s="1" t="s">
        <v>5500</v>
      </c>
      <c r="F5336">
        <f>VLOOKUP(E5336,Legends!$G$2:$I$100,2,FALSE)</f>
        <v>443.1</v>
      </c>
      <c r="G5336">
        <f>VLOOKUP(E5336,Legends!$G$2:$I$100,3,FALSE)</f>
        <v>486.65</v>
      </c>
      <c r="H5336">
        <v>1.3</v>
      </c>
      <c r="I5336" s="1" t="s">
        <v>1528</v>
      </c>
      <c r="J5336" s="1" t="s">
        <v>5501</v>
      </c>
      <c r="K5336" s="1" t="s">
        <v>25</v>
      </c>
      <c r="L5336">
        <v>-1.4</v>
      </c>
      <c r="M5336" s="1" t="s">
        <v>23</v>
      </c>
      <c r="N5336" s="1" t="s">
        <v>230</v>
      </c>
      <c r="O5336" s="1" t="s">
        <v>25</v>
      </c>
      <c r="P5336" s="3" t="s">
        <v>25</v>
      </c>
      <c r="Q5336" s="37">
        <v>0.56000000000000005</v>
      </c>
      <c r="R5336" s="1" t="s">
        <v>231</v>
      </c>
      <c r="S5336" s="13">
        <f t="shared" si="231"/>
        <v>-1.4</v>
      </c>
    </row>
    <row r="5337" spans="1:19">
      <c r="A5337" s="18" t="s">
        <v>5496</v>
      </c>
      <c r="B5337" s="1" t="s">
        <v>5519</v>
      </c>
      <c r="C5337" s="1" t="s">
        <v>5498</v>
      </c>
      <c r="D5337" s="1" t="s">
        <v>5499</v>
      </c>
      <c r="E5337" s="1" t="s">
        <v>5500</v>
      </c>
      <c r="F5337">
        <f>VLOOKUP(E5337,Legends!$G$2:$I$100,2,FALSE)</f>
        <v>443.1</v>
      </c>
      <c r="G5337">
        <f>VLOOKUP(E5337,Legends!$G$2:$I$100,3,FALSE)</f>
        <v>486.65</v>
      </c>
      <c r="H5337">
        <v>9</v>
      </c>
      <c r="I5337" s="1" t="s">
        <v>1528</v>
      </c>
      <c r="J5337" s="1" t="s">
        <v>5501</v>
      </c>
      <c r="K5337" s="1" t="s">
        <v>25</v>
      </c>
      <c r="L5337">
        <v>-1.26</v>
      </c>
      <c r="M5337" s="1" t="s">
        <v>23</v>
      </c>
      <c r="N5337" s="1" t="s">
        <v>230</v>
      </c>
      <c r="O5337" s="1" t="s">
        <v>25</v>
      </c>
      <c r="P5337" s="3" t="s">
        <v>25</v>
      </c>
      <c r="Q5337" s="37">
        <v>0.82</v>
      </c>
      <c r="R5337" s="1" t="s">
        <v>231</v>
      </c>
      <c r="S5337" s="13">
        <f t="shared" si="231"/>
        <v>-1.26</v>
      </c>
    </row>
    <row r="5338" spans="1:19">
      <c r="A5338" s="18" t="s">
        <v>5496</v>
      </c>
      <c r="B5338" s="1" t="s">
        <v>5520</v>
      </c>
      <c r="C5338" s="1" t="s">
        <v>5498</v>
      </c>
      <c r="D5338" s="1" t="s">
        <v>5499</v>
      </c>
      <c r="E5338" s="1" t="s">
        <v>5500</v>
      </c>
      <c r="F5338">
        <f>VLOOKUP(E5338,Legends!$G$2:$I$100,2,FALSE)</f>
        <v>443.1</v>
      </c>
      <c r="G5338">
        <f>VLOOKUP(E5338,Legends!$G$2:$I$100,3,FALSE)</f>
        <v>486.65</v>
      </c>
      <c r="H5338">
        <v>8.5</v>
      </c>
      <c r="I5338" s="1" t="s">
        <v>1528</v>
      </c>
      <c r="J5338" s="1" t="s">
        <v>5501</v>
      </c>
      <c r="K5338" s="1" t="s">
        <v>25</v>
      </c>
      <c r="L5338">
        <v>-1.35</v>
      </c>
      <c r="M5338" s="1" t="s">
        <v>23</v>
      </c>
      <c r="N5338" s="1" t="s">
        <v>230</v>
      </c>
      <c r="O5338" s="1" t="s">
        <v>25</v>
      </c>
      <c r="P5338" s="3" t="s">
        <v>25</v>
      </c>
      <c r="Q5338" s="37">
        <v>0.75</v>
      </c>
      <c r="R5338" s="1" t="s">
        <v>231</v>
      </c>
      <c r="S5338" s="13">
        <f t="shared" si="231"/>
        <v>-1.35</v>
      </c>
    </row>
    <row r="5339" spans="1:19">
      <c r="A5339" s="18" t="s">
        <v>5496</v>
      </c>
      <c r="B5339" s="1" t="s">
        <v>5521</v>
      </c>
      <c r="C5339" s="1" t="s">
        <v>5498</v>
      </c>
      <c r="D5339" s="1" t="s">
        <v>5499</v>
      </c>
      <c r="E5339" s="1" t="s">
        <v>5500</v>
      </c>
      <c r="F5339">
        <f>VLOOKUP(E5339,Legends!$G$2:$I$100,2,FALSE)</f>
        <v>443.1</v>
      </c>
      <c r="G5339">
        <f>VLOOKUP(E5339,Legends!$G$2:$I$100,3,FALSE)</f>
        <v>486.65</v>
      </c>
      <c r="H5339">
        <v>1.9</v>
      </c>
      <c r="I5339" s="1" t="s">
        <v>1528</v>
      </c>
      <c r="J5339" s="1" t="s">
        <v>5501</v>
      </c>
      <c r="K5339" s="1" t="s">
        <v>25</v>
      </c>
      <c r="L5339">
        <v>-1.67</v>
      </c>
      <c r="M5339" s="1" t="s">
        <v>23</v>
      </c>
      <c r="N5339" s="1" t="s">
        <v>230</v>
      </c>
      <c r="O5339" s="1" t="s">
        <v>25</v>
      </c>
      <c r="P5339" s="3" t="s">
        <v>25</v>
      </c>
      <c r="Q5339" s="37">
        <v>0.72</v>
      </c>
      <c r="R5339" s="1" t="s">
        <v>231</v>
      </c>
      <c r="S5339" s="13">
        <f t="shared" si="231"/>
        <v>-1.67</v>
      </c>
    </row>
    <row r="5340" spans="1:19">
      <c r="A5340" s="18" t="s">
        <v>5496</v>
      </c>
      <c r="B5340" s="1" t="s">
        <v>5522</v>
      </c>
      <c r="C5340" s="1" t="s">
        <v>5498</v>
      </c>
      <c r="D5340" s="1" t="s">
        <v>5499</v>
      </c>
      <c r="E5340" s="1" t="s">
        <v>5500</v>
      </c>
      <c r="F5340">
        <f>VLOOKUP(E5340,Legends!$G$2:$I$100,2,FALSE)</f>
        <v>443.1</v>
      </c>
      <c r="G5340">
        <f>VLOOKUP(E5340,Legends!$G$2:$I$100,3,FALSE)</f>
        <v>486.65</v>
      </c>
      <c r="H5340">
        <v>659</v>
      </c>
      <c r="I5340" s="1" t="s">
        <v>1528</v>
      </c>
      <c r="J5340" s="1" t="s">
        <v>5501</v>
      </c>
      <c r="K5340" s="1" t="s">
        <v>25</v>
      </c>
      <c r="L5340">
        <v>-1.1499999999999999</v>
      </c>
      <c r="M5340" s="1" t="s">
        <v>23</v>
      </c>
      <c r="N5340" s="1" t="s">
        <v>230</v>
      </c>
      <c r="O5340" s="1" t="s">
        <v>25</v>
      </c>
      <c r="P5340" s="3" t="s">
        <v>25</v>
      </c>
      <c r="Q5340" s="37">
        <v>0.88</v>
      </c>
      <c r="R5340" s="1" t="s">
        <v>231</v>
      </c>
      <c r="S5340" s="13">
        <f t="shared" si="231"/>
        <v>-1.1499999999999999</v>
      </c>
    </row>
    <row r="5341" spans="1:19">
      <c r="A5341" s="18" t="s">
        <v>5496</v>
      </c>
      <c r="B5341" s="1" t="s">
        <v>5523</v>
      </c>
      <c r="C5341" s="1" t="s">
        <v>5498</v>
      </c>
      <c r="D5341" s="1" t="s">
        <v>5499</v>
      </c>
      <c r="E5341" s="1" t="s">
        <v>5500</v>
      </c>
      <c r="F5341">
        <f>VLOOKUP(E5341,Legends!$G$2:$I$100,2,FALSE)</f>
        <v>443.1</v>
      </c>
      <c r="G5341">
        <f>VLOOKUP(E5341,Legends!$G$2:$I$100,3,FALSE)</f>
        <v>486.65</v>
      </c>
      <c r="H5341">
        <v>100</v>
      </c>
      <c r="I5341" s="1" t="s">
        <v>1528</v>
      </c>
      <c r="J5341" s="1" t="s">
        <v>5501</v>
      </c>
      <c r="K5341" s="1" t="s">
        <v>25</v>
      </c>
      <c r="L5341">
        <v>-1.1399999999999999</v>
      </c>
      <c r="M5341" s="1" t="s">
        <v>23</v>
      </c>
      <c r="N5341" s="1" t="s">
        <v>230</v>
      </c>
      <c r="O5341" s="1" t="s">
        <v>25</v>
      </c>
      <c r="P5341" s="3" t="s">
        <v>25</v>
      </c>
      <c r="Q5341" s="37">
        <v>0.8</v>
      </c>
      <c r="R5341" s="1" t="s">
        <v>231</v>
      </c>
      <c r="S5341" s="13">
        <f t="shared" si="231"/>
        <v>-1.1399999999999999</v>
      </c>
    </row>
    <row r="5342" spans="1:19">
      <c r="A5342" s="18" t="s">
        <v>5496</v>
      </c>
      <c r="B5342" s="1" t="s">
        <v>5524</v>
      </c>
      <c r="C5342" s="1" t="s">
        <v>5498</v>
      </c>
      <c r="D5342" s="1" t="s">
        <v>5499</v>
      </c>
      <c r="E5342" s="1" t="s">
        <v>5500</v>
      </c>
      <c r="F5342">
        <f>VLOOKUP(E5342,Legends!$G$2:$I$100,2,FALSE)</f>
        <v>443.1</v>
      </c>
      <c r="G5342">
        <f>VLOOKUP(E5342,Legends!$G$2:$I$100,3,FALSE)</f>
        <v>486.65</v>
      </c>
      <c r="H5342">
        <v>132</v>
      </c>
      <c r="I5342" s="1" t="s">
        <v>1528</v>
      </c>
      <c r="J5342" s="1" t="s">
        <v>5501</v>
      </c>
      <c r="K5342" s="1" t="s">
        <v>25</v>
      </c>
      <c r="L5342">
        <v>-1.17</v>
      </c>
      <c r="M5342" s="1" t="s">
        <v>23</v>
      </c>
      <c r="N5342" s="1" t="s">
        <v>230</v>
      </c>
      <c r="O5342" s="1" t="s">
        <v>25</v>
      </c>
      <c r="P5342" s="3" t="s">
        <v>25</v>
      </c>
      <c r="Q5342" s="37">
        <v>0.89</v>
      </c>
      <c r="R5342" s="1" t="s">
        <v>231</v>
      </c>
      <c r="S5342" s="13">
        <f t="shared" si="231"/>
        <v>-1.17</v>
      </c>
    </row>
    <row r="5343" spans="1:19">
      <c r="A5343" s="18" t="s">
        <v>5496</v>
      </c>
      <c r="B5343" s="1" t="s">
        <v>5525</v>
      </c>
      <c r="C5343" s="1" t="s">
        <v>5498</v>
      </c>
      <c r="D5343" s="1" t="s">
        <v>5499</v>
      </c>
      <c r="E5343" s="1" t="s">
        <v>5500</v>
      </c>
      <c r="F5343">
        <f>VLOOKUP(E5343,Legends!$G$2:$I$100,2,FALSE)</f>
        <v>443.1</v>
      </c>
      <c r="G5343">
        <f>VLOOKUP(E5343,Legends!$G$2:$I$100,3,FALSE)</f>
        <v>486.65</v>
      </c>
      <c r="H5343">
        <v>809</v>
      </c>
      <c r="I5343" s="1" t="s">
        <v>1528</v>
      </c>
      <c r="J5343" s="1" t="s">
        <v>5501</v>
      </c>
      <c r="K5343" s="1" t="s">
        <v>25</v>
      </c>
      <c r="L5343">
        <v>-1.25</v>
      </c>
      <c r="M5343" s="1" t="s">
        <v>23</v>
      </c>
      <c r="N5343" s="1" t="s">
        <v>230</v>
      </c>
      <c r="O5343" s="1" t="s">
        <v>25</v>
      </c>
      <c r="P5343" s="3" t="s">
        <v>25</v>
      </c>
      <c r="Q5343" s="37">
        <v>1.18</v>
      </c>
      <c r="R5343" s="1" t="s">
        <v>231</v>
      </c>
      <c r="S5343" s="13">
        <f t="shared" si="231"/>
        <v>-1.25</v>
      </c>
    </row>
    <row r="5344" spans="1:19">
      <c r="A5344" s="18" t="s">
        <v>5496</v>
      </c>
      <c r="B5344" s="1" t="s">
        <v>5526</v>
      </c>
      <c r="C5344" s="1" t="s">
        <v>5498</v>
      </c>
      <c r="D5344" s="1" t="s">
        <v>5499</v>
      </c>
      <c r="E5344" s="1" t="s">
        <v>5500</v>
      </c>
      <c r="F5344">
        <f>VLOOKUP(E5344,Legends!$G$2:$I$100,2,FALSE)</f>
        <v>443.1</v>
      </c>
      <c r="G5344">
        <f>VLOOKUP(E5344,Legends!$G$2:$I$100,3,FALSE)</f>
        <v>486.65</v>
      </c>
      <c r="H5344">
        <v>182</v>
      </c>
      <c r="I5344" s="1" t="s">
        <v>1528</v>
      </c>
      <c r="J5344" s="1" t="s">
        <v>5501</v>
      </c>
      <c r="K5344" s="1" t="s">
        <v>25</v>
      </c>
      <c r="L5344">
        <v>-1.05</v>
      </c>
      <c r="M5344" s="1" t="s">
        <v>23</v>
      </c>
      <c r="N5344" s="1" t="s">
        <v>230</v>
      </c>
      <c r="O5344" s="1" t="s">
        <v>25</v>
      </c>
      <c r="P5344" s="3" t="s">
        <v>25</v>
      </c>
      <c r="Q5344" s="37">
        <v>0.92</v>
      </c>
      <c r="R5344" s="1" t="s">
        <v>231</v>
      </c>
      <c r="S5344" s="13">
        <f t="shared" si="231"/>
        <v>-1.05</v>
      </c>
    </row>
    <row r="5345" spans="1:19">
      <c r="A5345" s="18" t="s">
        <v>5496</v>
      </c>
      <c r="B5345" s="1" t="s">
        <v>5527</v>
      </c>
      <c r="C5345" s="1" t="s">
        <v>5498</v>
      </c>
      <c r="D5345" s="1" t="s">
        <v>5499</v>
      </c>
      <c r="E5345" s="1" t="s">
        <v>5500</v>
      </c>
      <c r="F5345">
        <f>VLOOKUP(E5345,Legends!$G$2:$I$100,2,FALSE)</f>
        <v>443.1</v>
      </c>
      <c r="G5345">
        <f>VLOOKUP(E5345,Legends!$G$2:$I$100,3,FALSE)</f>
        <v>486.65</v>
      </c>
      <c r="H5345">
        <v>155</v>
      </c>
      <c r="I5345" s="1" t="s">
        <v>1528</v>
      </c>
      <c r="J5345" s="1" t="s">
        <v>5501</v>
      </c>
      <c r="K5345" s="1" t="s">
        <v>25</v>
      </c>
      <c r="L5345">
        <v>-1.0900000000000001</v>
      </c>
      <c r="M5345" s="1" t="s">
        <v>23</v>
      </c>
      <c r="N5345" s="1" t="s">
        <v>230</v>
      </c>
      <c r="O5345" s="1" t="s">
        <v>25</v>
      </c>
      <c r="P5345" s="3" t="s">
        <v>25</v>
      </c>
      <c r="Q5345" s="37">
        <v>0.78</v>
      </c>
      <c r="R5345" s="1" t="s">
        <v>231</v>
      </c>
      <c r="S5345" s="13">
        <f t="shared" si="231"/>
        <v>-1.0900000000000001</v>
      </c>
    </row>
    <row r="5346" spans="1:19">
      <c r="A5346" s="18" t="s">
        <v>5496</v>
      </c>
      <c r="B5346" s="1" t="s">
        <v>5528</v>
      </c>
      <c r="C5346" s="1" t="s">
        <v>5498</v>
      </c>
      <c r="D5346" s="1" t="s">
        <v>5499</v>
      </c>
      <c r="E5346" s="1" t="s">
        <v>5500</v>
      </c>
      <c r="F5346">
        <f>VLOOKUP(E5346,Legends!$G$2:$I$100,2,FALSE)</f>
        <v>443.1</v>
      </c>
      <c r="G5346">
        <f>VLOOKUP(E5346,Legends!$G$2:$I$100,3,FALSE)</f>
        <v>486.65</v>
      </c>
      <c r="H5346">
        <v>959</v>
      </c>
      <c r="I5346" s="1" t="s">
        <v>1528</v>
      </c>
      <c r="J5346" s="1" t="s">
        <v>5501</v>
      </c>
      <c r="K5346" s="1" t="s">
        <v>25</v>
      </c>
      <c r="L5346">
        <v>-1.24</v>
      </c>
      <c r="M5346" s="1" t="s">
        <v>23</v>
      </c>
      <c r="N5346" s="1" t="s">
        <v>230</v>
      </c>
      <c r="O5346" s="1" t="s">
        <v>25</v>
      </c>
      <c r="P5346" s="3" t="s">
        <v>25</v>
      </c>
      <c r="Q5346" s="37">
        <v>1.61</v>
      </c>
      <c r="R5346" s="1" t="s">
        <v>231</v>
      </c>
      <c r="S5346" s="13">
        <f t="shared" si="231"/>
        <v>-1.24</v>
      </c>
    </row>
    <row r="5347" spans="1:19">
      <c r="A5347" s="18" t="s">
        <v>5496</v>
      </c>
      <c r="B5347" s="1" t="s">
        <v>5529</v>
      </c>
      <c r="C5347" s="1" t="s">
        <v>5498</v>
      </c>
      <c r="D5347" s="1" t="s">
        <v>5499</v>
      </c>
      <c r="E5347" s="1" t="s">
        <v>5500</v>
      </c>
      <c r="F5347">
        <f>VLOOKUP(E5347,Legends!$G$2:$I$100,2,FALSE)</f>
        <v>443.1</v>
      </c>
      <c r="G5347">
        <f>VLOOKUP(E5347,Legends!$G$2:$I$100,3,FALSE)</f>
        <v>486.65</v>
      </c>
      <c r="H5347">
        <v>1049</v>
      </c>
      <c r="I5347" s="1" t="s">
        <v>1528</v>
      </c>
      <c r="J5347" s="1" t="s">
        <v>5501</v>
      </c>
      <c r="K5347" s="1" t="s">
        <v>25</v>
      </c>
      <c r="L5347">
        <v>-1.49</v>
      </c>
      <c r="M5347" s="1" t="s">
        <v>23</v>
      </c>
      <c r="N5347" s="1" t="s">
        <v>230</v>
      </c>
      <c r="O5347" s="1" t="s">
        <v>25</v>
      </c>
      <c r="P5347" s="3" t="s">
        <v>25</v>
      </c>
      <c r="Q5347" s="37">
        <v>2.38</v>
      </c>
      <c r="R5347" s="1" t="s">
        <v>231</v>
      </c>
      <c r="S5347" s="13">
        <f t="shared" si="231"/>
        <v>-1.49</v>
      </c>
    </row>
    <row r="5348" spans="1:19">
      <c r="A5348" s="18" t="s">
        <v>5496</v>
      </c>
      <c r="B5348" s="1" t="s">
        <v>5530</v>
      </c>
      <c r="C5348" s="1" t="s">
        <v>5498</v>
      </c>
      <c r="D5348" s="1" t="s">
        <v>5499</v>
      </c>
      <c r="E5348" s="1" t="s">
        <v>5500</v>
      </c>
      <c r="F5348">
        <f>VLOOKUP(E5348,Legends!$G$2:$I$100,2,FALSE)</f>
        <v>443.1</v>
      </c>
      <c r="G5348">
        <f>VLOOKUP(E5348,Legends!$G$2:$I$100,3,FALSE)</f>
        <v>486.65</v>
      </c>
      <c r="H5348">
        <v>451</v>
      </c>
      <c r="I5348" s="1" t="s">
        <v>1528</v>
      </c>
      <c r="J5348" s="1" t="s">
        <v>5501</v>
      </c>
      <c r="K5348" s="1" t="s">
        <v>25</v>
      </c>
      <c r="L5348">
        <v>-0.99</v>
      </c>
      <c r="M5348" s="1" t="s">
        <v>23</v>
      </c>
      <c r="N5348" s="1" t="s">
        <v>230</v>
      </c>
      <c r="O5348" s="1" t="s">
        <v>25</v>
      </c>
      <c r="P5348" s="3" t="s">
        <v>25</v>
      </c>
      <c r="Q5348" s="37">
        <v>0.47</v>
      </c>
      <c r="R5348" s="1" t="s">
        <v>231</v>
      </c>
      <c r="S5348" s="13">
        <f t="shared" si="231"/>
        <v>-0.99</v>
      </c>
    </row>
    <row r="5349" spans="1:19">
      <c r="A5349" s="18" t="s">
        <v>5496</v>
      </c>
      <c r="B5349" s="1" t="s">
        <v>5531</v>
      </c>
      <c r="C5349" s="1" t="s">
        <v>5498</v>
      </c>
      <c r="D5349" s="1" t="s">
        <v>5499</v>
      </c>
      <c r="E5349" s="1" t="s">
        <v>5500</v>
      </c>
      <c r="F5349">
        <f>VLOOKUP(E5349,Legends!$G$2:$I$100,2,FALSE)</f>
        <v>443.1</v>
      </c>
      <c r="G5349">
        <f>VLOOKUP(E5349,Legends!$G$2:$I$100,3,FALSE)</f>
        <v>486.65</v>
      </c>
      <c r="H5349">
        <v>1019</v>
      </c>
      <c r="I5349" s="1" t="s">
        <v>1528</v>
      </c>
      <c r="J5349" s="1" t="s">
        <v>5501</v>
      </c>
      <c r="K5349" s="1" t="s">
        <v>25</v>
      </c>
      <c r="L5349">
        <v>-1.37</v>
      </c>
      <c r="M5349" s="1" t="s">
        <v>23</v>
      </c>
      <c r="N5349" s="1" t="s">
        <v>230</v>
      </c>
      <c r="O5349" s="1" t="s">
        <v>25</v>
      </c>
      <c r="P5349" s="3" t="s">
        <v>25</v>
      </c>
      <c r="Q5349" s="37">
        <v>1.36</v>
      </c>
      <c r="R5349" s="1" t="s">
        <v>231</v>
      </c>
      <c r="S5349" s="13">
        <f t="shared" si="231"/>
        <v>-1.37</v>
      </c>
    </row>
    <row r="5350" spans="1:19">
      <c r="A5350" s="18" t="s">
        <v>5496</v>
      </c>
      <c r="B5350" s="1" t="s">
        <v>5532</v>
      </c>
      <c r="C5350" s="1" t="s">
        <v>5498</v>
      </c>
      <c r="D5350" s="1" t="s">
        <v>5499</v>
      </c>
      <c r="E5350" s="1" t="s">
        <v>5500</v>
      </c>
      <c r="F5350">
        <f>VLOOKUP(E5350,Legends!$G$2:$I$100,2,FALSE)</f>
        <v>443.1</v>
      </c>
      <c r="G5350">
        <f>VLOOKUP(E5350,Legends!$G$2:$I$100,3,FALSE)</f>
        <v>486.65</v>
      </c>
      <c r="H5350">
        <v>689</v>
      </c>
      <c r="I5350" s="1" t="s">
        <v>1528</v>
      </c>
      <c r="J5350" s="1" t="s">
        <v>5501</v>
      </c>
      <c r="K5350" s="1" t="s">
        <v>25</v>
      </c>
      <c r="L5350">
        <v>-1.01</v>
      </c>
      <c r="M5350" s="1" t="s">
        <v>23</v>
      </c>
      <c r="N5350" s="1" t="s">
        <v>230</v>
      </c>
      <c r="O5350" s="1" t="s">
        <v>25</v>
      </c>
      <c r="P5350" s="3" t="s">
        <v>25</v>
      </c>
      <c r="Q5350" s="37">
        <v>1.1200000000000001</v>
      </c>
      <c r="R5350" s="1" t="s">
        <v>231</v>
      </c>
      <c r="S5350" s="13">
        <f t="shared" si="231"/>
        <v>-1.01</v>
      </c>
    </row>
    <row r="5351" spans="1:19">
      <c r="A5351" s="18" t="s">
        <v>5496</v>
      </c>
      <c r="B5351" s="1" t="s">
        <v>5533</v>
      </c>
      <c r="C5351" s="1" t="s">
        <v>5498</v>
      </c>
      <c r="D5351" s="1" t="s">
        <v>5499</v>
      </c>
      <c r="E5351" s="1" t="s">
        <v>5500</v>
      </c>
      <c r="F5351">
        <f>VLOOKUP(E5351,Legends!$G$2:$I$100,2,FALSE)</f>
        <v>443.1</v>
      </c>
      <c r="G5351">
        <f>VLOOKUP(E5351,Legends!$G$2:$I$100,3,FALSE)</f>
        <v>486.65</v>
      </c>
      <c r="H5351">
        <v>377</v>
      </c>
      <c r="I5351" s="1" t="s">
        <v>1528</v>
      </c>
      <c r="J5351" s="1" t="s">
        <v>5501</v>
      </c>
      <c r="K5351" s="1" t="s">
        <v>25</v>
      </c>
      <c r="L5351">
        <v>-1.1000000000000001</v>
      </c>
      <c r="M5351" s="1" t="s">
        <v>23</v>
      </c>
      <c r="N5351" s="1" t="s">
        <v>230</v>
      </c>
      <c r="O5351" s="1" t="s">
        <v>25</v>
      </c>
      <c r="P5351" s="3" t="s">
        <v>25</v>
      </c>
      <c r="Q5351" s="37">
        <v>0.61</v>
      </c>
      <c r="R5351" s="1" t="s">
        <v>231</v>
      </c>
      <c r="S5351" s="13">
        <f t="shared" si="231"/>
        <v>-1.1000000000000001</v>
      </c>
    </row>
    <row r="5352" spans="1:19">
      <c r="A5352" s="18" t="s">
        <v>5496</v>
      </c>
      <c r="B5352" s="1" t="s">
        <v>5534</v>
      </c>
      <c r="C5352" s="1" t="s">
        <v>5498</v>
      </c>
      <c r="D5352" s="1" t="s">
        <v>5499</v>
      </c>
      <c r="E5352" s="1" t="s">
        <v>5500</v>
      </c>
      <c r="F5352">
        <f>VLOOKUP(E5352,Legends!$G$2:$I$100,2,FALSE)</f>
        <v>443.1</v>
      </c>
      <c r="G5352">
        <f>VLOOKUP(E5352,Legends!$G$2:$I$100,3,FALSE)</f>
        <v>486.65</v>
      </c>
      <c r="H5352">
        <v>864</v>
      </c>
      <c r="I5352" s="1" t="s">
        <v>1528</v>
      </c>
      <c r="J5352" s="1" t="s">
        <v>5501</v>
      </c>
      <c r="K5352" s="1" t="s">
        <v>25</v>
      </c>
      <c r="L5352">
        <v>-1.19</v>
      </c>
      <c r="M5352" s="1" t="s">
        <v>23</v>
      </c>
      <c r="N5352" s="1" t="s">
        <v>230</v>
      </c>
      <c r="O5352" s="1" t="s">
        <v>25</v>
      </c>
      <c r="P5352" s="3" t="s">
        <v>25</v>
      </c>
      <c r="Q5352" s="37">
        <v>1</v>
      </c>
      <c r="R5352" s="1" t="s">
        <v>231</v>
      </c>
      <c r="S5352" s="13">
        <f t="shared" si="231"/>
        <v>-1.19</v>
      </c>
    </row>
    <row r="5353" spans="1:19">
      <c r="A5353" s="18" t="s">
        <v>5496</v>
      </c>
      <c r="B5353" s="1" t="s">
        <v>5535</v>
      </c>
      <c r="C5353" s="1" t="s">
        <v>5498</v>
      </c>
      <c r="D5353" s="1" t="s">
        <v>5499</v>
      </c>
      <c r="E5353" s="1" t="s">
        <v>5500</v>
      </c>
      <c r="F5353">
        <f>VLOOKUP(E5353,Legends!$G$2:$I$100,2,FALSE)</f>
        <v>443.1</v>
      </c>
      <c r="G5353">
        <f>VLOOKUP(E5353,Legends!$G$2:$I$100,3,FALSE)</f>
        <v>486.65</v>
      </c>
      <c r="H5353">
        <v>232</v>
      </c>
      <c r="I5353" s="1" t="s">
        <v>1528</v>
      </c>
      <c r="J5353" s="1" t="s">
        <v>5501</v>
      </c>
      <c r="K5353" s="1" t="s">
        <v>25</v>
      </c>
      <c r="L5353">
        <v>-1.1299999999999999</v>
      </c>
      <c r="M5353" s="1" t="s">
        <v>23</v>
      </c>
      <c r="N5353" s="1" t="s">
        <v>230</v>
      </c>
      <c r="O5353" s="1" t="s">
        <v>25</v>
      </c>
      <c r="P5353" s="3" t="s">
        <v>25</v>
      </c>
      <c r="Q5353" s="37">
        <v>0.75</v>
      </c>
      <c r="R5353" s="1" t="s">
        <v>231</v>
      </c>
      <c r="S5353" s="13">
        <f t="shared" si="231"/>
        <v>-1.1299999999999999</v>
      </c>
    </row>
    <row r="5354" spans="1:19">
      <c r="A5354" s="18" t="s">
        <v>5496</v>
      </c>
      <c r="B5354" s="1" t="s">
        <v>5536</v>
      </c>
      <c r="C5354" s="1" t="s">
        <v>5498</v>
      </c>
      <c r="D5354" s="1" t="s">
        <v>5499</v>
      </c>
      <c r="E5354" s="1" t="s">
        <v>5500</v>
      </c>
      <c r="F5354">
        <f>VLOOKUP(E5354,Legends!$G$2:$I$100,2,FALSE)</f>
        <v>443.1</v>
      </c>
      <c r="G5354">
        <f>VLOOKUP(E5354,Legends!$G$2:$I$100,3,FALSE)</f>
        <v>486.65</v>
      </c>
      <c r="H5354">
        <v>749</v>
      </c>
      <c r="I5354" s="1" t="s">
        <v>1528</v>
      </c>
      <c r="J5354" s="1" t="s">
        <v>5501</v>
      </c>
      <c r="K5354" s="1" t="s">
        <v>25</v>
      </c>
      <c r="L5354">
        <v>-1.03</v>
      </c>
      <c r="M5354" s="1" t="s">
        <v>23</v>
      </c>
      <c r="N5354" s="1" t="s">
        <v>230</v>
      </c>
      <c r="O5354" s="1" t="s">
        <v>25</v>
      </c>
      <c r="P5354" s="3" t="s">
        <v>25</v>
      </c>
      <c r="Q5354" s="37">
        <v>0.9</v>
      </c>
      <c r="R5354" s="1" t="s">
        <v>231</v>
      </c>
      <c r="S5354" s="13">
        <f t="shared" si="231"/>
        <v>-1.03</v>
      </c>
    </row>
    <row r="5355" spans="1:19">
      <c r="A5355" s="18" t="s">
        <v>5496</v>
      </c>
      <c r="B5355" s="1" t="s">
        <v>5537</v>
      </c>
      <c r="C5355" s="1" t="s">
        <v>5498</v>
      </c>
      <c r="D5355" s="1" t="s">
        <v>5499</v>
      </c>
      <c r="E5355" s="1" t="s">
        <v>5500</v>
      </c>
      <c r="F5355">
        <f>VLOOKUP(E5355,Legends!$G$2:$I$100,2,FALSE)</f>
        <v>443.1</v>
      </c>
      <c r="G5355">
        <f>VLOOKUP(E5355,Legends!$G$2:$I$100,3,FALSE)</f>
        <v>486.65</v>
      </c>
      <c r="H5355">
        <v>629</v>
      </c>
      <c r="I5355" s="1" t="s">
        <v>1528</v>
      </c>
      <c r="J5355" s="1" t="s">
        <v>5501</v>
      </c>
      <c r="K5355" s="1" t="s">
        <v>25</v>
      </c>
      <c r="L5355">
        <v>-0.94</v>
      </c>
      <c r="M5355" s="1" t="s">
        <v>23</v>
      </c>
      <c r="N5355" s="1" t="s">
        <v>230</v>
      </c>
      <c r="O5355" s="1" t="s">
        <v>25</v>
      </c>
      <c r="P5355" s="3" t="s">
        <v>25</v>
      </c>
      <c r="Q5355" s="37">
        <v>0.96</v>
      </c>
      <c r="R5355" s="1" t="s">
        <v>231</v>
      </c>
      <c r="S5355" s="13">
        <f t="shared" si="231"/>
        <v>-0.94</v>
      </c>
    </row>
    <row r="5356" spans="1:19">
      <c r="A5356" s="18" t="s">
        <v>5496</v>
      </c>
      <c r="B5356" s="1" t="s">
        <v>5538</v>
      </c>
      <c r="C5356" s="1" t="s">
        <v>5498</v>
      </c>
      <c r="D5356" s="1" t="s">
        <v>5499</v>
      </c>
      <c r="E5356" s="1" t="s">
        <v>5500</v>
      </c>
      <c r="F5356">
        <f>VLOOKUP(E5356,Legends!$G$2:$I$100,2,FALSE)</f>
        <v>443.1</v>
      </c>
      <c r="G5356">
        <f>VLOOKUP(E5356,Legends!$G$2:$I$100,3,FALSE)</f>
        <v>486.65</v>
      </c>
      <c r="H5356">
        <v>514</v>
      </c>
      <c r="I5356" s="1" t="s">
        <v>1528</v>
      </c>
      <c r="J5356" s="1" t="s">
        <v>5501</v>
      </c>
      <c r="K5356" s="1" t="s">
        <v>25</v>
      </c>
      <c r="L5356">
        <v>-1.21</v>
      </c>
      <c r="M5356" s="1" t="s">
        <v>23</v>
      </c>
      <c r="N5356" s="1" t="s">
        <v>230</v>
      </c>
      <c r="O5356" s="1" t="s">
        <v>25</v>
      </c>
      <c r="P5356" s="3" t="s">
        <v>25</v>
      </c>
      <c r="Q5356" s="37">
        <v>0.57999999999999996</v>
      </c>
      <c r="R5356" s="1" t="s">
        <v>231</v>
      </c>
      <c r="S5356" s="13">
        <f t="shared" ref="S5356:S5419" si="234">IF(NOT(N5356="SW"),L5356-1.88,L5356)</f>
        <v>-1.21</v>
      </c>
    </row>
    <row r="5357" spans="1:19">
      <c r="A5357" s="18" t="s">
        <v>5496</v>
      </c>
      <c r="B5357" s="1" t="s">
        <v>5539</v>
      </c>
      <c r="C5357" s="1" t="s">
        <v>5498</v>
      </c>
      <c r="D5357" s="1" t="s">
        <v>5499</v>
      </c>
      <c r="E5357" s="1" t="s">
        <v>5500</v>
      </c>
      <c r="F5357">
        <f>VLOOKUP(E5357,Legends!$G$2:$I$100,2,FALSE)</f>
        <v>443.1</v>
      </c>
      <c r="G5357">
        <f>VLOOKUP(E5357,Legends!$G$2:$I$100,3,FALSE)</f>
        <v>486.65</v>
      </c>
      <c r="H5357">
        <v>1169</v>
      </c>
      <c r="I5357" s="1" t="s">
        <v>1528</v>
      </c>
      <c r="J5357" s="1" t="s">
        <v>5501</v>
      </c>
      <c r="K5357" s="1" t="s">
        <v>25</v>
      </c>
      <c r="L5357">
        <v>-1.46</v>
      </c>
      <c r="M5357" s="1" t="s">
        <v>23</v>
      </c>
      <c r="N5357" s="1" t="s">
        <v>230</v>
      </c>
      <c r="O5357" s="1" t="s">
        <v>25</v>
      </c>
      <c r="P5357" s="3" t="s">
        <v>25</v>
      </c>
      <c r="Q5357" s="37">
        <v>2.64</v>
      </c>
      <c r="R5357" s="1" t="s">
        <v>231</v>
      </c>
      <c r="S5357" s="13">
        <f t="shared" si="234"/>
        <v>-1.46</v>
      </c>
    </row>
    <row r="5358" spans="1:19">
      <c r="A5358" s="18" t="s">
        <v>5496</v>
      </c>
      <c r="B5358" s="1" t="s">
        <v>5540</v>
      </c>
      <c r="C5358" s="1" t="s">
        <v>5498</v>
      </c>
      <c r="D5358" s="1" t="s">
        <v>5499</v>
      </c>
      <c r="E5358" s="1" t="s">
        <v>5500</v>
      </c>
      <c r="F5358">
        <f>VLOOKUP(E5358,Legends!$G$2:$I$100,2,FALSE)</f>
        <v>443.1</v>
      </c>
      <c r="G5358">
        <f>VLOOKUP(E5358,Legends!$G$2:$I$100,3,FALSE)</f>
        <v>486.65</v>
      </c>
      <c r="H5358">
        <v>501</v>
      </c>
      <c r="I5358" s="1" t="s">
        <v>1528</v>
      </c>
      <c r="J5358" s="1" t="s">
        <v>5501</v>
      </c>
      <c r="K5358" s="1" t="s">
        <v>25</v>
      </c>
      <c r="L5358">
        <v>-1.18</v>
      </c>
      <c r="M5358" s="1" t="s">
        <v>23</v>
      </c>
      <c r="N5358" s="1" t="s">
        <v>230</v>
      </c>
      <c r="O5358" s="1" t="s">
        <v>25</v>
      </c>
      <c r="P5358" s="3" t="s">
        <v>25</v>
      </c>
      <c r="Q5358" s="37">
        <v>1.33</v>
      </c>
      <c r="R5358" s="1" t="s">
        <v>231</v>
      </c>
      <c r="S5358" s="13">
        <f t="shared" si="234"/>
        <v>-1.18</v>
      </c>
    </row>
    <row r="5359" spans="1:19">
      <c r="A5359" s="18" t="s">
        <v>5496</v>
      </c>
      <c r="B5359" s="1" t="s">
        <v>5541</v>
      </c>
      <c r="C5359" s="1" t="s">
        <v>5498</v>
      </c>
      <c r="D5359" s="1" t="s">
        <v>5499</v>
      </c>
      <c r="E5359" s="1" t="s">
        <v>5500</v>
      </c>
      <c r="F5359">
        <f>VLOOKUP(E5359,Legends!$G$2:$I$100,2,FALSE)</f>
        <v>443.1</v>
      </c>
      <c r="G5359">
        <f>VLOOKUP(E5359,Legends!$G$2:$I$100,3,FALSE)</f>
        <v>486.65</v>
      </c>
      <c r="H5359">
        <v>325</v>
      </c>
      <c r="I5359" s="1" t="s">
        <v>1528</v>
      </c>
      <c r="J5359" s="1" t="s">
        <v>5501</v>
      </c>
      <c r="K5359" s="1" t="s">
        <v>25</v>
      </c>
      <c r="L5359">
        <v>-1.24</v>
      </c>
      <c r="M5359" s="1" t="s">
        <v>23</v>
      </c>
      <c r="N5359" s="1" t="s">
        <v>230</v>
      </c>
      <c r="O5359" s="1" t="s">
        <v>25</v>
      </c>
      <c r="P5359" s="3" t="s">
        <v>25</v>
      </c>
      <c r="Q5359" s="37">
        <v>0.49</v>
      </c>
      <c r="R5359" s="1" t="s">
        <v>231</v>
      </c>
      <c r="S5359" s="13">
        <f t="shared" si="234"/>
        <v>-1.24</v>
      </c>
    </row>
    <row r="5360" spans="1:19">
      <c r="A5360" s="18" t="s">
        <v>5496</v>
      </c>
      <c r="B5360" s="1" t="s">
        <v>5542</v>
      </c>
      <c r="C5360" s="1" t="s">
        <v>5498</v>
      </c>
      <c r="D5360" s="1" t="s">
        <v>5499</v>
      </c>
      <c r="E5360" s="1" t="s">
        <v>5500</v>
      </c>
      <c r="F5360">
        <f>VLOOKUP(E5360,Legends!$G$2:$I$100,2,FALSE)</f>
        <v>443.1</v>
      </c>
      <c r="G5360">
        <f>VLOOKUP(E5360,Legends!$G$2:$I$100,3,FALSE)</f>
        <v>486.65</v>
      </c>
      <c r="H5360">
        <v>611</v>
      </c>
      <c r="I5360" s="1" t="s">
        <v>1528</v>
      </c>
      <c r="J5360" s="1" t="s">
        <v>5501</v>
      </c>
      <c r="K5360" s="1" t="s">
        <v>25</v>
      </c>
      <c r="L5360">
        <v>-1.1399999999999999</v>
      </c>
      <c r="M5360" s="1" t="s">
        <v>23</v>
      </c>
      <c r="N5360" s="1" t="s">
        <v>230</v>
      </c>
      <c r="O5360" s="1" t="s">
        <v>25</v>
      </c>
      <c r="P5360" s="3" t="s">
        <v>25</v>
      </c>
      <c r="Q5360" s="37">
        <v>0.53</v>
      </c>
      <c r="R5360" s="1" t="s">
        <v>231</v>
      </c>
      <c r="S5360" s="13">
        <f t="shared" si="234"/>
        <v>-1.1399999999999999</v>
      </c>
    </row>
    <row r="5361" spans="1:19">
      <c r="A5361" s="18" t="s">
        <v>5496</v>
      </c>
      <c r="B5361" s="1" t="s">
        <v>5543</v>
      </c>
      <c r="C5361" s="1" t="s">
        <v>5498</v>
      </c>
      <c r="D5361" s="1" t="s">
        <v>5499</v>
      </c>
      <c r="E5361" s="1" t="s">
        <v>5500</v>
      </c>
      <c r="F5361">
        <f>VLOOKUP(E5361,Legends!$G$2:$I$100,2,FALSE)</f>
        <v>443.1</v>
      </c>
      <c r="G5361">
        <f>VLOOKUP(E5361,Legends!$G$2:$I$100,3,FALSE)</f>
        <v>486.65</v>
      </c>
      <c r="H5361">
        <v>207</v>
      </c>
      <c r="I5361" s="1" t="s">
        <v>1528</v>
      </c>
      <c r="J5361" s="1" t="s">
        <v>5501</v>
      </c>
      <c r="K5361" s="1" t="s">
        <v>25</v>
      </c>
      <c r="L5361">
        <v>-1.19</v>
      </c>
      <c r="M5361" s="1" t="s">
        <v>23</v>
      </c>
      <c r="N5361" s="1" t="s">
        <v>230</v>
      </c>
      <c r="O5361" s="1" t="s">
        <v>25</v>
      </c>
      <c r="P5361" s="3" t="s">
        <v>25</v>
      </c>
      <c r="Q5361" s="37">
        <v>0.75</v>
      </c>
      <c r="R5361" s="1" t="s">
        <v>231</v>
      </c>
      <c r="S5361" s="13">
        <f t="shared" si="234"/>
        <v>-1.19</v>
      </c>
    </row>
    <row r="5362" spans="1:19">
      <c r="A5362" s="18" t="s">
        <v>5496</v>
      </c>
      <c r="B5362" s="1" t="s">
        <v>5544</v>
      </c>
      <c r="C5362" s="1" t="s">
        <v>5498</v>
      </c>
      <c r="D5362" s="1" t="s">
        <v>5499</v>
      </c>
      <c r="E5362" s="1" t="s">
        <v>5500</v>
      </c>
      <c r="F5362">
        <f>VLOOKUP(E5362,Legends!$G$2:$I$100,2,FALSE)</f>
        <v>443.1</v>
      </c>
      <c r="G5362">
        <f>VLOOKUP(E5362,Legends!$G$2:$I$100,3,FALSE)</f>
        <v>486.65</v>
      </c>
      <c r="H5362">
        <v>332</v>
      </c>
      <c r="I5362" s="1" t="s">
        <v>1528</v>
      </c>
      <c r="J5362" s="1" t="s">
        <v>5501</v>
      </c>
      <c r="K5362" s="1" t="s">
        <v>25</v>
      </c>
      <c r="L5362">
        <v>-1.26</v>
      </c>
      <c r="M5362" s="1" t="s">
        <v>23</v>
      </c>
      <c r="N5362" s="1" t="s">
        <v>230</v>
      </c>
      <c r="O5362" s="1" t="s">
        <v>25</v>
      </c>
      <c r="P5362" s="3" t="s">
        <v>25</v>
      </c>
      <c r="Q5362" s="37">
        <v>0.79</v>
      </c>
      <c r="R5362" s="1" t="s">
        <v>231</v>
      </c>
      <c r="S5362" s="13">
        <f t="shared" si="234"/>
        <v>-1.26</v>
      </c>
    </row>
    <row r="5363" spans="1:19">
      <c r="A5363" s="18" t="s">
        <v>5496</v>
      </c>
      <c r="B5363" s="1" t="s">
        <v>5545</v>
      </c>
      <c r="C5363" s="1" t="s">
        <v>5498</v>
      </c>
      <c r="D5363" s="1" t="s">
        <v>5499</v>
      </c>
      <c r="E5363" s="1" t="s">
        <v>5500</v>
      </c>
      <c r="F5363">
        <f>VLOOKUP(E5363,Legends!$G$2:$I$100,2,FALSE)</f>
        <v>443.1</v>
      </c>
      <c r="G5363">
        <f>VLOOKUP(E5363,Legends!$G$2:$I$100,3,FALSE)</f>
        <v>486.65</v>
      </c>
      <c r="H5363">
        <v>438</v>
      </c>
      <c r="I5363" s="1" t="s">
        <v>1528</v>
      </c>
      <c r="J5363" s="1" t="s">
        <v>5501</v>
      </c>
      <c r="K5363" s="1" t="s">
        <v>25</v>
      </c>
      <c r="L5363">
        <v>-0.95</v>
      </c>
      <c r="M5363" s="1" t="s">
        <v>23</v>
      </c>
      <c r="N5363" s="1" t="s">
        <v>230</v>
      </c>
      <c r="O5363" s="1" t="s">
        <v>25</v>
      </c>
      <c r="P5363" s="3" t="s">
        <v>25</v>
      </c>
      <c r="Q5363" s="37">
        <v>0.54</v>
      </c>
      <c r="R5363" s="1" t="s">
        <v>231</v>
      </c>
      <c r="S5363" s="13">
        <f t="shared" si="234"/>
        <v>-0.95</v>
      </c>
    </row>
    <row r="5364" spans="1:19">
      <c r="A5364" s="18" t="s">
        <v>5496</v>
      </c>
      <c r="B5364" s="1" t="s">
        <v>5546</v>
      </c>
      <c r="C5364" s="1" t="s">
        <v>5498</v>
      </c>
      <c r="D5364" s="1" t="s">
        <v>5499</v>
      </c>
      <c r="E5364" s="1" t="s">
        <v>5500</v>
      </c>
      <c r="F5364">
        <f>VLOOKUP(E5364,Legends!$G$2:$I$100,2,FALSE)</f>
        <v>443.1</v>
      </c>
      <c r="G5364">
        <f>VLOOKUP(E5364,Legends!$G$2:$I$100,3,FALSE)</f>
        <v>486.65</v>
      </c>
      <c r="H5364">
        <v>315</v>
      </c>
      <c r="I5364" s="1" t="s">
        <v>1528</v>
      </c>
      <c r="J5364" s="1" t="s">
        <v>5501</v>
      </c>
      <c r="K5364" s="1" t="s">
        <v>25</v>
      </c>
      <c r="L5364">
        <v>-1.1200000000000001</v>
      </c>
      <c r="M5364" s="1" t="s">
        <v>23</v>
      </c>
      <c r="N5364" s="1" t="s">
        <v>230</v>
      </c>
      <c r="O5364" s="1" t="s">
        <v>25</v>
      </c>
      <c r="P5364" s="3" t="s">
        <v>25</v>
      </c>
      <c r="Q5364" s="37">
        <v>1.1200000000000001</v>
      </c>
      <c r="R5364" s="1" t="s">
        <v>231</v>
      </c>
      <c r="S5364" s="13">
        <f t="shared" si="234"/>
        <v>-1.1200000000000001</v>
      </c>
    </row>
    <row r="5365" spans="1:19">
      <c r="A5365" s="18" t="s">
        <v>5496</v>
      </c>
      <c r="B5365" s="1" t="s">
        <v>5547</v>
      </c>
      <c r="C5365" s="1" t="s">
        <v>5498</v>
      </c>
      <c r="D5365" s="1" t="s">
        <v>5499</v>
      </c>
      <c r="E5365" s="1" t="s">
        <v>5500</v>
      </c>
      <c r="F5365">
        <f>VLOOKUP(E5365,Legends!$G$2:$I$100,2,FALSE)</f>
        <v>443.1</v>
      </c>
      <c r="G5365">
        <f>VLOOKUP(E5365,Legends!$G$2:$I$100,3,FALSE)</f>
        <v>486.65</v>
      </c>
      <c r="H5365">
        <v>478</v>
      </c>
      <c r="I5365" s="1" t="s">
        <v>1528</v>
      </c>
      <c r="J5365" s="1" t="s">
        <v>5501</v>
      </c>
      <c r="K5365" s="1" t="s">
        <v>25</v>
      </c>
      <c r="L5365">
        <v>-1.22</v>
      </c>
      <c r="M5365" s="1" t="s">
        <v>23</v>
      </c>
      <c r="N5365" s="1" t="s">
        <v>230</v>
      </c>
      <c r="O5365" s="1" t="s">
        <v>25</v>
      </c>
      <c r="P5365" s="3" t="s">
        <v>25</v>
      </c>
      <c r="Q5365" s="37">
        <v>1.1200000000000001</v>
      </c>
      <c r="R5365" s="1" t="s">
        <v>231</v>
      </c>
      <c r="S5365" s="13">
        <f t="shared" si="234"/>
        <v>-1.22</v>
      </c>
    </row>
    <row r="5366" spans="1:19">
      <c r="A5366" s="18" t="s">
        <v>5496</v>
      </c>
      <c r="B5366" s="1" t="s">
        <v>5548</v>
      </c>
      <c r="C5366" s="1" t="s">
        <v>5498</v>
      </c>
      <c r="D5366" s="1" t="s">
        <v>5499</v>
      </c>
      <c r="E5366" s="1" t="s">
        <v>5500</v>
      </c>
      <c r="F5366">
        <f>VLOOKUP(E5366,Legends!$G$2:$I$100,2,FALSE)</f>
        <v>443.1</v>
      </c>
      <c r="G5366">
        <f>VLOOKUP(E5366,Legends!$G$2:$I$100,3,FALSE)</f>
        <v>486.65</v>
      </c>
      <c r="H5366">
        <v>283</v>
      </c>
      <c r="I5366" s="1" t="s">
        <v>1528</v>
      </c>
      <c r="J5366" s="1" t="s">
        <v>5501</v>
      </c>
      <c r="K5366" s="1" t="s">
        <v>25</v>
      </c>
      <c r="L5366">
        <v>-1.26</v>
      </c>
      <c r="M5366" s="1" t="s">
        <v>23</v>
      </c>
      <c r="N5366" s="1" t="s">
        <v>230</v>
      </c>
      <c r="O5366" s="1" t="s">
        <v>25</v>
      </c>
      <c r="P5366" s="3" t="s">
        <v>25</v>
      </c>
      <c r="Q5366" s="37">
        <v>1.33</v>
      </c>
      <c r="R5366" s="1" t="s">
        <v>231</v>
      </c>
      <c r="S5366" s="13">
        <f t="shared" si="234"/>
        <v>-1.26</v>
      </c>
    </row>
    <row r="5367" spans="1:19">
      <c r="A5367" s="18" t="s">
        <v>5496</v>
      </c>
      <c r="B5367" s="1" t="s">
        <v>5549</v>
      </c>
      <c r="C5367" s="1" t="s">
        <v>5498</v>
      </c>
      <c r="D5367" s="1" t="s">
        <v>5499</v>
      </c>
      <c r="E5367" s="1" t="s">
        <v>5500</v>
      </c>
      <c r="F5367">
        <f>VLOOKUP(E5367,Legends!$G$2:$I$100,2,FALSE)</f>
        <v>443.1</v>
      </c>
      <c r="G5367">
        <f>VLOOKUP(E5367,Legends!$G$2:$I$100,3,FALSE)</f>
        <v>486.65</v>
      </c>
      <c r="H5367">
        <v>456</v>
      </c>
      <c r="I5367" s="1" t="s">
        <v>1528</v>
      </c>
      <c r="J5367" s="1" t="s">
        <v>5501</v>
      </c>
      <c r="K5367" s="1" t="s">
        <v>25</v>
      </c>
      <c r="L5367">
        <v>-0.9</v>
      </c>
      <c r="M5367" s="1" t="s">
        <v>23</v>
      </c>
      <c r="N5367" s="1" t="s">
        <v>230</v>
      </c>
      <c r="O5367" s="1" t="s">
        <v>25</v>
      </c>
      <c r="P5367" s="3" t="s">
        <v>25</v>
      </c>
      <c r="Q5367" s="37">
        <v>0.49</v>
      </c>
      <c r="R5367" s="1" t="s">
        <v>231</v>
      </c>
      <c r="S5367" s="13">
        <f t="shared" si="234"/>
        <v>-0.9</v>
      </c>
    </row>
    <row r="5368" spans="1:19">
      <c r="A5368" s="18" t="s">
        <v>5496</v>
      </c>
      <c r="B5368" s="1" t="s">
        <v>5550</v>
      </c>
      <c r="C5368" s="1" t="s">
        <v>5498</v>
      </c>
      <c r="D5368" s="1" t="s">
        <v>5499</v>
      </c>
      <c r="E5368" s="1" t="s">
        <v>5500</v>
      </c>
      <c r="F5368">
        <f>VLOOKUP(E5368,Legends!$G$2:$I$100,2,FALSE)</f>
        <v>443.1</v>
      </c>
      <c r="G5368">
        <f>VLOOKUP(E5368,Legends!$G$2:$I$100,3,FALSE)</f>
        <v>486.65</v>
      </c>
      <c r="H5368">
        <v>574</v>
      </c>
      <c r="I5368" s="1" t="s">
        <v>1528</v>
      </c>
      <c r="J5368" s="1" t="s">
        <v>5501</v>
      </c>
      <c r="K5368" s="1" t="s">
        <v>25</v>
      </c>
      <c r="L5368">
        <v>-0.96</v>
      </c>
      <c r="M5368" s="1" t="s">
        <v>23</v>
      </c>
      <c r="N5368" s="1" t="s">
        <v>230</v>
      </c>
      <c r="O5368" s="1" t="s">
        <v>25</v>
      </c>
      <c r="P5368" s="3" t="s">
        <v>25</v>
      </c>
      <c r="Q5368" s="37">
        <v>0.7</v>
      </c>
      <c r="R5368" s="1" t="s">
        <v>231</v>
      </c>
      <c r="S5368" s="13">
        <f t="shared" si="234"/>
        <v>-0.96</v>
      </c>
    </row>
    <row r="5369" spans="1:19">
      <c r="A5369" s="18" t="s">
        <v>5496</v>
      </c>
      <c r="B5369" s="1" t="s">
        <v>5551</v>
      </c>
      <c r="C5369" s="1" t="s">
        <v>5498</v>
      </c>
      <c r="D5369" s="1" t="s">
        <v>5499</v>
      </c>
      <c r="E5369" s="1" t="s">
        <v>5500</v>
      </c>
      <c r="F5369">
        <f>VLOOKUP(E5369,Legends!$G$2:$I$100,2,FALSE)</f>
        <v>443.1</v>
      </c>
      <c r="G5369">
        <f>VLOOKUP(E5369,Legends!$G$2:$I$100,3,FALSE)</f>
        <v>486.65</v>
      </c>
      <c r="H5369">
        <v>984</v>
      </c>
      <c r="I5369" s="1" t="s">
        <v>1528</v>
      </c>
      <c r="J5369" s="1" t="s">
        <v>5501</v>
      </c>
      <c r="K5369" s="1" t="s">
        <v>25</v>
      </c>
      <c r="L5369">
        <v>-1.35</v>
      </c>
      <c r="M5369" s="1" t="s">
        <v>23</v>
      </c>
      <c r="N5369" s="1" t="s">
        <v>230</v>
      </c>
      <c r="O5369" s="1" t="s">
        <v>25</v>
      </c>
      <c r="P5369" s="3" t="s">
        <v>25</v>
      </c>
      <c r="Q5369" s="37">
        <v>2.69</v>
      </c>
      <c r="R5369" s="1" t="s">
        <v>231</v>
      </c>
      <c r="S5369" s="13">
        <f t="shared" si="234"/>
        <v>-1.35</v>
      </c>
    </row>
    <row r="5370" spans="1:19">
      <c r="A5370" s="18" t="s">
        <v>5496</v>
      </c>
      <c r="B5370" s="1" t="s">
        <v>5552</v>
      </c>
      <c r="C5370" s="1" t="s">
        <v>5498</v>
      </c>
      <c r="D5370" s="1" t="s">
        <v>5499</v>
      </c>
      <c r="E5370" s="1" t="s">
        <v>5500</v>
      </c>
      <c r="F5370">
        <f>VLOOKUP(E5370,Legends!$G$2:$I$100,2,FALSE)</f>
        <v>443.1</v>
      </c>
      <c r="G5370">
        <f>VLOOKUP(E5370,Legends!$G$2:$I$100,3,FALSE)</f>
        <v>486.65</v>
      </c>
      <c r="H5370">
        <v>458</v>
      </c>
      <c r="I5370" s="1" t="s">
        <v>1528</v>
      </c>
      <c r="J5370" s="1" t="s">
        <v>5501</v>
      </c>
      <c r="K5370" s="1" t="s">
        <v>25</v>
      </c>
      <c r="L5370">
        <v>-1.1599999999999999</v>
      </c>
      <c r="M5370" s="1" t="s">
        <v>23</v>
      </c>
      <c r="N5370" s="1" t="s">
        <v>230</v>
      </c>
      <c r="O5370" s="1" t="s">
        <v>25</v>
      </c>
      <c r="P5370" s="3" t="s">
        <v>25</v>
      </c>
      <c r="Q5370" s="37">
        <v>0.56000000000000005</v>
      </c>
      <c r="R5370" s="1" t="s">
        <v>231</v>
      </c>
      <c r="S5370" s="13">
        <f t="shared" si="234"/>
        <v>-1.1599999999999999</v>
      </c>
    </row>
    <row r="5371" spans="1:19">
      <c r="A5371" s="18" t="s">
        <v>5496</v>
      </c>
      <c r="B5371" s="1" t="s">
        <v>5553</v>
      </c>
      <c r="C5371" s="1" t="s">
        <v>5498</v>
      </c>
      <c r="D5371" s="1" t="s">
        <v>5499</v>
      </c>
      <c r="E5371" s="1" t="s">
        <v>5500</v>
      </c>
      <c r="F5371">
        <f>VLOOKUP(E5371,Legends!$G$2:$I$100,2,FALSE)</f>
        <v>443.1</v>
      </c>
      <c r="G5371">
        <f>VLOOKUP(E5371,Legends!$G$2:$I$100,3,FALSE)</f>
        <v>486.65</v>
      </c>
      <c r="H5371">
        <v>604</v>
      </c>
      <c r="I5371" s="1" t="s">
        <v>1528</v>
      </c>
      <c r="J5371" s="1" t="s">
        <v>5501</v>
      </c>
      <c r="K5371" s="1" t="s">
        <v>25</v>
      </c>
      <c r="L5371">
        <v>-1.21</v>
      </c>
      <c r="M5371" s="1" t="s">
        <v>23</v>
      </c>
      <c r="N5371" s="1" t="s">
        <v>230</v>
      </c>
      <c r="O5371" s="1" t="s">
        <v>25</v>
      </c>
      <c r="P5371" s="3" t="s">
        <v>25</v>
      </c>
      <c r="Q5371" s="37">
        <v>0.77</v>
      </c>
      <c r="R5371" s="1" t="s">
        <v>231</v>
      </c>
      <c r="S5371" s="13">
        <f t="shared" si="234"/>
        <v>-1.21</v>
      </c>
    </row>
    <row r="5372" spans="1:19">
      <c r="A5372" s="18" t="s">
        <v>5496</v>
      </c>
      <c r="B5372" s="1" t="s">
        <v>5554</v>
      </c>
      <c r="C5372" s="1" t="s">
        <v>5498</v>
      </c>
      <c r="D5372" s="1" t="s">
        <v>5499</v>
      </c>
      <c r="E5372" s="1" t="s">
        <v>5500</v>
      </c>
      <c r="F5372">
        <f>VLOOKUP(E5372,Legends!$G$2:$I$100,2,FALSE)</f>
        <v>443.1</v>
      </c>
      <c r="G5372">
        <f>VLOOKUP(E5372,Legends!$G$2:$I$100,3,FALSE)</f>
        <v>486.65</v>
      </c>
      <c r="H5372">
        <v>599</v>
      </c>
      <c r="I5372" s="1" t="s">
        <v>1528</v>
      </c>
      <c r="J5372" s="1" t="s">
        <v>5501</v>
      </c>
      <c r="K5372" s="1" t="s">
        <v>25</v>
      </c>
      <c r="L5372">
        <v>-1.07</v>
      </c>
      <c r="M5372" s="1" t="s">
        <v>23</v>
      </c>
      <c r="N5372" s="1" t="s">
        <v>230</v>
      </c>
      <c r="O5372" s="1" t="s">
        <v>25</v>
      </c>
      <c r="P5372" s="3" t="s">
        <v>25</v>
      </c>
      <c r="Q5372" s="37">
        <v>0.66</v>
      </c>
      <c r="R5372" s="1" t="s">
        <v>231</v>
      </c>
      <c r="S5372" s="13">
        <f t="shared" si="234"/>
        <v>-1.07</v>
      </c>
    </row>
    <row r="5373" spans="1:19">
      <c r="A5373" s="18" t="s">
        <v>5496</v>
      </c>
      <c r="B5373" s="1" t="s">
        <v>5555</v>
      </c>
      <c r="C5373" s="1" t="s">
        <v>5498</v>
      </c>
      <c r="D5373" s="1" t="s">
        <v>5499</v>
      </c>
      <c r="E5373" s="1" t="s">
        <v>5500</v>
      </c>
      <c r="F5373">
        <f>VLOOKUP(E5373,Legends!$G$2:$I$100,2,FALSE)</f>
        <v>443.1</v>
      </c>
      <c r="G5373">
        <f>VLOOKUP(E5373,Legends!$G$2:$I$100,3,FALSE)</f>
        <v>486.65</v>
      </c>
      <c r="H5373">
        <v>509</v>
      </c>
      <c r="I5373" s="1" t="s">
        <v>1528</v>
      </c>
      <c r="J5373" s="1" t="s">
        <v>5501</v>
      </c>
      <c r="K5373" s="1" t="s">
        <v>25</v>
      </c>
      <c r="L5373">
        <v>-1.1299999999999999</v>
      </c>
      <c r="M5373" s="1" t="s">
        <v>23</v>
      </c>
      <c r="N5373" s="1" t="s">
        <v>230</v>
      </c>
      <c r="O5373" s="1" t="s">
        <v>25</v>
      </c>
      <c r="P5373" s="3" t="s">
        <v>25</v>
      </c>
      <c r="Q5373" s="37">
        <v>0.62</v>
      </c>
      <c r="R5373" s="1" t="s">
        <v>231</v>
      </c>
      <c r="S5373" s="13">
        <f t="shared" si="234"/>
        <v>-1.1299999999999999</v>
      </c>
    </row>
    <row r="5374" spans="1:19">
      <c r="A5374" s="18" t="s">
        <v>5496</v>
      </c>
      <c r="B5374" s="1" t="s">
        <v>5556</v>
      </c>
      <c r="C5374" s="1" t="s">
        <v>5498</v>
      </c>
      <c r="D5374" s="1" t="s">
        <v>5499</v>
      </c>
      <c r="E5374" s="1" t="s">
        <v>5500</v>
      </c>
      <c r="F5374">
        <f>VLOOKUP(E5374,Legends!$G$2:$I$100,2,FALSE)</f>
        <v>443.1</v>
      </c>
      <c r="G5374">
        <f>VLOOKUP(E5374,Legends!$G$2:$I$100,3,FALSE)</f>
        <v>486.65</v>
      </c>
      <c r="H5374">
        <v>606</v>
      </c>
      <c r="I5374" s="1" t="s">
        <v>1528</v>
      </c>
      <c r="J5374" s="1" t="s">
        <v>5501</v>
      </c>
      <c r="K5374" s="1" t="s">
        <v>25</v>
      </c>
      <c r="L5374">
        <v>-1.04</v>
      </c>
      <c r="M5374" s="1" t="s">
        <v>23</v>
      </c>
      <c r="N5374" s="1" t="s">
        <v>230</v>
      </c>
      <c r="O5374" s="1" t="s">
        <v>25</v>
      </c>
      <c r="P5374" s="3" t="s">
        <v>25</v>
      </c>
      <c r="Q5374" s="37">
        <v>0.69</v>
      </c>
      <c r="R5374" s="1" t="s">
        <v>231</v>
      </c>
      <c r="S5374" s="13">
        <f t="shared" si="234"/>
        <v>-1.04</v>
      </c>
    </row>
    <row r="5375" spans="1:19">
      <c r="A5375" s="18" t="s">
        <v>5496</v>
      </c>
      <c r="B5375" s="1" t="s">
        <v>5557</v>
      </c>
      <c r="C5375" s="1" t="s">
        <v>5498</v>
      </c>
      <c r="D5375" s="1" t="s">
        <v>5499</v>
      </c>
      <c r="E5375" s="1" t="s">
        <v>5500</v>
      </c>
      <c r="F5375">
        <f>VLOOKUP(E5375,Legends!$G$2:$I$100,2,FALSE)</f>
        <v>443.1</v>
      </c>
      <c r="G5375">
        <f>VLOOKUP(E5375,Legends!$G$2:$I$100,3,FALSE)</f>
        <v>486.65</v>
      </c>
      <c r="H5375">
        <v>1109</v>
      </c>
      <c r="I5375" s="1" t="s">
        <v>1528</v>
      </c>
      <c r="J5375" s="1" t="s">
        <v>5501</v>
      </c>
      <c r="K5375" s="1" t="s">
        <v>25</v>
      </c>
      <c r="L5375">
        <v>-1.39</v>
      </c>
      <c r="M5375" s="1" t="s">
        <v>23</v>
      </c>
      <c r="N5375" s="1" t="s">
        <v>230</v>
      </c>
      <c r="O5375" s="1" t="s">
        <v>25</v>
      </c>
      <c r="P5375" s="3" t="s">
        <v>25</v>
      </c>
      <c r="Q5375" s="37">
        <v>1.33</v>
      </c>
      <c r="R5375" s="1" t="s">
        <v>231</v>
      </c>
      <c r="S5375" s="13">
        <f t="shared" si="234"/>
        <v>-1.39</v>
      </c>
    </row>
    <row r="5376" spans="1:19">
      <c r="A5376" s="18" t="s">
        <v>5496</v>
      </c>
      <c r="B5376" s="1" t="s">
        <v>5558</v>
      </c>
      <c r="C5376" s="1" t="s">
        <v>5498</v>
      </c>
      <c r="D5376" s="1" t="s">
        <v>5499</v>
      </c>
      <c r="E5376" s="1" t="s">
        <v>5500</v>
      </c>
      <c r="F5376">
        <f>VLOOKUP(E5376,Legends!$G$2:$I$100,2,FALSE)</f>
        <v>443.1</v>
      </c>
      <c r="G5376">
        <f>VLOOKUP(E5376,Legends!$G$2:$I$100,3,FALSE)</f>
        <v>486.65</v>
      </c>
      <c r="H5376">
        <v>524</v>
      </c>
      <c r="I5376" s="1" t="s">
        <v>1528</v>
      </c>
      <c r="J5376" s="1" t="s">
        <v>5501</v>
      </c>
      <c r="K5376" s="1" t="s">
        <v>25</v>
      </c>
      <c r="L5376">
        <v>-1.24</v>
      </c>
      <c r="M5376" s="1" t="s">
        <v>23</v>
      </c>
      <c r="N5376" s="1" t="s">
        <v>230</v>
      </c>
      <c r="O5376" s="1" t="s">
        <v>25</v>
      </c>
      <c r="P5376" s="3" t="s">
        <v>25</v>
      </c>
      <c r="Q5376" s="37">
        <v>0.81</v>
      </c>
      <c r="R5376" s="1" t="s">
        <v>231</v>
      </c>
      <c r="S5376" s="13">
        <f t="shared" si="234"/>
        <v>-1.24</v>
      </c>
    </row>
    <row r="5377" spans="1:19">
      <c r="A5377" s="18" t="s">
        <v>5496</v>
      </c>
      <c r="B5377" s="1" t="s">
        <v>5559</v>
      </c>
      <c r="C5377" s="1" t="s">
        <v>5498</v>
      </c>
      <c r="D5377" s="1" t="s">
        <v>5499</v>
      </c>
      <c r="E5377" s="1" t="s">
        <v>5500</v>
      </c>
      <c r="F5377">
        <f>VLOOKUP(E5377,Legends!$G$2:$I$100,2,FALSE)</f>
        <v>443.1</v>
      </c>
      <c r="G5377">
        <f>VLOOKUP(E5377,Legends!$G$2:$I$100,3,FALSE)</f>
        <v>486.65</v>
      </c>
      <c r="H5377">
        <v>314</v>
      </c>
      <c r="I5377" s="1" t="s">
        <v>1528</v>
      </c>
      <c r="J5377" s="1" t="s">
        <v>5501</v>
      </c>
      <c r="K5377" s="1" t="s">
        <v>25</v>
      </c>
      <c r="L5377">
        <v>-1.22</v>
      </c>
      <c r="M5377" s="1" t="s">
        <v>23</v>
      </c>
      <c r="N5377" s="1" t="s">
        <v>230</v>
      </c>
      <c r="O5377" s="1" t="s">
        <v>25</v>
      </c>
      <c r="P5377" s="3" t="s">
        <v>25</v>
      </c>
      <c r="Q5377" s="37">
        <v>1.25</v>
      </c>
      <c r="R5377" s="1" t="s">
        <v>231</v>
      </c>
      <c r="S5377" s="13">
        <f t="shared" si="234"/>
        <v>-1.22</v>
      </c>
    </row>
    <row r="5378" spans="1:19">
      <c r="A5378" s="18" t="s">
        <v>5496</v>
      </c>
      <c r="B5378" s="1" t="s">
        <v>5560</v>
      </c>
      <c r="C5378" s="1" t="s">
        <v>5498</v>
      </c>
      <c r="D5378" s="1" t="s">
        <v>5499</v>
      </c>
      <c r="E5378" s="1" t="s">
        <v>5500</v>
      </c>
      <c r="F5378">
        <f>VLOOKUP(E5378,Legends!$G$2:$I$100,2,FALSE)</f>
        <v>443.1</v>
      </c>
      <c r="G5378">
        <f>VLOOKUP(E5378,Legends!$G$2:$I$100,3,FALSE)</f>
        <v>486.65</v>
      </c>
      <c r="H5378">
        <v>320</v>
      </c>
      <c r="I5378" s="1" t="s">
        <v>1528</v>
      </c>
      <c r="J5378" s="1" t="s">
        <v>5501</v>
      </c>
      <c r="K5378" s="1" t="s">
        <v>25</v>
      </c>
      <c r="L5378">
        <v>-1.17</v>
      </c>
      <c r="M5378" s="1" t="s">
        <v>23</v>
      </c>
      <c r="N5378" s="1" t="s">
        <v>230</v>
      </c>
      <c r="O5378" s="1" t="s">
        <v>25</v>
      </c>
      <c r="P5378" s="3" t="s">
        <v>25</v>
      </c>
      <c r="Q5378" s="37">
        <v>0.94</v>
      </c>
      <c r="R5378" s="1" t="s">
        <v>231</v>
      </c>
      <c r="S5378" s="13">
        <f t="shared" si="234"/>
        <v>-1.17</v>
      </c>
    </row>
    <row r="5379" spans="1:19">
      <c r="A5379" s="18" t="s">
        <v>5496</v>
      </c>
      <c r="B5379" s="1" t="s">
        <v>5561</v>
      </c>
      <c r="C5379" s="1" t="s">
        <v>5498</v>
      </c>
      <c r="D5379" s="1" t="s">
        <v>5499</v>
      </c>
      <c r="E5379" s="1" t="s">
        <v>5500</v>
      </c>
      <c r="F5379">
        <f>VLOOKUP(E5379,Legends!$G$2:$I$100,2,FALSE)</f>
        <v>443.1</v>
      </c>
      <c r="G5379">
        <f>VLOOKUP(E5379,Legends!$G$2:$I$100,3,FALSE)</f>
        <v>486.65</v>
      </c>
      <c r="H5379">
        <v>534</v>
      </c>
      <c r="I5379" s="1" t="s">
        <v>1528</v>
      </c>
      <c r="J5379" s="1" t="s">
        <v>5501</v>
      </c>
      <c r="K5379" s="1" t="s">
        <v>25</v>
      </c>
      <c r="L5379">
        <v>-1.27</v>
      </c>
      <c r="M5379" s="1" t="s">
        <v>23</v>
      </c>
      <c r="N5379" s="1" t="s">
        <v>230</v>
      </c>
      <c r="O5379" s="1" t="s">
        <v>25</v>
      </c>
      <c r="P5379" s="3" t="s">
        <v>25</v>
      </c>
      <c r="Q5379" s="37">
        <v>0.92</v>
      </c>
      <c r="R5379" s="1" t="s">
        <v>231</v>
      </c>
      <c r="S5379" s="13">
        <f t="shared" si="234"/>
        <v>-1.27</v>
      </c>
    </row>
    <row r="5380" spans="1:19">
      <c r="A5380" s="18" t="s">
        <v>5496</v>
      </c>
      <c r="B5380" s="1" t="s">
        <v>5562</v>
      </c>
      <c r="C5380" s="1" t="s">
        <v>5498</v>
      </c>
      <c r="D5380" s="1" t="s">
        <v>5499</v>
      </c>
      <c r="E5380" s="1" t="s">
        <v>5500</v>
      </c>
      <c r="F5380">
        <f>VLOOKUP(E5380,Legends!$G$2:$I$100,2,FALSE)</f>
        <v>443.1</v>
      </c>
      <c r="G5380">
        <f>VLOOKUP(E5380,Legends!$G$2:$I$100,3,FALSE)</f>
        <v>486.65</v>
      </c>
      <c r="H5380">
        <v>409</v>
      </c>
      <c r="I5380" s="1" t="s">
        <v>1528</v>
      </c>
      <c r="J5380" s="1" t="s">
        <v>5501</v>
      </c>
      <c r="K5380" s="1" t="s">
        <v>25</v>
      </c>
      <c r="L5380">
        <v>-1.22</v>
      </c>
      <c r="M5380" s="1" t="s">
        <v>23</v>
      </c>
      <c r="N5380" s="1" t="s">
        <v>230</v>
      </c>
      <c r="O5380" s="1" t="s">
        <v>25</v>
      </c>
      <c r="P5380" s="3" t="s">
        <v>25</v>
      </c>
      <c r="Q5380" s="37">
        <v>1.25</v>
      </c>
      <c r="R5380" s="1" t="s">
        <v>231</v>
      </c>
      <c r="S5380" s="13">
        <f t="shared" si="234"/>
        <v>-1.22</v>
      </c>
    </row>
    <row r="5381" spans="1:19">
      <c r="A5381" s="18" t="s">
        <v>5496</v>
      </c>
      <c r="B5381" s="1" t="s">
        <v>5563</v>
      </c>
      <c r="C5381" s="1" t="s">
        <v>5498</v>
      </c>
      <c r="D5381" s="1" t="s">
        <v>5499</v>
      </c>
      <c r="E5381" s="1" t="s">
        <v>5500</v>
      </c>
      <c r="F5381">
        <f>VLOOKUP(E5381,Legends!$G$2:$I$100,2,FALSE)</f>
        <v>443.1</v>
      </c>
      <c r="G5381">
        <f>VLOOKUP(E5381,Legends!$G$2:$I$100,3,FALSE)</f>
        <v>486.65</v>
      </c>
      <c r="H5381">
        <v>299</v>
      </c>
      <c r="I5381" s="1" t="s">
        <v>1528</v>
      </c>
      <c r="J5381" s="1" t="s">
        <v>5501</v>
      </c>
      <c r="K5381" s="1" t="s">
        <v>25</v>
      </c>
      <c r="L5381">
        <v>-1.1399999999999999</v>
      </c>
      <c r="M5381" s="1" t="s">
        <v>23</v>
      </c>
      <c r="N5381" s="1" t="s">
        <v>230</v>
      </c>
      <c r="O5381" s="1" t="s">
        <v>25</v>
      </c>
      <c r="P5381" s="3" t="s">
        <v>25</v>
      </c>
      <c r="Q5381" s="37">
        <v>0.85</v>
      </c>
      <c r="R5381" s="1" t="s">
        <v>231</v>
      </c>
      <c r="S5381" s="13">
        <f t="shared" si="234"/>
        <v>-1.1399999999999999</v>
      </c>
    </row>
    <row r="5382" spans="1:19">
      <c r="A5382" s="18" t="s">
        <v>5496</v>
      </c>
      <c r="B5382" s="1" t="s">
        <v>5564</v>
      </c>
      <c r="C5382" s="1" t="s">
        <v>5498</v>
      </c>
      <c r="D5382" s="1" t="s">
        <v>5499</v>
      </c>
      <c r="E5382" s="1" t="s">
        <v>5500</v>
      </c>
      <c r="F5382">
        <f>VLOOKUP(E5382,Legends!$G$2:$I$100,2,FALSE)</f>
        <v>443.1</v>
      </c>
      <c r="G5382">
        <f>VLOOKUP(E5382,Legends!$G$2:$I$100,3,FALSE)</f>
        <v>486.65</v>
      </c>
      <c r="H5382">
        <v>391</v>
      </c>
      <c r="I5382" s="1" t="s">
        <v>1528</v>
      </c>
      <c r="J5382" s="1" t="s">
        <v>5501</v>
      </c>
      <c r="K5382" s="1" t="s">
        <v>25</v>
      </c>
      <c r="L5382">
        <v>-1.27</v>
      </c>
      <c r="M5382" s="1" t="s">
        <v>23</v>
      </c>
      <c r="N5382" s="1" t="s">
        <v>230</v>
      </c>
      <c r="O5382" s="1" t="s">
        <v>25</v>
      </c>
      <c r="P5382" s="3" t="s">
        <v>25</v>
      </c>
      <c r="Q5382" s="37">
        <v>0.99</v>
      </c>
      <c r="R5382" s="1" t="s">
        <v>231</v>
      </c>
      <c r="S5382" s="13">
        <f t="shared" si="234"/>
        <v>-1.27</v>
      </c>
    </row>
    <row r="5383" spans="1:19">
      <c r="A5383" s="18" t="s">
        <v>5496</v>
      </c>
      <c r="B5383" s="1" t="s">
        <v>5565</v>
      </c>
      <c r="C5383" s="1" t="s">
        <v>5498</v>
      </c>
      <c r="D5383" s="1" t="s">
        <v>5499</v>
      </c>
      <c r="E5383" s="1" t="s">
        <v>5500</v>
      </c>
      <c r="F5383">
        <f>VLOOKUP(E5383,Legends!$G$2:$I$100,2,FALSE)</f>
        <v>443.1</v>
      </c>
      <c r="G5383">
        <f>VLOOKUP(E5383,Legends!$G$2:$I$100,3,FALSE)</f>
        <v>486.65</v>
      </c>
      <c r="H5383">
        <v>337</v>
      </c>
      <c r="I5383" s="1" t="s">
        <v>1528</v>
      </c>
      <c r="J5383" s="1" t="s">
        <v>5501</v>
      </c>
      <c r="K5383" s="1" t="s">
        <v>25</v>
      </c>
      <c r="L5383">
        <v>-1.22</v>
      </c>
      <c r="M5383" s="1" t="s">
        <v>23</v>
      </c>
      <c r="N5383" s="1" t="s">
        <v>230</v>
      </c>
      <c r="O5383" s="1" t="s">
        <v>25</v>
      </c>
      <c r="P5383" s="3" t="s">
        <v>25</v>
      </c>
      <c r="Q5383" s="37">
        <v>0.23</v>
      </c>
      <c r="R5383" s="1" t="s">
        <v>231</v>
      </c>
      <c r="S5383" s="13">
        <f t="shared" si="234"/>
        <v>-1.22</v>
      </c>
    </row>
    <row r="5384" spans="1:19">
      <c r="A5384" s="18" t="s">
        <v>5496</v>
      </c>
      <c r="B5384" s="1" t="s">
        <v>5566</v>
      </c>
      <c r="C5384" s="1" t="s">
        <v>5498</v>
      </c>
      <c r="D5384" s="1" t="s">
        <v>5499</v>
      </c>
      <c r="E5384" s="1" t="s">
        <v>5500</v>
      </c>
      <c r="F5384">
        <f>VLOOKUP(E5384,Legends!$G$2:$I$100,2,FALSE)</f>
        <v>443.1</v>
      </c>
      <c r="G5384">
        <f>VLOOKUP(E5384,Legends!$G$2:$I$100,3,FALSE)</f>
        <v>486.65</v>
      </c>
      <c r="H5384">
        <v>416</v>
      </c>
      <c r="I5384" s="1" t="s">
        <v>1528</v>
      </c>
      <c r="J5384" s="1" t="s">
        <v>5501</v>
      </c>
      <c r="K5384" s="1" t="s">
        <v>25</v>
      </c>
      <c r="L5384">
        <v>-1.1000000000000001</v>
      </c>
      <c r="M5384" s="1" t="s">
        <v>23</v>
      </c>
      <c r="N5384" s="1" t="s">
        <v>230</v>
      </c>
      <c r="O5384" s="1" t="s">
        <v>25</v>
      </c>
      <c r="P5384" s="3" t="s">
        <v>25</v>
      </c>
      <c r="Q5384" s="37">
        <v>1.2</v>
      </c>
      <c r="R5384" s="1" t="s">
        <v>231</v>
      </c>
      <c r="S5384" s="13">
        <f t="shared" si="234"/>
        <v>-1.1000000000000001</v>
      </c>
    </row>
    <row r="5385" spans="1:19">
      <c r="A5385" s="18" t="s">
        <v>5496</v>
      </c>
      <c r="B5385" s="1" t="s">
        <v>5567</v>
      </c>
      <c r="C5385" s="1" t="s">
        <v>5498</v>
      </c>
      <c r="D5385" s="1" t="s">
        <v>5499</v>
      </c>
      <c r="E5385" s="1" t="s">
        <v>5500</v>
      </c>
      <c r="F5385">
        <f>VLOOKUP(E5385,Legends!$G$2:$I$100,2,FALSE)</f>
        <v>443.1</v>
      </c>
      <c r="G5385">
        <f>VLOOKUP(E5385,Legends!$G$2:$I$100,3,FALSE)</f>
        <v>486.65</v>
      </c>
      <c r="H5385">
        <v>300</v>
      </c>
      <c r="I5385" s="1" t="s">
        <v>1528</v>
      </c>
      <c r="J5385" s="1" t="s">
        <v>5501</v>
      </c>
      <c r="K5385" s="1" t="s">
        <v>25</v>
      </c>
      <c r="L5385">
        <v>-1.07</v>
      </c>
      <c r="M5385" s="1" t="s">
        <v>23</v>
      </c>
      <c r="N5385" s="1" t="s">
        <v>230</v>
      </c>
      <c r="O5385" s="1" t="s">
        <v>25</v>
      </c>
      <c r="P5385" s="3" t="s">
        <v>25</v>
      </c>
      <c r="Q5385" s="37">
        <v>1.02</v>
      </c>
      <c r="R5385" s="1" t="s">
        <v>231</v>
      </c>
      <c r="S5385" s="13">
        <f t="shared" si="234"/>
        <v>-1.07</v>
      </c>
    </row>
    <row r="5386" spans="1:19">
      <c r="A5386" s="18" t="s">
        <v>5496</v>
      </c>
      <c r="B5386" s="1" t="s">
        <v>5568</v>
      </c>
      <c r="C5386" s="1" t="s">
        <v>5498</v>
      </c>
      <c r="D5386" s="1" t="s">
        <v>5499</v>
      </c>
      <c r="E5386" s="1" t="s">
        <v>5500</v>
      </c>
      <c r="F5386">
        <f>VLOOKUP(E5386,Legends!$G$2:$I$100,2,FALSE)</f>
        <v>443.1</v>
      </c>
      <c r="G5386">
        <f>VLOOKUP(E5386,Legends!$G$2:$I$100,3,FALSE)</f>
        <v>486.65</v>
      </c>
      <c r="H5386">
        <v>589</v>
      </c>
      <c r="I5386" s="1" t="s">
        <v>1528</v>
      </c>
      <c r="J5386" s="1" t="s">
        <v>5501</v>
      </c>
      <c r="K5386" s="1" t="s">
        <v>25</v>
      </c>
      <c r="L5386">
        <v>-1.25</v>
      </c>
      <c r="M5386" s="1" t="s">
        <v>23</v>
      </c>
      <c r="N5386" s="1" t="s">
        <v>230</v>
      </c>
      <c r="O5386" s="1" t="s">
        <v>25</v>
      </c>
      <c r="P5386" s="3" t="s">
        <v>25</v>
      </c>
      <c r="Q5386" s="37">
        <v>2.0299999999999998</v>
      </c>
      <c r="R5386" s="1" t="s">
        <v>231</v>
      </c>
      <c r="S5386" s="13">
        <f t="shared" si="234"/>
        <v>-1.25</v>
      </c>
    </row>
    <row r="5387" spans="1:19">
      <c r="A5387" s="18" t="s">
        <v>5496</v>
      </c>
      <c r="B5387" s="1" t="s">
        <v>5569</v>
      </c>
      <c r="C5387" s="1" t="s">
        <v>5498</v>
      </c>
      <c r="D5387" s="1" t="s">
        <v>5499</v>
      </c>
      <c r="E5387" s="1" t="s">
        <v>5500</v>
      </c>
      <c r="F5387">
        <f>VLOOKUP(E5387,Legends!$G$2:$I$100,2,FALSE)</f>
        <v>443.1</v>
      </c>
      <c r="G5387">
        <f>VLOOKUP(E5387,Legends!$G$2:$I$100,3,FALSE)</f>
        <v>486.65</v>
      </c>
      <c r="H5387">
        <v>382</v>
      </c>
      <c r="I5387" s="1" t="s">
        <v>1528</v>
      </c>
      <c r="J5387" s="1" t="s">
        <v>5501</v>
      </c>
      <c r="K5387" s="1" t="s">
        <v>25</v>
      </c>
      <c r="L5387">
        <v>-1.1499999999999999</v>
      </c>
      <c r="M5387" s="1" t="s">
        <v>23</v>
      </c>
      <c r="N5387" s="1" t="s">
        <v>230</v>
      </c>
      <c r="O5387" s="1" t="s">
        <v>25</v>
      </c>
      <c r="P5387" s="3" t="s">
        <v>25</v>
      </c>
      <c r="Q5387" s="37">
        <v>0.61</v>
      </c>
      <c r="R5387" s="1" t="s">
        <v>231</v>
      </c>
      <c r="S5387" s="13">
        <f t="shared" si="234"/>
        <v>-1.1499999999999999</v>
      </c>
    </row>
    <row r="5388" spans="1:19">
      <c r="A5388" s="18" t="s">
        <v>5496</v>
      </c>
      <c r="B5388" s="1" t="s">
        <v>5570</v>
      </c>
      <c r="C5388" s="1" t="s">
        <v>5498</v>
      </c>
      <c r="D5388" s="1" t="s">
        <v>5499</v>
      </c>
      <c r="E5388" s="1" t="s">
        <v>5500</v>
      </c>
      <c r="F5388">
        <f>VLOOKUP(E5388,Legends!$G$2:$I$100,2,FALSE)</f>
        <v>443.1</v>
      </c>
      <c r="G5388">
        <f>VLOOKUP(E5388,Legends!$G$2:$I$100,3,FALSE)</f>
        <v>486.65</v>
      </c>
      <c r="H5388">
        <v>484</v>
      </c>
      <c r="I5388" s="1" t="s">
        <v>1528</v>
      </c>
      <c r="J5388" s="1" t="s">
        <v>5501</v>
      </c>
      <c r="K5388" s="1" t="s">
        <v>25</v>
      </c>
      <c r="L5388">
        <v>-1.04</v>
      </c>
      <c r="M5388" s="1" t="s">
        <v>23</v>
      </c>
      <c r="N5388" s="1" t="s">
        <v>230</v>
      </c>
      <c r="O5388" s="1" t="s">
        <v>25</v>
      </c>
      <c r="P5388" s="3" t="s">
        <v>25</v>
      </c>
      <c r="Q5388" s="37">
        <v>1.21</v>
      </c>
      <c r="R5388" s="1" t="s">
        <v>231</v>
      </c>
      <c r="S5388" s="13">
        <f t="shared" si="234"/>
        <v>-1.04</v>
      </c>
    </row>
    <row r="5389" spans="1:19">
      <c r="A5389" s="18" t="s">
        <v>5496</v>
      </c>
      <c r="B5389" s="1" t="s">
        <v>5571</v>
      </c>
      <c r="C5389" s="1" t="s">
        <v>5498</v>
      </c>
      <c r="D5389" s="1" t="s">
        <v>5499</v>
      </c>
      <c r="E5389" s="1" t="s">
        <v>5500</v>
      </c>
      <c r="F5389">
        <f>VLOOKUP(E5389,Legends!$G$2:$I$100,2,FALSE)</f>
        <v>443.1</v>
      </c>
      <c r="G5389">
        <f>VLOOKUP(E5389,Legends!$G$2:$I$100,3,FALSE)</f>
        <v>486.65</v>
      </c>
      <c r="H5389">
        <v>304</v>
      </c>
      <c r="I5389" s="1" t="s">
        <v>1528</v>
      </c>
      <c r="J5389" s="1" t="s">
        <v>5501</v>
      </c>
      <c r="K5389" s="1" t="s">
        <v>25</v>
      </c>
      <c r="L5389">
        <v>-1.21</v>
      </c>
      <c r="M5389" s="1" t="s">
        <v>23</v>
      </c>
      <c r="N5389" s="1" t="s">
        <v>230</v>
      </c>
      <c r="O5389" s="1" t="s">
        <v>25</v>
      </c>
      <c r="P5389" s="3" t="s">
        <v>25</v>
      </c>
      <c r="Q5389" s="37">
        <v>0.99</v>
      </c>
      <c r="R5389" s="1" t="s">
        <v>231</v>
      </c>
      <c r="S5389" s="13">
        <f t="shared" si="234"/>
        <v>-1.21</v>
      </c>
    </row>
    <row r="5390" spans="1:19">
      <c r="A5390" s="18" t="s">
        <v>5496</v>
      </c>
      <c r="B5390" s="1" t="s">
        <v>5572</v>
      </c>
      <c r="C5390" s="1" t="s">
        <v>5498</v>
      </c>
      <c r="D5390" s="1" t="s">
        <v>5499</v>
      </c>
      <c r="E5390" s="1" t="s">
        <v>5500</v>
      </c>
      <c r="F5390">
        <f>VLOOKUP(E5390,Legends!$G$2:$I$100,2,FALSE)</f>
        <v>443.1</v>
      </c>
      <c r="G5390">
        <f>VLOOKUP(E5390,Legends!$G$2:$I$100,3,FALSE)</f>
        <v>486.65</v>
      </c>
      <c r="H5390">
        <v>476</v>
      </c>
      <c r="I5390" s="1" t="s">
        <v>1528</v>
      </c>
      <c r="J5390" s="1" t="s">
        <v>5501</v>
      </c>
      <c r="K5390" s="1" t="s">
        <v>25</v>
      </c>
      <c r="L5390">
        <v>-1.1599999999999999</v>
      </c>
      <c r="M5390" s="1" t="s">
        <v>23</v>
      </c>
      <c r="N5390" s="1" t="s">
        <v>230</v>
      </c>
      <c r="O5390" s="1" t="s">
        <v>25</v>
      </c>
      <c r="P5390" s="3" t="s">
        <v>25</v>
      </c>
      <c r="Q5390" s="37">
        <v>1.03</v>
      </c>
      <c r="R5390" s="1" t="s">
        <v>231</v>
      </c>
      <c r="S5390" s="13">
        <f t="shared" si="234"/>
        <v>-1.1599999999999999</v>
      </c>
    </row>
    <row r="5391" spans="1:19">
      <c r="A5391" s="18" t="s">
        <v>5496</v>
      </c>
      <c r="B5391" s="1" t="s">
        <v>5573</v>
      </c>
      <c r="C5391" s="1" t="s">
        <v>5498</v>
      </c>
      <c r="D5391" s="1" t="s">
        <v>5499</v>
      </c>
      <c r="E5391" s="1" t="s">
        <v>5500</v>
      </c>
      <c r="F5391">
        <f>VLOOKUP(E5391,Legends!$G$2:$I$100,2,FALSE)</f>
        <v>443.1</v>
      </c>
      <c r="G5391">
        <f>VLOOKUP(E5391,Legends!$G$2:$I$100,3,FALSE)</f>
        <v>486.65</v>
      </c>
      <c r="H5391">
        <v>556</v>
      </c>
      <c r="I5391" s="1" t="s">
        <v>1528</v>
      </c>
      <c r="J5391" s="1" t="s">
        <v>5501</v>
      </c>
      <c r="K5391" s="1" t="s">
        <v>25</v>
      </c>
      <c r="L5391">
        <v>-1.03</v>
      </c>
      <c r="M5391" s="1" t="s">
        <v>23</v>
      </c>
      <c r="N5391" s="1" t="s">
        <v>230</v>
      </c>
      <c r="O5391" s="1" t="s">
        <v>25</v>
      </c>
      <c r="P5391" s="3" t="s">
        <v>25</v>
      </c>
      <c r="Q5391" s="37">
        <v>2.2000000000000002</v>
      </c>
      <c r="R5391" s="1" t="s">
        <v>231</v>
      </c>
      <c r="S5391" s="13">
        <f t="shared" si="234"/>
        <v>-1.03</v>
      </c>
    </row>
    <row r="5392" spans="1:19">
      <c r="A5392" s="18" t="s">
        <v>5496</v>
      </c>
      <c r="B5392" s="1" t="s">
        <v>5574</v>
      </c>
      <c r="C5392" s="1" t="s">
        <v>5498</v>
      </c>
      <c r="D5392" s="1" t="s">
        <v>5499</v>
      </c>
      <c r="E5392" s="1" t="s">
        <v>5500</v>
      </c>
      <c r="F5392">
        <f>VLOOKUP(E5392,Legends!$G$2:$I$100,2,FALSE)</f>
        <v>443.1</v>
      </c>
      <c r="G5392">
        <f>VLOOKUP(E5392,Legends!$G$2:$I$100,3,FALSE)</f>
        <v>486.65</v>
      </c>
      <c r="H5392">
        <v>260</v>
      </c>
      <c r="I5392" s="1" t="s">
        <v>1528</v>
      </c>
      <c r="J5392" s="1" t="s">
        <v>5501</v>
      </c>
      <c r="K5392" s="1" t="s">
        <v>25</v>
      </c>
      <c r="L5392">
        <v>-1.05</v>
      </c>
      <c r="M5392" s="1" t="s">
        <v>23</v>
      </c>
      <c r="N5392" s="1" t="s">
        <v>230</v>
      </c>
      <c r="O5392" s="1" t="s">
        <v>25</v>
      </c>
      <c r="P5392" s="3" t="s">
        <v>25</v>
      </c>
      <c r="Q5392" s="37">
        <v>0.94</v>
      </c>
      <c r="R5392" s="1" t="s">
        <v>231</v>
      </c>
      <c r="S5392" s="13">
        <f t="shared" si="234"/>
        <v>-1.05</v>
      </c>
    </row>
    <row r="5393" spans="1:19">
      <c r="A5393" s="18" t="s">
        <v>5496</v>
      </c>
      <c r="B5393" s="1" t="s">
        <v>5575</v>
      </c>
      <c r="C5393" s="1" t="s">
        <v>5498</v>
      </c>
      <c r="D5393" s="1" t="s">
        <v>5499</v>
      </c>
      <c r="E5393" s="1" t="s">
        <v>5500</v>
      </c>
      <c r="F5393">
        <f>VLOOKUP(E5393,Legends!$G$2:$I$100,2,FALSE)</f>
        <v>443.1</v>
      </c>
      <c r="G5393">
        <f>VLOOKUP(E5393,Legends!$G$2:$I$100,3,FALSE)</f>
        <v>486.65</v>
      </c>
      <c r="H5393">
        <v>929</v>
      </c>
      <c r="I5393" s="1" t="s">
        <v>1528</v>
      </c>
      <c r="J5393" s="1" t="s">
        <v>5501</v>
      </c>
      <c r="K5393" s="1" t="s">
        <v>25</v>
      </c>
      <c r="L5393">
        <v>-1.1299999999999999</v>
      </c>
      <c r="M5393" s="1" t="s">
        <v>23</v>
      </c>
      <c r="N5393" s="1" t="s">
        <v>230</v>
      </c>
      <c r="O5393" s="1" t="s">
        <v>25</v>
      </c>
      <c r="P5393" s="3" t="s">
        <v>25</v>
      </c>
      <c r="Q5393" s="37">
        <v>1.51</v>
      </c>
      <c r="R5393" s="1" t="s">
        <v>231</v>
      </c>
      <c r="S5393" s="13">
        <f t="shared" si="234"/>
        <v>-1.1299999999999999</v>
      </c>
    </row>
    <row r="5394" spans="1:19">
      <c r="A5394" s="18" t="s">
        <v>5496</v>
      </c>
      <c r="B5394" s="1" t="s">
        <v>5576</v>
      </c>
      <c r="C5394" s="1" t="s">
        <v>5498</v>
      </c>
      <c r="D5394" s="1" t="s">
        <v>5499</v>
      </c>
      <c r="E5394" s="1" t="s">
        <v>5500</v>
      </c>
      <c r="F5394">
        <f>VLOOKUP(E5394,Legends!$G$2:$I$100,2,FALSE)</f>
        <v>443.1</v>
      </c>
      <c r="G5394">
        <f>VLOOKUP(E5394,Legends!$G$2:$I$100,3,FALSE)</f>
        <v>486.65</v>
      </c>
      <c r="H5394">
        <v>516</v>
      </c>
      <c r="I5394" s="1" t="s">
        <v>1528</v>
      </c>
      <c r="J5394" s="1" t="s">
        <v>5501</v>
      </c>
      <c r="K5394" s="1" t="s">
        <v>25</v>
      </c>
      <c r="L5394">
        <v>-1.1499999999999999</v>
      </c>
      <c r="M5394" s="1" t="s">
        <v>23</v>
      </c>
      <c r="N5394" s="1" t="s">
        <v>230</v>
      </c>
      <c r="O5394" s="1" t="s">
        <v>25</v>
      </c>
      <c r="P5394" s="3" t="s">
        <v>25</v>
      </c>
      <c r="Q5394" s="37">
        <v>0.57999999999999996</v>
      </c>
      <c r="R5394" s="1" t="s">
        <v>231</v>
      </c>
      <c r="S5394" s="13">
        <f t="shared" si="234"/>
        <v>-1.1499999999999999</v>
      </c>
    </row>
    <row r="5395" spans="1:19">
      <c r="A5395" s="18" t="s">
        <v>5496</v>
      </c>
      <c r="B5395" s="1" t="s">
        <v>5577</v>
      </c>
      <c r="C5395" s="1" t="s">
        <v>5498</v>
      </c>
      <c r="D5395" s="1" t="s">
        <v>5499</v>
      </c>
      <c r="E5395" s="1" t="s">
        <v>5500</v>
      </c>
      <c r="F5395">
        <f>VLOOKUP(E5395,Legends!$G$2:$I$100,2,FALSE)</f>
        <v>443.1</v>
      </c>
      <c r="G5395">
        <f>VLOOKUP(E5395,Legends!$G$2:$I$100,3,FALSE)</f>
        <v>486.65</v>
      </c>
      <c r="H5395">
        <v>362</v>
      </c>
      <c r="I5395" s="1" t="s">
        <v>1528</v>
      </c>
      <c r="J5395" s="1" t="s">
        <v>5501</v>
      </c>
      <c r="K5395" s="1" t="s">
        <v>25</v>
      </c>
      <c r="L5395">
        <v>-1.51</v>
      </c>
      <c r="M5395" s="1" t="s">
        <v>23</v>
      </c>
      <c r="N5395" s="1" t="s">
        <v>230</v>
      </c>
      <c r="O5395" s="1" t="s">
        <v>25</v>
      </c>
      <c r="P5395" s="3" t="s">
        <v>25</v>
      </c>
      <c r="Q5395" s="37">
        <v>1.29</v>
      </c>
      <c r="R5395" s="1" t="s">
        <v>231</v>
      </c>
      <c r="S5395" s="13">
        <f t="shared" si="234"/>
        <v>-1.51</v>
      </c>
    </row>
    <row r="5396" spans="1:19">
      <c r="A5396" s="18" t="s">
        <v>5496</v>
      </c>
      <c r="B5396" s="1" t="s">
        <v>5578</v>
      </c>
      <c r="C5396" s="1" t="s">
        <v>5498</v>
      </c>
      <c r="D5396" s="1" t="s">
        <v>5499</v>
      </c>
      <c r="E5396" s="1" t="s">
        <v>5500</v>
      </c>
      <c r="F5396">
        <f>VLOOKUP(E5396,Legends!$G$2:$I$100,2,FALSE)</f>
        <v>443.1</v>
      </c>
      <c r="G5396">
        <f>VLOOKUP(E5396,Legends!$G$2:$I$100,3,FALSE)</f>
        <v>486.65</v>
      </c>
      <c r="H5396">
        <v>539</v>
      </c>
      <c r="I5396" s="1" t="s">
        <v>1528</v>
      </c>
      <c r="J5396" s="1" t="s">
        <v>5501</v>
      </c>
      <c r="K5396" s="1" t="s">
        <v>25</v>
      </c>
      <c r="L5396">
        <v>-1.48</v>
      </c>
      <c r="M5396" s="1" t="s">
        <v>23</v>
      </c>
      <c r="N5396" s="1" t="s">
        <v>230</v>
      </c>
      <c r="O5396" s="1" t="s">
        <v>25</v>
      </c>
      <c r="P5396" s="3" t="s">
        <v>25</v>
      </c>
      <c r="Q5396" s="37">
        <v>1.06</v>
      </c>
      <c r="R5396" s="1" t="s">
        <v>231</v>
      </c>
      <c r="S5396" s="13">
        <f t="shared" si="234"/>
        <v>-1.48</v>
      </c>
    </row>
    <row r="5397" spans="1:19">
      <c r="A5397" s="18" t="s">
        <v>5496</v>
      </c>
      <c r="B5397" s="1" t="s">
        <v>5579</v>
      </c>
      <c r="C5397" s="1" t="s">
        <v>5498</v>
      </c>
      <c r="D5397" s="1" t="s">
        <v>5499</v>
      </c>
      <c r="E5397" s="1" t="s">
        <v>5500</v>
      </c>
      <c r="F5397">
        <f>VLOOKUP(E5397,Legends!$G$2:$I$100,2,FALSE)</f>
        <v>443.1</v>
      </c>
      <c r="G5397">
        <f>VLOOKUP(E5397,Legends!$G$2:$I$100,3,FALSE)</f>
        <v>486.65</v>
      </c>
      <c r="H5397">
        <v>322</v>
      </c>
      <c r="I5397" s="1" t="s">
        <v>1528</v>
      </c>
      <c r="J5397" s="1" t="s">
        <v>5501</v>
      </c>
      <c r="K5397" s="1" t="s">
        <v>25</v>
      </c>
      <c r="L5397">
        <v>-1.26</v>
      </c>
      <c r="M5397" s="1" t="s">
        <v>23</v>
      </c>
      <c r="N5397" s="1" t="s">
        <v>230</v>
      </c>
      <c r="O5397" s="1" t="s">
        <v>25</v>
      </c>
      <c r="P5397" s="3" t="s">
        <v>25</v>
      </c>
      <c r="Q5397" s="37">
        <v>0.93</v>
      </c>
      <c r="R5397" s="1" t="s">
        <v>231</v>
      </c>
      <c r="S5397" s="13">
        <f t="shared" si="234"/>
        <v>-1.26</v>
      </c>
    </row>
    <row r="5398" spans="1:19">
      <c r="A5398" s="18" t="s">
        <v>5496</v>
      </c>
      <c r="B5398" s="1" t="s">
        <v>5580</v>
      </c>
      <c r="C5398" s="1" t="s">
        <v>5498</v>
      </c>
      <c r="D5398" s="1" t="s">
        <v>5499</v>
      </c>
      <c r="E5398" s="1" t="s">
        <v>5500</v>
      </c>
      <c r="F5398">
        <f>VLOOKUP(E5398,Legends!$G$2:$I$100,2,FALSE)</f>
        <v>443.1</v>
      </c>
      <c r="G5398">
        <f>VLOOKUP(E5398,Legends!$G$2:$I$100,3,FALSE)</f>
        <v>486.65</v>
      </c>
      <c r="H5398">
        <v>521</v>
      </c>
      <c r="I5398" s="1" t="s">
        <v>1528</v>
      </c>
      <c r="J5398" s="1" t="s">
        <v>5501</v>
      </c>
      <c r="K5398" s="1" t="s">
        <v>25</v>
      </c>
      <c r="L5398">
        <v>-1.4</v>
      </c>
      <c r="M5398" s="1" t="s">
        <v>23</v>
      </c>
      <c r="N5398" s="1" t="s">
        <v>230</v>
      </c>
      <c r="O5398" s="1" t="s">
        <v>25</v>
      </c>
      <c r="P5398" s="3" t="s">
        <v>25</v>
      </c>
      <c r="Q5398" s="37">
        <v>0.92</v>
      </c>
      <c r="R5398" s="1" t="s">
        <v>231</v>
      </c>
      <c r="S5398" s="13">
        <f t="shared" si="234"/>
        <v>-1.4</v>
      </c>
    </row>
    <row r="5399" spans="1:19">
      <c r="A5399" s="18" t="s">
        <v>5496</v>
      </c>
      <c r="B5399" s="1" t="s">
        <v>5581</v>
      </c>
      <c r="C5399" s="1" t="s">
        <v>5498</v>
      </c>
      <c r="D5399" s="1" t="s">
        <v>5499</v>
      </c>
      <c r="E5399" s="1" t="s">
        <v>5500</v>
      </c>
      <c r="F5399">
        <f>VLOOKUP(E5399,Legends!$G$2:$I$100,2,FALSE)</f>
        <v>443.1</v>
      </c>
      <c r="G5399">
        <f>VLOOKUP(E5399,Legends!$G$2:$I$100,3,FALSE)</f>
        <v>486.65</v>
      </c>
      <c r="H5399">
        <v>369</v>
      </c>
      <c r="I5399" s="1" t="s">
        <v>1528</v>
      </c>
      <c r="J5399" s="1" t="s">
        <v>5501</v>
      </c>
      <c r="K5399" s="1" t="s">
        <v>25</v>
      </c>
      <c r="L5399">
        <v>-1.6</v>
      </c>
      <c r="M5399" s="1" t="s">
        <v>23</v>
      </c>
      <c r="N5399" s="1" t="s">
        <v>230</v>
      </c>
      <c r="O5399" s="1" t="s">
        <v>25</v>
      </c>
      <c r="P5399" s="3" t="s">
        <v>25</v>
      </c>
      <c r="Q5399" s="37">
        <v>1.63</v>
      </c>
      <c r="R5399" s="1" t="s">
        <v>231</v>
      </c>
      <c r="S5399" s="13">
        <f t="shared" si="234"/>
        <v>-1.6</v>
      </c>
    </row>
    <row r="5400" spans="1:19">
      <c r="A5400" s="18" t="s">
        <v>5496</v>
      </c>
      <c r="B5400" s="1" t="s">
        <v>5582</v>
      </c>
      <c r="C5400" s="1" t="s">
        <v>5498</v>
      </c>
      <c r="D5400" s="1" t="s">
        <v>5499</v>
      </c>
      <c r="E5400" s="1" t="s">
        <v>5500</v>
      </c>
      <c r="F5400">
        <f>VLOOKUP(E5400,Legends!$G$2:$I$100,2,FALSE)</f>
        <v>443.1</v>
      </c>
      <c r="G5400">
        <f>VLOOKUP(E5400,Legends!$G$2:$I$100,3,FALSE)</f>
        <v>486.65</v>
      </c>
      <c r="H5400">
        <v>423</v>
      </c>
      <c r="I5400" s="1" t="s">
        <v>1528</v>
      </c>
      <c r="J5400" s="1" t="s">
        <v>5501</v>
      </c>
      <c r="K5400" s="1" t="s">
        <v>25</v>
      </c>
      <c r="L5400">
        <v>-1.1000000000000001</v>
      </c>
      <c r="M5400" s="1" t="s">
        <v>23</v>
      </c>
      <c r="N5400" s="1" t="s">
        <v>230</v>
      </c>
      <c r="O5400" s="1" t="s">
        <v>25</v>
      </c>
      <c r="P5400" s="3" t="s">
        <v>25</v>
      </c>
      <c r="Q5400" s="37">
        <v>0.77</v>
      </c>
      <c r="R5400" s="1" t="s">
        <v>231</v>
      </c>
      <c r="S5400" s="13">
        <f t="shared" si="234"/>
        <v>-1.1000000000000001</v>
      </c>
    </row>
    <row r="5401" spans="1:19">
      <c r="A5401" s="18" t="s">
        <v>5496</v>
      </c>
      <c r="B5401" s="1" t="s">
        <v>5583</v>
      </c>
      <c r="C5401" s="1" t="s">
        <v>5498</v>
      </c>
      <c r="D5401" s="1" t="s">
        <v>5499</v>
      </c>
      <c r="E5401" s="1" t="s">
        <v>5500</v>
      </c>
      <c r="F5401">
        <f>VLOOKUP(E5401,Legends!$G$2:$I$100,2,FALSE)</f>
        <v>443.1</v>
      </c>
      <c r="G5401">
        <f>VLOOKUP(E5401,Legends!$G$2:$I$100,3,FALSE)</f>
        <v>486.65</v>
      </c>
      <c r="H5401">
        <v>448</v>
      </c>
      <c r="I5401" s="1" t="s">
        <v>1528</v>
      </c>
      <c r="J5401" s="1" t="s">
        <v>5501</v>
      </c>
      <c r="K5401" s="1" t="s">
        <v>25</v>
      </c>
      <c r="L5401">
        <v>-0.96</v>
      </c>
      <c r="M5401" s="1" t="s">
        <v>23</v>
      </c>
      <c r="N5401" s="1" t="s">
        <v>230</v>
      </c>
      <c r="O5401" s="1" t="s">
        <v>25</v>
      </c>
      <c r="P5401" s="3" t="s">
        <v>25</v>
      </c>
      <c r="Q5401" s="37">
        <v>0.77</v>
      </c>
      <c r="R5401" s="1" t="s">
        <v>231</v>
      </c>
      <c r="S5401" s="13">
        <f t="shared" si="234"/>
        <v>-0.96</v>
      </c>
    </row>
    <row r="5402" spans="1:19">
      <c r="A5402" s="18" t="s">
        <v>5496</v>
      </c>
      <c r="B5402" s="1" t="s">
        <v>5584</v>
      </c>
      <c r="C5402" s="1" t="s">
        <v>5498</v>
      </c>
      <c r="D5402" s="1" t="s">
        <v>5499</v>
      </c>
      <c r="E5402" s="1" t="s">
        <v>5500</v>
      </c>
      <c r="F5402">
        <f>VLOOKUP(E5402,Legends!$G$2:$I$100,2,FALSE)</f>
        <v>443.1</v>
      </c>
      <c r="G5402">
        <f>VLOOKUP(E5402,Legends!$G$2:$I$100,3,FALSE)</f>
        <v>486.65</v>
      </c>
      <c r="H5402">
        <v>499</v>
      </c>
      <c r="I5402" s="1" t="s">
        <v>1528</v>
      </c>
      <c r="J5402" s="1" t="s">
        <v>5501</v>
      </c>
      <c r="K5402" s="1" t="s">
        <v>25</v>
      </c>
      <c r="L5402">
        <v>-1.34</v>
      </c>
      <c r="M5402" s="1" t="s">
        <v>23</v>
      </c>
      <c r="N5402" s="1" t="s">
        <v>230</v>
      </c>
      <c r="O5402" s="1" t="s">
        <v>25</v>
      </c>
      <c r="P5402" s="3" t="s">
        <v>25</v>
      </c>
      <c r="Q5402" s="37">
        <v>1.18</v>
      </c>
      <c r="R5402" s="1" t="s">
        <v>231</v>
      </c>
      <c r="S5402" s="13">
        <f t="shared" si="234"/>
        <v>-1.34</v>
      </c>
    </row>
    <row r="5403" spans="1:19">
      <c r="A5403" s="18" t="s">
        <v>5496</v>
      </c>
      <c r="B5403" s="1" t="s">
        <v>5585</v>
      </c>
      <c r="C5403" s="1" t="s">
        <v>5498</v>
      </c>
      <c r="D5403" s="1" t="s">
        <v>5499</v>
      </c>
      <c r="E5403" s="1" t="s">
        <v>5500</v>
      </c>
      <c r="F5403">
        <f>VLOOKUP(E5403,Legends!$G$2:$I$100,2,FALSE)</f>
        <v>443.1</v>
      </c>
      <c r="G5403">
        <f>VLOOKUP(E5403,Legends!$G$2:$I$100,3,FALSE)</f>
        <v>486.65</v>
      </c>
      <c r="H5403">
        <v>364</v>
      </c>
      <c r="I5403" s="1" t="s">
        <v>1528</v>
      </c>
      <c r="J5403" s="1" t="s">
        <v>5501</v>
      </c>
      <c r="K5403" s="1" t="s">
        <v>25</v>
      </c>
      <c r="L5403">
        <v>-0.96</v>
      </c>
      <c r="M5403" s="1" t="s">
        <v>23</v>
      </c>
      <c r="N5403" s="1" t="s">
        <v>230</v>
      </c>
      <c r="O5403" s="1" t="s">
        <v>25</v>
      </c>
      <c r="P5403" s="3" t="s">
        <v>25</v>
      </c>
      <c r="Q5403" s="37">
        <v>0.5</v>
      </c>
      <c r="R5403" s="1" t="s">
        <v>231</v>
      </c>
      <c r="S5403" s="13">
        <f t="shared" si="234"/>
        <v>-0.96</v>
      </c>
    </row>
    <row r="5404" spans="1:19">
      <c r="A5404" s="18" t="s">
        <v>5496</v>
      </c>
      <c r="B5404" s="1" t="s">
        <v>5586</v>
      </c>
      <c r="C5404" s="1" t="s">
        <v>5498</v>
      </c>
      <c r="D5404" s="1" t="s">
        <v>5499</v>
      </c>
      <c r="E5404" s="1" t="s">
        <v>5500</v>
      </c>
      <c r="F5404">
        <f>VLOOKUP(E5404,Legends!$G$2:$I$100,2,FALSE)</f>
        <v>443.1</v>
      </c>
      <c r="G5404">
        <f>VLOOKUP(E5404,Legends!$G$2:$I$100,3,FALSE)</f>
        <v>486.65</v>
      </c>
      <c r="H5404">
        <v>529</v>
      </c>
      <c r="I5404" s="1" t="s">
        <v>1528</v>
      </c>
      <c r="J5404" s="1" t="s">
        <v>5501</v>
      </c>
      <c r="K5404" s="1" t="s">
        <v>25</v>
      </c>
      <c r="L5404">
        <v>-1.43</v>
      </c>
      <c r="M5404" s="1" t="s">
        <v>23</v>
      </c>
      <c r="N5404" s="1" t="s">
        <v>230</v>
      </c>
      <c r="O5404" s="1" t="s">
        <v>25</v>
      </c>
      <c r="P5404" s="3" t="s">
        <v>25</v>
      </c>
      <c r="Q5404" s="37">
        <v>0.77</v>
      </c>
      <c r="R5404" s="1" t="s">
        <v>231</v>
      </c>
      <c r="S5404" s="13">
        <f t="shared" si="234"/>
        <v>-1.43</v>
      </c>
    </row>
    <row r="5405" spans="1:19">
      <c r="A5405" s="18" t="s">
        <v>5496</v>
      </c>
      <c r="B5405" s="1" t="s">
        <v>5587</v>
      </c>
      <c r="C5405" s="1" t="s">
        <v>5498</v>
      </c>
      <c r="D5405" s="1" t="s">
        <v>5499</v>
      </c>
      <c r="E5405" s="1" t="s">
        <v>5500</v>
      </c>
      <c r="F5405">
        <f>VLOOKUP(E5405,Legends!$G$2:$I$100,2,FALSE)</f>
        <v>443.1</v>
      </c>
      <c r="G5405">
        <f>VLOOKUP(E5405,Legends!$G$2:$I$100,3,FALSE)</f>
        <v>486.65</v>
      </c>
      <c r="H5405">
        <v>899</v>
      </c>
      <c r="I5405" s="1" t="s">
        <v>1528</v>
      </c>
      <c r="J5405" s="1" t="s">
        <v>5501</v>
      </c>
      <c r="K5405" s="1" t="s">
        <v>25</v>
      </c>
      <c r="L5405">
        <v>-1.23</v>
      </c>
      <c r="M5405" s="1" t="s">
        <v>23</v>
      </c>
      <c r="N5405" s="1" t="s">
        <v>230</v>
      </c>
      <c r="O5405" s="1" t="s">
        <v>25</v>
      </c>
      <c r="P5405" s="3" t="s">
        <v>25</v>
      </c>
      <c r="Q5405" s="37">
        <v>1.4</v>
      </c>
      <c r="R5405" s="1" t="s">
        <v>231</v>
      </c>
      <c r="S5405" s="13">
        <f t="shared" si="234"/>
        <v>-1.23</v>
      </c>
    </row>
    <row r="5406" spans="1:19">
      <c r="A5406" s="18" t="s">
        <v>5496</v>
      </c>
      <c r="B5406" s="1" t="s">
        <v>5588</v>
      </c>
      <c r="C5406" s="1" t="s">
        <v>5498</v>
      </c>
      <c r="D5406" s="1" t="s">
        <v>5499</v>
      </c>
      <c r="E5406" s="1" t="s">
        <v>5500</v>
      </c>
      <c r="F5406">
        <f>VLOOKUP(E5406,Legends!$G$2:$I$100,2,FALSE)</f>
        <v>443.1</v>
      </c>
      <c r="G5406">
        <f>VLOOKUP(E5406,Legends!$G$2:$I$100,3,FALSE)</f>
        <v>486.65</v>
      </c>
      <c r="H5406">
        <v>436</v>
      </c>
      <c r="I5406" s="1" t="s">
        <v>1528</v>
      </c>
      <c r="J5406" s="1" t="s">
        <v>5501</v>
      </c>
      <c r="K5406" s="1" t="s">
        <v>25</v>
      </c>
      <c r="L5406">
        <v>-1.07</v>
      </c>
      <c r="M5406" s="1" t="s">
        <v>23</v>
      </c>
      <c r="N5406" s="1" t="s">
        <v>230</v>
      </c>
      <c r="O5406" s="1" t="s">
        <v>25</v>
      </c>
      <c r="P5406" s="3" t="s">
        <v>25</v>
      </c>
      <c r="Q5406" s="37">
        <v>0.57999999999999996</v>
      </c>
      <c r="R5406" s="1" t="s">
        <v>231</v>
      </c>
      <c r="S5406" s="13">
        <f t="shared" si="234"/>
        <v>-1.07</v>
      </c>
    </row>
    <row r="5407" spans="1:19">
      <c r="A5407" s="18" t="s">
        <v>5496</v>
      </c>
      <c r="B5407" s="1" t="s">
        <v>5589</v>
      </c>
      <c r="C5407" s="1" t="s">
        <v>5498</v>
      </c>
      <c r="D5407" s="1" t="s">
        <v>5499</v>
      </c>
      <c r="E5407" s="1" t="s">
        <v>5500</v>
      </c>
      <c r="F5407">
        <f>VLOOKUP(E5407,Legends!$G$2:$I$100,2,FALSE)</f>
        <v>443.1</v>
      </c>
      <c r="G5407">
        <f>VLOOKUP(E5407,Legends!$G$2:$I$100,3,FALSE)</f>
        <v>486.65</v>
      </c>
      <c r="H5407">
        <v>359</v>
      </c>
      <c r="I5407" s="1" t="s">
        <v>1528</v>
      </c>
      <c r="J5407" s="1" t="s">
        <v>5501</v>
      </c>
      <c r="K5407" s="1" t="s">
        <v>25</v>
      </c>
      <c r="L5407">
        <v>-1.55</v>
      </c>
      <c r="M5407" s="1" t="s">
        <v>23</v>
      </c>
      <c r="N5407" s="1" t="s">
        <v>230</v>
      </c>
      <c r="O5407" s="1" t="s">
        <v>25</v>
      </c>
      <c r="P5407" s="3" t="s">
        <v>25</v>
      </c>
      <c r="Q5407" s="37">
        <v>1.77</v>
      </c>
      <c r="R5407" s="1" t="s">
        <v>231</v>
      </c>
      <c r="S5407" s="13">
        <f t="shared" si="234"/>
        <v>-1.55</v>
      </c>
    </row>
    <row r="5408" spans="1:19">
      <c r="A5408" s="18" t="s">
        <v>5496</v>
      </c>
      <c r="B5408" s="1" t="s">
        <v>5590</v>
      </c>
      <c r="C5408" s="1" t="s">
        <v>5498</v>
      </c>
      <c r="D5408" s="1" t="s">
        <v>5499</v>
      </c>
      <c r="E5408" s="1" t="s">
        <v>5500</v>
      </c>
      <c r="F5408">
        <f>VLOOKUP(E5408,Legends!$G$2:$I$100,2,FALSE)</f>
        <v>443.1</v>
      </c>
      <c r="G5408">
        <f>VLOOKUP(E5408,Legends!$G$2:$I$100,3,FALSE)</f>
        <v>486.65</v>
      </c>
      <c r="H5408">
        <v>614</v>
      </c>
      <c r="I5408" s="1" t="s">
        <v>1528</v>
      </c>
      <c r="J5408" s="1" t="s">
        <v>5501</v>
      </c>
      <c r="K5408" s="1" t="s">
        <v>25</v>
      </c>
      <c r="L5408">
        <v>-1.01</v>
      </c>
      <c r="M5408" s="1" t="s">
        <v>23</v>
      </c>
      <c r="N5408" s="1" t="s">
        <v>230</v>
      </c>
      <c r="O5408" s="1" t="s">
        <v>25</v>
      </c>
      <c r="P5408" s="3" t="s">
        <v>25</v>
      </c>
      <c r="Q5408" s="37">
        <v>0.89</v>
      </c>
      <c r="R5408" s="1" t="s">
        <v>231</v>
      </c>
      <c r="S5408" s="13">
        <f t="shared" si="234"/>
        <v>-1.01</v>
      </c>
    </row>
    <row r="5409" spans="1:19">
      <c r="A5409" s="18" t="s">
        <v>5496</v>
      </c>
      <c r="B5409" s="1" t="s">
        <v>5591</v>
      </c>
      <c r="C5409" s="1" t="s">
        <v>5498</v>
      </c>
      <c r="D5409" s="1" t="s">
        <v>5499</v>
      </c>
      <c r="E5409" s="1" t="s">
        <v>5500</v>
      </c>
      <c r="F5409">
        <f>VLOOKUP(E5409,Legends!$G$2:$I$100,2,FALSE)</f>
        <v>443.1</v>
      </c>
      <c r="G5409">
        <f>VLOOKUP(E5409,Legends!$G$2:$I$100,3,FALSE)</f>
        <v>486.65</v>
      </c>
      <c r="H5409">
        <v>1076</v>
      </c>
      <c r="I5409" s="1" t="s">
        <v>1528</v>
      </c>
      <c r="J5409" s="1" t="s">
        <v>5501</v>
      </c>
      <c r="K5409" s="1" t="s">
        <v>25</v>
      </c>
      <c r="L5409">
        <v>-1.35</v>
      </c>
      <c r="M5409" s="1" t="s">
        <v>23</v>
      </c>
      <c r="N5409" s="1" t="s">
        <v>230</v>
      </c>
      <c r="O5409" s="1" t="s">
        <v>25</v>
      </c>
      <c r="P5409" s="3" t="s">
        <v>25</v>
      </c>
      <c r="Q5409" s="37">
        <v>1.71</v>
      </c>
      <c r="R5409" s="1" t="s">
        <v>231</v>
      </c>
      <c r="S5409" s="13">
        <f t="shared" si="234"/>
        <v>-1.35</v>
      </c>
    </row>
    <row r="5410" spans="1:19">
      <c r="A5410" s="18" t="s">
        <v>5496</v>
      </c>
      <c r="B5410" s="1" t="s">
        <v>5592</v>
      </c>
      <c r="C5410" s="1" t="s">
        <v>5498</v>
      </c>
      <c r="D5410" s="1" t="s">
        <v>5499</v>
      </c>
      <c r="E5410" s="1" t="s">
        <v>5500</v>
      </c>
      <c r="F5410">
        <f>VLOOKUP(E5410,Legends!$G$2:$I$100,2,FALSE)</f>
        <v>443.1</v>
      </c>
      <c r="G5410">
        <f>VLOOKUP(E5410,Legends!$G$2:$I$100,3,FALSE)</f>
        <v>486.65</v>
      </c>
      <c r="H5410">
        <v>357</v>
      </c>
      <c r="I5410" s="1" t="s">
        <v>1528</v>
      </c>
      <c r="J5410" s="1" t="s">
        <v>5501</v>
      </c>
      <c r="K5410" s="1" t="s">
        <v>25</v>
      </c>
      <c r="L5410">
        <v>-1.39</v>
      </c>
      <c r="M5410" s="1" t="s">
        <v>23</v>
      </c>
      <c r="N5410" s="1" t="s">
        <v>230</v>
      </c>
      <c r="O5410" s="1" t="s">
        <v>25</v>
      </c>
      <c r="P5410" s="3" t="s">
        <v>25</v>
      </c>
      <c r="Q5410" s="37">
        <v>0.97</v>
      </c>
      <c r="R5410" s="1" t="s">
        <v>231</v>
      </c>
      <c r="S5410" s="13">
        <f t="shared" si="234"/>
        <v>-1.39</v>
      </c>
    </row>
    <row r="5411" spans="1:19">
      <c r="A5411" s="18" t="s">
        <v>5496</v>
      </c>
      <c r="B5411" s="1" t="s">
        <v>5593</v>
      </c>
      <c r="C5411" s="1" t="s">
        <v>5498</v>
      </c>
      <c r="D5411" s="1" t="s">
        <v>5499</v>
      </c>
      <c r="E5411" s="1" t="s">
        <v>5500</v>
      </c>
      <c r="F5411">
        <f>VLOOKUP(E5411,Legends!$G$2:$I$100,2,FALSE)</f>
        <v>443.1</v>
      </c>
      <c r="G5411">
        <f>VLOOKUP(E5411,Legends!$G$2:$I$100,3,FALSE)</f>
        <v>486.65</v>
      </c>
      <c r="H5411">
        <v>536</v>
      </c>
      <c r="I5411" s="1" t="s">
        <v>1528</v>
      </c>
      <c r="J5411" s="1" t="s">
        <v>5501</v>
      </c>
      <c r="K5411" s="1" t="s">
        <v>25</v>
      </c>
      <c r="L5411">
        <v>-1.33</v>
      </c>
      <c r="M5411" s="1" t="s">
        <v>23</v>
      </c>
      <c r="N5411" s="1" t="s">
        <v>230</v>
      </c>
      <c r="O5411" s="1" t="s">
        <v>25</v>
      </c>
      <c r="P5411" s="3" t="s">
        <v>25</v>
      </c>
      <c r="Q5411" s="37">
        <v>1.24</v>
      </c>
      <c r="R5411" s="1" t="s">
        <v>231</v>
      </c>
      <c r="S5411" s="13">
        <f t="shared" si="234"/>
        <v>-1.33</v>
      </c>
    </row>
    <row r="5412" spans="1:19">
      <c r="A5412" s="18" t="s">
        <v>5496</v>
      </c>
      <c r="B5412" s="1" t="s">
        <v>5594</v>
      </c>
      <c r="C5412" s="1" t="s">
        <v>5498</v>
      </c>
      <c r="D5412" s="1" t="s">
        <v>5499</v>
      </c>
      <c r="E5412" s="1" t="s">
        <v>5500</v>
      </c>
      <c r="F5412">
        <f>VLOOKUP(E5412,Legends!$G$2:$I$100,2,FALSE)</f>
        <v>443.1</v>
      </c>
      <c r="G5412">
        <f>VLOOKUP(E5412,Legends!$G$2:$I$100,3,FALSE)</f>
        <v>486.65</v>
      </c>
      <c r="H5412">
        <v>85</v>
      </c>
      <c r="I5412" s="1" t="s">
        <v>1528</v>
      </c>
      <c r="J5412" s="1" t="s">
        <v>5501</v>
      </c>
      <c r="K5412" s="1" t="s">
        <v>25</v>
      </c>
      <c r="L5412">
        <v>-1.1599999999999999</v>
      </c>
      <c r="M5412" s="1" t="s">
        <v>23</v>
      </c>
      <c r="N5412" s="1" t="s">
        <v>230</v>
      </c>
      <c r="O5412" s="1" t="s">
        <v>25</v>
      </c>
      <c r="P5412" s="3" t="s">
        <v>25</v>
      </c>
      <c r="Q5412" s="37">
        <v>0.98</v>
      </c>
      <c r="R5412" s="1" t="s">
        <v>231</v>
      </c>
      <c r="S5412" s="13">
        <f t="shared" si="234"/>
        <v>-1.1599999999999999</v>
      </c>
    </row>
    <row r="5413" spans="1:19">
      <c r="A5413" s="18" t="s">
        <v>5496</v>
      </c>
      <c r="B5413" s="1" t="s">
        <v>5595</v>
      </c>
      <c r="C5413" s="1" t="s">
        <v>5498</v>
      </c>
      <c r="D5413" s="1" t="s">
        <v>5499</v>
      </c>
      <c r="E5413" s="1" t="s">
        <v>5500</v>
      </c>
      <c r="F5413">
        <f>VLOOKUP(E5413,Legends!$G$2:$I$100,2,FALSE)</f>
        <v>443.1</v>
      </c>
      <c r="G5413">
        <f>VLOOKUP(E5413,Legends!$G$2:$I$100,3,FALSE)</f>
        <v>486.65</v>
      </c>
      <c r="H5413">
        <v>531</v>
      </c>
      <c r="I5413" s="1" t="s">
        <v>1528</v>
      </c>
      <c r="J5413" s="1" t="s">
        <v>5501</v>
      </c>
      <c r="K5413" s="1" t="s">
        <v>25</v>
      </c>
      <c r="L5413">
        <v>-1.32</v>
      </c>
      <c r="M5413" s="1" t="s">
        <v>23</v>
      </c>
      <c r="N5413" s="1" t="s">
        <v>230</v>
      </c>
      <c r="O5413" s="1" t="s">
        <v>25</v>
      </c>
      <c r="P5413" s="3" t="s">
        <v>25</v>
      </c>
      <c r="Q5413" s="37">
        <v>0.7</v>
      </c>
      <c r="R5413" s="1" t="s">
        <v>231</v>
      </c>
      <c r="S5413" s="13">
        <f t="shared" si="234"/>
        <v>-1.32</v>
      </c>
    </row>
    <row r="5414" spans="1:19">
      <c r="A5414" s="18" t="s">
        <v>5496</v>
      </c>
      <c r="B5414" s="1" t="s">
        <v>5596</v>
      </c>
      <c r="C5414" s="1" t="s">
        <v>5498</v>
      </c>
      <c r="D5414" s="1" t="s">
        <v>5499</v>
      </c>
      <c r="E5414" s="1" t="s">
        <v>5500</v>
      </c>
      <c r="F5414">
        <f>VLOOKUP(E5414,Legends!$G$2:$I$100,2,FALSE)</f>
        <v>443.1</v>
      </c>
      <c r="G5414">
        <f>VLOOKUP(E5414,Legends!$G$2:$I$100,3,FALSE)</f>
        <v>486.65</v>
      </c>
      <c r="H5414">
        <v>549</v>
      </c>
      <c r="I5414" s="1" t="s">
        <v>1528</v>
      </c>
      <c r="J5414" s="1" t="s">
        <v>5501</v>
      </c>
      <c r="K5414" s="1" t="s">
        <v>25</v>
      </c>
      <c r="L5414">
        <v>-1.44</v>
      </c>
      <c r="M5414" s="1" t="s">
        <v>23</v>
      </c>
      <c r="N5414" s="1" t="s">
        <v>230</v>
      </c>
      <c r="O5414" s="1" t="s">
        <v>25</v>
      </c>
      <c r="P5414" s="3" t="s">
        <v>25</v>
      </c>
      <c r="Q5414" s="37">
        <v>1.32</v>
      </c>
      <c r="R5414" s="1" t="s">
        <v>231</v>
      </c>
      <c r="S5414" s="13">
        <f t="shared" si="234"/>
        <v>-1.44</v>
      </c>
    </row>
    <row r="5415" spans="1:19">
      <c r="A5415" s="18" t="s">
        <v>5496</v>
      </c>
      <c r="B5415" s="1" t="s">
        <v>5597</v>
      </c>
      <c r="C5415" s="1" t="s">
        <v>5498</v>
      </c>
      <c r="D5415" s="1" t="s">
        <v>5499</v>
      </c>
      <c r="E5415" s="1" t="s">
        <v>5500</v>
      </c>
      <c r="F5415">
        <f>VLOOKUP(E5415,Legends!$G$2:$I$100,2,FALSE)</f>
        <v>443.1</v>
      </c>
      <c r="G5415">
        <f>VLOOKUP(E5415,Legends!$G$2:$I$100,3,FALSE)</f>
        <v>486.65</v>
      </c>
      <c r="H5415">
        <v>398</v>
      </c>
      <c r="I5415" s="1" t="s">
        <v>1528</v>
      </c>
      <c r="J5415" s="1" t="s">
        <v>5501</v>
      </c>
      <c r="K5415" s="1" t="s">
        <v>25</v>
      </c>
      <c r="L5415">
        <v>-1.18</v>
      </c>
      <c r="M5415" s="1" t="s">
        <v>23</v>
      </c>
      <c r="N5415" s="1" t="s">
        <v>230</v>
      </c>
      <c r="O5415" s="1" t="s">
        <v>25</v>
      </c>
      <c r="P5415" s="3" t="s">
        <v>25</v>
      </c>
      <c r="Q5415" s="37">
        <v>1.19</v>
      </c>
      <c r="R5415" s="1" t="s">
        <v>231</v>
      </c>
      <c r="S5415" s="13">
        <f t="shared" si="234"/>
        <v>-1.18</v>
      </c>
    </row>
    <row r="5416" spans="1:19">
      <c r="A5416" s="18" t="s">
        <v>5496</v>
      </c>
      <c r="B5416" s="1" t="s">
        <v>5598</v>
      </c>
      <c r="C5416" s="1" t="s">
        <v>5498</v>
      </c>
      <c r="D5416" s="1" t="s">
        <v>5499</v>
      </c>
      <c r="E5416" s="1" t="s">
        <v>5500</v>
      </c>
      <c r="F5416">
        <f>VLOOKUP(E5416,Legends!$G$2:$I$100,2,FALSE)</f>
        <v>443.1</v>
      </c>
      <c r="G5416">
        <f>VLOOKUP(E5416,Legends!$G$2:$I$100,3,FALSE)</f>
        <v>486.65</v>
      </c>
      <c r="H5416">
        <v>1199</v>
      </c>
      <c r="I5416" s="1" t="s">
        <v>1528</v>
      </c>
      <c r="J5416" s="1" t="s">
        <v>5501</v>
      </c>
      <c r="K5416" s="1" t="s">
        <v>25</v>
      </c>
      <c r="L5416">
        <v>-1.36</v>
      </c>
      <c r="M5416" s="1" t="s">
        <v>23</v>
      </c>
      <c r="N5416" s="1" t="s">
        <v>230</v>
      </c>
      <c r="O5416" s="1" t="s">
        <v>25</v>
      </c>
      <c r="P5416" s="3" t="s">
        <v>25</v>
      </c>
      <c r="Q5416" s="37">
        <v>2.63</v>
      </c>
      <c r="R5416" s="1" t="s">
        <v>231</v>
      </c>
      <c r="S5416" s="13">
        <f t="shared" si="234"/>
        <v>-1.36</v>
      </c>
    </row>
    <row r="5417" spans="1:19">
      <c r="A5417" s="18" t="s">
        <v>5496</v>
      </c>
      <c r="B5417" s="1" t="s">
        <v>5599</v>
      </c>
      <c r="C5417" s="1" t="s">
        <v>5498</v>
      </c>
      <c r="D5417" s="1" t="s">
        <v>5499</v>
      </c>
      <c r="E5417" s="1" t="s">
        <v>5500</v>
      </c>
      <c r="F5417">
        <f>VLOOKUP(E5417,Legends!$G$2:$I$100,2,FALSE)</f>
        <v>443.1</v>
      </c>
      <c r="G5417">
        <f>VLOOKUP(E5417,Legends!$G$2:$I$100,3,FALSE)</f>
        <v>486.65</v>
      </c>
      <c r="H5417">
        <v>352</v>
      </c>
      <c r="I5417" s="1" t="s">
        <v>1528</v>
      </c>
      <c r="J5417" s="1" t="s">
        <v>5501</v>
      </c>
      <c r="K5417" s="1" t="s">
        <v>25</v>
      </c>
      <c r="L5417">
        <v>-1.1200000000000001</v>
      </c>
      <c r="M5417" s="1" t="s">
        <v>23</v>
      </c>
      <c r="N5417" s="1" t="s">
        <v>230</v>
      </c>
      <c r="O5417" s="1" t="s">
        <v>25</v>
      </c>
      <c r="P5417" s="3" t="s">
        <v>25</v>
      </c>
      <c r="Q5417" s="37">
        <v>0.66</v>
      </c>
      <c r="R5417" s="1" t="s">
        <v>231</v>
      </c>
      <c r="S5417" s="13">
        <f t="shared" si="234"/>
        <v>-1.1200000000000001</v>
      </c>
    </row>
    <row r="5418" spans="1:19">
      <c r="A5418" s="18" t="s">
        <v>5496</v>
      </c>
      <c r="B5418" s="1" t="s">
        <v>5600</v>
      </c>
      <c r="C5418" s="1" t="s">
        <v>5498</v>
      </c>
      <c r="D5418" s="1" t="s">
        <v>5499</v>
      </c>
      <c r="E5418" s="1" t="s">
        <v>5500</v>
      </c>
      <c r="F5418">
        <f>VLOOKUP(E5418,Legends!$G$2:$I$100,2,FALSE)</f>
        <v>443.1</v>
      </c>
      <c r="G5418">
        <f>VLOOKUP(E5418,Legends!$G$2:$I$100,3,FALSE)</f>
        <v>486.65</v>
      </c>
      <c r="H5418">
        <v>839</v>
      </c>
      <c r="I5418" s="1" t="s">
        <v>1528</v>
      </c>
      <c r="J5418" s="1" t="s">
        <v>5501</v>
      </c>
      <c r="K5418" s="1" t="s">
        <v>25</v>
      </c>
      <c r="L5418">
        <v>-1.1299999999999999</v>
      </c>
      <c r="M5418" s="1" t="s">
        <v>23</v>
      </c>
      <c r="N5418" s="1" t="s">
        <v>230</v>
      </c>
      <c r="O5418" s="1" t="s">
        <v>25</v>
      </c>
      <c r="P5418" s="3" t="s">
        <v>25</v>
      </c>
      <c r="Q5418" s="37">
        <v>1.23</v>
      </c>
      <c r="R5418" s="1" t="s">
        <v>231</v>
      </c>
      <c r="S5418" s="13">
        <f t="shared" si="234"/>
        <v>-1.1299999999999999</v>
      </c>
    </row>
    <row r="5419" spans="1:19">
      <c r="A5419" s="18" t="s">
        <v>5496</v>
      </c>
      <c r="B5419" s="1" t="s">
        <v>5601</v>
      </c>
      <c r="C5419" s="1" t="s">
        <v>5498</v>
      </c>
      <c r="D5419" s="1" t="s">
        <v>5499</v>
      </c>
      <c r="E5419" s="1" t="s">
        <v>5500</v>
      </c>
      <c r="F5419">
        <f>VLOOKUP(E5419,Legends!$G$2:$I$100,2,FALSE)</f>
        <v>443.1</v>
      </c>
      <c r="G5419">
        <f>VLOOKUP(E5419,Legends!$G$2:$I$100,3,FALSE)</f>
        <v>486.65</v>
      </c>
      <c r="H5419">
        <v>335</v>
      </c>
      <c r="I5419" s="1" t="s">
        <v>1528</v>
      </c>
      <c r="J5419" s="1" t="s">
        <v>5501</v>
      </c>
      <c r="K5419" s="1" t="s">
        <v>25</v>
      </c>
      <c r="L5419">
        <v>-1.41</v>
      </c>
      <c r="M5419" s="1" t="s">
        <v>23</v>
      </c>
      <c r="N5419" s="1" t="s">
        <v>230</v>
      </c>
      <c r="O5419" s="1" t="s">
        <v>25</v>
      </c>
      <c r="P5419" s="3" t="s">
        <v>25</v>
      </c>
      <c r="Q5419" s="37">
        <v>0.68</v>
      </c>
      <c r="R5419" s="1" t="s">
        <v>231</v>
      </c>
      <c r="S5419" s="13">
        <f t="shared" si="234"/>
        <v>-1.41</v>
      </c>
    </row>
    <row r="5420" spans="1:19">
      <c r="A5420" s="18" t="s">
        <v>5496</v>
      </c>
      <c r="B5420" s="1" t="s">
        <v>5602</v>
      </c>
      <c r="C5420" s="1" t="s">
        <v>5498</v>
      </c>
      <c r="D5420" s="1" t="s">
        <v>5499</v>
      </c>
      <c r="E5420" s="1" t="s">
        <v>5500</v>
      </c>
      <c r="F5420">
        <f>VLOOKUP(E5420,Legends!$G$2:$I$100,2,FALSE)</f>
        <v>443.1</v>
      </c>
      <c r="G5420">
        <f>VLOOKUP(E5420,Legends!$G$2:$I$100,3,FALSE)</f>
        <v>486.65</v>
      </c>
      <c r="H5420">
        <v>319</v>
      </c>
      <c r="I5420" s="1" t="s">
        <v>1528</v>
      </c>
      <c r="J5420" s="1" t="s">
        <v>5501</v>
      </c>
      <c r="K5420" s="1" t="s">
        <v>25</v>
      </c>
      <c r="L5420">
        <v>-1.26</v>
      </c>
      <c r="M5420" s="1" t="s">
        <v>23</v>
      </c>
      <c r="N5420" s="1" t="s">
        <v>230</v>
      </c>
      <c r="O5420" s="1" t="s">
        <v>25</v>
      </c>
      <c r="P5420" s="3" t="s">
        <v>25</v>
      </c>
      <c r="Q5420" s="37">
        <v>0.83</v>
      </c>
      <c r="R5420" s="1" t="s">
        <v>231</v>
      </c>
      <c r="S5420" s="13">
        <f t="shared" ref="S5420:S5432" si="235">IF(NOT(N5420="SW"),L5420-1.88,L5420)</f>
        <v>-1.26</v>
      </c>
    </row>
    <row r="5421" spans="1:19">
      <c r="A5421" s="18" t="s">
        <v>5496</v>
      </c>
      <c r="B5421" s="1" t="s">
        <v>5603</v>
      </c>
      <c r="C5421" s="1" t="s">
        <v>5498</v>
      </c>
      <c r="D5421" s="1" t="s">
        <v>5499</v>
      </c>
      <c r="E5421" s="1" t="s">
        <v>5500</v>
      </c>
      <c r="F5421">
        <f>VLOOKUP(E5421,Legends!$G$2:$I$100,2,FALSE)</f>
        <v>443.1</v>
      </c>
      <c r="G5421">
        <f>VLOOKUP(E5421,Legends!$G$2:$I$100,3,FALSE)</f>
        <v>486.65</v>
      </c>
      <c r="H5421">
        <v>1139</v>
      </c>
      <c r="I5421" s="1" t="s">
        <v>1528</v>
      </c>
      <c r="J5421" s="1" t="s">
        <v>5501</v>
      </c>
      <c r="K5421" s="1" t="s">
        <v>25</v>
      </c>
      <c r="L5421">
        <v>-1.4</v>
      </c>
      <c r="M5421" s="1" t="s">
        <v>23</v>
      </c>
      <c r="N5421" s="1" t="s">
        <v>230</v>
      </c>
      <c r="O5421" s="1" t="s">
        <v>25</v>
      </c>
      <c r="P5421" s="3" t="s">
        <v>25</v>
      </c>
      <c r="Q5421" s="37">
        <v>1.96</v>
      </c>
      <c r="R5421" s="1" t="s">
        <v>231</v>
      </c>
      <c r="S5421" s="13">
        <f t="shared" si="235"/>
        <v>-1.4</v>
      </c>
    </row>
    <row r="5422" spans="1:19">
      <c r="A5422" s="18" t="s">
        <v>5496</v>
      </c>
      <c r="B5422" s="1" t="s">
        <v>5604</v>
      </c>
      <c r="C5422" s="1" t="s">
        <v>5498</v>
      </c>
      <c r="D5422" s="1" t="s">
        <v>5499</v>
      </c>
      <c r="E5422" s="1" t="s">
        <v>5500</v>
      </c>
      <c r="F5422">
        <f>VLOOKUP(E5422,Legends!$G$2:$I$100,2,FALSE)</f>
        <v>443.1</v>
      </c>
      <c r="G5422">
        <f>VLOOKUP(E5422,Legends!$G$2:$I$100,3,FALSE)</f>
        <v>486.65</v>
      </c>
      <c r="H5422">
        <v>714</v>
      </c>
      <c r="I5422" s="1" t="s">
        <v>1528</v>
      </c>
      <c r="J5422" s="1" t="s">
        <v>5501</v>
      </c>
      <c r="K5422" s="1" t="s">
        <v>25</v>
      </c>
      <c r="L5422">
        <v>-1.24</v>
      </c>
      <c r="M5422" s="1" t="s">
        <v>23</v>
      </c>
      <c r="N5422" s="1" t="s">
        <v>230</v>
      </c>
      <c r="O5422" s="1" t="s">
        <v>25</v>
      </c>
      <c r="P5422" s="3" t="s">
        <v>25</v>
      </c>
      <c r="Q5422" s="37">
        <v>1.1599999999999999</v>
      </c>
      <c r="R5422" s="1" t="s">
        <v>231</v>
      </c>
      <c r="S5422" s="13">
        <f t="shared" si="235"/>
        <v>-1.24</v>
      </c>
    </row>
    <row r="5423" spans="1:19">
      <c r="A5423" s="18" t="s">
        <v>5496</v>
      </c>
      <c r="B5423" s="1" t="s">
        <v>5605</v>
      </c>
      <c r="C5423" s="1" t="s">
        <v>5498</v>
      </c>
      <c r="D5423" s="1" t="s">
        <v>5499</v>
      </c>
      <c r="E5423" s="1" t="s">
        <v>5500</v>
      </c>
      <c r="F5423">
        <f>VLOOKUP(E5423,Legends!$G$2:$I$100,2,FALSE)</f>
        <v>443.1</v>
      </c>
      <c r="G5423">
        <f>VLOOKUP(E5423,Legends!$G$2:$I$100,3,FALSE)</f>
        <v>486.65</v>
      </c>
      <c r="H5423">
        <v>354</v>
      </c>
      <c r="I5423" s="1" t="s">
        <v>1528</v>
      </c>
      <c r="J5423" s="1" t="s">
        <v>5501</v>
      </c>
      <c r="K5423" s="1" t="s">
        <v>25</v>
      </c>
      <c r="L5423">
        <v>-1.1399999999999999</v>
      </c>
      <c r="M5423" s="1" t="s">
        <v>23</v>
      </c>
      <c r="N5423" s="1" t="s">
        <v>230</v>
      </c>
      <c r="O5423" s="1" t="s">
        <v>25</v>
      </c>
      <c r="P5423" s="3" t="s">
        <v>25</v>
      </c>
      <c r="Q5423" s="37">
        <v>0.83</v>
      </c>
      <c r="R5423" s="1" t="s">
        <v>231</v>
      </c>
      <c r="S5423" s="13">
        <f t="shared" si="235"/>
        <v>-1.1399999999999999</v>
      </c>
    </row>
    <row r="5424" spans="1:19">
      <c r="A5424" s="18" t="s">
        <v>5496</v>
      </c>
      <c r="B5424" s="1" t="s">
        <v>5606</v>
      </c>
      <c r="C5424" s="1" t="s">
        <v>5498</v>
      </c>
      <c r="D5424" s="1" t="s">
        <v>5499</v>
      </c>
      <c r="E5424" s="1" t="s">
        <v>5500</v>
      </c>
      <c r="F5424">
        <f>VLOOKUP(E5424,Legends!$G$2:$I$100,2,FALSE)</f>
        <v>443.1</v>
      </c>
      <c r="G5424">
        <f>VLOOKUP(E5424,Legends!$G$2:$I$100,3,FALSE)</f>
        <v>486.65</v>
      </c>
      <c r="H5424">
        <v>779</v>
      </c>
      <c r="I5424" s="1" t="s">
        <v>1528</v>
      </c>
      <c r="J5424" s="1" t="s">
        <v>5501</v>
      </c>
      <c r="K5424" s="1" t="s">
        <v>25</v>
      </c>
      <c r="L5424">
        <v>-1.25</v>
      </c>
      <c r="M5424" s="1" t="s">
        <v>23</v>
      </c>
      <c r="N5424" s="1" t="s">
        <v>230</v>
      </c>
      <c r="O5424" s="1" t="s">
        <v>25</v>
      </c>
      <c r="P5424" s="3" t="s">
        <v>25</v>
      </c>
      <c r="Q5424" s="37">
        <v>1.41</v>
      </c>
      <c r="R5424" s="1" t="s">
        <v>231</v>
      </c>
      <c r="S5424" s="13">
        <f t="shared" si="235"/>
        <v>-1.25</v>
      </c>
    </row>
    <row r="5425" spans="1:19">
      <c r="A5425" s="18" t="s">
        <v>5496</v>
      </c>
      <c r="B5425" s="1" t="s">
        <v>5607</v>
      </c>
      <c r="C5425" s="1" t="s">
        <v>5498</v>
      </c>
      <c r="D5425" s="1" t="s">
        <v>5499</v>
      </c>
      <c r="E5425" s="1" t="s">
        <v>5500</v>
      </c>
      <c r="F5425">
        <f>VLOOKUP(E5425,Legends!$G$2:$I$100,2,FALSE)</f>
        <v>443.1</v>
      </c>
      <c r="G5425">
        <f>VLOOKUP(E5425,Legends!$G$2:$I$100,3,FALSE)</f>
        <v>486.65</v>
      </c>
      <c r="H5425">
        <v>624</v>
      </c>
      <c r="I5425" s="1" t="s">
        <v>1528</v>
      </c>
      <c r="J5425" s="1" t="s">
        <v>5501</v>
      </c>
      <c r="K5425" s="1" t="s">
        <v>25</v>
      </c>
      <c r="L5425">
        <v>-1.23</v>
      </c>
      <c r="M5425" s="1" t="s">
        <v>23</v>
      </c>
      <c r="N5425" s="1" t="s">
        <v>230</v>
      </c>
      <c r="O5425" s="1" t="s">
        <v>25</v>
      </c>
      <c r="P5425" s="3" t="s">
        <v>25</v>
      </c>
      <c r="Q5425" s="37">
        <v>1.19</v>
      </c>
      <c r="R5425" s="1" t="s">
        <v>231</v>
      </c>
      <c r="S5425" s="13">
        <f t="shared" si="235"/>
        <v>-1.23</v>
      </c>
    </row>
    <row r="5426" spans="1:19">
      <c r="A5426" s="18" t="s">
        <v>5496</v>
      </c>
      <c r="B5426" s="1" t="s">
        <v>5608</v>
      </c>
      <c r="C5426" s="1" t="s">
        <v>5498</v>
      </c>
      <c r="D5426" s="1" t="s">
        <v>5499</v>
      </c>
      <c r="E5426" s="1" t="s">
        <v>5500</v>
      </c>
      <c r="F5426">
        <f>VLOOKUP(E5426,Legends!$G$2:$I$100,2,FALSE)</f>
        <v>443.1</v>
      </c>
      <c r="G5426">
        <f>VLOOKUP(E5426,Legends!$G$2:$I$100,3,FALSE)</f>
        <v>486.65</v>
      </c>
      <c r="H5426">
        <v>344</v>
      </c>
      <c r="I5426" s="1" t="s">
        <v>1528</v>
      </c>
      <c r="J5426" s="1" t="s">
        <v>5501</v>
      </c>
      <c r="K5426" s="1" t="s">
        <v>25</v>
      </c>
      <c r="L5426">
        <v>-1.18</v>
      </c>
      <c r="M5426" s="1" t="s">
        <v>23</v>
      </c>
      <c r="N5426" s="1" t="s">
        <v>230</v>
      </c>
      <c r="O5426" s="1" t="s">
        <v>25</v>
      </c>
      <c r="P5426" s="3" t="s">
        <v>25</v>
      </c>
      <c r="Q5426" s="37">
        <v>0.67</v>
      </c>
      <c r="R5426" s="1" t="s">
        <v>231</v>
      </c>
      <c r="S5426" s="13">
        <f t="shared" si="235"/>
        <v>-1.18</v>
      </c>
    </row>
    <row r="5427" spans="1:19">
      <c r="A5427" s="18" t="s">
        <v>5496</v>
      </c>
      <c r="B5427" s="1" t="s">
        <v>5609</v>
      </c>
      <c r="C5427" s="1" t="s">
        <v>5498</v>
      </c>
      <c r="D5427" s="1" t="s">
        <v>5499</v>
      </c>
      <c r="E5427" s="1" t="s">
        <v>5500</v>
      </c>
      <c r="F5427">
        <f>VLOOKUP(E5427,Legends!$G$2:$I$100,2,FALSE)</f>
        <v>443.1</v>
      </c>
      <c r="G5427">
        <f>VLOOKUP(E5427,Legends!$G$2:$I$100,3,FALSE)</f>
        <v>486.65</v>
      </c>
      <c r="H5427">
        <v>609</v>
      </c>
      <c r="I5427" s="1" t="s">
        <v>1528</v>
      </c>
      <c r="J5427" s="1" t="s">
        <v>5501</v>
      </c>
      <c r="K5427" s="1" t="s">
        <v>25</v>
      </c>
      <c r="L5427">
        <v>-1.17</v>
      </c>
      <c r="M5427" s="1" t="s">
        <v>23</v>
      </c>
      <c r="N5427" s="1" t="s">
        <v>230</v>
      </c>
      <c r="O5427" s="1" t="s">
        <v>25</v>
      </c>
      <c r="P5427" s="3" t="s">
        <v>25</v>
      </c>
      <c r="Q5427" s="37">
        <v>0.91</v>
      </c>
      <c r="R5427" s="1" t="s">
        <v>231</v>
      </c>
      <c r="S5427" s="13">
        <f t="shared" si="235"/>
        <v>-1.17</v>
      </c>
    </row>
    <row r="5428" spans="1:19">
      <c r="A5428" s="18" t="s">
        <v>5496</v>
      </c>
      <c r="B5428" s="1" t="s">
        <v>5610</v>
      </c>
      <c r="C5428" s="1" t="s">
        <v>5498</v>
      </c>
      <c r="D5428" s="1" t="s">
        <v>5499</v>
      </c>
      <c r="E5428" s="1" t="s">
        <v>5500</v>
      </c>
      <c r="F5428">
        <f>VLOOKUP(E5428,Legends!$G$2:$I$100,2,FALSE)</f>
        <v>443.1</v>
      </c>
      <c r="G5428">
        <f>VLOOKUP(E5428,Legends!$G$2:$I$100,3,FALSE)</f>
        <v>486.65</v>
      </c>
      <c r="H5428">
        <v>616</v>
      </c>
      <c r="I5428" s="1" t="s">
        <v>1528</v>
      </c>
      <c r="J5428" s="1" t="s">
        <v>5501</v>
      </c>
      <c r="K5428" s="1" t="s">
        <v>25</v>
      </c>
      <c r="L5428">
        <v>-1.24</v>
      </c>
      <c r="M5428" s="1" t="s">
        <v>23</v>
      </c>
      <c r="N5428" s="1" t="s">
        <v>230</v>
      </c>
      <c r="O5428" s="1" t="s">
        <v>25</v>
      </c>
      <c r="P5428" s="3" t="s">
        <v>25</v>
      </c>
      <c r="Q5428" s="37">
        <v>0.92</v>
      </c>
      <c r="R5428" s="1" t="s">
        <v>231</v>
      </c>
      <c r="S5428" s="13">
        <f t="shared" si="235"/>
        <v>-1.24</v>
      </c>
    </row>
    <row r="5429" spans="1:19">
      <c r="A5429" s="18" t="s">
        <v>5496</v>
      </c>
      <c r="B5429" s="1" t="s">
        <v>5611</v>
      </c>
      <c r="C5429" s="1" t="s">
        <v>5498</v>
      </c>
      <c r="D5429" s="1" t="s">
        <v>5499</v>
      </c>
      <c r="E5429" s="1" t="s">
        <v>5500</v>
      </c>
      <c r="F5429">
        <f>VLOOKUP(E5429,Legends!$G$2:$I$100,2,FALSE)</f>
        <v>443.1</v>
      </c>
      <c r="G5429">
        <f>VLOOKUP(E5429,Legends!$G$2:$I$100,3,FALSE)</f>
        <v>486.65</v>
      </c>
      <c r="H5429">
        <v>584</v>
      </c>
      <c r="I5429" s="1" t="s">
        <v>1528</v>
      </c>
      <c r="J5429" s="1" t="s">
        <v>5501</v>
      </c>
      <c r="K5429" s="1" t="s">
        <v>25</v>
      </c>
      <c r="L5429">
        <v>-1.24</v>
      </c>
      <c r="M5429" s="1" t="s">
        <v>23</v>
      </c>
      <c r="N5429" s="1" t="s">
        <v>230</v>
      </c>
      <c r="O5429" s="1" t="s">
        <v>25</v>
      </c>
      <c r="P5429" s="3" t="s">
        <v>25</v>
      </c>
      <c r="Q5429" s="37">
        <v>0.96</v>
      </c>
      <c r="R5429" s="1" t="s">
        <v>231</v>
      </c>
      <c r="S5429" s="13">
        <f t="shared" si="235"/>
        <v>-1.24</v>
      </c>
    </row>
    <row r="5430" spans="1:19">
      <c r="A5430" s="18" t="s">
        <v>5496</v>
      </c>
      <c r="B5430" s="1" t="s">
        <v>5612</v>
      </c>
      <c r="C5430" s="1" t="s">
        <v>5498</v>
      </c>
      <c r="D5430" s="1" t="s">
        <v>5499</v>
      </c>
      <c r="E5430" s="1" t="s">
        <v>5500</v>
      </c>
      <c r="F5430">
        <f>VLOOKUP(E5430,Legends!$G$2:$I$100,2,FALSE)</f>
        <v>443.1</v>
      </c>
      <c r="G5430">
        <f>VLOOKUP(E5430,Legends!$G$2:$I$100,3,FALSE)</f>
        <v>486.65</v>
      </c>
      <c r="H5430">
        <v>511</v>
      </c>
      <c r="I5430" s="1" t="s">
        <v>1528</v>
      </c>
      <c r="J5430" s="1" t="s">
        <v>5501</v>
      </c>
      <c r="K5430" s="1" t="s">
        <v>25</v>
      </c>
      <c r="L5430">
        <v>-1.34</v>
      </c>
      <c r="M5430" s="1" t="s">
        <v>23</v>
      </c>
      <c r="N5430" s="1" t="s">
        <v>230</v>
      </c>
      <c r="O5430" s="1" t="s">
        <v>25</v>
      </c>
      <c r="P5430" s="3" t="s">
        <v>25</v>
      </c>
      <c r="Q5430" s="37">
        <v>1.1100000000000001</v>
      </c>
      <c r="R5430" s="1" t="s">
        <v>231</v>
      </c>
      <c r="S5430" s="13">
        <f t="shared" si="235"/>
        <v>-1.34</v>
      </c>
    </row>
    <row r="5431" spans="1:19">
      <c r="A5431" s="18" t="s">
        <v>5496</v>
      </c>
      <c r="B5431" s="1" t="s">
        <v>5613</v>
      </c>
      <c r="C5431" s="1" t="s">
        <v>5498</v>
      </c>
      <c r="D5431" s="1" t="s">
        <v>5499</v>
      </c>
      <c r="E5431" s="1" t="s">
        <v>5500</v>
      </c>
      <c r="F5431">
        <f>VLOOKUP(E5431,Legends!$G$2:$I$100,2,FALSE)</f>
        <v>443.1</v>
      </c>
      <c r="G5431">
        <f>VLOOKUP(E5431,Legends!$G$2:$I$100,3,FALSE)</f>
        <v>486.65</v>
      </c>
      <c r="H5431">
        <v>302</v>
      </c>
      <c r="I5431" s="1" t="s">
        <v>1528</v>
      </c>
      <c r="J5431" s="1" t="s">
        <v>5501</v>
      </c>
      <c r="K5431" s="1" t="s">
        <v>25</v>
      </c>
      <c r="L5431">
        <v>-1.34</v>
      </c>
      <c r="M5431" s="1" t="s">
        <v>23</v>
      </c>
      <c r="N5431" s="1" t="s">
        <v>230</v>
      </c>
      <c r="O5431" s="1" t="s">
        <v>25</v>
      </c>
      <c r="P5431" s="3" t="s">
        <v>25</v>
      </c>
      <c r="Q5431" s="37">
        <v>1.35</v>
      </c>
      <c r="R5431" s="1" t="s">
        <v>231</v>
      </c>
      <c r="S5431" s="13">
        <f t="shared" si="235"/>
        <v>-1.34</v>
      </c>
    </row>
    <row r="5432" spans="1:19">
      <c r="A5432" s="18" t="s">
        <v>5496</v>
      </c>
      <c r="B5432" s="1" t="s">
        <v>5614</v>
      </c>
      <c r="C5432" s="1" t="s">
        <v>5498</v>
      </c>
      <c r="D5432" s="1" t="s">
        <v>5499</v>
      </c>
      <c r="E5432" s="1" t="s">
        <v>5500</v>
      </c>
      <c r="F5432">
        <f>VLOOKUP(E5432,Legends!$G$2:$I$100,2,FALSE)</f>
        <v>443.1</v>
      </c>
      <c r="G5432">
        <f>VLOOKUP(E5432,Legends!$G$2:$I$100,3,FALSE)</f>
        <v>486.65</v>
      </c>
      <c r="H5432">
        <v>340</v>
      </c>
      <c r="I5432" s="1" t="s">
        <v>1528</v>
      </c>
      <c r="J5432" s="1" t="s">
        <v>5501</v>
      </c>
      <c r="K5432" s="1" t="s">
        <v>25</v>
      </c>
      <c r="L5432">
        <v>-1.45</v>
      </c>
      <c r="M5432" s="1" t="s">
        <v>23</v>
      </c>
      <c r="N5432" s="1" t="s">
        <v>230</v>
      </c>
      <c r="O5432" s="1" t="s">
        <v>25</v>
      </c>
      <c r="P5432" s="3" t="s">
        <v>25</v>
      </c>
      <c r="Q5432" s="37">
        <v>0.67</v>
      </c>
      <c r="R5432" s="1" t="s">
        <v>231</v>
      </c>
      <c r="S5432" s="13">
        <f t="shared" si="235"/>
        <v>-1.45</v>
      </c>
    </row>
    <row r="5433" spans="1:19">
      <c r="A5433" s="18" t="s">
        <v>5496</v>
      </c>
      <c r="B5433" s="1" t="s">
        <v>5615</v>
      </c>
      <c r="C5433" s="1" t="s">
        <v>5498</v>
      </c>
      <c r="D5433" s="1" t="s">
        <v>5499</v>
      </c>
      <c r="E5433" s="1" t="s">
        <v>5500</v>
      </c>
      <c r="F5433">
        <f>VLOOKUP(E5433,Legends!$G$2:$I$100,2,FALSE)</f>
        <v>443.1</v>
      </c>
      <c r="G5433">
        <f>VLOOKUP(E5433,Legends!$G$2:$I$100,3,FALSE)</f>
        <v>486.65</v>
      </c>
      <c r="H5433">
        <v>601</v>
      </c>
      <c r="I5433" s="1" t="s">
        <v>1528</v>
      </c>
      <c r="J5433" s="1" t="s">
        <v>5616</v>
      </c>
      <c r="K5433" s="1" t="s">
        <v>25</v>
      </c>
      <c r="L5433">
        <v>-1.03</v>
      </c>
      <c r="M5433" s="1" t="s">
        <v>23</v>
      </c>
      <c r="N5433" s="1" t="s">
        <v>230</v>
      </c>
      <c r="O5433" s="1" t="s">
        <v>25</v>
      </c>
      <c r="P5433" s="3" t="s">
        <v>25</v>
      </c>
      <c r="Q5433" s="37" t="s">
        <v>25</v>
      </c>
      <c r="R5433" s="1" t="s">
        <v>25</v>
      </c>
      <c r="S5433" s="13">
        <f>IF(NOT(N5433="SW"),L5433-1.88,L5433)</f>
        <v>-1.03</v>
      </c>
    </row>
    <row r="5434" spans="1:19">
      <c r="A5434" s="18" t="s">
        <v>5496</v>
      </c>
      <c r="B5434" s="1" t="s">
        <v>5617</v>
      </c>
      <c r="C5434" s="1" t="s">
        <v>5498</v>
      </c>
      <c r="D5434" s="1" t="s">
        <v>5499</v>
      </c>
      <c r="E5434" s="1" t="s">
        <v>5500</v>
      </c>
      <c r="F5434">
        <f>VLOOKUP(E5434,Legends!$G$2:$I$100,2,FALSE)</f>
        <v>443.1</v>
      </c>
      <c r="G5434">
        <f>VLOOKUP(E5434,Legends!$G$2:$I$100,3,FALSE)</f>
        <v>486.65</v>
      </c>
      <c r="H5434">
        <v>16.7</v>
      </c>
      <c r="I5434" s="1" t="s">
        <v>1528</v>
      </c>
      <c r="J5434" s="1" t="s">
        <v>5501</v>
      </c>
      <c r="K5434" s="1" t="s">
        <v>25</v>
      </c>
      <c r="L5434">
        <v>-1.23</v>
      </c>
      <c r="M5434" s="1" t="s">
        <v>23</v>
      </c>
      <c r="N5434" s="1" t="s">
        <v>230</v>
      </c>
      <c r="O5434" s="1" t="s">
        <v>25</v>
      </c>
      <c r="P5434" s="3" t="s">
        <v>25</v>
      </c>
      <c r="Q5434" s="37">
        <v>1</v>
      </c>
      <c r="R5434" s="1" t="s">
        <v>231</v>
      </c>
      <c r="S5434" s="13">
        <f t="shared" ref="S5434:S5497" si="236">IF(NOT(N5434="SW"),L5434-1.88,L5434)</f>
        <v>-1.23</v>
      </c>
    </row>
    <row r="5435" spans="1:19">
      <c r="A5435" s="18" t="s">
        <v>5496</v>
      </c>
      <c r="B5435" s="1" t="s">
        <v>5618</v>
      </c>
      <c r="C5435" s="1" t="s">
        <v>5498</v>
      </c>
      <c r="D5435" s="1" t="s">
        <v>5499</v>
      </c>
      <c r="E5435" s="1" t="s">
        <v>5500</v>
      </c>
      <c r="F5435">
        <f>VLOOKUP(E5435,Legends!$G$2:$I$100,2,FALSE)</f>
        <v>443.1</v>
      </c>
      <c r="G5435">
        <f>VLOOKUP(E5435,Legends!$G$2:$I$100,3,FALSE)</f>
        <v>486.65</v>
      </c>
      <c r="H5435">
        <v>20</v>
      </c>
      <c r="I5435" s="1" t="s">
        <v>1528</v>
      </c>
      <c r="J5435" s="1" t="s">
        <v>5501</v>
      </c>
      <c r="K5435" s="1" t="s">
        <v>25</v>
      </c>
      <c r="L5435">
        <v>-1</v>
      </c>
      <c r="M5435" s="1" t="s">
        <v>23</v>
      </c>
      <c r="N5435" s="1" t="s">
        <v>230</v>
      </c>
      <c r="O5435" s="1" t="s">
        <v>25</v>
      </c>
      <c r="P5435" s="3" t="s">
        <v>25</v>
      </c>
      <c r="Q5435" s="37">
        <v>0.75</v>
      </c>
      <c r="R5435" s="1" t="s">
        <v>231</v>
      </c>
      <c r="S5435" s="13">
        <f t="shared" si="236"/>
        <v>-1</v>
      </c>
    </row>
    <row r="5436" spans="1:19">
      <c r="A5436" s="18" t="s">
        <v>5496</v>
      </c>
      <c r="B5436" s="1" t="s">
        <v>5619</v>
      </c>
      <c r="C5436" s="1" t="s">
        <v>5498</v>
      </c>
      <c r="D5436" s="1" t="s">
        <v>5499</v>
      </c>
      <c r="E5436" s="1" t="s">
        <v>5500</v>
      </c>
      <c r="F5436">
        <f>VLOOKUP(E5436,Legends!$G$2:$I$100,2,FALSE)</f>
        <v>443.1</v>
      </c>
      <c r="G5436">
        <f>VLOOKUP(E5436,Legends!$G$2:$I$100,3,FALSE)</f>
        <v>486.65</v>
      </c>
      <c r="H5436">
        <v>18</v>
      </c>
      <c r="I5436" s="1" t="s">
        <v>1528</v>
      </c>
      <c r="J5436" s="1" t="s">
        <v>5501</v>
      </c>
      <c r="K5436" s="1" t="s">
        <v>25</v>
      </c>
      <c r="L5436">
        <v>-1.08</v>
      </c>
      <c r="M5436" s="1" t="s">
        <v>23</v>
      </c>
      <c r="N5436" s="1" t="s">
        <v>230</v>
      </c>
      <c r="O5436" s="1" t="s">
        <v>25</v>
      </c>
      <c r="P5436" s="3" t="s">
        <v>25</v>
      </c>
      <c r="Q5436" s="37">
        <v>1.1200000000000001</v>
      </c>
      <c r="R5436" s="1" t="s">
        <v>231</v>
      </c>
      <c r="S5436" s="13">
        <f t="shared" si="236"/>
        <v>-1.08</v>
      </c>
    </row>
    <row r="5437" spans="1:19">
      <c r="A5437" s="18" t="s">
        <v>5496</v>
      </c>
      <c r="B5437" s="1" t="s">
        <v>5620</v>
      </c>
      <c r="C5437" s="1" t="s">
        <v>5498</v>
      </c>
      <c r="D5437" s="1" t="s">
        <v>5499</v>
      </c>
      <c r="E5437" s="1" t="s">
        <v>5500</v>
      </c>
      <c r="F5437">
        <f>VLOOKUP(E5437,Legends!$G$2:$I$100,2,FALSE)</f>
        <v>443.1</v>
      </c>
      <c r="G5437">
        <f>VLOOKUP(E5437,Legends!$G$2:$I$100,3,FALSE)</f>
        <v>486.65</v>
      </c>
      <c r="H5437">
        <v>0</v>
      </c>
      <c r="I5437" s="1" t="s">
        <v>1528</v>
      </c>
      <c r="J5437" s="1" t="s">
        <v>5501</v>
      </c>
      <c r="K5437" s="1" t="s">
        <v>25</v>
      </c>
      <c r="L5437">
        <v>-1.24</v>
      </c>
      <c r="M5437" s="1" t="s">
        <v>23</v>
      </c>
      <c r="N5437" s="1" t="s">
        <v>230</v>
      </c>
      <c r="O5437" s="1" t="s">
        <v>25</v>
      </c>
      <c r="P5437" s="3" t="s">
        <v>25</v>
      </c>
      <c r="Q5437" s="37">
        <v>1.06</v>
      </c>
      <c r="R5437" s="1" t="s">
        <v>231</v>
      </c>
      <c r="S5437" s="13">
        <f t="shared" si="236"/>
        <v>-1.24</v>
      </c>
    </row>
    <row r="5438" spans="1:19">
      <c r="A5438" s="18" t="s">
        <v>5496</v>
      </c>
      <c r="B5438" s="1" t="s">
        <v>5621</v>
      </c>
      <c r="C5438" s="1" t="s">
        <v>5498</v>
      </c>
      <c r="D5438" s="1" t="s">
        <v>5499</v>
      </c>
      <c r="E5438" s="1" t="s">
        <v>5500</v>
      </c>
      <c r="F5438">
        <f>VLOOKUP(E5438,Legends!$G$2:$I$100,2,FALSE)</f>
        <v>443.1</v>
      </c>
      <c r="G5438">
        <f>VLOOKUP(E5438,Legends!$G$2:$I$100,3,FALSE)</f>
        <v>486.65</v>
      </c>
      <c r="H5438">
        <v>16</v>
      </c>
      <c r="I5438" s="1" t="s">
        <v>1528</v>
      </c>
      <c r="J5438" s="1" t="s">
        <v>5501</v>
      </c>
      <c r="K5438" s="1" t="s">
        <v>25</v>
      </c>
      <c r="L5438">
        <v>-1.35</v>
      </c>
      <c r="M5438" s="1" t="s">
        <v>23</v>
      </c>
      <c r="N5438" s="1" t="s">
        <v>230</v>
      </c>
      <c r="O5438" s="1" t="s">
        <v>25</v>
      </c>
      <c r="P5438" s="3" t="s">
        <v>25</v>
      </c>
      <c r="Q5438" s="37">
        <v>0.62</v>
      </c>
      <c r="R5438" s="1" t="s">
        <v>231</v>
      </c>
      <c r="S5438" s="13">
        <f t="shared" si="236"/>
        <v>-1.35</v>
      </c>
    </row>
    <row r="5439" spans="1:19">
      <c r="A5439" s="18" t="s">
        <v>5496</v>
      </c>
      <c r="B5439" s="1" t="s">
        <v>5622</v>
      </c>
      <c r="C5439" s="1" t="s">
        <v>5498</v>
      </c>
      <c r="D5439" s="1" t="s">
        <v>5499</v>
      </c>
      <c r="E5439" s="1" t="s">
        <v>5500</v>
      </c>
      <c r="F5439">
        <f>VLOOKUP(E5439,Legends!$G$2:$I$100,2,FALSE)</f>
        <v>443.1</v>
      </c>
      <c r="G5439">
        <f>VLOOKUP(E5439,Legends!$G$2:$I$100,3,FALSE)</f>
        <v>486.65</v>
      </c>
      <c r="H5439">
        <v>17.399999999999999</v>
      </c>
      <c r="I5439" s="1" t="s">
        <v>1528</v>
      </c>
      <c r="J5439" s="1" t="s">
        <v>5501</v>
      </c>
      <c r="K5439" s="1" t="s">
        <v>25</v>
      </c>
      <c r="L5439">
        <v>-1.24</v>
      </c>
      <c r="M5439" s="1" t="s">
        <v>23</v>
      </c>
      <c r="N5439" s="1" t="s">
        <v>230</v>
      </c>
      <c r="O5439" s="1" t="s">
        <v>25</v>
      </c>
      <c r="P5439" s="3" t="s">
        <v>25</v>
      </c>
      <c r="Q5439" s="37">
        <v>1.1299999999999999</v>
      </c>
      <c r="R5439" s="1" t="s">
        <v>231</v>
      </c>
      <c r="S5439" s="13">
        <f t="shared" si="236"/>
        <v>-1.24</v>
      </c>
    </row>
    <row r="5440" spans="1:19">
      <c r="A5440" s="18" t="s">
        <v>5496</v>
      </c>
      <c r="B5440" s="1" t="s">
        <v>5623</v>
      </c>
      <c r="C5440" s="1" t="s">
        <v>5498</v>
      </c>
      <c r="D5440" s="1" t="s">
        <v>5499</v>
      </c>
      <c r="E5440" s="1" t="s">
        <v>5500</v>
      </c>
      <c r="F5440">
        <f>VLOOKUP(E5440,Legends!$G$2:$I$100,2,FALSE)</f>
        <v>443.1</v>
      </c>
      <c r="G5440">
        <f>VLOOKUP(E5440,Legends!$G$2:$I$100,3,FALSE)</f>
        <v>486.65</v>
      </c>
      <c r="H5440">
        <v>17.899999999999999</v>
      </c>
      <c r="I5440" s="1" t="s">
        <v>1528</v>
      </c>
      <c r="J5440" s="1" t="s">
        <v>5501</v>
      </c>
      <c r="K5440" s="1" t="s">
        <v>25</v>
      </c>
      <c r="L5440">
        <v>-1.25</v>
      </c>
      <c r="M5440" s="1" t="s">
        <v>23</v>
      </c>
      <c r="N5440" s="1" t="s">
        <v>230</v>
      </c>
      <c r="O5440" s="1" t="s">
        <v>25</v>
      </c>
      <c r="P5440" s="3" t="s">
        <v>25</v>
      </c>
      <c r="Q5440" s="37">
        <v>0.98</v>
      </c>
      <c r="R5440" s="1" t="s">
        <v>231</v>
      </c>
      <c r="S5440" s="13">
        <f t="shared" si="236"/>
        <v>-1.25</v>
      </c>
    </row>
    <row r="5441" spans="1:19">
      <c r="A5441" s="18" t="s">
        <v>5496</v>
      </c>
      <c r="B5441" s="1" t="s">
        <v>5624</v>
      </c>
      <c r="C5441" s="1" t="s">
        <v>5498</v>
      </c>
      <c r="D5441" s="1" t="s">
        <v>5499</v>
      </c>
      <c r="E5441" s="1" t="s">
        <v>5500</v>
      </c>
      <c r="F5441">
        <f>VLOOKUP(E5441,Legends!$G$2:$I$100,2,FALSE)</f>
        <v>443.1</v>
      </c>
      <c r="G5441">
        <f>VLOOKUP(E5441,Legends!$G$2:$I$100,3,FALSE)</f>
        <v>486.65</v>
      </c>
      <c r="H5441">
        <v>16.899999999999999</v>
      </c>
      <c r="I5441" s="1" t="s">
        <v>1528</v>
      </c>
      <c r="J5441" s="1" t="s">
        <v>5501</v>
      </c>
      <c r="K5441" s="1" t="s">
        <v>25</v>
      </c>
      <c r="L5441">
        <v>-1.18</v>
      </c>
      <c r="M5441" s="1" t="s">
        <v>23</v>
      </c>
      <c r="N5441" s="1" t="s">
        <v>230</v>
      </c>
      <c r="O5441" s="1" t="s">
        <v>25</v>
      </c>
      <c r="P5441" s="3" t="s">
        <v>25</v>
      </c>
      <c r="Q5441" s="37">
        <v>0.95</v>
      </c>
      <c r="R5441" s="1" t="s">
        <v>231</v>
      </c>
      <c r="S5441" s="13">
        <f t="shared" si="236"/>
        <v>-1.18</v>
      </c>
    </row>
    <row r="5442" spans="1:19">
      <c r="A5442" s="18" t="s">
        <v>5496</v>
      </c>
      <c r="B5442" s="1" t="s">
        <v>5625</v>
      </c>
      <c r="C5442" s="1" t="s">
        <v>5498</v>
      </c>
      <c r="D5442" s="1" t="s">
        <v>5499</v>
      </c>
      <c r="E5442" s="1" t="s">
        <v>5500</v>
      </c>
      <c r="F5442">
        <f>VLOOKUP(E5442,Legends!$G$2:$I$100,2,FALSE)</f>
        <v>443.1</v>
      </c>
      <c r="G5442">
        <f>VLOOKUP(E5442,Legends!$G$2:$I$100,3,FALSE)</f>
        <v>486.65</v>
      </c>
      <c r="H5442">
        <v>17.600000000000001</v>
      </c>
      <c r="I5442" s="1" t="s">
        <v>1528</v>
      </c>
      <c r="J5442" s="1" t="s">
        <v>5501</v>
      </c>
      <c r="K5442" s="1" t="s">
        <v>25</v>
      </c>
      <c r="L5442">
        <v>-1.1399999999999999</v>
      </c>
      <c r="M5442" s="1" t="s">
        <v>23</v>
      </c>
      <c r="N5442" s="1" t="s">
        <v>230</v>
      </c>
      <c r="O5442" s="1" t="s">
        <v>25</v>
      </c>
      <c r="P5442" s="3" t="s">
        <v>25</v>
      </c>
      <c r="Q5442" s="37">
        <v>1.05</v>
      </c>
      <c r="R5442" s="1" t="s">
        <v>231</v>
      </c>
      <c r="S5442" s="13">
        <f t="shared" si="236"/>
        <v>-1.1399999999999999</v>
      </c>
    </row>
    <row r="5443" spans="1:19">
      <c r="A5443" s="18" t="s">
        <v>5496</v>
      </c>
      <c r="B5443" s="1" t="s">
        <v>5626</v>
      </c>
      <c r="C5443" s="1" t="s">
        <v>5498</v>
      </c>
      <c r="D5443" s="1" t="s">
        <v>5499</v>
      </c>
      <c r="E5443" s="1" t="s">
        <v>5500</v>
      </c>
      <c r="F5443">
        <f>VLOOKUP(E5443,Legends!$G$2:$I$100,2,FALSE)</f>
        <v>443.1</v>
      </c>
      <c r="G5443">
        <f>VLOOKUP(E5443,Legends!$G$2:$I$100,3,FALSE)</f>
        <v>486.65</v>
      </c>
      <c r="H5443">
        <v>23</v>
      </c>
      <c r="I5443" s="1" t="s">
        <v>1528</v>
      </c>
      <c r="J5443" s="1" t="s">
        <v>5501</v>
      </c>
      <c r="K5443" s="1" t="s">
        <v>25</v>
      </c>
      <c r="L5443">
        <v>-1.1000000000000001</v>
      </c>
      <c r="M5443" s="1" t="s">
        <v>23</v>
      </c>
      <c r="N5443" s="1" t="s">
        <v>230</v>
      </c>
      <c r="O5443" s="1" t="s">
        <v>25</v>
      </c>
      <c r="P5443" s="3" t="s">
        <v>25</v>
      </c>
      <c r="Q5443" s="37">
        <v>1.52</v>
      </c>
      <c r="R5443" s="1" t="s">
        <v>231</v>
      </c>
      <c r="S5443" s="13">
        <f t="shared" si="236"/>
        <v>-1.1000000000000001</v>
      </c>
    </row>
    <row r="5444" spans="1:19">
      <c r="A5444" s="18" t="s">
        <v>5496</v>
      </c>
      <c r="B5444" s="1" t="s">
        <v>5627</v>
      </c>
      <c r="C5444" s="1" t="s">
        <v>5498</v>
      </c>
      <c r="D5444" s="1" t="s">
        <v>5499</v>
      </c>
      <c r="E5444" s="1" t="s">
        <v>5500</v>
      </c>
      <c r="F5444">
        <f>VLOOKUP(E5444,Legends!$G$2:$I$100,2,FALSE)</f>
        <v>443.1</v>
      </c>
      <c r="G5444">
        <f>VLOOKUP(E5444,Legends!$G$2:$I$100,3,FALSE)</f>
        <v>486.65</v>
      </c>
      <c r="H5444">
        <v>7.1</v>
      </c>
      <c r="I5444" s="1" t="s">
        <v>1528</v>
      </c>
      <c r="J5444" s="1" t="s">
        <v>5501</v>
      </c>
      <c r="K5444" s="1" t="s">
        <v>25</v>
      </c>
      <c r="L5444">
        <v>-1.29</v>
      </c>
      <c r="M5444" s="1" t="s">
        <v>23</v>
      </c>
      <c r="N5444" s="1" t="s">
        <v>230</v>
      </c>
      <c r="O5444" s="1" t="s">
        <v>25</v>
      </c>
      <c r="P5444" s="3" t="s">
        <v>25</v>
      </c>
      <c r="Q5444" s="37">
        <v>0.99</v>
      </c>
      <c r="R5444" s="1" t="s">
        <v>231</v>
      </c>
      <c r="S5444" s="13">
        <f t="shared" si="236"/>
        <v>-1.29</v>
      </c>
    </row>
    <row r="5445" spans="1:19">
      <c r="A5445" s="18" t="s">
        <v>5496</v>
      </c>
      <c r="B5445" s="1" t="s">
        <v>5628</v>
      </c>
      <c r="C5445" s="1" t="s">
        <v>5498</v>
      </c>
      <c r="D5445" s="1" t="s">
        <v>5499</v>
      </c>
      <c r="E5445" s="1" t="s">
        <v>5500</v>
      </c>
      <c r="F5445">
        <f>VLOOKUP(E5445,Legends!$G$2:$I$100,2,FALSE)</f>
        <v>443.1</v>
      </c>
      <c r="G5445">
        <f>VLOOKUP(E5445,Legends!$G$2:$I$100,3,FALSE)</f>
        <v>486.65</v>
      </c>
      <c r="H5445">
        <v>2</v>
      </c>
      <c r="I5445" s="1" t="s">
        <v>1528</v>
      </c>
      <c r="J5445" s="1" t="s">
        <v>5501</v>
      </c>
      <c r="K5445" s="1" t="s">
        <v>25</v>
      </c>
      <c r="L5445">
        <v>-1.34</v>
      </c>
      <c r="M5445" s="1" t="s">
        <v>23</v>
      </c>
      <c r="N5445" s="1" t="s">
        <v>230</v>
      </c>
      <c r="O5445" s="1" t="s">
        <v>25</v>
      </c>
      <c r="P5445" s="3" t="s">
        <v>25</v>
      </c>
      <c r="Q5445" s="37">
        <v>1.05</v>
      </c>
      <c r="R5445" s="1" t="s">
        <v>231</v>
      </c>
      <c r="S5445" s="13">
        <f t="shared" si="236"/>
        <v>-1.34</v>
      </c>
    </row>
    <row r="5446" spans="1:19">
      <c r="A5446" s="18" t="s">
        <v>5496</v>
      </c>
      <c r="B5446" s="1" t="s">
        <v>5629</v>
      </c>
      <c r="C5446" s="1" t="s">
        <v>5498</v>
      </c>
      <c r="D5446" s="1" t="s">
        <v>5499</v>
      </c>
      <c r="E5446" s="1" t="s">
        <v>5500</v>
      </c>
      <c r="F5446">
        <f>VLOOKUP(E5446,Legends!$G$2:$I$100,2,FALSE)</f>
        <v>443.1</v>
      </c>
      <c r="G5446">
        <f>VLOOKUP(E5446,Legends!$G$2:$I$100,3,FALSE)</f>
        <v>486.65</v>
      </c>
      <c r="H5446">
        <v>21</v>
      </c>
      <c r="I5446" s="1" t="s">
        <v>1528</v>
      </c>
      <c r="J5446" s="1" t="s">
        <v>5501</v>
      </c>
      <c r="K5446" s="1" t="s">
        <v>25</v>
      </c>
      <c r="L5446">
        <v>-1.17</v>
      </c>
      <c r="M5446" s="1" t="s">
        <v>23</v>
      </c>
      <c r="N5446" s="1" t="s">
        <v>230</v>
      </c>
      <c r="O5446" s="1" t="s">
        <v>25</v>
      </c>
      <c r="P5446" s="3" t="s">
        <v>25</v>
      </c>
      <c r="Q5446" s="37">
        <v>0.94</v>
      </c>
      <c r="R5446" s="1" t="s">
        <v>231</v>
      </c>
      <c r="S5446" s="13">
        <f t="shared" si="236"/>
        <v>-1.17</v>
      </c>
    </row>
    <row r="5447" spans="1:19">
      <c r="A5447" s="18" t="s">
        <v>5496</v>
      </c>
      <c r="B5447" s="1" t="s">
        <v>5630</v>
      </c>
      <c r="C5447" s="1" t="s">
        <v>5498</v>
      </c>
      <c r="D5447" s="1" t="s">
        <v>5499</v>
      </c>
      <c r="E5447" s="1" t="s">
        <v>5500</v>
      </c>
      <c r="F5447">
        <f>VLOOKUP(E5447,Legends!$G$2:$I$100,2,FALSE)</f>
        <v>443.1</v>
      </c>
      <c r="G5447">
        <f>VLOOKUP(E5447,Legends!$G$2:$I$100,3,FALSE)</f>
        <v>486.65</v>
      </c>
      <c r="H5447">
        <v>16.399999999999999</v>
      </c>
      <c r="I5447" s="1" t="s">
        <v>1528</v>
      </c>
      <c r="J5447" s="1" t="s">
        <v>5501</v>
      </c>
      <c r="K5447" s="1" t="s">
        <v>25</v>
      </c>
      <c r="L5447">
        <v>-0.99</v>
      </c>
      <c r="M5447" s="1" t="s">
        <v>23</v>
      </c>
      <c r="N5447" s="1" t="s">
        <v>230</v>
      </c>
      <c r="O5447" s="1" t="s">
        <v>25</v>
      </c>
      <c r="P5447" s="3" t="s">
        <v>25</v>
      </c>
      <c r="Q5447" s="37">
        <v>0.48</v>
      </c>
      <c r="R5447" s="1" t="s">
        <v>231</v>
      </c>
      <c r="S5447" s="13">
        <f t="shared" si="236"/>
        <v>-0.99</v>
      </c>
    </row>
    <row r="5448" spans="1:19">
      <c r="A5448" s="18" t="s">
        <v>5496</v>
      </c>
      <c r="B5448" s="1" t="s">
        <v>5631</v>
      </c>
      <c r="C5448" s="1" t="s">
        <v>5498</v>
      </c>
      <c r="D5448" s="1" t="s">
        <v>5499</v>
      </c>
      <c r="E5448" s="1" t="s">
        <v>5500</v>
      </c>
      <c r="F5448">
        <f>VLOOKUP(E5448,Legends!$G$2:$I$100,2,FALSE)</f>
        <v>443.1</v>
      </c>
      <c r="G5448">
        <f>VLOOKUP(E5448,Legends!$G$2:$I$100,3,FALSE)</f>
        <v>486.65</v>
      </c>
      <c r="H5448">
        <v>1</v>
      </c>
      <c r="I5448" s="1" t="s">
        <v>1528</v>
      </c>
      <c r="J5448" s="1" t="s">
        <v>5501</v>
      </c>
      <c r="K5448" s="1" t="s">
        <v>25</v>
      </c>
      <c r="L5448">
        <v>-1.39</v>
      </c>
      <c r="M5448" s="1" t="s">
        <v>23</v>
      </c>
      <c r="N5448" s="1" t="s">
        <v>230</v>
      </c>
      <c r="O5448" s="1" t="s">
        <v>25</v>
      </c>
      <c r="P5448" s="3" t="s">
        <v>25</v>
      </c>
      <c r="Q5448" s="37">
        <v>1.42</v>
      </c>
      <c r="R5448" s="1" t="s">
        <v>231</v>
      </c>
      <c r="S5448" s="13">
        <f t="shared" si="236"/>
        <v>-1.39</v>
      </c>
    </row>
    <row r="5449" spans="1:19">
      <c r="A5449" s="18" t="s">
        <v>5496</v>
      </c>
      <c r="B5449" s="1" t="s">
        <v>5632</v>
      </c>
      <c r="C5449" s="1" t="s">
        <v>5498</v>
      </c>
      <c r="D5449" s="1" t="s">
        <v>5499</v>
      </c>
      <c r="E5449" s="1" t="s">
        <v>5500</v>
      </c>
      <c r="F5449">
        <f>VLOOKUP(E5449,Legends!$G$2:$I$100,2,FALSE)</f>
        <v>443.1</v>
      </c>
      <c r="G5449">
        <f>VLOOKUP(E5449,Legends!$G$2:$I$100,3,FALSE)</f>
        <v>486.65</v>
      </c>
      <c r="H5449">
        <v>4</v>
      </c>
      <c r="I5449" s="1" t="s">
        <v>1528</v>
      </c>
      <c r="J5449" s="1" t="s">
        <v>5501</v>
      </c>
      <c r="K5449" s="1" t="s">
        <v>25</v>
      </c>
      <c r="L5449">
        <v>-1.37</v>
      </c>
      <c r="M5449" s="1" t="s">
        <v>23</v>
      </c>
      <c r="N5449" s="1" t="s">
        <v>230</v>
      </c>
      <c r="O5449" s="1" t="s">
        <v>25</v>
      </c>
      <c r="P5449" s="3" t="s">
        <v>25</v>
      </c>
      <c r="Q5449" s="37">
        <v>1.18</v>
      </c>
      <c r="R5449" s="1" t="s">
        <v>231</v>
      </c>
      <c r="S5449" s="13">
        <f t="shared" si="236"/>
        <v>-1.37</v>
      </c>
    </row>
    <row r="5450" spans="1:19">
      <c r="A5450" s="18" t="s">
        <v>5496</v>
      </c>
      <c r="B5450" s="1" t="s">
        <v>5633</v>
      </c>
      <c r="C5450" s="1" t="s">
        <v>5498</v>
      </c>
      <c r="D5450" s="1" t="s">
        <v>5499</v>
      </c>
      <c r="E5450" s="1" t="s">
        <v>5500</v>
      </c>
      <c r="F5450">
        <f>VLOOKUP(E5450,Legends!$G$2:$I$100,2,FALSE)</f>
        <v>443.1</v>
      </c>
      <c r="G5450">
        <f>VLOOKUP(E5450,Legends!$G$2:$I$100,3,FALSE)</f>
        <v>486.65</v>
      </c>
      <c r="H5450">
        <v>3</v>
      </c>
      <c r="I5450" s="1" t="s">
        <v>1528</v>
      </c>
      <c r="J5450" s="1" t="s">
        <v>5501</v>
      </c>
      <c r="K5450" s="1" t="s">
        <v>25</v>
      </c>
      <c r="L5450">
        <v>-1.32</v>
      </c>
      <c r="M5450" s="1" t="s">
        <v>23</v>
      </c>
      <c r="N5450" s="1" t="s">
        <v>230</v>
      </c>
      <c r="O5450" s="1" t="s">
        <v>25</v>
      </c>
      <c r="P5450" s="3" t="s">
        <v>25</v>
      </c>
      <c r="Q5450" s="37">
        <v>0.7</v>
      </c>
      <c r="R5450" s="1" t="s">
        <v>231</v>
      </c>
      <c r="S5450" s="13">
        <f t="shared" si="236"/>
        <v>-1.32</v>
      </c>
    </row>
    <row r="5451" spans="1:19">
      <c r="A5451" s="18" t="s">
        <v>5496</v>
      </c>
      <c r="B5451" s="1" t="s">
        <v>5634</v>
      </c>
      <c r="C5451" s="1" t="s">
        <v>5498</v>
      </c>
      <c r="D5451" s="1" t="s">
        <v>5499</v>
      </c>
      <c r="E5451" s="1" t="s">
        <v>5500</v>
      </c>
      <c r="F5451">
        <f>VLOOKUP(E5451,Legends!$G$2:$I$100,2,FALSE)</f>
        <v>443.1</v>
      </c>
      <c r="G5451">
        <f>VLOOKUP(E5451,Legends!$G$2:$I$100,3,FALSE)</f>
        <v>486.65</v>
      </c>
      <c r="H5451">
        <v>19</v>
      </c>
      <c r="I5451" s="1" t="s">
        <v>1528</v>
      </c>
      <c r="J5451" s="1" t="s">
        <v>5501</v>
      </c>
      <c r="K5451" s="1" t="s">
        <v>25</v>
      </c>
      <c r="L5451">
        <v>-1.19</v>
      </c>
      <c r="M5451" s="1" t="s">
        <v>23</v>
      </c>
      <c r="N5451" s="1" t="s">
        <v>230</v>
      </c>
      <c r="O5451" s="1" t="s">
        <v>25</v>
      </c>
      <c r="P5451" s="3" t="s">
        <v>25</v>
      </c>
      <c r="Q5451" s="37">
        <v>1.53</v>
      </c>
      <c r="R5451" s="1" t="s">
        <v>231</v>
      </c>
      <c r="S5451" s="13">
        <f t="shared" si="236"/>
        <v>-1.19</v>
      </c>
    </row>
    <row r="5452" spans="1:19">
      <c r="A5452" s="18" t="s">
        <v>5496</v>
      </c>
      <c r="B5452" s="1" t="s">
        <v>5635</v>
      </c>
      <c r="C5452" s="1" t="s">
        <v>5498</v>
      </c>
      <c r="D5452" s="1" t="s">
        <v>5499</v>
      </c>
      <c r="E5452" s="1" t="s">
        <v>5500</v>
      </c>
      <c r="F5452">
        <f>VLOOKUP(E5452,Legends!$G$2:$I$100,2,FALSE)</f>
        <v>443.1</v>
      </c>
      <c r="G5452">
        <f>VLOOKUP(E5452,Legends!$G$2:$I$100,3,FALSE)</f>
        <v>486.65</v>
      </c>
      <c r="H5452">
        <v>22</v>
      </c>
      <c r="I5452" s="1" t="s">
        <v>1528</v>
      </c>
      <c r="J5452" s="1" t="s">
        <v>5501</v>
      </c>
      <c r="K5452" s="1" t="s">
        <v>25</v>
      </c>
      <c r="L5452">
        <v>-1.1000000000000001</v>
      </c>
      <c r="M5452" s="1" t="s">
        <v>23</v>
      </c>
      <c r="N5452" s="1" t="s">
        <v>230</v>
      </c>
      <c r="O5452" s="1" t="s">
        <v>25</v>
      </c>
      <c r="P5452" s="3" t="s">
        <v>25</v>
      </c>
      <c r="Q5452" s="37">
        <v>1.18</v>
      </c>
      <c r="R5452" s="1" t="s">
        <v>231</v>
      </c>
      <c r="S5452" s="13">
        <f t="shared" si="236"/>
        <v>-1.1000000000000001</v>
      </c>
    </row>
    <row r="5453" spans="1:19">
      <c r="A5453" s="18" t="s">
        <v>5496</v>
      </c>
      <c r="B5453" s="1" t="s">
        <v>5636</v>
      </c>
      <c r="C5453" s="1" t="s">
        <v>5498</v>
      </c>
      <c r="D5453" s="1" t="s">
        <v>5499</v>
      </c>
      <c r="E5453" s="1" t="s">
        <v>5500</v>
      </c>
      <c r="F5453">
        <f>VLOOKUP(E5453,Legends!$G$2:$I$100,2,FALSE)</f>
        <v>443.1</v>
      </c>
      <c r="G5453">
        <f>VLOOKUP(E5453,Legends!$G$2:$I$100,3,FALSE)</f>
        <v>486.65</v>
      </c>
      <c r="H5453">
        <v>15</v>
      </c>
      <c r="I5453" s="1" t="s">
        <v>1528</v>
      </c>
      <c r="J5453" s="1" t="s">
        <v>5501</v>
      </c>
      <c r="K5453" s="1" t="s">
        <v>25</v>
      </c>
      <c r="L5453">
        <v>-1.17</v>
      </c>
      <c r="M5453" s="1" t="s">
        <v>23</v>
      </c>
      <c r="N5453" s="1" t="s">
        <v>230</v>
      </c>
      <c r="O5453" s="1" t="s">
        <v>25</v>
      </c>
      <c r="P5453" s="3" t="s">
        <v>25</v>
      </c>
      <c r="Q5453" s="37">
        <v>0.93</v>
      </c>
      <c r="R5453" s="1" t="s">
        <v>231</v>
      </c>
      <c r="S5453" s="13">
        <f t="shared" si="236"/>
        <v>-1.17</v>
      </c>
    </row>
    <row r="5454" spans="1:19">
      <c r="A5454" s="18" t="s">
        <v>5496</v>
      </c>
      <c r="B5454" s="1" t="s">
        <v>5637</v>
      </c>
      <c r="C5454" s="1" t="s">
        <v>5498</v>
      </c>
      <c r="D5454" s="1" t="s">
        <v>5499</v>
      </c>
      <c r="E5454" s="1" t="s">
        <v>5500</v>
      </c>
      <c r="F5454">
        <f>VLOOKUP(E5454,Legends!$G$2:$I$100,2,FALSE)</f>
        <v>443.1</v>
      </c>
      <c r="G5454">
        <f>VLOOKUP(E5454,Legends!$G$2:$I$100,3,FALSE)</f>
        <v>486.65</v>
      </c>
      <c r="H5454">
        <v>16.2</v>
      </c>
      <c r="I5454" s="1" t="s">
        <v>1528</v>
      </c>
      <c r="J5454" s="1" t="s">
        <v>5501</v>
      </c>
      <c r="K5454" s="1" t="s">
        <v>25</v>
      </c>
      <c r="L5454">
        <v>-1.23</v>
      </c>
      <c r="M5454" s="1" t="s">
        <v>23</v>
      </c>
      <c r="N5454" s="1" t="s">
        <v>230</v>
      </c>
      <c r="O5454" s="1" t="s">
        <v>25</v>
      </c>
      <c r="P5454" s="3" t="s">
        <v>25</v>
      </c>
      <c r="Q5454" s="37">
        <v>0.77</v>
      </c>
      <c r="R5454" s="1" t="s">
        <v>231</v>
      </c>
      <c r="S5454" s="13">
        <f t="shared" si="236"/>
        <v>-1.23</v>
      </c>
    </row>
    <row r="5455" spans="1:19">
      <c r="A5455" s="18" t="s">
        <v>5496</v>
      </c>
      <c r="B5455" s="1" t="s">
        <v>5638</v>
      </c>
      <c r="C5455" s="1" t="s">
        <v>5498</v>
      </c>
      <c r="D5455" s="1" t="s">
        <v>5499</v>
      </c>
      <c r="E5455" s="1" t="s">
        <v>5500</v>
      </c>
      <c r="F5455">
        <f>VLOOKUP(E5455,Legends!$G$2:$I$100,2,FALSE)</f>
        <v>443.1</v>
      </c>
      <c r="G5455">
        <f>VLOOKUP(E5455,Legends!$G$2:$I$100,3,FALSE)</f>
        <v>486.65</v>
      </c>
      <c r="H5455">
        <v>14</v>
      </c>
      <c r="I5455" s="1" t="s">
        <v>1528</v>
      </c>
      <c r="J5455" s="1" t="s">
        <v>5501</v>
      </c>
      <c r="K5455" s="1" t="s">
        <v>25</v>
      </c>
      <c r="L5455">
        <v>-1.28</v>
      </c>
      <c r="M5455" s="1" t="s">
        <v>23</v>
      </c>
      <c r="N5455" s="1" t="s">
        <v>230</v>
      </c>
      <c r="O5455" s="1" t="s">
        <v>25</v>
      </c>
      <c r="P5455" s="3" t="s">
        <v>25</v>
      </c>
      <c r="Q5455" s="37">
        <v>0.83</v>
      </c>
      <c r="R5455" s="1" t="s">
        <v>231</v>
      </c>
      <c r="S5455" s="13">
        <f t="shared" si="236"/>
        <v>-1.28</v>
      </c>
    </row>
    <row r="5456" spans="1:19">
      <c r="A5456" s="18" t="s">
        <v>5496</v>
      </c>
      <c r="B5456" s="1" t="s">
        <v>5639</v>
      </c>
      <c r="C5456" s="1" t="s">
        <v>5498</v>
      </c>
      <c r="D5456" s="1" t="s">
        <v>5499</v>
      </c>
      <c r="E5456" s="1" t="s">
        <v>5500</v>
      </c>
      <c r="F5456">
        <f>VLOOKUP(E5456,Legends!$G$2:$I$100,2,FALSE)</f>
        <v>443.1</v>
      </c>
      <c r="G5456">
        <f>VLOOKUP(E5456,Legends!$G$2:$I$100,3,FALSE)</f>
        <v>486.65</v>
      </c>
      <c r="H5456">
        <v>5</v>
      </c>
      <c r="I5456" s="1" t="s">
        <v>1528</v>
      </c>
      <c r="J5456" s="1" t="s">
        <v>5501</v>
      </c>
      <c r="K5456" s="1" t="s">
        <v>25</v>
      </c>
      <c r="L5456">
        <v>-1.39</v>
      </c>
      <c r="M5456" s="1" t="s">
        <v>23</v>
      </c>
      <c r="N5456" s="1" t="s">
        <v>230</v>
      </c>
      <c r="O5456" s="1" t="s">
        <v>25</v>
      </c>
      <c r="P5456" s="3" t="s">
        <v>25</v>
      </c>
      <c r="Q5456" s="37">
        <v>1.05</v>
      </c>
      <c r="R5456" s="1" t="s">
        <v>231</v>
      </c>
      <c r="S5456" s="13">
        <f t="shared" si="236"/>
        <v>-1.39</v>
      </c>
    </row>
    <row r="5457" spans="1:19">
      <c r="A5457" s="18" t="s">
        <v>5496</v>
      </c>
      <c r="B5457" s="1" t="s">
        <v>5640</v>
      </c>
      <c r="C5457" s="1" t="s">
        <v>5498</v>
      </c>
      <c r="D5457" s="1" t="s">
        <v>5499</v>
      </c>
      <c r="E5457" s="1" t="s">
        <v>5500</v>
      </c>
      <c r="F5457">
        <f>VLOOKUP(E5457,Legends!$G$2:$I$100,2,FALSE)</f>
        <v>443.1</v>
      </c>
      <c r="G5457">
        <f>VLOOKUP(E5457,Legends!$G$2:$I$100,3,FALSE)</f>
        <v>486.65</v>
      </c>
      <c r="H5457">
        <v>9</v>
      </c>
      <c r="I5457" s="1" t="s">
        <v>1528</v>
      </c>
      <c r="J5457" s="1" t="s">
        <v>5501</v>
      </c>
      <c r="K5457" s="1" t="s">
        <v>25</v>
      </c>
      <c r="L5457">
        <v>-1.45</v>
      </c>
      <c r="M5457" s="1" t="s">
        <v>23</v>
      </c>
      <c r="N5457" s="1" t="s">
        <v>230</v>
      </c>
      <c r="O5457" s="1" t="s">
        <v>25</v>
      </c>
      <c r="P5457" s="3" t="s">
        <v>25</v>
      </c>
      <c r="Q5457" s="37">
        <v>0.72</v>
      </c>
      <c r="R5457" s="1" t="s">
        <v>231</v>
      </c>
      <c r="S5457" s="13">
        <f t="shared" si="236"/>
        <v>-1.45</v>
      </c>
    </row>
    <row r="5458" spans="1:19">
      <c r="A5458" s="18" t="s">
        <v>5496</v>
      </c>
      <c r="B5458" s="1" t="s">
        <v>5641</v>
      </c>
      <c r="C5458" s="1" t="s">
        <v>5498</v>
      </c>
      <c r="D5458" s="1" t="s">
        <v>5499</v>
      </c>
      <c r="E5458" s="1" t="s">
        <v>5500</v>
      </c>
      <c r="F5458">
        <f>VLOOKUP(E5458,Legends!$G$2:$I$100,2,FALSE)</f>
        <v>443.1</v>
      </c>
      <c r="G5458">
        <f>VLOOKUP(E5458,Legends!$G$2:$I$100,3,FALSE)</f>
        <v>486.65</v>
      </c>
      <c r="H5458">
        <v>12</v>
      </c>
      <c r="I5458" s="1" t="s">
        <v>1528</v>
      </c>
      <c r="J5458" s="1" t="s">
        <v>5501</v>
      </c>
      <c r="K5458" s="1" t="s">
        <v>25</v>
      </c>
      <c r="L5458">
        <v>-1.37</v>
      </c>
      <c r="M5458" s="1" t="s">
        <v>23</v>
      </c>
      <c r="N5458" s="1" t="s">
        <v>230</v>
      </c>
      <c r="O5458" s="1" t="s">
        <v>25</v>
      </c>
      <c r="P5458" s="3" t="s">
        <v>25</v>
      </c>
      <c r="Q5458" s="37">
        <v>0.98</v>
      </c>
      <c r="R5458" s="1" t="s">
        <v>231</v>
      </c>
      <c r="S5458" s="13">
        <f t="shared" si="236"/>
        <v>-1.37</v>
      </c>
    </row>
    <row r="5459" spans="1:19">
      <c r="A5459" s="18" t="s">
        <v>5496</v>
      </c>
      <c r="B5459" s="1" t="s">
        <v>5642</v>
      </c>
      <c r="C5459" s="1" t="s">
        <v>5498</v>
      </c>
      <c r="D5459" s="1" t="s">
        <v>5499</v>
      </c>
      <c r="E5459" s="1" t="s">
        <v>5500</v>
      </c>
      <c r="F5459">
        <f>VLOOKUP(E5459,Legends!$G$2:$I$100,2,FALSE)</f>
        <v>443.1</v>
      </c>
      <c r="G5459">
        <f>VLOOKUP(E5459,Legends!$G$2:$I$100,3,FALSE)</f>
        <v>486.65</v>
      </c>
      <c r="H5459">
        <v>10</v>
      </c>
      <c r="I5459" s="1" t="s">
        <v>1528</v>
      </c>
      <c r="J5459" s="1" t="s">
        <v>5501</v>
      </c>
      <c r="K5459" s="1" t="s">
        <v>25</v>
      </c>
      <c r="L5459">
        <v>-1.42</v>
      </c>
      <c r="M5459" s="1" t="s">
        <v>23</v>
      </c>
      <c r="N5459" s="1" t="s">
        <v>230</v>
      </c>
      <c r="O5459" s="1" t="s">
        <v>25</v>
      </c>
      <c r="P5459" s="3" t="s">
        <v>25</v>
      </c>
      <c r="Q5459" s="37">
        <v>1.18</v>
      </c>
      <c r="R5459" s="1" t="s">
        <v>231</v>
      </c>
      <c r="S5459" s="13">
        <f t="shared" si="236"/>
        <v>-1.42</v>
      </c>
    </row>
    <row r="5460" spans="1:19">
      <c r="A5460" s="18" t="s">
        <v>5496</v>
      </c>
      <c r="B5460" s="1" t="s">
        <v>5643</v>
      </c>
      <c r="C5460" s="1" t="s">
        <v>5498</v>
      </c>
      <c r="D5460" s="1" t="s">
        <v>5499</v>
      </c>
      <c r="E5460" s="1" t="s">
        <v>5500</v>
      </c>
      <c r="F5460">
        <f>VLOOKUP(E5460,Legends!$G$2:$I$100,2,FALSE)</f>
        <v>443.1</v>
      </c>
      <c r="G5460">
        <f>VLOOKUP(E5460,Legends!$G$2:$I$100,3,FALSE)</f>
        <v>486.65</v>
      </c>
      <c r="H5460">
        <v>11</v>
      </c>
      <c r="I5460" s="1" t="s">
        <v>1528</v>
      </c>
      <c r="J5460" s="1" t="s">
        <v>5501</v>
      </c>
      <c r="K5460" s="1" t="s">
        <v>25</v>
      </c>
      <c r="L5460">
        <v>-1.49</v>
      </c>
      <c r="M5460" s="1" t="s">
        <v>23</v>
      </c>
      <c r="N5460" s="1" t="s">
        <v>230</v>
      </c>
      <c r="O5460" s="1" t="s">
        <v>25</v>
      </c>
      <c r="P5460" s="3" t="s">
        <v>25</v>
      </c>
      <c r="Q5460" s="37">
        <v>0.96</v>
      </c>
      <c r="R5460" s="1" t="s">
        <v>231</v>
      </c>
      <c r="S5460" s="13">
        <f t="shared" si="236"/>
        <v>-1.49</v>
      </c>
    </row>
    <row r="5461" spans="1:19">
      <c r="A5461" s="18" t="s">
        <v>5496</v>
      </c>
      <c r="B5461" s="1" t="s">
        <v>5644</v>
      </c>
      <c r="C5461" s="1" t="s">
        <v>5498</v>
      </c>
      <c r="D5461" s="1" t="s">
        <v>5499</v>
      </c>
      <c r="E5461" s="1" t="s">
        <v>5500</v>
      </c>
      <c r="F5461">
        <f>VLOOKUP(E5461,Legends!$G$2:$I$100,2,FALSE)</f>
        <v>443.1</v>
      </c>
      <c r="G5461">
        <f>VLOOKUP(E5461,Legends!$G$2:$I$100,3,FALSE)</f>
        <v>486.65</v>
      </c>
      <c r="H5461">
        <v>13</v>
      </c>
      <c r="I5461" s="1" t="s">
        <v>1528</v>
      </c>
      <c r="J5461" s="1" t="s">
        <v>5501</v>
      </c>
      <c r="K5461" s="1" t="s">
        <v>25</v>
      </c>
      <c r="L5461">
        <v>-1.44</v>
      </c>
      <c r="M5461" s="1" t="s">
        <v>23</v>
      </c>
      <c r="N5461" s="1" t="s">
        <v>230</v>
      </c>
      <c r="O5461" s="1" t="s">
        <v>25</v>
      </c>
      <c r="P5461" s="3" t="s">
        <v>25</v>
      </c>
      <c r="Q5461" s="37">
        <v>0.93</v>
      </c>
      <c r="R5461" s="1" t="s">
        <v>231</v>
      </c>
      <c r="S5461" s="13">
        <f t="shared" si="236"/>
        <v>-1.44</v>
      </c>
    </row>
    <row r="5462" spans="1:19">
      <c r="A5462" s="18" t="s">
        <v>5496</v>
      </c>
      <c r="B5462" s="1" t="s">
        <v>5645</v>
      </c>
      <c r="C5462" s="1" t="s">
        <v>5498</v>
      </c>
      <c r="D5462" s="1" t="s">
        <v>5499</v>
      </c>
      <c r="E5462" s="1" t="s">
        <v>5500</v>
      </c>
      <c r="F5462">
        <f>VLOOKUP(E5462,Legends!$G$2:$I$100,2,FALSE)</f>
        <v>443.1</v>
      </c>
      <c r="G5462">
        <f>VLOOKUP(E5462,Legends!$G$2:$I$100,3,FALSE)</f>
        <v>486.65</v>
      </c>
      <c r="H5462">
        <v>24</v>
      </c>
      <c r="I5462" s="1" t="s">
        <v>1528</v>
      </c>
      <c r="J5462" s="1" t="s">
        <v>5501</v>
      </c>
      <c r="K5462" s="1" t="s">
        <v>25</v>
      </c>
      <c r="L5462">
        <v>-1.34</v>
      </c>
      <c r="M5462" s="1" t="s">
        <v>23</v>
      </c>
      <c r="N5462" s="1" t="s">
        <v>230</v>
      </c>
      <c r="O5462" s="1" t="s">
        <v>25</v>
      </c>
      <c r="P5462" s="3" t="s">
        <v>25</v>
      </c>
      <c r="Q5462" s="37">
        <v>1.04</v>
      </c>
      <c r="R5462" s="1" t="s">
        <v>231</v>
      </c>
      <c r="S5462" s="13">
        <f t="shared" si="236"/>
        <v>-1.34</v>
      </c>
    </row>
    <row r="5463" spans="1:19">
      <c r="A5463" s="18" t="s">
        <v>5496</v>
      </c>
      <c r="B5463" s="1" t="s">
        <v>5646</v>
      </c>
      <c r="C5463" s="1" t="s">
        <v>5498</v>
      </c>
      <c r="D5463" s="1" t="s">
        <v>5499</v>
      </c>
      <c r="E5463" s="1" t="s">
        <v>5500</v>
      </c>
      <c r="F5463">
        <f>VLOOKUP(E5463,Legends!$G$2:$I$100,2,FALSE)</f>
        <v>443.1</v>
      </c>
      <c r="G5463">
        <f>VLOOKUP(E5463,Legends!$G$2:$I$100,3,FALSE)</f>
        <v>486.65</v>
      </c>
      <c r="H5463">
        <v>24</v>
      </c>
      <c r="I5463" s="1" t="s">
        <v>1528</v>
      </c>
      <c r="J5463" s="1" t="s">
        <v>5501</v>
      </c>
      <c r="K5463" s="1" t="s">
        <v>25</v>
      </c>
      <c r="L5463">
        <v>-1.26</v>
      </c>
      <c r="M5463" s="1" t="s">
        <v>23</v>
      </c>
      <c r="N5463" s="1" t="s">
        <v>230</v>
      </c>
      <c r="O5463" s="1" t="s">
        <v>25</v>
      </c>
      <c r="P5463" s="3" t="s">
        <v>25</v>
      </c>
      <c r="Q5463" s="37">
        <v>1.04</v>
      </c>
      <c r="R5463" s="1" t="s">
        <v>231</v>
      </c>
      <c r="S5463" s="13">
        <f t="shared" si="236"/>
        <v>-1.26</v>
      </c>
    </row>
    <row r="5464" spans="1:19">
      <c r="A5464" s="18" t="s">
        <v>5496</v>
      </c>
      <c r="B5464" s="1" t="s">
        <v>5647</v>
      </c>
      <c r="C5464" s="1" t="s">
        <v>5498</v>
      </c>
      <c r="D5464" s="1" t="s">
        <v>5499</v>
      </c>
      <c r="E5464" s="1" t="s">
        <v>5500</v>
      </c>
      <c r="F5464">
        <f>VLOOKUP(E5464,Legends!$G$2:$I$100,2,FALSE)</f>
        <v>443.1</v>
      </c>
      <c r="G5464">
        <f>VLOOKUP(E5464,Legends!$G$2:$I$100,3,FALSE)</f>
        <v>486.65</v>
      </c>
      <c r="H5464">
        <v>18</v>
      </c>
      <c r="I5464" s="1" t="s">
        <v>1528</v>
      </c>
      <c r="J5464" s="1" t="s">
        <v>5501</v>
      </c>
      <c r="K5464" s="1" t="s">
        <v>25</v>
      </c>
      <c r="L5464">
        <v>-1.24</v>
      </c>
      <c r="M5464" s="1" t="s">
        <v>23</v>
      </c>
      <c r="N5464" s="1" t="s">
        <v>230</v>
      </c>
      <c r="O5464" s="1" t="s">
        <v>25</v>
      </c>
      <c r="P5464" s="3" t="s">
        <v>25</v>
      </c>
      <c r="Q5464" s="37">
        <v>1.03</v>
      </c>
      <c r="R5464" s="1" t="s">
        <v>231</v>
      </c>
      <c r="S5464" s="13">
        <f t="shared" si="236"/>
        <v>-1.24</v>
      </c>
    </row>
    <row r="5465" spans="1:19">
      <c r="A5465" s="18" t="s">
        <v>5496</v>
      </c>
      <c r="B5465" s="1" t="s">
        <v>5648</v>
      </c>
      <c r="C5465" s="1" t="s">
        <v>5498</v>
      </c>
      <c r="D5465" s="1" t="s">
        <v>5499</v>
      </c>
      <c r="E5465" s="1" t="s">
        <v>5500</v>
      </c>
      <c r="F5465">
        <f>VLOOKUP(E5465,Legends!$G$2:$I$100,2,FALSE)</f>
        <v>443.1</v>
      </c>
      <c r="G5465">
        <f>VLOOKUP(E5465,Legends!$G$2:$I$100,3,FALSE)</f>
        <v>486.65</v>
      </c>
      <c r="H5465">
        <v>12</v>
      </c>
      <c r="I5465" s="1" t="s">
        <v>1528</v>
      </c>
      <c r="J5465" s="1" t="s">
        <v>5501</v>
      </c>
      <c r="K5465" s="1" t="s">
        <v>25</v>
      </c>
      <c r="L5465">
        <v>-1.2</v>
      </c>
      <c r="M5465" s="1" t="s">
        <v>23</v>
      </c>
      <c r="N5465" s="1" t="s">
        <v>230</v>
      </c>
      <c r="O5465" s="1" t="s">
        <v>25</v>
      </c>
      <c r="P5465" s="3" t="s">
        <v>25</v>
      </c>
      <c r="Q5465" s="37">
        <v>1.1000000000000001</v>
      </c>
      <c r="R5465" s="1" t="s">
        <v>231</v>
      </c>
      <c r="S5465" s="13">
        <f t="shared" si="236"/>
        <v>-1.2</v>
      </c>
    </row>
    <row r="5466" spans="1:19">
      <c r="A5466" s="18" t="s">
        <v>5496</v>
      </c>
      <c r="B5466" s="1" t="s">
        <v>5649</v>
      </c>
      <c r="C5466" s="1" t="s">
        <v>5498</v>
      </c>
      <c r="D5466" s="1" t="s">
        <v>5499</v>
      </c>
      <c r="E5466" s="1" t="s">
        <v>5500</v>
      </c>
      <c r="F5466">
        <f>VLOOKUP(E5466,Legends!$G$2:$I$100,2,FALSE)</f>
        <v>443.1</v>
      </c>
      <c r="G5466">
        <f>VLOOKUP(E5466,Legends!$G$2:$I$100,3,FALSE)</f>
        <v>486.65</v>
      </c>
      <c r="H5466">
        <v>6</v>
      </c>
      <c r="I5466" s="1" t="s">
        <v>1528</v>
      </c>
      <c r="J5466" s="1" t="s">
        <v>5501</v>
      </c>
      <c r="K5466" s="1" t="s">
        <v>25</v>
      </c>
      <c r="L5466">
        <v>-1.2</v>
      </c>
      <c r="M5466" s="1" t="s">
        <v>23</v>
      </c>
      <c r="N5466" s="1" t="s">
        <v>230</v>
      </c>
      <c r="O5466" s="1" t="s">
        <v>25</v>
      </c>
      <c r="P5466" s="3" t="s">
        <v>25</v>
      </c>
      <c r="Q5466" s="37">
        <v>1.23</v>
      </c>
      <c r="R5466" s="1" t="s">
        <v>231</v>
      </c>
      <c r="S5466" s="13">
        <f t="shared" si="236"/>
        <v>-1.2</v>
      </c>
    </row>
    <row r="5467" spans="1:19">
      <c r="A5467" s="18" t="s">
        <v>5496</v>
      </c>
      <c r="B5467" s="1" t="s">
        <v>5650</v>
      </c>
      <c r="C5467" s="1" t="s">
        <v>5498</v>
      </c>
      <c r="D5467" s="1" t="s">
        <v>5499</v>
      </c>
      <c r="E5467" s="1" t="s">
        <v>5500</v>
      </c>
      <c r="F5467">
        <f>VLOOKUP(E5467,Legends!$G$2:$I$100,2,FALSE)</f>
        <v>443.1</v>
      </c>
      <c r="G5467">
        <f>VLOOKUP(E5467,Legends!$G$2:$I$100,3,FALSE)</f>
        <v>486.65</v>
      </c>
      <c r="H5467">
        <v>2</v>
      </c>
      <c r="I5467" s="1" t="s">
        <v>1528</v>
      </c>
      <c r="J5467" s="1" t="s">
        <v>5501</v>
      </c>
      <c r="K5467" s="1" t="s">
        <v>25</v>
      </c>
      <c r="L5467">
        <v>-1.31</v>
      </c>
      <c r="M5467" s="1" t="s">
        <v>23</v>
      </c>
      <c r="N5467" s="1" t="s">
        <v>230</v>
      </c>
      <c r="O5467" s="1" t="s">
        <v>25</v>
      </c>
      <c r="P5467" s="3" t="s">
        <v>25</v>
      </c>
      <c r="Q5467" s="37">
        <v>1.69</v>
      </c>
      <c r="R5467" s="1" t="s">
        <v>231</v>
      </c>
      <c r="S5467" s="13">
        <f t="shared" si="236"/>
        <v>-1.31</v>
      </c>
    </row>
    <row r="5468" spans="1:19">
      <c r="A5468" s="18" t="s">
        <v>5496</v>
      </c>
      <c r="B5468" s="1" t="s">
        <v>5654</v>
      </c>
      <c r="C5468" s="1" t="s">
        <v>5655</v>
      </c>
      <c r="D5468" s="1" t="s">
        <v>5656</v>
      </c>
      <c r="E5468" s="1" t="s">
        <v>5500</v>
      </c>
      <c r="F5468">
        <f>VLOOKUP(E5468,Legends!$G$2:$I$100,2,FALSE)</f>
        <v>443.1</v>
      </c>
      <c r="G5468">
        <f>VLOOKUP(E5468,Legends!$G$2:$I$100,3,FALSE)</f>
        <v>486.65</v>
      </c>
      <c r="H5468">
        <v>147</v>
      </c>
      <c r="I5468" s="1" t="s">
        <v>1528</v>
      </c>
      <c r="J5468" s="1" t="s">
        <v>5501</v>
      </c>
      <c r="K5468" s="1" t="s">
        <v>25</v>
      </c>
      <c r="L5468">
        <v>-1.1000000000000001</v>
      </c>
      <c r="M5468" s="1" t="s">
        <v>23</v>
      </c>
      <c r="N5468" s="1" t="s">
        <v>230</v>
      </c>
      <c r="O5468" s="1" t="s">
        <v>25</v>
      </c>
      <c r="P5468" s="3" t="s">
        <v>25</v>
      </c>
      <c r="Q5468" s="37">
        <v>1.4</v>
      </c>
      <c r="R5468" s="1" t="s">
        <v>231</v>
      </c>
      <c r="S5468" s="13">
        <f t="shared" si="236"/>
        <v>-1.1000000000000001</v>
      </c>
    </row>
    <row r="5469" spans="1:19">
      <c r="A5469" s="18" t="s">
        <v>5496</v>
      </c>
      <c r="B5469" s="1" t="s">
        <v>5657</v>
      </c>
      <c r="C5469" s="1" t="s">
        <v>5655</v>
      </c>
      <c r="D5469" s="1" t="s">
        <v>5656</v>
      </c>
      <c r="E5469" s="1" t="s">
        <v>5500</v>
      </c>
      <c r="F5469">
        <f>VLOOKUP(E5469,Legends!$G$2:$I$100,2,FALSE)</f>
        <v>443.1</v>
      </c>
      <c r="G5469">
        <f>VLOOKUP(E5469,Legends!$G$2:$I$100,3,FALSE)</f>
        <v>486.65</v>
      </c>
      <c r="H5469">
        <v>161</v>
      </c>
      <c r="I5469" s="1" t="s">
        <v>1528</v>
      </c>
      <c r="J5469" s="1" t="s">
        <v>5501</v>
      </c>
      <c r="K5469" s="1" t="s">
        <v>25</v>
      </c>
      <c r="L5469">
        <v>-1.58</v>
      </c>
      <c r="M5469" s="1" t="s">
        <v>23</v>
      </c>
      <c r="N5469" s="1" t="s">
        <v>230</v>
      </c>
      <c r="O5469" s="1" t="s">
        <v>25</v>
      </c>
      <c r="P5469" s="3" t="s">
        <v>25</v>
      </c>
      <c r="Q5469" s="37">
        <v>1.75</v>
      </c>
      <c r="R5469" s="1" t="s">
        <v>231</v>
      </c>
      <c r="S5469" s="13">
        <f t="shared" si="236"/>
        <v>-1.58</v>
      </c>
    </row>
    <row r="5470" spans="1:19">
      <c r="A5470" s="18" t="s">
        <v>5496</v>
      </c>
      <c r="B5470" s="1" t="s">
        <v>5658</v>
      </c>
      <c r="C5470" s="1" t="s">
        <v>5655</v>
      </c>
      <c r="D5470" s="1" t="s">
        <v>5656</v>
      </c>
      <c r="E5470" s="1" t="s">
        <v>5500</v>
      </c>
      <c r="F5470">
        <f>VLOOKUP(E5470,Legends!$G$2:$I$100,2,FALSE)</f>
        <v>443.1</v>
      </c>
      <c r="G5470">
        <f>VLOOKUP(E5470,Legends!$G$2:$I$100,3,FALSE)</f>
        <v>486.65</v>
      </c>
      <c r="H5470">
        <v>169.5</v>
      </c>
      <c r="I5470" s="1" t="s">
        <v>1528</v>
      </c>
      <c r="J5470" s="1" t="s">
        <v>5501</v>
      </c>
      <c r="K5470" s="1" t="s">
        <v>25</v>
      </c>
      <c r="L5470">
        <v>-1.49</v>
      </c>
      <c r="M5470" s="1" t="s">
        <v>23</v>
      </c>
      <c r="N5470" s="1" t="s">
        <v>230</v>
      </c>
      <c r="O5470" s="1" t="s">
        <v>25</v>
      </c>
      <c r="P5470" s="3" t="s">
        <v>25</v>
      </c>
      <c r="Q5470" s="37">
        <v>1.18</v>
      </c>
      <c r="R5470" s="1" t="s">
        <v>231</v>
      </c>
      <c r="S5470" s="13">
        <f t="shared" si="236"/>
        <v>-1.49</v>
      </c>
    </row>
    <row r="5471" spans="1:19">
      <c r="A5471" s="18" t="s">
        <v>5496</v>
      </c>
      <c r="B5471" s="1" t="s">
        <v>5659</v>
      </c>
      <c r="C5471" s="1" t="s">
        <v>5655</v>
      </c>
      <c r="D5471" s="1" t="s">
        <v>5656</v>
      </c>
      <c r="E5471" s="1" t="s">
        <v>5500</v>
      </c>
      <c r="F5471">
        <f>VLOOKUP(E5471,Legends!$G$2:$I$100,2,FALSE)</f>
        <v>443.1</v>
      </c>
      <c r="G5471">
        <f>VLOOKUP(E5471,Legends!$G$2:$I$100,3,FALSE)</f>
        <v>486.65</v>
      </c>
      <c r="H5471">
        <v>137</v>
      </c>
      <c r="I5471" s="1" t="s">
        <v>1528</v>
      </c>
      <c r="J5471" s="1" t="s">
        <v>5501</v>
      </c>
      <c r="K5471" s="1" t="s">
        <v>25</v>
      </c>
      <c r="L5471">
        <v>-1.34</v>
      </c>
      <c r="M5471" s="1" t="s">
        <v>23</v>
      </c>
      <c r="N5471" s="1" t="s">
        <v>230</v>
      </c>
      <c r="O5471" s="1" t="s">
        <v>25</v>
      </c>
      <c r="P5471" s="3" t="s">
        <v>25</v>
      </c>
      <c r="Q5471" s="37">
        <v>1.7</v>
      </c>
      <c r="R5471" s="1" t="s">
        <v>231</v>
      </c>
      <c r="S5471" s="13">
        <f t="shared" si="236"/>
        <v>-1.34</v>
      </c>
    </row>
    <row r="5472" spans="1:19">
      <c r="A5472" s="18" t="s">
        <v>5496</v>
      </c>
      <c r="B5472" s="1" t="s">
        <v>5660</v>
      </c>
      <c r="C5472" s="1" t="s">
        <v>5655</v>
      </c>
      <c r="D5472" s="1" t="s">
        <v>5656</v>
      </c>
      <c r="E5472" s="1" t="s">
        <v>5500</v>
      </c>
      <c r="F5472">
        <f>VLOOKUP(E5472,Legends!$G$2:$I$100,2,FALSE)</f>
        <v>443.1</v>
      </c>
      <c r="G5472">
        <f>VLOOKUP(E5472,Legends!$G$2:$I$100,3,FALSE)</f>
        <v>486.65</v>
      </c>
      <c r="H5472">
        <v>197</v>
      </c>
      <c r="I5472" s="1" t="s">
        <v>1528</v>
      </c>
      <c r="J5472" s="1" t="s">
        <v>5501</v>
      </c>
      <c r="K5472" s="1" t="s">
        <v>25</v>
      </c>
      <c r="L5472">
        <v>-1.1399999999999999</v>
      </c>
      <c r="M5472" s="1" t="s">
        <v>23</v>
      </c>
      <c r="N5472" s="1" t="s">
        <v>230</v>
      </c>
      <c r="O5472" s="1" t="s">
        <v>25</v>
      </c>
      <c r="P5472" s="3" t="s">
        <v>25</v>
      </c>
      <c r="Q5472" s="37">
        <v>0.54</v>
      </c>
      <c r="R5472" s="1" t="s">
        <v>231</v>
      </c>
      <c r="S5472" s="13">
        <f t="shared" si="236"/>
        <v>-1.1399999999999999</v>
      </c>
    </row>
    <row r="5473" spans="1:19">
      <c r="A5473" s="18" t="s">
        <v>5496</v>
      </c>
      <c r="B5473" s="1" t="s">
        <v>5661</v>
      </c>
      <c r="C5473" s="1" t="s">
        <v>5655</v>
      </c>
      <c r="D5473" s="1" t="s">
        <v>5656</v>
      </c>
      <c r="E5473" s="1" t="s">
        <v>5500</v>
      </c>
      <c r="F5473">
        <f>VLOOKUP(E5473,Legends!$G$2:$I$100,2,FALSE)</f>
        <v>443.1</v>
      </c>
      <c r="G5473">
        <f>VLOOKUP(E5473,Legends!$G$2:$I$100,3,FALSE)</f>
        <v>486.65</v>
      </c>
      <c r="H5473">
        <v>146</v>
      </c>
      <c r="I5473" s="1" t="s">
        <v>1528</v>
      </c>
      <c r="J5473" s="1" t="s">
        <v>5501</v>
      </c>
      <c r="K5473" s="1" t="s">
        <v>25</v>
      </c>
      <c r="L5473">
        <v>-1.1100000000000001</v>
      </c>
      <c r="M5473" s="1" t="s">
        <v>23</v>
      </c>
      <c r="N5473" s="1" t="s">
        <v>230</v>
      </c>
      <c r="O5473" s="1" t="s">
        <v>25</v>
      </c>
      <c r="P5473" s="3" t="s">
        <v>25</v>
      </c>
      <c r="Q5473" s="37">
        <v>1.55</v>
      </c>
      <c r="R5473" s="1" t="s">
        <v>231</v>
      </c>
      <c r="S5473" s="13">
        <f t="shared" si="236"/>
        <v>-1.1100000000000001</v>
      </c>
    </row>
    <row r="5474" spans="1:19">
      <c r="A5474" s="18" t="s">
        <v>5496</v>
      </c>
      <c r="B5474" s="1" t="s">
        <v>5662</v>
      </c>
      <c r="C5474" s="1" t="s">
        <v>5655</v>
      </c>
      <c r="D5474" s="1" t="s">
        <v>5656</v>
      </c>
      <c r="E5474" s="1" t="s">
        <v>5500</v>
      </c>
      <c r="F5474">
        <f>VLOOKUP(E5474,Legends!$G$2:$I$100,2,FALSE)</f>
        <v>443.1</v>
      </c>
      <c r="G5474">
        <f>VLOOKUP(E5474,Legends!$G$2:$I$100,3,FALSE)</f>
        <v>486.65</v>
      </c>
      <c r="H5474">
        <v>167.5</v>
      </c>
      <c r="I5474" s="1" t="s">
        <v>1528</v>
      </c>
      <c r="J5474" s="1" t="s">
        <v>5501</v>
      </c>
      <c r="K5474" s="1" t="s">
        <v>25</v>
      </c>
      <c r="L5474">
        <v>-1.45</v>
      </c>
      <c r="M5474" s="1" t="s">
        <v>23</v>
      </c>
      <c r="N5474" s="1" t="s">
        <v>230</v>
      </c>
      <c r="O5474" s="1" t="s">
        <v>25</v>
      </c>
      <c r="P5474" s="3" t="s">
        <v>25</v>
      </c>
      <c r="Q5474" s="37">
        <v>1.44</v>
      </c>
      <c r="R5474" s="1" t="s">
        <v>231</v>
      </c>
      <c r="S5474" s="13">
        <f t="shared" si="236"/>
        <v>-1.45</v>
      </c>
    </row>
    <row r="5475" spans="1:19">
      <c r="A5475" s="18" t="s">
        <v>5496</v>
      </c>
      <c r="B5475" s="1" t="s">
        <v>5663</v>
      </c>
      <c r="C5475" s="1" t="s">
        <v>5655</v>
      </c>
      <c r="D5475" s="1" t="s">
        <v>5656</v>
      </c>
      <c r="E5475" s="1" t="s">
        <v>5500</v>
      </c>
      <c r="F5475">
        <f>VLOOKUP(E5475,Legends!$G$2:$I$100,2,FALSE)</f>
        <v>443.1</v>
      </c>
      <c r="G5475">
        <f>VLOOKUP(E5475,Legends!$G$2:$I$100,3,FALSE)</f>
        <v>486.65</v>
      </c>
      <c r="H5475">
        <v>164.5</v>
      </c>
      <c r="I5475" s="1" t="s">
        <v>1528</v>
      </c>
      <c r="J5475" s="1" t="s">
        <v>5501</v>
      </c>
      <c r="K5475" s="1" t="s">
        <v>25</v>
      </c>
      <c r="L5475">
        <v>-1.58</v>
      </c>
      <c r="M5475" s="1" t="s">
        <v>23</v>
      </c>
      <c r="N5475" s="1" t="s">
        <v>230</v>
      </c>
      <c r="O5475" s="1" t="s">
        <v>25</v>
      </c>
      <c r="P5475" s="3" t="s">
        <v>25</v>
      </c>
      <c r="Q5475" s="37">
        <v>1.85</v>
      </c>
      <c r="R5475" s="1" t="s">
        <v>231</v>
      </c>
      <c r="S5475" s="13">
        <f t="shared" si="236"/>
        <v>-1.58</v>
      </c>
    </row>
    <row r="5476" spans="1:19">
      <c r="A5476" s="18" t="s">
        <v>5496</v>
      </c>
      <c r="B5476" s="1" t="s">
        <v>5664</v>
      </c>
      <c r="C5476" s="1" t="s">
        <v>5655</v>
      </c>
      <c r="D5476" s="1" t="s">
        <v>5656</v>
      </c>
      <c r="E5476" s="1" t="s">
        <v>5500</v>
      </c>
      <c r="F5476">
        <f>VLOOKUP(E5476,Legends!$G$2:$I$100,2,FALSE)</f>
        <v>443.1</v>
      </c>
      <c r="G5476">
        <f>VLOOKUP(E5476,Legends!$G$2:$I$100,3,FALSE)</f>
        <v>486.65</v>
      </c>
      <c r="H5476">
        <v>141</v>
      </c>
      <c r="I5476" s="1" t="s">
        <v>1528</v>
      </c>
      <c r="J5476" s="1" t="s">
        <v>5501</v>
      </c>
      <c r="K5476" s="1" t="s">
        <v>25</v>
      </c>
      <c r="L5476">
        <v>-1.19</v>
      </c>
      <c r="M5476" s="1" t="s">
        <v>23</v>
      </c>
      <c r="N5476" s="1" t="s">
        <v>230</v>
      </c>
      <c r="O5476" s="1" t="s">
        <v>25</v>
      </c>
      <c r="P5476" s="3" t="s">
        <v>25</v>
      </c>
      <c r="Q5476" s="37">
        <v>1.44</v>
      </c>
      <c r="R5476" s="1" t="s">
        <v>231</v>
      </c>
      <c r="S5476" s="13">
        <f t="shared" si="236"/>
        <v>-1.19</v>
      </c>
    </row>
    <row r="5477" spans="1:19">
      <c r="A5477" s="18" t="s">
        <v>5496</v>
      </c>
      <c r="B5477" s="1" t="s">
        <v>5665</v>
      </c>
      <c r="C5477" s="1" t="s">
        <v>5655</v>
      </c>
      <c r="D5477" s="1" t="s">
        <v>5656</v>
      </c>
      <c r="E5477" s="1" t="s">
        <v>5500</v>
      </c>
      <c r="F5477">
        <f>VLOOKUP(E5477,Legends!$G$2:$I$100,2,FALSE)</f>
        <v>443.1</v>
      </c>
      <c r="G5477">
        <f>VLOOKUP(E5477,Legends!$G$2:$I$100,3,FALSE)</f>
        <v>486.65</v>
      </c>
      <c r="H5477">
        <v>140</v>
      </c>
      <c r="I5477" s="1" t="s">
        <v>1528</v>
      </c>
      <c r="J5477" s="1" t="s">
        <v>5501</v>
      </c>
      <c r="K5477" s="1" t="s">
        <v>25</v>
      </c>
      <c r="L5477">
        <v>-1.43</v>
      </c>
      <c r="M5477" s="1" t="s">
        <v>23</v>
      </c>
      <c r="N5477" s="1" t="s">
        <v>230</v>
      </c>
      <c r="O5477" s="1" t="s">
        <v>25</v>
      </c>
      <c r="P5477" s="3" t="s">
        <v>25</v>
      </c>
      <c r="Q5477" s="37">
        <v>1.3</v>
      </c>
      <c r="R5477" s="1" t="s">
        <v>231</v>
      </c>
      <c r="S5477" s="13">
        <f t="shared" si="236"/>
        <v>-1.43</v>
      </c>
    </row>
    <row r="5478" spans="1:19">
      <c r="A5478" s="18" t="s">
        <v>5496</v>
      </c>
      <c r="B5478" s="1" t="s">
        <v>5666</v>
      </c>
      <c r="C5478" s="1" t="s">
        <v>5655</v>
      </c>
      <c r="D5478" s="1" t="s">
        <v>5656</v>
      </c>
      <c r="E5478" s="1" t="s">
        <v>5500</v>
      </c>
      <c r="F5478">
        <f>VLOOKUP(E5478,Legends!$G$2:$I$100,2,FALSE)</f>
        <v>443.1</v>
      </c>
      <c r="G5478">
        <f>VLOOKUP(E5478,Legends!$G$2:$I$100,3,FALSE)</f>
        <v>486.65</v>
      </c>
      <c r="H5478">
        <v>130</v>
      </c>
      <c r="I5478" s="1" t="s">
        <v>1528</v>
      </c>
      <c r="J5478" s="1" t="s">
        <v>5501</v>
      </c>
      <c r="K5478" s="1" t="s">
        <v>25</v>
      </c>
      <c r="L5478">
        <v>-1.33</v>
      </c>
      <c r="M5478" s="1" t="s">
        <v>23</v>
      </c>
      <c r="N5478" s="1" t="s">
        <v>230</v>
      </c>
      <c r="O5478" s="1" t="s">
        <v>25</v>
      </c>
      <c r="P5478" s="3" t="s">
        <v>25</v>
      </c>
      <c r="Q5478" s="37">
        <v>1.65</v>
      </c>
      <c r="R5478" s="1" t="s">
        <v>231</v>
      </c>
      <c r="S5478" s="13">
        <f t="shared" si="236"/>
        <v>-1.33</v>
      </c>
    </row>
    <row r="5479" spans="1:19">
      <c r="A5479" s="18" t="s">
        <v>5496</v>
      </c>
      <c r="B5479" s="1" t="s">
        <v>5667</v>
      </c>
      <c r="C5479" s="1" t="s">
        <v>5655</v>
      </c>
      <c r="D5479" s="1" t="s">
        <v>5656</v>
      </c>
      <c r="E5479" s="1" t="s">
        <v>5500</v>
      </c>
      <c r="F5479">
        <f>VLOOKUP(E5479,Legends!$G$2:$I$100,2,FALSE)</f>
        <v>443.1</v>
      </c>
      <c r="G5479">
        <f>VLOOKUP(E5479,Legends!$G$2:$I$100,3,FALSE)</f>
        <v>486.65</v>
      </c>
      <c r="H5479">
        <v>128</v>
      </c>
      <c r="I5479" s="1" t="s">
        <v>1528</v>
      </c>
      <c r="J5479" s="1" t="s">
        <v>5501</v>
      </c>
      <c r="K5479" s="1" t="s">
        <v>25</v>
      </c>
      <c r="L5479">
        <v>-1.48</v>
      </c>
      <c r="M5479" s="1" t="s">
        <v>23</v>
      </c>
      <c r="N5479" s="1" t="s">
        <v>230</v>
      </c>
      <c r="O5479" s="1" t="s">
        <v>25</v>
      </c>
      <c r="P5479" s="3" t="s">
        <v>25</v>
      </c>
      <c r="Q5479" s="37">
        <v>1.33</v>
      </c>
      <c r="R5479" s="1" t="s">
        <v>231</v>
      </c>
      <c r="S5479" s="13">
        <f t="shared" si="236"/>
        <v>-1.48</v>
      </c>
    </row>
    <row r="5480" spans="1:19">
      <c r="A5480" s="18" t="s">
        <v>5496</v>
      </c>
      <c r="B5480" s="1" t="s">
        <v>5668</v>
      </c>
      <c r="C5480" s="1" t="s">
        <v>5655</v>
      </c>
      <c r="D5480" s="1" t="s">
        <v>5656</v>
      </c>
      <c r="E5480" s="1" t="s">
        <v>5500</v>
      </c>
      <c r="F5480">
        <f>VLOOKUP(E5480,Legends!$G$2:$I$100,2,FALSE)</f>
        <v>443.1</v>
      </c>
      <c r="G5480">
        <f>VLOOKUP(E5480,Legends!$G$2:$I$100,3,FALSE)</f>
        <v>486.65</v>
      </c>
      <c r="H5480">
        <v>142</v>
      </c>
      <c r="I5480" s="1" t="s">
        <v>1528</v>
      </c>
      <c r="J5480" s="1" t="s">
        <v>5501</v>
      </c>
      <c r="K5480" s="1" t="s">
        <v>25</v>
      </c>
      <c r="L5480">
        <v>-1.17</v>
      </c>
      <c r="M5480" s="1" t="s">
        <v>23</v>
      </c>
      <c r="N5480" s="1" t="s">
        <v>230</v>
      </c>
      <c r="O5480" s="1" t="s">
        <v>25</v>
      </c>
      <c r="P5480" s="3" t="s">
        <v>25</v>
      </c>
      <c r="Q5480" s="37">
        <v>1.4</v>
      </c>
      <c r="R5480" s="1" t="s">
        <v>231</v>
      </c>
      <c r="S5480" s="13">
        <f t="shared" si="236"/>
        <v>-1.17</v>
      </c>
    </row>
    <row r="5481" spans="1:19">
      <c r="A5481" s="18" t="s">
        <v>5496</v>
      </c>
      <c r="B5481" s="1" t="s">
        <v>5669</v>
      </c>
      <c r="C5481" s="1" t="s">
        <v>5655</v>
      </c>
      <c r="D5481" s="1" t="s">
        <v>5656</v>
      </c>
      <c r="E5481" s="1" t="s">
        <v>5500</v>
      </c>
      <c r="F5481">
        <f>VLOOKUP(E5481,Legends!$G$2:$I$100,2,FALSE)</f>
        <v>443.1</v>
      </c>
      <c r="G5481">
        <f>VLOOKUP(E5481,Legends!$G$2:$I$100,3,FALSE)</f>
        <v>486.65</v>
      </c>
      <c r="H5481">
        <v>175</v>
      </c>
      <c r="I5481" s="1" t="s">
        <v>1528</v>
      </c>
      <c r="J5481" s="1" t="s">
        <v>5501</v>
      </c>
      <c r="K5481" s="1" t="s">
        <v>25</v>
      </c>
      <c r="L5481">
        <v>-1.43</v>
      </c>
      <c r="M5481" s="1" t="s">
        <v>23</v>
      </c>
      <c r="N5481" s="1" t="s">
        <v>230</v>
      </c>
      <c r="O5481" s="1" t="s">
        <v>25</v>
      </c>
      <c r="P5481" s="3" t="s">
        <v>25</v>
      </c>
      <c r="Q5481" s="37">
        <v>0.61</v>
      </c>
      <c r="R5481" s="1" t="s">
        <v>231</v>
      </c>
      <c r="S5481" s="13">
        <f t="shared" si="236"/>
        <v>-1.43</v>
      </c>
    </row>
    <row r="5482" spans="1:19">
      <c r="A5482" s="18" t="s">
        <v>5496</v>
      </c>
      <c r="B5482" s="1" t="s">
        <v>5670</v>
      </c>
      <c r="C5482" s="1" t="s">
        <v>5655</v>
      </c>
      <c r="D5482" s="1" t="s">
        <v>5656</v>
      </c>
      <c r="E5482" s="1" t="s">
        <v>5500</v>
      </c>
      <c r="F5482">
        <f>VLOOKUP(E5482,Legends!$G$2:$I$100,2,FALSE)</f>
        <v>443.1</v>
      </c>
      <c r="G5482">
        <f>VLOOKUP(E5482,Legends!$G$2:$I$100,3,FALSE)</f>
        <v>486.65</v>
      </c>
      <c r="H5482">
        <v>158</v>
      </c>
      <c r="I5482" s="1" t="s">
        <v>1528</v>
      </c>
      <c r="J5482" s="1" t="s">
        <v>5501</v>
      </c>
      <c r="K5482" s="1" t="s">
        <v>25</v>
      </c>
      <c r="L5482">
        <v>-1.63</v>
      </c>
      <c r="M5482" s="1" t="s">
        <v>23</v>
      </c>
      <c r="N5482" s="1" t="s">
        <v>230</v>
      </c>
      <c r="O5482" s="1" t="s">
        <v>25</v>
      </c>
      <c r="P5482" s="3" t="s">
        <v>25</v>
      </c>
      <c r="Q5482" s="37">
        <v>2.84</v>
      </c>
      <c r="R5482" s="1" t="s">
        <v>231</v>
      </c>
      <c r="S5482" s="13">
        <f t="shared" si="236"/>
        <v>-1.63</v>
      </c>
    </row>
    <row r="5483" spans="1:19">
      <c r="A5483" s="18" t="s">
        <v>5496</v>
      </c>
      <c r="B5483" s="1" t="s">
        <v>5671</v>
      </c>
      <c r="C5483" s="1" t="s">
        <v>5655</v>
      </c>
      <c r="D5483" s="1" t="s">
        <v>5656</v>
      </c>
      <c r="E5483" s="1" t="s">
        <v>5500</v>
      </c>
      <c r="F5483">
        <f>VLOOKUP(E5483,Legends!$G$2:$I$100,2,FALSE)</f>
        <v>443.1</v>
      </c>
      <c r="G5483">
        <f>VLOOKUP(E5483,Legends!$G$2:$I$100,3,FALSE)</f>
        <v>486.65</v>
      </c>
      <c r="H5483">
        <v>133</v>
      </c>
      <c r="I5483" s="1" t="s">
        <v>1528</v>
      </c>
      <c r="J5483" s="1" t="s">
        <v>5501</v>
      </c>
      <c r="K5483" s="1" t="s">
        <v>25</v>
      </c>
      <c r="L5483">
        <v>-1.34</v>
      </c>
      <c r="M5483" s="1" t="s">
        <v>23</v>
      </c>
      <c r="N5483" s="1" t="s">
        <v>230</v>
      </c>
      <c r="O5483" s="1" t="s">
        <v>25</v>
      </c>
      <c r="P5483" s="3" t="s">
        <v>25</v>
      </c>
      <c r="Q5483" s="37">
        <v>1.54</v>
      </c>
      <c r="R5483" s="1" t="s">
        <v>231</v>
      </c>
      <c r="S5483" s="13">
        <f t="shared" si="236"/>
        <v>-1.34</v>
      </c>
    </row>
    <row r="5484" spans="1:19">
      <c r="A5484" s="18" t="s">
        <v>5496</v>
      </c>
      <c r="B5484" s="1" t="s">
        <v>5672</v>
      </c>
      <c r="C5484" s="1" t="s">
        <v>5655</v>
      </c>
      <c r="D5484" s="1" t="s">
        <v>5656</v>
      </c>
      <c r="E5484" s="1" t="s">
        <v>5500</v>
      </c>
      <c r="F5484">
        <f>VLOOKUP(E5484,Legends!$G$2:$I$100,2,FALSE)</f>
        <v>443.1</v>
      </c>
      <c r="G5484">
        <f>VLOOKUP(E5484,Legends!$G$2:$I$100,3,FALSE)</f>
        <v>486.65</v>
      </c>
      <c r="H5484">
        <v>187</v>
      </c>
      <c r="I5484" s="1" t="s">
        <v>1528</v>
      </c>
      <c r="J5484" s="1" t="s">
        <v>5501</v>
      </c>
      <c r="K5484" s="1" t="s">
        <v>25</v>
      </c>
      <c r="L5484">
        <v>-1.33</v>
      </c>
      <c r="M5484" s="1" t="s">
        <v>23</v>
      </c>
      <c r="N5484" s="1" t="s">
        <v>230</v>
      </c>
      <c r="O5484" s="1" t="s">
        <v>25</v>
      </c>
      <c r="P5484" s="3" t="s">
        <v>25</v>
      </c>
      <c r="Q5484" s="37">
        <v>0.47</v>
      </c>
      <c r="R5484" s="1" t="s">
        <v>231</v>
      </c>
      <c r="S5484" s="13">
        <f t="shared" si="236"/>
        <v>-1.33</v>
      </c>
    </row>
    <row r="5485" spans="1:19">
      <c r="A5485" s="18" t="s">
        <v>5496</v>
      </c>
      <c r="B5485" s="1" t="s">
        <v>5673</v>
      </c>
      <c r="C5485" s="1" t="s">
        <v>5655</v>
      </c>
      <c r="D5485" s="1" t="s">
        <v>5656</v>
      </c>
      <c r="E5485" s="1" t="s">
        <v>5500</v>
      </c>
      <c r="F5485">
        <f>VLOOKUP(E5485,Legends!$G$2:$I$100,2,FALSE)</f>
        <v>443.1</v>
      </c>
      <c r="G5485">
        <f>VLOOKUP(E5485,Legends!$G$2:$I$100,3,FALSE)</f>
        <v>486.65</v>
      </c>
      <c r="H5485">
        <v>166.5</v>
      </c>
      <c r="I5485" s="1" t="s">
        <v>1528</v>
      </c>
      <c r="J5485" s="1" t="s">
        <v>5501</v>
      </c>
      <c r="K5485" s="1" t="s">
        <v>25</v>
      </c>
      <c r="L5485">
        <v>-1.37</v>
      </c>
      <c r="M5485" s="1" t="s">
        <v>23</v>
      </c>
      <c r="N5485" s="1" t="s">
        <v>230</v>
      </c>
      <c r="O5485" s="1" t="s">
        <v>25</v>
      </c>
      <c r="P5485" s="3" t="s">
        <v>25</v>
      </c>
      <c r="Q5485" s="37">
        <v>0.87</v>
      </c>
      <c r="R5485" s="1" t="s">
        <v>231</v>
      </c>
      <c r="S5485" s="13">
        <f t="shared" si="236"/>
        <v>-1.37</v>
      </c>
    </row>
    <row r="5486" spans="1:19">
      <c r="A5486" s="18" t="s">
        <v>5496</v>
      </c>
      <c r="B5486" s="1" t="s">
        <v>5674</v>
      </c>
      <c r="C5486" s="1" t="s">
        <v>5655</v>
      </c>
      <c r="D5486" s="1" t="s">
        <v>5656</v>
      </c>
      <c r="E5486" s="1" t="s">
        <v>5500</v>
      </c>
      <c r="F5486">
        <f>VLOOKUP(E5486,Legends!$G$2:$I$100,2,FALSE)</f>
        <v>443.1</v>
      </c>
      <c r="G5486">
        <f>VLOOKUP(E5486,Legends!$G$2:$I$100,3,FALSE)</f>
        <v>486.65</v>
      </c>
      <c r="H5486">
        <v>180.5</v>
      </c>
      <c r="I5486" s="1" t="s">
        <v>1528</v>
      </c>
      <c r="J5486" s="1" t="s">
        <v>5501</v>
      </c>
      <c r="K5486" s="1" t="s">
        <v>25</v>
      </c>
      <c r="L5486">
        <v>-1.39</v>
      </c>
      <c r="M5486" s="1" t="s">
        <v>23</v>
      </c>
      <c r="N5486" s="1" t="s">
        <v>230</v>
      </c>
      <c r="O5486" s="1" t="s">
        <v>25</v>
      </c>
      <c r="P5486" s="3" t="s">
        <v>25</v>
      </c>
      <c r="Q5486" s="37">
        <v>0.48</v>
      </c>
      <c r="R5486" s="1" t="s">
        <v>231</v>
      </c>
      <c r="S5486" s="13">
        <f t="shared" si="236"/>
        <v>-1.39</v>
      </c>
    </row>
    <row r="5487" spans="1:19">
      <c r="A5487" s="18" t="s">
        <v>5496</v>
      </c>
      <c r="B5487" s="1" t="s">
        <v>5675</v>
      </c>
      <c r="C5487" s="1" t="s">
        <v>5655</v>
      </c>
      <c r="D5487" s="1" t="s">
        <v>5656</v>
      </c>
      <c r="E5487" s="1" t="s">
        <v>5500</v>
      </c>
      <c r="F5487">
        <f>VLOOKUP(E5487,Legends!$G$2:$I$100,2,FALSE)</f>
        <v>443.1</v>
      </c>
      <c r="G5487">
        <f>VLOOKUP(E5487,Legends!$G$2:$I$100,3,FALSE)</f>
        <v>486.65</v>
      </c>
      <c r="H5487">
        <v>157</v>
      </c>
      <c r="I5487" s="1" t="s">
        <v>1528</v>
      </c>
      <c r="J5487" s="1" t="s">
        <v>5501</v>
      </c>
      <c r="K5487" s="1" t="s">
        <v>25</v>
      </c>
      <c r="L5487">
        <v>-1.38</v>
      </c>
      <c r="M5487" s="1" t="s">
        <v>23</v>
      </c>
      <c r="N5487" s="1" t="s">
        <v>230</v>
      </c>
      <c r="O5487" s="1" t="s">
        <v>25</v>
      </c>
      <c r="P5487" s="3" t="s">
        <v>25</v>
      </c>
      <c r="Q5487" s="37">
        <v>1.51</v>
      </c>
      <c r="R5487" s="1" t="s">
        <v>231</v>
      </c>
      <c r="S5487" s="13">
        <f t="shared" si="236"/>
        <v>-1.38</v>
      </c>
    </row>
    <row r="5488" spans="1:19">
      <c r="A5488" s="18" t="s">
        <v>5496</v>
      </c>
      <c r="B5488" s="1" t="s">
        <v>5676</v>
      </c>
      <c r="C5488" s="1" t="s">
        <v>5655</v>
      </c>
      <c r="D5488" s="1" t="s">
        <v>5656</v>
      </c>
      <c r="E5488" s="1" t="s">
        <v>5500</v>
      </c>
      <c r="F5488">
        <f>VLOOKUP(E5488,Legends!$G$2:$I$100,2,FALSE)</f>
        <v>443.1</v>
      </c>
      <c r="G5488">
        <f>VLOOKUP(E5488,Legends!$G$2:$I$100,3,FALSE)</f>
        <v>486.65</v>
      </c>
      <c r="H5488">
        <v>154</v>
      </c>
      <c r="I5488" s="1" t="s">
        <v>1528</v>
      </c>
      <c r="J5488" s="1" t="s">
        <v>5501</v>
      </c>
      <c r="K5488" s="1" t="s">
        <v>25</v>
      </c>
      <c r="L5488">
        <v>-1.39</v>
      </c>
      <c r="M5488" s="1" t="s">
        <v>23</v>
      </c>
      <c r="N5488" s="1" t="s">
        <v>230</v>
      </c>
      <c r="O5488" s="1" t="s">
        <v>25</v>
      </c>
      <c r="P5488" s="3" t="s">
        <v>25</v>
      </c>
      <c r="Q5488" s="37">
        <v>1.38</v>
      </c>
      <c r="R5488" s="1" t="s">
        <v>231</v>
      </c>
      <c r="S5488" s="13">
        <f t="shared" si="236"/>
        <v>-1.39</v>
      </c>
    </row>
    <row r="5489" spans="1:19">
      <c r="A5489" s="18" t="s">
        <v>5496</v>
      </c>
      <c r="B5489" s="1" t="s">
        <v>5677</v>
      </c>
      <c r="C5489" s="1" t="s">
        <v>5655</v>
      </c>
      <c r="D5489" s="1" t="s">
        <v>5656</v>
      </c>
      <c r="E5489" s="1" t="s">
        <v>5500</v>
      </c>
      <c r="F5489">
        <f>VLOOKUP(E5489,Legends!$G$2:$I$100,2,FALSE)</f>
        <v>443.1</v>
      </c>
      <c r="G5489">
        <f>VLOOKUP(E5489,Legends!$G$2:$I$100,3,FALSE)</f>
        <v>486.65</v>
      </c>
      <c r="H5489">
        <v>172.9</v>
      </c>
      <c r="I5489" s="1" t="s">
        <v>1528</v>
      </c>
      <c r="J5489" s="1" t="s">
        <v>5501</v>
      </c>
      <c r="K5489" s="1" t="s">
        <v>25</v>
      </c>
      <c r="L5489">
        <v>-1.22</v>
      </c>
      <c r="M5489" s="1" t="s">
        <v>23</v>
      </c>
      <c r="N5489" s="1" t="s">
        <v>230</v>
      </c>
      <c r="O5489" s="1" t="s">
        <v>25</v>
      </c>
      <c r="P5489" s="3" t="s">
        <v>25</v>
      </c>
      <c r="Q5489" s="37">
        <v>0.61</v>
      </c>
      <c r="R5489" s="1" t="s">
        <v>231</v>
      </c>
      <c r="S5489" s="13">
        <f t="shared" si="236"/>
        <v>-1.22</v>
      </c>
    </row>
    <row r="5490" spans="1:19">
      <c r="A5490" s="18" t="s">
        <v>5496</v>
      </c>
      <c r="B5490" s="1" t="s">
        <v>5678</v>
      </c>
      <c r="C5490" s="1" t="s">
        <v>5655</v>
      </c>
      <c r="D5490" s="1" t="s">
        <v>5656</v>
      </c>
      <c r="E5490" s="1" t="s">
        <v>5500</v>
      </c>
      <c r="F5490">
        <f>VLOOKUP(E5490,Legends!$G$2:$I$100,2,FALSE)</f>
        <v>443.1</v>
      </c>
      <c r="G5490">
        <f>VLOOKUP(E5490,Legends!$G$2:$I$100,3,FALSE)</f>
        <v>486.65</v>
      </c>
      <c r="H5490">
        <v>153</v>
      </c>
      <c r="I5490" s="1" t="s">
        <v>1528</v>
      </c>
      <c r="J5490" s="1" t="s">
        <v>5501</v>
      </c>
      <c r="K5490" s="1" t="s">
        <v>25</v>
      </c>
      <c r="L5490">
        <v>-1.44</v>
      </c>
      <c r="M5490" s="1" t="s">
        <v>23</v>
      </c>
      <c r="N5490" s="1" t="s">
        <v>230</v>
      </c>
      <c r="O5490" s="1" t="s">
        <v>25</v>
      </c>
      <c r="P5490" s="3" t="s">
        <v>25</v>
      </c>
      <c r="Q5490" s="37">
        <v>1.49</v>
      </c>
      <c r="R5490" s="1" t="s">
        <v>231</v>
      </c>
      <c r="S5490" s="13">
        <f t="shared" si="236"/>
        <v>-1.44</v>
      </c>
    </row>
    <row r="5491" spans="1:19">
      <c r="A5491" s="18" t="s">
        <v>5496</v>
      </c>
      <c r="B5491" s="1" t="s">
        <v>5679</v>
      </c>
      <c r="C5491" s="1" t="s">
        <v>5655</v>
      </c>
      <c r="D5491" s="1" t="s">
        <v>5656</v>
      </c>
      <c r="E5491" s="1" t="s">
        <v>5500</v>
      </c>
      <c r="F5491">
        <f>VLOOKUP(E5491,Legends!$G$2:$I$100,2,FALSE)</f>
        <v>443.1</v>
      </c>
      <c r="G5491">
        <f>VLOOKUP(E5491,Legends!$G$2:$I$100,3,FALSE)</f>
        <v>486.65</v>
      </c>
      <c r="H5491">
        <v>171.5</v>
      </c>
      <c r="I5491" s="1" t="s">
        <v>1528</v>
      </c>
      <c r="J5491" s="1" t="s">
        <v>5501</v>
      </c>
      <c r="K5491" s="1" t="s">
        <v>25</v>
      </c>
      <c r="L5491">
        <v>-1.38</v>
      </c>
      <c r="M5491" s="1" t="s">
        <v>23</v>
      </c>
      <c r="N5491" s="1" t="s">
        <v>230</v>
      </c>
      <c r="O5491" s="1" t="s">
        <v>25</v>
      </c>
      <c r="P5491" s="3" t="s">
        <v>25</v>
      </c>
      <c r="Q5491" s="37">
        <v>0.6</v>
      </c>
      <c r="R5491" s="1" t="s">
        <v>231</v>
      </c>
      <c r="S5491" s="13">
        <f t="shared" si="236"/>
        <v>-1.38</v>
      </c>
    </row>
    <row r="5492" spans="1:19">
      <c r="A5492" s="18" t="s">
        <v>5496</v>
      </c>
      <c r="B5492" s="1" t="s">
        <v>5680</v>
      </c>
      <c r="C5492" s="1" t="s">
        <v>5655</v>
      </c>
      <c r="D5492" s="1" t="s">
        <v>5656</v>
      </c>
      <c r="E5492" s="1" t="s">
        <v>5500</v>
      </c>
      <c r="F5492">
        <f>VLOOKUP(E5492,Legends!$G$2:$I$100,2,FALSE)</f>
        <v>443.1</v>
      </c>
      <c r="G5492">
        <f>VLOOKUP(E5492,Legends!$G$2:$I$100,3,FALSE)</f>
        <v>486.65</v>
      </c>
      <c r="H5492">
        <v>193.4</v>
      </c>
      <c r="I5492" s="1" t="s">
        <v>1528</v>
      </c>
      <c r="J5492" s="1" t="s">
        <v>5501</v>
      </c>
      <c r="K5492" s="1" t="s">
        <v>25</v>
      </c>
      <c r="L5492">
        <v>-1.1299999999999999</v>
      </c>
      <c r="M5492" s="1" t="s">
        <v>23</v>
      </c>
      <c r="N5492" s="1" t="s">
        <v>230</v>
      </c>
      <c r="O5492" s="1" t="s">
        <v>25</v>
      </c>
      <c r="P5492" s="3" t="s">
        <v>25</v>
      </c>
      <c r="Q5492" s="37">
        <v>0.88</v>
      </c>
      <c r="R5492" s="1" t="s">
        <v>231</v>
      </c>
      <c r="S5492" s="13">
        <f t="shared" si="236"/>
        <v>-1.1299999999999999</v>
      </c>
    </row>
    <row r="5493" spans="1:19">
      <c r="A5493" s="18" t="s">
        <v>5496</v>
      </c>
      <c r="B5493" s="1" t="s">
        <v>5681</v>
      </c>
      <c r="C5493" s="1" t="s">
        <v>5655</v>
      </c>
      <c r="D5493" s="1" t="s">
        <v>5656</v>
      </c>
      <c r="E5493" s="1" t="s">
        <v>5500</v>
      </c>
      <c r="F5493">
        <f>VLOOKUP(E5493,Legends!$G$2:$I$100,2,FALSE)</f>
        <v>443.1</v>
      </c>
      <c r="G5493">
        <f>VLOOKUP(E5493,Legends!$G$2:$I$100,3,FALSE)</f>
        <v>486.65</v>
      </c>
      <c r="H5493">
        <v>188.9</v>
      </c>
      <c r="I5493" s="1" t="s">
        <v>1528</v>
      </c>
      <c r="J5493" s="1" t="s">
        <v>5501</v>
      </c>
      <c r="K5493" s="1" t="s">
        <v>25</v>
      </c>
      <c r="L5493">
        <v>-1.28</v>
      </c>
      <c r="M5493" s="1" t="s">
        <v>23</v>
      </c>
      <c r="N5493" s="1" t="s">
        <v>230</v>
      </c>
      <c r="O5493" s="1" t="s">
        <v>25</v>
      </c>
      <c r="P5493" s="3" t="s">
        <v>25</v>
      </c>
      <c r="Q5493" s="37">
        <v>0.44</v>
      </c>
      <c r="R5493" s="1" t="s">
        <v>231</v>
      </c>
      <c r="S5493" s="13">
        <f t="shared" si="236"/>
        <v>-1.28</v>
      </c>
    </row>
    <row r="5494" spans="1:19">
      <c r="A5494" s="18" t="s">
        <v>5496</v>
      </c>
      <c r="B5494" s="1" t="s">
        <v>5682</v>
      </c>
      <c r="C5494" s="1" t="s">
        <v>5655</v>
      </c>
      <c r="D5494" s="1" t="s">
        <v>5656</v>
      </c>
      <c r="E5494" s="1" t="s">
        <v>5500</v>
      </c>
      <c r="F5494">
        <f>VLOOKUP(E5494,Legends!$G$2:$I$100,2,FALSE)</f>
        <v>443.1</v>
      </c>
      <c r="G5494">
        <f>VLOOKUP(E5494,Legends!$G$2:$I$100,3,FALSE)</f>
        <v>486.65</v>
      </c>
      <c r="H5494">
        <v>168.5</v>
      </c>
      <c r="I5494" s="1" t="s">
        <v>1528</v>
      </c>
      <c r="J5494" s="1" t="s">
        <v>5501</v>
      </c>
      <c r="K5494" s="1" t="s">
        <v>25</v>
      </c>
      <c r="L5494">
        <v>-1.38</v>
      </c>
      <c r="M5494" s="1" t="s">
        <v>23</v>
      </c>
      <c r="N5494" s="1" t="s">
        <v>230</v>
      </c>
      <c r="O5494" s="1" t="s">
        <v>25</v>
      </c>
      <c r="P5494" s="3" t="s">
        <v>25</v>
      </c>
      <c r="Q5494" s="37">
        <v>0.68</v>
      </c>
      <c r="R5494" s="1" t="s">
        <v>231</v>
      </c>
      <c r="S5494" s="13">
        <f t="shared" si="236"/>
        <v>-1.38</v>
      </c>
    </row>
    <row r="5495" spans="1:19">
      <c r="A5495" s="18" t="s">
        <v>5496</v>
      </c>
      <c r="B5495" s="1" t="s">
        <v>5683</v>
      </c>
      <c r="C5495" s="1" t="s">
        <v>5655</v>
      </c>
      <c r="D5495" s="1" t="s">
        <v>5656</v>
      </c>
      <c r="E5495" s="1" t="s">
        <v>5500</v>
      </c>
      <c r="F5495">
        <f>VLOOKUP(E5495,Legends!$G$2:$I$100,2,FALSE)</f>
        <v>443.1</v>
      </c>
      <c r="G5495">
        <f>VLOOKUP(E5495,Legends!$G$2:$I$100,3,FALSE)</f>
        <v>486.65</v>
      </c>
      <c r="H5495">
        <v>182.5</v>
      </c>
      <c r="I5495" s="1" t="s">
        <v>1528</v>
      </c>
      <c r="J5495" s="1" t="s">
        <v>5501</v>
      </c>
      <c r="K5495" s="1" t="s">
        <v>25</v>
      </c>
      <c r="L5495">
        <v>-1.29</v>
      </c>
      <c r="M5495" s="1" t="s">
        <v>23</v>
      </c>
      <c r="N5495" s="1" t="s">
        <v>230</v>
      </c>
      <c r="O5495" s="1" t="s">
        <v>25</v>
      </c>
      <c r="P5495" s="3" t="s">
        <v>25</v>
      </c>
      <c r="Q5495" s="37">
        <v>0.42</v>
      </c>
      <c r="R5495" s="1" t="s">
        <v>231</v>
      </c>
      <c r="S5495" s="13">
        <f t="shared" si="236"/>
        <v>-1.29</v>
      </c>
    </row>
    <row r="5496" spans="1:19">
      <c r="A5496" s="18" t="s">
        <v>5496</v>
      </c>
      <c r="B5496" s="1" t="s">
        <v>5684</v>
      </c>
      <c r="C5496" s="1" t="s">
        <v>5655</v>
      </c>
      <c r="D5496" s="1" t="s">
        <v>5656</v>
      </c>
      <c r="E5496" s="1" t="s">
        <v>5500</v>
      </c>
      <c r="F5496">
        <f>VLOOKUP(E5496,Legends!$G$2:$I$100,2,FALSE)</f>
        <v>443.1</v>
      </c>
      <c r="G5496">
        <f>VLOOKUP(E5496,Legends!$G$2:$I$100,3,FALSE)</f>
        <v>486.65</v>
      </c>
      <c r="H5496">
        <v>150</v>
      </c>
      <c r="I5496" s="1" t="s">
        <v>1528</v>
      </c>
      <c r="J5496" s="1" t="s">
        <v>5501</v>
      </c>
      <c r="K5496" s="1" t="s">
        <v>25</v>
      </c>
      <c r="L5496">
        <v>-1.21</v>
      </c>
      <c r="M5496" s="1" t="s">
        <v>23</v>
      </c>
      <c r="N5496" s="1" t="s">
        <v>230</v>
      </c>
      <c r="O5496" s="1" t="s">
        <v>25</v>
      </c>
      <c r="P5496" s="3" t="s">
        <v>25</v>
      </c>
      <c r="Q5496" s="37">
        <v>0.54</v>
      </c>
      <c r="R5496" s="1" t="s">
        <v>231</v>
      </c>
      <c r="S5496" s="13">
        <f t="shared" si="236"/>
        <v>-1.21</v>
      </c>
    </row>
    <row r="5497" spans="1:19">
      <c r="A5497" s="18" t="s">
        <v>5496</v>
      </c>
      <c r="B5497" s="1" t="s">
        <v>5685</v>
      </c>
      <c r="C5497" s="1" t="s">
        <v>5655</v>
      </c>
      <c r="D5497" s="1" t="s">
        <v>5656</v>
      </c>
      <c r="E5497" s="1" t="s">
        <v>5500</v>
      </c>
      <c r="F5497">
        <f>VLOOKUP(E5497,Legends!$G$2:$I$100,2,FALSE)</f>
        <v>443.1</v>
      </c>
      <c r="G5497">
        <f>VLOOKUP(E5497,Legends!$G$2:$I$100,3,FALSE)</f>
        <v>486.65</v>
      </c>
      <c r="H5497">
        <v>151</v>
      </c>
      <c r="I5497" s="1" t="s">
        <v>1528</v>
      </c>
      <c r="J5497" s="1" t="s">
        <v>5616</v>
      </c>
      <c r="K5497" s="1" t="s">
        <v>25</v>
      </c>
      <c r="L5497">
        <v>-1.23</v>
      </c>
      <c r="M5497" s="1" t="s">
        <v>23</v>
      </c>
      <c r="N5497" s="1" t="s">
        <v>230</v>
      </c>
      <c r="O5497" s="1" t="s">
        <v>25</v>
      </c>
      <c r="P5497" s="3" t="s">
        <v>25</v>
      </c>
      <c r="Q5497" s="37">
        <v>0.56000000000000005</v>
      </c>
      <c r="R5497" s="1" t="s">
        <v>231</v>
      </c>
      <c r="S5497" s="13">
        <f t="shared" si="236"/>
        <v>-1.23</v>
      </c>
    </row>
    <row r="5498" spans="1:19">
      <c r="A5498" s="18" t="s">
        <v>5496</v>
      </c>
      <c r="B5498" s="1" t="s">
        <v>5686</v>
      </c>
      <c r="C5498" s="1" t="s">
        <v>5655</v>
      </c>
      <c r="D5498" s="1" t="s">
        <v>5656</v>
      </c>
      <c r="E5498" s="1" t="s">
        <v>5500</v>
      </c>
      <c r="F5498">
        <f>VLOOKUP(E5498,Legends!$G$2:$I$100,2,FALSE)</f>
        <v>443.1</v>
      </c>
      <c r="G5498">
        <f>VLOOKUP(E5498,Legends!$G$2:$I$100,3,FALSE)</f>
        <v>486.65</v>
      </c>
      <c r="H5498">
        <v>198</v>
      </c>
      <c r="I5498" s="1" t="s">
        <v>1528</v>
      </c>
      <c r="J5498" s="1" t="s">
        <v>5501</v>
      </c>
      <c r="K5498" s="1" t="s">
        <v>25</v>
      </c>
      <c r="L5498">
        <v>-1.0900000000000001</v>
      </c>
      <c r="M5498" s="1" t="s">
        <v>23</v>
      </c>
      <c r="N5498" s="1" t="s">
        <v>230</v>
      </c>
      <c r="O5498" s="1" t="s">
        <v>25</v>
      </c>
      <c r="P5498" s="3" t="s">
        <v>25</v>
      </c>
      <c r="Q5498" s="37" t="s">
        <v>25</v>
      </c>
      <c r="R5498" s="37" t="s">
        <v>25</v>
      </c>
      <c r="S5498" s="13">
        <f t="shared" ref="S5498:S5561" si="237">IF(NOT(N5498="SW"),L5498-1.88,L5498)</f>
        <v>-1.0900000000000001</v>
      </c>
    </row>
    <row r="5499" spans="1:19">
      <c r="A5499" s="18" t="s">
        <v>5496</v>
      </c>
      <c r="B5499" s="1" t="s">
        <v>5687</v>
      </c>
      <c r="C5499" s="1" t="s">
        <v>5655</v>
      </c>
      <c r="D5499" s="1" t="s">
        <v>5656</v>
      </c>
      <c r="E5499" s="1" t="s">
        <v>5500</v>
      </c>
      <c r="F5499">
        <f>VLOOKUP(E5499,Legends!$G$2:$I$100,2,FALSE)</f>
        <v>443.1</v>
      </c>
      <c r="G5499">
        <f>VLOOKUP(E5499,Legends!$G$2:$I$100,3,FALSE)</f>
        <v>486.65</v>
      </c>
      <c r="H5499">
        <v>206</v>
      </c>
      <c r="I5499" s="1" t="s">
        <v>1528</v>
      </c>
      <c r="J5499" s="1" t="s">
        <v>5501</v>
      </c>
      <c r="K5499" s="1" t="s">
        <v>25</v>
      </c>
      <c r="L5499">
        <v>-1.27</v>
      </c>
      <c r="M5499" s="1" t="s">
        <v>23</v>
      </c>
      <c r="N5499" s="1" t="s">
        <v>230</v>
      </c>
      <c r="O5499" s="1" t="s">
        <v>25</v>
      </c>
      <c r="P5499" s="3" t="s">
        <v>25</v>
      </c>
      <c r="Q5499" s="37" t="s">
        <v>25</v>
      </c>
      <c r="R5499" s="37" t="s">
        <v>25</v>
      </c>
      <c r="S5499" s="13">
        <f t="shared" si="237"/>
        <v>-1.27</v>
      </c>
    </row>
    <row r="5500" spans="1:19">
      <c r="A5500" s="18" t="s">
        <v>5496</v>
      </c>
      <c r="B5500" s="1" t="s">
        <v>5688</v>
      </c>
      <c r="C5500" s="1" t="s">
        <v>5655</v>
      </c>
      <c r="D5500" s="1" t="s">
        <v>5656</v>
      </c>
      <c r="E5500" s="1" t="s">
        <v>5500</v>
      </c>
      <c r="F5500">
        <f>VLOOKUP(E5500,Legends!$G$2:$I$100,2,FALSE)</f>
        <v>443.1</v>
      </c>
      <c r="G5500">
        <f>VLOOKUP(E5500,Legends!$G$2:$I$100,3,FALSE)</f>
        <v>486.65</v>
      </c>
      <c r="H5500">
        <v>67.900000000000006</v>
      </c>
      <c r="I5500" s="1" t="s">
        <v>1528</v>
      </c>
      <c r="J5500" s="1" t="s">
        <v>5616</v>
      </c>
      <c r="K5500" s="1" t="s">
        <v>25</v>
      </c>
      <c r="L5500">
        <v>-1.1100000000000001</v>
      </c>
      <c r="M5500" s="1" t="s">
        <v>23</v>
      </c>
      <c r="N5500" s="1" t="s">
        <v>230</v>
      </c>
      <c r="O5500" s="1" t="s">
        <v>25</v>
      </c>
      <c r="P5500" s="3" t="s">
        <v>25</v>
      </c>
      <c r="Q5500" s="37">
        <v>0.15</v>
      </c>
      <c r="R5500" s="1" t="s">
        <v>231</v>
      </c>
      <c r="S5500" s="13">
        <f t="shared" si="237"/>
        <v>-1.1100000000000001</v>
      </c>
    </row>
    <row r="5501" spans="1:19">
      <c r="A5501" s="18" t="s">
        <v>5496</v>
      </c>
      <c r="B5501" s="1" t="s">
        <v>5689</v>
      </c>
      <c r="C5501" s="1" t="s">
        <v>5655</v>
      </c>
      <c r="D5501" s="1" t="s">
        <v>5656</v>
      </c>
      <c r="E5501" s="1" t="s">
        <v>5500</v>
      </c>
      <c r="F5501">
        <f>VLOOKUP(E5501,Legends!$G$2:$I$100,2,FALSE)</f>
        <v>443.1</v>
      </c>
      <c r="G5501">
        <f>VLOOKUP(E5501,Legends!$G$2:$I$100,3,FALSE)</f>
        <v>486.65</v>
      </c>
      <c r="H5501">
        <v>75</v>
      </c>
      <c r="I5501" s="1" t="s">
        <v>1528</v>
      </c>
      <c r="J5501" s="1" t="s">
        <v>5616</v>
      </c>
      <c r="K5501" s="1" t="s">
        <v>25</v>
      </c>
      <c r="L5501">
        <v>-1.1499999999999999</v>
      </c>
      <c r="M5501" s="1" t="s">
        <v>23</v>
      </c>
      <c r="N5501" s="1" t="s">
        <v>230</v>
      </c>
      <c r="O5501" s="1" t="s">
        <v>25</v>
      </c>
      <c r="P5501" s="3" t="s">
        <v>25</v>
      </c>
      <c r="Q5501" s="37">
        <v>0.16</v>
      </c>
      <c r="R5501" s="1" t="s">
        <v>231</v>
      </c>
      <c r="S5501" s="13">
        <f t="shared" si="237"/>
        <v>-1.1499999999999999</v>
      </c>
    </row>
    <row r="5502" spans="1:19">
      <c r="A5502" s="18" t="s">
        <v>5496</v>
      </c>
      <c r="B5502" s="1" t="s">
        <v>5690</v>
      </c>
      <c r="C5502" s="1" t="s">
        <v>5655</v>
      </c>
      <c r="D5502" s="1" t="s">
        <v>5656</v>
      </c>
      <c r="E5502" s="1" t="s">
        <v>5500</v>
      </c>
      <c r="F5502">
        <f>VLOOKUP(E5502,Legends!$G$2:$I$100,2,FALSE)</f>
        <v>443.1</v>
      </c>
      <c r="G5502">
        <f>VLOOKUP(E5502,Legends!$G$2:$I$100,3,FALSE)</f>
        <v>486.65</v>
      </c>
      <c r="H5502">
        <v>3.8</v>
      </c>
      <c r="I5502" s="1" t="s">
        <v>1528</v>
      </c>
      <c r="J5502" s="1" t="s">
        <v>5616</v>
      </c>
      <c r="K5502" s="1" t="s">
        <v>25</v>
      </c>
      <c r="L5502">
        <v>-1.1399999999999999</v>
      </c>
      <c r="M5502" s="1" t="s">
        <v>23</v>
      </c>
      <c r="N5502" s="1" t="s">
        <v>230</v>
      </c>
      <c r="O5502" s="1" t="s">
        <v>25</v>
      </c>
      <c r="P5502" s="3" t="s">
        <v>25</v>
      </c>
      <c r="Q5502" s="37">
        <v>0.12</v>
      </c>
      <c r="R5502" s="1" t="s">
        <v>231</v>
      </c>
      <c r="S5502" s="13">
        <f t="shared" si="237"/>
        <v>-1.1399999999999999</v>
      </c>
    </row>
    <row r="5503" spans="1:19">
      <c r="A5503" s="18" t="s">
        <v>5496</v>
      </c>
      <c r="B5503" s="1" t="s">
        <v>5691</v>
      </c>
      <c r="C5503" s="1" t="s">
        <v>5655</v>
      </c>
      <c r="D5503" s="1" t="s">
        <v>5656</v>
      </c>
      <c r="E5503" s="1" t="s">
        <v>5500</v>
      </c>
      <c r="F5503">
        <f>VLOOKUP(E5503,Legends!$G$2:$I$100,2,FALSE)</f>
        <v>443.1</v>
      </c>
      <c r="G5503">
        <f>VLOOKUP(E5503,Legends!$G$2:$I$100,3,FALSE)</f>
        <v>486.65</v>
      </c>
      <c r="H5503">
        <v>77.400000000000006</v>
      </c>
      <c r="I5503" s="1" t="s">
        <v>1528</v>
      </c>
      <c r="J5503" s="1" t="s">
        <v>5616</v>
      </c>
      <c r="K5503" s="1" t="s">
        <v>25</v>
      </c>
      <c r="L5503">
        <v>-0.99</v>
      </c>
      <c r="M5503" s="1" t="s">
        <v>23</v>
      </c>
      <c r="N5503" s="1" t="s">
        <v>230</v>
      </c>
      <c r="O5503" s="1" t="s">
        <v>25</v>
      </c>
      <c r="P5503" s="3" t="s">
        <v>25</v>
      </c>
      <c r="Q5503" s="37">
        <v>0.11</v>
      </c>
      <c r="R5503" s="1" t="s">
        <v>231</v>
      </c>
      <c r="S5503" s="13">
        <f t="shared" si="237"/>
        <v>-0.99</v>
      </c>
    </row>
    <row r="5504" spans="1:19">
      <c r="A5504" s="18" t="s">
        <v>5496</v>
      </c>
      <c r="B5504" s="1" t="s">
        <v>5692</v>
      </c>
      <c r="C5504" s="1" t="s">
        <v>5655</v>
      </c>
      <c r="D5504" s="1" t="s">
        <v>5656</v>
      </c>
      <c r="E5504" s="1" t="s">
        <v>5500</v>
      </c>
      <c r="F5504">
        <f>VLOOKUP(E5504,Legends!$G$2:$I$100,2,FALSE)</f>
        <v>443.1</v>
      </c>
      <c r="G5504">
        <f>VLOOKUP(E5504,Legends!$G$2:$I$100,3,FALSE)</f>
        <v>486.65</v>
      </c>
      <c r="H5504">
        <v>90.5</v>
      </c>
      <c r="I5504" s="1" t="s">
        <v>1528</v>
      </c>
      <c r="J5504" s="1" t="s">
        <v>5616</v>
      </c>
      <c r="K5504" s="1" t="s">
        <v>25</v>
      </c>
      <c r="L5504">
        <v>-1.22</v>
      </c>
      <c r="M5504" s="1" t="s">
        <v>23</v>
      </c>
      <c r="N5504" s="1" t="s">
        <v>230</v>
      </c>
      <c r="O5504" s="1" t="s">
        <v>25</v>
      </c>
      <c r="P5504" s="3" t="s">
        <v>25</v>
      </c>
      <c r="Q5504" s="37">
        <v>0.13</v>
      </c>
      <c r="R5504" s="1" t="s">
        <v>231</v>
      </c>
      <c r="S5504" s="13">
        <f t="shared" si="237"/>
        <v>-1.22</v>
      </c>
    </row>
    <row r="5505" spans="1:19">
      <c r="A5505" s="18" t="s">
        <v>5496</v>
      </c>
      <c r="B5505" s="1" t="s">
        <v>2073</v>
      </c>
      <c r="C5505" s="1" t="s">
        <v>5655</v>
      </c>
      <c r="D5505" s="1" t="s">
        <v>5656</v>
      </c>
      <c r="E5505" s="1" t="s">
        <v>5500</v>
      </c>
      <c r="F5505">
        <f>VLOOKUP(E5505,Legends!$G$2:$I$100,2,FALSE)</f>
        <v>443.1</v>
      </c>
      <c r="G5505">
        <f>VLOOKUP(E5505,Legends!$G$2:$I$100,3,FALSE)</f>
        <v>486.65</v>
      </c>
      <c r="H5505">
        <v>17.8</v>
      </c>
      <c r="I5505" s="1" t="s">
        <v>1528</v>
      </c>
      <c r="J5505" s="1" t="s">
        <v>5616</v>
      </c>
      <c r="K5505" s="1" t="s">
        <v>25</v>
      </c>
      <c r="L5505">
        <v>-0.9</v>
      </c>
      <c r="M5505" s="1" t="s">
        <v>23</v>
      </c>
      <c r="N5505" s="1" t="s">
        <v>230</v>
      </c>
      <c r="O5505" s="1" t="s">
        <v>25</v>
      </c>
      <c r="P5505" s="3" t="s">
        <v>25</v>
      </c>
      <c r="Q5505" s="37">
        <v>0.17</v>
      </c>
      <c r="R5505" s="1" t="s">
        <v>231</v>
      </c>
      <c r="S5505" s="13">
        <f t="shared" si="237"/>
        <v>-0.9</v>
      </c>
    </row>
    <row r="5506" spans="1:19">
      <c r="A5506" s="18" t="s">
        <v>5496</v>
      </c>
      <c r="B5506" s="1" t="s">
        <v>2071</v>
      </c>
      <c r="C5506" s="1" t="s">
        <v>5655</v>
      </c>
      <c r="D5506" s="1" t="s">
        <v>5656</v>
      </c>
      <c r="E5506" s="1" t="s">
        <v>5500</v>
      </c>
      <c r="F5506">
        <f>VLOOKUP(E5506,Legends!$G$2:$I$100,2,FALSE)</f>
        <v>443.1</v>
      </c>
      <c r="G5506">
        <f>VLOOKUP(E5506,Legends!$G$2:$I$100,3,FALSE)</f>
        <v>486.65</v>
      </c>
      <c r="H5506">
        <v>100.3</v>
      </c>
      <c r="I5506" s="1" t="s">
        <v>1528</v>
      </c>
      <c r="J5506" s="1" t="s">
        <v>5616</v>
      </c>
      <c r="K5506" s="1" t="s">
        <v>25</v>
      </c>
      <c r="L5506">
        <v>-1.1299999999999999</v>
      </c>
      <c r="M5506" s="1" t="s">
        <v>23</v>
      </c>
      <c r="N5506" s="1" t="s">
        <v>230</v>
      </c>
      <c r="O5506" s="1" t="s">
        <v>25</v>
      </c>
      <c r="P5506" s="3" t="s">
        <v>25</v>
      </c>
      <c r="Q5506" s="37">
        <v>0.11</v>
      </c>
      <c r="R5506" s="1" t="s">
        <v>231</v>
      </c>
      <c r="S5506" s="13">
        <f t="shared" si="237"/>
        <v>-1.1299999999999999</v>
      </c>
    </row>
    <row r="5507" spans="1:19">
      <c r="A5507" s="18" t="s">
        <v>5496</v>
      </c>
      <c r="B5507" s="1" t="s">
        <v>5693</v>
      </c>
      <c r="C5507" s="1" t="s">
        <v>5655</v>
      </c>
      <c r="D5507" s="1" t="s">
        <v>5656</v>
      </c>
      <c r="E5507" s="1" t="s">
        <v>5500</v>
      </c>
      <c r="F5507">
        <f>VLOOKUP(E5507,Legends!$G$2:$I$100,2,FALSE)</f>
        <v>443.1</v>
      </c>
      <c r="G5507">
        <f>VLOOKUP(E5507,Legends!$G$2:$I$100,3,FALSE)</f>
        <v>486.65</v>
      </c>
      <c r="H5507">
        <v>80.5</v>
      </c>
      <c r="I5507" s="1" t="s">
        <v>1528</v>
      </c>
      <c r="J5507" s="1" t="s">
        <v>5616</v>
      </c>
      <c r="K5507" s="1" t="s">
        <v>25</v>
      </c>
      <c r="L5507">
        <v>-1.1599999999999999</v>
      </c>
      <c r="M5507" s="1" t="s">
        <v>23</v>
      </c>
      <c r="N5507" s="1" t="s">
        <v>230</v>
      </c>
      <c r="O5507" s="1" t="s">
        <v>25</v>
      </c>
      <c r="P5507" s="3" t="s">
        <v>25</v>
      </c>
      <c r="Q5507" s="37">
        <v>0.16</v>
      </c>
      <c r="R5507" s="1" t="s">
        <v>231</v>
      </c>
      <c r="S5507" s="13">
        <f t="shared" si="237"/>
        <v>-1.1599999999999999</v>
      </c>
    </row>
    <row r="5508" spans="1:19">
      <c r="A5508" s="18" t="s">
        <v>5496</v>
      </c>
      <c r="B5508" s="1" t="s">
        <v>5694</v>
      </c>
      <c r="C5508" s="1" t="s">
        <v>5655</v>
      </c>
      <c r="D5508" s="1" t="s">
        <v>5656</v>
      </c>
      <c r="E5508" s="1" t="s">
        <v>5500</v>
      </c>
      <c r="F5508">
        <f>VLOOKUP(E5508,Legends!$G$2:$I$100,2,FALSE)</f>
        <v>443.1</v>
      </c>
      <c r="G5508">
        <f>VLOOKUP(E5508,Legends!$G$2:$I$100,3,FALSE)</f>
        <v>486.65</v>
      </c>
      <c r="H5508">
        <v>93.9</v>
      </c>
      <c r="I5508" s="1" t="s">
        <v>1528</v>
      </c>
      <c r="J5508" s="1" t="s">
        <v>5616</v>
      </c>
      <c r="K5508" s="1" t="s">
        <v>25</v>
      </c>
      <c r="L5508">
        <v>-1.2</v>
      </c>
      <c r="M5508" s="1" t="s">
        <v>23</v>
      </c>
      <c r="N5508" s="1" t="s">
        <v>230</v>
      </c>
      <c r="O5508" s="1" t="s">
        <v>25</v>
      </c>
      <c r="P5508" s="3" t="s">
        <v>25</v>
      </c>
      <c r="Q5508" s="37">
        <v>0.12</v>
      </c>
      <c r="R5508" s="1" t="s">
        <v>231</v>
      </c>
      <c r="S5508" s="13">
        <f t="shared" si="237"/>
        <v>-1.2</v>
      </c>
    </row>
    <row r="5509" spans="1:19">
      <c r="A5509" s="18" t="s">
        <v>5496</v>
      </c>
      <c r="B5509" s="1" t="s">
        <v>5695</v>
      </c>
      <c r="C5509" s="1" t="s">
        <v>5655</v>
      </c>
      <c r="D5509" s="1" t="s">
        <v>5656</v>
      </c>
      <c r="E5509" s="1" t="s">
        <v>5500</v>
      </c>
      <c r="F5509">
        <f>VLOOKUP(E5509,Legends!$G$2:$I$100,2,FALSE)</f>
        <v>443.1</v>
      </c>
      <c r="G5509">
        <f>VLOOKUP(E5509,Legends!$G$2:$I$100,3,FALSE)</f>
        <v>486.65</v>
      </c>
      <c r="H5509">
        <v>64.8</v>
      </c>
      <c r="I5509" s="1" t="s">
        <v>1528</v>
      </c>
      <c r="J5509" s="1" t="s">
        <v>5616</v>
      </c>
      <c r="K5509" s="1" t="s">
        <v>25</v>
      </c>
      <c r="L5509">
        <v>-0.95</v>
      </c>
      <c r="M5509" s="1" t="s">
        <v>23</v>
      </c>
      <c r="N5509" s="1" t="s">
        <v>230</v>
      </c>
      <c r="O5509" s="1" t="s">
        <v>25</v>
      </c>
      <c r="P5509" s="3" t="s">
        <v>25</v>
      </c>
      <c r="Q5509" s="37">
        <v>0.22</v>
      </c>
      <c r="R5509" s="1" t="s">
        <v>231</v>
      </c>
      <c r="S5509" s="13">
        <f t="shared" si="237"/>
        <v>-0.95</v>
      </c>
    </row>
    <row r="5510" spans="1:19">
      <c r="A5510" s="18" t="s">
        <v>5496</v>
      </c>
      <c r="B5510" s="1" t="s">
        <v>5696</v>
      </c>
      <c r="C5510" s="1" t="s">
        <v>5655</v>
      </c>
      <c r="D5510" s="1" t="s">
        <v>5656</v>
      </c>
      <c r="E5510" s="1" t="s">
        <v>5500</v>
      </c>
      <c r="F5510">
        <f>VLOOKUP(E5510,Legends!$G$2:$I$100,2,FALSE)</f>
        <v>443.1</v>
      </c>
      <c r="G5510">
        <f>VLOOKUP(E5510,Legends!$G$2:$I$100,3,FALSE)</f>
        <v>486.65</v>
      </c>
      <c r="H5510">
        <v>31.3</v>
      </c>
      <c r="I5510" s="1" t="s">
        <v>1528</v>
      </c>
      <c r="J5510" s="1" t="s">
        <v>5616</v>
      </c>
      <c r="K5510" s="1" t="s">
        <v>25</v>
      </c>
      <c r="L5510">
        <v>-1.08</v>
      </c>
      <c r="M5510" s="1" t="s">
        <v>23</v>
      </c>
      <c r="N5510" s="1" t="s">
        <v>230</v>
      </c>
      <c r="O5510" s="1" t="s">
        <v>25</v>
      </c>
      <c r="P5510" s="3" t="s">
        <v>25</v>
      </c>
      <c r="Q5510" s="37">
        <v>0.18</v>
      </c>
      <c r="R5510" s="1" t="s">
        <v>231</v>
      </c>
      <c r="S5510" s="13">
        <f t="shared" si="237"/>
        <v>-1.08</v>
      </c>
    </row>
    <row r="5511" spans="1:19">
      <c r="A5511" s="18" t="s">
        <v>5496</v>
      </c>
      <c r="B5511" s="1" t="s">
        <v>5697</v>
      </c>
      <c r="C5511" s="1" t="s">
        <v>5655</v>
      </c>
      <c r="D5511" s="1" t="s">
        <v>5656</v>
      </c>
      <c r="E5511" s="1" t="s">
        <v>5500</v>
      </c>
      <c r="F5511">
        <f>VLOOKUP(E5511,Legends!$G$2:$I$100,2,FALSE)</f>
        <v>443.1</v>
      </c>
      <c r="G5511">
        <f>VLOOKUP(E5511,Legends!$G$2:$I$100,3,FALSE)</f>
        <v>486.65</v>
      </c>
      <c r="H5511">
        <v>100.3</v>
      </c>
      <c r="I5511" s="1" t="s">
        <v>1528</v>
      </c>
      <c r="J5511" s="1" t="s">
        <v>5616</v>
      </c>
      <c r="K5511" s="1" t="s">
        <v>25</v>
      </c>
      <c r="L5511">
        <v>-1.08</v>
      </c>
      <c r="M5511" s="1" t="s">
        <v>23</v>
      </c>
      <c r="N5511" s="1" t="s">
        <v>230</v>
      </c>
      <c r="O5511" s="1" t="s">
        <v>25</v>
      </c>
      <c r="P5511" s="3" t="s">
        <v>25</v>
      </c>
      <c r="Q5511" s="37">
        <v>0.11</v>
      </c>
      <c r="R5511" s="1" t="s">
        <v>231</v>
      </c>
      <c r="S5511" s="13">
        <f t="shared" si="237"/>
        <v>-1.08</v>
      </c>
    </row>
    <row r="5512" spans="1:19">
      <c r="A5512" s="18" t="s">
        <v>5496</v>
      </c>
      <c r="B5512" s="1" t="s">
        <v>5698</v>
      </c>
      <c r="C5512" s="1" t="s">
        <v>5655</v>
      </c>
      <c r="D5512" s="1" t="s">
        <v>5656</v>
      </c>
      <c r="E5512" s="1" t="s">
        <v>5500</v>
      </c>
      <c r="F5512">
        <f>VLOOKUP(E5512,Legends!$G$2:$I$100,2,FALSE)</f>
        <v>443.1</v>
      </c>
      <c r="G5512">
        <f>VLOOKUP(E5512,Legends!$G$2:$I$100,3,FALSE)</f>
        <v>486.65</v>
      </c>
      <c r="H5512">
        <v>25.8</v>
      </c>
      <c r="I5512" s="1" t="s">
        <v>1528</v>
      </c>
      <c r="J5512" s="1" t="s">
        <v>5616</v>
      </c>
      <c r="K5512" s="1" t="s">
        <v>25</v>
      </c>
      <c r="L5512">
        <v>-1.06</v>
      </c>
      <c r="M5512" s="1" t="s">
        <v>23</v>
      </c>
      <c r="N5512" s="1" t="s">
        <v>230</v>
      </c>
      <c r="O5512" s="1" t="s">
        <v>25</v>
      </c>
      <c r="P5512" s="3" t="s">
        <v>25</v>
      </c>
      <c r="Q5512" s="37">
        <v>0.22</v>
      </c>
      <c r="R5512" s="1" t="s">
        <v>231</v>
      </c>
      <c r="S5512" s="13">
        <f t="shared" si="237"/>
        <v>-1.06</v>
      </c>
    </row>
    <row r="5513" spans="1:19">
      <c r="A5513" s="18" t="s">
        <v>5496</v>
      </c>
      <c r="B5513" s="1" t="s">
        <v>5699</v>
      </c>
      <c r="C5513" s="1" t="s">
        <v>5655</v>
      </c>
      <c r="D5513" s="1" t="s">
        <v>5656</v>
      </c>
      <c r="E5513" s="1" t="s">
        <v>5500</v>
      </c>
      <c r="F5513">
        <f>VLOOKUP(E5513,Legends!$G$2:$I$100,2,FALSE)</f>
        <v>443.1</v>
      </c>
      <c r="G5513">
        <f>VLOOKUP(E5513,Legends!$G$2:$I$100,3,FALSE)</f>
        <v>486.65</v>
      </c>
      <c r="H5513">
        <v>85.5</v>
      </c>
      <c r="I5513" s="1" t="s">
        <v>1528</v>
      </c>
      <c r="J5513" s="1" t="s">
        <v>5616</v>
      </c>
      <c r="K5513" s="1" t="s">
        <v>25</v>
      </c>
      <c r="L5513">
        <v>-1.1599999999999999</v>
      </c>
      <c r="M5513" s="1" t="s">
        <v>23</v>
      </c>
      <c r="N5513" s="1" t="s">
        <v>230</v>
      </c>
      <c r="O5513" s="1" t="s">
        <v>25</v>
      </c>
      <c r="P5513" s="3" t="s">
        <v>25</v>
      </c>
      <c r="Q5513" s="37">
        <v>0.18</v>
      </c>
      <c r="R5513" s="1" t="s">
        <v>231</v>
      </c>
      <c r="S5513" s="13">
        <f t="shared" si="237"/>
        <v>-1.1599999999999999</v>
      </c>
    </row>
    <row r="5514" spans="1:19">
      <c r="A5514" s="18" t="s">
        <v>5496</v>
      </c>
      <c r="B5514" s="1" t="s">
        <v>5700</v>
      </c>
      <c r="C5514" s="1" t="s">
        <v>5655</v>
      </c>
      <c r="D5514" s="1" t="s">
        <v>5656</v>
      </c>
      <c r="E5514" s="1" t="s">
        <v>5500</v>
      </c>
      <c r="F5514">
        <f>VLOOKUP(E5514,Legends!$G$2:$I$100,2,FALSE)</f>
        <v>443.1</v>
      </c>
      <c r="G5514">
        <f>VLOOKUP(E5514,Legends!$G$2:$I$100,3,FALSE)</f>
        <v>486.65</v>
      </c>
      <c r="H5514">
        <v>43.9</v>
      </c>
      <c r="I5514" s="1" t="s">
        <v>1528</v>
      </c>
      <c r="J5514" s="1" t="s">
        <v>5616</v>
      </c>
      <c r="K5514" s="1" t="s">
        <v>25</v>
      </c>
      <c r="L5514">
        <v>-1.06</v>
      </c>
      <c r="M5514" s="1" t="s">
        <v>23</v>
      </c>
      <c r="N5514" s="1" t="s">
        <v>230</v>
      </c>
      <c r="O5514" s="1" t="s">
        <v>25</v>
      </c>
      <c r="P5514" s="3" t="s">
        <v>25</v>
      </c>
      <c r="Q5514" s="37">
        <v>0.17</v>
      </c>
      <c r="R5514" s="1" t="s">
        <v>231</v>
      </c>
      <c r="S5514" s="13">
        <f t="shared" si="237"/>
        <v>-1.06</v>
      </c>
    </row>
    <row r="5515" spans="1:19">
      <c r="A5515" s="18" t="s">
        <v>5496</v>
      </c>
      <c r="B5515" s="1" t="s">
        <v>5701</v>
      </c>
      <c r="C5515" s="1" t="s">
        <v>5655</v>
      </c>
      <c r="D5515" s="1" t="s">
        <v>5656</v>
      </c>
      <c r="E5515" s="1" t="s">
        <v>5500</v>
      </c>
      <c r="F5515">
        <f>VLOOKUP(E5515,Legends!$G$2:$I$100,2,FALSE)</f>
        <v>443.1</v>
      </c>
      <c r="G5515">
        <f>VLOOKUP(E5515,Legends!$G$2:$I$100,3,FALSE)</f>
        <v>486.65</v>
      </c>
      <c r="H5515">
        <v>56.8</v>
      </c>
      <c r="I5515" s="1" t="s">
        <v>1528</v>
      </c>
      <c r="J5515" s="1" t="s">
        <v>5616</v>
      </c>
      <c r="K5515" s="1" t="s">
        <v>25</v>
      </c>
      <c r="L5515">
        <v>-1.19</v>
      </c>
      <c r="M5515" s="1" t="s">
        <v>23</v>
      </c>
      <c r="N5515" s="1" t="s">
        <v>230</v>
      </c>
      <c r="O5515" s="1" t="s">
        <v>25</v>
      </c>
      <c r="P5515" s="3" t="s">
        <v>25</v>
      </c>
      <c r="Q5515" s="37">
        <v>0.17</v>
      </c>
      <c r="R5515" s="1" t="s">
        <v>231</v>
      </c>
      <c r="S5515" s="13">
        <f t="shared" si="237"/>
        <v>-1.19</v>
      </c>
    </row>
    <row r="5516" spans="1:19">
      <c r="A5516" s="18" t="s">
        <v>5496</v>
      </c>
      <c r="B5516" s="1" t="s">
        <v>5702</v>
      </c>
      <c r="C5516" s="1" t="s">
        <v>5655</v>
      </c>
      <c r="D5516" s="1" t="s">
        <v>5656</v>
      </c>
      <c r="E5516" s="1" t="s">
        <v>5500</v>
      </c>
      <c r="F5516">
        <f>VLOOKUP(E5516,Legends!$G$2:$I$100,2,FALSE)</f>
        <v>443.1</v>
      </c>
      <c r="G5516">
        <f>VLOOKUP(E5516,Legends!$G$2:$I$100,3,FALSE)</f>
        <v>486.65</v>
      </c>
      <c r="H5516">
        <v>43.3</v>
      </c>
      <c r="I5516" s="1" t="s">
        <v>1528</v>
      </c>
      <c r="J5516" s="1" t="s">
        <v>5616</v>
      </c>
      <c r="K5516" s="1" t="s">
        <v>25</v>
      </c>
      <c r="L5516">
        <v>-1.26</v>
      </c>
      <c r="M5516" s="1" t="s">
        <v>23</v>
      </c>
      <c r="N5516" s="1" t="s">
        <v>230</v>
      </c>
      <c r="O5516" s="1" t="s">
        <v>25</v>
      </c>
      <c r="P5516" s="3" t="s">
        <v>25</v>
      </c>
      <c r="Q5516" s="37">
        <v>0.18</v>
      </c>
      <c r="R5516" s="1" t="s">
        <v>231</v>
      </c>
      <c r="S5516" s="13">
        <f t="shared" si="237"/>
        <v>-1.26</v>
      </c>
    </row>
    <row r="5517" spans="1:19">
      <c r="A5517" s="18" t="s">
        <v>5496</v>
      </c>
      <c r="B5517" s="1" t="s">
        <v>5703</v>
      </c>
      <c r="C5517" s="1" t="s">
        <v>5655</v>
      </c>
      <c r="D5517" s="1" t="s">
        <v>5656</v>
      </c>
      <c r="E5517" s="1" t="s">
        <v>5500</v>
      </c>
      <c r="F5517">
        <f>VLOOKUP(E5517,Legends!$G$2:$I$100,2,FALSE)</f>
        <v>443.1</v>
      </c>
      <c r="G5517">
        <f>VLOOKUP(E5517,Legends!$G$2:$I$100,3,FALSE)</f>
        <v>486.65</v>
      </c>
      <c r="H5517">
        <v>13.2</v>
      </c>
      <c r="I5517" s="1" t="s">
        <v>1528</v>
      </c>
      <c r="J5517" s="1" t="s">
        <v>5616</v>
      </c>
      <c r="K5517" s="1" t="s">
        <v>25</v>
      </c>
      <c r="L5517">
        <v>-1.05</v>
      </c>
      <c r="M5517" s="1" t="s">
        <v>23</v>
      </c>
      <c r="N5517" s="1" t="s">
        <v>230</v>
      </c>
      <c r="O5517" s="1" t="s">
        <v>25</v>
      </c>
      <c r="P5517" s="3" t="s">
        <v>25</v>
      </c>
      <c r="Q5517" s="37">
        <v>0.2</v>
      </c>
      <c r="R5517" s="1" t="s">
        <v>231</v>
      </c>
      <c r="S5517" s="13">
        <f t="shared" si="237"/>
        <v>-1.05</v>
      </c>
    </row>
    <row r="5518" spans="1:19">
      <c r="A5518" s="18" t="s">
        <v>5496</v>
      </c>
      <c r="B5518" s="1" t="s">
        <v>5704</v>
      </c>
      <c r="C5518" s="1" t="s">
        <v>5655</v>
      </c>
      <c r="D5518" s="1" t="s">
        <v>5656</v>
      </c>
      <c r="E5518" s="1" t="s">
        <v>5500</v>
      </c>
      <c r="F5518">
        <f>VLOOKUP(E5518,Legends!$G$2:$I$100,2,FALSE)</f>
        <v>443.1</v>
      </c>
      <c r="G5518">
        <f>VLOOKUP(E5518,Legends!$G$2:$I$100,3,FALSE)</f>
        <v>486.65</v>
      </c>
      <c r="H5518">
        <v>25.7</v>
      </c>
      <c r="I5518" s="1" t="s">
        <v>1528</v>
      </c>
      <c r="J5518" s="1" t="s">
        <v>5616</v>
      </c>
      <c r="K5518" s="1" t="s">
        <v>25</v>
      </c>
      <c r="L5518">
        <v>-1.02</v>
      </c>
      <c r="M5518" s="1" t="s">
        <v>23</v>
      </c>
      <c r="N5518" s="1" t="s">
        <v>230</v>
      </c>
      <c r="O5518" s="1" t="s">
        <v>25</v>
      </c>
      <c r="P5518" s="3" t="s">
        <v>25</v>
      </c>
      <c r="Q5518" s="37">
        <v>0.1</v>
      </c>
      <c r="R5518" s="1" t="s">
        <v>231</v>
      </c>
      <c r="S5518" s="13">
        <f t="shared" si="237"/>
        <v>-1.02</v>
      </c>
    </row>
    <row r="5519" spans="1:19">
      <c r="A5519" s="18" t="s">
        <v>5496</v>
      </c>
      <c r="B5519" s="1" t="s">
        <v>5705</v>
      </c>
      <c r="C5519" s="1" t="s">
        <v>5655</v>
      </c>
      <c r="D5519" s="1" t="s">
        <v>5656</v>
      </c>
      <c r="E5519" s="1" t="s">
        <v>5500</v>
      </c>
      <c r="F5519">
        <f>VLOOKUP(E5519,Legends!$G$2:$I$100,2,FALSE)</f>
        <v>443.1</v>
      </c>
      <c r="G5519">
        <f>VLOOKUP(E5519,Legends!$G$2:$I$100,3,FALSE)</f>
        <v>486.65</v>
      </c>
      <c r="H5519">
        <v>80.5</v>
      </c>
      <c r="I5519" s="1" t="s">
        <v>1528</v>
      </c>
      <c r="J5519" s="1" t="s">
        <v>5616</v>
      </c>
      <c r="K5519" s="1" t="s">
        <v>25</v>
      </c>
      <c r="L5519">
        <v>-1.18</v>
      </c>
      <c r="M5519" s="1" t="s">
        <v>23</v>
      </c>
      <c r="N5519" s="1" t="s">
        <v>230</v>
      </c>
      <c r="O5519" s="1" t="s">
        <v>25</v>
      </c>
      <c r="P5519" s="3" t="s">
        <v>25</v>
      </c>
      <c r="Q5519" s="37">
        <v>0.17</v>
      </c>
      <c r="R5519" s="1" t="s">
        <v>231</v>
      </c>
      <c r="S5519" s="13">
        <f t="shared" si="237"/>
        <v>-1.18</v>
      </c>
    </row>
    <row r="5520" spans="1:19">
      <c r="A5520" s="18" t="s">
        <v>5496</v>
      </c>
      <c r="B5520" s="1" t="s">
        <v>5706</v>
      </c>
      <c r="C5520" s="1" t="s">
        <v>5655</v>
      </c>
      <c r="D5520" s="1" t="s">
        <v>5656</v>
      </c>
      <c r="E5520" s="1" t="s">
        <v>5500</v>
      </c>
      <c r="F5520">
        <f>VLOOKUP(E5520,Legends!$G$2:$I$100,2,FALSE)</f>
        <v>443.1</v>
      </c>
      <c r="G5520">
        <f>VLOOKUP(E5520,Legends!$G$2:$I$100,3,FALSE)</f>
        <v>486.65</v>
      </c>
      <c r="H5520">
        <v>69.8</v>
      </c>
      <c r="I5520" s="1" t="s">
        <v>1528</v>
      </c>
      <c r="J5520" s="1" t="s">
        <v>5616</v>
      </c>
      <c r="K5520" s="1" t="s">
        <v>25</v>
      </c>
      <c r="L5520">
        <v>-1.29</v>
      </c>
      <c r="M5520" s="1" t="s">
        <v>23</v>
      </c>
      <c r="N5520" s="1" t="s">
        <v>230</v>
      </c>
      <c r="O5520" s="1" t="s">
        <v>25</v>
      </c>
      <c r="P5520" s="3" t="s">
        <v>25</v>
      </c>
      <c r="Q5520" s="37">
        <v>0.09</v>
      </c>
      <c r="R5520" s="1" t="s">
        <v>231</v>
      </c>
      <c r="S5520" s="13">
        <f t="shared" si="237"/>
        <v>-1.29</v>
      </c>
    </row>
    <row r="5521" spans="1:19">
      <c r="A5521" s="18" t="s">
        <v>5496</v>
      </c>
      <c r="B5521" s="1" t="s">
        <v>5707</v>
      </c>
      <c r="C5521" s="1" t="s">
        <v>5655</v>
      </c>
      <c r="D5521" s="1" t="s">
        <v>5656</v>
      </c>
      <c r="E5521" s="1" t="s">
        <v>5500</v>
      </c>
      <c r="F5521">
        <f>VLOOKUP(E5521,Legends!$G$2:$I$100,2,FALSE)</f>
        <v>443.1</v>
      </c>
      <c r="G5521">
        <f>VLOOKUP(E5521,Legends!$G$2:$I$100,3,FALSE)</f>
        <v>486.65</v>
      </c>
      <c r="H5521">
        <v>79.7</v>
      </c>
      <c r="I5521" s="1" t="s">
        <v>1528</v>
      </c>
      <c r="J5521" s="1" t="s">
        <v>5616</v>
      </c>
      <c r="K5521" s="1" t="s">
        <v>25</v>
      </c>
      <c r="L5521">
        <v>-1.23</v>
      </c>
      <c r="M5521" s="1" t="s">
        <v>23</v>
      </c>
      <c r="N5521" s="1" t="s">
        <v>230</v>
      </c>
      <c r="O5521" s="1" t="s">
        <v>25</v>
      </c>
      <c r="P5521" s="3" t="s">
        <v>25</v>
      </c>
      <c r="Q5521" s="37">
        <v>0.14000000000000001</v>
      </c>
      <c r="R5521" s="1" t="s">
        <v>231</v>
      </c>
      <c r="S5521" s="13">
        <f t="shared" si="237"/>
        <v>-1.23</v>
      </c>
    </row>
    <row r="5522" spans="1:19">
      <c r="A5522" s="18" t="s">
        <v>5496</v>
      </c>
      <c r="B5522" s="1" t="s">
        <v>5708</v>
      </c>
      <c r="C5522" s="1" t="s">
        <v>5655</v>
      </c>
      <c r="D5522" s="1" t="s">
        <v>5656</v>
      </c>
      <c r="E5522" s="1" t="s">
        <v>5500</v>
      </c>
      <c r="F5522">
        <f>VLOOKUP(E5522,Legends!$G$2:$I$100,2,FALSE)</f>
        <v>443.1</v>
      </c>
      <c r="G5522">
        <f>VLOOKUP(E5522,Legends!$G$2:$I$100,3,FALSE)</f>
        <v>486.65</v>
      </c>
      <c r="H5522">
        <v>75.8</v>
      </c>
      <c r="I5522" s="1" t="s">
        <v>1528</v>
      </c>
      <c r="J5522" s="1" t="s">
        <v>5616</v>
      </c>
      <c r="K5522" s="1" t="s">
        <v>25</v>
      </c>
      <c r="L5522">
        <v>-1.19</v>
      </c>
      <c r="M5522" s="1" t="s">
        <v>23</v>
      </c>
      <c r="N5522" s="1" t="s">
        <v>230</v>
      </c>
      <c r="O5522" s="1" t="s">
        <v>25</v>
      </c>
      <c r="P5522" s="3" t="s">
        <v>25</v>
      </c>
      <c r="Q5522" s="37">
        <v>0.16</v>
      </c>
      <c r="R5522" s="1" t="s">
        <v>231</v>
      </c>
      <c r="S5522" s="13">
        <f t="shared" si="237"/>
        <v>-1.19</v>
      </c>
    </row>
    <row r="5523" spans="1:19">
      <c r="A5523" s="18" t="s">
        <v>5496</v>
      </c>
      <c r="B5523" s="1" t="s">
        <v>5709</v>
      </c>
      <c r="C5523" s="1" t="s">
        <v>5655</v>
      </c>
      <c r="D5523" s="1" t="s">
        <v>5656</v>
      </c>
      <c r="E5523" s="1" t="s">
        <v>5500</v>
      </c>
      <c r="F5523">
        <f>VLOOKUP(E5523,Legends!$G$2:$I$100,2,FALSE)</f>
        <v>443.1</v>
      </c>
      <c r="G5523">
        <f>VLOOKUP(E5523,Legends!$G$2:$I$100,3,FALSE)</f>
        <v>486.65</v>
      </c>
      <c r="H5523">
        <v>37.4</v>
      </c>
      <c r="I5523" s="1" t="s">
        <v>1528</v>
      </c>
      <c r="J5523" s="1" t="s">
        <v>5616</v>
      </c>
      <c r="K5523" s="1" t="s">
        <v>25</v>
      </c>
      <c r="L5523">
        <v>-1.1599999999999999</v>
      </c>
      <c r="M5523" s="1" t="s">
        <v>23</v>
      </c>
      <c r="N5523" s="1" t="s">
        <v>230</v>
      </c>
      <c r="O5523" s="1" t="s">
        <v>25</v>
      </c>
      <c r="P5523" s="3" t="s">
        <v>25</v>
      </c>
      <c r="Q5523" s="37">
        <v>0.17</v>
      </c>
      <c r="R5523" s="1" t="s">
        <v>231</v>
      </c>
      <c r="S5523" s="13">
        <f t="shared" si="237"/>
        <v>-1.1599999999999999</v>
      </c>
    </row>
    <row r="5524" spans="1:19">
      <c r="A5524" s="18" t="s">
        <v>5496</v>
      </c>
      <c r="B5524" s="1" t="s">
        <v>5710</v>
      </c>
      <c r="C5524" s="1" t="s">
        <v>5655</v>
      </c>
      <c r="D5524" s="1" t="s">
        <v>5656</v>
      </c>
      <c r="E5524" s="1" t="s">
        <v>5500</v>
      </c>
      <c r="F5524">
        <f>VLOOKUP(E5524,Legends!$G$2:$I$100,2,FALSE)</f>
        <v>443.1</v>
      </c>
      <c r="G5524">
        <f>VLOOKUP(E5524,Legends!$G$2:$I$100,3,FALSE)</f>
        <v>486.65</v>
      </c>
      <c r="H5524">
        <v>21.7</v>
      </c>
      <c r="I5524" s="1" t="s">
        <v>1528</v>
      </c>
      <c r="J5524" s="1" t="s">
        <v>5616</v>
      </c>
      <c r="K5524" s="1" t="s">
        <v>25</v>
      </c>
      <c r="L5524">
        <v>-1.1599999999999999</v>
      </c>
      <c r="M5524" s="1" t="s">
        <v>23</v>
      </c>
      <c r="N5524" s="1" t="s">
        <v>230</v>
      </c>
      <c r="O5524" s="1" t="s">
        <v>25</v>
      </c>
      <c r="P5524" s="3" t="s">
        <v>25</v>
      </c>
      <c r="Q5524" s="37">
        <v>0.19</v>
      </c>
      <c r="R5524" s="1" t="s">
        <v>231</v>
      </c>
      <c r="S5524" s="13">
        <f t="shared" si="237"/>
        <v>-1.1599999999999999</v>
      </c>
    </row>
    <row r="5525" spans="1:19">
      <c r="A5525" s="18" t="s">
        <v>5496</v>
      </c>
      <c r="B5525" s="1" t="s">
        <v>5711</v>
      </c>
      <c r="C5525" s="1" t="s">
        <v>5655</v>
      </c>
      <c r="D5525" s="1" t="s">
        <v>5656</v>
      </c>
      <c r="E5525" s="1" t="s">
        <v>5500</v>
      </c>
      <c r="F5525">
        <f>VLOOKUP(E5525,Legends!$G$2:$I$100,2,FALSE)</f>
        <v>443.1</v>
      </c>
      <c r="G5525">
        <f>VLOOKUP(E5525,Legends!$G$2:$I$100,3,FALSE)</f>
        <v>486.65</v>
      </c>
      <c r="H5525">
        <v>44.9</v>
      </c>
      <c r="I5525" s="1" t="s">
        <v>1528</v>
      </c>
      <c r="J5525" s="1" t="s">
        <v>5616</v>
      </c>
      <c r="K5525" s="1" t="s">
        <v>25</v>
      </c>
      <c r="L5525">
        <v>-1.06</v>
      </c>
      <c r="M5525" s="1" t="s">
        <v>23</v>
      </c>
      <c r="N5525" s="1" t="s">
        <v>230</v>
      </c>
      <c r="O5525" s="1" t="s">
        <v>25</v>
      </c>
      <c r="P5525" s="3" t="s">
        <v>25</v>
      </c>
      <c r="Q5525" s="37">
        <v>0.19</v>
      </c>
      <c r="R5525" s="1" t="s">
        <v>231</v>
      </c>
      <c r="S5525" s="13">
        <f t="shared" si="237"/>
        <v>-1.06</v>
      </c>
    </row>
    <row r="5526" spans="1:19">
      <c r="A5526" s="18" t="s">
        <v>5496</v>
      </c>
      <c r="B5526" s="1" t="s">
        <v>5712</v>
      </c>
      <c r="C5526" s="1" t="s">
        <v>5655</v>
      </c>
      <c r="D5526" s="1" t="s">
        <v>5656</v>
      </c>
      <c r="E5526" s="1" t="s">
        <v>5500</v>
      </c>
      <c r="F5526">
        <f>VLOOKUP(E5526,Legends!$G$2:$I$100,2,FALSE)</f>
        <v>443.1</v>
      </c>
      <c r="G5526">
        <f>VLOOKUP(E5526,Legends!$G$2:$I$100,3,FALSE)</f>
        <v>486.65</v>
      </c>
      <c r="H5526">
        <v>96.5</v>
      </c>
      <c r="I5526" s="1" t="s">
        <v>1528</v>
      </c>
      <c r="J5526" s="1" t="s">
        <v>5616</v>
      </c>
      <c r="K5526" s="1" t="s">
        <v>25</v>
      </c>
      <c r="L5526">
        <v>-1.19</v>
      </c>
      <c r="M5526" s="1" t="s">
        <v>23</v>
      </c>
      <c r="N5526" s="1" t="s">
        <v>230</v>
      </c>
      <c r="O5526" s="1" t="s">
        <v>25</v>
      </c>
      <c r="P5526" s="3" t="s">
        <v>25</v>
      </c>
      <c r="Q5526" s="37">
        <v>0.08</v>
      </c>
      <c r="R5526" s="1" t="s">
        <v>231</v>
      </c>
      <c r="S5526" s="13">
        <f t="shared" si="237"/>
        <v>-1.19</v>
      </c>
    </row>
    <row r="5527" spans="1:19">
      <c r="A5527" s="18" t="s">
        <v>5496</v>
      </c>
      <c r="B5527" s="1" t="s">
        <v>5713</v>
      </c>
      <c r="C5527" s="1" t="s">
        <v>5655</v>
      </c>
      <c r="D5527" s="1" t="s">
        <v>5656</v>
      </c>
      <c r="E5527" s="1" t="s">
        <v>5500</v>
      </c>
      <c r="F5527">
        <f>VLOOKUP(E5527,Legends!$G$2:$I$100,2,FALSE)</f>
        <v>443.1</v>
      </c>
      <c r="G5527">
        <f>VLOOKUP(E5527,Legends!$G$2:$I$100,3,FALSE)</f>
        <v>486.65</v>
      </c>
      <c r="H5527">
        <v>97.3</v>
      </c>
      <c r="I5527" s="1" t="s">
        <v>1528</v>
      </c>
      <c r="J5527" s="1" t="s">
        <v>5616</v>
      </c>
      <c r="K5527" s="1" t="s">
        <v>25</v>
      </c>
      <c r="L5527">
        <v>-1.1399999999999999</v>
      </c>
      <c r="M5527" s="1" t="s">
        <v>23</v>
      </c>
      <c r="N5527" s="1" t="s">
        <v>230</v>
      </c>
      <c r="O5527" s="1" t="s">
        <v>25</v>
      </c>
      <c r="P5527" s="3" t="s">
        <v>25</v>
      </c>
      <c r="Q5527" s="37">
        <v>0.1</v>
      </c>
      <c r="R5527" s="1" t="s">
        <v>231</v>
      </c>
      <c r="S5527" s="13">
        <f t="shared" si="237"/>
        <v>-1.1399999999999999</v>
      </c>
    </row>
    <row r="5528" spans="1:19">
      <c r="A5528" s="18" t="s">
        <v>5496</v>
      </c>
      <c r="B5528" s="1" t="s">
        <v>5714</v>
      </c>
      <c r="C5528" s="1" t="s">
        <v>5655</v>
      </c>
      <c r="D5528" s="1" t="s">
        <v>5656</v>
      </c>
      <c r="E5528" s="1" t="s">
        <v>5500</v>
      </c>
      <c r="F5528">
        <f>VLOOKUP(E5528,Legends!$G$2:$I$100,2,FALSE)</f>
        <v>443.1</v>
      </c>
      <c r="G5528">
        <f>VLOOKUP(E5528,Legends!$G$2:$I$100,3,FALSE)</f>
        <v>486.65</v>
      </c>
      <c r="H5528">
        <v>17.8</v>
      </c>
      <c r="I5528" s="1" t="s">
        <v>1528</v>
      </c>
      <c r="J5528" s="1" t="s">
        <v>5616</v>
      </c>
      <c r="K5528" s="1" t="s">
        <v>25</v>
      </c>
      <c r="L5528">
        <v>-1.17</v>
      </c>
      <c r="M5528" s="1" t="s">
        <v>23</v>
      </c>
      <c r="N5528" s="1" t="s">
        <v>230</v>
      </c>
      <c r="O5528" s="1" t="s">
        <v>25</v>
      </c>
      <c r="P5528" s="3" t="s">
        <v>25</v>
      </c>
      <c r="Q5528" s="37">
        <v>0.17</v>
      </c>
      <c r="R5528" s="1" t="s">
        <v>231</v>
      </c>
      <c r="S5528" s="13">
        <f t="shared" si="237"/>
        <v>-1.17</v>
      </c>
    </row>
    <row r="5529" spans="1:19">
      <c r="A5529" s="18" t="s">
        <v>5496</v>
      </c>
      <c r="B5529" s="1" t="s">
        <v>5715</v>
      </c>
      <c r="C5529" s="1" t="s">
        <v>5655</v>
      </c>
      <c r="D5529" s="1" t="s">
        <v>5656</v>
      </c>
      <c r="E5529" s="1" t="s">
        <v>5500</v>
      </c>
      <c r="F5529">
        <f>VLOOKUP(E5529,Legends!$G$2:$I$100,2,FALSE)</f>
        <v>443.1</v>
      </c>
      <c r="G5529">
        <f>VLOOKUP(E5529,Legends!$G$2:$I$100,3,FALSE)</f>
        <v>486.65</v>
      </c>
      <c r="H5529">
        <v>40</v>
      </c>
      <c r="I5529" s="1" t="s">
        <v>1528</v>
      </c>
      <c r="J5529" s="1" t="s">
        <v>5616</v>
      </c>
      <c r="K5529" s="1" t="s">
        <v>25</v>
      </c>
      <c r="L5529">
        <v>-1.1599999999999999</v>
      </c>
      <c r="M5529" s="1" t="s">
        <v>23</v>
      </c>
      <c r="N5529" s="1" t="s">
        <v>230</v>
      </c>
      <c r="O5529" s="1" t="s">
        <v>25</v>
      </c>
      <c r="P5529" s="3" t="s">
        <v>25</v>
      </c>
      <c r="Q5529" s="37">
        <v>0.09</v>
      </c>
      <c r="R5529" s="1" t="s">
        <v>231</v>
      </c>
      <c r="S5529" s="13">
        <f t="shared" si="237"/>
        <v>-1.1599999999999999</v>
      </c>
    </row>
    <row r="5530" spans="1:19">
      <c r="A5530" s="18" t="s">
        <v>5496</v>
      </c>
      <c r="B5530" s="1" t="s">
        <v>5716</v>
      </c>
      <c r="C5530" s="1" t="s">
        <v>5655</v>
      </c>
      <c r="D5530" s="1" t="s">
        <v>5656</v>
      </c>
      <c r="E5530" s="1" t="s">
        <v>5500</v>
      </c>
      <c r="F5530">
        <f>VLOOKUP(E5530,Legends!$G$2:$I$100,2,FALSE)</f>
        <v>443.1</v>
      </c>
      <c r="G5530">
        <f>VLOOKUP(E5530,Legends!$G$2:$I$100,3,FALSE)</f>
        <v>486.65</v>
      </c>
      <c r="H5530">
        <v>92.5</v>
      </c>
      <c r="I5530" s="1" t="s">
        <v>1528</v>
      </c>
      <c r="J5530" s="1" t="s">
        <v>5616</v>
      </c>
      <c r="K5530" s="1" t="s">
        <v>25</v>
      </c>
      <c r="L5530">
        <v>-1.36</v>
      </c>
      <c r="M5530" s="1" t="s">
        <v>23</v>
      </c>
      <c r="N5530" s="1" t="s">
        <v>230</v>
      </c>
      <c r="O5530" s="1" t="s">
        <v>25</v>
      </c>
      <c r="P5530" s="3" t="s">
        <v>25</v>
      </c>
      <c r="Q5530" s="37">
        <v>0.12</v>
      </c>
      <c r="R5530" s="1" t="s">
        <v>231</v>
      </c>
      <c r="S5530" s="13">
        <f t="shared" si="237"/>
        <v>-1.36</v>
      </c>
    </row>
    <row r="5531" spans="1:19">
      <c r="A5531" s="18" t="s">
        <v>5496</v>
      </c>
      <c r="B5531" s="1" t="s">
        <v>5717</v>
      </c>
      <c r="C5531" s="1" t="s">
        <v>5655</v>
      </c>
      <c r="D5531" s="1" t="s">
        <v>5656</v>
      </c>
      <c r="E5531" s="1" t="s">
        <v>5500</v>
      </c>
      <c r="F5531">
        <f>VLOOKUP(E5531,Legends!$G$2:$I$100,2,FALSE)</f>
        <v>443.1</v>
      </c>
      <c r="G5531">
        <f>VLOOKUP(E5531,Legends!$G$2:$I$100,3,FALSE)</f>
        <v>486.65</v>
      </c>
      <c r="H5531">
        <v>29.5</v>
      </c>
      <c r="I5531" s="1" t="s">
        <v>1528</v>
      </c>
      <c r="J5531" s="1" t="s">
        <v>5616</v>
      </c>
      <c r="K5531" s="1" t="s">
        <v>25</v>
      </c>
      <c r="L5531">
        <v>-1.19</v>
      </c>
      <c r="M5531" s="1" t="s">
        <v>23</v>
      </c>
      <c r="N5531" s="1" t="s">
        <v>230</v>
      </c>
      <c r="O5531" s="1" t="s">
        <v>25</v>
      </c>
      <c r="P5531" s="3" t="s">
        <v>25</v>
      </c>
      <c r="Q5531" s="37">
        <v>0.19</v>
      </c>
      <c r="R5531" s="1" t="s">
        <v>231</v>
      </c>
      <c r="S5531" s="13">
        <f t="shared" si="237"/>
        <v>-1.19</v>
      </c>
    </row>
    <row r="5532" spans="1:19">
      <c r="A5532" s="18" t="s">
        <v>5496</v>
      </c>
      <c r="B5532" s="1" t="s">
        <v>5718</v>
      </c>
      <c r="C5532" s="1" t="s">
        <v>5655</v>
      </c>
      <c r="D5532" s="1" t="s">
        <v>5656</v>
      </c>
      <c r="E5532" s="1" t="s">
        <v>5500</v>
      </c>
      <c r="F5532">
        <f>VLOOKUP(E5532,Legends!$G$2:$I$100,2,FALSE)</f>
        <v>443.1</v>
      </c>
      <c r="G5532">
        <f>VLOOKUP(E5532,Legends!$G$2:$I$100,3,FALSE)</f>
        <v>486.65</v>
      </c>
      <c r="H5532">
        <v>47.3</v>
      </c>
      <c r="I5532" s="1" t="s">
        <v>1528</v>
      </c>
      <c r="J5532" s="1" t="s">
        <v>5616</v>
      </c>
      <c r="K5532" s="1" t="s">
        <v>25</v>
      </c>
      <c r="L5532">
        <v>-1.1499999999999999</v>
      </c>
      <c r="M5532" s="1" t="s">
        <v>23</v>
      </c>
      <c r="N5532" s="1" t="s">
        <v>230</v>
      </c>
      <c r="O5532" s="1" t="s">
        <v>25</v>
      </c>
      <c r="P5532" s="3" t="s">
        <v>25</v>
      </c>
      <c r="Q5532" s="37">
        <v>0.18</v>
      </c>
      <c r="R5532" s="1" t="s">
        <v>231</v>
      </c>
      <c r="S5532" s="13">
        <f t="shared" si="237"/>
        <v>-1.1499999999999999</v>
      </c>
    </row>
    <row r="5533" spans="1:19">
      <c r="A5533" s="18" t="s">
        <v>5496</v>
      </c>
      <c r="B5533" s="1" t="s">
        <v>5719</v>
      </c>
      <c r="C5533" s="1" t="s">
        <v>5655</v>
      </c>
      <c r="D5533" s="1" t="s">
        <v>5656</v>
      </c>
      <c r="E5533" s="1" t="s">
        <v>5500</v>
      </c>
      <c r="F5533">
        <f>VLOOKUP(E5533,Legends!$G$2:$I$100,2,FALSE)</f>
        <v>443.1</v>
      </c>
      <c r="G5533">
        <f>VLOOKUP(E5533,Legends!$G$2:$I$100,3,FALSE)</f>
        <v>486.65</v>
      </c>
      <c r="H5533">
        <v>33.700000000000003</v>
      </c>
      <c r="I5533" s="1" t="s">
        <v>1528</v>
      </c>
      <c r="J5533" s="1" t="s">
        <v>5616</v>
      </c>
      <c r="K5533" s="1" t="s">
        <v>25</v>
      </c>
      <c r="L5533">
        <v>-1.01</v>
      </c>
      <c r="M5533" s="1" t="s">
        <v>23</v>
      </c>
      <c r="N5533" s="1" t="s">
        <v>230</v>
      </c>
      <c r="O5533" s="1" t="s">
        <v>25</v>
      </c>
      <c r="P5533" s="3" t="s">
        <v>25</v>
      </c>
      <c r="Q5533" s="37">
        <v>0.18</v>
      </c>
      <c r="R5533" s="1" t="s">
        <v>231</v>
      </c>
      <c r="S5533" s="13">
        <f t="shared" si="237"/>
        <v>-1.01</v>
      </c>
    </row>
    <row r="5534" spans="1:19">
      <c r="A5534" s="18" t="s">
        <v>5496</v>
      </c>
      <c r="B5534" s="1" t="s">
        <v>5720</v>
      </c>
      <c r="C5534" s="1" t="s">
        <v>5655</v>
      </c>
      <c r="D5534" s="1" t="s">
        <v>5656</v>
      </c>
      <c r="E5534" s="1" t="s">
        <v>5500</v>
      </c>
      <c r="F5534">
        <f>VLOOKUP(E5534,Legends!$G$2:$I$100,2,FALSE)</f>
        <v>443.1</v>
      </c>
      <c r="G5534">
        <f>VLOOKUP(E5534,Legends!$G$2:$I$100,3,FALSE)</f>
        <v>486.65</v>
      </c>
      <c r="H5534">
        <v>58</v>
      </c>
      <c r="I5534" s="1" t="s">
        <v>1528</v>
      </c>
      <c r="J5534" s="1" t="s">
        <v>5616</v>
      </c>
      <c r="K5534" s="1" t="s">
        <v>25</v>
      </c>
      <c r="L5534">
        <v>-1.1399999999999999</v>
      </c>
      <c r="M5534" s="1" t="s">
        <v>23</v>
      </c>
      <c r="N5534" s="1" t="s">
        <v>230</v>
      </c>
      <c r="O5534" s="1" t="s">
        <v>25</v>
      </c>
      <c r="P5534" s="3" t="s">
        <v>25</v>
      </c>
      <c r="Q5534" s="37">
        <v>0.17</v>
      </c>
      <c r="R5534" s="1" t="s">
        <v>231</v>
      </c>
      <c r="S5534" s="13">
        <f t="shared" si="237"/>
        <v>-1.1399999999999999</v>
      </c>
    </row>
    <row r="5535" spans="1:19">
      <c r="A5535" s="18" t="s">
        <v>5496</v>
      </c>
      <c r="B5535" s="1" t="s">
        <v>5721</v>
      </c>
      <c r="C5535" s="1" t="s">
        <v>5655</v>
      </c>
      <c r="D5535" s="1" t="s">
        <v>5656</v>
      </c>
      <c r="E5535" s="1" t="s">
        <v>5500</v>
      </c>
      <c r="F5535">
        <f>VLOOKUP(E5535,Legends!$G$2:$I$100,2,FALSE)</f>
        <v>443.1</v>
      </c>
      <c r="G5535">
        <f>VLOOKUP(E5535,Legends!$G$2:$I$100,3,FALSE)</f>
        <v>486.65</v>
      </c>
      <c r="H5535">
        <v>58.9</v>
      </c>
      <c r="I5535" s="1" t="s">
        <v>1528</v>
      </c>
      <c r="J5535" s="1" t="s">
        <v>5501</v>
      </c>
      <c r="K5535" s="1" t="s">
        <v>25</v>
      </c>
      <c r="L5535">
        <v>-1.3</v>
      </c>
      <c r="M5535" s="1" t="s">
        <v>23</v>
      </c>
      <c r="N5535" s="1" t="s">
        <v>230</v>
      </c>
      <c r="O5535" s="1" t="s">
        <v>25</v>
      </c>
      <c r="P5535" s="3" t="s">
        <v>25</v>
      </c>
      <c r="Q5535" s="37">
        <v>0.01</v>
      </c>
      <c r="R5535" s="1" t="s">
        <v>231</v>
      </c>
      <c r="S5535" s="13">
        <f t="shared" si="237"/>
        <v>-1.3</v>
      </c>
    </row>
    <row r="5536" spans="1:19">
      <c r="A5536" s="18" t="s">
        <v>5496</v>
      </c>
      <c r="B5536" s="1" t="s">
        <v>5722</v>
      </c>
      <c r="C5536" s="1" t="s">
        <v>5655</v>
      </c>
      <c r="D5536" s="1" t="s">
        <v>5656</v>
      </c>
      <c r="E5536" s="1" t="s">
        <v>5500</v>
      </c>
      <c r="F5536">
        <f>VLOOKUP(E5536,Legends!$G$2:$I$100,2,FALSE)</f>
        <v>443.1</v>
      </c>
      <c r="G5536">
        <f>VLOOKUP(E5536,Legends!$G$2:$I$100,3,FALSE)</f>
        <v>486.65</v>
      </c>
      <c r="H5536">
        <v>70.7</v>
      </c>
      <c r="I5536" s="1" t="s">
        <v>1528</v>
      </c>
      <c r="J5536" s="1" t="s">
        <v>5616</v>
      </c>
      <c r="K5536" s="1" t="s">
        <v>25</v>
      </c>
      <c r="L5536">
        <v>-1.1399999999999999</v>
      </c>
      <c r="M5536" s="1" t="s">
        <v>23</v>
      </c>
      <c r="N5536" s="1" t="s">
        <v>230</v>
      </c>
      <c r="O5536" s="1" t="s">
        <v>25</v>
      </c>
      <c r="P5536" s="3" t="s">
        <v>25</v>
      </c>
      <c r="Q5536" s="37">
        <v>0.16</v>
      </c>
      <c r="R5536" s="1" t="s">
        <v>231</v>
      </c>
      <c r="S5536" s="13">
        <f t="shared" si="237"/>
        <v>-1.1399999999999999</v>
      </c>
    </row>
    <row r="5537" spans="1:19">
      <c r="A5537" s="18" t="s">
        <v>5496</v>
      </c>
      <c r="B5537" s="1" t="s">
        <v>5723</v>
      </c>
      <c r="C5537" s="1" t="s">
        <v>5655</v>
      </c>
      <c r="D5537" s="1" t="s">
        <v>5656</v>
      </c>
      <c r="E5537" s="1" t="s">
        <v>5500</v>
      </c>
      <c r="F5537">
        <f>VLOOKUP(E5537,Legends!$G$2:$I$100,2,FALSE)</f>
        <v>443.1</v>
      </c>
      <c r="G5537">
        <f>VLOOKUP(E5537,Legends!$G$2:$I$100,3,FALSE)</f>
        <v>486.65</v>
      </c>
      <c r="H5537">
        <v>12.3</v>
      </c>
      <c r="I5537" s="1" t="s">
        <v>1528</v>
      </c>
      <c r="J5537" s="1" t="s">
        <v>5616</v>
      </c>
      <c r="K5537" s="1" t="s">
        <v>25</v>
      </c>
      <c r="L5537">
        <v>-1.1299999999999999</v>
      </c>
      <c r="M5537" s="1" t="s">
        <v>23</v>
      </c>
      <c r="N5537" s="1" t="s">
        <v>230</v>
      </c>
      <c r="O5537" s="1" t="s">
        <v>25</v>
      </c>
      <c r="P5537" s="3" t="s">
        <v>25</v>
      </c>
      <c r="Q5537" s="37">
        <v>0.1</v>
      </c>
      <c r="R5537" s="1" t="s">
        <v>231</v>
      </c>
      <c r="S5537" s="13">
        <f t="shared" si="237"/>
        <v>-1.1299999999999999</v>
      </c>
    </row>
    <row r="5538" spans="1:19">
      <c r="A5538" s="18" t="s">
        <v>5496</v>
      </c>
      <c r="B5538" s="1" t="s">
        <v>5724</v>
      </c>
      <c r="C5538" s="1" t="s">
        <v>5655</v>
      </c>
      <c r="D5538" s="1" t="s">
        <v>5656</v>
      </c>
      <c r="E5538" s="1" t="s">
        <v>5500</v>
      </c>
      <c r="F5538">
        <f>VLOOKUP(E5538,Legends!$G$2:$I$100,2,FALSE)</f>
        <v>443.1</v>
      </c>
      <c r="G5538">
        <f>VLOOKUP(E5538,Legends!$G$2:$I$100,3,FALSE)</f>
        <v>486.65</v>
      </c>
      <c r="H5538">
        <v>25.7</v>
      </c>
      <c r="I5538" s="1" t="s">
        <v>1528</v>
      </c>
      <c r="J5538" s="1" t="s">
        <v>5616</v>
      </c>
      <c r="K5538" s="1" t="s">
        <v>25</v>
      </c>
      <c r="L5538">
        <v>-1.1200000000000001</v>
      </c>
      <c r="M5538" s="1" t="s">
        <v>23</v>
      </c>
      <c r="N5538" s="1" t="s">
        <v>230</v>
      </c>
      <c r="O5538" s="1" t="s">
        <v>25</v>
      </c>
      <c r="P5538" s="3" t="s">
        <v>25</v>
      </c>
      <c r="Q5538" s="37">
        <v>0.1</v>
      </c>
      <c r="R5538" s="1" t="s">
        <v>231</v>
      </c>
      <c r="S5538" s="13">
        <f t="shared" si="237"/>
        <v>-1.1200000000000001</v>
      </c>
    </row>
    <row r="5539" spans="1:19">
      <c r="A5539" s="18" t="s">
        <v>5496</v>
      </c>
      <c r="B5539" s="1" t="s">
        <v>5725</v>
      </c>
      <c r="C5539" s="1" t="s">
        <v>5655</v>
      </c>
      <c r="D5539" s="1" t="s">
        <v>5656</v>
      </c>
      <c r="E5539" s="1" t="s">
        <v>5500</v>
      </c>
      <c r="F5539">
        <f>VLOOKUP(E5539,Legends!$G$2:$I$100,2,FALSE)</f>
        <v>443.1</v>
      </c>
      <c r="G5539">
        <f>VLOOKUP(E5539,Legends!$G$2:$I$100,3,FALSE)</f>
        <v>486.65</v>
      </c>
      <c r="H5539">
        <v>6.8</v>
      </c>
      <c r="I5539" s="1" t="s">
        <v>1528</v>
      </c>
      <c r="J5539" s="1" t="s">
        <v>5616</v>
      </c>
      <c r="K5539" s="1" t="s">
        <v>25</v>
      </c>
      <c r="L5539">
        <v>-1.1000000000000001</v>
      </c>
      <c r="M5539" s="1" t="s">
        <v>23</v>
      </c>
      <c r="N5539" s="1" t="s">
        <v>230</v>
      </c>
      <c r="O5539" s="1" t="s">
        <v>25</v>
      </c>
      <c r="P5539" s="3" t="s">
        <v>25</v>
      </c>
      <c r="Q5539" s="37">
        <v>0.09</v>
      </c>
      <c r="R5539" s="1" t="s">
        <v>231</v>
      </c>
      <c r="S5539" s="13">
        <f t="shared" si="237"/>
        <v>-1.1000000000000001</v>
      </c>
    </row>
    <row r="5540" spans="1:19">
      <c r="A5540" s="18" t="s">
        <v>5496</v>
      </c>
      <c r="B5540" s="1" t="s">
        <v>5726</v>
      </c>
      <c r="C5540" s="1" t="s">
        <v>5655</v>
      </c>
      <c r="D5540" s="1" t="s">
        <v>5656</v>
      </c>
      <c r="E5540" s="1" t="s">
        <v>5500</v>
      </c>
      <c r="F5540">
        <f>VLOOKUP(E5540,Legends!$G$2:$I$100,2,FALSE)</f>
        <v>443.1</v>
      </c>
      <c r="G5540">
        <f>VLOOKUP(E5540,Legends!$G$2:$I$100,3,FALSE)</f>
        <v>486.65</v>
      </c>
      <c r="H5540">
        <v>54.5</v>
      </c>
      <c r="I5540" s="1" t="s">
        <v>1528</v>
      </c>
      <c r="J5540" s="1" t="s">
        <v>5616</v>
      </c>
      <c r="K5540" s="1" t="s">
        <v>25</v>
      </c>
      <c r="L5540">
        <v>-1.1499999999999999</v>
      </c>
      <c r="M5540" s="1" t="s">
        <v>23</v>
      </c>
      <c r="N5540" s="1" t="s">
        <v>230</v>
      </c>
      <c r="O5540" s="1" t="s">
        <v>25</v>
      </c>
      <c r="P5540" s="3" t="s">
        <v>25</v>
      </c>
      <c r="Q5540" s="37">
        <v>0.1</v>
      </c>
      <c r="R5540" s="1" t="s">
        <v>231</v>
      </c>
      <c r="S5540" s="13">
        <f t="shared" si="237"/>
        <v>-1.1499999999999999</v>
      </c>
    </row>
    <row r="5541" spans="1:19">
      <c r="A5541" s="18" t="s">
        <v>5496</v>
      </c>
      <c r="B5541" s="1" t="s">
        <v>5727</v>
      </c>
      <c r="C5541" s="1" t="s">
        <v>5655</v>
      </c>
      <c r="D5541" s="1" t="s">
        <v>5656</v>
      </c>
      <c r="E5541" s="1" t="s">
        <v>5500</v>
      </c>
      <c r="F5541">
        <f>VLOOKUP(E5541,Legends!$G$2:$I$100,2,FALSE)</f>
        <v>443.1</v>
      </c>
      <c r="G5541">
        <f>VLOOKUP(E5541,Legends!$G$2:$I$100,3,FALSE)</f>
        <v>486.65</v>
      </c>
      <c r="H5541">
        <v>73.8</v>
      </c>
      <c r="I5541" s="1" t="s">
        <v>1528</v>
      </c>
      <c r="J5541" s="1" t="s">
        <v>5616</v>
      </c>
      <c r="K5541" s="1" t="s">
        <v>25</v>
      </c>
      <c r="L5541">
        <v>-1.1000000000000001</v>
      </c>
      <c r="M5541" s="1" t="s">
        <v>23</v>
      </c>
      <c r="N5541" s="1" t="s">
        <v>230</v>
      </c>
      <c r="O5541" s="1" t="s">
        <v>25</v>
      </c>
      <c r="P5541" s="3" t="s">
        <v>25</v>
      </c>
      <c r="Q5541" s="37" t="s">
        <v>25</v>
      </c>
      <c r="R5541" s="1" t="s">
        <v>25</v>
      </c>
      <c r="S5541" s="13">
        <f t="shared" si="237"/>
        <v>-1.1000000000000001</v>
      </c>
    </row>
    <row r="5542" spans="1:19">
      <c r="A5542" s="18" t="s">
        <v>5496</v>
      </c>
      <c r="B5542" s="1" t="s">
        <v>5728</v>
      </c>
      <c r="C5542" s="1" t="s">
        <v>5655</v>
      </c>
      <c r="D5542" s="1" t="s">
        <v>5656</v>
      </c>
      <c r="E5542" s="1" t="s">
        <v>5500</v>
      </c>
      <c r="F5542">
        <f>VLOOKUP(E5542,Legends!$G$2:$I$100,2,FALSE)</f>
        <v>443.1</v>
      </c>
      <c r="G5542">
        <f>VLOOKUP(E5542,Legends!$G$2:$I$100,3,FALSE)</f>
        <v>486.65</v>
      </c>
      <c r="H5542">
        <v>63.6</v>
      </c>
      <c r="I5542" s="1" t="s">
        <v>1528</v>
      </c>
      <c r="J5542" s="1" t="s">
        <v>5616</v>
      </c>
      <c r="K5542" s="1" t="s">
        <v>25</v>
      </c>
      <c r="L5542">
        <v>-1.05</v>
      </c>
      <c r="M5542" s="1" t="s">
        <v>23</v>
      </c>
      <c r="N5542" s="1" t="s">
        <v>230</v>
      </c>
      <c r="O5542" s="1" t="s">
        <v>25</v>
      </c>
      <c r="P5542" s="3" t="s">
        <v>25</v>
      </c>
      <c r="Q5542" s="37">
        <v>0.2</v>
      </c>
      <c r="R5542" s="1" t="s">
        <v>231</v>
      </c>
      <c r="S5542" s="13">
        <f t="shared" si="237"/>
        <v>-1.05</v>
      </c>
    </row>
    <row r="5543" spans="1:19">
      <c r="A5543" s="18" t="s">
        <v>5496</v>
      </c>
      <c r="B5543" s="1" t="s">
        <v>5729</v>
      </c>
      <c r="C5543" s="1" t="s">
        <v>5655</v>
      </c>
      <c r="D5543" s="1" t="s">
        <v>5656</v>
      </c>
      <c r="E5543" s="1" t="s">
        <v>5500</v>
      </c>
      <c r="F5543">
        <f>VLOOKUP(E5543,Legends!$G$2:$I$100,2,FALSE)</f>
        <v>443.1</v>
      </c>
      <c r="G5543">
        <f>VLOOKUP(E5543,Legends!$G$2:$I$100,3,FALSE)</f>
        <v>486.65</v>
      </c>
      <c r="H5543">
        <v>165.8</v>
      </c>
      <c r="I5543" s="1" t="s">
        <v>1528</v>
      </c>
      <c r="J5543" s="1" t="s">
        <v>5616</v>
      </c>
      <c r="K5543" s="1" t="s">
        <v>25</v>
      </c>
      <c r="L5543">
        <v>-1</v>
      </c>
      <c r="M5543" s="1" t="s">
        <v>23</v>
      </c>
      <c r="N5543" s="1" t="s">
        <v>230</v>
      </c>
      <c r="O5543" s="1" t="s">
        <v>25</v>
      </c>
      <c r="P5543" s="3" t="s">
        <v>25</v>
      </c>
      <c r="Q5543" s="37">
        <v>0.1</v>
      </c>
      <c r="R5543" s="1" t="s">
        <v>231</v>
      </c>
      <c r="S5543" s="13">
        <f t="shared" si="237"/>
        <v>-1</v>
      </c>
    </row>
    <row r="5544" spans="1:19">
      <c r="A5544" s="18" t="s">
        <v>5496</v>
      </c>
      <c r="B5544" s="1" t="s">
        <v>5730</v>
      </c>
      <c r="C5544" s="1" t="s">
        <v>5655</v>
      </c>
      <c r="D5544" s="1" t="s">
        <v>5656</v>
      </c>
      <c r="E5544" s="1" t="s">
        <v>5500</v>
      </c>
      <c r="F5544">
        <f>VLOOKUP(E5544,Legends!$G$2:$I$100,2,FALSE)</f>
        <v>443.1</v>
      </c>
      <c r="G5544">
        <f>VLOOKUP(E5544,Legends!$G$2:$I$100,3,FALSE)</f>
        <v>486.65</v>
      </c>
      <c r="H5544">
        <v>5.9</v>
      </c>
      <c r="I5544" s="1" t="s">
        <v>1528</v>
      </c>
      <c r="J5544" s="1" t="s">
        <v>5616</v>
      </c>
      <c r="K5544" s="1" t="s">
        <v>25</v>
      </c>
      <c r="L5544">
        <v>-1.04</v>
      </c>
      <c r="M5544" s="1" t="s">
        <v>23</v>
      </c>
      <c r="N5544" s="1" t="s">
        <v>230</v>
      </c>
      <c r="O5544" s="1" t="s">
        <v>25</v>
      </c>
      <c r="P5544" s="3" t="s">
        <v>25</v>
      </c>
      <c r="Q5544" s="37">
        <v>0.14000000000000001</v>
      </c>
      <c r="R5544" s="1" t="s">
        <v>231</v>
      </c>
      <c r="S5544" s="13">
        <f t="shared" si="237"/>
        <v>-1.04</v>
      </c>
    </row>
    <row r="5545" spans="1:19">
      <c r="A5545" s="18" t="s">
        <v>5496</v>
      </c>
      <c r="B5545" s="1" t="s">
        <v>5731</v>
      </c>
      <c r="C5545" s="1" t="s">
        <v>5655</v>
      </c>
      <c r="D5545" s="1" t="s">
        <v>5656</v>
      </c>
      <c r="E5545" s="1" t="s">
        <v>5500</v>
      </c>
      <c r="F5545">
        <f>VLOOKUP(E5545,Legends!$G$2:$I$100,2,FALSE)</f>
        <v>443.1</v>
      </c>
      <c r="G5545">
        <f>VLOOKUP(E5545,Legends!$G$2:$I$100,3,FALSE)</f>
        <v>486.65</v>
      </c>
      <c r="H5545">
        <v>139.9</v>
      </c>
      <c r="I5545" s="1" t="s">
        <v>1528</v>
      </c>
      <c r="J5545" s="1" t="s">
        <v>5616</v>
      </c>
      <c r="K5545" s="1" t="s">
        <v>25</v>
      </c>
      <c r="L5545">
        <v>-1.0900000000000001</v>
      </c>
      <c r="M5545" s="1" t="s">
        <v>23</v>
      </c>
      <c r="N5545" s="1" t="s">
        <v>230</v>
      </c>
      <c r="O5545" s="1" t="s">
        <v>25</v>
      </c>
      <c r="P5545" s="3" t="s">
        <v>25</v>
      </c>
      <c r="Q5545" s="37">
        <v>0.14000000000000001</v>
      </c>
      <c r="R5545" s="1" t="s">
        <v>231</v>
      </c>
      <c r="S5545" s="13">
        <f t="shared" si="237"/>
        <v>-1.0900000000000001</v>
      </c>
    </row>
    <row r="5546" spans="1:19">
      <c r="A5546" s="18" t="s">
        <v>5496</v>
      </c>
      <c r="B5546" s="1" t="s">
        <v>5732</v>
      </c>
      <c r="C5546" s="1" t="s">
        <v>5655</v>
      </c>
      <c r="D5546" s="1" t="s">
        <v>5656</v>
      </c>
      <c r="E5546" s="1" t="s">
        <v>5500</v>
      </c>
      <c r="F5546">
        <f>VLOOKUP(E5546,Legends!$G$2:$I$100,2,FALSE)</f>
        <v>443.1</v>
      </c>
      <c r="G5546">
        <f>VLOOKUP(E5546,Legends!$G$2:$I$100,3,FALSE)</f>
        <v>486.65</v>
      </c>
      <c r="H5546">
        <v>183.6</v>
      </c>
      <c r="I5546" s="1" t="s">
        <v>1528</v>
      </c>
      <c r="J5546" s="1" t="s">
        <v>5616</v>
      </c>
      <c r="K5546" s="1" t="s">
        <v>25</v>
      </c>
      <c r="L5546">
        <v>-1.23</v>
      </c>
      <c r="M5546" s="1" t="s">
        <v>23</v>
      </c>
      <c r="N5546" s="1" t="s">
        <v>230</v>
      </c>
      <c r="O5546" s="1" t="s">
        <v>25</v>
      </c>
      <c r="P5546" s="3" t="s">
        <v>25</v>
      </c>
      <c r="Q5546" s="37">
        <v>0.14000000000000001</v>
      </c>
      <c r="R5546" s="1" t="s">
        <v>231</v>
      </c>
      <c r="S5546" s="13">
        <f t="shared" si="237"/>
        <v>-1.23</v>
      </c>
    </row>
    <row r="5547" spans="1:19">
      <c r="A5547" s="18" t="s">
        <v>5496</v>
      </c>
      <c r="B5547" s="1" t="s">
        <v>5733</v>
      </c>
      <c r="C5547" s="1" t="s">
        <v>5655</v>
      </c>
      <c r="D5547" s="1" t="s">
        <v>5656</v>
      </c>
      <c r="E5547" s="1" t="s">
        <v>5500</v>
      </c>
      <c r="F5547">
        <f>VLOOKUP(E5547,Legends!$G$2:$I$100,2,FALSE)</f>
        <v>443.1</v>
      </c>
      <c r="G5547">
        <f>VLOOKUP(E5547,Legends!$G$2:$I$100,3,FALSE)</f>
        <v>486.65</v>
      </c>
      <c r="H5547">
        <v>77.8</v>
      </c>
      <c r="I5547" s="1" t="s">
        <v>1528</v>
      </c>
      <c r="J5547" s="1" t="s">
        <v>5616</v>
      </c>
      <c r="K5547" s="1" t="s">
        <v>25</v>
      </c>
      <c r="L5547">
        <v>-1.07</v>
      </c>
      <c r="M5547" s="1" t="s">
        <v>23</v>
      </c>
      <c r="N5547" s="1" t="s">
        <v>230</v>
      </c>
      <c r="O5547" s="1" t="s">
        <v>25</v>
      </c>
      <c r="P5547" s="3" t="s">
        <v>25</v>
      </c>
      <c r="Q5547" s="37">
        <v>0.15</v>
      </c>
      <c r="R5547" s="1" t="s">
        <v>231</v>
      </c>
      <c r="S5547" s="13">
        <f t="shared" si="237"/>
        <v>-1.07</v>
      </c>
    </row>
    <row r="5548" spans="1:19">
      <c r="A5548" s="18" t="s">
        <v>5496</v>
      </c>
      <c r="B5548" s="1" t="s">
        <v>5734</v>
      </c>
      <c r="C5548" s="1" t="s">
        <v>5655</v>
      </c>
      <c r="D5548" s="1" t="s">
        <v>5656</v>
      </c>
      <c r="E5548" s="1" t="s">
        <v>5500</v>
      </c>
      <c r="F5548">
        <f>VLOOKUP(E5548,Legends!$G$2:$I$100,2,FALSE)</f>
        <v>443.1</v>
      </c>
      <c r="G5548">
        <f>VLOOKUP(E5548,Legends!$G$2:$I$100,3,FALSE)</f>
        <v>486.65</v>
      </c>
      <c r="H5548">
        <v>21.3</v>
      </c>
      <c r="I5548" s="1" t="s">
        <v>1528</v>
      </c>
      <c r="J5548" s="1" t="s">
        <v>5616</v>
      </c>
      <c r="K5548" s="1" t="s">
        <v>25</v>
      </c>
      <c r="L5548">
        <v>-1.19</v>
      </c>
      <c r="M5548" s="1" t="s">
        <v>23</v>
      </c>
      <c r="N5548" s="1" t="s">
        <v>230</v>
      </c>
      <c r="O5548" s="1" t="s">
        <v>25</v>
      </c>
      <c r="P5548" s="3" t="s">
        <v>25</v>
      </c>
      <c r="Q5548" s="37">
        <v>0.1</v>
      </c>
      <c r="R5548" s="1" t="s">
        <v>231</v>
      </c>
      <c r="S5548" s="13">
        <f t="shared" si="237"/>
        <v>-1.19</v>
      </c>
    </row>
    <row r="5549" spans="1:19">
      <c r="A5549" s="18" t="s">
        <v>5496</v>
      </c>
      <c r="B5549" s="1" t="s">
        <v>5735</v>
      </c>
      <c r="C5549" s="1" t="s">
        <v>5655</v>
      </c>
      <c r="D5549" s="1" t="s">
        <v>5656</v>
      </c>
      <c r="E5549" s="1" t="s">
        <v>5500</v>
      </c>
      <c r="F5549">
        <f>VLOOKUP(E5549,Legends!$G$2:$I$100,2,FALSE)</f>
        <v>443.1</v>
      </c>
      <c r="G5549">
        <f>VLOOKUP(E5549,Legends!$G$2:$I$100,3,FALSE)</f>
        <v>486.65</v>
      </c>
      <c r="H5549">
        <v>191.6</v>
      </c>
      <c r="I5549" s="1" t="s">
        <v>1528</v>
      </c>
      <c r="J5549" s="1" t="s">
        <v>5616</v>
      </c>
      <c r="K5549" s="1" t="s">
        <v>25</v>
      </c>
      <c r="L5549">
        <v>-1.18</v>
      </c>
      <c r="M5549" s="1" t="s">
        <v>23</v>
      </c>
      <c r="N5549" s="1" t="s">
        <v>230</v>
      </c>
      <c r="O5549" s="1" t="s">
        <v>25</v>
      </c>
      <c r="P5549" s="3" t="s">
        <v>25</v>
      </c>
      <c r="Q5549" s="37">
        <v>0.14000000000000001</v>
      </c>
      <c r="R5549" s="1" t="s">
        <v>231</v>
      </c>
      <c r="S5549" s="13">
        <f t="shared" si="237"/>
        <v>-1.18</v>
      </c>
    </row>
    <row r="5550" spans="1:19">
      <c r="A5550" s="18" t="s">
        <v>5496</v>
      </c>
      <c r="B5550" s="1" t="s">
        <v>5736</v>
      </c>
      <c r="C5550" s="1" t="s">
        <v>5655</v>
      </c>
      <c r="D5550" s="1" t="s">
        <v>5656</v>
      </c>
      <c r="E5550" s="1" t="s">
        <v>5500</v>
      </c>
      <c r="F5550">
        <f>VLOOKUP(E5550,Legends!$G$2:$I$100,2,FALSE)</f>
        <v>443.1</v>
      </c>
      <c r="G5550">
        <f>VLOOKUP(E5550,Legends!$G$2:$I$100,3,FALSE)</f>
        <v>486.65</v>
      </c>
      <c r="H5550">
        <v>147.4</v>
      </c>
      <c r="I5550" s="1" t="s">
        <v>1528</v>
      </c>
      <c r="J5550" s="1" t="s">
        <v>5616</v>
      </c>
      <c r="K5550" s="1" t="s">
        <v>25</v>
      </c>
      <c r="L5550">
        <v>-0.99</v>
      </c>
      <c r="M5550" s="1" t="s">
        <v>23</v>
      </c>
      <c r="N5550" s="1" t="s">
        <v>230</v>
      </c>
      <c r="O5550" s="1" t="s">
        <v>25</v>
      </c>
      <c r="P5550" s="3" t="s">
        <v>25</v>
      </c>
      <c r="Q5550" s="37">
        <v>0.14000000000000001</v>
      </c>
      <c r="R5550" s="1" t="s">
        <v>231</v>
      </c>
      <c r="S5550" s="13">
        <f t="shared" si="237"/>
        <v>-0.99</v>
      </c>
    </row>
    <row r="5551" spans="1:19">
      <c r="A5551" s="18" t="s">
        <v>5496</v>
      </c>
      <c r="B5551" s="1" t="s">
        <v>5737</v>
      </c>
      <c r="C5551" s="1" t="s">
        <v>5655</v>
      </c>
      <c r="D5551" s="1" t="s">
        <v>5656</v>
      </c>
      <c r="E5551" s="1" t="s">
        <v>5500</v>
      </c>
      <c r="F5551">
        <f>VLOOKUP(E5551,Legends!$G$2:$I$100,2,FALSE)</f>
        <v>443.1</v>
      </c>
      <c r="G5551">
        <f>VLOOKUP(E5551,Legends!$G$2:$I$100,3,FALSE)</f>
        <v>486.65</v>
      </c>
      <c r="H5551">
        <v>213.6</v>
      </c>
      <c r="I5551" s="1" t="s">
        <v>1528</v>
      </c>
      <c r="J5551" s="1" t="s">
        <v>5616</v>
      </c>
      <c r="K5551" s="1" t="s">
        <v>25</v>
      </c>
      <c r="L5551">
        <v>-1.18</v>
      </c>
      <c r="M5551" s="1" t="s">
        <v>23</v>
      </c>
      <c r="N5551" s="1" t="s">
        <v>230</v>
      </c>
      <c r="O5551" s="1" t="s">
        <v>25</v>
      </c>
      <c r="P5551" s="3" t="s">
        <v>25</v>
      </c>
      <c r="Q5551" s="37">
        <v>0.15</v>
      </c>
      <c r="R5551" s="1" t="s">
        <v>231</v>
      </c>
      <c r="S5551" s="13">
        <f t="shared" si="237"/>
        <v>-1.18</v>
      </c>
    </row>
    <row r="5552" spans="1:19">
      <c r="A5552" s="18" t="s">
        <v>5496</v>
      </c>
      <c r="B5552" s="1" t="s">
        <v>5738</v>
      </c>
      <c r="C5552" s="1" t="s">
        <v>5655</v>
      </c>
      <c r="D5552" s="1" t="s">
        <v>5656</v>
      </c>
      <c r="E5552" s="1" t="s">
        <v>5500</v>
      </c>
      <c r="F5552">
        <f>VLOOKUP(E5552,Legends!$G$2:$I$100,2,FALSE)</f>
        <v>443.1</v>
      </c>
      <c r="G5552">
        <f>VLOOKUP(E5552,Legends!$G$2:$I$100,3,FALSE)</f>
        <v>486.65</v>
      </c>
      <c r="H5552">
        <v>6.3</v>
      </c>
      <c r="I5552" s="1" t="s">
        <v>1528</v>
      </c>
      <c r="J5552" s="1" t="s">
        <v>5616</v>
      </c>
      <c r="K5552" s="1" t="s">
        <v>25</v>
      </c>
      <c r="L5552">
        <v>-1.19</v>
      </c>
      <c r="M5552" s="1" t="s">
        <v>23</v>
      </c>
      <c r="N5552" s="1" t="s">
        <v>230</v>
      </c>
      <c r="O5552" s="1" t="s">
        <v>25</v>
      </c>
      <c r="P5552" s="3" t="s">
        <v>25</v>
      </c>
      <c r="Q5552" s="37">
        <v>0.09</v>
      </c>
      <c r="R5552" s="1" t="s">
        <v>231</v>
      </c>
      <c r="S5552" s="13">
        <f t="shared" si="237"/>
        <v>-1.19</v>
      </c>
    </row>
    <row r="5553" spans="1:19">
      <c r="A5553" s="18" t="s">
        <v>5496</v>
      </c>
      <c r="B5553" s="1" t="s">
        <v>5739</v>
      </c>
      <c r="C5553" s="1" t="s">
        <v>5655</v>
      </c>
      <c r="D5553" s="1" t="s">
        <v>5656</v>
      </c>
      <c r="E5553" s="1" t="s">
        <v>5500</v>
      </c>
      <c r="F5553">
        <f>VLOOKUP(E5553,Legends!$G$2:$I$100,2,FALSE)</f>
        <v>443.1</v>
      </c>
      <c r="G5553">
        <f>VLOOKUP(E5553,Legends!$G$2:$I$100,3,FALSE)</f>
        <v>486.65</v>
      </c>
      <c r="H5553">
        <v>122.1</v>
      </c>
      <c r="I5553" s="1" t="s">
        <v>1528</v>
      </c>
      <c r="J5553" s="1" t="s">
        <v>5616</v>
      </c>
      <c r="K5553" s="1" t="s">
        <v>25</v>
      </c>
      <c r="L5553">
        <v>-1.1100000000000001</v>
      </c>
      <c r="M5553" s="1" t="s">
        <v>23</v>
      </c>
      <c r="N5553" s="1" t="s">
        <v>230</v>
      </c>
      <c r="O5553" s="1" t="s">
        <v>25</v>
      </c>
      <c r="P5553" s="3" t="s">
        <v>25</v>
      </c>
      <c r="Q5553" s="37">
        <v>0.08</v>
      </c>
      <c r="R5553" s="1" t="s">
        <v>231</v>
      </c>
      <c r="S5553" s="13">
        <f t="shared" si="237"/>
        <v>-1.1100000000000001</v>
      </c>
    </row>
    <row r="5554" spans="1:19">
      <c r="A5554" s="18" t="s">
        <v>5496</v>
      </c>
      <c r="B5554" s="1" t="s">
        <v>5740</v>
      </c>
      <c r="C5554" s="1" t="s">
        <v>5655</v>
      </c>
      <c r="D5554" s="1" t="s">
        <v>5656</v>
      </c>
      <c r="E5554" s="1" t="s">
        <v>5500</v>
      </c>
      <c r="F5554">
        <f>VLOOKUP(E5554,Legends!$G$2:$I$100,2,FALSE)</f>
        <v>443.1</v>
      </c>
      <c r="G5554">
        <f>VLOOKUP(E5554,Legends!$G$2:$I$100,3,FALSE)</f>
        <v>486.65</v>
      </c>
      <c r="H5554">
        <v>148.4</v>
      </c>
      <c r="I5554" s="1" t="s">
        <v>1528</v>
      </c>
      <c r="J5554" s="1" t="s">
        <v>5616</v>
      </c>
      <c r="K5554" s="1" t="s">
        <v>25</v>
      </c>
      <c r="L5554">
        <v>-1.1000000000000001</v>
      </c>
      <c r="M5554" s="1" t="s">
        <v>23</v>
      </c>
      <c r="N5554" s="1" t="s">
        <v>230</v>
      </c>
      <c r="O5554" s="1" t="s">
        <v>25</v>
      </c>
      <c r="P5554" s="3" t="s">
        <v>25</v>
      </c>
      <c r="Q5554" s="37">
        <v>0.09</v>
      </c>
      <c r="R5554" s="1" t="s">
        <v>231</v>
      </c>
      <c r="S5554" s="13">
        <f t="shared" si="237"/>
        <v>-1.1000000000000001</v>
      </c>
    </row>
    <row r="5555" spans="1:19">
      <c r="A5555" s="18" t="s">
        <v>5496</v>
      </c>
      <c r="B5555" s="1" t="s">
        <v>5741</v>
      </c>
      <c r="C5555" s="1" t="s">
        <v>5655</v>
      </c>
      <c r="D5555" s="1" t="s">
        <v>5656</v>
      </c>
      <c r="E5555" s="1" t="s">
        <v>5500</v>
      </c>
      <c r="F5555">
        <f>VLOOKUP(E5555,Legends!$G$2:$I$100,2,FALSE)</f>
        <v>443.1</v>
      </c>
      <c r="G5555">
        <f>VLOOKUP(E5555,Legends!$G$2:$I$100,3,FALSE)</f>
        <v>486.65</v>
      </c>
      <c r="H5555">
        <v>2.9</v>
      </c>
      <c r="I5555" s="1" t="s">
        <v>1528</v>
      </c>
      <c r="J5555" s="1" t="s">
        <v>5616</v>
      </c>
      <c r="K5555" s="1" t="s">
        <v>25</v>
      </c>
      <c r="L5555">
        <v>-1.28</v>
      </c>
      <c r="M5555" s="1" t="s">
        <v>23</v>
      </c>
      <c r="N5555" s="1" t="s">
        <v>230</v>
      </c>
      <c r="O5555" s="1" t="s">
        <v>25</v>
      </c>
      <c r="P5555" s="3" t="s">
        <v>25</v>
      </c>
      <c r="Q5555" s="37">
        <v>0.06</v>
      </c>
      <c r="R5555" s="1" t="s">
        <v>231</v>
      </c>
      <c r="S5555" s="13">
        <f t="shared" si="237"/>
        <v>-1.28</v>
      </c>
    </row>
    <row r="5556" spans="1:19">
      <c r="A5556" s="18" t="s">
        <v>5496</v>
      </c>
      <c r="B5556" s="1" t="s">
        <v>5742</v>
      </c>
      <c r="C5556" s="1" t="s">
        <v>5655</v>
      </c>
      <c r="D5556" s="1" t="s">
        <v>5656</v>
      </c>
      <c r="E5556" s="1" t="s">
        <v>5500</v>
      </c>
      <c r="F5556">
        <f>VLOOKUP(E5556,Legends!$G$2:$I$100,2,FALSE)</f>
        <v>443.1</v>
      </c>
      <c r="G5556">
        <f>VLOOKUP(E5556,Legends!$G$2:$I$100,3,FALSE)</f>
        <v>486.65</v>
      </c>
      <c r="H5556">
        <v>147.9</v>
      </c>
      <c r="I5556" s="1" t="s">
        <v>1528</v>
      </c>
      <c r="J5556" s="1" t="s">
        <v>5616</v>
      </c>
      <c r="K5556" s="1" t="s">
        <v>25</v>
      </c>
      <c r="L5556">
        <v>-1.01</v>
      </c>
      <c r="M5556" s="1" t="s">
        <v>23</v>
      </c>
      <c r="N5556" s="1" t="s">
        <v>230</v>
      </c>
      <c r="O5556" s="1" t="s">
        <v>25</v>
      </c>
      <c r="P5556" s="3" t="s">
        <v>25</v>
      </c>
      <c r="Q5556" s="37">
        <v>0.13</v>
      </c>
      <c r="R5556" s="1" t="s">
        <v>231</v>
      </c>
      <c r="S5556" s="13">
        <f t="shared" si="237"/>
        <v>-1.01</v>
      </c>
    </row>
    <row r="5557" spans="1:19">
      <c r="A5557" s="18" t="s">
        <v>5496</v>
      </c>
      <c r="B5557" s="1" t="s">
        <v>5743</v>
      </c>
      <c r="C5557" s="1" t="s">
        <v>5655</v>
      </c>
      <c r="D5557" s="1" t="s">
        <v>5656</v>
      </c>
      <c r="E5557" s="1" t="s">
        <v>5500</v>
      </c>
      <c r="F5557">
        <f>VLOOKUP(E5557,Legends!$G$2:$I$100,2,FALSE)</f>
        <v>443.1</v>
      </c>
      <c r="G5557">
        <f>VLOOKUP(E5557,Legends!$G$2:$I$100,3,FALSE)</f>
        <v>486.65</v>
      </c>
      <c r="H5557">
        <v>157.4</v>
      </c>
      <c r="I5557" s="1" t="s">
        <v>1528</v>
      </c>
      <c r="J5557" s="1" t="s">
        <v>5616</v>
      </c>
      <c r="K5557" s="1" t="s">
        <v>25</v>
      </c>
      <c r="L5557">
        <v>-1.1200000000000001</v>
      </c>
      <c r="M5557" s="1" t="s">
        <v>23</v>
      </c>
      <c r="N5557" s="1" t="s">
        <v>230</v>
      </c>
      <c r="O5557" s="1" t="s">
        <v>25</v>
      </c>
      <c r="P5557" s="3" t="s">
        <v>25</v>
      </c>
      <c r="Q5557" s="37">
        <v>0.06</v>
      </c>
      <c r="R5557" s="1" t="s">
        <v>231</v>
      </c>
      <c r="S5557" s="13">
        <f t="shared" si="237"/>
        <v>-1.1200000000000001</v>
      </c>
    </row>
    <row r="5558" spans="1:19">
      <c r="A5558" s="18" t="s">
        <v>5496</v>
      </c>
      <c r="B5558" s="1" t="s">
        <v>5744</v>
      </c>
      <c r="C5558" s="1" t="s">
        <v>5655</v>
      </c>
      <c r="D5558" s="1" t="s">
        <v>5656</v>
      </c>
      <c r="E5558" s="1" t="s">
        <v>5500</v>
      </c>
      <c r="F5558">
        <f>VLOOKUP(E5558,Legends!$G$2:$I$100,2,FALSE)</f>
        <v>443.1</v>
      </c>
      <c r="G5558">
        <f>VLOOKUP(E5558,Legends!$G$2:$I$100,3,FALSE)</f>
        <v>486.65</v>
      </c>
      <c r="H5558">
        <v>89.3</v>
      </c>
      <c r="I5558" s="1" t="s">
        <v>1528</v>
      </c>
      <c r="J5558" s="1" t="s">
        <v>5616</v>
      </c>
      <c r="K5558" s="1" t="s">
        <v>25</v>
      </c>
      <c r="L5558">
        <v>-1.07</v>
      </c>
      <c r="M5558" s="1" t="s">
        <v>23</v>
      </c>
      <c r="N5558" s="1" t="s">
        <v>230</v>
      </c>
      <c r="O5558" s="1" t="s">
        <v>25</v>
      </c>
      <c r="P5558" s="3" t="s">
        <v>25</v>
      </c>
      <c r="Q5558" s="37">
        <v>0.13</v>
      </c>
      <c r="R5558" s="1" t="s">
        <v>231</v>
      </c>
      <c r="S5558" s="13">
        <f t="shared" si="237"/>
        <v>-1.07</v>
      </c>
    </row>
    <row r="5559" spans="1:19">
      <c r="A5559" s="18" t="s">
        <v>5496</v>
      </c>
      <c r="B5559" s="1" t="s">
        <v>5745</v>
      </c>
      <c r="C5559" s="1" t="s">
        <v>5655</v>
      </c>
      <c r="D5559" s="1" t="s">
        <v>5656</v>
      </c>
      <c r="E5559" s="1" t="s">
        <v>5500</v>
      </c>
      <c r="F5559">
        <f>VLOOKUP(E5559,Legends!$G$2:$I$100,2,FALSE)</f>
        <v>443.1</v>
      </c>
      <c r="G5559">
        <f>VLOOKUP(E5559,Legends!$G$2:$I$100,3,FALSE)</f>
        <v>486.65</v>
      </c>
      <c r="H5559">
        <v>150.1</v>
      </c>
      <c r="I5559" s="1" t="s">
        <v>1528</v>
      </c>
      <c r="J5559" s="1" t="s">
        <v>5616</v>
      </c>
      <c r="K5559" s="1" t="s">
        <v>25</v>
      </c>
      <c r="L5559">
        <v>-1.1200000000000001</v>
      </c>
      <c r="M5559" s="1" t="s">
        <v>23</v>
      </c>
      <c r="N5559" s="1" t="s">
        <v>230</v>
      </c>
      <c r="O5559" s="1" t="s">
        <v>25</v>
      </c>
      <c r="P5559" s="3" t="s">
        <v>25</v>
      </c>
      <c r="Q5559" s="37">
        <v>0.12</v>
      </c>
      <c r="R5559" s="1" t="s">
        <v>231</v>
      </c>
      <c r="S5559" s="13">
        <f t="shared" si="237"/>
        <v>-1.1200000000000001</v>
      </c>
    </row>
    <row r="5560" spans="1:19">
      <c r="A5560" s="18" t="s">
        <v>5496</v>
      </c>
      <c r="B5560" s="1" t="s">
        <v>5746</v>
      </c>
      <c r="C5560" s="1" t="s">
        <v>5655</v>
      </c>
      <c r="D5560" s="1" t="s">
        <v>5656</v>
      </c>
      <c r="E5560" s="1" t="s">
        <v>5500</v>
      </c>
      <c r="F5560">
        <f>VLOOKUP(E5560,Legends!$G$2:$I$100,2,FALSE)</f>
        <v>443.1</v>
      </c>
      <c r="G5560">
        <f>VLOOKUP(E5560,Legends!$G$2:$I$100,3,FALSE)</f>
        <v>486.65</v>
      </c>
      <c r="H5560">
        <v>130.1</v>
      </c>
      <c r="I5560" s="1" t="s">
        <v>1528</v>
      </c>
      <c r="J5560" s="1" t="s">
        <v>5616</v>
      </c>
      <c r="K5560" s="1" t="s">
        <v>25</v>
      </c>
      <c r="L5560">
        <v>-1.0900000000000001</v>
      </c>
      <c r="M5560" s="1" t="s">
        <v>23</v>
      </c>
      <c r="N5560" s="1" t="s">
        <v>230</v>
      </c>
      <c r="O5560" s="1" t="s">
        <v>25</v>
      </c>
      <c r="P5560" s="3" t="s">
        <v>25</v>
      </c>
      <c r="Q5560" s="37">
        <v>0</v>
      </c>
      <c r="R5560" s="1" t="s">
        <v>231</v>
      </c>
      <c r="S5560" s="13">
        <f t="shared" si="237"/>
        <v>-1.0900000000000001</v>
      </c>
    </row>
    <row r="5561" spans="1:19">
      <c r="A5561" s="18" t="s">
        <v>5496</v>
      </c>
      <c r="B5561" s="1" t="s">
        <v>5747</v>
      </c>
      <c r="C5561" s="1" t="s">
        <v>5655</v>
      </c>
      <c r="D5561" s="1" t="s">
        <v>5656</v>
      </c>
      <c r="E5561" s="1" t="s">
        <v>5500</v>
      </c>
      <c r="F5561">
        <f>VLOOKUP(E5561,Legends!$G$2:$I$100,2,FALSE)</f>
        <v>443.1</v>
      </c>
      <c r="G5561">
        <f>VLOOKUP(E5561,Legends!$G$2:$I$100,3,FALSE)</f>
        <v>486.65</v>
      </c>
      <c r="H5561">
        <v>6</v>
      </c>
      <c r="I5561" s="1" t="s">
        <v>1528</v>
      </c>
      <c r="J5561" s="1" t="s">
        <v>5501</v>
      </c>
      <c r="K5561" s="1" t="s">
        <v>25</v>
      </c>
      <c r="L5561">
        <v>-1.06</v>
      </c>
      <c r="M5561" s="1" t="s">
        <v>23</v>
      </c>
      <c r="N5561" s="1" t="s">
        <v>230</v>
      </c>
      <c r="O5561" s="1" t="s">
        <v>25</v>
      </c>
      <c r="P5561" s="3" t="s">
        <v>25</v>
      </c>
      <c r="Q5561" s="37">
        <v>0.04</v>
      </c>
      <c r="R5561" s="1" t="s">
        <v>231</v>
      </c>
      <c r="S5561" s="13">
        <f t="shared" si="237"/>
        <v>-1.06</v>
      </c>
    </row>
    <row r="5562" spans="1:19">
      <c r="A5562" s="18" t="s">
        <v>5496</v>
      </c>
      <c r="B5562" s="1" t="s">
        <v>5748</v>
      </c>
      <c r="C5562" s="1" t="s">
        <v>5655</v>
      </c>
      <c r="D5562" s="1" t="s">
        <v>5656</v>
      </c>
      <c r="E5562" s="1" t="s">
        <v>5500</v>
      </c>
      <c r="F5562">
        <f>VLOOKUP(E5562,Legends!$G$2:$I$100,2,FALSE)</f>
        <v>443.1</v>
      </c>
      <c r="G5562">
        <f>VLOOKUP(E5562,Legends!$G$2:$I$100,3,FALSE)</f>
        <v>486.65</v>
      </c>
      <c r="H5562">
        <v>136</v>
      </c>
      <c r="I5562" s="1" t="s">
        <v>1528</v>
      </c>
      <c r="J5562" s="1" t="s">
        <v>5616</v>
      </c>
      <c r="K5562" s="1" t="s">
        <v>25</v>
      </c>
      <c r="L5562">
        <v>-1.1200000000000001</v>
      </c>
      <c r="M5562" s="1" t="s">
        <v>23</v>
      </c>
      <c r="N5562" s="1" t="s">
        <v>230</v>
      </c>
      <c r="O5562" s="1" t="s">
        <v>25</v>
      </c>
      <c r="P5562" s="3" t="s">
        <v>25</v>
      </c>
      <c r="Q5562" s="37">
        <v>0.11</v>
      </c>
      <c r="R5562" s="1" t="s">
        <v>231</v>
      </c>
      <c r="S5562" s="13">
        <f t="shared" ref="S5562:S5625" si="238">IF(NOT(N5562="SW"),L5562-1.88,L5562)</f>
        <v>-1.1200000000000001</v>
      </c>
    </row>
    <row r="5563" spans="1:19">
      <c r="A5563" s="18" t="s">
        <v>5496</v>
      </c>
      <c r="B5563" s="1" t="s">
        <v>5749</v>
      </c>
      <c r="C5563" s="1" t="s">
        <v>5655</v>
      </c>
      <c r="D5563" s="1" t="s">
        <v>5656</v>
      </c>
      <c r="E5563" s="1" t="s">
        <v>5500</v>
      </c>
      <c r="F5563">
        <f>VLOOKUP(E5563,Legends!$G$2:$I$100,2,FALSE)</f>
        <v>443.1</v>
      </c>
      <c r="G5563">
        <f>VLOOKUP(E5563,Legends!$G$2:$I$100,3,FALSE)</f>
        <v>486.65</v>
      </c>
      <c r="H5563">
        <v>81</v>
      </c>
      <c r="I5563" s="1" t="s">
        <v>1528</v>
      </c>
      <c r="J5563" s="1" t="s">
        <v>5616</v>
      </c>
      <c r="K5563" s="1" t="s">
        <v>25</v>
      </c>
      <c r="L5563">
        <v>-1.08</v>
      </c>
      <c r="M5563" s="1" t="s">
        <v>23</v>
      </c>
      <c r="N5563" s="1" t="s">
        <v>230</v>
      </c>
      <c r="O5563" s="1" t="s">
        <v>25</v>
      </c>
      <c r="P5563" s="3" t="s">
        <v>25</v>
      </c>
      <c r="Q5563" s="37">
        <v>7.0000000000000007E-2</v>
      </c>
      <c r="R5563" s="1" t="s">
        <v>231</v>
      </c>
      <c r="S5563" s="13">
        <f t="shared" si="238"/>
        <v>-1.08</v>
      </c>
    </row>
    <row r="5564" spans="1:19">
      <c r="A5564" s="18" t="s">
        <v>5496</v>
      </c>
      <c r="B5564" s="1" t="s">
        <v>5750</v>
      </c>
      <c r="C5564" s="1" t="s">
        <v>5655</v>
      </c>
      <c r="D5564" s="1" t="s">
        <v>5656</v>
      </c>
      <c r="E5564" s="1" t="s">
        <v>5500</v>
      </c>
      <c r="F5564">
        <f>VLOOKUP(E5564,Legends!$G$2:$I$100,2,FALSE)</f>
        <v>443.1</v>
      </c>
      <c r="G5564">
        <f>VLOOKUP(E5564,Legends!$G$2:$I$100,3,FALSE)</f>
        <v>486.65</v>
      </c>
      <c r="H5564">
        <v>39</v>
      </c>
      <c r="I5564" s="1" t="s">
        <v>1528</v>
      </c>
      <c r="J5564" s="1" t="s">
        <v>5616</v>
      </c>
      <c r="K5564" s="1" t="s">
        <v>25</v>
      </c>
      <c r="L5564">
        <v>-1.06</v>
      </c>
      <c r="M5564" s="1" t="s">
        <v>23</v>
      </c>
      <c r="N5564" s="1" t="s">
        <v>230</v>
      </c>
      <c r="O5564" s="1" t="s">
        <v>25</v>
      </c>
      <c r="P5564" s="3" t="s">
        <v>25</v>
      </c>
      <c r="Q5564" s="37">
        <v>0.2</v>
      </c>
      <c r="R5564" s="1" t="s">
        <v>231</v>
      </c>
      <c r="S5564" s="13">
        <f t="shared" si="238"/>
        <v>-1.06</v>
      </c>
    </row>
    <row r="5565" spans="1:19">
      <c r="A5565" s="18" t="s">
        <v>5496</v>
      </c>
      <c r="B5565" s="1" t="s">
        <v>5751</v>
      </c>
      <c r="C5565" s="1" t="s">
        <v>5655</v>
      </c>
      <c r="D5565" s="1" t="s">
        <v>5656</v>
      </c>
      <c r="E5565" s="1" t="s">
        <v>5500</v>
      </c>
      <c r="F5565">
        <f>VLOOKUP(E5565,Legends!$G$2:$I$100,2,FALSE)</f>
        <v>443.1</v>
      </c>
      <c r="G5565">
        <f>VLOOKUP(E5565,Legends!$G$2:$I$100,3,FALSE)</f>
        <v>486.65</v>
      </c>
      <c r="H5565">
        <v>0.6</v>
      </c>
      <c r="I5565" s="1" t="s">
        <v>1528</v>
      </c>
      <c r="J5565" s="1" t="s">
        <v>5616</v>
      </c>
      <c r="K5565" s="1" t="s">
        <v>25</v>
      </c>
      <c r="L5565">
        <v>-1.54</v>
      </c>
      <c r="M5565" s="1" t="s">
        <v>23</v>
      </c>
      <c r="N5565" s="1" t="s">
        <v>230</v>
      </c>
      <c r="O5565" s="1" t="s">
        <v>25</v>
      </c>
      <c r="P5565" s="3" t="s">
        <v>25</v>
      </c>
      <c r="Q5565" s="37">
        <v>0.12</v>
      </c>
      <c r="R5565" s="1" t="s">
        <v>231</v>
      </c>
      <c r="S5565" s="13">
        <f t="shared" si="238"/>
        <v>-1.54</v>
      </c>
    </row>
    <row r="5566" spans="1:19">
      <c r="A5566" s="18" t="s">
        <v>5496</v>
      </c>
      <c r="B5566" s="1" t="s">
        <v>5752</v>
      </c>
      <c r="C5566" s="1" t="s">
        <v>5655</v>
      </c>
      <c r="D5566" s="1" t="s">
        <v>5656</v>
      </c>
      <c r="E5566" s="1" t="s">
        <v>5500</v>
      </c>
      <c r="F5566">
        <f>VLOOKUP(E5566,Legends!$G$2:$I$100,2,FALSE)</f>
        <v>443.1</v>
      </c>
      <c r="G5566">
        <f>VLOOKUP(E5566,Legends!$G$2:$I$100,3,FALSE)</f>
        <v>486.65</v>
      </c>
      <c r="H5566">
        <v>18.2</v>
      </c>
      <c r="I5566" s="1" t="s">
        <v>1528</v>
      </c>
      <c r="J5566" s="1" t="s">
        <v>5616</v>
      </c>
      <c r="K5566" s="1" t="s">
        <v>25</v>
      </c>
      <c r="L5566">
        <v>-1.34</v>
      </c>
      <c r="M5566" s="1" t="s">
        <v>23</v>
      </c>
      <c r="N5566" s="1" t="s">
        <v>230</v>
      </c>
      <c r="O5566" s="1" t="s">
        <v>25</v>
      </c>
      <c r="P5566" s="3" t="s">
        <v>25</v>
      </c>
      <c r="Q5566" s="37">
        <v>0.09</v>
      </c>
      <c r="R5566" s="1" t="s">
        <v>231</v>
      </c>
      <c r="S5566" s="13">
        <f t="shared" si="238"/>
        <v>-1.34</v>
      </c>
    </row>
    <row r="5567" spans="1:19">
      <c r="A5567" s="18" t="s">
        <v>5496</v>
      </c>
      <c r="B5567" s="1" t="s">
        <v>5753</v>
      </c>
      <c r="C5567" s="1" t="s">
        <v>5655</v>
      </c>
      <c r="D5567" s="1" t="s">
        <v>5656</v>
      </c>
      <c r="E5567" s="1" t="s">
        <v>5500</v>
      </c>
      <c r="F5567">
        <f>VLOOKUP(E5567,Legends!$G$2:$I$100,2,FALSE)</f>
        <v>443.1</v>
      </c>
      <c r="G5567">
        <f>VLOOKUP(E5567,Legends!$G$2:$I$100,3,FALSE)</f>
        <v>486.65</v>
      </c>
      <c r="H5567">
        <v>4</v>
      </c>
      <c r="I5567" s="1" t="s">
        <v>1528</v>
      </c>
      <c r="J5567" s="1" t="s">
        <v>5616</v>
      </c>
      <c r="K5567" s="1" t="s">
        <v>25</v>
      </c>
      <c r="L5567">
        <v>-1.24</v>
      </c>
      <c r="M5567" s="1" t="s">
        <v>23</v>
      </c>
      <c r="N5567" s="1" t="s">
        <v>230</v>
      </c>
      <c r="O5567" s="1" t="s">
        <v>25</v>
      </c>
      <c r="P5567" s="3" t="s">
        <v>25</v>
      </c>
      <c r="Q5567" s="37">
        <v>0.14000000000000001</v>
      </c>
      <c r="R5567" s="1" t="s">
        <v>231</v>
      </c>
      <c r="S5567" s="13">
        <f t="shared" si="238"/>
        <v>-1.24</v>
      </c>
    </row>
    <row r="5568" spans="1:19">
      <c r="A5568" s="18" t="s">
        <v>5496</v>
      </c>
      <c r="B5568" s="1" t="s">
        <v>5754</v>
      </c>
      <c r="C5568" s="1" t="s">
        <v>5655</v>
      </c>
      <c r="D5568" s="1" t="s">
        <v>5656</v>
      </c>
      <c r="E5568" s="1" t="s">
        <v>5500</v>
      </c>
      <c r="F5568">
        <f>VLOOKUP(E5568,Legends!$G$2:$I$100,2,FALSE)</f>
        <v>443.1</v>
      </c>
      <c r="G5568">
        <f>VLOOKUP(E5568,Legends!$G$2:$I$100,3,FALSE)</f>
        <v>486.65</v>
      </c>
      <c r="H5568">
        <v>41</v>
      </c>
      <c r="I5568" s="1" t="s">
        <v>1528</v>
      </c>
      <c r="J5568" s="1" t="s">
        <v>5616</v>
      </c>
      <c r="K5568" s="1" t="s">
        <v>25</v>
      </c>
      <c r="L5568">
        <v>-1.05</v>
      </c>
      <c r="M5568" s="1" t="s">
        <v>23</v>
      </c>
      <c r="N5568" s="1" t="s">
        <v>230</v>
      </c>
      <c r="O5568" s="1" t="s">
        <v>25</v>
      </c>
      <c r="P5568" s="3" t="s">
        <v>25</v>
      </c>
      <c r="Q5568" s="37">
        <v>0.11</v>
      </c>
      <c r="R5568" s="1" t="s">
        <v>231</v>
      </c>
      <c r="S5568" s="13">
        <f t="shared" si="238"/>
        <v>-1.05</v>
      </c>
    </row>
    <row r="5569" spans="1:19">
      <c r="A5569" s="18" t="s">
        <v>5496</v>
      </c>
      <c r="B5569" s="1" t="s">
        <v>5755</v>
      </c>
      <c r="C5569" s="1" t="s">
        <v>5655</v>
      </c>
      <c r="D5569" s="1" t="s">
        <v>5656</v>
      </c>
      <c r="E5569" s="1" t="s">
        <v>5500</v>
      </c>
      <c r="F5569">
        <f>VLOOKUP(E5569,Legends!$G$2:$I$100,2,FALSE)</f>
        <v>443.1</v>
      </c>
      <c r="G5569">
        <f>VLOOKUP(E5569,Legends!$G$2:$I$100,3,FALSE)</f>
        <v>486.65</v>
      </c>
      <c r="H5569">
        <v>25.8</v>
      </c>
      <c r="I5569" s="1" t="s">
        <v>1528</v>
      </c>
      <c r="J5569" s="1" t="s">
        <v>5616</v>
      </c>
      <c r="K5569" s="1" t="s">
        <v>25</v>
      </c>
      <c r="L5569">
        <v>-1.22</v>
      </c>
      <c r="M5569" s="1" t="s">
        <v>23</v>
      </c>
      <c r="N5569" s="1" t="s">
        <v>230</v>
      </c>
      <c r="O5569" s="1" t="s">
        <v>25</v>
      </c>
      <c r="P5569" s="3" t="s">
        <v>25</v>
      </c>
      <c r="Q5569" s="37">
        <v>7.0000000000000007E-2</v>
      </c>
      <c r="R5569" s="1" t="s">
        <v>231</v>
      </c>
      <c r="S5569" s="13">
        <f t="shared" si="238"/>
        <v>-1.22</v>
      </c>
    </row>
    <row r="5570" spans="1:19">
      <c r="A5570" s="18" t="s">
        <v>5496</v>
      </c>
      <c r="B5570" s="1" t="s">
        <v>5756</v>
      </c>
      <c r="C5570" s="1" t="s">
        <v>5655</v>
      </c>
      <c r="D5570" s="1" t="s">
        <v>5656</v>
      </c>
      <c r="E5570" s="1" t="s">
        <v>5500</v>
      </c>
      <c r="F5570">
        <f>VLOOKUP(E5570,Legends!$G$2:$I$100,2,FALSE)</f>
        <v>443.1</v>
      </c>
      <c r="G5570">
        <f>VLOOKUP(E5570,Legends!$G$2:$I$100,3,FALSE)</f>
        <v>486.65</v>
      </c>
      <c r="H5570">
        <v>66.2</v>
      </c>
      <c r="I5570" s="1" t="s">
        <v>1528</v>
      </c>
      <c r="J5570" s="1" t="s">
        <v>5616</v>
      </c>
      <c r="K5570" s="1" t="s">
        <v>25</v>
      </c>
      <c r="L5570">
        <v>-1.19</v>
      </c>
      <c r="M5570" s="1" t="s">
        <v>23</v>
      </c>
      <c r="N5570" s="1" t="s">
        <v>230</v>
      </c>
      <c r="O5570" s="1" t="s">
        <v>25</v>
      </c>
      <c r="P5570" s="3" t="s">
        <v>25</v>
      </c>
      <c r="Q5570" s="37">
        <v>0.14000000000000001</v>
      </c>
      <c r="R5570" s="1" t="s">
        <v>231</v>
      </c>
      <c r="S5570" s="13">
        <f t="shared" si="238"/>
        <v>-1.19</v>
      </c>
    </row>
    <row r="5571" spans="1:19">
      <c r="A5571" s="18" t="s">
        <v>5496</v>
      </c>
      <c r="B5571" s="1" t="s">
        <v>5757</v>
      </c>
      <c r="C5571" s="1" t="s">
        <v>5655</v>
      </c>
      <c r="D5571" s="1" t="s">
        <v>5656</v>
      </c>
      <c r="E5571" s="1" t="s">
        <v>5500</v>
      </c>
      <c r="F5571">
        <f>VLOOKUP(E5571,Legends!$G$2:$I$100,2,FALSE)</f>
        <v>443.1</v>
      </c>
      <c r="G5571">
        <f>VLOOKUP(E5571,Legends!$G$2:$I$100,3,FALSE)</f>
        <v>486.65</v>
      </c>
      <c r="H5571">
        <v>37</v>
      </c>
      <c r="I5571" s="1" t="s">
        <v>1528</v>
      </c>
      <c r="J5571" s="1" t="s">
        <v>5616</v>
      </c>
      <c r="K5571" s="1" t="s">
        <v>25</v>
      </c>
      <c r="L5571">
        <v>-1.03</v>
      </c>
      <c r="M5571" s="1" t="s">
        <v>23</v>
      </c>
      <c r="N5571" s="1" t="s">
        <v>230</v>
      </c>
      <c r="O5571" s="1" t="s">
        <v>25</v>
      </c>
      <c r="P5571" s="3" t="s">
        <v>25</v>
      </c>
      <c r="Q5571" s="37">
        <v>0.08</v>
      </c>
      <c r="R5571" s="1" t="s">
        <v>231</v>
      </c>
      <c r="S5571" s="13">
        <f t="shared" si="238"/>
        <v>-1.03</v>
      </c>
    </row>
    <row r="5572" spans="1:19">
      <c r="A5572" s="18" t="s">
        <v>5496</v>
      </c>
      <c r="B5572" s="1" t="s">
        <v>5758</v>
      </c>
      <c r="C5572" s="1" t="s">
        <v>5655</v>
      </c>
      <c r="D5572" s="1" t="s">
        <v>5656</v>
      </c>
      <c r="E5572" s="1" t="s">
        <v>5500</v>
      </c>
      <c r="F5572">
        <f>VLOOKUP(E5572,Legends!$G$2:$I$100,2,FALSE)</f>
        <v>443.1</v>
      </c>
      <c r="G5572">
        <f>VLOOKUP(E5572,Legends!$G$2:$I$100,3,FALSE)</f>
        <v>486.65</v>
      </c>
      <c r="H5572">
        <v>49</v>
      </c>
      <c r="I5572" s="1" t="s">
        <v>1528</v>
      </c>
      <c r="J5572" s="1" t="s">
        <v>5616</v>
      </c>
      <c r="K5572" s="1" t="s">
        <v>25</v>
      </c>
      <c r="L5572">
        <v>-1.1100000000000001</v>
      </c>
      <c r="M5572" s="1" t="s">
        <v>23</v>
      </c>
      <c r="N5572" s="1" t="s">
        <v>230</v>
      </c>
      <c r="O5572" s="1" t="s">
        <v>25</v>
      </c>
      <c r="P5572" s="3" t="s">
        <v>25</v>
      </c>
      <c r="Q5572" s="37">
        <v>0.12</v>
      </c>
      <c r="R5572" s="1" t="s">
        <v>231</v>
      </c>
      <c r="S5572" s="13">
        <f t="shared" si="238"/>
        <v>-1.1100000000000001</v>
      </c>
    </row>
    <row r="5573" spans="1:19">
      <c r="A5573" s="18" t="s">
        <v>5496</v>
      </c>
      <c r="B5573" s="1" t="s">
        <v>5759</v>
      </c>
      <c r="C5573" s="1" t="s">
        <v>5655</v>
      </c>
      <c r="D5573" s="1" t="s">
        <v>5656</v>
      </c>
      <c r="E5573" s="1" t="s">
        <v>5500</v>
      </c>
      <c r="F5573">
        <f>VLOOKUP(E5573,Legends!$G$2:$I$100,2,FALSE)</f>
        <v>443.1</v>
      </c>
      <c r="G5573">
        <f>VLOOKUP(E5573,Legends!$G$2:$I$100,3,FALSE)</f>
        <v>486.65</v>
      </c>
      <c r="H5573">
        <v>75.099999999999994</v>
      </c>
      <c r="I5573" s="1" t="s">
        <v>1528</v>
      </c>
      <c r="J5573" s="1" t="s">
        <v>5616</v>
      </c>
      <c r="K5573" s="1" t="s">
        <v>25</v>
      </c>
      <c r="L5573">
        <v>-1.01</v>
      </c>
      <c r="M5573" s="1" t="s">
        <v>23</v>
      </c>
      <c r="N5573" s="1" t="s">
        <v>230</v>
      </c>
      <c r="O5573" s="1" t="s">
        <v>25</v>
      </c>
      <c r="P5573" s="3" t="s">
        <v>25</v>
      </c>
      <c r="Q5573" s="37">
        <v>0.1</v>
      </c>
      <c r="R5573" s="1" t="s">
        <v>231</v>
      </c>
      <c r="S5573" s="13">
        <f t="shared" si="238"/>
        <v>-1.01</v>
      </c>
    </row>
    <row r="5574" spans="1:19">
      <c r="A5574" s="18" t="s">
        <v>5496</v>
      </c>
      <c r="B5574" s="1" t="s">
        <v>5760</v>
      </c>
      <c r="C5574" s="1" t="s">
        <v>5655</v>
      </c>
      <c r="D5574" s="1" t="s">
        <v>5656</v>
      </c>
      <c r="E5574" s="1" t="s">
        <v>5500</v>
      </c>
      <c r="F5574">
        <f>VLOOKUP(E5574,Legends!$G$2:$I$100,2,FALSE)</f>
        <v>443.1</v>
      </c>
      <c r="G5574">
        <f>VLOOKUP(E5574,Legends!$G$2:$I$100,3,FALSE)</f>
        <v>486.65</v>
      </c>
      <c r="H5574">
        <v>8</v>
      </c>
      <c r="I5574" s="1" t="s">
        <v>1528</v>
      </c>
      <c r="J5574" s="1" t="s">
        <v>5616</v>
      </c>
      <c r="K5574" s="1" t="s">
        <v>25</v>
      </c>
      <c r="L5574">
        <v>-1.0900000000000001</v>
      </c>
      <c r="M5574" s="1" t="s">
        <v>23</v>
      </c>
      <c r="N5574" s="1" t="s">
        <v>230</v>
      </c>
      <c r="O5574" s="1" t="s">
        <v>25</v>
      </c>
      <c r="P5574" s="3" t="s">
        <v>25</v>
      </c>
      <c r="Q5574" s="37">
        <v>0.13</v>
      </c>
      <c r="R5574" s="1" t="s">
        <v>231</v>
      </c>
      <c r="S5574" s="13">
        <f t="shared" si="238"/>
        <v>-1.0900000000000001</v>
      </c>
    </row>
    <row r="5575" spans="1:19">
      <c r="A5575" s="18" t="s">
        <v>5496</v>
      </c>
      <c r="B5575" s="1" t="s">
        <v>5761</v>
      </c>
      <c r="C5575" s="1" t="s">
        <v>5655</v>
      </c>
      <c r="D5575" s="1" t="s">
        <v>5656</v>
      </c>
      <c r="E5575" s="1" t="s">
        <v>5500</v>
      </c>
      <c r="F5575">
        <f>VLOOKUP(E5575,Legends!$G$2:$I$100,2,FALSE)</f>
        <v>443.1</v>
      </c>
      <c r="G5575">
        <f>VLOOKUP(E5575,Legends!$G$2:$I$100,3,FALSE)</f>
        <v>486.65</v>
      </c>
      <c r="H5575">
        <v>35</v>
      </c>
      <c r="I5575" s="1" t="s">
        <v>1528</v>
      </c>
      <c r="J5575" s="1" t="s">
        <v>5616</v>
      </c>
      <c r="K5575" s="1" t="s">
        <v>25</v>
      </c>
      <c r="L5575">
        <v>-1.22</v>
      </c>
      <c r="M5575" s="1" t="s">
        <v>23</v>
      </c>
      <c r="N5575" s="1" t="s">
        <v>230</v>
      </c>
      <c r="O5575" s="1" t="s">
        <v>25</v>
      </c>
      <c r="P5575" s="3" t="s">
        <v>25</v>
      </c>
      <c r="Q5575" s="37">
        <v>0.09</v>
      </c>
      <c r="R5575" s="1" t="s">
        <v>231</v>
      </c>
      <c r="S5575" s="13">
        <f t="shared" si="238"/>
        <v>-1.22</v>
      </c>
    </row>
    <row r="5576" spans="1:19">
      <c r="A5576" s="18" t="s">
        <v>5496</v>
      </c>
      <c r="B5576" s="1" t="s">
        <v>5762</v>
      </c>
      <c r="C5576" s="1" t="s">
        <v>5655</v>
      </c>
      <c r="D5576" s="1" t="s">
        <v>5656</v>
      </c>
      <c r="E5576" s="1" t="s">
        <v>5500</v>
      </c>
      <c r="F5576">
        <f>VLOOKUP(E5576,Legends!$G$2:$I$100,2,FALSE)</f>
        <v>443.1</v>
      </c>
      <c r="G5576">
        <f>VLOOKUP(E5576,Legends!$G$2:$I$100,3,FALSE)</f>
        <v>486.65</v>
      </c>
      <c r="H5576">
        <v>44.8</v>
      </c>
      <c r="I5576" s="1" t="s">
        <v>1528</v>
      </c>
      <c r="J5576" s="1" t="s">
        <v>5616</v>
      </c>
      <c r="K5576" s="1" t="s">
        <v>25</v>
      </c>
      <c r="L5576">
        <v>-0.93</v>
      </c>
      <c r="M5576" s="1" t="s">
        <v>23</v>
      </c>
      <c r="N5576" s="1" t="s">
        <v>230</v>
      </c>
      <c r="O5576" s="1" t="s">
        <v>25</v>
      </c>
      <c r="P5576" s="3" t="s">
        <v>25</v>
      </c>
      <c r="Q5576" s="37">
        <v>0.08</v>
      </c>
      <c r="R5576" s="1" t="s">
        <v>231</v>
      </c>
      <c r="S5576" s="13">
        <f t="shared" si="238"/>
        <v>-0.93</v>
      </c>
    </row>
    <row r="5577" spans="1:19">
      <c r="A5577" s="18" t="s">
        <v>5496</v>
      </c>
      <c r="B5577" s="1" t="s">
        <v>5763</v>
      </c>
      <c r="C5577" s="1" t="s">
        <v>5655</v>
      </c>
      <c r="D5577" s="1" t="s">
        <v>5656</v>
      </c>
      <c r="E5577" s="1" t="s">
        <v>5500</v>
      </c>
      <c r="F5577">
        <f>VLOOKUP(E5577,Legends!$G$2:$I$100,2,FALSE)</f>
        <v>443.1</v>
      </c>
      <c r="G5577">
        <f>VLOOKUP(E5577,Legends!$G$2:$I$100,3,FALSE)</f>
        <v>486.65</v>
      </c>
      <c r="H5577">
        <v>56.9</v>
      </c>
      <c r="I5577" s="1" t="s">
        <v>1528</v>
      </c>
      <c r="J5577" s="1" t="s">
        <v>5616</v>
      </c>
      <c r="K5577" s="1" t="s">
        <v>25</v>
      </c>
      <c r="L5577">
        <v>-1.19</v>
      </c>
      <c r="M5577" s="1" t="s">
        <v>23</v>
      </c>
      <c r="N5577" s="1" t="s">
        <v>230</v>
      </c>
      <c r="O5577" s="1" t="s">
        <v>25</v>
      </c>
      <c r="P5577" s="3" t="s">
        <v>25</v>
      </c>
      <c r="Q5577" s="37">
        <v>0.06</v>
      </c>
      <c r="R5577" s="1" t="s">
        <v>231</v>
      </c>
      <c r="S5577" s="13">
        <f t="shared" si="238"/>
        <v>-1.19</v>
      </c>
    </row>
    <row r="5578" spans="1:19">
      <c r="A5578" s="18" t="s">
        <v>5496</v>
      </c>
      <c r="B5578" s="1" t="s">
        <v>5764</v>
      </c>
      <c r="C5578" s="1" t="s">
        <v>5655</v>
      </c>
      <c r="D5578" s="1" t="s">
        <v>5656</v>
      </c>
      <c r="E5578" s="1" t="s">
        <v>5500</v>
      </c>
      <c r="F5578">
        <f>VLOOKUP(E5578,Legends!$G$2:$I$100,2,FALSE)</f>
        <v>443.1</v>
      </c>
      <c r="G5578">
        <f>VLOOKUP(E5578,Legends!$G$2:$I$100,3,FALSE)</f>
        <v>486.65</v>
      </c>
      <c r="H5578">
        <v>55.3</v>
      </c>
      <c r="I5578" s="1" t="s">
        <v>1528</v>
      </c>
      <c r="J5578" s="1" t="s">
        <v>5616</v>
      </c>
      <c r="K5578" s="1" t="s">
        <v>25</v>
      </c>
      <c r="L5578">
        <v>-1.07</v>
      </c>
      <c r="M5578" s="1" t="s">
        <v>23</v>
      </c>
      <c r="N5578" s="1" t="s">
        <v>230</v>
      </c>
      <c r="O5578" s="1" t="s">
        <v>25</v>
      </c>
      <c r="P5578" s="3" t="s">
        <v>25</v>
      </c>
      <c r="Q5578" s="37">
        <v>0.06</v>
      </c>
      <c r="R5578" s="1" t="s">
        <v>231</v>
      </c>
      <c r="S5578" s="13">
        <f t="shared" si="238"/>
        <v>-1.07</v>
      </c>
    </row>
    <row r="5579" spans="1:19">
      <c r="A5579" s="18" t="s">
        <v>5496</v>
      </c>
      <c r="B5579" s="1" t="s">
        <v>5765</v>
      </c>
      <c r="C5579" s="1" t="s">
        <v>5655</v>
      </c>
      <c r="D5579" s="1" t="s">
        <v>5656</v>
      </c>
      <c r="E5579" s="1" t="s">
        <v>5500</v>
      </c>
      <c r="F5579">
        <f>VLOOKUP(E5579,Legends!$G$2:$I$100,2,FALSE)</f>
        <v>443.1</v>
      </c>
      <c r="G5579">
        <f>VLOOKUP(E5579,Legends!$G$2:$I$100,3,FALSE)</f>
        <v>486.65</v>
      </c>
      <c r="H5579">
        <v>13.9</v>
      </c>
      <c r="I5579" s="1" t="s">
        <v>1528</v>
      </c>
      <c r="J5579" s="1" t="s">
        <v>5616</v>
      </c>
      <c r="K5579" s="1" t="s">
        <v>25</v>
      </c>
      <c r="L5579">
        <v>-1.1200000000000001</v>
      </c>
      <c r="M5579" s="1" t="s">
        <v>23</v>
      </c>
      <c r="N5579" s="1" t="s">
        <v>230</v>
      </c>
      <c r="O5579" s="1" t="s">
        <v>25</v>
      </c>
      <c r="P5579" s="3" t="s">
        <v>25</v>
      </c>
      <c r="Q5579" s="37">
        <v>7.0000000000000007E-2</v>
      </c>
      <c r="R5579" s="1" t="s">
        <v>231</v>
      </c>
      <c r="S5579" s="13">
        <f t="shared" si="238"/>
        <v>-1.1200000000000001</v>
      </c>
    </row>
    <row r="5580" spans="1:19">
      <c r="A5580" s="18" t="s">
        <v>5496</v>
      </c>
      <c r="B5580" s="1" t="s">
        <v>5766</v>
      </c>
      <c r="C5580" s="1" t="s">
        <v>5655</v>
      </c>
      <c r="D5580" s="1" t="s">
        <v>5656</v>
      </c>
      <c r="E5580" s="1" t="s">
        <v>5500</v>
      </c>
      <c r="F5580">
        <f>VLOOKUP(E5580,Legends!$G$2:$I$100,2,FALSE)</f>
        <v>443.1</v>
      </c>
      <c r="G5580">
        <f>VLOOKUP(E5580,Legends!$G$2:$I$100,3,FALSE)</f>
        <v>486.65</v>
      </c>
      <c r="H5580">
        <v>73</v>
      </c>
      <c r="I5580" s="1" t="s">
        <v>1528</v>
      </c>
      <c r="J5580" s="1" t="s">
        <v>5616</v>
      </c>
      <c r="K5580" s="1" t="s">
        <v>25</v>
      </c>
      <c r="L5580">
        <v>-1.2</v>
      </c>
      <c r="M5580" s="1" t="s">
        <v>23</v>
      </c>
      <c r="N5580" s="1" t="s">
        <v>230</v>
      </c>
      <c r="O5580" s="1" t="s">
        <v>25</v>
      </c>
      <c r="P5580" s="3" t="s">
        <v>25</v>
      </c>
      <c r="Q5580" s="37">
        <v>0.09</v>
      </c>
      <c r="R5580" s="1" t="s">
        <v>231</v>
      </c>
      <c r="S5580" s="13">
        <f t="shared" si="238"/>
        <v>-1.2</v>
      </c>
    </row>
    <row r="5581" spans="1:19">
      <c r="A5581" s="18" t="s">
        <v>5496</v>
      </c>
      <c r="B5581" s="1" t="s">
        <v>5767</v>
      </c>
      <c r="C5581" s="1" t="s">
        <v>5655</v>
      </c>
      <c r="D5581" s="1" t="s">
        <v>5656</v>
      </c>
      <c r="E5581" s="1" t="s">
        <v>5500</v>
      </c>
      <c r="F5581">
        <f>VLOOKUP(E5581,Legends!$G$2:$I$100,2,FALSE)</f>
        <v>443.1</v>
      </c>
      <c r="G5581">
        <f>VLOOKUP(E5581,Legends!$G$2:$I$100,3,FALSE)</f>
        <v>486.65</v>
      </c>
      <c r="H5581">
        <v>30</v>
      </c>
      <c r="I5581" s="1" t="s">
        <v>1528</v>
      </c>
      <c r="J5581" s="1" t="s">
        <v>5616</v>
      </c>
      <c r="K5581" s="1" t="s">
        <v>25</v>
      </c>
      <c r="L5581">
        <v>-1.1000000000000001</v>
      </c>
      <c r="M5581" s="1" t="s">
        <v>23</v>
      </c>
      <c r="N5581" s="1" t="s">
        <v>230</v>
      </c>
      <c r="O5581" s="1" t="s">
        <v>25</v>
      </c>
      <c r="P5581" s="3" t="s">
        <v>25</v>
      </c>
      <c r="Q5581" s="37">
        <v>0.1</v>
      </c>
      <c r="R5581" s="1" t="s">
        <v>231</v>
      </c>
      <c r="S5581" s="13">
        <f t="shared" si="238"/>
        <v>-1.1000000000000001</v>
      </c>
    </row>
    <row r="5582" spans="1:19">
      <c r="A5582" s="18" t="s">
        <v>5496</v>
      </c>
      <c r="B5582" s="1" t="s">
        <v>5768</v>
      </c>
      <c r="C5582" s="1" t="s">
        <v>5655</v>
      </c>
      <c r="D5582" s="1" t="s">
        <v>5656</v>
      </c>
      <c r="E5582" s="1" t="s">
        <v>5500</v>
      </c>
      <c r="F5582">
        <f>VLOOKUP(E5582,Legends!$G$2:$I$100,2,FALSE)</f>
        <v>443.1</v>
      </c>
      <c r="G5582">
        <f>VLOOKUP(E5582,Legends!$G$2:$I$100,3,FALSE)</f>
        <v>486.65</v>
      </c>
      <c r="H5582">
        <v>79</v>
      </c>
      <c r="I5582" s="1" t="s">
        <v>1528</v>
      </c>
      <c r="J5582" s="1" t="s">
        <v>5616</v>
      </c>
      <c r="K5582" s="1" t="s">
        <v>25</v>
      </c>
      <c r="L5582">
        <v>-1.24</v>
      </c>
      <c r="M5582" s="1" t="s">
        <v>23</v>
      </c>
      <c r="N5582" s="1" t="s">
        <v>230</v>
      </c>
      <c r="O5582" s="1" t="s">
        <v>25</v>
      </c>
      <c r="P5582" s="3" t="s">
        <v>25</v>
      </c>
      <c r="Q5582" s="37">
        <v>0.06</v>
      </c>
      <c r="R5582" s="1" t="s">
        <v>231</v>
      </c>
      <c r="S5582" s="13">
        <f t="shared" si="238"/>
        <v>-1.24</v>
      </c>
    </row>
    <row r="5583" spans="1:19">
      <c r="A5583" s="18" t="s">
        <v>5496</v>
      </c>
      <c r="B5583" s="1" t="s">
        <v>5769</v>
      </c>
      <c r="C5583" s="1" t="s">
        <v>5655</v>
      </c>
      <c r="D5583" s="1" t="s">
        <v>5656</v>
      </c>
      <c r="E5583" s="1" t="s">
        <v>5500</v>
      </c>
      <c r="F5583">
        <f>VLOOKUP(E5583,Legends!$G$2:$I$100,2,FALSE)</f>
        <v>443.1</v>
      </c>
      <c r="G5583">
        <f>VLOOKUP(E5583,Legends!$G$2:$I$100,3,FALSE)</f>
        <v>486.65</v>
      </c>
      <c r="H5583">
        <v>12.1</v>
      </c>
      <c r="I5583" s="1" t="s">
        <v>1528</v>
      </c>
      <c r="J5583" s="1" t="s">
        <v>5616</v>
      </c>
      <c r="K5583" s="1" t="s">
        <v>25</v>
      </c>
      <c r="L5583">
        <v>-1.05</v>
      </c>
      <c r="M5583" s="1" t="s">
        <v>23</v>
      </c>
      <c r="N5583" s="1" t="s">
        <v>230</v>
      </c>
      <c r="O5583" s="1" t="s">
        <v>25</v>
      </c>
      <c r="P5583" s="3" t="s">
        <v>25</v>
      </c>
      <c r="Q5583" s="37">
        <v>0.1</v>
      </c>
      <c r="R5583" s="1" t="s">
        <v>231</v>
      </c>
      <c r="S5583" s="13">
        <f t="shared" si="238"/>
        <v>-1.05</v>
      </c>
    </row>
    <row r="5584" spans="1:19">
      <c r="A5584" s="18" t="s">
        <v>5496</v>
      </c>
      <c r="B5584" s="1" t="s">
        <v>5770</v>
      </c>
      <c r="C5584" s="1" t="s">
        <v>5655</v>
      </c>
      <c r="D5584" s="1" t="s">
        <v>5656</v>
      </c>
      <c r="E5584" s="1" t="s">
        <v>5500</v>
      </c>
      <c r="F5584">
        <f>VLOOKUP(E5584,Legends!$G$2:$I$100,2,FALSE)</f>
        <v>443.1</v>
      </c>
      <c r="G5584">
        <f>VLOOKUP(E5584,Legends!$G$2:$I$100,3,FALSE)</f>
        <v>486.65</v>
      </c>
      <c r="H5584">
        <v>47</v>
      </c>
      <c r="I5584" s="1" t="s">
        <v>1528</v>
      </c>
      <c r="J5584" s="1" t="s">
        <v>5616</v>
      </c>
      <c r="K5584" s="1" t="s">
        <v>25</v>
      </c>
      <c r="L5584">
        <v>-1.17</v>
      </c>
      <c r="M5584" s="1" t="s">
        <v>23</v>
      </c>
      <c r="N5584" s="1" t="s">
        <v>230</v>
      </c>
      <c r="O5584" s="1" t="s">
        <v>25</v>
      </c>
      <c r="P5584" s="3" t="s">
        <v>25</v>
      </c>
      <c r="Q5584" s="37">
        <v>0.06</v>
      </c>
      <c r="R5584" s="1" t="s">
        <v>231</v>
      </c>
      <c r="S5584" s="13">
        <f t="shared" si="238"/>
        <v>-1.17</v>
      </c>
    </row>
    <row r="5585" spans="1:19">
      <c r="A5585" s="18" t="s">
        <v>5496</v>
      </c>
      <c r="B5585" s="1" t="s">
        <v>5771</v>
      </c>
      <c r="C5585" s="1" t="s">
        <v>5655</v>
      </c>
      <c r="D5585" s="1" t="s">
        <v>5656</v>
      </c>
      <c r="E5585" s="1" t="s">
        <v>5500</v>
      </c>
      <c r="F5585">
        <f>VLOOKUP(E5585,Legends!$G$2:$I$100,2,FALSE)</f>
        <v>443.1</v>
      </c>
      <c r="G5585">
        <f>VLOOKUP(E5585,Legends!$G$2:$I$100,3,FALSE)</f>
        <v>486.65</v>
      </c>
      <c r="H5585">
        <v>59.2</v>
      </c>
      <c r="I5585" s="1" t="s">
        <v>1528</v>
      </c>
      <c r="J5585" s="1" t="s">
        <v>5616</v>
      </c>
      <c r="K5585" s="1" t="s">
        <v>25</v>
      </c>
      <c r="L5585">
        <v>-1.19</v>
      </c>
      <c r="M5585" s="1" t="s">
        <v>23</v>
      </c>
      <c r="N5585" s="1" t="s">
        <v>230</v>
      </c>
      <c r="O5585" s="1" t="s">
        <v>25</v>
      </c>
      <c r="P5585" s="3" t="s">
        <v>25</v>
      </c>
      <c r="Q5585" s="37">
        <v>0.09</v>
      </c>
      <c r="R5585" s="1" t="s">
        <v>231</v>
      </c>
      <c r="S5585" s="13">
        <f t="shared" si="238"/>
        <v>-1.19</v>
      </c>
    </row>
    <row r="5586" spans="1:19">
      <c r="A5586" s="18" t="s">
        <v>5496</v>
      </c>
      <c r="B5586" s="1" t="s">
        <v>5772</v>
      </c>
      <c r="C5586" s="1" t="s">
        <v>5655</v>
      </c>
      <c r="D5586" s="1" t="s">
        <v>5656</v>
      </c>
      <c r="E5586" s="1" t="s">
        <v>5500</v>
      </c>
      <c r="F5586">
        <f>VLOOKUP(E5586,Legends!$G$2:$I$100,2,FALSE)</f>
        <v>443.1</v>
      </c>
      <c r="G5586">
        <f>VLOOKUP(E5586,Legends!$G$2:$I$100,3,FALSE)</f>
        <v>486.65</v>
      </c>
      <c r="H5586">
        <v>51</v>
      </c>
      <c r="I5586" s="1" t="s">
        <v>1528</v>
      </c>
      <c r="J5586" s="1" t="s">
        <v>5616</v>
      </c>
      <c r="K5586" s="1" t="s">
        <v>25</v>
      </c>
      <c r="L5586">
        <v>-1</v>
      </c>
      <c r="M5586" s="1" t="s">
        <v>23</v>
      </c>
      <c r="N5586" s="1" t="s">
        <v>230</v>
      </c>
      <c r="O5586" s="1" t="s">
        <v>25</v>
      </c>
      <c r="P5586" s="3" t="s">
        <v>25</v>
      </c>
      <c r="Q5586" s="37">
        <v>0.08</v>
      </c>
      <c r="R5586" s="1" t="s">
        <v>231</v>
      </c>
      <c r="S5586" s="13">
        <f t="shared" si="238"/>
        <v>-1</v>
      </c>
    </row>
    <row r="5587" spans="1:19">
      <c r="A5587" s="18" t="s">
        <v>5496</v>
      </c>
      <c r="B5587" s="1" t="s">
        <v>5773</v>
      </c>
      <c r="C5587" s="1" t="s">
        <v>5655</v>
      </c>
      <c r="D5587" s="1" t="s">
        <v>5656</v>
      </c>
      <c r="E5587" s="1" t="s">
        <v>5500</v>
      </c>
      <c r="F5587">
        <f>VLOOKUP(E5587,Legends!$G$2:$I$100,2,FALSE)</f>
        <v>443.1</v>
      </c>
      <c r="G5587">
        <f>VLOOKUP(E5587,Legends!$G$2:$I$100,3,FALSE)</f>
        <v>486.65</v>
      </c>
      <c r="H5587">
        <v>100.3</v>
      </c>
      <c r="I5587" s="1" t="s">
        <v>1528</v>
      </c>
      <c r="J5587" s="1" t="s">
        <v>5616</v>
      </c>
      <c r="K5587" s="1" t="s">
        <v>25</v>
      </c>
      <c r="L5587">
        <v>-1.19</v>
      </c>
      <c r="M5587" s="1" t="s">
        <v>23</v>
      </c>
      <c r="N5587" s="1" t="s">
        <v>230</v>
      </c>
      <c r="O5587" s="1" t="s">
        <v>25</v>
      </c>
      <c r="P5587" s="3" t="s">
        <v>25</v>
      </c>
      <c r="Q5587" s="37">
        <v>0.08</v>
      </c>
      <c r="R5587" s="1" t="s">
        <v>231</v>
      </c>
      <c r="S5587" s="13">
        <f t="shared" si="238"/>
        <v>-1.19</v>
      </c>
    </row>
    <row r="5588" spans="1:19">
      <c r="A5588" s="18" t="s">
        <v>5496</v>
      </c>
      <c r="B5588" s="1" t="s">
        <v>5774</v>
      </c>
      <c r="C5588" s="1" t="s">
        <v>5655</v>
      </c>
      <c r="D5588" s="1" t="s">
        <v>5656</v>
      </c>
      <c r="E5588" s="1" t="s">
        <v>5500</v>
      </c>
      <c r="F5588">
        <f>VLOOKUP(E5588,Legends!$G$2:$I$100,2,FALSE)</f>
        <v>443.1</v>
      </c>
      <c r="G5588">
        <f>VLOOKUP(E5588,Legends!$G$2:$I$100,3,FALSE)</f>
        <v>486.65</v>
      </c>
      <c r="H5588">
        <v>16.5</v>
      </c>
      <c r="I5588" s="1" t="s">
        <v>1528</v>
      </c>
      <c r="J5588" s="1" t="s">
        <v>5616</v>
      </c>
      <c r="K5588" s="1" t="s">
        <v>25</v>
      </c>
      <c r="L5588">
        <v>-1.35</v>
      </c>
      <c r="M5588" s="1" t="s">
        <v>23</v>
      </c>
      <c r="N5588" s="1" t="s">
        <v>230</v>
      </c>
      <c r="O5588" s="1" t="s">
        <v>25</v>
      </c>
      <c r="P5588" s="3" t="s">
        <v>25</v>
      </c>
      <c r="Q5588" s="37">
        <v>7.0000000000000007E-2</v>
      </c>
      <c r="R5588" s="1" t="s">
        <v>231</v>
      </c>
      <c r="S5588" s="13">
        <f t="shared" si="238"/>
        <v>-1.35</v>
      </c>
    </row>
    <row r="5589" spans="1:19">
      <c r="A5589" s="18" t="s">
        <v>5496</v>
      </c>
      <c r="B5589" s="1" t="s">
        <v>5775</v>
      </c>
      <c r="C5589" s="1" t="s">
        <v>5655</v>
      </c>
      <c r="D5589" s="1" t="s">
        <v>5656</v>
      </c>
      <c r="E5589" s="1" t="s">
        <v>5500</v>
      </c>
      <c r="F5589">
        <f>VLOOKUP(E5589,Legends!$G$2:$I$100,2,FALSE)</f>
        <v>443.1</v>
      </c>
      <c r="G5589">
        <f>VLOOKUP(E5589,Legends!$G$2:$I$100,3,FALSE)</f>
        <v>486.65</v>
      </c>
      <c r="H5589">
        <v>53</v>
      </c>
      <c r="I5589" s="1" t="s">
        <v>1528</v>
      </c>
      <c r="J5589" s="1" t="s">
        <v>5616</v>
      </c>
      <c r="K5589" s="1" t="s">
        <v>25</v>
      </c>
      <c r="L5589">
        <v>-1.05</v>
      </c>
      <c r="M5589" s="1" t="s">
        <v>23</v>
      </c>
      <c r="N5589" s="1" t="s">
        <v>230</v>
      </c>
      <c r="O5589" s="1" t="s">
        <v>25</v>
      </c>
      <c r="P5589" s="3" t="s">
        <v>25</v>
      </c>
      <c r="Q5589" s="37">
        <v>7.0000000000000007E-2</v>
      </c>
      <c r="R5589" s="1" t="s">
        <v>231</v>
      </c>
      <c r="S5589" s="13">
        <f t="shared" si="238"/>
        <v>-1.05</v>
      </c>
    </row>
    <row r="5590" spans="1:19">
      <c r="A5590" s="18" t="s">
        <v>5496</v>
      </c>
      <c r="B5590" s="1" t="s">
        <v>5776</v>
      </c>
      <c r="C5590" s="1" t="s">
        <v>5655</v>
      </c>
      <c r="D5590" s="1" t="s">
        <v>5656</v>
      </c>
      <c r="E5590" s="1" t="s">
        <v>5500</v>
      </c>
      <c r="F5590">
        <f>VLOOKUP(E5590,Legends!$G$2:$I$100,2,FALSE)</f>
        <v>443.1</v>
      </c>
      <c r="G5590">
        <f>VLOOKUP(E5590,Legends!$G$2:$I$100,3,FALSE)</f>
        <v>486.65</v>
      </c>
      <c r="H5590">
        <v>33</v>
      </c>
      <c r="I5590" s="1" t="s">
        <v>1528</v>
      </c>
      <c r="J5590" s="1" t="s">
        <v>5616</v>
      </c>
      <c r="K5590" s="1" t="s">
        <v>25</v>
      </c>
      <c r="L5590">
        <v>-1.1399999999999999</v>
      </c>
      <c r="M5590" s="1" t="s">
        <v>23</v>
      </c>
      <c r="N5590" s="1" t="s">
        <v>230</v>
      </c>
      <c r="O5590" s="1" t="s">
        <v>25</v>
      </c>
      <c r="P5590" s="3" t="s">
        <v>25</v>
      </c>
      <c r="Q5590" s="37">
        <v>7.0000000000000007E-2</v>
      </c>
      <c r="R5590" s="1" t="s">
        <v>231</v>
      </c>
      <c r="S5590" s="13">
        <f t="shared" si="238"/>
        <v>-1.1399999999999999</v>
      </c>
    </row>
    <row r="5591" spans="1:19">
      <c r="A5591" s="18" t="s">
        <v>5496</v>
      </c>
      <c r="B5591" s="1" t="s">
        <v>5777</v>
      </c>
      <c r="C5591" s="1" t="s">
        <v>5655</v>
      </c>
      <c r="D5591" s="1" t="s">
        <v>5656</v>
      </c>
      <c r="E5591" s="1" t="s">
        <v>5500</v>
      </c>
      <c r="F5591">
        <f>VLOOKUP(E5591,Legends!$G$2:$I$100,2,FALSE)</f>
        <v>443.1</v>
      </c>
      <c r="G5591">
        <f>VLOOKUP(E5591,Legends!$G$2:$I$100,3,FALSE)</f>
        <v>486.65</v>
      </c>
      <c r="H5591">
        <v>28</v>
      </c>
      <c r="I5591" s="1" t="s">
        <v>1528</v>
      </c>
      <c r="J5591" s="1" t="s">
        <v>5616</v>
      </c>
      <c r="K5591" s="1" t="s">
        <v>25</v>
      </c>
      <c r="L5591">
        <v>-1.01</v>
      </c>
      <c r="M5591" s="1" t="s">
        <v>23</v>
      </c>
      <c r="N5591" s="1" t="s">
        <v>230</v>
      </c>
      <c r="O5591" s="1" t="s">
        <v>25</v>
      </c>
      <c r="P5591" s="3" t="s">
        <v>25</v>
      </c>
      <c r="Q5591" s="37">
        <v>0.06</v>
      </c>
      <c r="R5591" s="1" t="s">
        <v>231</v>
      </c>
      <c r="S5591" s="13">
        <f t="shared" si="238"/>
        <v>-1.01</v>
      </c>
    </row>
    <row r="5592" spans="1:19">
      <c r="A5592" s="18" t="s">
        <v>5496</v>
      </c>
      <c r="B5592" s="1" t="s">
        <v>5778</v>
      </c>
      <c r="C5592" s="1" t="s">
        <v>5655</v>
      </c>
      <c r="D5592" s="1" t="s">
        <v>5656</v>
      </c>
      <c r="E5592" s="1" t="s">
        <v>5500</v>
      </c>
      <c r="F5592">
        <f>VLOOKUP(E5592,Legends!$G$2:$I$100,2,FALSE)</f>
        <v>443.1</v>
      </c>
      <c r="G5592">
        <f>VLOOKUP(E5592,Legends!$G$2:$I$100,3,FALSE)</f>
        <v>486.65</v>
      </c>
      <c r="H5592">
        <v>91</v>
      </c>
      <c r="I5592" s="1" t="s">
        <v>1528</v>
      </c>
      <c r="J5592" s="1" t="s">
        <v>5616</v>
      </c>
      <c r="K5592" s="1" t="s">
        <v>25</v>
      </c>
      <c r="L5592">
        <v>-1.27</v>
      </c>
      <c r="M5592" s="1" t="s">
        <v>23</v>
      </c>
      <c r="N5592" s="1" t="s">
        <v>230</v>
      </c>
      <c r="O5592" s="1" t="s">
        <v>25</v>
      </c>
      <c r="P5592" s="3" t="s">
        <v>25</v>
      </c>
      <c r="Q5592" s="37">
        <v>0.06</v>
      </c>
      <c r="R5592" s="1" t="s">
        <v>231</v>
      </c>
      <c r="S5592" s="13">
        <f t="shared" si="238"/>
        <v>-1.27</v>
      </c>
    </row>
    <row r="5593" spans="1:19">
      <c r="A5593" s="18" t="s">
        <v>5496</v>
      </c>
      <c r="B5593" s="1" t="s">
        <v>5779</v>
      </c>
      <c r="C5593" s="1" t="s">
        <v>5655</v>
      </c>
      <c r="D5593" s="1" t="s">
        <v>5656</v>
      </c>
      <c r="E5593" s="1" t="s">
        <v>5500</v>
      </c>
      <c r="F5593">
        <f>VLOOKUP(E5593,Legends!$G$2:$I$100,2,FALSE)</f>
        <v>443.1</v>
      </c>
      <c r="G5593">
        <f>VLOOKUP(E5593,Legends!$G$2:$I$100,3,FALSE)</f>
        <v>486.65</v>
      </c>
      <c r="H5593">
        <v>70</v>
      </c>
      <c r="I5593" s="1" t="s">
        <v>1528</v>
      </c>
      <c r="J5593" s="1" t="s">
        <v>5616</v>
      </c>
      <c r="K5593" s="1" t="s">
        <v>25</v>
      </c>
      <c r="L5593">
        <v>-1.1000000000000001</v>
      </c>
      <c r="M5593" s="1" t="s">
        <v>23</v>
      </c>
      <c r="N5593" s="1" t="s">
        <v>230</v>
      </c>
      <c r="O5593" s="1" t="s">
        <v>25</v>
      </c>
      <c r="P5593" s="3" t="s">
        <v>25</v>
      </c>
      <c r="Q5593" s="37">
        <v>7.0000000000000007E-2</v>
      </c>
      <c r="R5593" s="1" t="s">
        <v>231</v>
      </c>
      <c r="S5593" s="13">
        <f t="shared" si="238"/>
        <v>-1.1000000000000001</v>
      </c>
    </row>
    <row r="5594" spans="1:19">
      <c r="A5594" s="18" t="s">
        <v>5496</v>
      </c>
      <c r="B5594" s="1" t="s">
        <v>5780</v>
      </c>
      <c r="C5594" s="1" t="s">
        <v>5655</v>
      </c>
      <c r="D5594" s="1" t="s">
        <v>5656</v>
      </c>
      <c r="E5594" s="1" t="s">
        <v>5500</v>
      </c>
      <c r="F5594">
        <f>VLOOKUP(E5594,Legends!$G$2:$I$100,2,FALSE)</f>
        <v>443.1</v>
      </c>
      <c r="G5594">
        <f>VLOOKUP(E5594,Legends!$G$2:$I$100,3,FALSE)</f>
        <v>486.65</v>
      </c>
      <c r="H5594">
        <v>24.1</v>
      </c>
      <c r="I5594" s="1" t="s">
        <v>1528</v>
      </c>
      <c r="J5594" s="1" t="s">
        <v>5616</v>
      </c>
      <c r="K5594" s="1" t="s">
        <v>25</v>
      </c>
      <c r="L5594">
        <v>-1.21</v>
      </c>
      <c r="M5594" s="1" t="s">
        <v>23</v>
      </c>
      <c r="N5594" s="1" t="s">
        <v>230</v>
      </c>
      <c r="O5594" s="1" t="s">
        <v>25</v>
      </c>
      <c r="P5594" s="3" t="s">
        <v>25</v>
      </c>
      <c r="Q5594" s="37">
        <v>0.06</v>
      </c>
      <c r="R5594" s="1" t="s">
        <v>231</v>
      </c>
      <c r="S5594" s="13">
        <f t="shared" si="238"/>
        <v>-1.21</v>
      </c>
    </row>
    <row r="5595" spans="1:19">
      <c r="A5595" s="18" t="s">
        <v>5496</v>
      </c>
      <c r="B5595" s="1" t="s">
        <v>5781</v>
      </c>
      <c r="C5595" s="1" t="s">
        <v>5655</v>
      </c>
      <c r="D5595" s="1" t="s">
        <v>5656</v>
      </c>
      <c r="E5595" s="1" t="s">
        <v>5500</v>
      </c>
      <c r="F5595">
        <f>VLOOKUP(E5595,Legends!$G$2:$I$100,2,FALSE)</f>
        <v>443.1</v>
      </c>
      <c r="G5595">
        <f>VLOOKUP(E5595,Legends!$G$2:$I$100,3,FALSE)</f>
        <v>486.65</v>
      </c>
      <c r="H5595">
        <v>122</v>
      </c>
      <c r="I5595" s="1" t="s">
        <v>1528</v>
      </c>
      <c r="J5595" s="1" t="s">
        <v>5616</v>
      </c>
      <c r="K5595" s="1" t="s">
        <v>25</v>
      </c>
      <c r="L5595">
        <v>-1.1200000000000001</v>
      </c>
      <c r="M5595" s="1" t="s">
        <v>23</v>
      </c>
      <c r="N5595" s="1" t="s">
        <v>230</v>
      </c>
      <c r="O5595" s="1" t="s">
        <v>25</v>
      </c>
      <c r="P5595" s="3" t="s">
        <v>25</v>
      </c>
      <c r="Q5595" s="37">
        <v>0.15</v>
      </c>
      <c r="R5595" s="1" t="s">
        <v>231</v>
      </c>
      <c r="S5595" s="13">
        <f t="shared" si="238"/>
        <v>-1.1200000000000001</v>
      </c>
    </row>
    <row r="5596" spans="1:19">
      <c r="A5596" s="18" t="s">
        <v>5496</v>
      </c>
      <c r="B5596" s="1" t="s">
        <v>5782</v>
      </c>
      <c r="C5596" s="1" t="s">
        <v>5655</v>
      </c>
      <c r="D5596" s="1" t="s">
        <v>5656</v>
      </c>
      <c r="E5596" s="1" t="s">
        <v>5500</v>
      </c>
      <c r="F5596">
        <f>VLOOKUP(E5596,Legends!$G$2:$I$100,2,FALSE)</f>
        <v>443.1</v>
      </c>
      <c r="G5596">
        <f>VLOOKUP(E5596,Legends!$G$2:$I$100,3,FALSE)</f>
        <v>486.65</v>
      </c>
      <c r="H5596">
        <v>83</v>
      </c>
      <c r="I5596" s="1" t="s">
        <v>1528</v>
      </c>
      <c r="J5596" s="1" t="s">
        <v>5616</v>
      </c>
      <c r="K5596" s="1" t="s">
        <v>25</v>
      </c>
      <c r="L5596">
        <v>-1.07</v>
      </c>
      <c r="M5596" s="1" t="s">
        <v>23</v>
      </c>
      <c r="N5596" s="1" t="s">
        <v>230</v>
      </c>
      <c r="O5596" s="1" t="s">
        <v>25</v>
      </c>
      <c r="P5596" s="3" t="s">
        <v>25</v>
      </c>
      <c r="Q5596" s="37">
        <v>0.06</v>
      </c>
      <c r="R5596" s="1" t="s">
        <v>231</v>
      </c>
      <c r="S5596" s="13">
        <f t="shared" si="238"/>
        <v>-1.07</v>
      </c>
    </row>
    <row r="5597" spans="1:19">
      <c r="A5597" s="18" t="s">
        <v>5496</v>
      </c>
      <c r="B5597" s="1" t="s">
        <v>5783</v>
      </c>
      <c r="C5597" s="1" t="s">
        <v>5655</v>
      </c>
      <c r="D5597" s="1" t="s">
        <v>5656</v>
      </c>
      <c r="E5597" s="1" t="s">
        <v>5500</v>
      </c>
      <c r="F5597">
        <f>VLOOKUP(E5597,Legends!$G$2:$I$100,2,FALSE)</f>
        <v>443.1</v>
      </c>
      <c r="G5597">
        <f>VLOOKUP(E5597,Legends!$G$2:$I$100,3,FALSE)</f>
        <v>486.65</v>
      </c>
      <c r="H5597">
        <v>120</v>
      </c>
      <c r="I5597" s="1" t="s">
        <v>1528</v>
      </c>
      <c r="J5597" s="1" t="s">
        <v>5616</v>
      </c>
      <c r="K5597" s="1" t="s">
        <v>25</v>
      </c>
      <c r="L5597">
        <v>-1.06</v>
      </c>
      <c r="M5597" s="1" t="s">
        <v>23</v>
      </c>
      <c r="N5597" s="1" t="s">
        <v>230</v>
      </c>
      <c r="O5597" s="1" t="s">
        <v>25</v>
      </c>
      <c r="P5597" s="3" t="s">
        <v>25</v>
      </c>
      <c r="Q5597" s="37">
        <v>0.09</v>
      </c>
      <c r="R5597" s="1" t="s">
        <v>231</v>
      </c>
      <c r="S5597" s="13">
        <f t="shared" si="238"/>
        <v>-1.06</v>
      </c>
    </row>
    <row r="5598" spans="1:19">
      <c r="A5598" s="18" t="s">
        <v>5496</v>
      </c>
      <c r="B5598" s="1" t="s">
        <v>5784</v>
      </c>
      <c r="C5598" s="1" t="s">
        <v>5655</v>
      </c>
      <c r="D5598" s="1" t="s">
        <v>5656</v>
      </c>
      <c r="E5598" s="1" t="s">
        <v>5500</v>
      </c>
      <c r="F5598">
        <f>VLOOKUP(E5598,Legends!$G$2:$I$100,2,FALSE)</f>
        <v>443.1</v>
      </c>
      <c r="G5598">
        <f>VLOOKUP(E5598,Legends!$G$2:$I$100,3,FALSE)</f>
        <v>486.65</v>
      </c>
      <c r="H5598">
        <v>87</v>
      </c>
      <c r="I5598" s="1" t="s">
        <v>1528</v>
      </c>
      <c r="J5598" s="1" t="s">
        <v>5616</v>
      </c>
      <c r="K5598" s="1" t="s">
        <v>25</v>
      </c>
      <c r="L5598">
        <v>-1.1100000000000001</v>
      </c>
      <c r="M5598" s="1" t="s">
        <v>23</v>
      </c>
      <c r="N5598" s="1" t="s">
        <v>230</v>
      </c>
      <c r="O5598" s="1" t="s">
        <v>25</v>
      </c>
      <c r="P5598" s="3" t="s">
        <v>25</v>
      </c>
      <c r="Q5598" s="37">
        <v>0.05</v>
      </c>
      <c r="R5598" s="1" t="s">
        <v>231</v>
      </c>
      <c r="S5598" s="13">
        <f t="shared" si="238"/>
        <v>-1.1100000000000001</v>
      </c>
    </row>
    <row r="5599" spans="1:19">
      <c r="A5599" s="18" t="s">
        <v>5496</v>
      </c>
      <c r="B5599" s="1" t="s">
        <v>5785</v>
      </c>
      <c r="C5599" s="1" t="s">
        <v>5655</v>
      </c>
      <c r="D5599" s="1" t="s">
        <v>5656</v>
      </c>
      <c r="E5599" s="1" t="s">
        <v>5500</v>
      </c>
      <c r="F5599">
        <f>VLOOKUP(E5599,Legends!$G$2:$I$100,2,FALSE)</f>
        <v>443.1</v>
      </c>
      <c r="G5599">
        <f>VLOOKUP(E5599,Legends!$G$2:$I$100,3,FALSE)</f>
        <v>486.65</v>
      </c>
      <c r="H5599">
        <v>98.1</v>
      </c>
      <c r="I5599" s="1" t="s">
        <v>1528</v>
      </c>
      <c r="J5599" s="1" t="s">
        <v>5616</v>
      </c>
      <c r="K5599" s="1" t="s">
        <v>25</v>
      </c>
      <c r="L5599">
        <v>-1.28</v>
      </c>
      <c r="M5599" s="1" t="s">
        <v>23</v>
      </c>
      <c r="N5599" s="1" t="s">
        <v>230</v>
      </c>
      <c r="O5599" s="1" t="s">
        <v>25</v>
      </c>
      <c r="P5599" s="3" t="s">
        <v>25</v>
      </c>
      <c r="Q5599" s="37">
        <v>0.1</v>
      </c>
      <c r="R5599" s="1" t="s">
        <v>231</v>
      </c>
      <c r="S5599" s="13">
        <f t="shared" si="238"/>
        <v>-1.28</v>
      </c>
    </row>
    <row r="5600" spans="1:19">
      <c r="A5600" s="18" t="s">
        <v>5496</v>
      </c>
      <c r="B5600" s="1" t="s">
        <v>5786</v>
      </c>
      <c r="C5600" s="1" t="s">
        <v>5655</v>
      </c>
      <c r="D5600" s="1" t="s">
        <v>5656</v>
      </c>
      <c r="E5600" s="1" t="s">
        <v>5500</v>
      </c>
      <c r="F5600">
        <f>VLOOKUP(E5600,Legends!$G$2:$I$100,2,FALSE)</f>
        <v>443.1</v>
      </c>
      <c r="G5600">
        <f>VLOOKUP(E5600,Legends!$G$2:$I$100,3,FALSE)</f>
        <v>486.65</v>
      </c>
      <c r="H5600">
        <v>77.3</v>
      </c>
      <c r="I5600" s="1" t="s">
        <v>1528</v>
      </c>
      <c r="J5600" s="1" t="s">
        <v>5616</v>
      </c>
      <c r="K5600" s="1" t="s">
        <v>25</v>
      </c>
      <c r="L5600">
        <v>-1.1200000000000001</v>
      </c>
      <c r="M5600" s="1" t="s">
        <v>23</v>
      </c>
      <c r="N5600" s="1" t="s">
        <v>230</v>
      </c>
      <c r="O5600" s="1" t="s">
        <v>25</v>
      </c>
      <c r="P5600" s="3" t="s">
        <v>25</v>
      </c>
      <c r="Q5600" s="37">
        <v>0.05</v>
      </c>
      <c r="R5600" s="1" t="s">
        <v>231</v>
      </c>
      <c r="S5600" s="13">
        <f t="shared" si="238"/>
        <v>-1.1200000000000001</v>
      </c>
    </row>
    <row r="5601" spans="1:19">
      <c r="A5601" s="18" t="s">
        <v>5496</v>
      </c>
      <c r="B5601" s="1" t="s">
        <v>5787</v>
      </c>
      <c r="C5601" s="1" t="s">
        <v>5655</v>
      </c>
      <c r="D5601" s="1" t="s">
        <v>5656</v>
      </c>
      <c r="E5601" s="1" t="s">
        <v>5500</v>
      </c>
      <c r="F5601">
        <f>VLOOKUP(E5601,Legends!$G$2:$I$100,2,FALSE)</f>
        <v>443.1</v>
      </c>
      <c r="G5601">
        <f>VLOOKUP(E5601,Legends!$G$2:$I$100,3,FALSE)</f>
        <v>486.65</v>
      </c>
      <c r="H5601">
        <v>89</v>
      </c>
      <c r="I5601" s="1" t="s">
        <v>1528</v>
      </c>
      <c r="J5601" s="1" t="s">
        <v>5616</v>
      </c>
      <c r="K5601" s="1" t="s">
        <v>25</v>
      </c>
      <c r="L5601">
        <v>-1.22</v>
      </c>
      <c r="M5601" s="1" t="s">
        <v>23</v>
      </c>
      <c r="N5601" s="1" t="s">
        <v>230</v>
      </c>
      <c r="O5601" s="1" t="s">
        <v>25</v>
      </c>
      <c r="P5601" s="3" t="s">
        <v>25</v>
      </c>
      <c r="Q5601" s="37">
        <v>0.06</v>
      </c>
      <c r="R5601" s="1" t="s">
        <v>231</v>
      </c>
      <c r="S5601" s="13">
        <f t="shared" si="238"/>
        <v>-1.22</v>
      </c>
    </row>
    <row r="5602" spans="1:19">
      <c r="A5602" s="18" t="s">
        <v>5496</v>
      </c>
      <c r="B5602" s="1" t="s">
        <v>5788</v>
      </c>
      <c r="C5602" s="1" t="s">
        <v>5655</v>
      </c>
      <c r="D5602" s="1" t="s">
        <v>5656</v>
      </c>
      <c r="E5602" s="1" t="s">
        <v>5500</v>
      </c>
      <c r="F5602">
        <f>VLOOKUP(E5602,Legends!$G$2:$I$100,2,FALSE)</f>
        <v>443.1</v>
      </c>
      <c r="G5602">
        <f>VLOOKUP(E5602,Legends!$G$2:$I$100,3,FALSE)</f>
        <v>486.65</v>
      </c>
      <c r="H5602">
        <v>93.2</v>
      </c>
      <c r="I5602" s="1" t="s">
        <v>1528</v>
      </c>
      <c r="J5602" s="1" t="s">
        <v>5616</v>
      </c>
      <c r="K5602" s="1" t="s">
        <v>25</v>
      </c>
      <c r="L5602">
        <v>-1.26</v>
      </c>
      <c r="M5602" s="1" t="s">
        <v>23</v>
      </c>
      <c r="N5602" s="1" t="s">
        <v>230</v>
      </c>
      <c r="O5602" s="1" t="s">
        <v>25</v>
      </c>
      <c r="P5602" s="3" t="s">
        <v>25</v>
      </c>
      <c r="Q5602" s="37">
        <v>0.06</v>
      </c>
      <c r="R5602" s="1" t="s">
        <v>231</v>
      </c>
      <c r="S5602" s="13">
        <f t="shared" si="238"/>
        <v>-1.26</v>
      </c>
    </row>
    <row r="5603" spans="1:19">
      <c r="A5603" s="18" t="s">
        <v>5496</v>
      </c>
      <c r="B5603" s="1" t="s">
        <v>5789</v>
      </c>
      <c r="C5603" s="1" t="s">
        <v>5655</v>
      </c>
      <c r="D5603" s="1" t="s">
        <v>5656</v>
      </c>
      <c r="E5603" s="1" t="s">
        <v>5500</v>
      </c>
      <c r="F5603">
        <f>VLOOKUP(E5603,Legends!$G$2:$I$100,2,FALSE)</f>
        <v>443.1</v>
      </c>
      <c r="G5603">
        <f>VLOOKUP(E5603,Legends!$G$2:$I$100,3,FALSE)</f>
        <v>486.65</v>
      </c>
      <c r="H5603">
        <v>96.1</v>
      </c>
      <c r="I5603" s="1" t="s">
        <v>1528</v>
      </c>
      <c r="J5603" s="1" t="s">
        <v>5616</v>
      </c>
      <c r="K5603" s="1" t="s">
        <v>25</v>
      </c>
      <c r="L5603">
        <v>-1.21</v>
      </c>
      <c r="M5603" s="1" t="s">
        <v>23</v>
      </c>
      <c r="N5603" s="1" t="s">
        <v>230</v>
      </c>
      <c r="O5603" s="1" t="s">
        <v>25</v>
      </c>
      <c r="P5603" s="3" t="s">
        <v>25</v>
      </c>
      <c r="Q5603" s="37">
        <v>0.09</v>
      </c>
      <c r="R5603" s="1" t="s">
        <v>231</v>
      </c>
      <c r="S5603" s="13">
        <f t="shared" si="238"/>
        <v>-1.21</v>
      </c>
    </row>
    <row r="5604" spans="1:19">
      <c r="A5604" s="18" t="s">
        <v>5496</v>
      </c>
      <c r="B5604" s="1" t="s">
        <v>5790</v>
      </c>
      <c r="C5604" s="1" t="s">
        <v>5655</v>
      </c>
      <c r="D5604" s="1" t="s">
        <v>5656</v>
      </c>
      <c r="E5604" s="1" t="s">
        <v>5500</v>
      </c>
      <c r="F5604">
        <f>VLOOKUP(E5604,Legends!$G$2:$I$100,2,FALSE)</f>
        <v>443.1</v>
      </c>
      <c r="G5604">
        <f>VLOOKUP(E5604,Legends!$G$2:$I$100,3,FALSE)</f>
        <v>486.65</v>
      </c>
      <c r="H5604">
        <v>63</v>
      </c>
      <c r="I5604" s="1" t="s">
        <v>1528</v>
      </c>
      <c r="J5604" s="1" t="s">
        <v>5616</v>
      </c>
      <c r="K5604" s="1" t="s">
        <v>25</v>
      </c>
      <c r="L5604">
        <v>-0.98</v>
      </c>
      <c r="M5604" s="1" t="s">
        <v>23</v>
      </c>
      <c r="N5604" s="1" t="s">
        <v>230</v>
      </c>
      <c r="O5604" s="1" t="s">
        <v>25</v>
      </c>
      <c r="P5604" s="3" t="s">
        <v>25</v>
      </c>
      <c r="Q5604" s="37">
        <v>0.06</v>
      </c>
      <c r="R5604" s="1" t="s">
        <v>231</v>
      </c>
      <c r="S5604" s="13">
        <f t="shared" si="238"/>
        <v>-0.98</v>
      </c>
    </row>
    <row r="5605" spans="1:19">
      <c r="A5605" s="18" t="s">
        <v>5496</v>
      </c>
      <c r="B5605" s="1" t="s">
        <v>5791</v>
      </c>
      <c r="C5605" s="1" t="s">
        <v>5655</v>
      </c>
      <c r="D5605" s="1" t="s">
        <v>5656</v>
      </c>
      <c r="E5605" s="1" t="s">
        <v>5500</v>
      </c>
      <c r="F5605">
        <f>VLOOKUP(E5605,Legends!$G$2:$I$100,2,FALSE)</f>
        <v>443.1</v>
      </c>
      <c r="G5605">
        <f>VLOOKUP(E5605,Legends!$G$2:$I$100,3,FALSE)</f>
        <v>486.65</v>
      </c>
      <c r="H5605">
        <v>84.9</v>
      </c>
      <c r="I5605" s="1" t="s">
        <v>1528</v>
      </c>
      <c r="J5605" s="1" t="s">
        <v>5616</v>
      </c>
      <c r="K5605" s="1" t="s">
        <v>25</v>
      </c>
      <c r="L5605">
        <v>-1.0900000000000001</v>
      </c>
      <c r="M5605" s="1" t="s">
        <v>23</v>
      </c>
      <c r="N5605" s="1" t="s">
        <v>230</v>
      </c>
      <c r="O5605" s="1" t="s">
        <v>25</v>
      </c>
      <c r="P5605" s="3" t="s">
        <v>25</v>
      </c>
      <c r="Q5605" s="37">
        <v>0.06</v>
      </c>
      <c r="R5605" s="1" t="s">
        <v>231</v>
      </c>
      <c r="S5605" s="13">
        <f t="shared" si="238"/>
        <v>-1.0900000000000001</v>
      </c>
    </row>
    <row r="5606" spans="1:19">
      <c r="A5606" s="18" t="s">
        <v>5496</v>
      </c>
      <c r="B5606" s="1" t="s">
        <v>5792</v>
      </c>
      <c r="C5606" s="1" t="s">
        <v>5655</v>
      </c>
      <c r="D5606" s="1" t="s">
        <v>5656</v>
      </c>
      <c r="E5606" s="1" t="s">
        <v>5500</v>
      </c>
      <c r="F5606">
        <f>VLOOKUP(E5606,Legends!$G$2:$I$100,2,FALSE)</f>
        <v>443.1</v>
      </c>
      <c r="G5606">
        <f>VLOOKUP(E5606,Legends!$G$2:$I$100,3,FALSE)</f>
        <v>486.65</v>
      </c>
      <c r="H5606">
        <v>19.899999999999999</v>
      </c>
      <c r="I5606" s="1" t="s">
        <v>1528</v>
      </c>
      <c r="J5606" s="1" t="s">
        <v>5616</v>
      </c>
      <c r="K5606" s="1" t="s">
        <v>25</v>
      </c>
      <c r="L5606">
        <v>-1.01</v>
      </c>
      <c r="M5606" s="1" t="s">
        <v>23</v>
      </c>
      <c r="N5606" s="1" t="s">
        <v>230</v>
      </c>
      <c r="O5606" s="1" t="s">
        <v>25</v>
      </c>
      <c r="P5606" s="3" t="s">
        <v>25</v>
      </c>
      <c r="Q5606" s="37">
        <v>7.0000000000000007E-2</v>
      </c>
      <c r="R5606" s="1" t="s">
        <v>231</v>
      </c>
      <c r="S5606" s="13">
        <f t="shared" si="238"/>
        <v>-1.01</v>
      </c>
    </row>
    <row r="5607" spans="1:19">
      <c r="A5607" s="18" t="s">
        <v>5496</v>
      </c>
      <c r="B5607" s="1" t="s">
        <v>5793</v>
      </c>
      <c r="C5607" s="1" t="s">
        <v>5655</v>
      </c>
      <c r="D5607" s="1" t="s">
        <v>5656</v>
      </c>
      <c r="E5607" s="1" t="s">
        <v>5500</v>
      </c>
      <c r="F5607">
        <f>VLOOKUP(E5607,Legends!$G$2:$I$100,2,FALSE)</f>
        <v>443.1</v>
      </c>
      <c r="G5607">
        <f>VLOOKUP(E5607,Legends!$G$2:$I$100,3,FALSE)</f>
        <v>486.65</v>
      </c>
      <c r="H5607">
        <v>147.9</v>
      </c>
      <c r="I5607" s="1" t="s">
        <v>1528</v>
      </c>
      <c r="J5607" s="1" t="s">
        <v>5616</v>
      </c>
      <c r="K5607" s="1" t="s">
        <v>25</v>
      </c>
      <c r="L5607">
        <v>-1.42</v>
      </c>
      <c r="M5607" s="1" t="s">
        <v>23</v>
      </c>
      <c r="N5607" s="1" t="s">
        <v>230</v>
      </c>
      <c r="O5607" s="1" t="s">
        <v>25</v>
      </c>
      <c r="P5607" s="3" t="s">
        <v>25</v>
      </c>
      <c r="Q5607" s="37">
        <v>0.14000000000000001</v>
      </c>
      <c r="R5607" s="1" t="s">
        <v>231</v>
      </c>
      <c r="S5607" s="13">
        <f t="shared" si="238"/>
        <v>-1.42</v>
      </c>
    </row>
    <row r="5608" spans="1:19">
      <c r="A5608" s="18" t="s">
        <v>5496</v>
      </c>
      <c r="B5608" s="1" t="s">
        <v>5794</v>
      </c>
      <c r="C5608" s="1" t="s">
        <v>5655</v>
      </c>
      <c r="D5608" s="1" t="s">
        <v>5656</v>
      </c>
      <c r="E5608" s="1" t="s">
        <v>5500</v>
      </c>
      <c r="F5608">
        <f>VLOOKUP(E5608,Legends!$G$2:$I$100,2,FALSE)</f>
        <v>443.1</v>
      </c>
      <c r="G5608">
        <f>VLOOKUP(E5608,Legends!$G$2:$I$100,3,FALSE)</f>
        <v>486.65</v>
      </c>
      <c r="H5608">
        <v>132</v>
      </c>
      <c r="I5608" s="1" t="s">
        <v>1528</v>
      </c>
      <c r="J5608" s="1" t="s">
        <v>5616</v>
      </c>
      <c r="K5608" s="1" t="s">
        <v>25</v>
      </c>
      <c r="L5608">
        <v>-1.19</v>
      </c>
      <c r="M5608" s="1" t="s">
        <v>23</v>
      </c>
      <c r="N5608" s="1" t="s">
        <v>230</v>
      </c>
      <c r="O5608" s="1" t="s">
        <v>25</v>
      </c>
      <c r="P5608" s="3" t="s">
        <v>25</v>
      </c>
      <c r="Q5608" s="37">
        <v>0.17</v>
      </c>
      <c r="R5608" s="1" t="s">
        <v>231</v>
      </c>
      <c r="S5608" s="13">
        <f t="shared" si="238"/>
        <v>-1.19</v>
      </c>
    </row>
    <row r="5609" spans="1:19">
      <c r="A5609" s="18" t="s">
        <v>5496</v>
      </c>
      <c r="B5609" s="1" t="s">
        <v>5795</v>
      </c>
      <c r="C5609" s="1" t="s">
        <v>5655</v>
      </c>
      <c r="D5609" s="1" t="s">
        <v>5656</v>
      </c>
      <c r="E5609" s="1" t="s">
        <v>5500</v>
      </c>
      <c r="F5609">
        <f>VLOOKUP(E5609,Legends!$G$2:$I$100,2,FALSE)</f>
        <v>443.1</v>
      </c>
      <c r="G5609">
        <f>VLOOKUP(E5609,Legends!$G$2:$I$100,3,FALSE)</f>
        <v>486.65</v>
      </c>
      <c r="H5609">
        <v>144</v>
      </c>
      <c r="I5609" s="1" t="s">
        <v>1528</v>
      </c>
      <c r="J5609" s="1" t="s">
        <v>5616</v>
      </c>
      <c r="K5609" s="1" t="s">
        <v>25</v>
      </c>
      <c r="L5609">
        <v>-1.1299999999999999</v>
      </c>
      <c r="M5609" s="1" t="s">
        <v>23</v>
      </c>
      <c r="N5609" s="1" t="s">
        <v>230</v>
      </c>
      <c r="O5609" s="1" t="s">
        <v>25</v>
      </c>
      <c r="P5609" s="3" t="s">
        <v>25</v>
      </c>
      <c r="Q5609" s="37">
        <v>0.18</v>
      </c>
      <c r="R5609" s="1" t="s">
        <v>231</v>
      </c>
      <c r="S5609" s="13">
        <f t="shared" si="238"/>
        <v>-1.1299999999999999</v>
      </c>
    </row>
    <row r="5610" spans="1:19">
      <c r="A5610" s="18" t="s">
        <v>5496</v>
      </c>
      <c r="B5610" s="1" t="s">
        <v>5796</v>
      </c>
      <c r="C5610" s="1" t="s">
        <v>5655</v>
      </c>
      <c r="D5610" s="1" t="s">
        <v>5656</v>
      </c>
      <c r="E5610" s="1" t="s">
        <v>5500</v>
      </c>
      <c r="F5610">
        <f>VLOOKUP(E5610,Legends!$G$2:$I$100,2,FALSE)</f>
        <v>443.1</v>
      </c>
      <c r="G5610">
        <f>VLOOKUP(E5610,Legends!$G$2:$I$100,3,FALSE)</f>
        <v>486.65</v>
      </c>
      <c r="H5610">
        <v>124</v>
      </c>
      <c r="I5610" s="1" t="s">
        <v>1528</v>
      </c>
      <c r="J5610" s="1" t="s">
        <v>5616</v>
      </c>
      <c r="K5610" s="1" t="s">
        <v>25</v>
      </c>
      <c r="L5610">
        <v>-1.1399999999999999</v>
      </c>
      <c r="M5610" s="1" t="s">
        <v>23</v>
      </c>
      <c r="N5610" s="1" t="s">
        <v>230</v>
      </c>
      <c r="O5610" s="1" t="s">
        <v>25</v>
      </c>
      <c r="P5610" s="3" t="s">
        <v>25</v>
      </c>
      <c r="Q5610" s="37">
        <v>0.14000000000000001</v>
      </c>
      <c r="R5610" s="1" t="s">
        <v>231</v>
      </c>
      <c r="S5610" s="13">
        <f t="shared" si="238"/>
        <v>-1.1399999999999999</v>
      </c>
    </row>
    <row r="5611" spans="1:19">
      <c r="A5611" s="18" t="s">
        <v>5496</v>
      </c>
      <c r="B5611" s="1" t="s">
        <v>5797</v>
      </c>
      <c r="C5611" s="1" t="s">
        <v>5655</v>
      </c>
      <c r="D5611" s="1" t="s">
        <v>5656</v>
      </c>
      <c r="E5611" s="1" t="s">
        <v>5500</v>
      </c>
      <c r="F5611">
        <f>VLOOKUP(E5611,Legends!$G$2:$I$100,2,FALSE)</f>
        <v>443.1</v>
      </c>
      <c r="G5611">
        <f>VLOOKUP(E5611,Legends!$G$2:$I$100,3,FALSE)</f>
        <v>486.65</v>
      </c>
      <c r="H5611">
        <v>128</v>
      </c>
      <c r="I5611" s="1" t="s">
        <v>1528</v>
      </c>
      <c r="J5611" s="1" t="s">
        <v>5616</v>
      </c>
      <c r="K5611" s="1" t="s">
        <v>25</v>
      </c>
      <c r="L5611">
        <v>-1.07</v>
      </c>
      <c r="M5611" s="1" t="s">
        <v>23</v>
      </c>
      <c r="N5611" s="1" t="s">
        <v>230</v>
      </c>
      <c r="O5611" s="1" t="s">
        <v>25</v>
      </c>
      <c r="P5611" s="3" t="s">
        <v>25</v>
      </c>
      <c r="Q5611" s="37">
        <v>0.16</v>
      </c>
      <c r="R5611" s="1" t="s">
        <v>231</v>
      </c>
      <c r="S5611" s="13">
        <f t="shared" si="238"/>
        <v>-1.07</v>
      </c>
    </row>
    <row r="5612" spans="1:19">
      <c r="A5612" s="18" t="s">
        <v>5496</v>
      </c>
      <c r="B5612" s="1" t="s">
        <v>5798</v>
      </c>
      <c r="C5612" s="1" t="s">
        <v>5655</v>
      </c>
      <c r="D5612" s="1" t="s">
        <v>5656</v>
      </c>
      <c r="E5612" s="1" t="s">
        <v>5500</v>
      </c>
      <c r="F5612">
        <f>VLOOKUP(E5612,Legends!$G$2:$I$100,2,FALSE)</f>
        <v>443.1</v>
      </c>
      <c r="G5612">
        <f>VLOOKUP(E5612,Legends!$G$2:$I$100,3,FALSE)</f>
        <v>486.65</v>
      </c>
      <c r="H5612">
        <v>150</v>
      </c>
      <c r="I5612" s="1" t="s">
        <v>1528</v>
      </c>
      <c r="J5612" s="1" t="s">
        <v>5616</v>
      </c>
      <c r="K5612" s="1" t="s">
        <v>25</v>
      </c>
      <c r="L5612">
        <v>-1.1499999999999999</v>
      </c>
      <c r="M5612" s="1" t="s">
        <v>23</v>
      </c>
      <c r="N5612" s="1" t="s">
        <v>230</v>
      </c>
      <c r="O5612" s="1" t="s">
        <v>25</v>
      </c>
      <c r="P5612" s="3" t="s">
        <v>25</v>
      </c>
      <c r="Q5612" s="37">
        <v>0.08</v>
      </c>
      <c r="R5612" s="1" t="s">
        <v>231</v>
      </c>
      <c r="S5612" s="13">
        <f t="shared" si="238"/>
        <v>-1.1499999999999999</v>
      </c>
    </row>
    <row r="5613" spans="1:19">
      <c r="A5613" s="18" t="s">
        <v>5496</v>
      </c>
      <c r="B5613" s="1" t="s">
        <v>5799</v>
      </c>
      <c r="C5613" s="1" t="s">
        <v>5655</v>
      </c>
      <c r="D5613" s="1" t="s">
        <v>5656</v>
      </c>
      <c r="E5613" s="1" t="s">
        <v>5500</v>
      </c>
      <c r="F5613">
        <f>VLOOKUP(E5613,Legends!$G$2:$I$100,2,FALSE)</f>
        <v>443.1</v>
      </c>
      <c r="G5613">
        <f>VLOOKUP(E5613,Legends!$G$2:$I$100,3,FALSE)</f>
        <v>486.65</v>
      </c>
      <c r="H5613">
        <v>61.5</v>
      </c>
      <c r="I5613" s="1" t="s">
        <v>1528</v>
      </c>
      <c r="J5613" s="1" t="s">
        <v>5616</v>
      </c>
      <c r="K5613" s="1" t="s">
        <v>25</v>
      </c>
      <c r="L5613">
        <v>-1.07</v>
      </c>
      <c r="M5613" s="1" t="s">
        <v>23</v>
      </c>
      <c r="N5613" s="1" t="s">
        <v>230</v>
      </c>
      <c r="O5613" s="1" t="s">
        <v>25</v>
      </c>
      <c r="P5613" s="3" t="s">
        <v>25</v>
      </c>
      <c r="Q5613" s="37">
        <v>7.0000000000000007E-2</v>
      </c>
      <c r="R5613" s="1" t="s">
        <v>231</v>
      </c>
      <c r="S5613" s="13">
        <f t="shared" si="238"/>
        <v>-1.07</v>
      </c>
    </row>
    <row r="5614" spans="1:19">
      <c r="A5614" s="18" t="s">
        <v>5496</v>
      </c>
      <c r="B5614" s="1" t="s">
        <v>5800</v>
      </c>
      <c r="C5614" s="1" t="s">
        <v>5655</v>
      </c>
      <c r="D5614" s="1" t="s">
        <v>5656</v>
      </c>
      <c r="E5614" s="1" t="s">
        <v>5500</v>
      </c>
      <c r="F5614">
        <f>VLOOKUP(E5614,Legends!$G$2:$I$100,2,FALSE)</f>
        <v>443.1</v>
      </c>
      <c r="G5614">
        <f>VLOOKUP(E5614,Legends!$G$2:$I$100,3,FALSE)</f>
        <v>486.65</v>
      </c>
      <c r="H5614">
        <v>140</v>
      </c>
      <c r="I5614" s="1" t="s">
        <v>1528</v>
      </c>
      <c r="J5614" s="1" t="s">
        <v>5616</v>
      </c>
      <c r="K5614" s="1" t="s">
        <v>25</v>
      </c>
      <c r="L5614">
        <v>-1.19</v>
      </c>
      <c r="M5614" s="1" t="s">
        <v>23</v>
      </c>
      <c r="N5614" s="1" t="s">
        <v>230</v>
      </c>
      <c r="O5614" s="1" t="s">
        <v>25</v>
      </c>
      <c r="P5614" s="3" t="s">
        <v>25</v>
      </c>
      <c r="Q5614" s="37">
        <v>0.11</v>
      </c>
      <c r="R5614" s="1" t="s">
        <v>231</v>
      </c>
      <c r="S5614" s="13">
        <f t="shared" si="238"/>
        <v>-1.19</v>
      </c>
    </row>
    <row r="5615" spans="1:19">
      <c r="A5615" s="18" t="s">
        <v>5496</v>
      </c>
      <c r="B5615" s="1" t="s">
        <v>5801</v>
      </c>
      <c r="C5615" s="1" t="s">
        <v>5655</v>
      </c>
      <c r="D5615" s="1" t="s">
        <v>5656</v>
      </c>
      <c r="E5615" s="1" t="s">
        <v>5500</v>
      </c>
      <c r="F5615">
        <f>VLOOKUP(E5615,Legends!$G$2:$I$100,2,FALSE)</f>
        <v>443.1</v>
      </c>
      <c r="G5615">
        <f>VLOOKUP(E5615,Legends!$G$2:$I$100,3,FALSE)</f>
        <v>486.65</v>
      </c>
      <c r="H5615">
        <v>145.69999999999999</v>
      </c>
      <c r="I5615" s="1" t="s">
        <v>1528</v>
      </c>
      <c r="J5615" s="1" t="s">
        <v>5616</v>
      </c>
      <c r="K5615" s="1" t="s">
        <v>25</v>
      </c>
      <c r="L5615">
        <v>-1.1399999999999999</v>
      </c>
      <c r="M5615" s="1" t="s">
        <v>23</v>
      </c>
      <c r="N5615" s="1" t="s">
        <v>230</v>
      </c>
      <c r="O5615" s="1" t="s">
        <v>25</v>
      </c>
      <c r="P5615" s="3" t="s">
        <v>25</v>
      </c>
      <c r="Q5615" s="37">
        <v>0.11</v>
      </c>
      <c r="R5615" s="1" t="s">
        <v>231</v>
      </c>
      <c r="S5615" s="13">
        <f t="shared" si="238"/>
        <v>-1.1399999999999999</v>
      </c>
    </row>
    <row r="5616" spans="1:19">
      <c r="A5616" s="18" t="s">
        <v>5496</v>
      </c>
      <c r="B5616" s="1" t="s">
        <v>5802</v>
      </c>
      <c r="C5616" s="1" t="s">
        <v>5655</v>
      </c>
      <c r="D5616" s="1" t="s">
        <v>5656</v>
      </c>
      <c r="E5616" s="1" t="s">
        <v>5500</v>
      </c>
      <c r="F5616">
        <f>VLOOKUP(E5616,Legends!$G$2:$I$100,2,FALSE)</f>
        <v>443.1</v>
      </c>
      <c r="G5616">
        <f>VLOOKUP(E5616,Legends!$G$2:$I$100,3,FALSE)</f>
        <v>486.65</v>
      </c>
      <c r="H5616">
        <v>22</v>
      </c>
      <c r="I5616" s="1" t="s">
        <v>1528</v>
      </c>
      <c r="J5616" s="1" t="s">
        <v>5616</v>
      </c>
      <c r="K5616" s="1" t="s">
        <v>25</v>
      </c>
      <c r="L5616">
        <v>-0.75</v>
      </c>
      <c r="M5616" s="1" t="s">
        <v>23</v>
      </c>
      <c r="N5616" s="1" t="s">
        <v>230</v>
      </c>
      <c r="O5616" s="1" t="s">
        <v>25</v>
      </c>
      <c r="P5616" s="3" t="s">
        <v>25</v>
      </c>
      <c r="Q5616" s="37" t="s">
        <v>25</v>
      </c>
      <c r="R5616" s="37" t="s">
        <v>25</v>
      </c>
      <c r="S5616" s="13">
        <f t="shared" si="238"/>
        <v>-0.75</v>
      </c>
    </row>
    <row r="5617" spans="1:19">
      <c r="A5617" s="18" t="s">
        <v>5496</v>
      </c>
      <c r="B5617" s="1" t="s">
        <v>5803</v>
      </c>
      <c r="C5617" s="1" t="s">
        <v>5655</v>
      </c>
      <c r="D5617" s="1" t="s">
        <v>5656</v>
      </c>
      <c r="E5617" s="1" t="s">
        <v>5500</v>
      </c>
      <c r="F5617">
        <f>VLOOKUP(E5617,Legends!$G$2:$I$100,2,FALSE)</f>
        <v>443.1</v>
      </c>
      <c r="G5617">
        <f>VLOOKUP(E5617,Legends!$G$2:$I$100,3,FALSE)</f>
        <v>486.65</v>
      </c>
      <c r="H5617">
        <v>40.1</v>
      </c>
      <c r="I5617" s="1" t="s">
        <v>1528</v>
      </c>
      <c r="J5617" s="1" t="s">
        <v>5501</v>
      </c>
      <c r="K5617" s="1" t="s">
        <v>25</v>
      </c>
      <c r="L5617">
        <v>-1.21</v>
      </c>
      <c r="M5617" s="1" t="s">
        <v>23</v>
      </c>
      <c r="N5617" s="1" t="s">
        <v>230</v>
      </c>
      <c r="O5617" s="1" t="s">
        <v>25</v>
      </c>
      <c r="P5617" s="3" t="s">
        <v>25</v>
      </c>
      <c r="Q5617" s="37">
        <v>0.11</v>
      </c>
      <c r="R5617" s="1" t="s">
        <v>231</v>
      </c>
      <c r="S5617" s="13">
        <f t="shared" si="238"/>
        <v>-1.21</v>
      </c>
    </row>
    <row r="5618" spans="1:19">
      <c r="A5618" s="18" t="s">
        <v>5496</v>
      </c>
      <c r="B5618" s="1" t="s">
        <v>5804</v>
      </c>
      <c r="C5618" s="1" t="s">
        <v>5655</v>
      </c>
      <c r="D5618" s="1" t="s">
        <v>5656</v>
      </c>
      <c r="E5618" s="1" t="s">
        <v>5500</v>
      </c>
      <c r="F5618">
        <f>VLOOKUP(E5618,Legends!$G$2:$I$100,2,FALSE)</f>
        <v>443.1</v>
      </c>
      <c r="G5618">
        <f>VLOOKUP(E5618,Legends!$G$2:$I$100,3,FALSE)</f>
        <v>486.65</v>
      </c>
      <c r="H5618">
        <v>4</v>
      </c>
      <c r="I5618" s="1" t="s">
        <v>1528</v>
      </c>
      <c r="J5618" s="1" t="s">
        <v>5616</v>
      </c>
      <c r="K5618" s="1" t="s">
        <v>25</v>
      </c>
      <c r="L5618">
        <v>-0.96</v>
      </c>
      <c r="M5618" s="1" t="s">
        <v>23</v>
      </c>
      <c r="N5618" s="1" t="s">
        <v>230</v>
      </c>
      <c r="O5618" s="1" t="s">
        <v>25</v>
      </c>
      <c r="P5618" s="3" t="s">
        <v>25</v>
      </c>
      <c r="Q5618" s="37">
        <v>0.06</v>
      </c>
      <c r="R5618" s="1" t="s">
        <v>231</v>
      </c>
      <c r="S5618" s="13">
        <f t="shared" si="238"/>
        <v>-0.96</v>
      </c>
    </row>
    <row r="5619" spans="1:19">
      <c r="A5619" s="18" t="s">
        <v>5496</v>
      </c>
      <c r="B5619" s="1" t="s">
        <v>5805</v>
      </c>
      <c r="C5619" s="1" t="s">
        <v>5655</v>
      </c>
      <c r="D5619" s="1" t="s">
        <v>5656</v>
      </c>
      <c r="E5619" s="1" t="s">
        <v>5500</v>
      </c>
      <c r="F5619">
        <f>VLOOKUP(E5619,Legends!$G$2:$I$100,2,FALSE)</f>
        <v>443.1</v>
      </c>
      <c r="G5619">
        <f>VLOOKUP(E5619,Legends!$G$2:$I$100,3,FALSE)</f>
        <v>486.65</v>
      </c>
      <c r="H5619">
        <v>44</v>
      </c>
      <c r="I5619" s="1" t="s">
        <v>1528</v>
      </c>
      <c r="J5619" s="1" t="s">
        <v>5616</v>
      </c>
      <c r="K5619" s="1" t="s">
        <v>25</v>
      </c>
      <c r="L5619">
        <v>-1.02</v>
      </c>
      <c r="M5619" s="1" t="s">
        <v>23</v>
      </c>
      <c r="N5619" s="1" t="s">
        <v>230</v>
      </c>
      <c r="O5619" s="1" t="s">
        <v>25</v>
      </c>
      <c r="P5619" s="3" t="s">
        <v>25</v>
      </c>
      <c r="Q5619" s="37">
        <v>0.13</v>
      </c>
      <c r="R5619" s="1" t="s">
        <v>231</v>
      </c>
      <c r="S5619" s="13">
        <f t="shared" si="238"/>
        <v>-1.02</v>
      </c>
    </row>
    <row r="5620" spans="1:19">
      <c r="A5620" s="18" t="s">
        <v>5496</v>
      </c>
      <c r="B5620" s="1" t="s">
        <v>5806</v>
      </c>
      <c r="C5620" s="1" t="s">
        <v>5655</v>
      </c>
      <c r="D5620" s="1" t="s">
        <v>5656</v>
      </c>
      <c r="E5620" s="1" t="s">
        <v>5500</v>
      </c>
      <c r="F5620">
        <f>VLOOKUP(E5620,Legends!$G$2:$I$100,2,FALSE)</f>
        <v>443.1</v>
      </c>
      <c r="G5620">
        <f>VLOOKUP(E5620,Legends!$G$2:$I$100,3,FALSE)</f>
        <v>486.65</v>
      </c>
      <c r="H5620">
        <v>60.1</v>
      </c>
      <c r="I5620" s="1" t="s">
        <v>1528</v>
      </c>
      <c r="J5620" s="1" t="s">
        <v>5616</v>
      </c>
      <c r="K5620" s="1" t="s">
        <v>25</v>
      </c>
      <c r="L5620">
        <v>-0.94</v>
      </c>
      <c r="M5620" s="1" t="s">
        <v>23</v>
      </c>
      <c r="N5620" s="1" t="s">
        <v>230</v>
      </c>
      <c r="O5620" s="1" t="s">
        <v>25</v>
      </c>
      <c r="P5620" s="3" t="s">
        <v>25</v>
      </c>
      <c r="Q5620" s="37">
        <v>0.12</v>
      </c>
      <c r="R5620" s="1" t="s">
        <v>231</v>
      </c>
      <c r="S5620" s="13">
        <f t="shared" si="238"/>
        <v>-0.94</v>
      </c>
    </row>
    <row r="5621" spans="1:19">
      <c r="A5621" s="18" t="s">
        <v>5496</v>
      </c>
      <c r="B5621" s="1" t="s">
        <v>5807</v>
      </c>
      <c r="C5621" s="1" t="s">
        <v>5655</v>
      </c>
      <c r="D5621" s="1" t="s">
        <v>5656</v>
      </c>
      <c r="E5621" s="1" t="s">
        <v>5500</v>
      </c>
      <c r="F5621">
        <f>VLOOKUP(E5621,Legends!$G$2:$I$100,2,FALSE)</f>
        <v>443.1</v>
      </c>
      <c r="G5621">
        <f>VLOOKUP(E5621,Legends!$G$2:$I$100,3,FALSE)</f>
        <v>486.65</v>
      </c>
      <c r="H5621">
        <v>57</v>
      </c>
      <c r="I5621" s="1" t="s">
        <v>1528</v>
      </c>
      <c r="J5621" s="1" t="s">
        <v>5616</v>
      </c>
      <c r="K5621" s="1" t="s">
        <v>25</v>
      </c>
      <c r="L5621">
        <v>-1.02</v>
      </c>
      <c r="M5621" s="1" t="s">
        <v>23</v>
      </c>
      <c r="N5621" s="1" t="s">
        <v>230</v>
      </c>
      <c r="O5621" s="1" t="s">
        <v>25</v>
      </c>
      <c r="P5621" s="3" t="s">
        <v>25</v>
      </c>
      <c r="Q5621" s="37">
        <v>0.11</v>
      </c>
      <c r="R5621" s="1" t="s">
        <v>231</v>
      </c>
      <c r="S5621" s="13">
        <f t="shared" si="238"/>
        <v>-1.02</v>
      </c>
    </row>
    <row r="5622" spans="1:19">
      <c r="A5622" s="18" t="s">
        <v>5496</v>
      </c>
      <c r="B5622" s="1" t="s">
        <v>5808</v>
      </c>
      <c r="C5622" s="1" t="s">
        <v>5655</v>
      </c>
      <c r="D5622" s="1" t="s">
        <v>5656</v>
      </c>
      <c r="E5622" s="1" t="s">
        <v>5500</v>
      </c>
      <c r="F5622">
        <f>VLOOKUP(E5622,Legends!$G$2:$I$100,2,FALSE)</f>
        <v>443.1</v>
      </c>
      <c r="G5622">
        <f>VLOOKUP(E5622,Legends!$G$2:$I$100,3,FALSE)</f>
        <v>486.65</v>
      </c>
      <c r="H5622">
        <v>48</v>
      </c>
      <c r="I5622" s="1" t="s">
        <v>1528</v>
      </c>
      <c r="J5622" s="1" t="s">
        <v>5616</v>
      </c>
      <c r="K5622" s="1" t="s">
        <v>25</v>
      </c>
      <c r="L5622">
        <v>-0.95</v>
      </c>
      <c r="M5622" s="1" t="s">
        <v>23</v>
      </c>
      <c r="N5622" s="1" t="s">
        <v>230</v>
      </c>
      <c r="O5622" s="1" t="s">
        <v>25</v>
      </c>
      <c r="P5622" s="3" t="s">
        <v>25</v>
      </c>
      <c r="Q5622" s="37">
        <v>0.1</v>
      </c>
      <c r="R5622" s="1" t="s">
        <v>231</v>
      </c>
      <c r="S5622" s="13">
        <f t="shared" si="238"/>
        <v>-0.95</v>
      </c>
    </row>
    <row r="5623" spans="1:19">
      <c r="A5623" s="18" t="s">
        <v>5496</v>
      </c>
      <c r="B5623" s="1" t="s">
        <v>5809</v>
      </c>
      <c r="C5623" s="1" t="s">
        <v>5655</v>
      </c>
      <c r="D5623" s="1" t="s">
        <v>5656</v>
      </c>
      <c r="E5623" s="1" t="s">
        <v>5500</v>
      </c>
      <c r="F5623">
        <f>VLOOKUP(E5623,Legends!$G$2:$I$100,2,FALSE)</f>
        <v>443.1</v>
      </c>
      <c r="G5623">
        <f>VLOOKUP(E5623,Legends!$G$2:$I$100,3,FALSE)</f>
        <v>486.65</v>
      </c>
      <c r="H5623">
        <v>0</v>
      </c>
      <c r="I5623" s="1" t="s">
        <v>1528</v>
      </c>
      <c r="J5623" s="1" t="s">
        <v>5616</v>
      </c>
      <c r="K5623" s="1" t="s">
        <v>25</v>
      </c>
      <c r="L5623">
        <v>-1.24</v>
      </c>
      <c r="M5623" s="1" t="s">
        <v>23</v>
      </c>
      <c r="N5623" s="1" t="s">
        <v>230</v>
      </c>
      <c r="O5623" s="1" t="s">
        <v>25</v>
      </c>
      <c r="P5623" s="3" t="s">
        <v>25</v>
      </c>
      <c r="Q5623" s="37">
        <v>0.04</v>
      </c>
      <c r="R5623" s="1" t="s">
        <v>231</v>
      </c>
      <c r="S5623" s="13">
        <f t="shared" si="238"/>
        <v>-1.24</v>
      </c>
    </row>
    <row r="5624" spans="1:19">
      <c r="A5624" s="18" t="s">
        <v>5496</v>
      </c>
      <c r="B5624" s="1" t="s">
        <v>5810</v>
      </c>
      <c r="C5624" s="1" t="s">
        <v>5655</v>
      </c>
      <c r="D5624" s="1" t="s">
        <v>5656</v>
      </c>
      <c r="E5624" s="1" t="s">
        <v>5500</v>
      </c>
      <c r="F5624">
        <f>VLOOKUP(E5624,Legends!$G$2:$I$100,2,FALSE)</f>
        <v>443.1</v>
      </c>
      <c r="G5624">
        <f>VLOOKUP(E5624,Legends!$G$2:$I$100,3,FALSE)</f>
        <v>486.65</v>
      </c>
      <c r="H5624">
        <v>10</v>
      </c>
      <c r="I5624" s="1" t="s">
        <v>1528</v>
      </c>
      <c r="J5624" s="1" t="s">
        <v>5616</v>
      </c>
      <c r="K5624" s="1" t="s">
        <v>25</v>
      </c>
      <c r="L5624">
        <v>-0.76</v>
      </c>
      <c r="M5624" s="1" t="s">
        <v>23</v>
      </c>
      <c r="N5624" s="1" t="s">
        <v>230</v>
      </c>
      <c r="O5624" s="1" t="s">
        <v>25</v>
      </c>
      <c r="P5624" s="3" t="s">
        <v>25</v>
      </c>
      <c r="Q5624" s="37">
        <v>0.11</v>
      </c>
      <c r="R5624" s="1" t="s">
        <v>231</v>
      </c>
      <c r="S5624" s="13">
        <f t="shared" si="238"/>
        <v>-0.76</v>
      </c>
    </row>
    <row r="5625" spans="1:19">
      <c r="A5625" s="18" t="s">
        <v>5496</v>
      </c>
      <c r="B5625" s="1" t="s">
        <v>5811</v>
      </c>
      <c r="C5625" s="1" t="s">
        <v>5655</v>
      </c>
      <c r="D5625" s="1" t="s">
        <v>5656</v>
      </c>
      <c r="E5625" s="1" t="s">
        <v>5500</v>
      </c>
      <c r="F5625">
        <f>VLOOKUP(E5625,Legends!$G$2:$I$100,2,FALSE)</f>
        <v>443.1</v>
      </c>
      <c r="G5625">
        <f>VLOOKUP(E5625,Legends!$G$2:$I$100,3,FALSE)</f>
        <v>486.65</v>
      </c>
      <c r="H5625">
        <v>51</v>
      </c>
      <c r="I5625" s="1" t="s">
        <v>1528</v>
      </c>
      <c r="J5625" s="1" t="s">
        <v>5616</v>
      </c>
      <c r="K5625" s="1" t="s">
        <v>25</v>
      </c>
      <c r="L5625">
        <v>-0.9</v>
      </c>
      <c r="M5625" s="1" t="s">
        <v>23</v>
      </c>
      <c r="N5625" s="1" t="s">
        <v>230</v>
      </c>
      <c r="O5625" s="1" t="s">
        <v>25</v>
      </c>
      <c r="P5625" s="3" t="s">
        <v>25</v>
      </c>
      <c r="Q5625" s="37">
        <v>0.09</v>
      </c>
      <c r="R5625" s="1" t="s">
        <v>231</v>
      </c>
      <c r="S5625" s="13">
        <f t="shared" si="238"/>
        <v>-0.9</v>
      </c>
    </row>
    <row r="5626" spans="1:19">
      <c r="A5626" s="18" t="s">
        <v>5496</v>
      </c>
      <c r="B5626" s="1" t="s">
        <v>5812</v>
      </c>
      <c r="C5626" s="1" t="s">
        <v>5655</v>
      </c>
      <c r="D5626" s="1" t="s">
        <v>5656</v>
      </c>
      <c r="E5626" s="1" t="s">
        <v>5500</v>
      </c>
      <c r="F5626">
        <f>VLOOKUP(E5626,Legends!$G$2:$I$100,2,FALSE)</f>
        <v>443.1</v>
      </c>
      <c r="G5626">
        <f>VLOOKUP(E5626,Legends!$G$2:$I$100,3,FALSE)</f>
        <v>486.65</v>
      </c>
      <c r="H5626">
        <v>7</v>
      </c>
      <c r="I5626" s="1" t="s">
        <v>1528</v>
      </c>
      <c r="J5626" s="1" t="s">
        <v>5616</v>
      </c>
      <c r="K5626" s="1" t="s">
        <v>25</v>
      </c>
      <c r="L5626">
        <v>-0.52</v>
      </c>
      <c r="M5626" s="1" t="s">
        <v>23</v>
      </c>
      <c r="N5626" s="1" t="s">
        <v>230</v>
      </c>
      <c r="O5626" s="1" t="s">
        <v>25</v>
      </c>
      <c r="P5626" s="3" t="s">
        <v>25</v>
      </c>
      <c r="Q5626" s="37">
        <v>0.14000000000000001</v>
      </c>
      <c r="R5626" s="1" t="s">
        <v>231</v>
      </c>
      <c r="S5626" s="13">
        <f t="shared" ref="S5626:S5686" si="239">IF(NOT(N5626="SW"),L5626-1.88,L5626)</f>
        <v>-0.52</v>
      </c>
    </row>
    <row r="5627" spans="1:19">
      <c r="A5627" s="18" t="s">
        <v>5496</v>
      </c>
      <c r="B5627" s="1" t="s">
        <v>5813</v>
      </c>
      <c r="C5627" s="1" t="s">
        <v>5655</v>
      </c>
      <c r="D5627" s="1" t="s">
        <v>5656</v>
      </c>
      <c r="E5627" s="1" t="s">
        <v>5500</v>
      </c>
      <c r="F5627">
        <f>VLOOKUP(E5627,Legends!$G$2:$I$100,2,FALSE)</f>
        <v>443.1</v>
      </c>
      <c r="G5627">
        <f>VLOOKUP(E5627,Legends!$G$2:$I$100,3,FALSE)</f>
        <v>486.65</v>
      </c>
      <c r="H5627">
        <v>29</v>
      </c>
      <c r="I5627" s="1" t="s">
        <v>1528</v>
      </c>
      <c r="J5627" s="1" t="s">
        <v>5616</v>
      </c>
      <c r="K5627" s="1" t="s">
        <v>25</v>
      </c>
      <c r="L5627">
        <v>-1.36</v>
      </c>
      <c r="M5627" s="1" t="s">
        <v>23</v>
      </c>
      <c r="N5627" s="1" t="s">
        <v>230</v>
      </c>
      <c r="O5627" s="1" t="s">
        <v>25</v>
      </c>
      <c r="P5627" s="3" t="s">
        <v>25</v>
      </c>
      <c r="Q5627" s="37">
        <v>0.11</v>
      </c>
      <c r="R5627" s="1" t="s">
        <v>231</v>
      </c>
      <c r="S5627" s="13">
        <f t="shared" si="239"/>
        <v>-1.36</v>
      </c>
    </row>
    <row r="5628" spans="1:19">
      <c r="A5628" s="18" t="s">
        <v>5496</v>
      </c>
      <c r="B5628" s="1" t="s">
        <v>5814</v>
      </c>
      <c r="C5628" s="1" t="s">
        <v>5655</v>
      </c>
      <c r="D5628" s="1" t="s">
        <v>5656</v>
      </c>
      <c r="E5628" s="1" t="s">
        <v>5500</v>
      </c>
      <c r="F5628">
        <f>VLOOKUP(E5628,Legends!$G$2:$I$100,2,FALSE)</f>
        <v>443.1</v>
      </c>
      <c r="G5628">
        <f>VLOOKUP(E5628,Legends!$G$2:$I$100,3,FALSE)</f>
        <v>486.65</v>
      </c>
      <c r="H5628">
        <v>19.899999999999999</v>
      </c>
      <c r="I5628" s="1" t="s">
        <v>1528</v>
      </c>
      <c r="J5628" s="1" t="s">
        <v>5616</v>
      </c>
      <c r="K5628" s="1" t="s">
        <v>25</v>
      </c>
      <c r="L5628">
        <v>-1.1399999999999999</v>
      </c>
      <c r="M5628" s="1" t="s">
        <v>23</v>
      </c>
      <c r="N5628" s="1" t="s">
        <v>230</v>
      </c>
      <c r="O5628" s="1" t="s">
        <v>25</v>
      </c>
      <c r="P5628" s="3" t="s">
        <v>25</v>
      </c>
      <c r="Q5628" s="37">
        <v>0.1</v>
      </c>
      <c r="R5628" s="1" t="s">
        <v>231</v>
      </c>
      <c r="S5628" s="13">
        <f t="shared" si="239"/>
        <v>-1.1399999999999999</v>
      </c>
    </row>
    <row r="5629" spans="1:19">
      <c r="A5629" s="18" t="s">
        <v>5496</v>
      </c>
      <c r="B5629" s="1" t="s">
        <v>5815</v>
      </c>
      <c r="C5629" s="1" t="s">
        <v>5655</v>
      </c>
      <c r="D5629" s="1" t="s">
        <v>5656</v>
      </c>
      <c r="E5629" s="1" t="s">
        <v>5500</v>
      </c>
      <c r="F5629">
        <f>VLOOKUP(E5629,Legends!$G$2:$I$100,2,FALSE)</f>
        <v>443.1</v>
      </c>
      <c r="G5629">
        <f>VLOOKUP(E5629,Legends!$G$2:$I$100,3,FALSE)</f>
        <v>486.65</v>
      </c>
      <c r="H5629">
        <v>17</v>
      </c>
      <c r="I5629" s="1" t="s">
        <v>1528</v>
      </c>
      <c r="J5629" s="1" t="s">
        <v>5616</v>
      </c>
      <c r="K5629" s="1" t="s">
        <v>25</v>
      </c>
      <c r="L5629">
        <v>-0.88</v>
      </c>
      <c r="M5629" s="1" t="s">
        <v>23</v>
      </c>
      <c r="N5629" s="1" t="s">
        <v>230</v>
      </c>
      <c r="O5629" s="1" t="s">
        <v>25</v>
      </c>
      <c r="P5629" s="3" t="s">
        <v>25</v>
      </c>
      <c r="Q5629" s="37">
        <v>0.11</v>
      </c>
      <c r="R5629" s="1" t="s">
        <v>231</v>
      </c>
      <c r="S5629" s="13">
        <f t="shared" si="239"/>
        <v>-0.88</v>
      </c>
    </row>
    <row r="5630" spans="1:19">
      <c r="A5630" s="18" t="s">
        <v>5496</v>
      </c>
      <c r="B5630" s="1" t="s">
        <v>5816</v>
      </c>
      <c r="C5630" s="1" t="s">
        <v>5655</v>
      </c>
      <c r="D5630" s="1" t="s">
        <v>5656</v>
      </c>
      <c r="E5630" s="1" t="s">
        <v>5500</v>
      </c>
      <c r="F5630">
        <f>VLOOKUP(E5630,Legends!$G$2:$I$100,2,FALSE)</f>
        <v>443.1</v>
      </c>
      <c r="G5630">
        <f>VLOOKUP(E5630,Legends!$G$2:$I$100,3,FALSE)</f>
        <v>486.65</v>
      </c>
      <c r="H5630">
        <v>71.900000000000006</v>
      </c>
      <c r="I5630" s="1" t="s">
        <v>1528</v>
      </c>
      <c r="J5630" s="1" t="s">
        <v>5616</v>
      </c>
      <c r="K5630" s="1" t="s">
        <v>25</v>
      </c>
      <c r="L5630">
        <v>-1.06</v>
      </c>
      <c r="M5630" s="1" t="s">
        <v>23</v>
      </c>
      <c r="N5630" s="1" t="s">
        <v>230</v>
      </c>
      <c r="O5630" s="1" t="s">
        <v>25</v>
      </c>
      <c r="P5630" s="3" t="s">
        <v>25</v>
      </c>
      <c r="Q5630" s="37">
        <v>7.0000000000000007E-2</v>
      </c>
      <c r="R5630" s="1" t="s">
        <v>231</v>
      </c>
      <c r="S5630" s="13">
        <f t="shared" si="239"/>
        <v>-1.06</v>
      </c>
    </row>
    <row r="5631" spans="1:19">
      <c r="A5631" s="18" t="s">
        <v>5496</v>
      </c>
      <c r="B5631" s="1" t="s">
        <v>5817</v>
      </c>
      <c r="C5631" s="1" t="s">
        <v>5655</v>
      </c>
      <c r="D5631" s="1" t="s">
        <v>5656</v>
      </c>
      <c r="E5631" s="1" t="s">
        <v>5500</v>
      </c>
      <c r="F5631">
        <f>VLOOKUP(E5631,Legends!$G$2:$I$100,2,FALSE)</f>
        <v>443.1</v>
      </c>
      <c r="G5631">
        <f>VLOOKUP(E5631,Legends!$G$2:$I$100,3,FALSE)</f>
        <v>486.65</v>
      </c>
      <c r="H5631">
        <v>23</v>
      </c>
      <c r="I5631" s="1" t="s">
        <v>1528</v>
      </c>
      <c r="J5631" s="1" t="s">
        <v>5616</v>
      </c>
      <c r="K5631" s="1" t="s">
        <v>25</v>
      </c>
      <c r="L5631">
        <v>-0.98</v>
      </c>
      <c r="M5631" s="1" t="s">
        <v>23</v>
      </c>
      <c r="N5631" s="1" t="s">
        <v>230</v>
      </c>
      <c r="O5631" s="1" t="s">
        <v>25</v>
      </c>
      <c r="P5631" s="3" t="s">
        <v>25</v>
      </c>
      <c r="Q5631" s="37">
        <v>0.11</v>
      </c>
      <c r="R5631" s="1" t="s">
        <v>231</v>
      </c>
      <c r="S5631" s="13">
        <f t="shared" si="239"/>
        <v>-0.98</v>
      </c>
    </row>
    <row r="5632" spans="1:19">
      <c r="A5632" s="18" t="s">
        <v>5496</v>
      </c>
      <c r="B5632" s="1" t="s">
        <v>5818</v>
      </c>
      <c r="C5632" s="1" t="s">
        <v>5655</v>
      </c>
      <c r="D5632" s="1" t="s">
        <v>5656</v>
      </c>
      <c r="E5632" s="1" t="s">
        <v>5500</v>
      </c>
      <c r="F5632">
        <f>VLOOKUP(E5632,Legends!$G$2:$I$100,2,FALSE)</f>
        <v>443.1</v>
      </c>
      <c r="G5632">
        <f>VLOOKUP(E5632,Legends!$G$2:$I$100,3,FALSE)</f>
        <v>486.65</v>
      </c>
      <c r="H5632">
        <v>31</v>
      </c>
      <c r="I5632" s="1" t="s">
        <v>1528</v>
      </c>
      <c r="J5632" s="1" t="s">
        <v>5616</v>
      </c>
      <c r="K5632" s="1" t="s">
        <v>25</v>
      </c>
      <c r="L5632">
        <v>-1.03</v>
      </c>
      <c r="M5632" s="1" t="s">
        <v>23</v>
      </c>
      <c r="N5632" s="1" t="s">
        <v>230</v>
      </c>
      <c r="O5632" s="1" t="s">
        <v>25</v>
      </c>
      <c r="P5632" s="3" t="s">
        <v>25</v>
      </c>
      <c r="Q5632" s="37">
        <v>0.09</v>
      </c>
      <c r="R5632" s="1" t="s">
        <v>231</v>
      </c>
      <c r="S5632" s="13">
        <f t="shared" si="239"/>
        <v>-1.03</v>
      </c>
    </row>
    <row r="5633" spans="1:19">
      <c r="A5633" s="18" t="s">
        <v>5496</v>
      </c>
      <c r="B5633" s="1" t="s">
        <v>5819</v>
      </c>
      <c r="C5633" s="1" t="s">
        <v>5655</v>
      </c>
      <c r="D5633" s="1" t="s">
        <v>5656</v>
      </c>
      <c r="E5633" s="1" t="s">
        <v>5500</v>
      </c>
      <c r="F5633">
        <f>VLOOKUP(E5633,Legends!$G$2:$I$100,2,FALSE)</f>
        <v>443.1</v>
      </c>
      <c r="G5633">
        <f>VLOOKUP(E5633,Legends!$G$2:$I$100,3,FALSE)</f>
        <v>486.65</v>
      </c>
      <c r="H5633">
        <v>74</v>
      </c>
      <c r="I5633" s="1" t="s">
        <v>1528</v>
      </c>
      <c r="J5633" s="1" t="s">
        <v>5616</v>
      </c>
      <c r="K5633" s="1" t="s">
        <v>25</v>
      </c>
      <c r="L5633">
        <v>-1.01</v>
      </c>
      <c r="M5633" s="1" t="s">
        <v>23</v>
      </c>
      <c r="N5633" s="1" t="s">
        <v>230</v>
      </c>
      <c r="O5633" s="1" t="s">
        <v>25</v>
      </c>
      <c r="P5633" s="3" t="s">
        <v>25</v>
      </c>
      <c r="Q5633" s="37">
        <v>0.09</v>
      </c>
      <c r="R5633" s="1" t="s">
        <v>231</v>
      </c>
      <c r="S5633" s="13">
        <f t="shared" si="239"/>
        <v>-1.01</v>
      </c>
    </row>
    <row r="5634" spans="1:19">
      <c r="A5634" s="18" t="s">
        <v>5496</v>
      </c>
      <c r="B5634" s="1" t="s">
        <v>5820</v>
      </c>
      <c r="C5634" s="1" t="s">
        <v>5655</v>
      </c>
      <c r="D5634" s="1" t="s">
        <v>5656</v>
      </c>
      <c r="E5634" s="1" t="s">
        <v>5500</v>
      </c>
      <c r="F5634">
        <f>VLOOKUP(E5634,Legends!$G$2:$I$100,2,FALSE)</f>
        <v>443.1</v>
      </c>
      <c r="G5634">
        <f>VLOOKUP(E5634,Legends!$G$2:$I$100,3,FALSE)</f>
        <v>486.65</v>
      </c>
      <c r="H5634">
        <v>14</v>
      </c>
      <c r="I5634" s="1" t="s">
        <v>1528</v>
      </c>
      <c r="J5634" s="1" t="s">
        <v>5616</v>
      </c>
      <c r="K5634" s="1" t="s">
        <v>25</v>
      </c>
      <c r="L5634">
        <v>-0.84</v>
      </c>
      <c r="M5634" s="1" t="s">
        <v>23</v>
      </c>
      <c r="N5634" s="1" t="s">
        <v>230</v>
      </c>
      <c r="O5634" s="1" t="s">
        <v>25</v>
      </c>
      <c r="P5634" s="3" t="s">
        <v>25</v>
      </c>
      <c r="Q5634" s="37">
        <v>0.08</v>
      </c>
      <c r="R5634" s="1" t="s">
        <v>231</v>
      </c>
      <c r="S5634" s="13">
        <f t="shared" si="239"/>
        <v>-0.84</v>
      </c>
    </row>
    <row r="5635" spans="1:19">
      <c r="A5635" s="18" t="s">
        <v>5496</v>
      </c>
      <c r="B5635" s="1" t="s">
        <v>5821</v>
      </c>
      <c r="C5635" s="1" t="s">
        <v>5655</v>
      </c>
      <c r="D5635" s="1" t="s">
        <v>5656</v>
      </c>
      <c r="E5635" s="1" t="s">
        <v>5500</v>
      </c>
      <c r="F5635">
        <f>VLOOKUP(E5635,Legends!$G$2:$I$100,2,FALSE)</f>
        <v>443.1</v>
      </c>
      <c r="G5635">
        <f>VLOOKUP(E5635,Legends!$G$2:$I$100,3,FALSE)</f>
        <v>486.65</v>
      </c>
      <c r="H5635">
        <v>69</v>
      </c>
      <c r="I5635" s="1" t="s">
        <v>1528</v>
      </c>
      <c r="J5635" s="1" t="s">
        <v>5616</v>
      </c>
      <c r="K5635" s="1" t="s">
        <v>25</v>
      </c>
      <c r="L5635">
        <v>-1.06</v>
      </c>
      <c r="M5635" s="1" t="s">
        <v>23</v>
      </c>
      <c r="N5635" s="1" t="s">
        <v>230</v>
      </c>
      <c r="O5635" s="1" t="s">
        <v>25</v>
      </c>
      <c r="P5635" s="3" t="s">
        <v>25</v>
      </c>
      <c r="Q5635" s="37">
        <v>0.08</v>
      </c>
      <c r="R5635" s="1" t="s">
        <v>231</v>
      </c>
      <c r="S5635" s="13">
        <f t="shared" si="239"/>
        <v>-1.06</v>
      </c>
    </row>
    <row r="5636" spans="1:19">
      <c r="A5636" s="18" t="s">
        <v>5496</v>
      </c>
      <c r="B5636" s="1" t="s">
        <v>5822</v>
      </c>
      <c r="C5636" s="1" t="s">
        <v>5655</v>
      </c>
      <c r="D5636" s="1" t="s">
        <v>5656</v>
      </c>
      <c r="E5636" s="1" t="s">
        <v>5500</v>
      </c>
      <c r="F5636">
        <f>VLOOKUP(E5636,Legends!$G$2:$I$100,2,FALSE)</f>
        <v>443.1</v>
      </c>
      <c r="G5636">
        <f>VLOOKUP(E5636,Legends!$G$2:$I$100,3,FALSE)</f>
        <v>486.65</v>
      </c>
      <c r="H5636">
        <v>106</v>
      </c>
      <c r="I5636" s="1" t="s">
        <v>1528</v>
      </c>
      <c r="J5636" s="1" t="s">
        <v>5616</v>
      </c>
      <c r="K5636" s="1" t="s">
        <v>25</v>
      </c>
      <c r="L5636">
        <v>-0.82</v>
      </c>
      <c r="M5636" s="1" t="s">
        <v>23</v>
      </c>
      <c r="N5636" s="1" t="s">
        <v>230</v>
      </c>
      <c r="O5636" s="1" t="s">
        <v>25</v>
      </c>
      <c r="P5636" s="3" t="s">
        <v>25</v>
      </c>
      <c r="Q5636" s="37">
        <v>0.17</v>
      </c>
      <c r="R5636" s="1" t="s">
        <v>231</v>
      </c>
      <c r="S5636" s="13">
        <f t="shared" si="239"/>
        <v>-0.82</v>
      </c>
    </row>
    <row r="5637" spans="1:19">
      <c r="A5637" s="18" t="s">
        <v>5496</v>
      </c>
      <c r="B5637" s="1" t="s">
        <v>5823</v>
      </c>
      <c r="C5637" s="1" t="s">
        <v>5655</v>
      </c>
      <c r="D5637" s="1" t="s">
        <v>5656</v>
      </c>
      <c r="E5637" s="1" t="s">
        <v>5500</v>
      </c>
      <c r="F5637">
        <f>VLOOKUP(E5637,Legends!$G$2:$I$100,2,FALSE)</f>
        <v>443.1</v>
      </c>
      <c r="G5637">
        <f>VLOOKUP(E5637,Legends!$G$2:$I$100,3,FALSE)</f>
        <v>486.65</v>
      </c>
      <c r="H5637">
        <v>131.5</v>
      </c>
      <c r="I5637" s="1" t="s">
        <v>1528</v>
      </c>
      <c r="J5637" s="1" t="s">
        <v>5616</v>
      </c>
      <c r="K5637" s="1" t="s">
        <v>25</v>
      </c>
      <c r="L5637">
        <v>-0.8</v>
      </c>
      <c r="M5637" s="1" t="s">
        <v>23</v>
      </c>
      <c r="N5637" s="1" t="s">
        <v>230</v>
      </c>
      <c r="O5637" s="1" t="s">
        <v>25</v>
      </c>
      <c r="P5637" s="3" t="s">
        <v>25</v>
      </c>
      <c r="Q5637" s="37">
        <v>0.13</v>
      </c>
      <c r="R5637" s="1" t="s">
        <v>231</v>
      </c>
      <c r="S5637" s="13">
        <f t="shared" si="239"/>
        <v>-0.8</v>
      </c>
    </row>
    <row r="5638" spans="1:19">
      <c r="A5638" s="18" t="s">
        <v>5496</v>
      </c>
      <c r="B5638" s="1" t="s">
        <v>5824</v>
      </c>
      <c r="C5638" s="1" t="s">
        <v>5655</v>
      </c>
      <c r="D5638" s="1" t="s">
        <v>5656</v>
      </c>
      <c r="E5638" s="1" t="s">
        <v>5500</v>
      </c>
      <c r="F5638">
        <f>VLOOKUP(E5638,Legends!$G$2:$I$100,2,FALSE)</f>
        <v>443.1</v>
      </c>
      <c r="G5638">
        <f>VLOOKUP(E5638,Legends!$G$2:$I$100,3,FALSE)</f>
        <v>486.65</v>
      </c>
      <c r="H5638">
        <v>76</v>
      </c>
      <c r="I5638" s="1" t="s">
        <v>1528</v>
      </c>
      <c r="J5638" s="1" t="s">
        <v>5616</v>
      </c>
      <c r="K5638" s="1" t="s">
        <v>25</v>
      </c>
      <c r="L5638">
        <v>-1.1299999999999999</v>
      </c>
      <c r="M5638" s="1" t="s">
        <v>23</v>
      </c>
      <c r="N5638" s="1" t="s">
        <v>230</v>
      </c>
      <c r="O5638" s="1" t="s">
        <v>25</v>
      </c>
      <c r="P5638" s="3" t="s">
        <v>25</v>
      </c>
      <c r="Q5638" s="37">
        <v>0.12</v>
      </c>
      <c r="R5638" s="1" t="s">
        <v>231</v>
      </c>
      <c r="S5638" s="13">
        <f t="shared" si="239"/>
        <v>-1.1299999999999999</v>
      </c>
    </row>
    <row r="5639" spans="1:19">
      <c r="A5639" s="18" t="s">
        <v>5496</v>
      </c>
      <c r="B5639" s="1" t="s">
        <v>5825</v>
      </c>
      <c r="C5639" s="1" t="s">
        <v>5655</v>
      </c>
      <c r="D5639" s="1" t="s">
        <v>5656</v>
      </c>
      <c r="E5639" s="1" t="s">
        <v>5500</v>
      </c>
      <c r="F5639">
        <f>VLOOKUP(E5639,Legends!$G$2:$I$100,2,FALSE)</f>
        <v>443.1</v>
      </c>
      <c r="G5639">
        <f>VLOOKUP(E5639,Legends!$G$2:$I$100,3,FALSE)</f>
        <v>486.65</v>
      </c>
      <c r="H5639">
        <v>102</v>
      </c>
      <c r="I5639" s="1" t="s">
        <v>1528</v>
      </c>
      <c r="J5639" s="1" t="s">
        <v>5616</v>
      </c>
      <c r="K5639" s="1" t="s">
        <v>25</v>
      </c>
      <c r="L5639">
        <v>-0.81</v>
      </c>
      <c r="M5639" s="1" t="s">
        <v>23</v>
      </c>
      <c r="N5639" s="1" t="s">
        <v>230</v>
      </c>
      <c r="O5639" s="1" t="s">
        <v>25</v>
      </c>
      <c r="P5639" s="3" t="s">
        <v>25</v>
      </c>
      <c r="Q5639" s="37">
        <v>0.18</v>
      </c>
      <c r="R5639" s="1" t="s">
        <v>231</v>
      </c>
      <c r="S5639" s="13">
        <f t="shared" si="239"/>
        <v>-0.81</v>
      </c>
    </row>
    <row r="5640" spans="1:19">
      <c r="A5640" s="18" t="s">
        <v>5496</v>
      </c>
      <c r="B5640" s="1" t="s">
        <v>5826</v>
      </c>
      <c r="C5640" s="1" t="s">
        <v>5655</v>
      </c>
      <c r="D5640" s="1" t="s">
        <v>5656</v>
      </c>
      <c r="E5640" s="1" t="s">
        <v>5500</v>
      </c>
      <c r="F5640">
        <f>VLOOKUP(E5640,Legends!$G$2:$I$100,2,FALSE)</f>
        <v>443.1</v>
      </c>
      <c r="G5640">
        <f>VLOOKUP(E5640,Legends!$G$2:$I$100,3,FALSE)</f>
        <v>486.65</v>
      </c>
      <c r="H5640">
        <v>116.1</v>
      </c>
      <c r="I5640" s="1" t="s">
        <v>1528</v>
      </c>
      <c r="J5640" s="1" t="s">
        <v>5616</v>
      </c>
      <c r="K5640" s="1" t="s">
        <v>25</v>
      </c>
      <c r="L5640">
        <v>-1</v>
      </c>
      <c r="M5640" s="1" t="s">
        <v>23</v>
      </c>
      <c r="N5640" s="1" t="s">
        <v>230</v>
      </c>
      <c r="O5640" s="1" t="s">
        <v>25</v>
      </c>
      <c r="P5640" s="3" t="s">
        <v>25</v>
      </c>
      <c r="Q5640" s="37">
        <v>0.09</v>
      </c>
      <c r="R5640" s="1" t="s">
        <v>231</v>
      </c>
      <c r="S5640" s="13">
        <f t="shared" si="239"/>
        <v>-1</v>
      </c>
    </row>
    <row r="5641" spans="1:19">
      <c r="A5641" s="18" t="s">
        <v>5496</v>
      </c>
      <c r="B5641" s="1" t="s">
        <v>5827</v>
      </c>
      <c r="C5641" s="1" t="s">
        <v>5655</v>
      </c>
      <c r="D5641" s="1" t="s">
        <v>5656</v>
      </c>
      <c r="E5641" s="1" t="s">
        <v>5500</v>
      </c>
      <c r="F5641">
        <f>VLOOKUP(E5641,Legends!$G$2:$I$100,2,FALSE)</f>
        <v>443.1</v>
      </c>
      <c r="G5641">
        <f>VLOOKUP(E5641,Legends!$G$2:$I$100,3,FALSE)</f>
        <v>486.65</v>
      </c>
      <c r="H5641">
        <v>80</v>
      </c>
      <c r="I5641" s="1" t="s">
        <v>1528</v>
      </c>
      <c r="J5641" s="1" t="s">
        <v>5616</v>
      </c>
      <c r="K5641" s="1" t="s">
        <v>25</v>
      </c>
      <c r="L5641">
        <v>-1.27</v>
      </c>
      <c r="M5641" s="1" t="s">
        <v>23</v>
      </c>
      <c r="N5641" s="1" t="s">
        <v>230</v>
      </c>
      <c r="O5641" s="1" t="s">
        <v>25</v>
      </c>
      <c r="P5641" s="3" t="s">
        <v>25</v>
      </c>
      <c r="Q5641" s="37">
        <v>0.12</v>
      </c>
      <c r="R5641" s="1" t="s">
        <v>231</v>
      </c>
      <c r="S5641" s="13">
        <f t="shared" si="239"/>
        <v>-1.27</v>
      </c>
    </row>
    <row r="5642" spans="1:19">
      <c r="A5642" s="18" t="s">
        <v>5496</v>
      </c>
      <c r="B5642" s="1" t="s">
        <v>5828</v>
      </c>
      <c r="C5642" s="1" t="s">
        <v>5655</v>
      </c>
      <c r="D5642" s="1" t="s">
        <v>5656</v>
      </c>
      <c r="E5642" s="1" t="s">
        <v>5500</v>
      </c>
      <c r="F5642">
        <f>VLOOKUP(E5642,Legends!$G$2:$I$100,2,FALSE)</f>
        <v>443.1</v>
      </c>
      <c r="G5642">
        <f>VLOOKUP(E5642,Legends!$G$2:$I$100,3,FALSE)</f>
        <v>486.65</v>
      </c>
      <c r="H5642">
        <v>95</v>
      </c>
      <c r="I5642" s="1" t="s">
        <v>1528</v>
      </c>
      <c r="J5642" s="1" t="s">
        <v>5616</v>
      </c>
      <c r="K5642" s="1" t="s">
        <v>25</v>
      </c>
      <c r="L5642">
        <v>-0.81</v>
      </c>
      <c r="M5642" s="1" t="s">
        <v>23</v>
      </c>
      <c r="N5642" s="1" t="s">
        <v>230</v>
      </c>
      <c r="O5642" s="1" t="s">
        <v>25</v>
      </c>
      <c r="P5642" s="3" t="s">
        <v>25</v>
      </c>
      <c r="Q5642" s="37">
        <v>0.16</v>
      </c>
      <c r="R5642" s="1" t="s">
        <v>231</v>
      </c>
      <c r="S5642" s="13">
        <f t="shared" si="239"/>
        <v>-0.81</v>
      </c>
    </row>
    <row r="5643" spans="1:19">
      <c r="A5643" s="18" t="s">
        <v>5496</v>
      </c>
      <c r="B5643" s="1" t="s">
        <v>5829</v>
      </c>
      <c r="C5643" s="1" t="s">
        <v>5655</v>
      </c>
      <c r="D5643" s="1" t="s">
        <v>5656</v>
      </c>
      <c r="E5643" s="1" t="s">
        <v>5500</v>
      </c>
      <c r="F5643">
        <f>VLOOKUP(E5643,Legends!$G$2:$I$100,2,FALSE)</f>
        <v>443.1</v>
      </c>
      <c r="G5643">
        <f>VLOOKUP(E5643,Legends!$G$2:$I$100,3,FALSE)</f>
        <v>486.65</v>
      </c>
      <c r="H5643">
        <v>114</v>
      </c>
      <c r="I5643" s="1" t="s">
        <v>1528</v>
      </c>
      <c r="J5643" s="1" t="s">
        <v>5616</v>
      </c>
      <c r="K5643" s="1" t="s">
        <v>25</v>
      </c>
      <c r="L5643">
        <v>-0.77</v>
      </c>
      <c r="M5643" s="1" t="s">
        <v>23</v>
      </c>
      <c r="N5643" s="1" t="s">
        <v>230</v>
      </c>
      <c r="O5643" s="1" t="s">
        <v>25</v>
      </c>
      <c r="P5643" s="3" t="s">
        <v>25</v>
      </c>
      <c r="Q5643" s="37">
        <v>0.13</v>
      </c>
      <c r="R5643" s="1" t="s">
        <v>231</v>
      </c>
      <c r="S5643" s="13">
        <f t="shared" si="239"/>
        <v>-0.77</v>
      </c>
    </row>
    <row r="5644" spans="1:19">
      <c r="A5644" s="18" t="s">
        <v>5496</v>
      </c>
      <c r="B5644" s="1" t="s">
        <v>5830</v>
      </c>
      <c r="C5644" s="1" t="s">
        <v>5655</v>
      </c>
      <c r="D5644" s="1" t="s">
        <v>5656</v>
      </c>
      <c r="E5644" s="1" t="s">
        <v>5500</v>
      </c>
      <c r="F5644">
        <f>VLOOKUP(E5644,Legends!$G$2:$I$100,2,FALSE)</f>
        <v>443.1</v>
      </c>
      <c r="G5644">
        <f>VLOOKUP(E5644,Legends!$G$2:$I$100,3,FALSE)</f>
        <v>486.65</v>
      </c>
      <c r="H5644">
        <v>112</v>
      </c>
      <c r="I5644" s="1" t="s">
        <v>1528</v>
      </c>
      <c r="J5644" s="1" t="s">
        <v>5616</v>
      </c>
      <c r="K5644" s="1" t="s">
        <v>25</v>
      </c>
      <c r="L5644">
        <v>-0.74</v>
      </c>
      <c r="M5644" s="1" t="s">
        <v>23</v>
      </c>
      <c r="N5644" s="1" t="s">
        <v>230</v>
      </c>
      <c r="O5644" s="1" t="s">
        <v>25</v>
      </c>
      <c r="P5644" s="3" t="s">
        <v>25</v>
      </c>
      <c r="Q5644" s="37">
        <v>0.1</v>
      </c>
      <c r="R5644" s="1" t="s">
        <v>231</v>
      </c>
      <c r="S5644" s="13">
        <f t="shared" si="239"/>
        <v>-0.74</v>
      </c>
    </row>
    <row r="5645" spans="1:19">
      <c r="A5645" s="18" t="s">
        <v>5496</v>
      </c>
      <c r="B5645" s="1" t="s">
        <v>5831</v>
      </c>
      <c r="C5645" s="1" t="s">
        <v>5655</v>
      </c>
      <c r="D5645" s="1" t="s">
        <v>5656</v>
      </c>
      <c r="E5645" s="1" t="s">
        <v>5500</v>
      </c>
      <c r="F5645">
        <f>VLOOKUP(E5645,Legends!$G$2:$I$100,2,FALSE)</f>
        <v>443.1</v>
      </c>
      <c r="G5645">
        <f>VLOOKUP(E5645,Legends!$G$2:$I$100,3,FALSE)</f>
        <v>486.65</v>
      </c>
      <c r="H5645">
        <v>134</v>
      </c>
      <c r="I5645" s="1" t="s">
        <v>1528</v>
      </c>
      <c r="J5645" s="1" t="s">
        <v>5616</v>
      </c>
      <c r="K5645" s="1" t="s">
        <v>25</v>
      </c>
      <c r="L5645">
        <v>-0.71</v>
      </c>
      <c r="M5645" s="1" t="s">
        <v>23</v>
      </c>
      <c r="N5645" s="1" t="s">
        <v>230</v>
      </c>
      <c r="O5645" s="1" t="s">
        <v>25</v>
      </c>
      <c r="P5645" s="3" t="s">
        <v>25</v>
      </c>
      <c r="Q5645" s="37">
        <v>0.11</v>
      </c>
      <c r="R5645" s="1" t="s">
        <v>231</v>
      </c>
      <c r="S5645" s="13">
        <f t="shared" si="239"/>
        <v>-0.71</v>
      </c>
    </row>
    <row r="5646" spans="1:19">
      <c r="A5646" s="18" t="s">
        <v>5496</v>
      </c>
      <c r="B5646" s="1" t="s">
        <v>5832</v>
      </c>
      <c r="C5646" s="1" t="s">
        <v>5655</v>
      </c>
      <c r="D5646" s="1" t="s">
        <v>5656</v>
      </c>
      <c r="E5646" s="1" t="s">
        <v>5500</v>
      </c>
      <c r="F5646">
        <f>VLOOKUP(E5646,Legends!$G$2:$I$100,2,FALSE)</f>
        <v>443.1</v>
      </c>
      <c r="G5646">
        <f>VLOOKUP(E5646,Legends!$G$2:$I$100,3,FALSE)</f>
        <v>486.65</v>
      </c>
      <c r="H5646">
        <v>98.9</v>
      </c>
      <c r="I5646" s="1" t="s">
        <v>1528</v>
      </c>
      <c r="J5646" s="1" t="s">
        <v>5616</v>
      </c>
      <c r="K5646" s="1" t="s">
        <v>25</v>
      </c>
      <c r="L5646">
        <v>-0.92</v>
      </c>
      <c r="M5646" s="1" t="s">
        <v>23</v>
      </c>
      <c r="N5646" s="1" t="s">
        <v>230</v>
      </c>
      <c r="O5646" s="1" t="s">
        <v>25</v>
      </c>
      <c r="P5646" s="3" t="s">
        <v>25</v>
      </c>
      <c r="Q5646" s="37">
        <v>0.15</v>
      </c>
      <c r="R5646" s="1" t="s">
        <v>231</v>
      </c>
      <c r="S5646" s="13">
        <f t="shared" si="239"/>
        <v>-0.92</v>
      </c>
    </row>
    <row r="5647" spans="1:19">
      <c r="A5647" s="18" t="s">
        <v>5496</v>
      </c>
      <c r="B5647" s="1" t="s">
        <v>5833</v>
      </c>
      <c r="C5647" s="1" t="s">
        <v>5655</v>
      </c>
      <c r="D5647" s="1" t="s">
        <v>5656</v>
      </c>
      <c r="E5647" s="1" t="s">
        <v>5500</v>
      </c>
      <c r="F5647">
        <f>VLOOKUP(E5647,Legends!$G$2:$I$100,2,FALSE)</f>
        <v>443.1</v>
      </c>
      <c r="G5647">
        <f>VLOOKUP(E5647,Legends!$G$2:$I$100,3,FALSE)</f>
        <v>486.65</v>
      </c>
      <c r="H5647">
        <v>145</v>
      </c>
      <c r="I5647" s="1" t="s">
        <v>1528</v>
      </c>
      <c r="J5647" s="1" t="s">
        <v>5616</v>
      </c>
      <c r="K5647" s="1" t="s">
        <v>25</v>
      </c>
      <c r="L5647">
        <v>-0.78</v>
      </c>
      <c r="M5647" s="1" t="s">
        <v>23</v>
      </c>
      <c r="N5647" s="1" t="s">
        <v>230</v>
      </c>
      <c r="O5647" s="1" t="s">
        <v>25</v>
      </c>
      <c r="P5647" s="3" t="s">
        <v>25</v>
      </c>
      <c r="Q5647" s="37">
        <v>0.06</v>
      </c>
      <c r="R5647" s="1" t="s">
        <v>231</v>
      </c>
      <c r="S5647" s="13">
        <f t="shared" si="239"/>
        <v>-0.78</v>
      </c>
    </row>
    <row r="5648" spans="1:19">
      <c r="A5648" s="18" t="s">
        <v>5496</v>
      </c>
      <c r="B5648" s="1" t="s">
        <v>5834</v>
      </c>
      <c r="C5648" s="1" t="s">
        <v>5655</v>
      </c>
      <c r="D5648" s="1" t="s">
        <v>5656</v>
      </c>
      <c r="E5648" s="1" t="s">
        <v>5500</v>
      </c>
      <c r="F5648">
        <f>VLOOKUP(E5648,Legends!$G$2:$I$100,2,FALSE)</f>
        <v>443.1</v>
      </c>
      <c r="G5648">
        <f>VLOOKUP(E5648,Legends!$G$2:$I$100,3,FALSE)</f>
        <v>486.65</v>
      </c>
      <c r="H5648">
        <v>89.3</v>
      </c>
      <c r="I5648" s="1" t="s">
        <v>1528</v>
      </c>
      <c r="J5648" s="1" t="s">
        <v>5616</v>
      </c>
      <c r="K5648" s="1" t="s">
        <v>25</v>
      </c>
      <c r="L5648">
        <v>-1.03</v>
      </c>
      <c r="M5648" s="1" t="s">
        <v>23</v>
      </c>
      <c r="N5648" s="1" t="s">
        <v>230</v>
      </c>
      <c r="O5648" s="1" t="s">
        <v>25</v>
      </c>
      <c r="P5648" s="3" t="s">
        <v>25</v>
      </c>
      <c r="Q5648" s="37">
        <v>0.12</v>
      </c>
      <c r="R5648" s="1" t="s">
        <v>231</v>
      </c>
      <c r="S5648" s="13">
        <f t="shared" si="239"/>
        <v>-1.03</v>
      </c>
    </row>
    <row r="5649" spans="1:19">
      <c r="A5649" s="18" t="s">
        <v>5496</v>
      </c>
      <c r="B5649" s="1" t="s">
        <v>5835</v>
      </c>
      <c r="C5649" s="1" t="s">
        <v>5655</v>
      </c>
      <c r="D5649" s="1" t="s">
        <v>5656</v>
      </c>
      <c r="E5649" s="1" t="s">
        <v>5500</v>
      </c>
      <c r="F5649">
        <f>VLOOKUP(E5649,Legends!$G$2:$I$100,2,FALSE)</f>
        <v>443.1</v>
      </c>
      <c r="G5649">
        <f>VLOOKUP(E5649,Legends!$G$2:$I$100,3,FALSE)</f>
        <v>486.65</v>
      </c>
      <c r="H5649">
        <v>100.6</v>
      </c>
      <c r="I5649" s="1" t="s">
        <v>1528</v>
      </c>
      <c r="J5649" s="1" t="s">
        <v>5616</v>
      </c>
      <c r="K5649" s="1" t="s">
        <v>25</v>
      </c>
      <c r="L5649">
        <v>-0.89</v>
      </c>
      <c r="M5649" s="1" t="s">
        <v>23</v>
      </c>
      <c r="N5649" s="1" t="s">
        <v>230</v>
      </c>
      <c r="O5649" s="1" t="s">
        <v>25</v>
      </c>
      <c r="P5649" s="3" t="s">
        <v>25</v>
      </c>
      <c r="Q5649" s="37">
        <v>0.23</v>
      </c>
      <c r="R5649" s="1" t="s">
        <v>231</v>
      </c>
      <c r="S5649" s="13">
        <f t="shared" si="239"/>
        <v>-0.89</v>
      </c>
    </row>
    <row r="5650" spans="1:19">
      <c r="A5650" s="18" t="s">
        <v>5496</v>
      </c>
      <c r="B5650" s="1" t="s">
        <v>5836</v>
      </c>
      <c r="C5650" s="1" t="s">
        <v>5655</v>
      </c>
      <c r="D5650" s="1" t="s">
        <v>5656</v>
      </c>
      <c r="E5650" s="1" t="s">
        <v>5500</v>
      </c>
      <c r="F5650">
        <f>VLOOKUP(E5650,Legends!$G$2:$I$100,2,FALSE)</f>
        <v>443.1</v>
      </c>
      <c r="G5650">
        <f>VLOOKUP(E5650,Legends!$G$2:$I$100,3,FALSE)</f>
        <v>486.65</v>
      </c>
      <c r="H5650">
        <v>132.5</v>
      </c>
      <c r="I5650" s="1" t="s">
        <v>1528</v>
      </c>
      <c r="J5650" s="1" t="s">
        <v>5616</v>
      </c>
      <c r="K5650" s="1" t="s">
        <v>25</v>
      </c>
      <c r="L5650">
        <v>-0.67</v>
      </c>
      <c r="M5650" s="1" t="s">
        <v>23</v>
      </c>
      <c r="N5650" s="1" t="s">
        <v>230</v>
      </c>
      <c r="O5650" s="1" t="s">
        <v>25</v>
      </c>
      <c r="P5650" s="3" t="s">
        <v>25</v>
      </c>
      <c r="Q5650" s="37">
        <v>0.15</v>
      </c>
      <c r="R5650" s="1" t="s">
        <v>231</v>
      </c>
      <c r="S5650" s="13">
        <f t="shared" si="239"/>
        <v>-0.67</v>
      </c>
    </row>
    <row r="5651" spans="1:19">
      <c r="A5651" s="18" t="s">
        <v>5496</v>
      </c>
      <c r="B5651" s="1" t="s">
        <v>5837</v>
      </c>
      <c r="C5651" s="1" t="s">
        <v>5655</v>
      </c>
      <c r="D5651" s="1" t="s">
        <v>5656</v>
      </c>
      <c r="E5651" s="1" t="s">
        <v>5500</v>
      </c>
      <c r="F5651">
        <f>VLOOKUP(E5651,Legends!$G$2:$I$100,2,FALSE)</f>
        <v>443.1</v>
      </c>
      <c r="G5651">
        <f>VLOOKUP(E5651,Legends!$G$2:$I$100,3,FALSE)</f>
        <v>486.65</v>
      </c>
      <c r="H5651">
        <v>124</v>
      </c>
      <c r="I5651" s="1" t="s">
        <v>1528</v>
      </c>
      <c r="J5651" s="1" t="s">
        <v>5616</v>
      </c>
      <c r="K5651" s="1" t="s">
        <v>25</v>
      </c>
      <c r="L5651">
        <v>-0.77</v>
      </c>
      <c r="M5651" s="1" t="s">
        <v>23</v>
      </c>
      <c r="N5651" s="1" t="s">
        <v>230</v>
      </c>
      <c r="O5651" s="1" t="s">
        <v>25</v>
      </c>
      <c r="P5651" s="3" t="s">
        <v>25</v>
      </c>
      <c r="Q5651" s="37">
        <v>0.11</v>
      </c>
      <c r="R5651" s="1" t="s">
        <v>231</v>
      </c>
      <c r="S5651" s="13">
        <f t="shared" si="239"/>
        <v>-0.77</v>
      </c>
    </row>
    <row r="5652" spans="1:19">
      <c r="A5652" s="18" t="s">
        <v>5496</v>
      </c>
      <c r="B5652" s="1" t="s">
        <v>5838</v>
      </c>
      <c r="C5652" s="1" t="s">
        <v>5655</v>
      </c>
      <c r="D5652" s="1" t="s">
        <v>5656</v>
      </c>
      <c r="E5652" s="1" t="s">
        <v>5500</v>
      </c>
      <c r="F5652">
        <f>VLOOKUP(E5652,Legends!$G$2:$I$100,2,FALSE)</f>
        <v>443.1</v>
      </c>
      <c r="G5652">
        <f>VLOOKUP(E5652,Legends!$G$2:$I$100,3,FALSE)</f>
        <v>486.65</v>
      </c>
      <c r="H5652">
        <v>149</v>
      </c>
      <c r="I5652" s="1" t="s">
        <v>1528</v>
      </c>
      <c r="J5652" s="1" t="s">
        <v>5616</v>
      </c>
      <c r="K5652" s="1" t="s">
        <v>25</v>
      </c>
      <c r="L5652">
        <v>-0.94</v>
      </c>
      <c r="M5652" s="1" t="s">
        <v>23</v>
      </c>
      <c r="N5652" s="1" t="s">
        <v>230</v>
      </c>
      <c r="O5652" s="1" t="s">
        <v>25</v>
      </c>
      <c r="P5652" s="3" t="s">
        <v>25</v>
      </c>
      <c r="Q5652" s="37">
        <v>0.12</v>
      </c>
      <c r="R5652" s="1" t="s">
        <v>231</v>
      </c>
      <c r="S5652" s="13">
        <f t="shared" si="239"/>
        <v>-0.94</v>
      </c>
    </row>
    <row r="5653" spans="1:19">
      <c r="A5653" s="18" t="s">
        <v>5496</v>
      </c>
      <c r="B5653" s="1" t="s">
        <v>5839</v>
      </c>
      <c r="C5653" s="1" t="s">
        <v>5655</v>
      </c>
      <c r="D5653" s="1" t="s">
        <v>5656</v>
      </c>
      <c r="E5653" s="1" t="s">
        <v>5500</v>
      </c>
      <c r="F5653">
        <f>VLOOKUP(E5653,Legends!$G$2:$I$100,2,FALSE)</f>
        <v>443.1</v>
      </c>
      <c r="G5653">
        <f>VLOOKUP(E5653,Legends!$G$2:$I$100,3,FALSE)</f>
        <v>486.65</v>
      </c>
      <c r="H5653">
        <v>138</v>
      </c>
      <c r="I5653" s="1" t="s">
        <v>1528</v>
      </c>
      <c r="J5653" s="1" t="s">
        <v>5616</v>
      </c>
      <c r="K5653" s="1" t="s">
        <v>25</v>
      </c>
      <c r="L5653">
        <v>-0.99</v>
      </c>
      <c r="M5653" s="1" t="s">
        <v>23</v>
      </c>
      <c r="N5653" s="1" t="s">
        <v>230</v>
      </c>
      <c r="O5653" s="1" t="s">
        <v>25</v>
      </c>
      <c r="P5653" s="3" t="s">
        <v>25</v>
      </c>
      <c r="Q5653" s="37">
        <v>0.08</v>
      </c>
      <c r="R5653" s="1" t="s">
        <v>231</v>
      </c>
      <c r="S5653" s="13">
        <f t="shared" si="239"/>
        <v>-0.99</v>
      </c>
    </row>
    <row r="5654" spans="1:19">
      <c r="A5654" s="18" t="s">
        <v>5496</v>
      </c>
      <c r="B5654" s="1" t="s">
        <v>5840</v>
      </c>
      <c r="C5654" s="1" t="s">
        <v>5655</v>
      </c>
      <c r="D5654" s="1" t="s">
        <v>5656</v>
      </c>
      <c r="E5654" s="1" t="s">
        <v>5500</v>
      </c>
      <c r="F5654">
        <f>VLOOKUP(E5654,Legends!$G$2:$I$100,2,FALSE)</f>
        <v>443.1</v>
      </c>
      <c r="G5654">
        <f>VLOOKUP(E5654,Legends!$G$2:$I$100,3,FALSE)</f>
        <v>486.65</v>
      </c>
      <c r="H5654">
        <v>104</v>
      </c>
      <c r="I5654" s="1" t="s">
        <v>1528</v>
      </c>
      <c r="J5654" s="1" t="s">
        <v>5616</v>
      </c>
      <c r="K5654" s="1" t="s">
        <v>25</v>
      </c>
      <c r="L5654">
        <v>-0.78</v>
      </c>
      <c r="M5654" s="1" t="s">
        <v>23</v>
      </c>
      <c r="N5654" s="1" t="s">
        <v>230</v>
      </c>
      <c r="O5654" s="1" t="s">
        <v>25</v>
      </c>
      <c r="P5654" s="3" t="s">
        <v>25</v>
      </c>
      <c r="Q5654" s="37">
        <v>0.16</v>
      </c>
      <c r="R5654" s="1" t="s">
        <v>231</v>
      </c>
      <c r="S5654" s="13">
        <f t="shared" si="239"/>
        <v>-0.78</v>
      </c>
    </row>
    <row r="5655" spans="1:19">
      <c r="A5655" s="18" t="s">
        <v>5496</v>
      </c>
      <c r="B5655" s="1" t="s">
        <v>5841</v>
      </c>
      <c r="C5655" s="1" t="s">
        <v>5655</v>
      </c>
      <c r="D5655" s="1" t="s">
        <v>5656</v>
      </c>
      <c r="E5655" s="1" t="s">
        <v>5500</v>
      </c>
      <c r="F5655">
        <f>VLOOKUP(E5655,Legends!$G$2:$I$100,2,FALSE)</f>
        <v>443.1</v>
      </c>
      <c r="G5655">
        <f>VLOOKUP(E5655,Legends!$G$2:$I$100,3,FALSE)</f>
        <v>486.65</v>
      </c>
      <c r="H5655">
        <v>108</v>
      </c>
      <c r="I5655" s="1" t="s">
        <v>1528</v>
      </c>
      <c r="J5655" s="1" t="s">
        <v>5616</v>
      </c>
      <c r="K5655" s="1" t="s">
        <v>25</v>
      </c>
      <c r="L5655">
        <v>-0.82</v>
      </c>
      <c r="M5655" s="1" t="s">
        <v>23</v>
      </c>
      <c r="N5655" s="1" t="s">
        <v>230</v>
      </c>
      <c r="O5655" s="1" t="s">
        <v>25</v>
      </c>
      <c r="P5655" s="3" t="s">
        <v>25</v>
      </c>
      <c r="Q5655" s="37">
        <v>0.16</v>
      </c>
      <c r="R5655" s="1" t="s">
        <v>231</v>
      </c>
      <c r="S5655" s="13">
        <f t="shared" si="239"/>
        <v>-0.82</v>
      </c>
    </row>
    <row r="5656" spans="1:19">
      <c r="A5656" s="18" t="s">
        <v>5496</v>
      </c>
      <c r="B5656" s="1" t="s">
        <v>5842</v>
      </c>
      <c r="C5656" s="1" t="s">
        <v>5655</v>
      </c>
      <c r="D5656" s="1" t="s">
        <v>5656</v>
      </c>
      <c r="E5656" s="1" t="s">
        <v>5500</v>
      </c>
      <c r="F5656">
        <f>VLOOKUP(E5656,Legends!$G$2:$I$100,2,FALSE)</f>
        <v>443.1</v>
      </c>
      <c r="G5656">
        <f>VLOOKUP(E5656,Legends!$G$2:$I$100,3,FALSE)</f>
        <v>486.65</v>
      </c>
      <c r="H5656">
        <v>118</v>
      </c>
      <c r="I5656" s="1" t="s">
        <v>1528</v>
      </c>
      <c r="J5656" s="1" t="s">
        <v>5616</v>
      </c>
      <c r="K5656" s="1" t="s">
        <v>25</v>
      </c>
      <c r="L5656">
        <v>-0.95</v>
      </c>
      <c r="M5656" s="1" t="s">
        <v>23</v>
      </c>
      <c r="N5656" s="1" t="s">
        <v>230</v>
      </c>
      <c r="O5656" s="1" t="s">
        <v>25</v>
      </c>
      <c r="P5656" s="3" t="s">
        <v>25</v>
      </c>
      <c r="Q5656" s="37">
        <v>0.12</v>
      </c>
      <c r="R5656" s="1" t="s">
        <v>231</v>
      </c>
      <c r="S5656" s="13">
        <f t="shared" si="239"/>
        <v>-0.95</v>
      </c>
    </row>
    <row r="5657" spans="1:19">
      <c r="A5657" s="18" t="s">
        <v>5496</v>
      </c>
      <c r="B5657" s="1" t="s">
        <v>5843</v>
      </c>
      <c r="C5657" s="1" t="s">
        <v>5655</v>
      </c>
      <c r="D5657" s="1" t="s">
        <v>5656</v>
      </c>
      <c r="E5657" s="1" t="s">
        <v>5500</v>
      </c>
      <c r="F5657">
        <f>VLOOKUP(E5657,Legends!$G$2:$I$100,2,FALSE)</f>
        <v>443.1</v>
      </c>
      <c r="G5657">
        <f>VLOOKUP(E5657,Legends!$G$2:$I$100,3,FALSE)</f>
        <v>486.65</v>
      </c>
      <c r="H5657">
        <v>92.1</v>
      </c>
      <c r="I5657" s="1" t="s">
        <v>1528</v>
      </c>
      <c r="J5657" s="1" t="s">
        <v>5616</v>
      </c>
      <c r="K5657" s="1" t="s">
        <v>25</v>
      </c>
      <c r="L5657">
        <v>-1</v>
      </c>
      <c r="M5657" s="1" t="s">
        <v>23</v>
      </c>
      <c r="N5657" s="1" t="s">
        <v>230</v>
      </c>
      <c r="O5657" s="1" t="s">
        <v>25</v>
      </c>
      <c r="P5657" s="3" t="s">
        <v>25</v>
      </c>
      <c r="Q5657" s="37">
        <v>0.12</v>
      </c>
      <c r="R5657" s="1" t="s">
        <v>231</v>
      </c>
      <c r="S5657" s="13">
        <f t="shared" si="239"/>
        <v>-1</v>
      </c>
    </row>
    <row r="5658" spans="1:19">
      <c r="A5658" s="18" t="s">
        <v>5496</v>
      </c>
      <c r="B5658" s="1" t="s">
        <v>5844</v>
      </c>
      <c r="C5658" s="1" t="s">
        <v>5655</v>
      </c>
      <c r="D5658" s="1" t="s">
        <v>5656</v>
      </c>
      <c r="E5658" s="1" t="s">
        <v>5500</v>
      </c>
      <c r="F5658">
        <f>VLOOKUP(E5658,Legends!$G$2:$I$100,2,FALSE)</f>
        <v>443.1</v>
      </c>
      <c r="G5658">
        <f>VLOOKUP(E5658,Legends!$G$2:$I$100,3,FALSE)</f>
        <v>486.65</v>
      </c>
      <c r="H5658">
        <v>140</v>
      </c>
      <c r="I5658" s="1" t="s">
        <v>1528</v>
      </c>
      <c r="J5658" s="1" t="s">
        <v>5616</v>
      </c>
      <c r="K5658" s="1" t="s">
        <v>25</v>
      </c>
      <c r="L5658">
        <v>-0.98</v>
      </c>
      <c r="M5658" s="1" t="s">
        <v>23</v>
      </c>
      <c r="N5658" s="1" t="s">
        <v>230</v>
      </c>
      <c r="O5658" s="1" t="s">
        <v>25</v>
      </c>
      <c r="P5658" s="3" t="s">
        <v>25</v>
      </c>
      <c r="Q5658" s="37">
        <v>0.06</v>
      </c>
      <c r="R5658" s="1" t="s">
        <v>231</v>
      </c>
      <c r="S5658" s="13">
        <f t="shared" si="239"/>
        <v>-0.98</v>
      </c>
    </row>
    <row r="5659" spans="1:19">
      <c r="A5659" s="18" t="s">
        <v>5496</v>
      </c>
      <c r="B5659" s="1" t="s">
        <v>5845</v>
      </c>
      <c r="C5659" s="1" t="s">
        <v>5655</v>
      </c>
      <c r="D5659" s="1" t="s">
        <v>5656</v>
      </c>
      <c r="E5659" s="1" t="s">
        <v>5500</v>
      </c>
      <c r="F5659">
        <f>VLOOKUP(E5659,Legends!$G$2:$I$100,2,FALSE)</f>
        <v>443.1</v>
      </c>
      <c r="G5659">
        <f>VLOOKUP(E5659,Legends!$G$2:$I$100,3,FALSE)</f>
        <v>486.65</v>
      </c>
      <c r="H5659">
        <v>153</v>
      </c>
      <c r="I5659" s="1" t="s">
        <v>1528</v>
      </c>
      <c r="J5659" s="1" t="s">
        <v>5616</v>
      </c>
      <c r="K5659" s="1" t="s">
        <v>25</v>
      </c>
      <c r="L5659">
        <v>-1.05</v>
      </c>
      <c r="M5659" s="1" t="s">
        <v>23</v>
      </c>
      <c r="N5659" s="1" t="s">
        <v>230</v>
      </c>
      <c r="O5659" s="1" t="s">
        <v>25</v>
      </c>
      <c r="P5659" s="3" t="s">
        <v>25</v>
      </c>
      <c r="Q5659" s="37">
        <v>7.0000000000000007E-2</v>
      </c>
      <c r="R5659" s="1" t="s">
        <v>231</v>
      </c>
      <c r="S5659" s="13">
        <f t="shared" si="239"/>
        <v>-1.05</v>
      </c>
    </row>
    <row r="5660" spans="1:19">
      <c r="A5660" s="18" t="s">
        <v>5496</v>
      </c>
      <c r="B5660" s="1" t="s">
        <v>5846</v>
      </c>
      <c r="C5660" s="1" t="s">
        <v>5655</v>
      </c>
      <c r="D5660" s="1" t="s">
        <v>5656</v>
      </c>
      <c r="E5660" s="1" t="s">
        <v>5500</v>
      </c>
      <c r="F5660">
        <f>VLOOKUP(E5660,Legends!$G$2:$I$100,2,FALSE)</f>
        <v>443.1</v>
      </c>
      <c r="G5660">
        <f>VLOOKUP(E5660,Legends!$G$2:$I$100,3,FALSE)</f>
        <v>486.65</v>
      </c>
      <c r="H5660">
        <v>142</v>
      </c>
      <c r="I5660" s="1" t="s">
        <v>1528</v>
      </c>
      <c r="J5660" s="1" t="s">
        <v>5616</v>
      </c>
      <c r="K5660" s="1" t="s">
        <v>25</v>
      </c>
      <c r="L5660">
        <v>-0.98</v>
      </c>
      <c r="M5660" s="1" t="s">
        <v>23</v>
      </c>
      <c r="N5660" s="1" t="s">
        <v>230</v>
      </c>
      <c r="O5660" s="1" t="s">
        <v>25</v>
      </c>
      <c r="P5660" s="3" t="s">
        <v>25</v>
      </c>
      <c r="Q5660" s="37">
        <v>0.06</v>
      </c>
      <c r="R5660" s="1" t="s">
        <v>231</v>
      </c>
      <c r="S5660" s="13">
        <f t="shared" si="239"/>
        <v>-0.98</v>
      </c>
    </row>
    <row r="5661" spans="1:19">
      <c r="A5661" s="18" t="s">
        <v>5496</v>
      </c>
      <c r="B5661" s="1" t="s">
        <v>5847</v>
      </c>
      <c r="C5661" s="1" t="s">
        <v>5655</v>
      </c>
      <c r="D5661" s="1" t="s">
        <v>5656</v>
      </c>
      <c r="E5661" s="1" t="s">
        <v>5500</v>
      </c>
      <c r="F5661">
        <f>VLOOKUP(E5661,Legends!$G$2:$I$100,2,FALSE)</f>
        <v>443.1</v>
      </c>
      <c r="G5661">
        <f>VLOOKUP(E5661,Legends!$G$2:$I$100,3,FALSE)</f>
        <v>486.65</v>
      </c>
      <c r="H5661">
        <v>134.4</v>
      </c>
      <c r="I5661" s="1" t="s">
        <v>1528</v>
      </c>
      <c r="J5661" s="1" t="s">
        <v>5616</v>
      </c>
      <c r="K5661" s="1" t="s">
        <v>25</v>
      </c>
      <c r="L5661">
        <v>-1.06</v>
      </c>
      <c r="M5661" s="1" t="s">
        <v>23</v>
      </c>
      <c r="N5661" s="1" t="s">
        <v>230</v>
      </c>
      <c r="O5661" s="1" t="s">
        <v>25</v>
      </c>
      <c r="P5661" s="3" t="s">
        <v>25</v>
      </c>
      <c r="Q5661" s="37">
        <v>7.0000000000000007E-2</v>
      </c>
      <c r="R5661" s="1" t="s">
        <v>231</v>
      </c>
      <c r="S5661" s="13">
        <f t="shared" si="239"/>
        <v>-1.06</v>
      </c>
    </row>
    <row r="5662" spans="1:19">
      <c r="A5662" s="18" t="s">
        <v>5496</v>
      </c>
      <c r="B5662" s="1" t="s">
        <v>5848</v>
      </c>
      <c r="C5662" s="1" t="s">
        <v>5655</v>
      </c>
      <c r="D5662" s="1" t="s">
        <v>5656</v>
      </c>
      <c r="E5662" s="1" t="s">
        <v>5500</v>
      </c>
      <c r="F5662">
        <f>VLOOKUP(E5662,Legends!$G$2:$I$100,2,FALSE)</f>
        <v>443.1</v>
      </c>
      <c r="G5662">
        <f>VLOOKUP(E5662,Legends!$G$2:$I$100,3,FALSE)</f>
        <v>486.65</v>
      </c>
      <c r="H5662">
        <v>151</v>
      </c>
      <c r="I5662" s="1" t="s">
        <v>1528</v>
      </c>
      <c r="J5662" s="1" t="s">
        <v>5616</v>
      </c>
      <c r="K5662" s="1" t="s">
        <v>25</v>
      </c>
      <c r="L5662">
        <v>-1.05</v>
      </c>
      <c r="M5662" s="1" t="s">
        <v>23</v>
      </c>
      <c r="N5662" s="1" t="s">
        <v>230</v>
      </c>
      <c r="O5662" s="1" t="s">
        <v>25</v>
      </c>
      <c r="P5662" s="3" t="s">
        <v>25</v>
      </c>
      <c r="Q5662" s="37">
        <v>7.0000000000000007E-2</v>
      </c>
      <c r="R5662" s="1" t="s">
        <v>231</v>
      </c>
      <c r="S5662" s="13">
        <f t="shared" si="239"/>
        <v>-1.05</v>
      </c>
    </row>
    <row r="5663" spans="1:19">
      <c r="A5663" s="18" t="s">
        <v>5496</v>
      </c>
      <c r="B5663" s="1" t="s">
        <v>5849</v>
      </c>
      <c r="C5663" s="1" t="s">
        <v>5655</v>
      </c>
      <c r="D5663" s="1" t="s">
        <v>5656</v>
      </c>
      <c r="E5663" s="1" t="s">
        <v>5500</v>
      </c>
      <c r="F5663">
        <f>VLOOKUP(E5663,Legends!$G$2:$I$100,2,FALSE)</f>
        <v>443.1</v>
      </c>
      <c r="G5663">
        <f>VLOOKUP(E5663,Legends!$G$2:$I$100,3,FALSE)</f>
        <v>486.65</v>
      </c>
      <c r="H5663">
        <v>127</v>
      </c>
      <c r="I5663" s="1" t="s">
        <v>1528</v>
      </c>
      <c r="J5663" s="1" t="s">
        <v>5616</v>
      </c>
      <c r="K5663" s="1" t="s">
        <v>25</v>
      </c>
      <c r="L5663">
        <v>-0.63</v>
      </c>
      <c r="M5663" s="1" t="s">
        <v>23</v>
      </c>
      <c r="N5663" s="1" t="s">
        <v>230</v>
      </c>
      <c r="O5663" s="1" t="s">
        <v>25</v>
      </c>
      <c r="P5663" s="3" t="s">
        <v>25</v>
      </c>
      <c r="Q5663" s="37">
        <v>0.12</v>
      </c>
      <c r="R5663" s="1" t="s">
        <v>231</v>
      </c>
      <c r="S5663" s="13">
        <f t="shared" si="239"/>
        <v>-0.63</v>
      </c>
    </row>
    <row r="5664" spans="1:19">
      <c r="A5664" s="18" t="s">
        <v>5496</v>
      </c>
      <c r="B5664" s="1" t="s">
        <v>5850</v>
      </c>
      <c r="C5664" s="1" t="s">
        <v>5655</v>
      </c>
      <c r="D5664" s="1" t="s">
        <v>5656</v>
      </c>
      <c r="E5664" s="1" t="s">
        <v>5500</v>
      </c>
      <c r="F5664">
        <f>VLOOKUP(E5664,Legends!$G$2:$I$100,2,FALSE)</f>
        <v>443.1</v>
      </c>
      <c r="G5664">
        <f>VLOOKUP(E5664,Legends!$G$2:$I$100,3,FALSE)</f>
        <v>486.65</v>
      </c>
      <c r="H5664">
        <v>119.9</v>
      </c>
      <c r="I5664" s="1" t="s">
        <v>1528</v>
      </c>
      <c r="J5664" s="1" t="s">
        <v>5616</v>
      </c>
      <c r="K5664" s="1" t="s">
        <v>25</v>
      </c>
      <c r="L5664">
        <v>-0.88</v>
      </c>
      <c r="M5664" s="1" t="s">
        <v>23</v>
      </c>
      <c r="N5664" s="1" t="s">
        <v>230</v>
      </c>
      <c r="O5664" s="1" t="s">
        <v>25</v>
      </c>
      <c r="P5664" s="3" t="s">
        <v>25</v>
      </c>
      <c r="Q5664" s="37">
        <v>0.13</v>
      </c>
      <c r="R5664" s="1" t="s">
        <v>231</v>
      </c>
      <c r="S5664" s="13">
        <f t="shared" si="239"/>
        <v>-0.88</v>
      </c>
    </row>
    <row r="5665" spans="1:19">
      <c r="A5665" s="18" t="s">
        <v>5496</v>
      </c>
      <c r="B5665" s="1" t="s">
        <v>5851</v>
      </c>
      <c r="C5665" s="1" t="s">
        <v>5655</v>
      </c>
      <c r="D5665" s="1" t="s">
        <v>5656</v>
      </c>
      <c r="E5665" s="1" t="s">
        <v>5500</v>
      </c>
      <c r="F5665">
        <f>VLOOKUP(E5665,Legends!$G$2:$I$100,2,FALSE)</f>
        <v>443.1</v>
      </c>
      <c r="G5665">
        <f>VLOOKUP(E5665,Legends!$G$2:$I$100,3,FALSE)</f>
        <v>486.65</v>
      </c>
      <c r="H5665">
        <v>96.8</v>
      </c>
      <c r="I5665" s="1" t="s">
        <v>1528</v>
      </c>
      <c r="J5665" s="1" t="s">
        <v>5616</v>
      </c>
      <c r="K5665" s="1" t="s">
        <v>25</v>
      </c>
      <c r="L5665">
        <v>-0.7</v>
      </c>
      <c r="M5665" s="1" t="s">
        <v>23</v>
      </c>
      <c r="N5665" s="1" t="s">
        <v>230</v>
      </c>
      <c r="O5665" s="1" t="s">
        <v>25</v>
      </c>
      <c r="P5665" s="3" t="s">
        <v>25</v>
      </c>
      <c r="Q5665" s="37">
        <v>0.17</v>
      </c>
      <c r="R5665" s="1" t="s">
        <v>231</v>
      </c>
      <c r="S5665" s="13">
        <f t="shared" si="239"/>
        <v>-0.7</v>
      </c>
    </row>
    <row r="5666" spans="1:19">
      <c r="A5666" s="18" t="s">
        <v>5496</v>
      </c>
      <c r="B5666" s="1" t="s">
        <v>5852</v>
      </c>
      <c r="C5666" s="1" t="s">
        <v>5655</v>
      </c>
      <c r="D5666" s="1" t="s">
        <v>5656</v>
      </c>
      <c r="E5666" s="1" t="s">
        <v>5500</v>
      </c>
      <c r="F5666">
        <f>VLOOKUP(E5666,Legends!$G$2:$I$100,2,FALSE)</f>
        <v>443.1</v>
      </c>
      <c r="G5666">
        <f>VLOOKUP(E5666,Legends!$G$2:$I$100,3,FALSE)</f>
        <v>486.65</v>
      </c>
      <c r="H5666">
        <v>122</v>
      </c>
      <c r="I5666" s="1" t="s">
        <v>1528</v>
      </c>
      <c r="J5666" s="1" t="s">
        <v>5616</v>
      </c>
      <c r="K5666" s="1" t="s">
        <v>25</v>
      </c>
      <c r="L5666">
        <v>-0.94</v>
      </c>
      <c r="M5666" s="1" t="s">
        <v>23</v>
      </c>
      <c r="N5666" s="1" t="s">
        <v>230</v>
      </c>
      <c r="O5666" s="1" t="s">
        <v>25</v>
      </c>
      <c r="P5666" s="3" t="s">
        <v>25</v>
      </c>
      <c r="Q5666" s="37">
        <v>0.1</v>
      </c>
      <c r="R5666" s="1" t="s">
        <v>231</v>
      </c>
      <c r="S5666" s="13">
        <f t="shared" si="239"/>
        <v>-0.94</v>
      </c>
    </row>
    <row r="5667" spans="1:19">
      <c r="A5667" s="18" t="s">
        <v>5496</v>
      </c>
      <c r="B5667" s="1" t="s">
        <v>5853</v>
      </c>
      <c r="C5667" s="1" t="s">
        <v>5655</v>
      </c>
      <c r="D5667" s="1" t="s">
        <v>5656</v>
      </c>
      <c r="E5667" s="1" t="s">
        <v>5500</v>
      </c>
      <c r="F5667">
        <f>VLOOKUP(E5667,Legends!$G$2:$I$100,2,FALSE)</f>
        <v>443.1</v>
      </c>
      <c r="G5667">
        <f>VLOOKUP(E5667,Legends!$G$2:$I$100,3,FALSE)</f>
        <v>486.65</v>
      </c>
      <c r="H5667">
        <v>144</v>
      </c>
      <c r="I5667" s="1" t="s">
        <v>1528</v>
      </c>
      <c r="J5667" s="1" t="s">
        <v>5616</v>
      </c>
      <c r="K5667" s="1" t="s">
        <v>25</v>
      </c>
      <c r="L5667">
        <v>-0.95</v>
      </c>
      <c r="M5667" s="1" t="s">
        <v>23</v>
      </c>
      <c r="N5667" s="1" t="s">
        <v>230</v>
      </c>
      <c r="O5667" s="1" t="s">
        <v>25</v>
      </c>
      <c r="P5667" s="3" t="s">
        <v>25</v>
      </c>
      <c r="Q5667" s="37">
        <v>7.0000000000000007E-2</v>
      </c>
      <c r="R5667" s="1" t="s">
        <v>231</v>
      </c>
      <c r="S5667" s="13">
        <f t="shared" si="239"/>
        <v>-0.95</v>
      </c>
    </row>
    <row r="5668" spans="1:19">
      <c r="A5668" s="18" t="s">
        <v>5496</v>
      </c>
      <c r="B5668" s="1" t="s">
        <v>5854</v>
      </c>
      <c r="C5668" s="1" t="s">
        <v>5655</v>
      </c>
      <c r="D5668" s="1" t="s">
        <v>5656</v>
      </c>
      <c r="E5668" s="1" t="s">
        <v>5500</v>
      </c>
      <c r="F5668">
        <f>VLOOKUP(E5668,Legends!$G$2:$I$100,2,FALSE)</f>
        <v>443.1</v>
      </c>
      <c r="G5668">
        <f>VLOOKUP(E5668,Legends!$G$2:$I$100,3,FALSE)</f>
        <v>486.65</v>
      </c>
      <c r="H5668">
        <v>130.6</v>
      </c>
      <c r="I5668" s="1" t="s">
        <v>1528</v>
      </c>
      <c r="J5668" s="1" t="s">
        <v>5616</v>
      </c>
      <c r="K5668" s="1" t="s">
        <v>25</v>
      </c>
      <c r="L5668">
        <v>-0.87</v>
      </c>
      <c r="M5668" s="1" t="s">
        <v>23</v>
      </c>
      <c r="N5668" s="1" t="s">
        <v>230</v>
      </c>
      <c r="O5668" s="1" t="s">
        <v>25</v>
      </c>
      <c r="P5668" s="3" t="s">
        <v>25</v>
      </c>
      <c r="Q5668" s="37">
        <v>0.1</v>
      </c>
      <c r="R5668" s="1" t="s">
        <v>231</v>
      </c>
      <c r="S5668" s="13">
        <f t="shared" si="239"/>
        <v>-0.87</v>
      </c>
    </row>
    <row r="5669" spans="1:19">
      <c r="A5669" s="18" t="s">
        <v>5496</v>
      </c>
      <c r="B5669" s="1" t="s">
        <v>5855</v>
      </c>
      <c r="C5669" s="1" t="s">
        <v>5655</v>
      </c>
      <c r="D5669" s="1" t="s">
        <v>5656</v>
      </c>
      <c r="E5669" s="1" t="s">
        <v>5500</v>
      </c>
      <c r="F5669">
        <f>VLOOKUP(E5669,Legends!$G$2:$I$100,2,FALSE)</f>
        <v>443.1</v>
      </c>
      <c r="G5669">
        <f>VLOOKUP(E5669,Legends!$G$2:$I$100,3,FALSE)</f>
        <v>486.65</v>
      </c>
      <c r="H5669">
        <v>63</v>
      </c>
      <c r="I5669" s="1" t="s">
        <v>1528</v>
      </c>
      <c r="J5669" s="1" t="s">
        <v>5616</v>
      </c>
      <c r="K5669" s="1" t="s">
        <v>25</v>
      </c>
      <c r="L5669">
        <v>-0.94</v>
      </c>
      <c r="M5669" s="1" t="s">
        <v>23</v>
      </c>
      <c r="N5669" s="1" t="s">
        <v>230</v>
      </c>
      <c r="O5669" s="1" t="s">
        <v>25</v>
      </c>
      <c r="P5669" s="3" t="s">
        <v>25</v>
      </c>
      <c r="Q5669" s="37">
        <v>0.14000000000000001</v>
      </c>
      <c r="R5669" s="1" t="s">
        <v>231</v>
      </c>
      <c r="S5669" s="13">
        <f t="shared" si="239"/>
        <v>-0.94</v>
      </c>
    </row>
    <row r="5670" spans="1:19">
      <c r="A5670" s="18" t="s">
        <v>5496</v>
      </c>
      <c r="B5670" s="1" t="s">
        <v>5856</v>
      </c>
      <c r="C5670" s="1" t="s">
        <v>5655</v>
      </c>
      <c r="D5670" s="1" t="s">
        <v>5656</v>
      </c>
      <c r="E5670" s="1" t="s">
        <v>5500</v>
      </c>
      <c r="F5670">
        <f>VLOOKUP(E5670,Legends!$G$2:$I$100,2,FALSE)</f>
        <v>443.1</v>
      </c>
      <c r="G5670">
        <f>VLOOKUP(E5670,Legends!$G$2:$I$100,3,FALSE)</f>
        <v>486.65</v>
      </c>
      <c r="H5670">
        <v>66</v>
      </c>
      <c r="I5670" s="1" t="s">
        <v>1528</v>
      </c>
      <c r="J5670" s="1" t="s">
        <v>5616</v>
      </c>
      <c r="K5670" s="1" t="s">
        <v>25</v>
      </c>
      <c r="L5670">
        <v>-1.05</v>
      </c>
      <c r="M5670" s="1" t="s">
        <v>23</v>
      </c>
      <c r="N5670" s="1" t="s">
        <v>230</v>
      </c>
      <c r="O5670" s="1" t="s">
        <v>25</v>
      </c>
      <c r="P5670" s="3" t="s">
        <v>25</v>
      </c>
      <c r="Q5670" s="37">
        <v>7.0000000000000007E-2</v>
      </c>
      <c r="R5670" s="1" t="s">
        <v>231</v>
      </c>
      <c r="S5670" s="13">
        <f t="shared" si="239"/>
        <v>-1.05</v>
      </c>
    </row>
    <row r="5671" spans="1:19">
      <c r="A5671" s="18" t="s">
        <v>5496</v>
      </c>
      <c r="B5671" s="1" t="s">
        <v>5857</v>
      </c>
      <c r="C5671" s="1" t="s">
        <v>5655</v>
      </c>
      <c r="D5671" s="1" t="s">
        <v>5656</v>
      </c>
      <c r="E5671" s="1" t="s">
        <v>5500</v>
      </c>
      <c r="F5671">
        <f>VLOOKUP(E5671,Legends!$G$2:$I$100,2,FALSE)</f>
        <v>443.1</v>
      </c>
      <c r="G5671">
        <f>VLOOKUP(E5671,Legends!$G$2:$I$100,3,FALSE)</f>
        <v>486.65</v>
      </c>
      <c r="H5671">
        <v>82</v>
      </c>
      <c r="I5671" s="1" t="s">
        <v>1528</v>
      </c>
      <c r="J5671" s="1" t="s">
        <v>5616</v>
      </c>
      <c r="K5671" s="1" t="s">
        <v>25</v>
      </c>
      <c r="L5671">
        <v>-1.02</v>
      </c>
      <c r="M5671" s="1" t="s">
        <v>23</v>
      </c>
      <c r="N5671" s="1" t="s">
        <v>230</v>
      </c>
      <c r="O5671" s="1" t="s">
        <v>25</v>
      </c>
      <c r="P5671" s="3" t="s">
        <v>25</v>
      </c>
      <c r="Q5671" s="37">
        <v>0.05</v>
      </c>
      <c r="R5671" s="1" t="s">
        <v>231</v>
      </c>
      <c r="S5671" s="13">
        <f t="shared" si="239"/>
        <v>-1.02</v>
      </c>
    </row>
    <row r="5672" spans="1:19">
      <c r="A5672" s="18" t="s">
        <v>5496</v>
      </c>
      <c r="B5672" s="1" t="s">
        <v>5858</v>
      </c>
      <c r="C5672" s="1" t="s">
        <v>5655</v>
      </c>
      <c r="D5672" s="1" t="s">
        <v>5656</v>
      </c>
      <c r="E5672" s="1" t="s">
        <v>5500</v>
      </c>
      <c r="F5672">
        <f>VLOOKUP(E5672,Legends!$G$2:$I$100,2,FALSE)</f>
        <v>443.1</v>
      </c>
      <c r="G5672">
        <f>VLOOKUP(E5672,Legends!$G$2:$I$100,3,FALSE)</f>
        <v>486.65</v>
      </c>
      <c r="H5672">
        <v>77.900000000000006</v>
      </c>
      <c r="I5672" s="1" t="s">
        <v>1528</v>
      </c>
      <c r="J5672" s="1" t="s">
        <v>5616</v>
      </c>
      <c r="K5672" s="1" t="s">
        <v>25</v>
      </c>
      <c r="L5672">
        <v>-1.06</v>
      </c>
      <c r="M5672" s="1" t="s">
        <v>23</v>
      </c>
      <c r="N5672" s="1" t="s">
        <v>230</v>
      </c>
      <c r="O5672" s="1" t="s">
        <v>25</v>
      </c>
      <c r="P5672" s="3" t="s">
        <v>25</v>
      </c>
      <c r="Q5672" s="37">
        <v>0.04</v>
      </c>
      <c r="R5672" s="1" t="s">
        <v>231</v>
      </c>
      <c r="S5672" s="13">
        <f t="shared" si="239"/>
        <v>-1.06</v>
      </c>
    </row>
    <row r="5673" spans="1:19">
      <c r="A5673" s="18" t="s">
        <v>5496</v>
      </c>
      <c r="B5673" s="1" t="s">
        <v>5859</v>
      </c>
      <c r="C5673" s="1" t="s">
        <v>5655</v>
      </c>
      <c r="D5673" s="1" t="s">
        <v>5656</v>
      </c>
      <c r="E5673" s="1" t="s">
        <v>5500</v>
      </c>
      <c r="F5673">
        <f>VLOOKUP(E5673,Legends!$G$2:$I$100,2,FALSE)</f>
        <v>443.1</v>
      </c>
      <c r="G5673">
        <f>VLOOKUP(E5673,Legends!$G$2:$I$100,3,FALSE)</f>
        <v>486.65</v>
      </c>
      <c r="H5673">
        <v>84</v>
      </c>
      <c r="I5673" s="1" t="s">
        <v>1528</v>
      </c>
      <c r="J5673" s="1" t="s">
        <v>5616</v>
      </c>
      <c r="K5673" s="1" t="s">
        <v>25</v>
      </c>
      <c r="L5673">
        <v>-1.1100000000000001</v>
      </c>
      <c r="M5673" s="1" t="s">
        <v>23</v>
      </c>
      <c r="N5673" s="1" t="s">
        <v>230</v>
      </c>
      <c r="O5673" s="1" t="s">
        <v>25</v>
      </c>
      <c r="P5673" s="3" t="s">
        <v>25</v>
      </c>
      <c r="Q5673" s="37">
        <v>0.06</v>
      </c>
      <c r="R5673" s="1" t="s">
        <v>231</v>
      </c>
      <c r="S5673" s="13">
        <f t="shared" si="239"/>
        <v>-1.1100000000000001</v>
      </c>
    </row>
    <row r="5674" spans="1:19">
      <c r="A5674" s="18" t="s">
        <v>5496</v>
      </c>
      <c r="B5674" s="1" t="s">
        <v>5860</v>
      </c>
      <c r="C5674" s="1" t="s">
        <v>5655</v>
      </c>
      <c r="D5674" s="1" t="s">
        <v>5656</v>
      </c>
      <c r="E5674" s="1" t="s">
        <v>5500</v>
      </c>
      <c r="F5674">
        <f>VLOOKUP(E5674,Legends!$G$2:$I$100,2,FALSE)</f>
        <v>443.1</v>
      </c>
      <c r="G5674">
        <f>VLOOKUP(E5674,Legends!$G$2:$I$100,3,FALSE)</f>
        <v>486.65</v>
      </c>
      <c r="H5674">
        <v>54</v>
      </c>
      <c r="I5674" s="1" t="s">
        <v>1528</v>
      </c>
      <c r="J5674" s="1" t="s">
        <v>5616</v>
      </c>
      <c r="K5674" s="1" t="s">
        <v>25</v>
      </c>
      <c r="L5674">
        <v>-0.94</v>
      </c>
      <c r="M5674" s="1" t="s">
        <v>23</v>
      </c>
      <c r="N5674" s="1" t="s">
        <v>230</v>
      </c>
      <c r="O5674" s="1" t="s">
        <v>25</v>
      </c>
      <c r="P5674" s="3" t="s">
        <v>25</v>
      </c>
      <c r="Q5674" s="37">
        <v>0.03</v>
      </c>
      <c r="R5674" s="1" t="s">
        <v>231</v>
      </c>
      <c r="S5674" s="13">
        <f t="shared" si="239"/>
        <v>-0.94</v>
      </c>
    </row>
    <row r="5675" spans="1:19">
      <c r="A5675" s="18" t="s">
        <v>5496</v>
      </c>
      <c r="B5675" s="1" t="s">
        <v>5861</v>
      </c>
      <c r="C5675" s="1" t="s">
        <v>5655</v>
      </c>
      <c r="D5675" s="1" t="s">
        <v>5656</v>
      </c>
      <c r="E5675" s="1" t="s">
        <v>5500</v>
      </c>
      <c r="F5675">
        <f>VLOOKUP(E5675,Legends!$G$2:$I$100,2,FALSE)</f>
        <v>443.1</v>
      </c>
      <c r="G5675">
        <f>VLOOKUP(E5675,Legends!$G$2:$I$100,3,FALSE)</f>
        <v>486.65</v>
      </c>
      <c r="H5675">
        <v>128</v>
      </c>
      <c r="I5675" s="1" t="s">
        <v>1528</v>
      </c>
      <c r="J5675" s="1" t="s">
        <v>5616</v>
      </c>
      <c r="K5675" s="1" t="s">
        <v>25</v>
      </c>
      <c r="L5675">
        <v>-0.84</v>
      </c>
      <c r="M5675" s="1" t="s">
        <v>23</v>
      </c>
      <c r="N5675" s="1" t="s">
        <v>230</v>
      </c>
      <c r="O5675" s="1" t="s">
        <v>25</v>
      </c>
      <c r="P5675" s="3" t="s">
        <v>25</v>
      </c>
      <c r="Q5675" s="37">
        <v>7.0000000000000007E-2</v>
      </c>
      <c r="R5675" s="1" t="s">
        <v>231</v>
      </c>
      <c r="S5675" s="13">
        <f t="shared" si="239"/>
        <v>-0.84</v>
      </c>
    </row>
    <row r="5676" spans="1:19">
      <c r="A5676" s="18" t="s">
        <v>5496</v>
      </c>
      <c r="B5676" s="1" t="s">
        <v>5862</v>
      </c>
      <c r="C5676" s="1" t="s">
        <v>5655</v>
      </c>
      <c r="D5676" s="1" t="s">
        <v>5656</v>
      </c>
      <c r="E5676" s="1" t="s">
        <v>5500</v>
      </c>
      <c r="F5676">
        <f>VLOOKUP(E5676,Legends!$G$2:$I$100,2,FALSE)</f>
        <v>443.1</v>
      </c>
      <c r="G5676">
        <f>VLOOKUP(E5676,Legends!$G$2:$I$100,3,FALSE)</f>
        <v>486.65</v>
      </c>
      <c r="H5676">
        <v>86</v>
      </c>
      <c r="I5676" s="1" t="s">
        <v>1528</v>
      </c>
      <c r="J5676" s="1" t="s">
        <v>5616</v>
      </c>
      <c r="K5676" s="1" t="s">
        <v>25</v>
      </c>
      <c r="L5676">
        <v>-1.21</v>
      </c>
      <c r="M5676" s="1" t="s">
        <v>23</v>
      </c>
      <c r="N5676" s="1" t="s">
        <v>230</v>
      </c>
      <c r="O5676" s="1" t="s">
        <v>25</v>
      </c>
      <c r="P5676" s="3" t="s">
        <v>25</v>
      </c>
      <c r="Q5676" s="37">
        <v>0.04</v>
      </c>
      <c r="R5676" s="1" t="s">
        <v>231</v>
      </c>
      <c r="S5676" s="13">
        <f t="shared" si="239"/>
        <v>-1.21</v>
      </c>
    </row>
    <row r="5677" spans="1:19" s="4" customFormat="1">
      <c r="B5677" s="5"/>
      <c r="C5677" s="5"/>
      <c r="D5677" s="5"/>
      <c r="E5677" s="5"/>
      <c r="I5677" s="5"/>
      <c r="J5677" s="5"/>
      <c r="M5677" s="5"/>
      <c r="O5677" s="5"/>
      <c r="P5677" s="6"/>
      <c r="Q5677" s="38"/>
      <c r="S5677" s="24"/>
    </row>
    <row r="5678" spans="1:19">
      <c r="A5678" s="18" t="s">
        <v>5864</v>
      </c>
      <c r="B5678" s="1" t="s">
        <v>627</v>
      </c>
      <c r="C5678" s="1" t="s">
        <v>5865</v>
      </c>
      <c r="D5678" s="1" t="s">
        <v>5866</v>
      </c>
      <c r="E5678" s="1" t="s">
        <v>1182</v>
      </c>
      <c r="F5678">
        <f>VLOOKUP(E5678,Legends!$G$2:$I$100,2,FALSE)</f>
        <v>423</v>
      </c>
      <c r="G5678">
        <f>VLOOKUP(E5678,Legends!$G$2:$I$100,3,FALSE)</f>
        <v>425.6</v>
      </c>
      <c r="H5678">
        <v>0.39</v>
      </c>
      <c r="I5678" s="1" t="s">
        <v>1528</v>
      </c>
      <c r="J5678" s="1" t="s">
        <v>1336</v>
      </c>
      <c r="K5678" s="1" t="s">
        <v>25</v>
      </c>
      <c r="L5678">
        <v>-1.55</v>
      </c>
      <c r="M5678" t="str">
        <f t="shared" ref="M5678:M5741" si="240">IF(L5678="Na","Na","44/40")</f>
        <v>44/40</v>
      </c>
      <c r="N5678" t="str">
        <f>IF(L5678="Na","Na","SW")</f>
        <v>SW</v>
      </c>
      <c r="O5678" s="1" t="s">
        <v>5867</v>
      </c>
      <c r="P5678" t="str">
        <f>IF(O5678="Na","Na","ppm")</f>
        <v>ppm</v>
      </c>
      <c r="Q5678" s="37">
        <v>0.72</v>
      </c>
      <c r="R5678" t="str">
        <f>IF(Q5678="Na","Na","mmol/mol")</f>
        <v>mmol/mol</v>
      </c>
      <c r="S5678" s="13">
        <f t="shared" si="239"/>
        <v>-1.55</v>
      </c>
    </row>
    <row r="5679" spans="1:19">
      <c r="A5679" s="18" t="s">
        <v>5864</v>
      </c>
      <c r="B5679" s="1" t="s">
        <v>631</v>
      </c>
      <c r="C5679" s="1" t="s">
        <v>5865</v>
      </c>
      <c r="D5679" s="1" t="s">
        <v>5866</v>
      </c>
      <c r="E5679" s="1" t="s">
        <v>1182</v>
      </c>
      <c r="F5679">
        <f>VLOOKUP(E5679,Legends!$G$2:$I$100,2,FALSE)</f>
        <v>423</v>
      </c>
      <c r="G5679">
        <f>VLOOKUP(E5679,Legends!$G$2:$I$100,3,FALSE)</f>
        <v>425.6</v>
      </c>
      <c r="H5679">
        <v>0.69</v>
      </c>
      <c r="I5679" s="1" t="s">
        <v>1528</v>
      </c>
      <c r="J5679" s="1" t="s">
        <v>1336</v>
      </c>
      <c r="K5679" s="1" t="s">
        <v>25</v>
      </c>
      <c r="L5679">
        <v>-1.58</v>
      </c>
      <c r="M5679" t="str">
        <f t="shared" si="240"/>
        <v>44/40</v>
      </c>
      <c r="N5679" t="str">
        <f t="shared" ref="N5679:N5742" si="241">IF(L5679="Na","Na","SW")</f>
        <v>SW</v>
      </c>
      <c r="O5679" s="1" t="s">
        <v>5868</v>
      </c>
      <c r="P5679" t="str">
        <f t="shared" ref="P5679:P5742" si="242">IF(O5679="Na","Na","ppm")</f>
        <v>ppm</v>
      </c>
      <c r="Q5679" s="37">
        <v>1.03</v>
      </c>
      <c r="R5679" t="str">
        <f t="shared" ref="R5679:R5742" si="243">IF(Q5679="Na","Na","mmol/mol")</f>
        <v>mmol/mol</v>
      </c>
      <c r="S5679" s="13">
        <f t="shared" si="239"/>
        <v>-1.58</v>
      </c>
    </row>
    <row r="5680" spans="1:19">
      <c r="A5680" s="18" t="s">
        <v>5864</v>
      </c>
      <c r="B5680" s="1" t="s">
        <v>632</v>
      </c>
      <c r="C5680" s="1" t="s">
        <v>5865</v>
      </c>
      <c r="D5680" s="1" t="s">
        <v>5866</v>
      </c>
      <c r="E5680" s="1" t="s">
        <v>1182</v>
      </c>
      <c r="F5680">
        <f>VLOOKUP(E5680,Legends!$G$2:$I$100,2,FALSE)</f>
        <v>423</v>
      </c>
      <c r="G5680">
        <f>VLOOKUP(E5680,Legends!$G$2:$I$100,3,FALSE)</f>
        <v>425.6</v>
      </c>
      <c r="H5680">
        <v>1.0900000000000001</v>
      </c>
      <c r="I5680" s="1" t="s">
        <v>1528</v>
      </c>
      <c r="J5680" s="1" t="s">
        <v>1336</v>
      </c>
      <c r="K5680" s="1" t="s">
        <v>25</v>
      </c>
      <c r="L5680">
        <v>-1.62</v>
      </c>
      <c r="M5680" t="str">
        <f t="shared" si="240"/>
        <v>44/40</v>
      </c>
      <c r="N5680" t="str">
        <f t="shared" si="241"/>
        <v>SW</v>
      </c>
      <c r="O5680" s="1" t="s">
        <v>5869</v>
      </c>
      <c r="P5680" t="str">
        <f t="shared" si="242"/>
        <v>ppm</v>
      </c>
      <c r="Q5680" s="37">
        <v>1.1299999999999999</v>
      </c>
      <c r="R5680" t="str">
        <f t="shared" si="243"/>
        <v>mmol/mol</v>
      </c>
      <c r="S5680" s="13">
        <f t="shared" si="239"/>
        <v>-1.62</v>
      </c>
    </row>
    <row r="5681" spans="1:19">
      <c r="A5681" s="18" t="s">
        <v>5864</v>
      </c>
      <c r="B5681" s="1" t="s">
        <v>633</v>
      </c>
      <c r="C5681" s="1" t="s">
        <v>5865</v>
      </c>
      <c r="D5681" s="1" t="s">
        <v>5866</v>
      </c>
      <c r="E5681" s="1" t="s">
        <v>1182</v>
      </c>
      <c r="F5681">
        <f>VLOOKUP(E5681,Legends!$G$2:$I$100,2,FALSE)</f>
        <v>423</v>
      </c>
      <c r="G5681">
        <f>VLOOKUP(E5681,Legends!$G$2:$I$100,3,FALSE)</f>
        <v>425.6</v>
      </c>
      <c r="H5681">
        <v>1.47</v>
      </c>
      <c r="I5681" s="1" t="s">
        <v>1528</v>
      </c>
      <c r="J5681" s="1" t="s">
        <v>1336</v>
      </c>
      <c r="K5681" s="1" t="s">
        <v>25</v>
      </c>
      <c r="L5681">
        <v>-1.52</v>
      </c>
      <c r="M5681" t="str">
        <f t="shared" si="240"/>
        <v>44/40</v>
      </c>
      <c r="N5681" t="str">
        <f t="shared" si="241"/>
        <v>SW</v>
      </c>
      <c r="O5681" s="1" t="s">
        <v>5870</v>
      </c>
      <c r="P5681" t="str">
        <f t="shared" si="242"/>
        <v>ppm</v>
      </c>
      <c r="Q5681" s="37">
        <v>1.24</v>
      </c>
      <c r="R5681" t="str">
        <f t="shared" si="243"/>
        <v>mmol/mol</v>
      </c>
      <c r="S5681" s="13">
        <f t="shared" si="239"/>
        <v>-1.52</v>
      </c>
    </row>
    <row r="5682" spans="1:19">
      <c r="A5682" s="18" t="s">
        <v>5864</v>
      </c>
      <c r="B5682" s="1" t="s">
        <v>634</v>
      </c>
      <c r="C5682" s="1" t="s">
        <v>5865</v>
      </c>
      <c r="D5682" s="1" t="s">
        <v>5866</v>
      </c>
      <c r="E5682" s="1" t="s">
        <v>1182</v>
      </c>
      <c r="F5682">
        <f>VLOOKUP(E5682,Legends!$G$2:$I$100,2,FALSE)</f>
        <v>423</v>
      </c>
      <c r="G5682">
        <f>VLOOKUP(E5682,Legends!$G$2:$I$100,3,FALSE)</f>
        <v>425.6</v>
      </c>
      <c r="H5682">
        <v>2.14</v>
      </c>
      <c r="I5682" s="1" t="s">
        <v>1528</v>
      </c>
      <c r="J5682" s="1" t="s">
        <v>1336</v>
      </c>
      <c r="K5682" s="1" t="s">
        <v>25</v>
      </c>
      <c r="L5682">
        <v>-1.61</v>
      </c>
      <c r="M5682" t="str">
        <f t="shared" si="240"/>
        <v>44/40</v>
      </c>
      <c r="N5682" t="str">
        <f t="shared" si="241"/>
        <v>SW</v>
      </c>
      <c r="O5682" s="1" t="s">
        <v>5871</v>
      </c>
      <c r="P5682" t="str">
        <f t="shared" si="242"/>
        <v>ppm</v>
      </c>
      <c r="Q5682" s="37">
        <v>1.1299999999999999</v>
      </c>
      <c r="R5682" t="str">
        <f t="shared" si="243"/>
        <v>mmol/mol</v>
      </c>
      <c r="S5682" s="13">
        <f t="shared" si="239"/>
        <v>-1.61</v>
      </c>
    </row>
    <row r="5683" spans="1:19">
      <c r="A5683" s="18" t="s">
        <v>5864</v>
      </c>
      <c r="B5683" s="1" t="s">
        <v>637</v>
      </c>
      <c r="C5683" s="1" t="s">
        <v>5865</v>
      </c>
      <c r="D5683" s="1" t="s">
        <v>5866</v>
      </c>
      <c r="E5683" s="1" t="s">
        <v>1182</v>
      </c>
      <c r="F5683">
        <f>VLOOKUP(E5683,Legends!$G$2:$I$100,2,FALSE)</f>
        <v>423</v>
      </c>
      <c r="G5683">
        <f>VLOOKUP(E5683,Legends!$G$2:$I$100,3,FALSE)</f>
        <v>425.6</v>
      </c>
      <c r="H5683">
        <v>2.69</v>
      </c>
      <c r="I5683" s="1" t="s">
        <v>1528</v>
      </c>
      <c r="J5683" s="1" t="s">
        <v>1336</v>
      </c>
      <c r="K5683" s="1" t="s">
        <v>25</v>
      </c>
      <c r="L5683">
        <v>-1.67</v>
      </c>
      <c r="M5683" t="str">
        <f t="shared" si="240"/>
        <v>44/40</v>
      </c>
      <c r="N5683" t="str">
        <f t="shared" si="241"/>
        <v>SW</v>
      </c>
      <c r="O5683" s="1" t="s">
        <v>5872</v>
      </c>
      <c r="P5683" t="str">
        <f t="shared" si="242"/>
        <v>ppm</v>
      </c>
      <c r="Q5683" s="37">
        <v>1.1399999999999999</v>
      </c>
      <c r="R5683" t="str">
        <f t="shared" si="243"/>
        <v>mmol/mol</v>
      </c>
      <c r="S5683" s="13">
        <f t="shared" si="239"/>
        <v>-1.67</v>
      </c>
    </row>
    <row r="5684" spans="1:19">
      <c r="A5684" s="18" t="s">
        <v>5864</v>
      </c>
      <c r="B5684" s="1" t="s">
        <v>638</v>
      </c>
      <c r="C5684" s="1" t="s">
        <v>5865</v>
      </c>
      <c r="D5684" s="1" t="s">
        <v>5866</v>
      </c>
      <c r="E5684" s="1" t="s">
        <v>1182</v>
      </c>
      <c r="F5684">
        <f>VLOOKUP(E5684,Legends!$G$2:$I$100,2,FALSE)</f>
        <v>423</v>
      </c>
      <c r="G5684">
        <f>VLOOKUP(E5684,Legends!$G$2:$I$100,3,FALSE)</f>
        <v>425.6</v>
      </c>
      <c r="H5684">
        <v>3.34</v>
      </c>
      <c r="I5684" s="1" t="s">
        <v>1528</v>
      </c>
      <c r="J5684" s="1" t="s">
        <v>1336</v>
      </c>
      <c r="K5684" s="1" t="s">
        <v>25</v>
      </c>
      <c r="L5684" t="s">
        <v>25</v>
      </c>
      <c r="M5684" t="str">
        <f t="shared" si="240"/>
        <v>Na</v>
      </c>
      <c r="N5684" t="str">
        <f t="shared" si="241"/>
        <v>Na</v>
      </c>
      <c r="O5684" s="1" t="s">
        <v>25</v>
      </c>
      <c r="P5684" t="str">
        <f t="shared" si="242"/>
        <v>Na</v>
      </c>
      <c r="Q5684" s="37" t="s">
        <v>25</v>
      </c>
      <c r="R5684" t="str">
        <f t="shared" si="243"/>
        <v>Na</v>
      </c>
      <c r="S5684" s="13" t="s">
        <v>25</v>
      </c>
    </row>
    <row r="5685" spans="1:19">
      <c r="A5685" s="18" t="s">
        <v>5864</v>
      </c>
      <c r="B5685" s="1" t="s">
        <v>641</v>
      </c>
      <c r="C5685" s="1" t="s">
        <v>5865</v>
      </c>
      <c r="D5685" s="1" t="s">
        <v>5866</v>
      </c>
      <c r="E5685" s="1" t="s">
        <v>1182</v>
      </c>
      <c r="F5685">
        <f>VLOOKUP(E5685,Legends!$G$2:$I$100,2,FALSE)</f>
        <v>423</v>
      </c>
      <c r="G5685">
        <f>VLOOKUP(E5685,Legends!$G$2:$I$100,3,FALSE)</f>
        <v>425.6</v>
      </c>
      <c r="H5685">
        <v>3.62</v>
      </c>
      <c r="I5685" s="1" t="s">
        <v>1528</v>
      </c>
      <c r="J5685" s="1" t="s">
        <v>1336</v>
      </c>
      <c r="K5685" s="1" t="s">
        <v>25</v>
      </c>
      <c r="L5685" t="s">
        <v>25</v>
      </c>
      <c r="M5685" t="str">
        <f t="shared" si="240"/>
        <v>Na</v>
      </c>
      <c r="N5685" t="str">
        <f t="shared" si="241"/>
        <v>Na</v>
      </c>
      <c r="O5685" s="1" t="s">
        <v>25</v>
      </c>
      <c r="P5685" t="str">
        <f t="shared" si="242"/>
        <v>Na</v>
      </c>
      <c r="Q5685" s="37" t="s">
        <v>25</v>
      </c>
      <c r="R5685" t="str">
        <f t="shared" si="243"/>
        <v>Na</v>
      </c>
      <c r="S5685" s="13" t="s">
        <v>25</v>
      </c>
    </row>
    <row r="5686" spans="1:19">
      <c r="A5686" s="18" t="s">
        <v>5864</v>
      </c>
      <c r="B5686" s="1" t="s">
        <v>642</v>
      </c>
      <c r="C5686" s="1" t="s">
        <v>5865</v>
      </c>
      <c r="D5686" s="1" t="s">
        <v>5866</v>
      </c>
      <c r="E5686" s="1" t="s">
        <v>1182</v>
      </c>
      <c r="F5686">
        <f>VLOOKUP(E5686,Legends!$G$2:$I$100,2,FALSE)</f>
        <v>423</v>
      </c>
      <c r="G5686">
        <f>VLOOKUP(E5686,Legends!$G$2:$I$100,3,FALSE)</f>
        <v>425.6</v>
      </c>
      <c r="H5686">
        <v>3.9</v>
      </c>
      <c r="I5686" s="1" t="s">
        <v>1528</v>
      </c>
      <c r="J5686" s="1" t="s">
        <v>1336</v>
      </c>
      <c r="K5686" s="1" t="s">
        <v>25</v>
      </c>
      <c r="L5686">
        <v>-1.49</v>
      </c>
      <c r="M5686" t="str">
        <f t="shared" si="240"/>
        <v>44/40</v>
      </c>
      <c r="N5686" t="str">
        <f t="shared" si="241"/>
        <v>SW</v>
      </c>
      <c r="O5686" s="1" t="s">
        <v>5873</v>
      </c>
      <c r="P5686" t="str">
        <f t="shared" si="242"/>
        <v>ppm</v>
      </c>
      <c r="Q5686" s="37">
        <v>0.97</v>
      </c>
      <c r="R5686" t="str">
        <f t="shared" si="243"/>
        <v>mmol/mol</v>
      </c>
      <c r="S5686" s="13">
        <f t="shared" si="239"/>
        <v>-1.49</v>
      </c>
    </row>
    <row r="5687" spans="1:19">
      <c r="A5687" s="18" t="s">
        <v>5864</v>
      </c>
      <c r="B5687" s="1" t="s">
        <v>643</v>
      </c>
      <c r="C5687" s="1" t="s">
        <v>5865</v>
      </c>
      <c r="D5687" s="1" t="s">
        <v>5866</v>
      </c>
      <c r="E5687" s="1" t="s">
        <v>1182</v>
      </c>
      <c r="F5687">
        <f>VLOOKUP(E5687,Legends!$G$2:$I$100,2,FALSE)</f>
        <v>423</v>
      </c>
      <c r="G5687">
        <f>VLOOKUP(E5687,Legends!$G$2:$I$100,3,FALSE)</f>
        <v>425.6</v>
      </c>
      <c r="H5687">
        <v>3.94</v>
      </c>
      <c r="I5687" s="1" t="s">
        <v>1528</v>
      </c>
      <c r="J5687" s="1" t="s">
        <v>1336</v>
      </c>
      <c r="K5687" s="1" t="s">
        <v>25</v>
      </c>
      <c r="L5687" t="s">
        <v>25</v>
      </c>
      <c r="M5687" t="str">
        <f t="shared" si="240"/>
        <v>Na</v>
      </c>
      <c r="N5687" t="str">
        <f t="shared" si="241"/>
        <v>Na</v>
      </c>
      <c r="O5687" s="1" t="s">
        <v>25</v>
      </c>
      <c r="P5687" t="str">
        <f t="shared" si="242"/>
        <v>Na</v>
      </c>
      <c r="Q5687" s="37" t="s">
        <v>25</v>
      </c>
      <c r="R5687" t="str">
        <f t="shared" si="243"/>
        <v>Na</v>
      </c>
      <c r="S5687" s="13" t="s">
        <v>25</v>
      </c>
    </row>
    <row r="5688" spans="1:19">
      <c r="A5688" s="18" t="s">
        <v>5864</v>
      </c>
      <c r="B5688" s="1" t="s">
        <v>644</v>
      </c>
      <c r="C5688" s="1" t="s">
        <v>5865</v>
      </c>
      <c r="D5688" s="1" t="s">
        <v>5866</v>
      </c>
      <c r="E5688" s="1" t="s">
        <v>1182</v>
      </c>
      <c r="F5688">
        <f>VLOOKUP(E5688,Legends!$G$2:$I$100,2,FALSE)</f>
        <v>423</v>
      </c>
      <c r="G5688">
        <f>VLOOKUP(E5688,Legends!$G$2:$I$100,3,FALSE)</f>
        <v>425.6</v>
      </c>
      <c r="H5688">
        <v>4.2</v>
      </c>
      <c r="I5688" s="1" t="s">
        <v>1528</v>
      </c>
      <c r="J5688" s="1" t="s">
        <v>1336</v>
      </c>
      <c r="K5688" s="1" t="s">
        <v>25</v>
      </c>
      <c r="L5688" t="s">
        <v>25</v>
      </c>
      <c r="M5688" t="str">
        <f t="shared" si="240"/>
        <v>Na</v>
      </c>
      <c r="N5688" t="str">
        <f t="shared" si="241"/>
        <v>Na</v>
      </c>
      <c r="O5688" s="1" t="s">
        <v>5874</v>
      </c>
      <c r="P5688" t="str">
        <f t="shared" si="242"/>
        <v>ppm</v>
      </c>
      <c r="Q5688" s="37">
        <v>0.91</v>
      </c>
      <c r="R5688" t="str">
        <f t="shared" si="243"/>
        <v>mmol/mol</v>
      </c>
      <c r="S5688" s="13" t="s">
        <v>25</v>
      </c>
    </row>
    <row r="5689" spans="1:19">
      <c r="A5689" s="18" t="s">
        <v>5864</v>
      </c>
      <c r="B5689" s="1" t="s">
        <v>645</v>
      </c>
      <c r="C5689" s="1" t="s">
        <v>5865</v>
      </c>
      <c r="D5689" s="1" t="s">
        <v>5866</v>
      </c>
      <c r="E5689" s="1" t="s">
        <v>1182</v>
      </c>
      <c r="F5689">
        <f>VLOOKUP(E5689,Legends!$G$2:$I$100,2,FALSE)</f>
        <v>423</v>
      </c>
      <c r="G5689">
        <f>VLOOKUP(E5689,Legends!$G$2:$I$100,3,FALSE)</f>
        <v>425.6</v>
      </c>
      <c r="H5689">
        <v>4.2300000000000004</v>
      </c>
      <c r="I5689" s="1" t="s">
        <v>1528</v>
      </c>
      <c r="J5689" s="1" t="s">
        <v>1336</v>
      </c>
      <c r="K5689" s="1" t="s">
        <v>25</v>
      </c>
      <c r="L5689" t="s">
        <v>25</v>
      </c>
      <c r="M5689" t="str">
        <f t="shared" si="240"/>
        <v>Na</v>
      </c>
      <c r="N5689" t="str">
        <f t="shared" si="241"/>
        <v>Na</v>
      </c>
      <c r="O5689" s="1" t="s">
        <v>25</v>
      </c>
      <c r="P5689" t="str">
        <f t="shared" si="242"/>
        <v>Na</v>
      </c>
      <c r="Q5689" s="37" t="s">
        <v>25</v>
      </c>
      <c r="R5689" t="str">
        <f t="shared" si="243"/>
        <v>Na</v>
      </c>
      <c r="S5689" s="13" t="s">
        <v>25</v>
      </c>
    </row>
    <row r="5690" spans="1:19">
      <c r="A5690" s="18" t="s">
        <v>5864</v>
      </c>
      <c r="B5690" s="1" t="s">
        <v>648</v>
      </c>
      <c r="C5690" s="1" t="s">
        <v>5865</v>
      </c>
      <c r="D5690" s="1" t="s">
        <v>5866</v>
      </c>
      <c r="E5690" s="1" t="s">
        <v>1182</v>
      </c>
      <c r="F5690">
        <f>VLOOKUP(E5690,Legends!$G$2:$I$100,2,FALSE)</f>
        <v>423</v>
      </c>
      <c r="G5690">
        <f>VLOOKUP(E5690,Legends!$G$2:$I$100,3,FALSE)</f>
        <v>425.6</v>
      </c>
      <c r="H5690">
        <v>4.4000000000000004</v>
      </c>
      <c r="I5690" s="1" t="s">
        <v>1528</v>
      </c>
      <c r="J5690" s="1" t="s">
        <v>1336</v>
      </c>
      <c r="K5690" s="1" t="s">
        <v>25</v>
      </c>
      <c r="L5690">
        <v>-1.51</v>
      </c>
      <c r="M5690" t="str">
        <f t="shared" si="240"/>
        <v>44/40</v>
      </c>
      <c r="N5690" t="str">
        <f t="shared" si="241"/>
        <v>SW</v>
      </c>
      <c r="O5690" s="1" t="s">
        <v>5875</v>
      </c>
      <c r="P5690" t="str">
        <f t="shared" si="242"/>
        <v>ppm</v>
      </c>
      <c r="Q5690" s="37">
        <v>0.89</v>
      </c>
      <c r="R5690" t="str">
        <f t="shared" si="243"/>
        <v>mmol/mol</v>
      </c>
      <c r="S5690" s="13">
        <f t="shared" ref="S5690:S5753" si="244">IF(NOT(N5690="SW"),L5690-1.88,L5690)</f>
        <v>-1.51</v>
      </c>
    </row>
    <row r="5691" spans="1:19">
      <c r="A5691" s="18" t="s">
        <v>5864</v>
      </c>
      <c r="B5691" s="1" t="s">
        <v>649</v>
      </c>
      <c r="C5691" s="1" t="s">
        <v>5865</v>
      </c>
      <c r="D5691" s="1" t="s">
        <v>5866</v>
      </c>
      <c r="E5691" s="1" t="s">
        <v>1182</v>
      </c>
      <c r="F5691">
        <f>VLOOKUP(E5691,Legends!$G$2:$I$100,2,FALSE)</f>
        <v>423</v>
      </c>
      <c r="G5691">
        <f>VLOOKUP(E5691,Legends!$G$2:$I$100,3,FALSE)</f>
        <v>425.6</v>
      </c>
      <c r="H5691">
        <v>4.5199999999999996</v>
      </c>
      <c r="I5691" s="1" t="s">
        <v>1528</v>
      </c>
      <c r="J5691" s="1" t="s">
        <v>1336</v>
      </c>
      <c r="K5691" s="1" t="s">
        <v>25</v>
      </c>
      <c r="L5691" t="s">
        <v>25</v>
      </c>
      <c r="M5691" t="str">
        <f t="shared" si="240"/>
        <v>Na</v>
      </c>
      <c r="N5691" t="str">
        <f t="shared" si="241"/>
        <v>Na</v>
      </c>
      <c r="O5691" s="1" t="s">
        <v>5876</v>
      </c>
      <c r="P5691" t="str">
        <f t="shared" si="242"/>
        <v>ppm</v>
      </c>
      <c r="Q5691" s="37">
        <v>0.81</v>
      </c>
      <c r="R5691" t="str">
        <f t="shared" si="243"/>
        <v>mmol/mol</v>
      </c>
      <c r="S5691" s="13" t="s">
        <v>25</v>
      </c>
    </row>
    <row r="5692" spans="1:19">
      <c r="A5692" s="18" t="s">
        <v>5864</v>
      </c>
      <c r="B5692" s="1" t="s">
        <v>650</v>
      </c>
      <c r="C5692" s="1" t="s">
        <v>5865</v>
      </c>
      <c r="D5692" s="1" t="s">
        <v>5866</v>
      </c>
      <c r="E5692" s="1" t="s">
        <v>1182</v>
      </c>
      <c r="F5692">
        <f>VLOOKUP(E5692,Legends!$G$2:$I$100,2,FALSE)</f>
        <v>423</v>
      </c>
      <c r="G5692">
        <f>VLOOKUP(E5692,Legends!$G$2:$I$100,3,FALSE)</f>
        <v>425.6</v>
      </c>
      <c r="H5692">
        <v>4.5999999999999996</v>
      </c>
      <c r="I5692" s="1" t="s">
        <v>1528</v>
      </c>
      <c r="J5692" s="1" t="s">
        <v>1336</v>
      </c>
      <c r="K5692" s="1" t="s">
        <v>25</v>
      </c>
      <c r="L5692" t="s">
        <v>25</v>
      </c>
      <c r="M5692" t="str">
        <f t="shared" si="240"/>
        <v>Na</v>
      </c>
      <c r="N5692" t="str">
        <f t="shared" si="241"/>
        <v>Na</v>
      </c>
      <c r="O5692" s="1" t="s">
        <v>25</v>
      </c>
      <c r="P5692" t="str">
        <f t="shared" si="242"/>
        <v>Na</v>
      </c>
      <c r="Q5692" s="37" t="s">
        <v>25</v>
      </c>
      <c r="R5692" t="str">
        <f t="shared" si="243"/>
        <v>Na</v>
      </c>
      <c r="S5692" s="13" t="s">
        <v>25</v>
      </c>
    </row>
    <row r="5693" spans="1:19">
      <c r="A5693" s="18" t="s">
        <v>5864</v>
      </c>
      <c r="B5693" s="1" t="s">
        <v>652</v>
      </c>
      <c r="C5693" s="1" t="s">
        <v>5865</v>
      </c>
      <c r="D5693" s="1" t="s">
        <v>5866</v>
      </c>
      <c r="E5693" s="1" t="s">
        <v>1182</v>
      </c>
      <c r="F5693">
        <f>VLOOKUP(E5693,Legends!$G$2:$I$100,2,FALSE)</f>
        <v>423</v>
      </c>
      <c r="G5693">
        <f>VLOOKUP(E5693,Legends!$G$2:$I$100,3,FALSE)</f>
        <v>425.6</v>
      </c>
      <c r="H5693">
        <v>4.8</v>
      </c>
      <c r="I5693" s="1" t="s">
        <v>1528</v>
      </c>
      <c r="J5693" s="1" t="s">
        <v>1336</v>
      </c>
      <c r="K5693" s="1" t="s">
        <v>25</v>
      </c>
      <c r="L5693" t="s">
        <v>25</v>
      </c>
      <c r="M5693" t="str">
        <f t="shared" si="240"/>
        <v>Na</v>
      </c>
      <c r="N5693" t="str">
        <f t="shared" si="241"/>
        <v>Na</v>
      </c>
      <c r="O5693" s="1" t="s">
        <v>5877</v>
      </c>
      <c r="P5693" t="str">
        <f t="shared" si="242"/>
        <v>ppm</v>
      </c>
      <c r="Q5693" s="37">
        <v>0.99</v>
      </c>
      <c r="R5693" t="str">
        <f t="shared" si="243"/>
        <v>mmol/mol</v>
      </c>
      <c r="S5693" s="13" t="s">
        <v>25</v>
      </c>
    </row>
    <row r="5694" spans="1:19">
      <c r="A5694" s="18" t="s">
        <v>5864</v>
      </c>
      <c r="B5694" s="1" t="s">
        <v>653</v>
      </c>
      <c r="C5694" s="1" t="s">
        <v>5865</v>
      </c>
      <c r="D5694" s="1" t="s">
        <v>5866</v>
      </c>
      <c r="E5694" s="1" t="s">
        <v>1182</v>
      </c>
      <c r="F5694">
        <f>VLOOKUP(E5694,Legends!$G$2:$I$100,2,FALSE)</f>
        <v>423</v>
      </c>
      <c r="G5694">
        <f>VLOOKUP(E5694,Legends!$G$2:$I$100,3,FALSE)</f>
        <v>425.6</v>
      </c>
      <c r="H5694">
        <v>5.12</v>
      </c>
      <c r="I5694" s="1" t="s">
        <v>1528</v>
      </c>
      <c r="J5694" s="1" t="s">
        <v>1336</v>
      </c>
      <c r="K5694" s="1" t="s">
        <v>25</v>
      </c>
      <c r="L5694">
        <v>-1.04</v>
      </c>
      <c r="M5694" t="str">
        <f t="shared" si="240"/>
        <v>44/40</v>
      </c>
      <c r="N5694" t="str">
        <f t="shared" si="241"/>
        <v>SW</v>
      </c>
      <c r="O5694" s="1" t="s">
        <v>5878</v>
      </c>
      <c r="P5694" t="str">
        <f t="shared" si="242"/>
        <v>ppm</v>
      </c>
      <c r="Q5694" s="37">
        <v>0.69</v>
      </c>
      <c r="R5694" t="str">
        <f t="shared" si="243"/>
        <v>mmol/mol</v>
      </c>
      <c r="S5694" s="13">
        <f t="shared" si="244"/>
        <v>-1.04</v>
      </c>
    </row>
    <row r="5695" spans="1:19">
      <c r="A5695" s="18" t="s">
        <v>5864</v>
      </c>
      <c r="B5695" s="1" t="s">
        <v>655</v>
      </c>
      <c r="C5695" s="1" t="s">
        <v>5865</v>
      </c>
      <c r="D5695" s="1" t="s">
        <v>5866</v>
      </c>
      <c r="E5695" s="1" t="s">
        <v>1182</v>
      </c>
      <c r="F5695">
        <f>VLOOKUP(E5695,Legends!$G$2:$I$100,2,FALSE)</f>
        <v>423</v>
      </c>
      <c r="G5695">
        <f>VLOOKUP(E5695,Legends!$G$2:$I$100,3,FALSE)</f>
        <v>425.6</v>
      </c>
      <c r="H5695">
        <v>5.12</v>
      </c>
      <c r="I5695" s="1" t="s">
        <v>1528</v>
      </c>
      <c r="J5695" s="1" t="s">
        <v>1336</v>
      </c>
      <c r="K5695" s="1" t="s">
        <v>25</v>
      </c>
      <c r="L5695">
        <v>-1.1200000000000001</v>
      </c>
      <c r="M5695" t="str">
        <f t="shared" si="240"/>
        <v>44/40</v>
      </c>
      <c r="N5695" t="str">
        <f t="shared" si="241"/>
        <v>SW</v>
      </c>
      <c r="O5695" s="1" t="s">
        <v>25</v>
      </c>
      <c r="P5695" t="str">
        <f t="shared" si="242"/>
        <v>Na</v>
      </c>
      <c r="Q5695" s="37" t="s">
        <v>25</v>
      </c>
      <c r="R5695" t="str">
        <f t="shared" si="243"/>
        <v>Na</v>
      </c>
      <c r="S5695" s="13">
        <f t="shared" si="244"/>
        <v>-1.1200000000000001</v>
      </c>
    </row>
    <row r="5696" spans="1:19">
      <c r="A5696" s="18" t="s">
        <v>5864</v>
      </c>
      <c r="B5696" s="1" t="s">
        <v>657</v>
      </c>
      <c r="C5696" s="1" t="s">
        <v>5865</v>
      </c>
      <c r="D5696" s="1" t="s">
        <v>5866</v>
      </c>
      <c r="E5696" s="1" t="s">
        <v>1182</v>
      </c>
      <c r="F5696">
        <f>VLOOKUP(E5696,Legends!$G$2:$I$100,2,FALSE)</f>
        <v>423</v>
      </c>
      <c r="G5696">
        <f>VLOOKUP(E5696,Legends!$G$2:$I$100,3,FALSE)</f>
        <v>425.6</v>
      </c>
      <c r="H5696">
        <v>5.14</v>
      </c>
      <c r="I5696" s="1" t="s">
        <v>1528</v>
      </c>
      <c r="J5696" s="1" t="s">
        <v>1336</v>
      </c>
      <c r="K5696" s="1" t="s">
        <v>25</v>
      </c>
      <c r="L5696" t="s">
        <v>25</v>
      </c>
      <c r="M5696" t="str">
        <f t="shared" si="240"/>
        <v>Na</v>
      </c>
      <c r="N5696" t="str">
        <f t="shared" si="241"/>
        <v>Na</v>
      </c>
      <c r="O5696" s="1" t="s">
        <v>25</v>
      </c>
      <c r="P5696" t="str">
        <f t="shared" si="242"/>
        <v>Na</v>
      </c>
      <c r="Q5696" s="37" t="s">
        <v>25</v>
      </c>
      <c r="R5696" t="str">
        <f t="shared" si="243"/>
        <v>Na</v>
      </c>
      <c r="S5696" s="13" t="s">
        <v>25</v>
      </c>
    </row>
    <row r="5697" spans="1:19">
      <c r="A5697" s="18" t="s">
        <v>5864</v>
      </c>
      <c r="B5697" s="1" t="s">
        <v>659</v>
      </c>
      <c r="C5697" s="1" t="s">
        <v>5865</v>
      </c>
      <c r="D5697" s="1" t="s">
        <v>5866</v>
      </c>
      <c r="E5697" s="1" t="s">
        <v>1182</v>
      </c>
      <c r="F5697">
        <f>VLOOKUP(E5697,Legends!$G$2:$I$100,2,FALSE)</f>
        <v>423</v>
      </c>
      <c r="G5697">
        <f>VLOOKUP(E5697,Legends!$G$2:$I$100,3,FALSE)</f>
        <v>425.6</v>
      </c>
      <c r="H5697">
        <v>5.2</v>
      </c>
      <c r="I5697" s="1" t="s">
        <v>1528</v>
      </c>
      <c r="J5697" s="1" t="s">
        <v>1336</v>
      </c>
      <c r="K5697" s="1" t="s">
        <v>25</v>
      </c>
      <c r="L5697">
        <v>-1.26</v>
      </c>
      <c r="M5697" t="str">
        <f t="shared" si="240"/>
        <v>44/40</v>
      </c>
      <c r="N5697" t="str">
        <f t="shared" si="241"/>
        <v>SW</v>
      </c>
      <c r="O5697" s="1" t="s">
        <v>5879</v>
      </c>
      <c r="P5697" t="str">
        <f t="shared" si="242"/>
        <v>ppm</v>
      </c>
      <c r="Q5697" s="37">
        <v>0.77</v>
      </c>
      <c r="R5697" t="str">
        <f t="shared" si="243"/>
        <v>mmol/mol</v>
      </c>
      <c r="S5697" s="13">
        <f t="shared" si="244"/>
        <v>-1.26</v>
      </c>
    </row>
    <row r="5698" spans="1:19">
      <c r="A5698" s="18" t="s">
        <v>5864</v>
      </c>
      <c r="B5698" s="1" t="s">
        <v>661</v>
      </c>
      <c r="C5698" s="1" t="s">
        <v>5865</v>
      </c>
      <c r="D5698" s="1" t="s">
        <v>5866</v>
      </c>
      <c r="E5698" s="1" t="s">
        <v>1182</v>
      </c>
      <c r="F5698">
        <f>VLOOKUP(E5698,Legends!$G$2:$I$100,2,FALSE)</f>
        <v>423</v>
      </c>
      <c r="G5698">
        <f>VLOOKUP(E5698,Legends!$G$2:$I$100,3,FALSE)</f>
        <v>425.6</v>
      </c>
      <c r="H5698">
        <v>5.41</v>
      </c>
      <c r="I5698" s="1" t="s">
        <v>1528</v>
      </c>
      <c r="J5698" s="1" t="s">
        <v>1336</v>
      </c>
      <c r="K5698" s="1" t="s">
        <v>25</v>
      </c>
      <c r="L5698" t="s">
        <v>25</v>
      </c>
      <c r="M5698" t="str">
        <f t="shared" si="240"/>
        <v>Na</v>
      </c>
      <c r="N5698" t="str">
        <f t="shared" si="241"/>
        <v>Na</v>
      </c>
      <c r="O5698" s="1" t="s">
        <v>25</v>
      </c>
      <c r="P5698" t="str">
        <f t="shared" si="242"/>
        <v>Na</v>
      </c>
      <c r="Q5698" s="37" t="s">
        <v>25</v>
      </c>
      <c r="R5698" t="str">
        <f t="shared" si="243"/>
        <v>Na</v>
      </c>
      <c r="S5698" s="13" t="s">
        <v>25</v>
      </c>
    </row>
    <row r="5699" spans="1:19">
      <c r="A5699" s="18" t="s">
        <v>5864</v>
      </c>
      <c r="B5699" s="1" t="s">
        <v>663</v>
      </c>
      <c r="C5699" s="1" t="s">
        <v>5865</v>
      </c>
      <c r="D5699" s="1" t="s">
        <v>5866</v>
      </c>
      <c r="E5699" s="1" t="s">
        <v>1182</v>
      </c>
      <c r="F5699">
        <f>VLOOKUP(E5699,Legends!$G$2:$I$100,2,FALSE)</f>
        <v>423</v>
      </c>
      <c r="G5699">
        <f>VLOOKUP(E5699,Legends!$G$2:$I$100,3,FALSE)</f>
        <v>425.6</v>
      </c>
      <c r="H5699">
        <v>5.5</v>
      </c>
      <c r="I5699" s="1" t="s">
        <v>1528</v>
      </c>
      <c r="J5699" s="1" t="s">
        <v>1336</v>
      </c>
      <c r="K5699" s="1" t="s">
        <v>25</v>
      </c>
      <c r="L5699">
        <v>-1.53</v>
      </c>
      <c r="M5699" t="str">
        <f t="shared" si="240"/>
        <v>44/40</v>
      </c>
      <c r="N5699" t="str">
        <f t="shared" si="241"/>
        <v>SW</v>
      </c>
      <c r="O5699" s="1" t="s">
        <v>5880</v>
      </c>
      <c r="P5699" t="str">
        <f t="shared" si="242"/>
        <v>ppm</v>
      </c>
      <c r="Q5699" s="37">
        <v>1.01</v>
      </c>
      <c r="R5699" t="str">
        <f t="shared" si="243"/>
        <v>mmol/mol</v>
      </c>
      <c r="S5699" s="13">
        <f t="shared" si="244"/>
        <v>-1.53</v>
      </c>
    </row>
    <row r="5700" spans="1:19">
      <c r="A5700" s="18" t="s">
        <v>5864</v>
      </c>
      <c r="B5700" s="1" t="s">
        <v>666</v>
      </c>
      <c r="C5700" s="1" t="s">
        <v>5865</v>
      </c>
      <c r="D5700" s="1" t="s">
        <v>5866</v>
      </c>
      <c r="E5700" s="1" t="s">
        <v>1182</v>
      </c>
      <c r="F5700">
        <f>VLOOKUP(E5700,Legends!$G$2:$I$100,2,FALSE)</f>
        <v>423</v>
      </c>
      <c r="G5700">
        <f>VLOOKUP(E5700,Legends!$G$2:$I$100,3,FALSE)</f>
        <v>425.6</v>
      </c>
      <c r="H5700">
        <v>5.5</v>
      </c>
      <c r="I5700" s="1" t="s">
        <v>1528</v>
      </c>
      <c r="J5700" s="1" t="s">
        <v>1336</v>
      </c>
      <c r="K5700" s="1" t="s">
        <v>25</v>
      </c>
      <c r="L5700">
        <v>-1.57</v>
      </c>
      <c r="M5700" t="str">
        <f t="shared" si="240"/>
        <v>44/40</v>
      </c>
      <c r="N5700" t="str">
        <f t="shared" si="241"/>
        <v>SW</v>
      </c>
      <c r="O5700" s="1" t="s">
        <v>25</v>
      </c>
      <c r="P5700" t="str">
        <f t="shared" si="242"/>
        <v>Na</v>
      </c>
      <c r="Q5700" s="37" t="s">
        <v>25</v>
      </c>
      <c r="R5700" t="str">
        <f t="shared" si="243"/>
        <v>Na</v>
      </c>
      <c r="S5700" s="13">
        <f t="shared" si="244"/>
        <v>-1.57</v>
      </c>
    </row>
    <row r="5701" spans="1:19">
      <c r="A5701" s="18" t="s">
        <v>5864</v>
      </c>
      <c r="B5701" s="1" t="s">
        <v>667</v>
      </c>
      <c r="C5701" s="1" t="s">
        <v>5865</v>
      </c>
      <c r="D5701" s="1" t="s">
        <v>5866</v>
      </c>
      <c r="E5701" s="1" t="s">
        <v>1182</v>
      </c>
      <c r="F5701">
        <f>VLOOKUP(E5701,Legends!$G$2:$I$100,2,FALSE)</f>
        <v>423</v>
      </c>
      <c r="G5701">
        <f>VLOOKUP(E5701,Legends!$G$2:$I$100,3,FALSE)</f>
        <v>425.6</v>
      </c>
      <c r="H5701">
        <v>5.6</v>
      </c>
      <c r="I5701" s="1" t="s">
        <v>1528</v>
      </c>
      <c r="J5701" s="1" t="s">
        <v>1336</v>
      </c>
      <c r="K5701" s="1" t="s">
        <v>25</v>
      </c>
      <c r="L5701" t="s">
        <v>25</v>
      </c>
      <c r="M5701" t="str">
        <f t="shared" si="240"/>
        <v>Na</v>
      </c>
      <c r="N5701" t="str">
        <f t="shared" si="241"/>
        <v>Na</v>
      </c>
      <c r="O5701" s="1" t="s">
        <v>5881</v>
      </c>
      <c r="P5701" t="str">
        <f t="shared" si="242"/>
        <v>ppm</v>
      </c>
      <c r="Q5701" s="37">
        <v>1.05</v>
      </c>
      <c r="R5701" t="str">
        <f t="shared" si="243"/>
        <v>mmol/mol</v>
      </c>
      <c r="S5701" s="13" t="s">
        <v>25</v>
      </c>
    </row>
    <row r="5702" spans="1:19">
      <c r="A5702" s="18" t="s">
        <v>5864</v>
      </c>
      <c r="B5702" s="1" t="s">
        <v>668</v>
      </c>
      <c r="C5702" s="1" t="s">
        <v>5865</v>
      </c>
      <c r="D5702" s="1" t="s">
        <v>5866</v>
      </c>
      <c r="E5702" s="1" t="s">
        <v>1182</v>
      </c>
      <c r="F5702">
        <f>VLOOKUP(E5702,Legends!$G$2:$I$100,2,FALSE)</f>
        <v>423</v>
      </c>
      <c r="G5702">
        <f>VLOOKUP(E5702,Legends!$G$2:$I$100,3,FALSE)</f>
        <v>425.6</v>
      </c>
      <c r="H5702">
        <v>5.82</v>
      </c>
      <c r="I5702" s="1" t="s">
        <v>1528</v>
      </c>
      <c r="J5702" s="1" t="s">
        <v>1336</v>
      </c>
      <c r="K5702" s="1" t="s">
        <v>25</v>
      </c>
      <c r="L5702" t="s">
        <v>25</v>
      </c>
      <c r="M5702" t="str">
        <f t="shared" si="240"/>
        <v>Na</v>
      </c>
      <c r="N5702" t="str">
        <f t="shared" si="241"/>
        <v>Na</v>
      </c>
      <c r="O5702" s="1" t="s">
        <v>25</v>
      </c>
      <c r="P5702" t="str">
        <f t="shared" si="242"/>
        <v>Na</v>
      </c>
      <c r="Q5702" s="37" t="s">
        <v>25</v>
      </c>
      <c r="R5702" t="str">
        <f t="shared" si="243"/>
        <v>Na</v>
      </c>
      <c r="S5702" s="13" t="s">
        <v>25</v>
      </c>
    </row>
    <row r="5703" spans="1:19">
      <c r="A5703" s="18" t="s">
        <v>5864</v>
      </c>
      <c r="B5703" s="1" t="s">
        <v>671</v>
      </c>
      <c r="C5703" s="1" t="s">
        <v>5865</v>
      </c>
      <c r="D5703" s="1" t="s">
        <v>5866</v>
      </c>
      <c r="E5703" s="1" t="s">
        <v>1182</v>
      </c>
      <c r="F5703">
        <f>VLOOKUP(E5703,Legends!$G$2:$I$100,2,FALSE)</f>
        <v>423</v>
      </c>
      <c r="G5703">
        <f>VLOOKUP(E5703,Legends!$G$2:$I$100,3,FALSE)</f>
        <v>425.6</v>
      </c>
      <c r="H5703">
        <v>6.07</v>
      </c>
      <c r="I5703" s="1" t="s">
        <v>1528</v>
      </c>
      <c r="J5703" s="1" t="s">
        <v>1336</v>
      </c>
      <c r="K5703" s="1" t="s">
        <v>25</v>
      </c>
      <c r="L5703" t="s">
        <v>25</v>
      </c>
      <c r="M5703" t="str">
        <f t="shared" si="240"/>
        <v>Na</v>
      </c>
      <c r="N5703" t="str">
        <f t="shared" si="241"/>
        <v>Na</v>
      </c>
      <c r="O5703" s="1" t="s">
        <v>25</v>
      </c>
      <c r="P5703" t="str">
        <f t="shared" si="242"/>
        <v>Na</v>
      </c>
      <c r="Q5703" s="37" t="s">
        <v>25</v>
      </c>
      <c r="R5703" t="str">
        <f t="shared" si="243"/>
        <v>Na</v>
      </c>
      <c r="S5703" s="13" t="s">
        <v>25</v>
      </c>
    </row>
    <row r="5704" spans="1:19">
      <c r="A5704" s="18" t="s">
        <v>5864</v>
      </c>
      <c r="B5704" s="1" t="s">
        <v>672</v>
      </c>
      <c r="C5704" s="1" t="s">
        <v>5865</v>
      </c>
      <c r="D5704" s="1" t="s">
        <v>5866</v>
      </c>
      <c r="E5704" s="1" t="s">
        <v>1182</v>
      </c>
      <c r="F5704">
        <f>VLOOKUP(E5704,Legends!$G$2:$I$100,2,FALSE)</f>
        <v>423</v>
      </c>
      <c r="G5704">
        <f>VLOOKUP(E5704,Legends!$G$2:$I$100,3,FALSE)</f>
        <v>425.6</v>
      </c>
      <c r="H5704">
        <v>6.1</v>
      </c>
      <c r="I5704" s="1" t="s">
        <v>1528</v>
      </c>
      <c r="J5704" s="1" t="s">
        <v>1336</v>
      </c>
      <c r="K5704" s="1" t="s">
        <v>25</v>
      </c>
      <c r="L5704">
        <v>-1.06</v>
      </c>
      <c r="M5704" t="str">
        <f t="shared" si="240"/>
        <v>44/40</v>
      </c>
      <c r="N5704" t="str">
        <f t="shared" si="241"/>
        <v>SW</v>
      </c>
      <c r="O5704" s="1" t="s">
        <v>5882</v>
      </c>
      <c r="P5704" t="str">
        <f t="shared" si="242"/>
        <v>ppm</v>
      </c>
      <c r="Q5704" s="37">
        <v>0.61</v>
      </c>
      <c r="R5704" t="str">
        <f t="shared" si="243"/>
        <v>mmol/mol</v>
      </c>
      <c r="S5704" s="13">
        <f t="shared" si="244"/>
        <v>-1.06</v>
      </c>
    </row>
    <row r="5705" spans="1:19">
      <c r="A5705" s="18" t="s">
        <v>5864</v>
      </c>
      <c r="B5705" s="1" t="s">
        <v>675</v>
      </c>
      <c r="C5705" s="1" t="s">
        <v>5865</v>
      </c>
      <c r="D5705" s="1" t="s">
        <v>5866</v>
      </c>
      <c r="E5705" s="1" t="s">
        <v>1182</v>
      </c>
      <c r="F5705">
        <f>VLOOKUP(E5705,Legends!$G$2:$I$100,2,FALSE)</f>
        <v>423</v>
      </c>
      <c r="G5705">
        <f>VLOOKUP(E5705,Legends!$G$2:$I$100,3,FALSE)</f>
        <v>425.6</v>
      </c>
      <c r="H5705">
        <v>6.2</v>
      </c>
      <c r="I5705" s="1" t="s">
        <v>1528</v>
      </c>
      <c r="J5705" s="1" t="s">
        <v>1336</v>
      </c>
      <c r="K5705" s="1" t="s">
        <v>25</v>
      </c>
      <c r="L5705">
        <v>-1.56</v>
      </c>
      <c r="M5705" t="str">
        <f t="shared" si="240"/>
        <v>44/40</v>
      </c>
      <c r="N5705" t="str">
        <f t="shared" si="241"/>
        <v>SW</v>
      </c>
      <c r="O5705" s="1" t="s">
        <v>5883</v>
      </c>
      <c r="P5705" t="str">
        <f t="shared" si="242"/>
        <v>ppm</v>
      </c>
      <c r="Q5705" s="37">
        <v>1.29</v>
      </c>
      <c r="R5705" t="str">
        <f t="shared" si="243"/>
        <v>mmol/mol</v>
      </c>
      <c r="S5705" s="13">
        <f t="shared" si="244"/>
        <v>-1.56</v>
      </c>
    </row>
    <row r="5706" spans="1:19">
      <c r="A5706" s="18" t="s">
        <v>5864</v>
      </c>
      <c r="B5706" s="1" t="s">
        <v>677</v>
      </c>
      <c r="C5706" s="1" t="s">
        <v>5865</v>
      </c>
      <c r="D5706" s="1" t="s">
        <v>5866</v>
      </c>
      <c r="E5706" s="1" t="s">
        <v>1182</v>
      </c>
      <c r="F5706">
        <f>VLOOKUP(E5706,Legends!$G$2:$I$100,2,FALSE)</f>
        <v>423</v>
      </c>
      <c r="G5706">
        <f>VLOOKUP(E5706,Legends!$G$2:$I$100,3,FALSE)</f>
        <v>425.6</v>
      </c>
      <c r="H5706">
        <v>6.3</v>
      </c>
      <c r="I5706" s="1" t="s">
        <v>1528</v>
      </c>
      <c r="J5706" s="1" t="s">
        <v>1336</v>
      </c>
      <c r="K5706" s="1" t="s">
        <v>25</v>
      </c>
      <c r="L5706" t="s">
        <v>25</v>
      </c>
      <c r="M5706" t="str">
        <f t="shared" si="240"/>
        <v>Na</v>
      </c>
      <c r="N5706" t="str">
        <f t="shared" si="241"/>
        <v>Na</v>
      </c>
      <c r="O5706" s="1" t="s">
        <v>25</v>
      </c>
      <c r="P5706" t="str">
        <f t="shared" si="242"/>
        <v>Na</v>
      </c>
      <c r="Q5706" s="37" t="s">
        <v>25</v>
      </c>
      <c r="R5706" t="str">
        <f t="shared" si="243"/>
        <v>Na</v>
      </c>
      <c r="S5706" s="13" t="s">
        <v>25</v>
      </c>
    </row>
    <row r="5707" spans="1:19">
      <c r="A5707" s="18" t="s">
        <v>5864</v>
      </c>
      <c r="B5707" s="1" t="s">
        <v>678</v>
      </c>
      <c r="C5707" s="1" t="s">
        <v>5865</v>
      </c>
      <c r="D5707" s="1" t="s">
        <v>5866</v>
      </c>
      <c r="E5707" s="1" t="s">
        <v>1182</v>
      </c>
      <c r="F5707">
        <f>VLOOKUP(E5707,Legends!$G$2:$I$100,2,FALSE)</f>
        <v>423</v>
      </c>
      <c r="G5707">
        <f>VLOOKUP(E5707,Legends!$G$2:$I$100,3,FALSE)</f>
        <v>425.6</v>
      </c>
      <c r="H5707">
        <v>6.42</v>
      </c>
      <c r="I5707" s="1" t="s">
        <v>1528</v>
      </c>
      <c r="J5707" s="1" t="s">
        <v>1336</v>
      </c>
      <c r="K5707" s="1" t="s">
        <v>25</v>
      </c>
      <c r="L5707" t="s">
        <v>25</v>
      </c>
      <c r="M5707" t="str">
        <f t="shared" si="240"/>
        <v>Na</v>
      </c>
      <c r="N5707" t="str">
        <f t="shared" si="241"/>
        <v>Na</v>
      </c>
      <c r="O5707" s="1" t="s">
        <v>25</v>
      </c>
      <c r="P5707" t="str">
        <f t="shared" si="242"/>
        <v>Na</v>
      </c>
      <c r="Q5707" s="37" t="s">
        <v>25</v>
      </c>
      <c r="R5707" t="str">
        <f t="shared" si="243"/>
        <v>Na</v>
      </c>
      <c r="S5707" s="13" t="s">
        <v>25</v>
      </c>
    </row>
    <row r="5708" spans="1:19">
      <c r="A5708" s="18" t="s">
        <v>5864</v>
      </c>
      <c r="B5708" s="1" t="s">
        <v>679</v>
      </c>
      <c r="C5708" s="1" t="s">
        <v>5865</v>
      </c>
      <c r="D5708" s="1" t="s">
        <v>5866</v>
      </c>
      <c r="E5708" s="1" t="s">
        <v>1182</v>
      </c>
      <c r="F5708">
        <f>VLOOKUP(E5708,Legends!$G$2:$I$100,2,FALSE)</f>
        <v>423</v>
      </c>
      <c r="G5708">
        <f>VLOOKUP(E5708,Legends!$G$2:$I$100,3,FALSE)</f>
        <v>425.6</v>
      </c>
      <c r="H5708">
        <v>6.52</v>
      </c>
      <c r="I5708" s="1" t="s">
        <v>1528</v>
      </c>
      <c r="J5708" s="1" t="s">
        <v>1336</v>
      </c>
      <c r="K5708" s="1" t="s">
        <v>25</v>
      </c>
      <c r="L5708" t="s">
        <v>25</v>
      </c>
      <c r="M5708" t="str">
        <f t="shared" si="240"/>
        <v>Na</v>
      </c>
      <c r="N5708" t="str">
        <f t="shared" si="241"/>
        <v>Na</v>
      </c>
      <c r="O5708" s="1" t="s">
        <v>5884</v>
      </c>
      <c r="P5708" t="str">
        <f t="shared" si="242"/>
        <v>ppm</v>
      </c>
      <c r="Q5708" s="37">
        <v>1.18</v>
      </c>
      <c r="R5708" t="str">
        <f t="shared" si="243"/>
        <v>mmol/mol</v>
      </c>
      <c r="S5708" s="13" t="s">
        <v>25</v>
      </c>
    </row>
    <row r="5709" spans="1:19">
      <c r="A5709" s="18" t="s">
        <v>5864</v>
      </c>
      <c r="B5709" s="1" t="s">
        <v>1016</v>
      </c>
      <c r="C5709" s="1" t="s">
        <v>5865</v>
      </c>
      <c r="D5709" s="1" t="s">
        <v>5866</v>
      </c>
      <c r="E5709" s="1" t="s">
        <v>1182</v>
      </c>
      <c r="F5709">
        <f>VLOOKUP(E5709,Legends!$G$2:$I$100,2,FALSE)</f>
        <v>423</v>
      </c>
      <c r="G5709">
        <f>VLOOKUP(E5709,Legends!$G$2:$I$100,3,FALSE)</f>
        <v>425.6</v>
      </c>
      <c r="H5709">
        <v>6.6</v>
      </c>
      <c r="I5709" s="1" t="s">
        <v>1528</v>
      </c>
      <c r="J5709" s="1" t="s">
        <v>1336</v>
      </c>
      <c r="K5709" s="1" t="s">
        <v>25</v>
      </c>
      <c r="L5709" t="s">
        <v>25</v>
      </c>
      <c r="M5709" t="str">
        <f t="shared" si="240"/>
        <v>Na</v>
      </c>
      <c r="N5709" t="str">
        <f t="shared" si="241"/>
        <v>Na</v>
      </c>
      <c r="O5709" s="1" t="s">
        <v>5885</v>
      </c>
      <c r="P5709" t="str">
        <f t="shared" si="242"/>
        <v>ppm</v>
      </c>
      <c r="Q5709" s="37">
        <v>1.2</v>
      </c>
      <c r="R5709" t="str">
        <f t="shared" si="243"/>
        <v>mmol/mol</v>
      </c>
      <c r="S5709" s="13" t="s">
        <v>25</v>
      </c>
    </row>
    <row r="5710" spans="1:19">
      <c r="A5710" s="18" t="s">
        <v>5864</v>
      </c>
      <c r="B5710" s="1" t="s">
        <v>1338</v>
      </c>
      <c r="C5710" s="1" t="s">
        <v>5865</v>
      </c>
      <c r="D5710" s="1" t="s">
        <v>5866</v>
      </c>
      <c r="E5710" s="1" t="s">
        <v>1182</v>
      </c>
      <c r="F5710">
        <f>VLOOKUP(E5710,Legends!$G$2:$I$100,2,FALSE)</f>
        <v>423</v>
      </c>
      <c r="G5710">
        <f>VLOOKUP(E5710,Legends!$G$2:$I$100,3,FALSE)</f>
        <v>425.6</v>
      </c>
      <c r="H5710">
        <v>6.71</v>
      </c>
      <c r="I5710" s="1" t="s">
        <v>1528</v>
      </c>
      <c r="J5710" s="1" t="s">
        <v>1336</v>
      </c>
      <c r="K5710" s="1" t="s">
        <v>25</v>
      </c>
      <c r="L5710" t="s">
        <v>25</v>
      </c>
      <c r="M5710" t="str">
        <f t="shared" si="240"/>
        <v>Na</v>
      </c>
      <c r="N5710" t="str">
        <f t="shared" si="241"/>
        <v>Na</v>
      </c>
      <c r="O5710" s="1" t="s">
        <v>25</v>
      </c>
      <c r="P5710" t="str">
        <f t="shared" si="242"/>
        <v>Na</v>
      </c>
      <c r="Q5710" s="37" t="s">
        <v>25</v>
      </c>
      <c r="R5710" t="str">
        <f t="shared" si="243"/>
        <v>Na</v>
      </c>
      <c r="S5710" s="13" t="s">
        <v>25</v>
      </c>
    </row>
    <row r="5711" spans="1:19">
      <c r="A5711" s="18" t="s">
        <v>5864</v>
      </c>
      <c r="B5711" s="1" t="s">
        <v>1339</v>
      </c>
      <c r="C5711" s="1" t="s">
        <v>5865</v>
      </c>
      <c r="D5711" s="1" t="s">
        <v>5866</v>
      </c>
      <c r="E5711" s="1" t="s">
        <v>1182</v>
      </c>
      <c r="F5711">
        <f>VLOOKUP(E5711,Legends!$G$2:$I$100,2,FALSE)</f>
        <v>423</v>
      </c>
      <c r="G5711">
        <f>VLOOKUP(E5711,Legends!$G$2:$I$100,3,FALSE)</f>
        <v>425.6</v>
      </c>
      <c r="H5711">
        <v>6.81</v>
      </c>
      <c r="I5711" s="1" t="s">
        <v>1528</v>
      </c>
      <c r="J5711" s="1" t="s">
        <v>1336</v>
      </c>
      <c r="K5711" s="1" t="s">
        <v>25</v>
      </c>
      <c r="L5711" t="s">
        <v>25</v>
      </c>
      <c r="M5711" t="str">
        <f t="shared" si="240"/>
        <v>Na</v>
      </c>
      <c r="N5711" t="str">
        <f t="shared" si="241"/>
        <v>Na</v>
      </c>
      <c r="O5711" s="1" t="s">
        <v>5886</v>
      </c>
      <c r="P5711" t="str">
        <f t="shared" si="242"/>
        <v>ppm</v>
      </c>
      <c r="Q5711" s="37">
        <v>1.1399999999999999</v>
      </c>
      <c r="R5711" t="str">
        <f t="shared" si="243"/>
        <v>mmol/mol</v>
      </c>
      <c r="S5711" s="13" t="s">
        <v>25</v>
      </c>
    </row>
    <row r="5712" spans="1:19">
      <c r="A5712" s="18" t="s">
        <v>5864</v>
      </c>
      <c r="B5712" s="1" t="s">
        <v>1340</v>
      </c>
      <c r="C5712" s="1" t="s">
        <v>5865</v>
      </c>
      <c r="D5712" s="1" t="s">
        <v>5866</v>
      </c>
      <c r="E5712" s="1" t="s">
        <v>1182</v>
      </c>
      <c r="F5712">
        <f>VLOOKUP(E5712,Legends!$G$2:$I$100,2,FALSE)</f>
        <v>423</v>
      </c>
      <c r="G5712">
        <f>VLOOKUP(E5712,Legends!$G$2:$I$100,3,FALSE)</f>
        <v>425.6</v>
      </c>
      <c r="H5712">
        <v>6.9</v>
      </c>
      <c r="I5712" s="1" t="s">
        <v>1528</v>
      </c>
      <c r="J5712" s="1" t="s">
        <v>1336</v>
      </c>
      <c r="K5712" s="1" t="s">
        <v>25</v>
      </c>
      <c r="L5712" t="s">
        <v>25</v>
      </c>
      <c r="M5712" t="str">
        <f t="shared" si="240"/>
        <v>Na</v>
      </c>
      <c r="N5712" t="str">
        <f t="shared" si="241"/>
        <v>Na</v>
      </c>
      <c r="O5712" s="1" t="s">
        <v>5887</v>
      </c>
      <c r="P5712" t="str">
        <f t="shared" si="242"/>
        <v>ppm</v>
      </c>
      <c r="Q5712" s="37">
        <v>1.1000000000000001</v>
      </c>
      <c r="R5712" t="str">
        <f t="shared" si="243"/>
        <v>mmol/mol</v>
      </c>
      <c r="S5712" s="13" t="s">
        <v>25</v>
      </c>
    </row>
    <row r="5713" spans="1:19">
      <c r="A5713" s="18" t="s">
        <v>5864</v>
      </c>
      <c r="B5713" s="1" t="s">
        <v>1341</v>
      </c>
      <c r="C5713" s="1" t="s">
        <v>5865</v>
      </c>
      <c r="D5713" s="1" t="s">
        <v>5866</v>
      </c>
      <c r="E5713" s="1" t="s">
        <v>1182</v>
      </c>
      <c r="F5713">
        <f>VLOOKUP(E5713,Legends!$G$2:$I$100,2,FALSE)</f>
        <v>423</v>
      </c>
      <c r="G5713">
        <f>VLOOKUP(E5713,Legends!$G$2:$I$100,3,FALSE)</f>
        <v>425.6</v>
      </c>
      <c r="H5713">
        <v>7</v>
      </c>
      <c r="I5713" s="1" t="s">
        <v>1528</v>
      </c>
      <c r="J5713" s="1" t="s">
        <v>1336</v>
      </c>
      <c r="K5713" s="1" t="s">
        <v>25</v>
      </c>
      <c r="L5713" t="s">
        <v>25</v>
      </c>
      <c r="M5713" t="str">
        <f t="shared" si="240"/>
        <v>Na</v>
      </c>
      <c r="N5713" t="str">
        <f t="shared" si="241"/>
        <v>Na</v>
      </c>
      <c r="O5713" s="1" t="s">
        <v>25</v>
      </c>
      <c r="P5713" t="str">
        <f t="shared" si="242"/>
        <v>Na</v>
      </c>
      <c r="Q5713" s="37" t="s">
        <v>25</v>
      </c>
      <c r="R5713" t="str">
        <f t="shared" si="243"/>
        <v>Na</v>
      </c>
      <c r="S5713" s="13" t="s">
        <v>25</v>
      </c>
    </row>
    <row r="5714" spans="1:19">
      <c r="A5714" s="18" t="s">
        <v>5864</v>
      </c>
      <c r="B5714" s="1" t="s">
        <v>1342</v>
      </c>
      <c r="C5714" s="1" t="s">
        <v>5865</v>
      </c>
      <c r="D5714" s="1" t="s">
        <v>5866</v>
      </c>
      <c r="E5714" s="1" t="s">
        <v>1182</v>
      </c>
      <c r="F5714">
        <f>VLOOKUP(E5714,Legends!$G$2:$I$100,2,FALSE)</f>
        <v>423</v>
      </c>
      <c r="G5714">
        <f>VLOOKUP(E5714,Legends!$G$2:$I$100,3,FALSE)</f>
        <v>425.6</v>
      </c>
      <c r="H5714">
        <v>7.05</v>
      </c>
      <c r="I5714" s="1" t="s">
        <v>1528</v>
      </c>
      <c r="J5714" s="1" t="s">
        <v>1336</v>
      </c>
      <c r="K5714" s="1" t="s">
        <v>25</v>
      </c>
      <c r="L5714">
        <v>-1.55</v>
      </c>
      <c r="M5714" t="str">
        <f t="shared" si="240"/>
        <v>44/40</v>
      </c>
      <c r="N5714" t="str">
        <f t="shared" si="241"/>
        <v>SW</v>
      </c>
      <c r="O5714" s="1" t="s">
        <v>5888</v>
      </c>
      <c r="P5714" t="str">
        <f t="shared" si="242"/>
        <v>ppm</v>
      </c>
      <c r="Q5714" s="37">
        <v>1.18</v>
      </c>
      <c r="R5714" t="str">
        <f t="shared" si="243"/>
        <v>mmol/mol</v>
      </c>
      <c r="S5714" s="13">
        <f t="shared" si="244"/>
        <v>-1.55</v>
      </c>
    </row>
    <row r="5715" spans="1:19">
      <c r="A5715" s="18" t="s">
        <v>5864</v>
      </c>
      <c r="B5715" s="1" t="s">
        <v>1017</v>
      </c>
      <c r="C5715" s="1" t="s">
        <v>5865</v>
      </c>
      <c r="D5715" s="1" t="s">
        <v>5866</v>
      </c>
      <c r="E5715" s="1" t="s">
        <v>1182</v>
      </c>
      <c r="F5715">
        <f>VLOOKUP(E5715,Legends!$G$2:$I$100,2,FALSE)</f>
        <v>423</v>
      </c>
      <c r="G5715">
        <f>VLOOKUP(E5715,Legends!$G$2:$I$100,3,FALSE)</f>
        <v>425.6</v>
      </c>
      <c r="H5715">
        <v>7.15</v>
      </c>
      <c r="I5715" s="1" t="s">
        <v>1528</v>
      </c>
      <c r="J5715" s="1" t="s">
        <v>1336</v>
      </c>
      <c r="K5715" s="1" t="s">
        <v>25</v>
      </c>
      <c r="L5715" t="s">
        <v>25</v>
      </c>
      <c r="M5715" t="str">
        <f t="shared" si="240"/>
        <v>Na</v>
      </c>
      <c r="N5715" t="str">
        <f t="shared" si="241"/>
        <v>Na</v>
      </c>
      <c r="O5715" s="1" t="s">
        <v>25</v>
      </c>
      <c r="P5715" t="str">
        <f t="shared" si="242"/>
        <v>Na</v>
      </c>
      <c r="Q5715" s="37" t="s">
        <v>25</v>
      </c>
      <c r="R5715" t="str">
        <f t="shared" si="243"/>
        <v>Na</v>
      </c>
      <c r="S5715" s="13" t="s">
        <v>25</v>
      </c>
    </row>
    <row r="5716" spans="1:19">
      <c r="A5716" s="18" t="s">
        <v>5864</v>
      </c>
      <c r="B5716" s="1" t="s">
        <v>1343</v>
      </c>
      <c r="C5716" s="1" t="s">
        <v>5865</v>
      </c>
      <c r="D5716" s="1" t="s">
        <v>5866</v>
      </c>
      <c r="E5716" s="1" t="s">
        <v>1182</v>
      </c>
      <c r="F5716">
        <f>VLOOKUP(E5716,Legends!$G$2:$I$100,2,FALSE)</f>
        <v>423</v>
      </c>
      <c r="G5716">
        <f>VLOOKUP(E5716,Legends!$G$2:$I$100,3,FALSE)</f>
        <v>425.6</v>
      </c>
      <c r="H5716">
        <v>7.37</v>
      </c>
      <c r="I5716" s="1" t="s">
        <v>1528</v>
      </c>
      <c r="J5716" s="1" t="s">
        <v>1336</v>
      </c>
      <c r="K5716" s="1" t="s">
        <v>25</v>
      </c>
      <c r="L5716" t="s">
        <v>25</v>
      </c>
      <c r="M5716" t="str">
        <f t="shared" si="240"/>
        <v>Na</v>
      </c>
      <c r="N5716" t="str">
        <f t="shared" si="241"/>
        <v>Na</v>
      </c>
      <c r="O5716" s="1" t="s">
        <v>25</v>
      </c>
      <c r="P5716" t="str">
        <f t="shared" si="242"/>
        <v>Na</v>
      </c>
      <c r="Q5716" s="37" t="s">
        <v>25</v>
      </c>
      <c r="R5716" t="str">
        <f t="shared" si="243"/>
        <v>Na</v>
      </c>
      <c r="S5716" s="13" t="s">
        <v>25</v>
      </c>
    </row>
    <row r="5717" spans="1:19">
      <c r="A5717" s="18" t="s">
        <v>5864</v>
      </c>
      <c r="B5717" s="1" t="s">
        <v>1344</v>
      </c>
      <c r="C5717" s="1" t="s">
        <v>5865</v>
      </c>
      <c r="D5717" s="1" t="s">
        <v>5866</v>
      </c>
      <c r="E5717" s="1" t="s">
        <v>1182</v>
      </c>
      <c r="F5717">
        <f>VLOOKUP(E5717,Legends!$G$2:$I$100,2,FALSE)</f>
        <v>423</v>
      </c>
      <c r="G5717">
        <f>VLOOKUP(E5717,Legends!$G$2:$I$100,3,FALSE)</f>
        <v>425.6</v>
      </c>
      <c r="H5717">
        <v>7.57</v>
      </c>
      <c r="I5717" s="1" t="s">
        <v>1528</v>
      </c>
      <c r="J5717" s="1" t="s">
        <v>1336</v>
      </c>
      <c r="K5717" s="1" t="s">
        <v>25</v>
      </c>
      <c r="L5717">
        <v>-1.53</v>
      </c>
      <c r="M5717" t="str">
        <f t="shared" si="240"/>
        <v>44/40</v>
      </c>
      <c r="N5717" t="str">
        <f t="shared" si="241"/>
        <v>SW</v>
      </c>
      <c r="O5717" s="1" t="s">
        <v>5889</v>
      </c>
      <c r="P5717" t="str">
        <f t="shared" si="242"/>
        <v>ppm</v>
      </c>
      <c r="Q5717" s="37">
        <v>0.74</v>
      </c>
      <c r="R5717" t="str">
        <f t="shared" si="243"/>
        <v>mmol/mol</v>
      </c>
      <c r="S5717" s="13">
        <f t="shared" si="244"/>
        <v>-1.53</v>
      </c>
    </row>
    <row r="5718" spans="1:19">
      <c r="A5718" s="18" t="s">
        <v>5864</v>
      </c>
      <c r="B5718" s="1" t="s">
        <v>1345</v>
      </c>
      <c r="C5718" s="1" t="s">
        <v>5865</v>
      </c>
      <c r="D5718" s="1" t="s">
        <v>5866</v>
      </c>
      <c r="E5718" s="1" t="s">
        <v>1182</v>
      </c>
      <c r="F5718">
        <f>VLOOKUP(E5718,Legends!$G$2:$I$100,2,FALSE)</f>
        <v>423</v>
      </c>
      <c r="G5718">
        <f>VLOOKUP(E5718,Legends!$G$2:$I$100,3,FALSE)</f>
        <v>425.6</v>
      </c>
      <c r="H5718">
        <v>7.77</v>
      </c>
      <c r="I5718" s="1" t="s">
        <v>1528</v>
      </c>
      <c r="J5718" s="1" t="s">
        <v>1336</v>
      </c>
      <c r="K5718" s="1" t="s">
        <v>25</v>
      </c>
      <c r="L5718" t="s">
        <v>25</v>
      </c>
      <c r="M5718" t="str">
        <f t="shared" si="240"/>
        <v>Na</v>
      </c>
      <c r="N5718" t="str">
        <f t="shared" si="241"/>
        <v>Na</v>
      </c>
      <c r="O5718" s="1" t="s">
        <v>25</v>
      </c>
      <c r="P5718" t="str">
        <f t="shared" si="242"/>
        <v>Na</v>
      </c>
      <c r="Q5718" s="37" t="s">
        <v>25</v>
      </c>
      <c r="R5718" t="str">
        <f t="shared" si="243"/>
        <v>Na</v>
      </c>
      <c r="S5718" s="13" t="s">
        <v>25</v>
      </c>
    </row>
    <row r="5719" spans="1:19">
      <c r="A5719" s="18" t="s">
        <v>5864</v>
      </c>
      <c r="B5719" s="1" t="s">
        <v>1346</v>
      </c>
      <c r="C5719" s="1" t="s">
        <v>5865</v>
      </c>
      <c r="D5719" s="1" t="s">
        <v>5866</v>
      </c>
      <c r="E5719" s="1" t="s">
        <v>1182</v>
      </c>
      <c r="F5719">
        <f>VLOOKUP(E5719,Legends!$G$2:$I$100,2,FALSE)</f>
        <v>423</v>
      </c>
      <c r="G5719">
        <f>VLOOKUP(E5719,Legends!$G$2:$I$100,3,FALSE)</f>
        <v>425.6</v>
      </c>
      <c r="H5719">
        <v>7.8</v>
      </c>
      <c r="I5719" s="1" t="s">
        <v>1528</v>
      </c>
      <c r="J5719" s="1" t="s">
        <v>1336</v>
      </c>
      <c r="K5719" s="1" t="s">
        <v>25</v>
      </c>
      <c r="L5719" t="s">
        <v>25</v>
      </c>
      <c r="M5719" t="str">
        <f t="shared" si="240"/>
        <v>Na</v>
      </c>
      <c r="N5719" t="str">
        <f t="shared" si="241"/>
        <v>Na</v>
      </c>
      <c r="O5719" s="1" t="s">
        <v>25</v>
      </c>
      <c r="P5719" t="str">
        <f t="shared" si="242"/>
        <v>Na</v>
      </c>
      <c r="Q5719" s="37" t="s">
        <v>25</v>
      </c>
      <c r="R5719" t="str">
        <f t="shared" si="243"/>
        <v>Na</v>
      </c>
      <c r="S5719" s="13" t="s">
        <v>25</v>
      </c>
    </row>
    <row r="5720" spans="1:19">
      <c r="A5720" s="18" t="s">
        <v>5864</v>
      </c>
      <c r="B5720" s="1" t="s">
        <v>1018</v>
      </c>
      <c r="C5720" s="1" t="s">
        <v>5865</v>
      </c>
      <c r="D5720" s="1" t="s">
        <v>5866</v>
      </c>
      <c r="E5720" s="1" t="s">
        <v>1182</v>
      </c>
      <c r="F5720">
        <f>VLOOKUP(E5720,Legends!$G$2:$I$100,2,FALSE)</f>
        <v>423</v>
      </c>
      <c r="G5720">
        <f>VLOOKUP(E5720,Legends!$G$2:$I$100,3,FALSE)</f>
        <v>425.6</v>
      </c>
      <c r="H5720">
        <v>8</v>
      </c>
      <c r="I5720" s="1" t="s">
        <v>1528</v>
      </c>
      <c r="J5720" s="1" t="s">
        <v>1336</v>
      </c>
      <c r="K5720" s="1" t="s">
        <v>25</v>
      </c>
      <c r="L5720">
        <v>-1.57</v>
      </c>
      <c r="M5720" t="str">
        <f t="shared" si="240"/>
        <v>44/40</v>
      </c>
      <c r="N5720" t="str">
        <f t="shared" si="241"/>
        <v>SW</v>
      </c>
      <c r="O5720" s="1" t="s">
        <v>5890</v>
      </c>
      <c r="P5720" t="str">
        <f t="shared" si="242"/>
        <v>ppm</v>
      </c>
      <c r="Q5720" s="37">
        <v>0.92</v>
      </c>
      <c r="R5720" t="str">
        <f t="shared" si="243"/>
        <v>mmol/mol</v>
      </c>
      <c r="S5720" s="13">
        <f t="shared" si="244"/>
        <v>-1.57</v>
      </c>
    </row>
    <row r="5721" spans="1:19">
      <c r="A5721" s="18" t="s">
        <v>5864</v>
      </c>
      <c r="B5721" s="1" t="s">
        <v>1347</v>
      </c>
      <c r="C5721" s="1" t="s">
        <v>5865</v>
      </c>
      <c r="D5721" s="1" t="s">
        <v>5866</v>
      </c>
      <c r="E5721" s="1" t="s">
        <v>1182</v>
      </c>
      <c r="F5721">
        <f>VLOOKUP(E5721,Legends!$G$2:$I$100,2,FALSE)</f>
        <v>423</v>
      </c>
      <c r="G5721">
        <f>VLOOKUP(E5721,Legends!$G$2:$I$100,3,FALSE)</f>
        <v>425.6</v>
      </c>
      <c r="H5721">
        <v>8.2799999999999994</v>
      </c>
      <c r="I5721" s="1" t="s">
        <v>1528</v>
      </c>
      <c r="J5721" s="1" t="s">
        <v>1336</v>
      </c>
      <c r="K5721" s="1" t="s">
        <v>25</v>
      </c>
      <c r="L5721" t="s">
        <v>25</v>
      </c>
      <c r="M5721" t="str">
        <f t="shared" si="240"/>
        <v>Na</v>
      </c>
      <c r="N5721" t="str">
        <f t="shared" si="241"/>
        <v>Na</v>
      </c>
      <c r="O5721" s="1" t="s">
        <v>25</v>
      </c>
      <c r="P5721" t="str">
        <f t="shared" si="242"/>
        <v>Na</v>
      </c>
      <c r="Q5721" s="37" t="s">
        <v>25</v>
      </c>
      <c r="R5721" t="str">
        <f t="shared" si="243"/>
        <v>Na</v>
      </c>
      <c r="S5721" s="13" t="s">
        <v>25</v>
      </c>
    </row>
    <row r="5722" spans="1:19">
      <c r="A5722" s="18" t="s">
        <v>5864</v>
      </c>
      <c r="B5722" s="1" t="s">
        <v>1348</v>
      </c>
      <c r="C5722" s="1" t="s">
        <v>5865</v>
      </c>
      <c r="D5722" s="1" t="s">
        <v>5866</v>
      </c>
      <c r="E5722" s="1" t="s">
        <v>1182</v>
      </c>
      <c r="F5722">
        <f>VLOOKUP(E5722,Legends!$G$2:$I$100,2,FALSE)</f>
        <v>423</v>
      </c>
      <c r="G5722">
        <f>VLOOKUP(E5722,Legends!$G$2:$I$100,3,FALSE)</f>
        <v>425.6</v>
      </c>
      <c r="H5722">
        <v>8.39</v>
      </c>
      <c r="I5722" s="1" t="s">
        <v>1528</v>
      </c>
      <c r="J5722" s="1" t="s">
        <v>1336</v>
      </c>
      <c r="K5722" s="1" t="s">
        <v>25</v>
      </c>
      <c r="L5722">
        <v>-1.54</v>
      </c>
      <c r="M5722" t="str">
        <f t="shared" si="240"/>
        <v>44/40</v>
      </c>
      <c r="N5722" t="str">
        <f t="shared" si="241"/>
        <v>SW</v>
      </c>
      <c r="O5722" s="1" t="s">
        <v>5891</v>
      </c>
      <c r="P5722" t="str">
        <f t="shared" si="242"/>
        <v>ppm</v>
      </c>
      <c r="Q5722" s="37">
        <v>1.1499999999999999</v>
      </c>
      <c r="R5722" t="str">
        <f t="shared" si="243"/>
        <v>mmol/mol</v>
      </c>
      <c r="S5722" s="13">
        <f t="shared" si="244"/>
        <v>-1.54</v>
      </c>
    </row>
    <row r="5723" spans="1:19">
      <c r="A5723" s="18" t="s">
        <v>5864</v>
      </c>
      <c r="B5723" s="1" t="s">
        <v>1349</v>
      </c>
      <c r="C5723" s="1" t="s">
        <v>5865</v>
      </c>
      <c r="D5723" s="1" t="s">
        <v>5866</v>
      </c>
      <c r="E5723" s="1" t="s">
        <v>1182</v>
      </c>
      <c r="F5723">
        <f>VLOOKUP(E5723,Legends!$G$2:$I$100,2,FALSE)</f>
        <v>423</v>
      </c>
      <c r="G5723">
        <f>VLOOKUP(E5723,Legends!$G$2:$I$100,3,FALSE)</f>
        <v>425.6</v>
      </c>
      <c r="H5723">
        <v>8.39</v>
      </c>
      <c r="I5723" s="1" t="s">
        <v>1528</v>
      </c>
      <c r="J5723" s="1" t="s">
        <v>1336</v>
      </c>
      <c r="K5723" s="1" t="s">
        <v>25</v>
      </c>
      <c r="L5723">
        <v>-1.57</v>
      </c>
      <c r="M5723" t="str">
        <f t="shared" si="240"/>
        <v>44/40</v>
      </c>
      <c r="N5723" t="str">
        <f t="shared" si="241"/>
        <v>SW</v>
      </c>
      <c r="O5723" s="1" t="s">
        <v>25</v>
      </c>
      <c r="P5723" t="str">
        <f t="shared" si="242"/>
        <v>Na</v>
      </c>
      <c r="Q5723" s="37" t="s">
        <v>25</v>
      </c>
      <c r="R5723" t="str">
        <f t="shared" si="243"/>
        <v>Na</v>
      </c>
      <c r="S5723" s="13">
        <f t="shared" si="244"/>
        <v>-1.57</v>
      </c>
    </row>
    <row r="5724" spans="1:19">
      <c r="A5724" s="18" t="s">
        <v>5864</v>
      </c>
      <c r="B5724" s="1" t="s">
        <v>1019</v>
      </c>
      <c r="C5724" s="1" t="s">
        <v>5865</v>
      </c>
      <c r="D5724" s="1" t="s">
        <v>5866</v>
      </c>
      <c r="E5724" s="1" t="s">
        <v>1182</v>
      </c>
      <c r="F5724">
        <f>VLOOKUP(E5724,Legends!$G$2:$I$100,2,FALSE)</f>
        <v>423</v>
      </c>
      <c r="G5724">
        <f>VLOOKUP(E5724,Legends!$G$2:$I$100,3,FALSE)</f>
        <v>425.6</v>
      </c>
      <c r="H5724">
        <v>8.83</v>
      </c>
      <c r="I5724" s="1" t="s">
        <v>1528</v>
      </c>
      <c r="J5724" s="1" t="s">
        <v>1336</v>
      </c>
      <c r="K5724" s="1" t="s">
        <v>25</v>
      </c>
      <c r="L5724" t="s">
        <v>25</v>
      </c>
      <c r="M5724" t="str">
        <f t="shared" si="240"/>
        <v>Na</v>
      </c>
      <c r="N5724" t="str">
        <f t="shared" si="241"/>
        <v>Na</v>
      </c>
      <c r="O5724" s="1" t="s">
        <v>25</v>
      </c>
      <c r="P5724" t="str">
        <f t="shared" si="242"/>
        <v>Na</v>
      </c>
      <c r="Q5724" s="37" t="s">
        <v>25</v>
      </c>
      <c r="R5724" t="str">
        <f t="shared" si="243"/>
        <v>Na</v>
      </c>
      <c r="S5724" s="13" t="s">
        <v>25</v>
      </c>
    </row>
    <row r="5725" spans="1:19">
      <c r="A5725" s="18" t="s">
        <v>5864</v>
      </c>
      <c r="B5725" s="1" t="s">
        <v>1020</v>
      </c>
      <c r="C5725" s="1" t="s">
        <v>5865</v>
      </c>
      <c r="D5725" s="1" t="s">
        <v>5866</v>
      </c>
      <c r="E5725" s="1" t="s">
        <v>1182</v>
      </c>
      <c r="F5725">
        <f>VLOOKUP(E5725,Legends!$G$2:$I$100,2,FALSE)</f>
        <v>423</v>
      </c>
      <c r="G5725">
        <f>VLOOKUP(E5725,Legends!$G$2:$I$100,3,FALSE)</f>
        <v>425.6</v>
      </c>
      <c r="H5725">
        <v>9</v>
      </c>
      <c r="I5725" s="1" t="s">
        <v>1528</v>
      </c>
      <c r="J5725" s="1" t="s">
        <v>1336</v>
      </c>
      <c r="K5725" s="1" t="s">
        <v>25</v>
      </c>
      <c r="L5725" t="s">
        <v>25</v>
      </c>
      <c r="M5725" t="str">
        <f t="shared" si="240"/>
        <v>Na</v>
      </c>
      <c r="N5725" t="str">
        <f t="shared" si="241"/>
        <v>Na</v>
      </c>
      <c r="O5725" s="1" t="s">
        <v>25</v>
      </c>
      <c r="P5725" t="str">
        <f t="shared" si="242"/>
        <v>Na</v>
      </c>
      <c r="Q5725" s="37" t="s">
        <v>25</v>
      </c>
      <c r="R5725" t="str">
        <f t="shared" si="243"/>
        <v>Na</v>
      </c>
      <c r="S5725" s="13" t="s">
        <v>25</v>
      </c>
    </row>
    <row r="5726" spans="1:19">
      <c r="A5726" s="18" t="s">
        <v>5864</v>
      </c>
      <c r="B5726" s="1" t="s">
        <v>1350</v>
      </c>
      <c r="C5726" s="1" t="s">
        <v>5865</v>
      </c>
      <c r="D5726" s="1" t="s">
        <v>5866</v>
      </c>
      <c r="E5726" s="1" t="s">
        <v>1182</v>
      </c>
      <c r="F5726">
        <f>VLOOKUP(E5726,Legends!$G$2:$I$100,2,FALSE)</f>
        <v>423</v>
      </c>
      <c r="G5726">
        <f>VLOOKUP(E5726,Legends!$G$2:$I$100,3,FALSE)</f>
        <v>425.6</v>
      </c>
      <c r="H5726">
        <v>9.27</v>
      </c>
      <c r="I5726" s="1" t="s">
        <v>1528</v>
      </c>
      <c r="J5726" s="1" t="s">
        <v>1336</v>
      </c>
      <c r="K5726" s="1" t="s">
        <v>25</v>
      </c>
      <c r="L5726" t="s">
        <v>25</v>
      </c>
      <c r="M5726" t="str">
        <f t="shared" si="240"/>
        <v>Na</v>
      </c>
      <c r="N5726" t="str">
        <f t="shared" si="241"/>
        <v>Na</v>
      </c>
      <c r="O5726" s="1" t="s">
        <v>25</v>
      </c>
      <c r="P5726" t="str">
        <f t="shared" si="242"/>
        <v>Na</v>
      </c>
      <c r="Q5726" s="37" t="s">
        <v>25</v>
      </c>
      <c r="R5726" t="str">
        <f t="shared" si="243"/>
        <v>Na</v>
      </c>
      <c r="S5726" s="13" t="s">
        <v>25</v>
      </c>
    </row>
    <row r="5727" spans="1:19">
      <c r="A5727" s="18" t="s">
        <v>5864</v>
      </c>
      <c r="B5727" s="1" t="s">
        <v>1351</v>
      </c>
      <c r="C5727" s="1" t="s">
        <v>5865</v>
      </c>
      <c r="D5727" s="1" t="s">
        <v>5866</v>
      </c>
      <c r="E5727" s="1" t="s">
        <v>1182</v>
      </c>
      <c r="F5727">
        <f>VLOOKUP(E5727,Legends!$G$2:$I$100,2,FALSE)</f>
        <v>423</v>
      </c>
      <c r="G5727">
        <f>VLOOKUP(E5727,Legends!$G$2:$I$100,3,FALSE)</f>
        <v>425.6</v>
      </c>
      <c r="H5727">
        <v>9.4700000000000006</v>
      </c>
      <c r="I5727" s="1" t="s">
        <v>1528</v>
      </c>
      <c r="J5727" s="1" t="s">
        <v>1336</v>
      </c>
      <c r="K5727" s="1" t="s">
        <v>25</v>
      </c>
      <c r="L5727" t="s">
        <v>25</v>
      </c>
      <c r="M5727" t="str">
        <f t="shared" si="240"/>
        <v>Na</v>
      </c>
      <c r="N5727" t="str">
        <f t="shared" si="241"/>
        <v>Na</v>
      </c>
      <c r="O5727" s="1" t="s">
        <v>25</v>
      </c>
      <c r="P5727" t="str">
        <f t="shared" si="242"/>
        <v>Na</v>
      </c>
      <c r="Q5727" s="37" t="s">
        <v>25</v>
      </c>
      <c r="R5727" t="str">
        <f t="shared" si="243"/>
        <v>Na</v>
      </c>
      <c r="S5727" s="13" t="s">
        <v>25</v>
      </c>
    </row>
    <row r="5728" spans="1:19">
      <c r="A5728" s="18" t="s">
        <v>5864</v>
      </c>
      <c r="B5728" s="1" t="s">
        <v>1352</v>
      </c>
      <c r="C5728" s="1" t="s">
        <v>5865</v>
      </c>
      <c r="D5728" s="1" t="s">
        <v>5866</v>
      </c>
      <c r="E5728" s="1" t="s">
        <v>1182</v>
      </c>
      <c r="F5728">
        <f>VLOOKUP(E5728,Legends!$G$2:$I$100,2,FALSE)</f>
        <v>423</v>
      </c>
      <c r="G5728">
        <f>VLOOKUP(E5728,Legends!$G$2:$I$100,3,FALSE)</f>
        <v>425.6</v>
      </c>
      <c r="H5728">
        <v>9.77</v>
      </c>
      <c r="I5728" s="1" t="s">
        <v>1528</v>
      </c>
      <c r="J5728" s="1" t="s">
        <v>1336</v>
      </c>
      <c r="K5728" s="1" t="s">
        <v>25</v>
      </c>
      <c r="L5728" t="s">
        <v>25</v>
      </c>
      <c r="M5728" t="str">
        <f t="shared" si="240"/>
        <v>Na</v>
      </c>
      <c r="N5728" t="str">
        <f t="shared" si="241"/>
        <v>Na</v>
      </c>
      <c r="O5728" s="1" t="s">
        <v>25</v>
      </c>
      <c r="P5728" t="str">
        <f t="shared" si="242"/>
        <v>Na</v>
      </c>
      <c r="Q5728" s="37" t="s">
        <v>25</v>
      </c>
      <c r="R5728" t="str">
        <f t="shared" si="243"/>
        <v>Na</v>
      </c>
      <c r="S5728" s="13" t="s">
        <v>25</v>
      </c>
    </row>
    <row r="5729" spans="1:19">
      <c r="A5729" s="18" t="s">
        <v>5864</v>
      </c>
      <c r="B5729" s="1" t="s">
        <v>1353</v>
      </c>
      <c r="C5729" s="1" t="s">
        <v>5865</v>
      </c>
      <c r="D5729" s="1" t="s">
        <v>5866</v>
      </c>
      <c r="E5729" s="1" t="s">
        <v>1182</v>
      </c>
      <c r="F5729">
        <f>VLOOKUP(E5729,Legends!$G$2:$I$100,2,FALSE)</f>
        <v>423</v>
      </c>
      <c r="G5729">
        <f>VLOOKUP(E5729,Legends!$G$2:$I$100,3,FALSE)</f>
        <v>425.6</v>
      </c>
      <c r="H5729">
        <v>10</v>
      </c>
      <c r="I5729" s="1" t="s">
        <v>1528</v>
      </c>
      <c r="J5729" s="1" t="s">
        <v>1336</v>
      </c>
      <c r="K5729" s="1" t="s">
        <v>25</v>
      </c>
      <c r="L5729" t="s">
        <v>25</v>
      </c>
      <c r="M5729" t="str">
        <f t="shared" si="240"/>
        <v>Na</v>
      </c>
      <c r="N5729" t="str">
        <f t="shared" si="241"/>
        <v>Na</v>
      </c>
      <c r="O5729" s="1" t="s">
        <v>25</v>
      </c>
      <c r="P5729" t="str">
        <f t="shared" si="242"/>
        <v>Na</v>
      </c>
      <c r="Q5729" s="37" t="s">
        <v>25</v>
      </c>
      <c r="R5729" t="str">
        <f t="shared" si="243"/>
        <v>Na</v>
      </c>
      <c r="S5729" s="13" t="s">
        <v>25</v>
      </c>
    </row>
    <row r="5730" spans="1:19">
      <c r="A5730" s="18" t="s">
        <v>5864</v>
      </c>
      <c r="B5730" s="1" t="s">
        <v>1354</v>
      </c>
      <c r="C5730" s="1" t="s">
        <v>5865</v>
      </c>
      <c r="D5730" s="1" t="s">
        <v>5866</v>
      </c>
      <c r="E5730" s="1" t="s">
        <v>1182</v>
      </c>
      <c r="F5730">
        <f>VLOOKUP(E5730,Legends!$G$2:$I$100,2,FALSE)</f>
        <v>423</v>
      </c>
      <c r="G5730">
        <f>VLOOKUP(E5730,Legends!$G$2:$I$100,3,FALSE)</f>
        <v>425.6</v>
      </c>
      <c r="H5730">
        <v>10.09</v>
      </c>
      <c r="I5730" s="1" t="s">
        <v>1528</v>
      </c>
      <c r="J5730" s="1" t="s">
        <v>1336</v>
      </c>
      <c r="K5730" s="1" t="s">
        <v>25</v>
      </c>
      <c r="L5730">
        <v>-1.54</v>
      </c>
      <c r="M5730" t="str">
        <f t="shared" si="240"/>
        <v>44/40</v>
      </c>
      <c r="N5730" t="str">
        <f t="shared" si="241"/>
        <v>SW</v>
      </c>
      <c r="O5730" s="1" t="s">
        <v>5892</v>
      </c>
      <c r="P5730" t="str">
        <f t="shared" si="242"/>
        <v>ppm</v>
      </c>
      <c r="Q5730" s="37">
        <v>1.03</v>
      </c>
      <c r="R5730" t="str">
        <f t="shared" si="243"/>
        <v>mmol/mol</v>
      </c>
      <c r="S5730" s="13">
        <f t="shared" si="244"/>
        <v>-1.54</v>
      </c>
    </row>
    <row r="5731" spans="1:19">
      <c r="A5731" s="18" t="s">
        <v>5864</v>
      </c>
      <c r="B5731" s="1" t="s">
        <v>1355</v>
      </c>
      <c r="C5731" s="1" t="s">
        <v>5865</v>
      </c>
      <c r="D5731" s="1" t="s">
        <v>5866</v>
      </c>
      <c r="E5731" s="1" t="s">
        <v>1182</v>
      </c>
      <c r="F5731">
        <f>VLOOKUP(E5731,Legends!$G$2:$I$100,2,FALSE)</f>
        <v>423</v>
      </c>
      <c r="G5731">
        <f>VLOOKUP(E5731,Legends!$G$2:$I$100,3,FALSE)</f>
        <v>425.6</v>
      </c>
      <c r="H5731">
        <v>10.09</v>
      </c>
      <c r="I5731" s="1" t="s">
        <v>1528</v>
      </c>
      <c r="J5731" s="1" t="s">
        <v>1336</v>
      </c>
      <c r="K5731" s="1" t="s">
        <v>25</v>
      </c>
      <c r="L5731">
        <v>-1.52</v>
      </c>
      <c r="M5731" t="str">
        <f t="shared" si="240"/>
        <v>44/40</v>
      </c>
      <c r="N5731" t="str">
        <f t="shared" si="241"/>
        <v>SW</v>
      </c>
      <c r="O5731" s="1" t="s">
        <v>25</v>
      </c>
      <c r="P5731" t="str">
        <f t="shared" si="242"/>
        <v>Na</v>
      </c>
      <c r="Q5731" s="37" t="s">
        <v>25</v>
      </c>
      <c r="R5731" t="str">
        <f t="shared" si="243"/>
        <v>Na</v>
      </c>
      <c r="S5731" s="13">
        <f t="shared" si="244"/>
        <v>-1.52</v>
      </c>
    </row>
    <row r="5732" spans="1:19">
      <c r="A5732" s="18" t="s">
        <v>5864</v>
      </c>
      <c r="B5732" s="1" t="s">
        <v>1356</v>
      </c>
      <c r="C5732" s="1" t="s">
        <v>5865</v>
      </c>
      <c r="D5732" s="1" t="s">
        <v>5866</v>
      </c>
      <c r="E5732" s="1" t="s">
        <v>1182</v>
      </c>
      <c r="F5732">
        <f>VLOOKUP(E5732,Legends!$G$2:$I$100,2,FALSE)</f>
        <v>423</v>
      </c>
      <c r="G5732">
        <f>VLOOKUP(E5732,Legends!$G$2:$I$100,3,FALSE)</f>
        <v>425.6</v>
      </c>
      <c r="H5732">
        <v>10.6</v>
      </c>
      <c r="I5732" s="1" t="s">
        <v>1528</v>
      </c>
      <c r="J5732" s="1" t="s">
        <v>1336</v>
      </c>
      <c r="K5732" s="1" t="s">
        <v>25</v>
      </c>
      <c r="L5732" t="s">
        <v>25</v>
      </c>
      <c r="M5732" t="str">
        <f t="shared" si="240"/>
        <v>Na</v>
      </c>
      <c r="N5732" t="str">
        <f t="shared" si="241"/>
        <v>Na</v>
      </c>
      <c r="O5732" s="1" t="s">
        <v>5893</v>
      </c>
      <c r="P5732" t="str">
        <f t="shared" si="242"/>
        <v>ppm</v>
      </c>
      <c r="Q5732" s="37">
        <v>1.06</v>
      </c>
      <c r="R5732" t="str">
        <f t="shared" si="243"/>
        <v>mmol/mol</v>
      </c>
      <c r="S5732" s="13" t="s">
        <v>25</v>
      </c>
    </row>
    <row r="5733" spans="1:19">
      <c r="A5733" s="18" t="s">
        <v>5864</v>
      </c>
      <c r="B5733" s="1" t="s">
        <v>1357</v>
      </c>
      <c r="C5733" s="1" t="s">
        <v>5865</v>
      </c>
      <c r="D5733" s="1" t="s">
        <v>5866</v>
      </c>
      <c r="E5733" s="1" t="s">
        <v>1182</v>
      </c>
      <c r="F5733">
        <f>VLOOKUP(E5733,Legends!$G$2:$I$100,2,FALSE)</f>
        <v>423</v>
      </c>
      <c r="G5733">
        <f>VLOOKUP(E5733,Legends!$G$2:$I$100,3,FALSE)</f>
        <v>425.6</v>
      </c>
      <c r="H5733">
        <v>11.7</v>
      </c>
      <c r="I5733" s="1" t="s">
        <v>1528</v>
      </c>
      <c r="J5733" s="1" t="s">
        <v>1336</v>
      </c>
      <c r="K5733" s="1" t="s">
        <v>25</v>
      </c>
      <c r="L5733">
        <v>-1.65</v>
      </c>
      <c r="M5733" t="str">
        <f t="shared" si="240"/>
        <v>44/40</v>
      </c>
      <c r="N5733" t="str">
        <f t="shared" si="241"/>
        <v>SW</v>
      </c>
      <c r="O5733" s="1" t="s">
        <v>5894</v>
      </c>
      <c r="P5733" t="str">
        <f t="shared" si="242"/>
        <v>ppm</v>
      </c>
      <c r="Q5733" s="37">
        <v>1.1499999999999999</v>
      </c>
      <c r="R5733" t="str">
        <f t="shared" si="243"/>
        <v>mmol/mol</v>
      </c>
      <c r="S5733" s="13">
        <f t="shared" si="244"/>
        <v>-1.65</v>
      </c>
    </row>
    <row r="5734" spans="1:19">
      <c r="A5734" s="18" t="s">
        <v>5864</v>
      </c>
      <c r="B5734" s="1" t="s">
        <v>1358</v>
      </c>
      <c r="C5734" s="1" t="s">
        <v>5865</v>
      </c>
      <c r="D5734" s="1" t="s">
        <v>5866</v>
      </c>
      <c r="E5734" s="1" t="s">
        <v>1182</v>
      </c>
      <c r="F5734">
        <f>VLOOKUP(E5734,Legends!$G$2:$I$100,2,FALSE)</f>
        <v>423</v>
      </c>
      <c r="G5734">
        <f>VLOOKUP(E5734,Legends!$G$2:$I$100,3,FALSE)</f>
        <v>425.6</v>
      </c>
      <c r="H5734">
        <v>11.7</v>
      </c>
      <c r="I5734" s="1" t="s">
        <v>1528</v>
      </c>
      <c r="J5734" s="1" t="s">
        <v>1336</v>
      </c>
      <c r="K5734" s="1" t="s">
        <v>25</v>
      </c>
      <c r="L5734">
        <v>-1.67</v>
      </c>
      <c r="M5734" t="str">
        <f t="shared" si="240"/>
        <v>44/40</v>
      </c>
      <c r="N5734" t="str">
        <f t="shared" si="241"/>
        <v>SW</v>
      </c>
      <c r="O5734" s="1" t="s">
        <v>25</v>
      </c>
      <c r="P5734" t="str">
        <f t="shared" si="242"/>
        <v>Na</v>
      </c>
      <c r="Q5734" s="37" t="s">
        <v>25</v>
      </c>
      <c r="R5734" t="str">
        <f t="shared" si="243"/>
        <v>Na</v>
      </c>
      <c r="S5734" s="13">
        <f t="shared" si="244"/>
        <v>-1.67</v>
      </c>
    </row>
    <row r="5735" spans="1:19">
      <c r="A5735" s="18" t="s">
        <v>5864</v>
      </c>
      <c r="B5735" s="1" t="s">
        <v>1359</v>
      </c>
      <c r="C5735" s="1" t="s">
        <v>5865</v>
      </c>
      <c r="D5735" s="1" t="s">
        <v>5866</v>
      </c>
      <c r="E5735" s="1" t="s">
        <v>1182</v>
      </c>
      <c r="F5735">
        <f>VLOOKUP(E5735,Legends!$G$2:$I$100,2,FALSE)</f>
        <v>423</v>
      </c>
      <c r="G5735">
        <f>VLOOKUP(E5735,Legends!$G$2:$I$100,3,FALSE)</f>
        <v>425.6</v>
      </c>
      <c r="H5735">
        <v>12.4</v>
      </c>
      <c r="I5735" s="1" t="s">
        <v>1528</v>
      </c>
      <c r="J5735" s="1" t="s">
        <v>1336</v>
      </c>
      <c r="K5735" s="1" t="s">
        <v>25</v>
      </c>
      <c r="L5735" t="s">
        <v>25</v>
      </c>
      <c r="M5735" t="str">
        <f t="shared" si="240"/>
        <v>Na</v>
      </c>
      <c r="N5735" t="str">
        <f t="shared" si="241"/>
        <v>Na</v>
      </c>
      <c r="O5735" s="1" t="s">
        <v>5895</v>
      </c>
      <c r="P5735" t="str">
        <f t="shared" si="242"/>
        <v>ppm</v>
      </c>
      <c r="Q5735" s="37">
        <v>1.1299999999999999</v>
      </c>
      <c r="R5735" t="str">
        <f t="shared" si="243"/>
        <v>mmol/mol</v>
      </c>
      <c r="S5735" s="13" t="s">
        <v>25</v>
      </c>
    </row>
    <row r="5736" spans="1:19">
      <c r="A5736" s="18" t="s">
        <v>5864</v>
      </c>
      <c r="B5736" s="1" t="s">
        <v>1360</v>
      </c>
      <c r="C5736" s="1" t="s">
        <v>5865</v>
      </c>
      <c r="D5736" s="1" t="s">
        <v>5866</v>
      </c>
      <c r="E5736" s="1" t="s">
        <v>1182</v>
      </c>
      <c r="F5736">
        <f>VLOOKUP(E5736,Legends!$G$2:$I$100,2,FALSE)</f>
        <v>423</v>
      </c>
      <c r="G5736">
        <f>VLOOKUP(E5736,Legends!$G$2:$I$100,3,FALSE)</f>
        <v>425.6</v>
      </c>
      <c r="H5736">
        <v>13.4</v>
      </c>
      <c r="I5736" s="1" t="s">
        <v>1528</v>
      </c>
      <c r="J5736" s="1" t="s">
        <v>1336</v>
      </c>
      <c r="K5736" s="1" t="s">
        <v>25</v>
      </c>
      <c r="L5736">
        <v>-1.58</v>
      </c>
      <c r="M5736" t="str">
        <f t="shared" si="240"/>
        <v>44/40</v>
      </c>
      <c r="N5736" t="str">
        <f t="shared" si="241"/>
        <v>SW</v>
      </c>
      <c r="O5736" s="1" t="s">
        <v>5871</v>
      </c>
      <c r="P5736" t="str">
        <f t="shared" si="242"/>
        <v>ppm</v>
      </c>
      <c r="Q5736" s="37">
        <v>0.93</v>
      </c>
      <c r="R5736" t="str">
        <f t="shared" si="243"/>
        <v>mmol/mol</v>
      </c>
      <c r="S5736" s="13">
        <f t="shared" si="244"/>
        <v>-1.58</v>
      </c>
    </row>
    <row r="5737" spans="1:19">
      <c r="A5737" s="18" t="s">
        <v>5864</v>
      </c>
      <c r="B5737" s="1" t="s">
        <v>1361</v>
      </c>
      <c r="C5737" s="1" t="s">
        <v>5865</v>
      </c>
      <c r="D5737" s="1" t="s">
        <v>5866</v>
      </c>
      <c r="E5737" s="1" t="s">
        <v>1182</v>
      </c>
      <c r="F5737">
        <f>VLOOKUP(E5737,Legends!$G$2:$I$100,2,FALSE)</f>
        <v>423</v>
      </c>
      <c r="G5737">
        <f>VLOOKUP(E5737,Legends!$G$2:$I$100,3,FALSE)</f>
        <v>425.6</v>
      </c>
      <c r="H5737">
        <v>14.5</v>
      </c>
      <c r="I5737" s="1" t="s">
        <v>1528</v>
      </c>
      <c r="J5737" s="1" t="s">
        <v>1336</v>
      </c>
      <c r="K5737" s="1" t="s">
        <v>25</v>
      </c>
      <c r="L5737" t="s">
        <v>25</v>
      </c>
      <c r="M5737" t="str">
        <f t="shared" si="240"/>
        <v>Na</v>
      </c>
      <c r="N5737" t="str">
        <f t="shared" si="241"/>
        <v>Na</v>
      </c>
      <c r="O5737" s="1" t="s">
        <v>5896</v>
      </c>
      <c r="P5737" t="str">
        <f t="shared" si="242"/>
        <v>ppm</v>
      </c>
      <c r="Q5737" s="37">
        <v>1.01</v>
      </c>
      <c r="R5737" t="str">
        <f t="shared" si="243"/>
        <v>mmol/mol</v>
      </c>
      <c r="S5737" s="13" t="s">
        <v>25</v>
      </c>
    </row>
    <row r="5738" spans="1:19">
      <c r="A5738" s="18" t="s">
        <v>5864</v>
      </c>
      <c r="B5738" s="1" t="s">
        <v>1362</v>
      </c>
      <c r="C5738" s="1" t="s">
        <v>5865</v>
      </c>
      <c r="D5738" s="1" t="s">
        <v>5866</v>
      </c>
      <c r="E5738" s="1" t="s">
        <v>1182</v>
      </c>
      <c r="F5738">
        <f>VLOOKUP(E5738,Legends!$G$2:$I$100,2,FALSE)</f>
        <v>423</v>
      </c>
      <c r="G5738">
        <f>VLOOKUP(E5738,Legends!$G$2:$I$100,3,FALSE)</f>
        <v>425.6</v>
      </c>
      <c r="H5738">
        <v>15.5</v>
      </c>
      <c r="I5738" s="1" t="s">
        <v>1528</v>
      </c>
      <c r="J5738" s="1" t="s">
        <v>1336</v>
      </c>
      <c r="K5738" s="1" t="s">
        <v>25</v>
      </c>
      <c r="L5738">
        <v>-1.57</v>
      </c>
      <c r="M5738" t="str">
        <f t="shared" si="240"/>
        <v>44/40</v>
      </c>
      <c r="N5738" t="str">
        <f t="shared" si="241"/>
        <v>SW</v>
      </c>
      <c r="O5738" s="1" t="s">
        <v>5897</v>
      </c>
      <c r="P5738" t="str">
        <f t="shared" si="242"/>
        <v>ppm</v>
      </c>
      <c r="Q5738" s="37">
        <v>1.05</v>
      </c>
      <c r="R5738" t="str">
        <f t="shared" si="243"/>
        <v>mmol/mol</v>
      </c>
      <c r="S5738" s="13">
        <f t="shared" si="244"/>
        <v>-1.57</v>
      </c>
    </row>
    <row r="5739" spans="1:19">
      <c r="A5739" s="18" t="s">
        <v>5864</v>
      </c>
      <c r="B5739" s="1" t="s">
        <v>1363</v>
      </c>
      <c r="C5739" s="1" t="s">
        <v>5865</v>
      </c>
      <c r="D5739" s="1" t="s">
        <v>5866</v>
      </c>
      <c r="E5739" s="1" t="s">
        <v>1182</v>
      </c>
      <c r="F5739">
        <f>VLOOKUP(E5739,Legends!$G$2:$I$100,2,FALSE)</f>
        <v>423</v>
      </c>
      <c r="G5739">
        <f>VLOOKUP(E5739,Legends!$G$2:$I$100,3,FALSE)</f>
        <v>425.6</v>
      </c>
      <c r="H5739">
        <v>16.5</v>
      </c>
      <c r="I5739" s="1" t="s">
        <v>1528</v>
      </c>
      <c r="J5739" s="1" t="s">
        <v>1336</v>
      </c>
      <c r="K5739" s="1" t="s">
        <v>25</v>
      </c>
      <c r="L5739">
        <v>-1.56</v>
      </c>
      <c r="M5739" t="str">
        <f t="shared" si="240"/>
        <v>44/40</v>
      </c>
      <c r="N5739" t="str">
        <f t="shared" si="241"/>
        <v>SW</v>
      </c>
      <c r="O5739" s="1" t="s">
        <v>5898</v>
      </c>
      <c r="P5739" t="str">
        <f t="shared" si="242"/>
        <v>ppm</v>
      </c>
      <c r="Q5739" s="37">
        <v>0.94</v>
      </c>
      <c r="R5739" t="str">
        <f t="shared" si="243"/>
        <v>mmol/mol</v>
      </c>
      <c r="S5739" s="13">
        <f t="shared" si="244"/>
        <v>-1.56</v>
      </c>
    </row>
    <row r="5740" spans="1:19">
      <c r="A5740" s="18" t="s">
        <v>5864</v>
      </c>
      <c r="B5740" s="1" t="s">
        <v>1364</v>
      </c>
      <c r="C5740" s="1" t="s">
        <v>5865</v>
      </c>
      <c r="D5740" s="1" t="s">
        <v>5866</v>
      </c>
      <c r="E5740" s="1" t="s">
        <v>1182</v>
      </c>
      <c r="F5740">
        <f>VLOOKUP(E5740,Legends!$G$2:$I$100,2,FALSE)</f>
        <v>423</v>
      </c>
      <c r="G5740">
        <f>VLOOKUP(E5740,Legends!$G$2:$I$100,3,FALSE)</f>
        <v>425.6</v>
      </c>
      <c r="H5740">
        <v>17</v>
      </c>
      <c r="I5740" s="1" t="s">
        <v>1528</v>
      </c>
      <c r="J5740" s="1" t="s">
        <v>1336</v>
      </c>
      <c r="K5740" s="1" t="s">
        <v>25</v>
      </c>
      <c r="L5740" t="s">
        <v>25</v>
      </c>
      <c r="M5740" t="str">
        <f t="shared" si="240"/>
        <v>Na</v>
      </c>
      <c r="N5740" t="str">
        <f t="shared" si="241"/>
        <v>Na</v>
      </c>
      <c r="O5740" s="1" t="s">
        <v>5899</v>
      </c>
      <c r="P5740" t="str">
        <f t="shared" si="242"/>
        <v>ppm</v>
      </c>
      <c r="Q5740" s="37">
        <v>1.03</v>
      </c>
      <c r="R5740" t="str">
        <f t="shared" si="243"/>
        <v>mmol/mol</v>
      </c>
      <c r="S5740" s="13" t="s">
        <v>25</v>
      </c>
    </row>
    <row r="5741" spans="1:19">
      <c r="A5741" s="18" t="s">
        <v>5864</v>
      </c>
      <c r="B5741" s="1" t="s">
        <v>1365</v>
      </c>
      <c r="C5741" s="1" t="s">
        <v>5865</v>
      </c>
      <c r="D5741" s="1" t="s">
        <v>5866</v>
      </c>
      <c r="E5741" s="1" t="s">
        <v>1182</v>
      </c>
      <c r="F5741">
        <f>VLOOKUP(E5741,Legends!$G$2:$I$100,2,FALSE)</f>
        <v>423</v>
      </c>
      <c r="G5741">
        <f>VLOOKUP(E5741,Legends!$G$2:$I$100,3,FALSE)</f>
        <v>425.6</v>
      </c>
      <c r="H5741">
        <v>17.899999999999999</v>
      </c>
      <c r="I5741" s="1" t="s">
        <v>1528</v>
      </c>
      <c r="J5741" s="1" t="s">
        <v>1336</v>
      </c>
      <c r="K5741" s="1" t="s">
        <v>25</v>
      </c>
      <c r="L5741">
        <v>-1.51</v>
      </c>
      <c r="M5741" t="str">
        <f t="shared" si="240"/>
        <v>44/40</v>
      </c>
      <c r="N5741" t="str">
        <f t="shared" si="241"/>
        <v>SW</v>
      </c>
      <c r="O5741" s="1" t="s">
        <v>5900</v>
      </c>
      <c r="P5741" t="str">
        <f t="shared" si="242"/>
        <v>ppm</v>
      </c>
      <c r="Q5741" s="37">
        <v>0.84</v>
      </c>
      <c r="R5741" t="str">
        <f t="shared" si="243"/>
        <v>mmol/mol</v>
      </c>
      <c r="S5741" s="13">
        <f t="shared" si="244"/>
        <v>-1.51</v>
      </c>
    </row>
    <row r="5742" spans="1:19">
      <c r="A5742" s="18" t="s">
        <v>5864</v>
      </c>
      <c r="B5742" s="1" t="s">
        <v>1366</v>
      </c>
      <c r="C5742" s="1" t="s">
        <v>5865</v>
      </c>
      <c r="D5742" s="1" t="s">
        <v>5866</v>
      </c>
      <c r="E5742" s="1" t="s">
        <v>1182</v>
      </c>
      <c r="F5742">
        <f>VLOOKUP(E5742,Legends!$G$2:$I$100,2,FALSE)</f>
        <v>423</v>
      </c>
      <c r="G5742">
        <f>VLOOKUP(E5742,Legends!$G$2:$I$100,3,FALSE)</f>
        <v>425.6</v>
      </c>
      <c r="H5742">
        <v>17.899999999999999</v>
      </c>
      <c r="I5742" s="1" t="s">
        <v>1528</v>
      </c>
      <c r="J5742" s="1" t="s">
        <v>1336</v>
      </c>
      <c r="K5742" s="1" t="s">
        <v>25</v>
      </c>
      <c r="L5742">
        <v>-1.53</v>
      </c>
      <c r="M5742" t="str">
        <f t="shared" ref="M5742:M5780" si="245">IF(L5742="Na","Na","44/40")</f>
        <v>44/40</v>
      </c>
      <c r="N5742" t="str">
        <f t="shared" si="241"/>
        <v>SW</v>
      </c>
      <c r="O5742" s="1" t="s">
        <v>25</v>
      </c>
      <c r="P5742" t="str">
        <f t="shared" si="242"/>
        <v>Na</v>
      </c>
      <c r="Q5742" s="37" t="s">
        <v>25</v>
      </c>
      <c r="R5742" t="str">
        <f t="shared" si="243"/>
        <v>Na</v>
      </c>
      <c r="S5742" s="13">
        <f t="shared" si="244"/>
        <v>-1.53</v>
      </c>
    </row>
    <row r="5743" spans="1:19">
      <c r="A5743" s="18" t="s">
        <v>5864</v>
      </c>
      <c r="B5743" s="1" t="s">
        <v>1367</v>
      </c>
      <c r="C5743" s="1" t="s">
        <v>5865</v>
      </c>
      <c r="D5743" s="1" t="s">
        <v>5866</v>
      </c>
      <c r="E5743" s="1" t="s">
        <v>1182</v>
      </c>
      <c r="F5743">
        <f>VLOOKUP(E5743,Legends!$G$2:$I$100,2,FALSE)</f>
        <v>423</v>
      </c>
      <c r="G5743">
        <f>VLOOKUP(E5743,Legends!$G$2:$I$100,3,FALSE)</f>
        <v>425.6</v>
      </c>
      <c r="H5743">
        <v>18.3</v>
      </c>
      <c r="I5743" s="1" t="s">
        <v>1528</v>
      </c>
      <c r="J5743" s="1" t="s">
        <v>1336</v>
      </c>
      <c r="K5743" s="1" t="s">
        <v>25</v>
      </c>
      <c r="L5743" t="s">
        <v>25</v>
      </c>
      <c r="M5743" t="str">
        <f t="shared" si="245"/>
        <v>Na</v>
      </c>
      <c r="N5743" t="str">
        <f t="shared" ref="N5743:N5780" si="246">IF(L5743="Na","Na","SW")</f>
        <v>Na</v>
      </c>
      <c r="O5743" s="1" t="s">
        <v>5901</v>
      </c>
      <c r="P5743" t="str">
        <f t="shared" ref="P5743:P5780" si="247">IF(O5743="Na","Na","ppm")</f>
        <v>ppm</v>
      </c>
      <c r="Q5743" s="37">
        <v>0.8</v>
      </c>
      <c r="R5743" t="str">
        <f t="shared" ref="R5743:R5780" si="248">IF(Q5743="Na","Na","mmol/mol")</f>
        <v>mmol/mol</v>
      </c>
      <c r="S5743" s="13" t="s">
        <v>25</v>
      </c>
    </row>
    <row r="5744" spans="1:19">
      <c r="A5744" s="18" t="s">
        <v>5864</v>
      </c>
      <c r="B5744" s="1" t="s">
        <v>1368</v>
      </c>
      <c r="C5744" s="1" t="s">
        <v>5865</v>
      </c>
      <c r="D5744" s="1" t="s">
        <v>5866</v>
      </c>
      <c r="E5744" s="1" t="s">
        <v>1182</v>
      </c>
      <c r="F5744">
        <f>VLOOKUP(E5744,Legends!$G$2:$I$100,2,FALSE)</f>
        <v>423</v>
      </c>
      <c r="G5744">
        <f>VLOOKUP(E5744,Legends!$G$2:$I$100,3,FALSE)</f>
        <v>425.6</v>
      </c>
      <c r="H5744">
        <v>19</v>
      </c>
      <c r="I5744" s="1" t="s">
        <v>1528</v>
      </c>
      <c r="J5744" s="1" t="s">
        <v>1336</v>
      </c>
      <c r="K5744" s="1" t="s">
        <v>25</v>
      </c>
      <c r="L5744">
        <v>-1.32</v>
      </c>
      <c r="M5744" t="str">
        <f t="shared" si="245"/>
        <v>44/40</v>
      </c>
      <c r="N5744" t="str">
        <f t="shared" si="246"/>
        <v>SW</v>
      </c>
      <c r="O5744" s="1" t="s">
        <v>5902</v>
      </c>
      <c r="P5744" t="str">
        <f t="shared" si="247"/>
        <v>ppm</v>
      </c>
      <c r="Q5744" s="37">
        <v>0.57999999999999996</v>
      </c>
      <c r="R5744" t="str">
        <f t="shared" si="248"/>
        <v>mmol/mol</v>
      </c>
      <c r="S5744" s="13">
        <f t="shared" si="244"/>
        <v>-1.32</v>
      </c>
    </row>
    <row r="5745" spans="1:19">
      <c r="A5745" s="18" t="s">
        <v>5864</v>
      </c>
      <c r="B5745" s="1" t="s">
        <v>1369</v>
      </c>
      <c r="C5745" s="1" t="s">
        <v>5865</v>
      </c>
      <c r="D5745" s="1" t="s">
        <v>5866</v>
      </c>
      <c r="E5745" s="1" t="s">
        <v>1182</v>
      </c>
      <c r="F5745">
        <f>VLOOKUP(E5745,Legends!$G$2:$I$100,2,FALSE)</f>
        <v>423</v>
      </c>
      <c r="G5745">
        <f>VLOOKUP(E5745,Legends!$G$2:$I$100,3,FALSE)</f>
        <v>425.6</v>
      </c>
      <c r="H5745">
        <v>19.399999999999999</v>
      </c>
      <c r="I5745" s="1" t="s">
        <v>1528</v>
      </c>
      <c r="J5745" s="1" t="s">
        <v>1336</v>
      </c>
      <c r="K5745" s="1" t="s">
        <v>25</v>
      </c>
      <c r="L5745" t="s">
        <v>25</v>
      </c>
      <c r="M5745" t="str">
        <f t="shared" si="245"/>
        <v>Na</v>
      </c>
      <c r="N5745" t="str">
        <f t="shared" si="246"/>
        <v>Na</v>
      </c>
      <c r="O5745" s="1" t="s">
        <v>25</v>
      </c>
      <c r="P5745" t="str">
        <f t="shared" si="247"/>
        <v>Na</v>
      </c>
      <c r="Q5745" s="37" t="s">
        <v>25</v>
      </c>
      <c r="R5745" t="str">
        <f t="shared" si="248"/>
        <v>Na</v>
      </c>
      <c r="S5745" s="13" t="s">
        <v>25</v>
      </c>
    </row>
    <row r="5746" spans="1:19">
      <c r="A5746" s="18" t="s">
        <v>5864</v>
      </c>
      <c r="B5746" s="1" t="s">
        <v>1370</v>
      </c>
      <c r="C5746" s="1" t="s">
        <v>5865</v>
      </c>
      <c r="D5746" s="1" t="s">
        <v>5866</v>
      </c>
      <c r="E5746" s="1" t="s">
        <v>1182</v>
      </c>
      <c r="F5746">
        <f>VLOOKUP(E5746,Legends!$G$2:$I$100,2,FALSE)</f>
        <v>423</v>
      </c>
      <c r="G5746">
        <f>VLOOKUP(E5746,Legends!$G$2:$I$100,3,FALSE)</f>
        <v>425.6</v>
      </c>
      <c r="H5746">
        <v>19.8</v>
      </c>
      <c r="I5746" s="1" t="s">
        <v>1528</v>
      </c>
      <c r="J5746" s="1" t="s">
        <v>1336</v>
      </c>
      <c r="K5746" s="1" t="s">
        <v>25</v>
      </c>
      <c r="L5746" t="s">
        <v>25</v>
      </c>
      <c r="M5746" t="str">
        <f t="shared" si="245"/>
        <v>Na</v>
      </c>
      <c r="N5746" t="str">
        <f t="shared" si="246"/>
        <v>Na</v>
      </c>
      <c r="O5746" s="1" t="s">
        <v>5903</v>
      </c>
      <c r="P5746" t="str">
        <f t="shared" si="247"/>
        <v>ppm</v>
      </c>
      <c r="Q5746" s="37">
        <v>0.81</v>
      </c>
      <c r="R5746" t="str">
        <f t="shared" si="248"/>
        <v>mmol/mol</v>
      </c>
      <c r="S5746" s="13" t="s">
        <v>25</v>
      </c>
    </row>
    <row r="5747" spans="1:19">
      <c r="A5747" s="18" t="s">
        <v>5864</v>
      </c>
      <c r="B5747" s="1" t="s">
        <v>1371</v>
      </c>
      <c r="C5747" s="1" t="s">
        <v>5865</v>
      </c>
      <c r="D5747" s="1" t="s">
        <v>5866</v>
      </c>
      <c r="E5747" s="1" t="s">
        <v>1182</v>
      </c>
      <c r="F5747">
        <f>VLOOKUP(E5747,Legends!$G$2:$I$100,2,FALSE)</f>
        <v>423</v>
      </c>
      <c r="G5747">
        <f>VLOOKUP(E5747,Legends!$G$2:$I$100,3,FALSE)</f>
        <v>425.6</v>
      </c>
      <c r="H5747">
        <v>20.3</v>
      </c>
      <c r="I5747" s="1" t="s">
        <v>1528</v>
      </c>
      <c r="J5747" s="1" t="s">
        <v>1336</v>
      </c>
      <c r="K5747" s="1" t="s">
        <v>25</v>
      </c>
      <c r="L5747">
        <v>-1.38</v>
      </c>
      <c r="M5747" t="str">
        <f t="shared" si="245"/>
        <v>44/40</v>
      </c>
      <c r="N5747" t="str">
        <f t="shared" si="246"/>
        <v>SW</v>
      </c>
      <c r="O5747" s="1" t="s">
        <v>5904</v>
      </c>
      <c r="P5747" t="str">
        <f t="shared" si="247"/>
        <v>ppm</v>
      </c>
      <c r="Q5747" s="37">
        <v>0.79</v>
      </c>
      <c r="R5747" t="str">
        <f t="shared" si="248"/>
        <v>mmol/mol</v>
      </c>
      <c r="S5747" s="13">
        <f t="shared" si="244"/>
        <v>-1.38</v>
      </c>
    </row>
    <row r="5748" spans="1:19">
      <c r="A5748" s="18" t="s">
        <v>5864</v>
      </c>
      <c r="B5748" s="1" t="s">
        <v>1372</v>
      </c>
      <c r="C5748" s="1" t="s">
        <v>5865</v>
      </c>
      <c r="D5748" s="1" t="s">
        <v>5866</v>
      </c>
      <c r="E5748" s="1" t="s">
        <v>1182</v>
      </c>
      <c r="F5748">
        <f>VLOOKUP(E5748,Legends!$G$2:$I$100,2,FALSE)</f>
        <v>423</v>
      </c>
      <c r="G5748">
        <f>VLOOKUP(E5748,Legends!$G$2:$I$100,3,FALSE)</f>
        <v>425.6</v>
      </c>
      <c r="H5748">
        <v>20.8</v>
      </c>
      <c r="I5748" s="1" t="s">
        <v>1528</v>
      </c>
      <c r="J5748" s="1" t="s">
        <v>1336</v>
      </c>
      <c r="K5748" s="1" t="s">
        <v>25</v>
      </c>
      <c r="L5748" t="s">
        <v>25</v>
      </c>
      <c r="M5748" t="str">
        <f t="shared" si="245"/>
        <v>Na</v>
      </c>
      <c r="N5748" t="str">
        <f t="shared" si="246"/>
        <v>Na</v>
      </c>
      <c r="O5748" s="1" t="s">
        <v>25</v>
      </c>
      <c r="P5748" t="str">
        <f t="shared" si="247"/>
        <v>Na</v>
      </c>
      <c r="Q5748" s="37" t="s">
        <v>25</v>
      </c>
      <c r="R5748" t="str">
        <f t="shared" si="248"/>
        <v>Na</v>
      </c>
      <c r="S5748" s="13" t="s">
        <v>25</v>
      </c>
    </row>
    <row r="5749" spans="1:19">
      <c r="A5749" s="18" t="s">
        <v>5864</v>
      </c>
      <c r="B5749" s="1" t="s">
        <v>1373</v>
      </c>
      <c r="C5749" s="1" t="s">
        <v>5865</v>
      </c>
      <c r="D5749" s="1" t="s">
        <v>5866</v>
      </c>
      <c r="E5749" s="1" t="s">
        <v>1182</v>
      </c>
      <c r="F5749">
        <f>VLOOKUP(E5749,Legends!$G$2:$I$100,2,FALSE)</f>
        <v>423</v>
      </c>
      <c r="G5749">
        <f>VLOOKUP(E5749,Legends!$G$2:$I$100,3,FALSE)</f>
        <v>425.6</v>
      </c>
      <c r="H5749">
        <v>21.3</v>
      </c>
      <c r="I5749" s="1" t="s">
        <v>1528</v>
      </c>
      <c r="J5749" s="1" t="s">
        <v>1336</v>
      </c>
      <c r="K5749" s="1" t="s">
        <v>25</v>
      </c>
      <c r="L5749">
        <v>-1.1399999999999999</v>
      </c>
      <c r="M5749" t="str">
        <f t="shared" si="245"/>
        <v>44/40</v>
      </c>
      <c r="N5749" t="str">
        <f t="shared" si="246"/>
        <v>SW</v>
      </c>
      <c r="O5749" s="1" t="s">
        <v>5905</v>
      </c>
      <c r="P5749" t="str">
        <f t="shared" si="247"/>
        <v>ppm</v>
      </c>
      <c r="Q5749" s="37">
        <v>0.54</v>
      </c>
      <c r="R5749" t="str">
        <f t="shared" si="248"/>
        <v>mmol/mol</v>
      </c>
      <c r="S5749" s="13">
        <f t="shared" si="244"/>
        <v>-1.1399999999999999</v>
      </c>
    </row>
    <row r="5750" spans="1:19">
      <c r="A5750" s="18" t="s">
        <v>5864</v>
      </c>
      <c r="B5750" s="1" t="s">
        <v>1374</v>
      </c>
      <c r="C5750" s="1" t="s">
        <v>5865</v>
      </c>
      <c r="D5750" s="1" t="s">
        <v>5866</v>
      </c>
      <c r="E5750" s="1" t="s">
        <v>1182</v>
      </c>
      <c r="F5750">
        <f>VLOOKUP(E5750,Legends!$G$2:$I$100,2,FALSE)</f>
        <v>423</v>
      </c>
      <c r="G5750">
        <f>VLOOKUP(E5750,Legends!$G$2:$I$100,3,FALSE)</f>
        <v>425.6</v>
      </c>
      <c r="H5750">
        <v>22.3</v>
      </c>
      <c r="I5750" s="1" t="s">
        <v>1528</v>
      </c>
      <c r="J5750" s="1" t="s">
        <v>1336</v>
      </c>
      <c r="K5750" s="1" t="s">
        <v>25</v>
      </c>
      <c r="L5750" t="s">
        <v>25</v>
      </c>
      <c r="M5750" t="str">
        <f t="shared" si="245"/>
        <v>Na</v>
      </c>
      <c r="N5750" t="str">
        <f t="shared" si="246"/>
        <v>Na</v>
      </c>
      <c r="O5750" s="1" t="s">
        <v>25</v>
      </c>
      <c r="P5750" t="str">
        <f t="shared" si="247"/>
        <v>Na</v>
      </c>
      <c r="Q5750" s="37" t="s">
        <v>25</v>
      </c>
      <c r="R5750" t="str">
        <f t="shared" si="248"/>
        <v>Na</v>
      </c>
      <c r="S5750" s="13" t="s">
        <v>25</v>
      </c>
    </row>
    <row r="5751" spans="1:19">
      <c r="A5751" s="18" t="s">
        <v>5864</v>
      </c>
      <c r="B5751" s="1" t="s">
        <v>1375</v>
      </c>
      <c r="C5751" s="1" t="s">
        <v>5865</v>
      </c>
      <c r="D5751" s="1" t="s">
        <v>5866</v>
      </c>
      <c r="E5751" s="1" t="s">
        <v>1182</v>
      </c>
      <c r="F5751">
        <f>VLOOKUP(E5751,Legends!$G$2:$I$100,2,FALSE)</f>
        <v>423</v>
      </c>
      <c r="G5751">
        <f>VLOOKUP(E5751,Legends!$G$2:$I$100,3,FALSE)</f>
        <v>425.6</v>
      </c>
      <c r="H5751">
        <v>23.3</v>
      </c>
      <c r="I5751" s="1" t="s">
        <v>1528</v>
      </c>
      <c r="J5751" s="1" t="s">
        <v>1336</v>
      </c>
      <c r="K5751" s="1" t="s">
        <v>25</v>
      </c>
      <c r="L5751">
        <v>-1.1000000000000001</v>
      </c>
      <c r="M5751" t="str">
        <f t="shared" si="245"/>
        <v>44/40</v>
      </c>
      <c r="N5751" t="str">
        <f t="shared" si="246"/>
        <v>SW</v>
      </c>
      <c r="O5751" s="1" t="s">
        <v>5906</v>
      </c>
      <c r="P5751" t="str">
        <f t="shared" si="247"/>
        <v>ppm</v>
      </c>
      <c r="Q5751" s="37">
        <v>0.55000000000000004</v>
      </c>
      <c r="R5751" t="str">
        <f t="shared" si="248"/>
        <v>mmol/mol</v>
      </c>
      <c r="S5751" s="13">
        <f t="shared" si="244"/>
        <v>-1.1000000000000001</v>
      </c>
    </row>
    <row r="5752" spans="1:19">
      <c r="A5752" s="18" t="s">
        <v>5864</v>
      </c>
      <c r="B5752" s="1" t="s">
        <v>1376</v>
      </c>
      <c r="C5752" s="1" t="s">
        <v>5865</v>
      </c>
      <c r="D5752" s="1" t="s">
        <v>5866</v>
      </c>
      <c r="E5752" s="1" t="s">
        <v>1182</v>
      </c>
      <c r="F5752">
        <f>VLOOKUP(E5752,Legends!$G$2:$I$100,2,FALSE)</f>
        <v>423</v>
      </c>
      <c r="G5752">
        <f>VLOOKUP(E5752,Legends!$G$2:$I$100,3,FALSE)</f>
        <v>425.6</v>
      </c>
      <c r="H5752">
        <v>24.3</v>
      </c>
      <c r="I5752" s="1" t="s">
        <v>1528</v>
      </c>
      <c r="J5752" s="1" t="s">
        <v>1336</v>
      </c>
      <c r="K5752" s="1" t="s">
        <v>25</v>
      </c>
      <c r="L5752">
        <v>-1.1200000000000001</v>
      </c>
      <c r="M5752" t="str">
        <f t="shared" si="245"/>
        <v>44/40</v>
      </c>
      <c r="N5752" t="str">
        <f t="shared" si="246"/>
        <v>SW</v>
      </c>
      <c r="O5752" s="1" t="s">
        <v>5907</v>
      </c>
      <c r="P5752" t="str">
        <f t="shared" si="247"/>
        <v>ppm</v>
      </c>
      <c r="Q5752" s="37">
        <v>0.5</v>
      </c>
      <c r="R5752" t="str">
        <f t="shared" si="248"/>
        <v>mmol/mol</v>
      </c>
      <c r="S5752" s="13">
        <f t="shared" si="244"/>
        <v>-1.1200000000000001</v>
      </c>
    </row>
    <row r="5753" spans="1:19">
      <c r="A5753" s="18" t="s">
        <v>5864</v>
      </c>
      <c r="B5753" s="1" t="s">
        <v>1377</v>
      </c>
      <c r="C5753" s="1" t="s">
        <v>5865</v>
      </c>
      <c r="D5753" s="1" t="s">
        <v>5866</v>
      </c>
      <c r="E5753" s="1" t="s">
        <v>1182</v>
      </c>
      <c r="F5753">
        <f>VLOOKUP(E5753,Legends!$G$2:$I$100,2,FALSE)</f>
        <v>423</v>
      </c>
      <c r="G5753">
        <f>VLOOKUP(E5753,Legends!$G$2:$I$100,3,FALSE)</f>
        <v>425.6</v>
      </c>
      <c r="H5753">
        <v>24.8</v>
      </c>
      <c r="I5753" s="1" t="s">
        <v>1528</v>
      </c>
      <c r="J5753" s="1" t="s">
        <v>1336</v>
      </c>
      <c r="K5753" s="1" t="s">
        <v>25</v>
      </c>
      <c r="L5753">
        <v>-0.87</v>
      </c>
      <c r="M5753" t="str">
        <f t="shared" si="245"/>
        <v>44/40</v>
      </c>
      <c r="N5753" t="str">
        <f t="shared" si="246"/>
        <v>SW</v>
      </c>
      <c r="O5753" s="1" t="s">
        <v>5908</v>
      </c>
      <c r="P5753" t="str">
        <f t="shared" si="247"/>
        <v>ppm</v>
      </c>
      <c r="Q5753" s="37">
        <v>0.5</v>
      </c>
      <c r="R5753" t="str">
        <f t="shared" si="248"/>
        <v>mmol/mol</v>
      </c>
      <c r="S5753" s="13">
        <f t="shared" si="244"/>
        <v>-0.87</v>
      </c>
    </row>
    <row r="5754" spans="1:19">
      <c r="A5754" s="18" t="s">
        <v>5864</v>
      </c>
      <c r="B5754" s="1" t="s">
        <v>1378</v>
      </c>
      <c r="C5754" s="1" t="s">
        <v>5865</v>
      </c>
      <c r="D5754" s="1" t="s">
        <v>5866</v>
      </c>
      <c r="E5754" s="1" t="s">
        <v>1182</v>
      </c>
      <c r="F5754">
        <f>VLOOKUP(E5754,Legends!$G$2:$I$100,2,FALSE)</f>
        <v>423</v>
      </c>
      <c r="G5754">
        <f>VLOOKUP(E5754,Legends!$G$2:$I$100,3,FALSE)</f>
        <v>425.6</v>
      </c>
      <c r="H5754">
        <v>25.8</v>
      </c>
      <c r="I5754" s="1" t="s">
        <v>1528</v>
      </c>
      <c r="J5754" s="1" t="s">
        <v>1336</v>
      </c>
      <c r="K5754" s="1" t="s">
        <v>25</v>
      </c>
      <c r="L5754">
        <v>-1.26</v>
      </c>
      <c r="M5754" t="str">
        <f t="shared" si="245"/>
        <v>44/40</v>
      </c>
      <c r="N5754" t="str">
        <f t="shared" si="246"/>
        <v>SW</v>
      </c>
      <c r="O5754" s="1" t="s">
        <v>5909</v>
      </c>
      <c r="P5754" t="str">
        <f t="shared" si="247"/>
        <v>ppm</v>
      </c>
      <c r="Q5754" s="37">
        <v>0.52</v>
      </c>
      <c r="R5754" t="str">
        <f t="shared" si="248"/>
        <v>mmol/mol</v>
      </c>
      <c r="S5754" s="13">
        <f t="shared" ref="S5754:S5818" si="249">IF(NOT(N5754="SW"),L5754-1.88,L5754)</f>
        <v>-1.26</v>
      </c>
    </row>
    <row r="5755" spans="1:19">
      <c r="A5755" s="18" t="s">
        <v>5864</v>
      </c>
      <c r="B5755" s="1" t="s">
        <v>1379</v>
      </c>
      <c r="C5755" s="1" t="s">
        <v>5865</v>
      </c>
      <c r="D5755" s="1" t="s">
        <v>5866</v>
      </c>
      <c r="E5755" s="1" t="s">
        <v>1182</v>
      </c>
      <c r="F5755">
        <f>VLOOKUP(E5755,Legends!$G$2:$I$100,2,FALSE)</f>
        <v>423</v>
      </c>
      <c r="G5755">
        <f>VLOOKUP(E5755,Legends!$G$2:$I$100,3,FALSE)</f>
        <v>425.6</v>
      </c>
      <c r="H5755">
        <v>26.3</v>
      </c>
      <c r="I5755" s="1" t="s">
        <v>1528</v>
      </c>
      <c r="J5755" s="1" t="s">
        <v>1336</v>
      </c>
      <c r="K5755" s="1" t="s">
        <v>25</v>
      </c>
      <c r="L5755">
        <v>-1.08</v>
      </c>
      <c r="M5755" t="str">
        <f t="shared" si="245"/>
        <v>44/40</v>
      </c>
      <c r="N5755" t="str">
        <f t="shared" si="246"/>
        <v>SW</v>
      </c>
      <c r="O5755" s="1" t="s">
        <v>5910</v>
      </c>
      <c r="P5755" t="str">
        <f t="shared" si="247"/>
        <v>ppm</v>
      </c>
      <c r="Q5755" s="37">
        <v>0.49</v>
      </c>
      <c r="R5755" t="str">
        <f t="shared" si="248"/>
        <v>mmol/mol</v>
      </c>
      <c r="S5755" s="13">
        <f t="shared" si="249"/>
        <v>-1.08</v>
      </c>
    </row>
    <row r="5756" spans="1:19">
      <c r="A5756" s="18" t="s">
        <v>5864</v>
      </c>
      <c r="B5756" s="1" t="s">
        <v>1380</v>
      </c>
      <c r="C5756" s="1" t="s">
        <v>5865</v>
      </c>
      <c r="D5756" s="1" t="s">
        <v>5866</v>
      </c>
      <c r="E5756" s="1" t="s">
        <v>1182</v>
      </c>
      <c r="F5756">
        <f>VLOOKUP(E5756,Legends!$G$2:$I$100,2,FALSE)</f>
        <v>423</v>
      </c>
      <c r="G5756">
        <f>VLOOKUP(E5756,Legends!$G$2:$I$100,3,FALSE)</f>
        <v>425.6</v>
      </c>
      <c r="H5756">
        <v>27.3</v>
      </c>
      <c r="I5756" s="1" t="s">
        <v>1528</v>
      </c>
      <c r="J5756" s="1" t="s">
        <v>1336</v>
      </c>
      <c r="K5756" s="1" t="s">
        <v>25</v>
      </c>
      <c r="L5756">
        <v>-1.1000000000000001</v>
      </c>
      <c r="M5756" t="str">
        <f t="shared" si="245"/>
        <v>44/40</v>
      </c>
      <c r="N5756" t="str">
        <f t="shared" si="246"/>
        <v>SW</v>
      </c>
      <c r="O5756" s="1" t="s">
        <v>5911</v>
      </c>
      <c r="P5756" t="str">
        <f t="shared" si="247"/>
        <v>ppm</v>
      </c>
      <c r="Q5756" s="37">
        <v>0.5</v>
      </c>
      <c r="R5756" t="str">
        <f t="shared" si="248"/>
        <v>mmol/mol</v>
      </c>
      <c r="S5756" s="13">
        <f t="shared" si="249"/>
        <v>-1.1000000000000001</v>
      </c>
    </row>
    <row r="5757" spans="1:19">
      <c r="A5757" s="18" t="s">
        <v>5864</v>
      </c>
      <c r="B5757" s="1" t="s">
        <v>1381</v>
      </c>
      <c r="C5757" s="1" t="s">
        <v>5865</v>
      </c>
      <c r="D5757" s="1" t="s">
        <v>5866</v>
      </c>
      <c r="E5757" s="1" t="s">
        <v>1182</v>
      </c>
      <c r="F5757">
        <f>VLOOKUP(E5757,Legends!$G$2:$I$100,2,FALSE)</f>
        <v>423</v>
      </c>
      <c r="G5757">
        <f>VLOOKUP(E5757,Legends!$G$2:$I$100,3,FALSE)</f>
        <v>425.6</v>
      </c>
      <c r="H5757">
        <v>28.3</v>
      </c>
      <c r="I5757" s="1" t="s">
        <v>1528</v>
      </c>
      <c r="J5757" s="1" t="s">
        <v>1336</v>
      </c>
      <c r="K5757" s="1" t="s">
        <v>25</v>
      </c>
      <c r="L5757">
        <v>-1.1100000000000001</v>
      </c>
      <c r="M5757" t="str">
        <f t="shared" si="245"/>
        <v>44/40</v>
      </c>
      <c r="N5757" t="str">
        <f t="shared" si="246"/>
        <v>SW</v>
      </c>
      <c r="O5757" s="1" t="s">
        <v>5912</v>
      </c>
      <c r="P5757" t="str">
        <f t="shared" si="247"/>
        <v>ppm</v>
      </c>
      <c r="Q5757" s="37">
        <v>0.47</v>
      </c>
      <c r="R5757" t="str">
        <f t="shared" si="248"/>
        <v>mmol/mol</v>
      </c>
      <c r="S5757" s="13">
        <f t="shared" si="249"/>
        <v>-1.1100000000000001</v>
      </c>
    </row>
    <row r="5758" spans="1:19">
      <c r="A5758" s="18" t="s">
        <v>5864</v>
      </c>
      <c r="B5758" s="1" t="s">
        <v>1382</v>
      </c>
      <c r="C5758" s="1" t="s">
        <v>5865</v>
      </c>
      <c r="D5758" s="1" t="s">
        <v>5866</v>
      </c>
      <c r="E5758" s="1" t="s">
        <v>1182</v>
      </c>
      <c r="F5758">
        <f>VLOOKUP(E5758,Legends!$G$2:$I$100,2,FALSE)</f>
        <v>423</v>
      </c>
      <c r="G5758">
        <f>VLOOKUP(E5758,Legends!$G$2:$I$100,3,FALSE)</f>
        <v>425.6</v>
      </c>
      <c r="H5758">
        <v>28.95</v>
      </c>
      <c r="I5758" s="1" t="s">
        <v>1528</v>
      </c>
      <c r="J5758" s="1" t="s">
        <v>1336</v>
      </c>
      <c r="K5758" s="1" t="s">
        <v>25</v>
      </c>
      <c r="L5758">
        <v>-1.19</v>
      </c>
      <c r="M5758" t="str">
        <f t="shared" si="245"/>
        <v>44/40</v>
      </c>
      <c r="N5758" t="str">
        <f t="shared" si="246"/>
        <v>SW</v>
      </c>
      <c r="O5758" s="1" t="s">
        <v>5913</v>
      </c>
      <c r="P5758" t="str">
        <f t="shared" si="247"/>
        <v>ppm</v>
      </c>
      <c r="Q5758" s="37">
        <v>0.88</v>
      </c>
      <c r="R5758" t="str">
        <f t="shared" si="248"/>
        <v>mmol/mol</v>
      </c>
      <c r="S5758" s="13">
        <f t="shared" si="249"/>
        <v>-1.19</v>
      </c>
    </row>
    <row r="5759" spans="1:19">
      <c r="A5759" s="18" t="s">
        <v>5864</v>
      </c>
      <c r="B5759" s="1" t="s">
        <v>1383</v>
      </c>
      <c r="C5759" s="1" t="s">
        <v>5865</v>
      </c>
      <c r="D5759" s="1" t="s">
        <v>5866</v>
      </c>
      <c r="E5759" s="1" t="s">
        <v>1182</v>
      </c>
      <c r="F5759">
        <f>VLOOKUP(E5759,Legends!$G$2:$I$100,2,FALSE)</f>
        <v>423</v>
      </c>
      <c r="G5759">
        <f>VLOOKUP(E5759,Legends!$G$2:$I$100,3,FALSE)</f>
        <v>425.6</v>
      </c>
      <c r="H5759">
        <v>29.2</v>
      </c>
      <c r="I5759" s="1" t="s">
        <v>1528</v>
      </c>
      <c r="J5759" s="1" t="s">
        <v>1336</v>
      </c>
      <c r="K5759" s="1" t="s">
        <v>25</v>
      </c>
      <c r="L5759">
        <v>-1.43</v>
      </c>
      <c r="M5759" t="str">
        <f t="shared" si="245"/>
        <v>44/40</v>
      </c>
      <c r="N5759" t="str">
        <f t="shared" si="246"/>
        <v>SW</v>
      </c>
      <c r="O5759" s="1" t="s">
        <v>5494</v>
      </c>
      <c r="P5759" t="str">
        <f t="shared" si="247"/>
        <v>ppm</v>
      </c>
      <c r="Q5759" s="37">
        <v>0.56000000000000005</v>
      </c>
      <c r="R5759" t="str">
        <f t="shared" si="248"/>
        <v>mmol/mol</v>
      </c>
      <c r="S5759" s="13">
        <f t="shared" si="249"/>
        <v>-1.43</v>
      </c>
    </row>
    <row r="5760" spans="1:19">
      <c r="A5760" s="18" t="s">
        <v>5864</v>
      </c>
      <c r="B5760" s="1" t="s">
        <v>1021</v>
      </c>
      <c r="C5760" s="1" t="s">
        <v>5865</v>
      </c>
      <c r="D5760" s="1" t="s">
        <v>5866</v>
      </c>
      <c r="E5760" s="1" t="s">
        <v>1182</v>
      </c>
      <c r="F5760">
        <f>VLOOKUP(E5760,Legends!$G$2:$I$100,2,FALSE)</f>
        <v>423</v>
      </c>
      <c r="G5760">
        <f>VLOOKUP(E5760,Legends!$G$2:$I$100,3,FALSE)</f>
        <v>425.6</v>
      </c>
      <c r="H5760">
        <v>31.1</v>
      </c>
      <c r="I5760" s="1" t="s">
        <v>1528</v>
      </c>
      <c r="J5760" s="1" t="s">
        <v>1336</v>
      </c>
      <c r="K5760" s="1" t="s">
        <v>25</v>
      </c>
      <c r="L5760">
        <v>-1.43</v>
      </c>
      <c r="M5760" t="str">
        <f t="shared" si="245"/>
        <v>44/40</v>
      </c>
      <c r="N5760" t="str">
        <f t="shared" si="246"/>
        <v>SW</v>
      </c>
      <c r="O5760" s="1" t="s">
        <v>5914</v>
      </c>
      <c r="P5760" t="str">
        <f t="shared" si="247"/>
        <v>ppm</v>
      </c>
      <c r="Q5760" s="37">
        <v>1</v>
      </c>
      <c r="R5760" t="str">
        <f t="shared" si="248"/>
        <v>mmol/mol</v>
      </c>
      <c r="S5760" s="13">
        <f t="shared" si="249"/>
        <v>-1.43</v>
      </c>
    </row>
    <row r="5761" spans="1:19">
      <c r="A5761" s="18" t="s">
        <v>5864</v>
      </c>
      <c r="B5761" s="1" t="s">
        <v>1384</v>
      </c>
      <c r="C5761" s="1" t="s">
        <v>5865</v>
      </c>
      <c r="D5761" s="1" t="s">
        <v>5866</v>
      </c>
      <c r="E5761" s="1" t="s">
        <v>1182</v>
      </c>
      <c r="F5761">
        <f>VLOOKUP(E5761,Legends!$G$2:$I$100,2,FALSE)</f>
        <v>423</v>
      </c>
      <c r="G5761">
        <f>VLOOKUP(E5761,Legends!$G$2:$I$100,3,FALSE)</f>
        <v>425.6</v>
      </c>
      <c r="H5761" t="s">
        <v>25</v>
      </c>
      <c r="I5761" s="1" t="s">
        <v>1528</v>
      </c>
      <c r="J5761" s="1" t="s">
        <v>1336</v>
      </c>
      <c r="K5761" s="1" t="s">
        <v>25</v>
      </c>
      <c r="L5761">
        <v>-1.1200000000000001</v>
      </c>
      <c r="M5761" t="str">
        <f t="shared" si="245"/>
        <v>44/40</v>
      </c>
      <c r="N5761" t="str">
        <f t="shared" si="246"/>
        <v>SW</v>
      </c>
      <c r="O5761" s="1" t="s">
        <v>5915</v>
      </c>
      <c r="P5761" t="str">
        <f t="shared" si="247"/>
        <v>ppm</v>
      </c>
      <c r="Q5761" s="37">
        <v>0.37</v>
      </c>
      <c r="R5761" t="str">
        <f t="shared" si="248"/>
        <v>mmol/mol</v>
      </c>
      <c r="S5761" s="13">
        <f t="shared" si="249"/>
        <v>-1.1200000000000001</v>
      </c>
    </row>
    <row r="5762" spans="1:19">
      <c r="A5762" s="18" t="s">
        <v>5864</v>
      </c>
      <c r="B5762" s="1" t="s">
        <v>1385</v>
      </c>
      <c r="C5762" s="1" t="s">
        <v>5865</v>
      </c>
      <c r="D5762" s="1" t="s">
        <v>5866</v>
      </c>
      <c r="E5762" s="1" t="s">
        <v>1182</v>
      </c>
      <c r="F5762">
        <f>VLOOKUP(E5762,Legends!$G$2:$I$100,2,FALSE)</f>
        <v>423</v>
      </c>
      <c r="G5762">
        <f>VLOOKUP(E5762,Legends!$G$2:$I$100,3,FALSE)</f>
        <v>425.6</v>
      </c>
      <c r="H5762" t="s">
        <v>25</v>
      </c>
      <c r="I5762" s="1" t="s">
        <v>1528</v>
      </c>
      <c r="J5762" s="1" t="s">
        <v>1336</v>
      </c>
      <c r="K5762" s="1" t="s">
        <v>25</v>
      </c>
      <c r="L5762">
        <v>-1.17</v>
      </c>
      <c r="M5762" t="str">
        <f t="shared" si="245"/>
        <v>44/40</v>
      </c>
      <c r="N5762" t="str">
        <f t="shared" si="246"/>
        <v>SW</v>
      </c>
      <c r="O5762" s="1" t="s">
        <v>5916</v>
      </c>
      <c r="P5762" t="str">
        <f t="shared" si="247"/>
        <v>ppm</v>
      </c>
      <c r="Q5762" s="37">
        <v>0.56999999999999995</v>
      </c>
      <c r="R5762" t="str">
        <f t="shared" si="248"/>
        <v>mmol/mol</v>
      </c>
      <c r="S5762" s="13">
        <f t="shared" si="249"/>
        <v>-1.17</v>
      </c>
    </row>
    <row r="5763" spans="1:19">
      <c r="A5763" s="18" t="s">
        <v>5864</v>
      </c>
      <c r="B5763" s="1" t="s">
        <v>1022</v>
      </c>
      <c r="C5763" s="1" t="s">
        <v>5865</v>
      </c>
      <c r="D5763" s="1" t="s">
        <v>5866</v>
      </c>
      <c r="E5763" s="1" t="s">
        <v>1182</v>
      </c>
      <c r="F5763">
        <f>VLOOKUP(E5763,Legends!$G$2:$I$100,2,FALSE)</f>
        <v>423</v>
      </c>
      <c r="G5763">
        <f>VLOOKUP(E5763,Legends!$G$2:$I$100,3,FALSE)</f>
        <v>425.6</v>
      </c>
      <c r="H5763" t="s">
        <v>25</v>
      </c>
      <c r="I5763" s="1" t="s">
        <v>1528</v>
      </c>
      <c r="J5763" s="1" t="s">
        <v>1336</v>
      </c>
      <c r="K5763" s="1" t="s">
        <v>25</v>
      </c>
      <c r="L5763">
        <v>-1.1299999999999999</v>
      </c>
      <c r="M5763" t="str">
        <f t="shared" si="245"/>
        <v>44/40</v>
      </c>
      <c r="N5763" t="str">
        <f t="shared" si="246"/>
        <v>SW</v>
      </c>
      <c r="O5763" s="1" t="s">
        <v>5917</v>
      </c>
      <c r="P5763" t="str">
        <f t="shared" si="247"/>
        <v>ppm</v>
      </c>
      <c r="Q5763" s="37">
        <v>0.61</v>
      </c>
      <c r="R5763" t="str">
        <f t="shared" si="248"/>
        <v>mmol/mol</v>
      </c>
      <c r="S5763" s="13">
        <f t="shared" si="249"/>
        <v>-1.1299999999999999</v>
      </c>
    </row>
    <row r="5764" spans="1:19">
      <c r="A5764" s="18" t="s">
        <v>5864</v>
      </c>
      <c r="B5764" s="1" t="s">
        <v>1386</v>
      </c>
      <c r="C5764" s="1" t="s">
        <v>5865</v>
      </c>
      <c r="D5764" s="1" t="s">
        <v>5866</v>
      </c>
      <c r="E5764" s="1" t="s">
        <v>1182</v>
      </c>
      <c r="F5764">
        <f>VLOOKUP(E5764,Legends!$G$2:$I$100,2,FALSE)</f>
        <v>423</v>
      </c>
      <c r="G5764">
        <f>VLOOKUP(E5764,Legends!$G$2:$I$100,3,FALSE)</f>
        <v>425.6</v>
      </c>
      <c r="H5764" t="s">
        <v>25</v>
      </c>
      <c r="I5764" s="1" t="s">
        <v>1528</v>
      </c>
      <c r="J5764" s="1" t="s">
        <v>1336</v>
      </c>
      <c r="K5764" s="1" t="s">
        <v>25</v>
      </c>
      <c r="L5764">
        <v>-1.1299999999999999</v>
      </c>
      <c r="M5764" t="str">
        <f t="shared" si="245"/>
        <v>44/40</v>
      </c>
      <c r="N5764" t="str">
        <f t="shared" si="246"/>
        <v>SW</v>
      </c>
      <c r="O5764" s="1" t="s">
        <v>5918</v>
      </c>
      <c r="P5764" t="str">
        <f t="shared" si="247"/>
        <v>ppm</v>
      </c>
      <c r="Q5764" s="37">
        <v>0.38</v>
      </c>
      <c r="R5764" t="str">
        <f t="shared" si="248"/>
        <v>mmol/mol</v>
      </c>
      <c r="S5764" s="13">
        <f t="shared" si="249"/>
        <v>-1.1299999999999999</v>
      </c>
    </row>
    <row r="5765" spans="1:19">
      <c r="A5765" s="18" t="s">
        <v>5864</v>
      </c>
      <c r="B5765" s="1" t="s">
        <v>1023</v>
      </c>
      <c r="C5765" s="1" t="s">
        <v>5865</v>
      </c>
      <c r="D5765" s="1" t="s">
        <v>5866</v>
      </c>
      <c r="E5765" s="1" t="s">
        <v>1182</v>
      </c>
      <c r="F5765">
        <f>VLOOKUP(E5765,Legends!$G$2:$I$100,2,FALSE)</f>
        <v>423</v>
      </c>
      <c r="G5765">
        <f>VLOOKUP(E5765,Legends!$G$2:$I$100,3,FALSE)</f>
        <v>425.6</v>
      </c>
      <c r="H5765" t="s">
        <v>25</v>
      </c>
      <c r="I5765" s="1" t="s">
        <v>1528</v>
      </c>
      <c r="J5765" s="1" t="s">
        <v>1336</v>
      </c>
      <c r="K5765" s="1" t="s">
        <v>25</v>
      </c>
      <c r="L5765">
        <v>-1.3</v>
      </c>
      <c r="M5765" t="str">
        <f t="shared" si="245"/>
        <v>44/40</v>
      </c>
      <c r="N5765" t="str">
        <f t="shared" si="246"/>
        <v>SW</v>
      </c>
      <c r="O5765" s="1" t="s">
        <v>5919</v>
      </c>
      <c r="P5765" t="str">
        <f t="shared" si="247"/>
        <v>ppm</v>
      </c>
      <c r="Q5765" s="37">
        <v>0.86</v>
      </c>
      <c r="R5765" t="str">
        <f t="shared" si="248"/>
        <v>mmol/mol</v>
      </c>
      <c r="S5765" s="13">
        <f t="shared" si="249"/>
        <v>-1.3</v>
      </c>
    </row>
    <row r="5766" spans="1:19">
      <c r="A5766" s="18" t="s">
        <v>5864</v>
      </c>
      <c r="B5766" s="1" t="s">
        <v>1024</v>
      </c>
      <c r="C5766" s="1" t="s">
        <v>5865</v>
      </c>
      <c r="D5766" s="1" t="s">
        <v>5866</v>
      </c>
      <c r="E5766" s="1" t="s">
        <v>1182</v>
      </c>
      <c r="F5766">
        <f>VLOOKUP(E5766,Legends!$G$2:$I$100,2,FALSE)</f>
        <v>423</v>
      </c>
      <c r="G5766">
        <f>VLOOKUP(E5766,Legends!$G$2:$I$100,3,FALSE)</f>
        <v>425.6</v>
      </c>
      <c r="H5766" t="s">
        <v>25</v>
      </c>
      <c r="I5766" s="1" t="s">
        <v>1528</v>
      </c>
      <c r="J5766" s="1" t="s">
        <v>1336</v>
      </c>
      <c r="K5766" s="1" t="s">
        <v>25</v>
      </c>
      <c r="L5766">
        <v>-1.04</v>
      </c>
      <c r="M5766" t="str">
        <f t="shared" si="245"/>
        <v>44/40</v>
      </c>
      <c r="N5766" t="str">
        <f t="shared" si="246"/>
        <v>SW</v>
      </c>
      <c r="O5766" s="1" t="s">
        <v>5495</v>
      </c>
      <c r="P5766" t="str">
        <f t="shared" si="247"/>
        <v>ppm</v>
      </c>
      <c r="Q5766" s="37">
        <v>0.49</v>
      </c>
      <c r="R5766" t="str">
        <f t="shared" si="248"/>
        <v>mmol/mol</v>
      </c>
      <c r="S5766" s="13">
        <f t="shared" si="249"/>
        <v>-1.04</v>
      </c>
    </row>
    <row r="5767" spans="1:19">
      <c r="A5767" s="18" t="s">
        <v>5864</v>
      </c>
      <c r="B5767" s="1" t="s">
        <v>1387</v>
      </c>
      <c r="C5767" s="1" t="s">
        <v>5865</v>
      </c>
      <c r="D5767" s="1" t="s">
        <v>5866</v>
      </c>
      <c r="E5767" s="1" t="s">
        <v>1182</v>
      </c>
      <c r="F5767">
        <f>VLOOKUP(E5767,Legends!$G$2:$I$100,2,FALSE)</f>
        <v>423</v>
      </c>
      <c r="G5767">
        <f>VLOOKUP(E5767,Legends!$G$2:$I$100,3,FALSE)</f>
        <v>425.6</v>
      </c>
      <c r="H5767" t="s">
        <v>25</v>
      </c>
      <c r="I5767" s="1" t="s">
        <v>1528</v>
      </c>
      <c r="J5767" s="1" t="s">
        <v>1336</v>
      </c>
      <c r="K5767" s="1" t="s">
        <v>25</v>
      </c>
      <c r="L5767">
        <v>-1.07</v>
      </c>
      <c r="M5767" t="str">
        <f t="shared" si="245"/>
        <v>44/40</v>
      </c>
      <c r="N5767" t="str">
        <f t="shared" si="246"/>
        <v>SW</v>
      </c>
      <c r="O5767" s="1" t="s">
        <v>5493</v>
      </c>
      <c r="P5767" t="str">
        <f t="shared" si="247"/>
        <v>ppm</v>
      </c>
      <c r="Q5767" s="37">
        <v>0.34</v>
      </c>
      <c r="R5767" t="str">
        <f t="shared" si="248"/>
        <v>mmol/mol</v>
      </c>
      <c r="S5767" s="13">
        <f t="shared" si="249"/>
        <v>-1.07</v>
      </c>
    </row>
    <row r="5768" spans="1:19">
      <c r="A5768" s="18" t="s">
        <v>5864</v>
      </c>
      <c r="B5768" s="1" t="s">
        <v>1388</v>
      </c>
      <c r="C5768" s="1" t="s">
        <v>5865</v>
      </c>
      <c r="D5768" s="1" t="s">
        <v>5866</v>
      </c>
      <c r="E5768" s="1" t="s">
        <v>1182</v>
      </c>
      <c r="F5768">
        <f>VLOOKUP(E5768,Legends!$G$2:$I$100,2,FALSE)</f>
        <v>423</v>
      </c>
      <c r="G5768">
        <f>VLOOKUP(E5768,Legends!$G$2:$I$100,3,FALSE)</f>
        <v>425.6</v>
      </c>
      <c r="H5768" t="s">
        <v>25</v>
      </c>
      <c r="I5768" s="1" t="s">
        <v>1528</v>
      </c>
      <c r="J5768" s="1" t="s">
        <v>1336</v>
      </c>
      <c r="K5768" s="1" t="s">
        <v>25</v>
      </c>
      <c r="L5768">
        <v>-1.27</v>
      </c>
      <c r="M5768" t="str">
        <f t="shared" si="245"/>
        <v>44/40</v>
      </c>
      <c r="N5768" t="str">
        <f t="shared" si="246"/>
        <v>SW</v>
      </c>
      <c r="O5768" s="1" t="s">
        <v>5920</v>
      </c>
      <c r="P5768" t="str">
        <f t="shared" si="247"/>
        <v>ppm</v>
      </c>
      <c r="Q5768" s="37">
        <v>0.88</v>
      </c>
      <c r="R5768" t="str">
        <f t="shared" si="248"/>
        <v>mmol/mol</v>
      </c>
      <c r="S5768" s="13">
        <f t="shared" si="249"/>
        <v>-1.27</v>
      </c>
    </row>
    <row r="5769" spans="1:19">
      <c r="A5769" s="18" t="s">
        <v>5864</v>
      </c>
      <c r="B5769" s="1" t="s">
        <v>1389</v>
      </c>
      <c r="C5769" s="1" t="s">
        <v>5865</v>
      </c>
      <c r="D5769" s="1" t="s">
        <v>5866</v>
      </c>
      <c r="E5769" s="1" t="s">
        <v>1182</v>
      </c>
      <c r="F5769">
        <f>VLOOKUP(E5769,Legends!$G$2:$I$100,2,FALSE)</f>
        <v>423</v>
      </c>
      <c r="G5769">
        <f>VLOOKUP(E5769,Legends!$G$2:$I$100,3,FALSE)</f>
        <v>425.6</v>
      </c>
      <c r="H5769" t="s">
        <v>25</v>
      </c>
      <c r="I5769" s="1" t="s">
        <v>1528</v>
      </c>
      <c r="J5769" s="1" t="s">
        <v>1336</v>
      </c>
      <c r="K5769" s="1" t="s">
        <v>25</v>
      </c>
      <c r="L5769">
        <v>-1.3</v>
      </c>
      <c r="M5769" t="str">
        <f t="shared" si="245"/>
        <v>44/40</v>
      </c>
      <c r="N5769" t="str">
        <f t="shared" si="246"/>
        <v>SW</v>
      </c>
      <c r="O5769" s="1" t="s">
        <v>5921</v>
      </c>
      <c r="P5769" t="str">
        <f t="shared" si="247"/>
        <v>ppm</v>
      </c>
      <c r="Q5769" s="37">
        <v>0.9</v>
      </c>
      <c r="R5769" t="str">
        <f t="shared" si="248"/>
        <v>mmol/mol</v>
      </c>
      <c r="S5769" s="13">
        <f t="shared" si="249"/>
        <v>-1.3</v>
      </c>
    </row>
    <row r="5770" spans="1:19">
      <c r="A5770" s="18" t="s">
        <v>5864</v>
      </c>
      <c r="B5770" s="1" t="s">
        <v>1390</v>
      </c>
      <c r="C5770" s="1" t="s">
        <v>5865</v>
      </c>
      <c r="D5770" s="1" t="s">
        <v>5866</v>
      </c>
      <c r="E5770" s="1" t="s">
        <v>1182</v>
      </c>
      <c r="F5770">
        <f>VLOOKUP(E5770,Legends!$G$2:$I$100,2,FALSE)</f>
        <v>423</v>
      </c>
      <c r="G5770">
        <f>VLOOKUP(E5770,Legends!$G$2:$I$100,3,FALSE)</f>
        <v>425.6</v>
      </c>
      <c r="H5770" t="s">
        <v>25</v>
      </c>
      <c r="I5770" s="1" t="s">
        <v>1528</v>
      </c>
      <c r="J5770" s="1" t="s">
        <v>1336</v>
      </c>
      <c r="K5770" s="1" t="s">
        <v>25</v>
      </c>
      <c r="L5770">
        <v>-1.28</v>
      </c>
      <c r="M5770" t="str">
        <f t="shared" si="245"/>
        <v>44/40</v>
      </c>
      <c r="N5770" t="str">
        <f t="shared" si="246"/>
        <v>SW</v>
      </c>
      <c r="O5770" s="1" t="s">
        <v>5922</v>
      </c>
      <c r="P5770" t="str">
        <f t="shared" si="247"/>
        <v>ppm</v>
      </c>
      <c r="Q5770" s="37">
        <v>0.75</v>
      </c>
      <c r="R5770" t="str">
        <f t="shared" si="248"/>
        <v>mmol/mol</v>
      </c>
      <c r="S5770" s="13">
        <f t="shared" si="249"/>
        <v>-1.28</v>
      </c>
    </row>
    <row r="5771" spans="1:19">
      <c r="A5771" s="18" t="s">
        <v>5864</v>
      </c>
      <c r="B5771" s="1" t="s">
        <v>1391</v>
      </c>
      <c r="C5771" s="1" t="s">
        <v>5865</v>
      </c>
      <c r="D5771" s="1" t="s">
        <v>5866</v>
      </c>
      <c r="E5771" s="1" t="s">
        <v>1182</v>
      </c>
      <c r="F5771">
        <f>VLOOKUP(E5771,Legends!$G$2:$I$100,2,FALSE)</f>
        <v>423</v>
      </c>
      <c r="G5771">
        <f>VLOOKUP(E5771,Legends!$G$2:$I$100,3,FALSE)</f>
        <v>425.6</v>
      </c>
      <c r="H5771" t="s">
        <v>25</v>
      </c>
      <c r="I5771" s="1" t="s">
        <v>1528</v>
      </c>
      <c r="J5771" s="1" t="s">
        <v>1336</v>
      </c>
      <c r="K5771" s="1" t="s">
        <v>25</v>
      </c>
      <c r="L5771">
        <v>-1.3</v>
      </c>
      <c r="M5771" t="str">
        <f t="shared" si="245"/>
        <v>44/40</v>
      </c>
      <c r="N5771" t="str">
        <f t="shared" si="246"/>
        <v>SW</v>
      </c>
      <c r="O5771" s="1" t="s">
        <v>5923</v>
      </c>
      <c r="P5771" t="str">
        <f t="shared" si="247"/>
        <v>ppm</v>
      </c>
      <c r="Q5771" s="37">
        <v>0.97</v>
      </c>
      <c r="R5771" t="str">
        <f t="shared" si="248"/>
        <v>mmol/mol</v>
      </c>
      <c r="S5771" s="13">
        <f t="shared" si="249"/>
        <v>-1.3</v>
      </c>
    </row>
    <row r="5772" spans="1:19">
      <c r="A5772" s="18" t="s">
        <v>5864</v>
      </c>
      <c r="B5772" s="1" t="s">
        <v>1392</v>
      </c>
      <c r="C5772" s="1" t="s">
        <v>5865</v>
      </c>
      <c r="D5772" s="1" t="s">
        <v>5866</v>
      </c>
      <c r="E5772" s="1" t="s">
        <v>1182</v>
      </c>
      <c r="F5772">
        <f>VLOOKUP(E5772,Legends!$G$2:$I$100,2,FALSE)</f>
        <v>423</v>
      </c>
      <c r="G5772">
        <f>VLOOKUP(E5772,Legends!$G$2:$I$100,3,FALSE)</f>
        <v>425.6</v>
      </c>
      <c r="H5772" t="s">
        <v>25</v>
      </c>
      <c r="I5772" s="1" t="s">
        <v>1528</v>
      </c>
      <c r="J5772" s="1" t="s">
        <v>1336</v>
      </c>
      <c r="K5772" s="1" t="s">
        <v>25</v>
      </c>
      <c r="L5772">
        <v>-1.1599999999999999</v>
      </c>
      <c r="M5772" t="str">
        <f t="shared" si="245"/>
        <v>44/40</v>
      </c>
      <c r="N5772" t="str">
        <f t="shared" si="246"/>
        <v>SW</v>
      </c>
      <c r="O5772" s="1" t="s">
        <v>5924</v>
      </c>
      <c r="P5772" t="str">
        <f t="shared" si="247"/>
        <v>ppm</v>
      </c>
      <c r="Q5772" s="37">
        <v>0.45</v>
      </c>
      <c r="R5772" t="str">
        <f t="shared" si="248"/>
        <v>mmol/mol</v>
      </c>
      <c r="S5772" s="13">
        <f t="shared" si="249"/>
        <v>-1.1599999999999999</v>
      </c>
    </row>
    <row r="5773" spans="1:19">
      <c r="A5773" s="18" t="s">
        <v>5864</v>
      </c>
      <c r="B5773" s="1" t="s">
        <v>1393</v>
      </c>
      <c r="C5773" s="1" t="s">
        <v>5865</v>
      </c>
      <c r="D5773" s="1" t="s">
        <v>5866</v>
      </c>
      <c r="E5773" s="1" t="s">
        <v>1182</v>
      </c>
      <c r="F5773">
        <f>VLOOKUP(E5773,Legends!$G$2:$I$100,2,FALSE)</f>
        <v>423</v>
      </c>
      <c r="G5773">
        <f>VLOOKUP(E5773,Legends!$G$2:$I$100,3,FALSE)</f>
        <v>425.6</v>
      </c>
      <c r="H5773" t="s">
        <v>25</v>
      </c>
      <c r="I5773" s="1" t="s">
        <v>1528</v>
      </c>
      <c r="J5773" s="1" t="s">
        <v>1336</v>
      </c>
      <c r="K5773" s="1" t="s">
        <v>25</v>
      </c>
      <c r="L5773">
        <v>-1.22</v>
      </c>
      <c r="M5773" t="str">
        <f t="shared" si="245"/>
        <v>44/40</v>
      </c>
      <c r="N5773" t="str">
        <f t="shared" si="246"/>
        <v>SW</v>
      </c>
      <c r="O5773" s="1" t="s">
        <v>5925</v>
      </c>
      <c r="P5773" t="str">
        <f t="shared" si="247"/>
        <v>ppm</v>
      </c>
      <c r="Q5773" s="37">
        <v>0.61</v>
      </c>
      <c r="R5773" t="str">
        <f t="shared" si="248"/>
        <v>mmol/mol</v>
      </c>
      <c r="S5773" s="13">
        <f t="shared" si="249"/>
        <v>-1.22</v>
      </c>
    </row>
    <row r="5774" spans="1:19">
      <c r="A5774" s="18" t="s">
        <v>5864</v>
      </c>
      <c r="B5774" s="1" t="s">
        <v>1394</v>
      </c>
      <c r="C5774" s="1" t="s">
        <v>5865</v>
      </c>
      <c r="D5774" s="1" t="s">
        <v>5866</v>
      </c>
      <c r="E5774" s="1" t="s">
        <v>1182</v>
      </c>
      <c r="F5774">
        <f>VLOOKUP(E5774,Legends!$G$2:$I$100,2,FALSE)</f>
        <v>423</v>
      </c>
      <c r="G5774">
        <f>VLOOKUP(E5774,Legends!$G$2:$I$100,3,FALSE)</f>
        <v>425.6</v>
      </c>
      <c r="H5774" t="s">
        <v>25</v>
      </c>
      <c r="I5774" s="1" t="s">
        <v>1528</v>
      </c>
      <c r="J5774" s="1" t="s">
        <v>1336</v>
      </c>
      <c r="K5774" s="1" t="s">
        <v>25</v>
      </c>
      <c r="L5774">
        <v>-1.21</v>
      </c>
      <c r="M5774" t="str">
        <f t="shared" si="245"/>
        <v>44/40</v>
      </c>
      <c r="N5774" t="str">
        <f t="shared" si="246"/>
        <v>SW</v>
      </c>
      <c r="O5774" s="1" t="s">
        <v>5910</v>
      </c>
      <c r="P5774" t="str">
        <f t="shared" si="247"/>
        <v>ppm</v>
      </c>
      <c r="Q5774" s="37">
        <v>0.51</v>
      </c>
      <c r="R5774" t="str">
        <f t="shared" si="248"/>
        <v>mmol/mol</v>
      </c>
      <c r="S5774" s="13">
        <f t="shared" si="249"/>
        <v>-1.21</v>
      </c>
    </row>
    <row r="5775" spans="1:19">
      <c r="A5775" s="18" t="s">
        <v>5864</v>
      </c>
      <c r="B5775" s="1" t="s">
        <v>1395</v>
      </c>
      <c r="C5775" s="1" t="s">
        <v>5865</v>
      </c>
      <c r="D5775" s="1" t="s">
        <v>5866</v>
      </c>
      <c r="E5775" s="1" t="s">
        <v>1182</v>
      </c>
      <c r="F5775">
        <f>VLOOKUP(E5775,Legends!$G$2:$I$100,2,FALSE)</f>
        <v>423</v>
      </c>
      <c r="G5775">
        <f>VLOOKUP(E5775,Legends!$G$2:$I$100,3,FALSE)</f>
        <v>425.6</v>
      </c>
      <c r="H5775" t="s">
        <v>25</v>
      </c>
      <c r="I5775" s="1" t="s">
        <v>1528</v>
      </c>
      <c r="J5775" s="1" t="s">
        <v>1336</v>
      </c>
      <c r="K5775" s="1" t="s">
        <v>25</v>
      </c>
      <c r="L5775">
        <v>-1.1399999999999999</v>
      </c>
      <c r="M5775" t="str">
        <f t="shared" si="245"/>
        <v>44/40</v>
      </c>
      <c r="N5775" t="str">
        <f t="shared" si="246"/>
        <v>SW</v>
      </c>
      <c r="O5775" s="1" t="s">
        <v>5926</v>
      </c>
      <c r="P5775" t="str">
        <f t="shared" si="247"/>
        <v>ppm</v>
      </c>
      <c r="Q5775" s="37">
        <v>0.46</v>
      </c>
      <c r="R5775" t="str">
        <f t="shared" si="248"/>
        <v>mmol/mol</v>
      </c>
      <c r="S5775" s="13">
        <f t="shared" si="249"/>
        <v>-1.1399999999999999</v>
      </c>
    </row>
    <row r="5776" spans="1:19">
      <c r="A5776" s="18" t="s">
        <v>5864</v>
      </c>
      <c r="B5776" s="1" t="s">
        <v>1396</v>
      </c>
      <c r="C5776" s="1" t="s">
        <v>5865</v>
      </c>
      <c r="D5776" s="1" t="s">
        <v>5866</v>
      </c>
      <c r="E5776" s="1" t="s">
        <v>1182</v>
      </c>
      <c r="F5776">
        <f>VLOOKUP(E5776,Legends!$G$2:$I$100,2,FALSE)</f>
        <v>423</v>
      </c>
      <c r="G5776">
        <f>VLOOKUP(E5776,Legends!$G$2:$I$100,3,FALSE)</f>
        <v>425.6</v>
      </c>
      <c r="H5776" t="s">
        <v>25</v>
      </c>
      <c r="I5776" s="1" t="s">
        <v>1528</v>
      </c>
      <c r="J5776" s="1" t="s">
        <v>1336</v>
      </c>
      <c r="K5776" s="1" t="s">
        <v>25</v>
      </c>
      <c r="L5776">
        <v>-1.04</v>
      </c>
      <c r="M5776" t="str">
        <f t="shared" si="245"/>
        <v>44/40</v>
      </c>
      <c r="N5776" t="str">
        <f t="shared" si="246"/>
        <v>SW</v>
      </c>
      <c r="O5776" s="1" t="s">
        <v>5927</v>
      </c>
      <c r="P5776" t="str">
        <f t="shared" si="247"/>
        <v>ppm</v>
      </c>
      <c r="Q5776" s="37">
        <v>0.38</v>
      </c>
      <c r="R5776" t="str">
        <f t="shared" si="248"/>
        <v>mmol/mol</v>
      </c>
      <c r="S5776" s="13">
        <f t="shared" si="249"/>
        <v>-1.04</v>
      </c>
    </row>
    <row r="5777" spans="1:19">
      <c r="A5777" s="18" t="s">
        <v>5864</v>
      </c>
      <c r="B5777" s="1" t="s">
        <v>1397</v>
      </c>
      <c r="C5777" s="1" t="s">
        <v>5865</v>
      </c>
      <c r="D5777" s="1" t="s">
        <v>5866</v>
      </c>
      <c r="E5777" s="1" t="s">
        <v>1182</v>
      </c>
      <c r="F5777">
        <f>VLOOKUP(E5777,Legends!$G$2:$I$100,2,FALSE)</f>
        <v>423</v>
      </c>
      <c r="G5777">
        <f>VLOOKUP(E5777,Legends!$G$2:$I$100,3,FALSE)</f>
        <v>425.6</v>
      </c>
      <c r="H5777" t="s">
        <v>25</v>
      </c>
      <c r="I5777" s="1" t="s">
        <v>1528</v>
      </c>
      <c r="J5777" s="1" t="s">
        <v>1336</v>
      </c>
      <c r="K5777" s="1" t="s">
        <v>25</v>
      </c>
      <c r="L5777">
        <v>-1.1200000000000001</v>
      </c>
      <c r="M5777" t="str">
        <f t="shared" si="245"/>
        <v>44/40</v>
      </c>
      <c r="N5777" t="str">
        <f t="shared" si="246"/>
        <v>SW</v>
      </c>
      <c r="O5777" s="1" t="s">
        <v>5928</v>
      </c>
      <c r="P5777" t="str">
        <f t="shared" si="247"/>
        <v>ppm</v>
      </c>
      <c r="Q5777" s="37">
        <v>0.47</v>
      </c>
      <c r="R5777" t="str">
        <f t="shared" si="248"/>
        <v>mmol/mol</v>
      </c>
      <c r="S5777" s="13">
        <f t="shared" si="249"/>
        <v>-1.1200000000000001</v>
      </c>
    </row>
    <row r="5778" spans="1:19">
      <c r="A5778" s="18" t="s">
        <v>5864</v>
      </c>
      <c r="B5778" s="1" t="s">
        <v>1398</v>
      </c>
      <c r="C5778" s="1" t="s">
        <v>5865</v>
      </c>
      <c r="D5778" s="1" t="s">
        <v>5866</v>
      </c>
      <c r="E5778" s="1" t="s">
        <v>1182</v>
      </c>
      <c r="F5778">
        <f>VLOOKUP(E5778,Legends!$G$2:$I$100,2,FALSE)</f>
        <v>423</v>
      </c>
      <c r="G5778">
        <f>VLOOKUP(E5778,Legends!$G$2:$I$100,3,FALSE)</f>
        <v>425.6</v>
      </c>
      <c r="H5778" t="s">
        <v>25</v>
      </c>
      <c r="I5778" s="1" t="s">
        <v>1528</v>
      </c>
      <c r="J5778" s="1" t="s">
        <v>1336</v>
      </c>
      <c r="K5778" s="1" t="s">
        <v>25</v>
      </c>
      <c r="L5778">
        <v>-1.35</v>
      </c>
      <c r="M5778" t="str">
        <f t="shared" si="245"/>
        <v>44/40</v>
      </c>
      <c r="N5778" t="str">
        <f t="shared" si="246"/>
        <v>SW</v>
      </c>
      <c r="O5778" s="1" t="s">
        <v>5929</v>
      </c>
      <c r="P5778" t="str">
        <f t="shared" si="247"/>
        <v>ppm</v>
      </c>
      <c r="Q5778" s="37">
        <v>0.84</v>
      </c>
      <c r="R5778" t="str">
        <f t="shared" si="248"/>
        <v>mmol/mol</v>
      </c>
      <c r="S5778" s="13">
        <f t="shared" si="249"/>
        <v>-1.35</v>
      </c>
    </row>
    <row r="5779" spans="1:19">
      <c r="A5779" s="18" t="s">
        <v>5864</v>
      </c>
      <c r="B5779" s="1" t="s">
        <v>1399</v>
      </c>
      <c r="C5779" s="1" t="s">
        <v>5865</v>
      </c>
      <c r="D5779" s="1" t="s">
        <v>5866</v>
      </c>
      <c r="E5779" s="1" t="s">
        <v>1182</v>
      </c>
      <c r="F5779">
        <f>VLOOKUP(E5779,Legends!$G$2:$I$100,2,FALSE)</f>
        <v>423</v>
      </c>
      <c r="G5779">
        <f>VLOOKUP(E5779,Legends!$G$2:$I$100,3,FALSE)</f>
        <v>425.6</v>
      </c>
      <c r="H5779" t="s">
        <v>25</v>
      </c>
      <c r="I5779" s="1" t="s">
        <v>1528</v>
      </c>
      <c r="J5779" s="1" t="s">
        <v>1336</v>
      </c>
      <c r="K5779" s="1" t="s">
        <v>25</v>
      </c>
      <c r="L5779">
        <v>-0.86</v>
      </c>
      <c r="M5779" t="str">
        <f t="shared" si="245"/>
        <v>44/40</v>
      </c>
      <c r="N5779" t="str">
        <f t="shared" si="246"/>
        <v>SW</v>
      </c>
      <c r="O5779" s="1" t="s">
        <v>5930</v>
      </c>
      <c r="P5779" t="str">
        <f t="shared" si="247"/>
        <v>ppm</v>
      </c>
      <c r="Q5779" s="37">
        <v>0.34</v>
      </c>
      <c r="R5779" t="str">
        <f t="shared" si="248"/>
        <v>mmol/mol</v>
      </c>
      <c r="S5779" s="13">
        <f t="shared" si="249"/>
        <v>-0.86</v>
      </c>
    </row>
    <row r="5780" spans="1:19">
      <c r="A5780" s="18" t="s">
        <v>5864</v>
      </c>
      <c r="B5780" s="1" t="s">
        <v>1400</v>
      </c>
      <c r="C5780" s="1" t="s">
        <v>5865</v>
      </c>
      <c r="D5780" s="1" t="s">
        <v>5866</v>
      </c>
      <c r="E5780" s="1" t="s">
        <v>1182</v>
      </c>
      <c r="F5780">
        <f>VLOOKUP(E5780,Legends!$G$2:$I$100,2,FALSE)</f>
        <v>423</v>
      </c>
      <c r="G5780">
        <f>VLOOKUP(E5780,Legends!$G$2:$I$100,3,FALSE)</f>
        <v>425.6</v>
      </c>
      <c r="H5780" t="s">
        <v>25</v>
      </c>
      <c r="I5780" s="1" t="s">
        <v>1528</v>
      </c>
      <c r="J5780" s="1" t="s">
        <v>1336</v>
      </c>
      <c r="K5780" s="1" t="s">
        <v>25</v>
      </c>
      <c r="L5780">
        <v>-0.97</v>
      </c>
      <c r="M5780" t="str">
        <f t="shared" si="245"/>
        <v>44/40</v>
      </c>
      <c r="N5780" t="str">
        <f t="shared" si="246"/>
        <v>SW</v>
      </c>
      <c r="O5780" s="1" t="s">
        <v>5931</v>
      </c>
      <c r="P5780" t="str">
        <f t="shared" si="247"/>
        <v>ppm</v>
      </c>
      <c r="Q5780" s="37">
        <v>0.51</v>
      </c>
      <c r="R5780" t="str">
        <f t="shared" si="248"/>
        <v>mmol/mol</v>
      </c>
      <c r="S5780" s="13">
        <f t="shared" si="249"/>
        <v>-0.97</v>
      </c>
    </row>
    <row r="5781" spans="1:19" s="4" customFormat="1">
      <c r="B5781" s="5"/>
      <c r="C5781" s="5"/>
      <c r="D5781" s="5"/>
      <c r="E5781" s="5"/>
      <c r="I5781" s="5"/>
      <c r="J5781" s="5"/>
      <c r="M5781" s="5"/>
      <c r="O5781" s="5"/>
      <c r="P5781" s="6"/>
      <c r="Q5781" s="38"/>
      <c r="S5781" s="24"/>
    </row>
    <row r="5782" spans="1:19">
      <c r="A5782" s="18" t="s">
        <v>5863</v>
      </c>
      <c r="B5782" s="1" t="s">
        <v>5933</v>
      </c>
      <c r="C5782" s="1" t="s">
        <v>5988</v>
      </c>
      <c r="D5782" s="1" t="s">
        <v>5989</v>
      </c>
      <c r="E5782" s="1" t="s">
        <v>25</v>
      </c>
      <c r="F5782">
        <v>443</v>
      </c>
      <c r="G5782">
        <v>450</v>
      </c>
      <c r="H5782">
        <v>128</v>
      </c>
      <c r="I5782" s="1" t="s">
        <v>1528</v>
      </c>
      <c r="J5782" s="1" t="s">
        <v>1336</v>
      </c>
      <c r="K5782" s="1" t="s">
        <v>25</v>
      </c>
      <c r="L5782">
        <v>-1.48</v>
      </c>
      <c r="M5782" s="1" t="s">
        <v>23</v>
      </c>
      <c r="N5782" s="1" t="s">
        <v>230</v>
      </c>
      <c r="O5782" s="1">
        <v>13</v>
      </c>
      <c r="P5782" s="3" t="s">
        <v>5990</v>
      </c>
      <c r="Q5782" s="37">
        <v>1.33</v>
      </c>
      <c r="R5782" s="1" t="s">
        <v>231</v>
      </c>
      <c r="S5782" s="13">
        <f t="shared" si="249"/>
        <v>-1.48</v>
      </c>
    </row>
    <row r="5783" spans="1:19">
      <c r="A5783" s="18" t="s">
        <v>5863</v>
      </c>
      <c r="B5783" s="1" t="s">
        <v>5935</v>
      </c>
      <c r="C5783" s="1" t="s">
        <v>5988</v>
      </c>
      <c r="D5783" s="1" t="s">
        <v>5989</v>
      </c>
      <c r="E5783" s="1" t="s">
        <v>25</v>
      </c>
      <c r="F5783">
        <v>443</v>
      </c>
      <c r="G5783">
        <v>450</v>
      </c>
      <c r="H5783">
        <v>130</v>
      </c>
      <c r="I5783" s="1" t="s">
        <v>1528</v>
      </c>
      <c r="J5783" s="1" t="s">
        <v>1336</v>
      </c>
      <c r="K5783" s="1" t="s">
        <v>25</v>
      </c>
      <c r="L5783">
        <v>-1.33</v>
      </c>
      <c r="M5783" s="1" t="s">
        <v>23</v>
      </c>
      <c r="N5783" s="1" t="s">
        <v>230</v>
      </c>
      <c r="O5783" s="1">
        <v>17.8</v>
      </c>
      <c r="P5783" s="3" t="s">
        <v>5990</v>
      </c>
      <c r="Q5783" s="37">
        <v>1.65</v>
      </c>
      <c r="R5783" s="1" t="s">
        <v>231</v>
      </c>
      <c r="S5783" s="13">
        <f t="shared" si="249"/>
        <v>-1.33</v>
      </c>
    </row>
    <row r="5784" spans="1:19">
      <c r="A5784" s="18" t="s">
        <v>5863</v>
      </c>
      <c r="B5784" s="1" t="s">
        <v>5936</v>
      </c>
      <c r="C5784" s="1" t="s">
        <v>5988</v>
      </c>
      <c r="D5784" s="1" t="s">
        <v>5989</v>
      </c>
      <c r="E5784" s="1" t="s">
        <v>25</v>
      </c>
      <c r="F5784">
        <v>443</v>
      </c>
      <c r="G5784">
        <v>450</v>
      </c>
      <c r="H5784">
        <v>133</v>
      </c>
      <c r="I5784" s="1" t="s">
        <v>1528</v>
      </c>
      <c r="J5784" s="1" t="s">
        <v>1336</v>
      </c>
      <c r="K5784" s="1" t="s">
        <v>25</v>
      </c>
      <c r="L5784">
        <v>-1.34</v>
      </c>
      <c r="M5784" s="1" t="s">
        <v>23</v>
      </c>
      <c r="N5784" s="1" t="s">
        <v>230</v>
      </c>
      <c r="O5784" s="1">
        <v>15.4</v>
      </c>
      <c r="P5784" s="3" t="s">
        <v>5990</v>
      </c>
      <c r="Q5784" s="37">
        <v>1.54</v>
      </c>
      <c r="R5784" s="1" t="s">
        <v>231</v>
      </c>
      <c r="S5784" s="13">
        <f t="shared" si="249"/>
        <v>-1.34</v>
      </c>
    </row>
    <row r="5785" spans="1:19">
      <c r="A5785" s="18" t="s">
        <v>5863</v>
      </c>
      <c r="B5785" s="1" t="s">
        <v>5938</v>
      </c>
      <c r="C5785" s="1" t="s">
        <v>5988</v>
      </c>
      <c r="D5785" s="1" t="s">
        <v>5989</v>
      </c>
      <c r="E5785" s="1" t="s">
        <v>25</v>
      </c>
      <c r="F5785">
        <v>443</v>
      </c>
      <c r="G5785">
        <v>450</v>
      </c>
      <c r="H5785">
        <v>137</v>
      </c>
      <c r="I5785" s="1" t="s">
        <v>1528</v>
      </c>
      <c r="J5785" s="1" t="s">
        <v>1336</v>
      </c>
      <c r="K5785" s="1" t="s">
        <v>25</v>
      </c>
      <c r="L5785">
        <v>-1.34</v>
      </c>
      <c r="M5785" s="1" t="s">
        <v>23</v>
      </c>
      <c r="N5785" s="1" t="s">
        <v>230</v>
      </c>
      <c r="O5785" s="1">
        <v>14.2</v>
      </c>
      <c r="P5785" s="3" t="s">
        <v>5990</v>
      </c>
      <c r="Q5785" s="37">
        <v>1.7</v>
      </c>
      <c r="R5785" s="1" t="s">
        <v>231</v>
      </c>
      <c r="S5785" s="13">
        <f t="shared" si="249"/>
        <v>-1.34</v>
      </c>
    </row>
    <row r="5786" spans="1:19">
      <c r="A5786" s="18" t="s">
        <v>5863</v>
      </c>
      <c r="B5786" s="1" t="s">
        <v>5940</v>
      </c>
      <c r="C5786" s="1" t="s">
        <v>5988</v>
      </c>
      <c r="D5786" s="1" t="s">
        <v>5989</v>
      </c>
      <c r="E5786" s="1" t="s">
        <v>25</v>
      </c>
      <c r="F5786">
        <v>443</v>
      </c>
      <c r="G5786">
        <v>450</v>
      </c>
      <c r="H5786">
        <v>140</v>
      </c>
      <c r="I5786" s="1" t="s">
        <v>1528</v>
      </c>
      <c r="J5786" s="1" t="s">
        <v>1336</v>
      </c>
      <c r="K5786" s="1" t="s">
        <v>25</v>
      </c>
      <c r="L5786">
        <v>-1.43</v>
      </c>
      <c r="M5786" s="1" t="s">
        <v>23</v>
      </c>
      <c r="N5786" s="1" t="s">
        <v>230</v>
      </c>
      <c r="O5786" s="1">
        <v>10</v>
      </c>
      <c r="P5786" s="3" t="s">
        <v>5990</v>
      </c>
      <c r="Q5786" s="37">
        <v>1.3</v>
      </c>
      <c r="R5786" s="1" t="s">
        <v>231</v>
      </c>
      <c r="S5786" s="13">
        <f t="shared" si="249"/>
        <v>-1.43</v>
      </c>
    </row>
    <row r="5787" spans="1:19">
      <c r="A5787" s="18" t="s">
        <v>5863</v>
      </c>
      <c r="B5787" s="1" t="s">
        <v>5941</v>
      </c>
      <c r="C5787" s="1" t="s">
        <v>5988</v>
      </c>
      <c r="D5787" s="1" t="s">
        <v>5989</v>
      </c>
      <c r="E5787" s="1" t="s">
        <v>25</v>
      </c>
      <c r="F5787">
        <v>443</v>
      </c>
      <c r="G5787">
        <v>450</v>
      </c>
      <c r="H5787">
        <v>141</v>
      </c>
      <c r="I5787" s="1" t="s">
        <v>1528</v>
      </c>
      <c r="J5787" s="1" t="s">
        <v>1336</v>
      </c>
      <c r="K5787" s="1" t="s">
        <v>25</v>
      </c>
      <c r="L5787">
        <v>-1.19</v>
      </c>
      <c r="M5787" s="1" t="s">
        <v>23</v>
      </c>
      <c r="N5787" s="1" t="s">
        <v>230</v>
      </c>
      <c r="O5787" s="1">
        <v>13</v>
      </c>
      <c r="P5787" s="3" t="s">
        <v>5990</v>
      </c>
      <c r="Q5787" s="37">
        <v>1.44</v>
      </c>
      <c r="R5787" s="1" t="s">
        <v>231</v>
      </c>
      <c r="S5787" s="13">
        <f t="shared" si="249"/>
        <v>-1.19</v>
      </c>
    </row>
    <row r="5788" spans="1:19">
      <c r="A5788" s="18" t="s">
        <v>5863</v>
      </c>
      <c r="B5788" s="1" t="s">
        <v>5942</v>
      </c>
      <c r="C5788" s="1" t="s">
        <v>5988</v>
      </c>
      <c r="D5788" s="1" t="s">
        <v>5989</v>
      </c>
      <c r="E5788" s="1" t="s">
        <v>25</v>
      </c>
      <c r="F5788">
        <v>443</v>
      </c>
      <c r="G5788">
        <v>450</v>
      </c>
      <c r="H5788">
        <v>142</v>
      </c>
      <c r="I5788" s="1" t="s">
        <v>1528</v>
      </c>
      <c r="J5788" s="1" t="s">
        <v>1336</v>
      </c>
      <c r="K5788" s="1" t="s">
        <v>25</v>
      </c>
      <c r="L5788">
        <v>-1.17</v>
      </c>
      <c r="M5788" s="1" t="s">
        <v>23</v>
      </c>
      <c r="N5788" s="1" t="s">
        <v>230</v>
      </c>
      <c r="O5788" s="1">
        <v>13.9</v>
      </c>
      <c r="P5788" s="3" t="s">
        <v>5990</v>
      </c>
      <c r="Q5788" s="37">
        <v>1.4</v>
      </c>
      <c r="R5788" s="1" t="s">
        <v>231</v>
      </c>
      <c r="S5788" s="13">
        <f t="shared" si="249"/>
        <v>-1.17</v>
      </c>
    </row>
    <row r="5789" spans="1:19">
      <c r="A5789" s="18" t="s">
        <v>5863</v>
      </c>
      <c r="B5789" s="1" t="s">
        <v>5945</v>
      </c>
      <c r="C5789" s="1" t="s">
        <v>5988</v>
      </c>
      <c r="D5789" s="1" t="s">
        <v>5989</v>
      </c>
      <c r="E5789" s="1" t="s">
        <v>25</v>
      </c>
      <c r="F5789">
        <v>443</v>
      </c>
      <c r="G5789">
        <v>450</v>
      </c>
      <c r="H5789">
        <v>146</v>
      </c>
      <c r="I5789" s="1" t="s">
        <v>1528</v>
      </c>
      <c r="J5789" s="1" t="s">
        <v>1336</v>
      </c>
      <c r="K5789" s="1" t="s">
        <v>25</v>
      </c>
      <c r="L5789">
        <v>-1.1100000000000001</v>
      </c>
      <c r="M5789" s="1" t="s">
        <v>23</v>
      </c>
      <c r="N5789" s="1" t="s">
        <v>230</v>
      </c>
      <c r="O5789" s="1">
        <v>14.4</v>
      </c>
      <c r="P5789" s="3" t="s">
        <v>5990</v>
      </c>
      <c r="Q5789" s="37">
        <v>1.55</v>
      </c>
      <c r="R5789" s="1" t="s">
        <v>231</v>
      </c>
      <c r="S5789" s="13">
        <f t="shared" si="249"/>
        <v>-1.1100000000000001</v>
      </c>
    </row>
    <row r="5790" spans="1:19">
      <c r="A5790" s="18" t="s">
        <v>5863</v>
      </c>
      <c r="B5790" s="1" t="s">
        <v>5946</v>
      </c>
      <c r="C5790" s="1" t="s">
        <v>5988</v>
      </c>
      <c r="D5790" s="1" t="s">
        <v>5989</v>
      </c>
      <c r="E5790" s="1" t="s">
        <v>25</v>
      </c>
      <c r="F5790">
        <v>443</v>
      </c>
      <c r="G5790">
        <v>450</v>
      </c>
      <c r="H5790">
        <v>147</v>
      </c>
      <c r="I5790" s="1" t="s">
        <v>1528</v>
      </c>
      <c r="J5790" s="1" t="s">
        <v>1336</v>
      </c>
      <c r="K5790" s="1" t="s">
        <v>25</v>
      </c>
      <c r="L5790">
        <v>-1.1000000000000001</v>
      </c>
      <c r="M5790" s="1" t="s">
        <v>23</v>
      </c>
      <c r="N5790" s="1" t="s">
        <v>230</v>
      </c>
      <c r="O5790" s="1">
        <v>14.6</v>
      </c>
      <c r="P5790" s="3" t="s">
        <v>5990</v>
      </c>
      <c r="Q5790" s="37">
        <v>1.4</v>
      </c>
      <c r="R5790" s="1" t="s">
        <v>231</v>
      </c>
      <c r="S5790" s="13">
        <f t="shared" si="249"/>
        <v>-1.1000000000000001</v>
      </c>
    </row>
    <row r="5791" spans="1:19">
      <c r="A5791" s="18" t="s">
        <v>5863</v>
      </c>
      <c r="B5791" s="1" t="s">
        <v>5947</v>
      </c>
      <c r="C5791" s="1" t="s">
        <v>5988</v>
      </c>
      <c r="D5791" s="1" t="s">
        <v>5989</v>
      </c>
      <c r="E5791" s="1" t="s">
        <v>25</v>
      </c>
      <c r="F5791">
        <v>443</v>
      </c>
      <c r="G5791">
        <v>450</v>
      </c>
      <c r="H5791">
        <v>150</v>
      </c>
      <c r="I5791" s="1" t="s">
        <v>1528</v>
      </c>
      <c r="J5791" s="1" t="s">
        <v>1336</v>
      </c>
      <c r="K5791" s="1" t="s">
        <v>25</v>
      </c>
      <c r="L5791">
        <v>-1.21</v>
      </c>
      <c r="M5791" s="1" t="s">
        <v>23</v>
      </c>
      <c r="N5791" s="1" t="s">
        <v>230</v>
      </c>
      <c r="O5791" s="1">
        <v>5.2</v>
      </c>
      <c r="P5791" s="3" t="s">
        <v>5990</v>
      </c>
      <c r="Q5791" s="37">
        <v>0.54200000000000004</v>
      </c>
      <c r="R5791" s="1" t="s">
        <v>231</v>
      </c>
      <c r="S5791" s="13">
        <f t="shared" si="249"/>
        <v>-1.21</v>
      </c>
    </row>
    <row r="5792" spans="1:19">
      <c r="A5792" s="18" t="s">
        <v>5863</v>
      </c>
      <c r="B5792" s="1" t="s">
        <v>5948</v>
      </c>
      <c r="C5792" s="1" t="s">
        <v>5988</v>
      </c>
      <c r="D5792" s="1" t="s">
        <v>5989</v>
      </c>
      <c r="E5792" s="1" t="s">
        <v>25</v>
      </c>
      <c r="F5792">
        <v>443</v>
      </c>
      <c r="G5792">
        <v>450</v>
      </c>
      <c r="H5792">
        <v>151</v>
      </c>
      <c r="I5792" s="1" t="s">
        <v>1528</v>
      </c>
      <c r="J5792" s="1" t="s">
        <v>1336</v>
      </c>
      <c r="K5792" s="1" t="s">
        <v>25</v>
      </c>
      <c r="L5792">
        <v>-1.23</v>
      </c>
      <c r="M5792" s="1" t="s">
        <v>23</v>
      </c>
      <c r="N5792" s="1" t="s">
        <v>230</v>
      </c>
      <c r="O5792" s="1">
        <v>3.01</v>
      </c>
      <c r="P5792" s="3" t="s">
        <v>5990</v>
      </c>
      <c r="Q5792" s="37">
        <v>0.55900000000000005</v>
      </c>
      <c r="R5792" s="1" t="s">
        <v>231</v>
      </c>
      <c r="S5792" s="13">
        <f t="shared" si="249"/>
        <v>-1.23</v>
      </c>
    </row>
    <row r="5793" spans="1:19">
      <c r="A5793" s="18" t="s">
        <v>5863</v>
      </c>
      <c r="B5793" s="1" t="s">
        <v>5951</v>
      </c>
      <c r="C5793" s="1" t="s">
        <v>5988</v>
      </c>
      <c r="D5793" s="1" t="s">
        <v>5989</v>
      </c>
      <c r="E5793" s="1" t="s">
        <v>25</v>
      </c>
      <c r="F5793">
        <v>443</v>
      </c>
      <c r="G5793">
        <v>450</v>
      </c>
      <c r="H5793">
        <v>153</v>
      </c>
      <c r="I5793" s="1" t="s">
        <v>1528</v>
      </c>
      <c r="J5793" s="1" t="s">
        <v>1336</v>
      </c>
      <c r="K5793" s="1" t="s">
        <v>25</v>
      </c>
      <c r="L5793">
        <v>-1.44</v>
      </c>
      <c r="M5793" s="1" t="s">
        <v>23</v>
      </c>
      <c r="N5793" s="1" t="s">
        <v>230</v>
      </c>
      <c r="O5793" s="1">
        <v>12.5</v>
      </c>
      <c r="P5793" s="3" t="s">
        <v>5990</v>
      </c>
      <c r="Q5793" s="37">
        <v>1.49</v>
      </c>
      <c r="R5793" s="1" t="s">
        <v>231</v>
      </c>
      <c r="S5793" s="13">
        <f t="shared" si="249"/>
        <v>-1.44</v>
      </c>
    </row>
    <row r="5794" spans="1:19">
      <c r="A5794" s="18" t="s">
        <v>5863</v>
      </c>
      <c r="B5794" s="1" t="s">
        <v>5954</v>
      </c>
      <c r="C5794" s="1" t="s">
        <v>5988</v>
      </c>
      <c r="D5794" s="1" t="s">
        <v>5989</v>
      </c>
      <c r="E5794" s="1" t="s">
        <v>25</v>
      </c>
      <c r="F5794">
        <v>443</v>
      </c>
      <c r="G5794">
        <v>450</v>
      </c>
      <c r="H5794">
        <v>154</v>
      </c>
      <c r="I5794" s="1" t="s">
        <v>1528</v>
      </c>
      <c r="J5794" s="1" t="s">
        <v>1336</v>
      </c>
      <c r="K5794" s="1" t="s">
        <v>25</v>
      </c>
      <c r="L5794">
        <v>-1.39</v>
      </c>
      <c r="M5794" s="1" t="s">
        <v>23</v>
      </c>
      <c r="N5794" s="1" t="s">
        <v>230</v>
      </c>
      <c r="O5794" s="1">
        <v>12.1</v>
      </c>
      <c r="P5794" s="3" t="s">
        <v>5990</v>
      </c>
      <c r="Q5794" s="37">
        <v>1.38</v>
      </c>
      <c r="R5794" s="1" t="s">
        <v>231</v>
      </c>
      <c r="S5794" s="13">
        <f t="shared" si="249"/>
        <v>-1.39</v>
      </c>
    </row>
    <row r="5795" spans="1:19">
      <c r="A5795" s="18" t="s">
        <v>5863</v>
      </c>
      <c r="B5795" s="1" t="s">
        <v>5958</v>
      </c>
      <c r="C5795" s="1" t="s">
        <v>5988</v>
      </c>
      <c r="D5795" s="1" t="s">
        <v>5989</v>
      </c>
      <c r="E5795" s="1" t="s">
        <v>25</v>
      </c>
      <c r="F5795">
        <v>443</v>
      </c>
      <c r="G5795">
        <v>450</v>
      </c>
      <c r="H5795">
        <v>157</v>
      </c>
      <c r="I5795" s="1" t="s">
        <v>1528</v>
      </c>
      <c r="J5795" s="1" t="s">
        <v>1336</v>
      </c>
      <c r="K5795" s="1" t="s">
        <v>25</v>
      </c>
      <c r="L5795">
        <v>-1.38</v>
      </c>
      <c r="M5795" s="1" t="s">
        <v>23</v>
      </c>
      <c r="N5795" s="1" t="s">
        <v>230</v>
      </c>
      <c r="O5795" s="1">
        <v>13.1</v>
      </c>
      <c r="P5795" s="3" t="s">
        <v>5990</v>
      </c>
      <c r="Q5795" s="37">
        <v>1.51</v>
      </c>
      <c r="R5795" s="1" t="s">
        <v>231</v>
      </c>
      <c r="S5795" s="13">
        <f t="shared" si="249"/>
        <v>-1.38</v>
      </c>
    </row>
    <row r="5796" spans="1:19">
      <c r="A5796" s="18" t="s">
        <v>5863</v>
      </c>
      <c r="B5796" s="1" t="s">
        <v>5959</v>
      </c>
      <c r="C5796" s="1" t="s">
        <v>5988</v>
      </c>
      <c r="D5796" s="1" t="s">
        <v>5989</v>
      </c>
      <c r="E5796" s="1" t="s">
        <v>25</v>
      </c>
      <c r="F5796">
        <v>443</v>
      </c>
      <c r="G5796">
        <v>450</v>
      </c>
      <c r="H5796">
        <v>158</v>
      </c>
      <c r="I5796" s="1" t="s">
        <v>1528</v>
      </c>
      <c r="J5796" s="1" t="s">
        <v>1336</v>
      </c>
      <c r="K5796" s="1" t="s">
        <v>25</v>
      </c>
      <c r="L5796">
        <v>-1.63</v>
      </c>
      <c r="M5796" s="1" t="s">
        <v>23</v>
      </c>
      <c r="N5796" s="1" t="s">
        <v>230</v>
      </c>
      <c r="O5796" s="1">
        <v>24.7</v>
      </c>
      <c r="P5796" s="3" t="s">
        <v>5990</v>
      </c>
      <c r="Q5796" s="37">
        <v>2.84</v>
      </c>
      <c r="R5796" s="1" t="s">
        <v>231</v>
      </c>
      <c r="S5796" s="13">
        <f t="shared" si="249"/>
        <v>-1.63</v>
      </c>
    </row>
    <row r="5797" spans="1:19">
      <c r="A5797" s="18" t="s">
        <v>5863</v>
      </c>
      <c r="B5797" s="1" t="s">
        <v>5962</v>
      </c>
      <c r="C5797" s="1" t="s">
        <v>5988</v>
      </c>
      <c r="D5797" s="1" t="s">
        <v>5989</v>
      </c>
      <c r="E5797" s="1" t="s">
        <v>25</v>
      </c>
      <c r="F5797">
        <v>443</v>
      </c>
      <c r="G5797">
        <v>450</v>
      </c>
      <c r="H5797">
        <v>161</v>
      </c>
      <c r="I5797" s="1" t="s">
        <v>1528</v>
      </c>
      <c r="J5797" s="1" t="s">
        <v>1336</v>
      </c>
      <c r="K5797" s="1" t="s">
        <v>25</v>
      </c>
      <c r="L5797">
        <v>-1.58</v>
      </c>
      <c r="M5797" s="1" t="s">
        <v>23</v>
      </c>
      <c r="N5797" s="1" t="s">
        <v>230</v>
      </c>
      <c r="O5797" s="1">
        <v>16.600000000000001</v>
      </c>
      <c r="P5797" s="3" t="s">
        <v>5990</v>
      </c>
      <c r="Q5797" s="37">
        <v>1.75</v>
      </c>
      <c r="R5797" s="1" t="s">
        <v>231</v>
      </c>
      <c r="S5797" s="13">
        <f t="shared" si="249"/>
        <v>-1.58</v>
      </c>
    </row>
    <row r="5798" spans="1:19">
      <c r="A5798" s="18" t="s">
        <v>5863</v>
      </c>
      <c r="B5798" s="1" t="s">
        <v>5963</v>
      </c>
      <c r="C5798" s="1" t="s">
        <v>5988</v>
      </c>
      <c r="D5798" s="1" t="s">
        <v>5989</v>
      </c>
      <c r="E5798" s="1" t="s">
        <v>25</v>
      </c>
      <c r="F5798">
        <v>443</v>
      </c>
      <c r="G5798">
        <v>450</v>
      </c>
      <c r="H5798">
        <v>164.5</v>
      </c>
      <c r="I5798" s="1" t="s">
        <v>1528</v>
      </c>
      <c r="J5798" s="1" t="s">
        <v>1336</v>
      </c>
      <c r="K5798" s="1" t="s">
        <v>25</v>
      </c>
      <c r="L5798">
        <v>-1.58</v>
      </c>
      <c r="M5798" s="1" t="s">
        <v>23</v>
      </c>
      <c r="N5798" s="1" t="s">
        <v>230</v>
      </c>
      <c r="O5798" s="1">
        <v>18</v>
      </c>
      <c r="P5798" s="3" t="s">
        <v>5990</v>
      </c>
      <c r="Q5798" s="37">
        <v>1.85</v>
      </c>
      <c r="R5798" s="1" t="s">
        <v>231</v>
      </c>
      <c r="S5798" s="13">
        <f t="shared" si="249"/>
        <v>-1.58</v>
      </c>
    </row>
    <row r="5799" spans="1:19">
      <c r="A5799" s="18" t="s">
        <v>5863</v>
      </c>
      <c r="B5799" s="1" t="s">
        <v>5965</v>
      </c>
      <c r="C5799" s="1" t="s">
        <v>5988</v>
      </c>
      <c r="D5799" s="1" t="s">
        <v>5989</v>
      </c>
      <c r="E5799" s="1" t="s">
        <v>25</v>
      </c>
      <c r="F5799">
        <v>443</v>
      </c>
      <c r="G5799">
        <v>450</v>
      </c>
      <c r="H5799">
        <v>166.5</v>
      </c>
      <c r="I5799" s="1" t="s">
        <v>1528</v>
      </c>
      <c r="J5799" s="1" t="s">
        <v>1336</v>
      </c>
      <c r="K5799" s="1" t="s">
        <v>25</v>
      </c>
      <c r="L5799">
        <v>-1.37</v>
      </c>
      <c r="M5799" s="1" t="s">
        <v>23</v>
      </c>
      <c r="N5799" s="1" t="s">
        <v>230</v>
      </c>
      <c r="O5799" s="1">
        <v>7.21</v>
      </c>
      <c r="P5799" s="3" t="s">
        <v>5990</v>
      </c>
      <c r="Q5799" s="37">
        <v>0.871</v>
      </c>
      <c r="R5799" s="1" t="s">
        <v>231</v>
      </c>
      <c r="S5799" s="13">
        <f t="shared" si="249"/>
        <v>-1.37</v>
      </c>
    </row>
    <row r="5800" spans="1:19">
      <c r="A5800" s="18" t="s">
        <v>5863</v>
      </c>
      <c r="B5800" s="1" t="s">
        <v>5966</v>
      </c>
      <c r="C5800" s="1" t="s">
        <v>5988</v>
      </c>
      <c r="D5800" s="1" t="s">
        <v>5989</v>
      </c>
      <c r="E5800" s="1" t="s">
        <v>25</v>
      </c>
      <c r="F5800">
        <v>443</v>
      </c>
      <c r="G5800">
        <v>450</v>
      </c>
      <c r="H5800">
        <v>167.5</v>
      </c>
      <c r="I5800" s="1" t="s">
        <v>1528</v>
      </c>
      <c r="J5800" s="1" t="s">
        <v>1336</v>
      </c>
      <c r="K5800" s="1" t="s">
        <v>25</v>
      </c>
      <c r="L5800">
        <v>-1.45</v>
      </c>
      <c r="M5800" s="1" t="s">
        <v>23</v>
      </c>
      <c r="N5800" s="1" t="s">
        <v>230</v>
      </c>
      <c r="O5800" s="1">
        <v>12.6</v>
      </c>
      <c r="P5800" s="3" t="s">
        <v>5990</v>
      </c>
      <c r="Q5800" s="37">
        <v>1.44</v>
      </c>
      <c r="R5800" s="1" t="s">
        <v>231</v>
      </c>
      <c r="S5800" s="13">
        <f t="shared" si="249"/>
        <v>-1.45</v>
      </c>
    </row>
    <row r="5801" spans="1:19">
      <c r="A5801" s="18" t="s">
        <v>5863</v>
      </c>
      <c r="B5801" s="1" t="s">
        <v>5967</v>
      </c>
      <c r="C5801" s="1" t="s">
        <v>5988</v>
      </c>
      <c r="D5801" s="1" t="s">
        <v>5989</v>
      </c>
      <c r="E5801" s="1" t="s">
        <v>25</v>
      </c>
      <c r="F5801">
        <v>443</v>
      </c>
      <c r="G5801">
        <v>450</v>
      </c>
      <c r="H5801">
        <v>168.5</v>
      </c>
      <c r="I5801" s="1" t="s">
        <v>1528</v>
      </c>
      <c r="J5801" s="1" t="s">
        <v>1336</v>
      </c>
      <c r="K5801" s="1" t="s">
        <v>25</v>
      </c>
      <c r="L5801">
        <v>-1.38</v>
      </c>
      <c r="M5801" s="1" t="s">
        <v>23</v>
      </c>
      <c r="N5801" s="1" t="s">
        <v>230</v>
      </c>
      <c r="O5801" s="1">
        <v>6.3</v>
      </c>
      <c r="P5801" s="3" t="s">
        <v>5990</v>
      </c>
      <c r="Q5801" s="37">
        <v>0.68300000000000005</v>
      </c>
      <c r="R5801" s="1" t="s">
        <v>231</v>
      </c>
      <c r="S5801" s="13">
        <f t="shared" si="249"/>
        <v>-1.38</v>
      </c>
    </row>
    <row r="5802" spans="1:19">
      <c r="A5802" s="18" t="s">
        <v>5863</v>
      </c>
      <c r="B5802" s="1" t="s">
        <v>5968</v>
      </c>
      <c r="C5802" s="1" t="s">
        <v>5988</v>
      </c>
      <c r="D5802" s="1" t="s">
        <v>5989</v>
      </c>
      <c r="E5802" s="1" t="s">
        <v>25</v>
      </c>
      <c r="F5802">
        <v>443</v>
      </c>
      <c r="G5802">
        <v>450</v>
      </c>
      <c r="H5802">
        <v>169.3</v>
      </c>
      <c r="I5802" s="1" t="s">
        <v>1528</v>
      </c>
      <c r="J5802" s="1" t="s">
        <v>1336</v>
      </c>
      <c r="K5802" s="1" t="s">
        <v>25</v>
      </c>
      <c r="L5802">
        <v>-1.49</v>
      </c>
      <c r="M5802" s="1" t="s">
        <v>23</v>
      </c>
      <c r="N5802" s="1" t="s">
        <v>230</v>
      </c>
      <c r="O5802" s="1">
        <v>4.0199999999999996</v>
      </c>
      <c r="P5802" s="3" t="s">
        <v>5990</v>
      </c>
      <c r="Q5802" s="37">
        <v>1.18</v>
      </c>
      <c r="R5802" s="1" t="s">
        <v>231</v>
      </c>
      <c r="S5802" s="13">
        <f t="shared" si="249"/>
        <v>-1.49</v>
      </c>
    </row>
    <row r="5803" spans="1:19">
      <c r="A5803" s="18" t="s">
        <v>5863</v>
      </c>
      <c r="B5803" s="1" t="s">
        <v>5970</v>
      </c>
      <c r="C5803" s="1" t="s">
        <v>5988</v>
      </c>
      <c r="D5803" s="1" t="s">
        <v>5989</v>
      </c>
      <c r="E5803" s="1" t="s">
        <v>25</v>
      </c>
      <c r="F5803">
        <v>443</v>
      </c>
      <c r="G5803">
        <v>450</v>
      </c>
      <c r="H5803">
        <v>171.5</v>
      </c>
      <c r="I5803" s="1" t="s">
        <v>1528</v>
      </c>
      <c r="J5803" s="1" t="s">
        <v>1336</v>
      </c>
      <c r="K5803" s="1" t="s">
        <v>25</v>
      </c>
      <c r="L5803">
        <v>-1.38</v>
      </c>
      <c r="M5803" s="1" t="s">
        <v>23</v>
      </c>
      <c r="N5803" s="1" t="s">
        <v>230</v>
      </c>
      <c r="O5803" s="1">
        <v>5.93</v>
      </c>
      <c r="P5803" s="3" t="s">
        <v>5990</v>
      </c>
      <c r="Q5803" s="37">
        <v>0.59699999999999998</v>
      </c>
      <c r="R5803" s="1" t="s">
        <v>231</v>
      </c>
      <c r="S5803" s="13">
        <f t="shared" si="249"/>
        <v>-1.38</v>
      </c>
    </row>
    <row r="5804" spans="1:19">
      <c r="A5804" s="18" t="s">
        <v>5863</v>
      </c>
      <c r="B5804" s="1" t="s">
        <v>5971</v>
      </c>
      <c r="C5804" s="1" t="s">
        <v>5988</v>
      </c>
      <c r="D5804" s="1" t="s">
        <v>5989</v>
      </c>
      <c r="E5804" s="1" t="s">
        <v>25</v>
      </c>
      <c r="F5804">
        <v>443</v>
      </c>
      <c r="G5804">
        <v>450</v>
      </c>
      <c r="H5804">
        <v>172.9</v>
      </c>
      <c r="I5804" s="1" t="s">
        <v>1528</v>
      </c>
      <c r="J5804" s="1" t="s">
        <v>1336</v>
      </c>
      <c r="K5804" s="1" t="s">
        <v>25</v>
      </c>
      <c r="L5804">
        <v>-1.22</v>
      </c>
      <c r="M5804" s="1" t="s">
        <v>23</v>
      </c>
      <c r="N5804" s="1" t="s">
        <v>230</v>
      </c>
      <c r="O5804" s="1">
        <v>5.84</v>
      </c>
      <c r="P5804" s="3" t="s">
        <v>5990</v>
      </c>
      <c r="Q5804" s="37">
        <v>0.60599999999999998</v>
      </c>
      <c r="R5804" s="1" t="s">
        <v>231</v>
      </c>
      <c r="S5804" s="13">
        <f t="shared" si="249"/>
        <v>-1.22</v>
      </c>
    </row>
    <row r="5805" spans="1:19">
      <c r="A5805" s="18" t="s">
        <v>5863</v>
      </c>
      <c r="B5805" s="1" t="s">
        <v>5973</v>
      </c>
      <c r="C5805" s="1" t="s">
        <v>5988</v>
      </c>
      <c r="D5805" s="1" t="s">
        <v>5989</v>
      </c>
      <c r="E5805" s="1" t="s">
        <v>25</v>
      </c>
      <c r="F5805">
        <v>443</v>
      </c>
      <c r="G5805">
        <v>450</v>
      </c>
      <c r="H5805">
        <v>175</v>
      </c>
      <c r="I5805" s="1" t="s">
        <v>1528</v>
      </c>
      <c r="J5805" s="1" t="s">
        <v>1336</v>
      </c>
      <c r="K5805" s="1" t="s">
        <v>25</v>
      </c>
      <c r="L5805">
        <v>-1.43</v>
      </c>
      <c r="M5805" s="1" t="s">
        <v>23</v>
      </c>
      <c r="N5805" s="1" t="s">
        <v>230</v>
      </c>
      <c r="O5805" s="1">
        <v>5.75</v>
      </c>
      <c r="P5805" s="3" t="s">
        <v>5990</v>
      </c>
      <c r="Q5805" s="37">
        <v>0.60499999999999998</v>
      </c>
      <c r="R5805" s="1" t="s">
        <v>231</v>
      </c>
      <c r="S5805" s="13">
        <f t="shared" si="249"/>
        <v>-1.43</v>
      </c>
    </row>
    <row r="5806" spans="1:19">
      <c r="A5806" s="18" t="s">
        <v>5863</v>
      </c>
      <c r="B5806" s="1" t="s">
        <v>5974</v>
      </c>
      <c r="C5806" s="1" t="s">
        <v>5988</v>
      </c>
      <c r="D5806" s="1" t="s">
        <v>5989</v>
      </c>
      <c r="E5806" s="1" t="s">
        <v>25</v>
      </c>
      <c r="F5806">
        <v>443</v>
      </c>
      <c r="G5806">
        <v>450</v>
      </c>
      <c r="H5806">
        <v>180.5</v>
      </c>
      <c r="I5806" s="1" t="s">
        <v>1528</v>
      </c>
      <c r="J5806" s="1" t="s">
        <v>1336</v>
      </c>
      <c r="K5806" s="1" t="s">
        <v>25</v>
      </c>
      <c r="L5806">
        <v>-1.39</v>
      </c>
      <c r="M5806" s="1" t="s">
        <v>23</v>
      </c>
      <c r="N5806" s="1" t="s">
        <v>230</v>
      </c>
      <c r="O5806" s="1">
        <v>4.84</v>
      </c>
      <c r="P5806" s="3" t="s">
        <v>5990</v>
      </c>
      <c r="Q5806" s="37">
        <v>0.47699999999999998</v>
      </c>
      <c r="R5806" s="1" t="s">
        <v>231</v>
      </c>
      <c r="S5806" s="13">
        <f t="shared" si="249"/>
        <v>-1.39</v>
      </c>
    </row>
    <row r="5807" spans="1:19">
      <c r="A5807" s="18" t="s">
        <v>5863</v>
      </c>
      <c r="B5807" s="1" t="s">
        <v>5975</v>
      </c>
      <c r="C5807" s="1" t="s">
        <v>5988</v>
      </c>
      <c r="D5807" s="1" t="s">
        <v>5989</v>
      </c>
      <c r="E5807" s="1" t="s">
        <v>25</v>
      </c>
      <c r="F5807">
        <v>443</v>
      </c>
      <c r="G5807">
        <v>450</v>
      </c>
      <c r="H5807">
        <v>182.5</v>
      </c>
      <c r="I5807" s="1" t="s">
        <v>1528</v>
      </c>
      <c r="J5807" s="1" t="s">
        <v>1336</v>
      </c>
      <c r="K5807" s="1" t="s">
        <v>25</v>
      </c>
      <c r="L5807">
        <v>-1.29</v>
      </c>
      <c r="M5807" s="1" t="s">
        <v>23</v>
      </c>
      <c r="N5807" s="1" t="s">
        <v>230</v>
      </c>
      <c r="O5807" s="1">
        <v>3.56</v>
      </c>
      <c r="P5807" s="3" t="s">
        <v>5990</v>
      </c>
      <c r="Q5807" s="37">
        <v>0.41799999999999998</v>
      </c>
      <c r="R5807" s="1" t="s">
        <v>231</v>
      </c>
      <c r="S5807" s="13">
        <f t="shared" si="249"/>
        <v>-1.29</v>
      </c>
    </row>
    <row r="5808" spans="1:19">
      <c r="A5808" s="18" t="s">
        <v>5863</v>
      </c>
      <c r="B5808" s="1" t="s">
        <v>5976</v>
      </c>
      <c r="C5808" s="1" t="s">
        <v>5988</v>
      </c>
      <c r="D5808" s="1" t="s">
        <v>5989</v>
      </c>
      <c r="E5808" s="1" t="s">
        <v>25</v>
      </c>
      <c r="F5808">
        <v>443</v>
      </c>
      <c r="G5808">
        <v>450</v>
      </c>
      <c r="H5808">
        <v>187</v>
      </c>
      <c r="I5808" s="1" t="s">
        <v>1528</v>
      </c>
      <c r="J5808" s="1" t="s">
        <v>1336</v>
      </c>
      <c r="K5808" s="1" t="s">
        <v>25</v>
      </c>
      <c r="L5808">
        <v>-1.33</v>
      </c>
      <c r="M5808" s="1" t="s">
        <v>23</v>
      </c>
      <c r="N5808" s="1" t="s">
        <v>230</v>
      </c>
      <c r="O5808" s="1">
        <v>4.29</v>
      </c>
      <c r="P5808" s="3" t="s">
        <v>5990</v>
      </c>
      <c r="Q5808" s="37">
        <v>0.47099999999999997</v>
      </c>
      <c r="R5808" s="1" t="s">
        <v>231</v>
      </c>
      <c r="S5808" s="13">
        <f t="shared" si="249"/>
        <v>-1.33</v>
      </c>
    </row>
    <row r="5809" spans="1:19">
      <c r="A5809" s="18" t="s">
        <v>5863</v>
      </c>
      <c r="B5809" s="1" t="s">
        <v>5977</v>
      </c>
      <c r="C5809" s="1" t="s">
        <v>5988</v>
      </c>
      <c r="D5809" s="1" t="s">
        <v>5989</v>
      </c>
      <c r="E5809" s="1" t="s">
        <v>25</v>
      </c>
      <c r="F5809">
        <v>443</v>
      </c>
      <c r="G5809">
        <v>450</v>
      </c>
      <c r="H5809">
        <v>188.9</v>
      </c>
      <c r="I5809" s="1" t="s">
        <v>1528</v>
      </c>
      <c r="J5809" s="1" t="s">
        <v>1336</v>
      </c>
      <c r="K5809" s="1" t="s">
        <v>25</v>
      </c>
      <c r="L5809">
        <v>-1.28</v>
      </c>
      <c r="M5809" s="1" t="s">
        <v>23</v>
      </c>
      <c r="N5809" s="1" t="s">
        <v>230</v>
      </c>
      <c r="O5809" s="1">
        <v>3.74</v>
      </c>
      <c r="P5809" s="3" t="s">
        <v>5990</v>
      </c>
      <c r="Q5809" s="37">
        <v>0.439</v>
      </c>
      <c r="R5809" s="1" t="s">
        <v>231</v>
      </c>
      <c r="S5809" s="13">
        <f t="shared" si="249"/>
        <v>-1.28</v>
      </c>
    </row>
    <row r="5810" spans="1:19">
      <c r="A5810" s="18" t="s">
        <v>5863</v>
      </c>
      <c r="B5810" s="1" t="s">
        <v>5978</v>
      </c>
      <c r="C5810" s="1" t="s">
        <v>5988</v>
      </c>
      <c r="D5810" s="1" t="s">
        <v>5989</v>
      </c>
      <c r="E5810" s="1" t="s">
        <v>25</v>
      </c>
      <c r="F5810">
        <v>443</v>
      </c>
      <c r="G5810">
        <v>450</v>
      </c>
      <c r="H5810">
        <v>193.4</v>
      </c>
      <c r="I5810" s="1" t="s">
        <v>1528</v>
      </c>
      <c r="J5810" s="1" t="s">
        <v>1336</v>
      </c>
      <c r="K5810" s="1" t="s">
        <v>25</v>
      </c>
      <c r="L5810">
        <v>-1.1299999999999999</v>
      </c>
      <c r="M5810" s="1" t="s">
        <v>23</v>
      </c>
      <c r="N5810" s="1" t="s">
        <v>230</v>
      </c>
      <c r="O5810" s="1">
        <v>7.67</v>
      </c>
      <c r="P5810" s="3" t="s">
        <v>5990</v>
      </c>
      <c r="Q5810" s="37">
        <v>0.879</v>
      </c>
      <c r="R5810" s="1" t="s">
        <v>231</v>
      </c>
      <c r="S5810" s="13">
        <f t="shared" si="249"/>
        <v>-1.1299999999999999</v>
      </c>
    </row>
    <row r="5811" spans="1:19">
      <c r="A5811" s="18" t="s">
        <v>5863</v>
      </c>
      <c r="B5811" s="1" t="s">
        <v>5980</v>
      </c>
      <c r="C5811" s="1" t="s">
        <v>5988</v>
      </c>
      <c r="D5811" s="1" t="s">
        <v>5989</v>
      </c>
      <c r="E5811" s="1" t="s">
        <v>25</v>
      </c>
      <c r="F5811">
        <v>443</v>
      </c>
      <c r="G5811">
        <v>450</v>
      </c>
      <c r="H5811">
        <v>197</v>
      </c>
      <c r="I5811" s="1" t="s">
        <v>1528</v>
      </c>
      <c r="J5811" s="1" t="s">
        <v>1336</v>
      </c>
      <c r="K5811" s="1" t="s">
        <v>25</v>
      </c>
      <c r="L5811">
        <v>-1.1399999999999999</v>
      </c>
      <c r="M5811" s="1" t="s">
        <v>23</v>
      </c>
      <c r="N5811" s="1" t="s">
        <v>230</v>
      </c>
      <c r="O5811" s="1">
        <v>5.75</v>
      </c>
      <c r="P5811" s="3" t="s">
        <v>5990</v>
      </c>
      <c r="Q5811" s="37">
        <v>0.53600000000000003</v>
      </c>
      <c r="R5811" s="1" t="s">
        <v>231</v>
      </c>
      <c r="S5811" s="13">
        <f t="shared" si="249"/>
        <v>-1.1399999999999999</v>
      </c>
    </row>
    <row r="5812" spans="1:19">
      <c r="A5812" s="18" t="s">
        <v>5863</v>
      </c>
      <c r="B5812" s="1" t="s">
        <v>5982</v>
      </c>
      <c r="C5812" s="1" t="s">
        <v>5988</v>
      </c>
      <c r="D5812" s="1" t="s">
        <v>5989</v>
      </c>
      <c r="E5812" s="1" t="s">
        <v>25</v>
      </c>
      <c r="F5812">
        <v>443</v>
      </c>
      <c r="G5812">
        <v>450</v>
      </c>
      <c r="H5812">
        <v>198</v>
      </c>
      <c r="I5812" s="1" t="s">
        <v>1528</v>
      </c>
      <c r="J5812" s="1" t="s">
        <v>1336</v>
      </c>
      <c r="K5812" s="1" t="s">
        <v>25</v>
      </c>
      <c r="L5812">
        <v>-1.0900000000000001</v>
      </c>
      <c r="M5812" s="1" t="s">
        <v>23</v>
      </c>
      <c r="N5812" s="1" t="s">
        <v>230</v>
      </c>
      <c r="O5812" s="1">
        <v>5.1100000000000003</v>
      </c>
      <c r="P5812" s="3" t="s">
        <v>5990</v>
      </c>
      <c r="Q5812" s="37">
        <v>0.52900000000000003</v>
      </c>
      <c r="R5812" s="1" t="s">
        <v>231</v>
      </c>
      <c r="S5812" s="13">
        <f t="shared" si="249"/>
        <v>-1.0900000000000001</v>
      </c>
    </row>
    <row r="5813" spans="1:19">
      <c r="A5813" s="18" t="s">
        <v>5863</v>
      </c>
      <c r="B5813" s="1" t="s">
        <v>5984</v>
      </c>
      <c r="C5813" s="1" t="s">
        <v>5988</v>
      </c>
      <c r="D5813" s="1" t="s">
        <v>5989</v>
      </c>
      <c r="E5813" s="1" t="s">
        <v>25</v>
      </c>
      <c r="F5813">
        <v>443</v>
      </c>
      <c r="G5813">
        <v>450</v>
      </c>
      <c r="H5813">
        <v>206</v>
      </c>
      <c r="I5813" s="1" t="s">
        <v>1528</v>
      </c>
      <c r="J5813" s="1" t="s">
        <v>1336</v>
      </c>
      <c r="K5813" s="1" t="s">
        <v>25</v>
      </c>
      <c r="L5813">
        <v>-1.27</v>
      </c>
      <c r="M5813" s="1" t="s">
        <v>23</v>
      </c>
      <c r="N5813" s="1" t="s">
        <v>230</v>
      </c>
      <c r="O5813" s="1">
        <v>5.84</v>
      </c>
      <c r="P5813" s="3" t="s">
        <v>5990</v>
      </c>
      <c r="Q5813" s="37">
        <v>0.60399999999999998</v>
      </c>
      <c r="R5813" s="1" t="s">
        <v>231</v>
      </c>
      <c r="S5813" s="13">
        <f t="shared" si="249"/>
        <v>-1.27</v>
      </c>
    </row>
    <row r="5814" spans="1:19">
      <c r="A5814" s="18" t="s">
        <v>5863</v>
      </c>
      <c r="B5814" s="1" t="s">
        <v>5985</v>
      </c>
      <c r="C5814" s="1" t="s">
        <v>5988</v>
      </c>
      <c r="D5814" s="1" t="s">
        <v>5989</v>
      </c>
      <c r="E5814" s="1" t="s">
        <v>25</v>
      </c>
      <c r="F5814">
        <v>443</v>
      </c>
      <c r="G5814">
        <v>450</v>
      </c>
      <c r="H5814">
        <v>208</v>
      </c>
      <c r="I5814" s="1" t="s">
        <v>1528</v>
      </c>
      <c r="J5814" s="1" t="s">
        <v>1336</v>
      </c>
      <c r="K5814" s="1" t="s">
        <v>25</v>
      </c>
      <c r="L5814">
        <v>-1.27</v>
      </c>
      <c r="M5814" s="1" t="s">
        <v>23</v>
      </c>
      <c r="N5814" s="1" t="s">
        <v>230</v>
      </c>
      <c r="O5814" s="1">
        <v>5.93</v>
      </c>
      <c r="P5814" s="3" t="s">
        <v>5990</v>
      </c>
      <c r="Q5814" s="37">
        <v>0.57199999999999995</v>
      </c>
      <c r="R5814" s="1" t="s">
        <v>231</v>
      </c>
      <c r="S5814" s="13">
        <f t="shared" si="249"/>
        <v>-1.27</v>
      </c>
    </row>
    <row r="5815" spans="1:19">
      <c r="A5815" s="18" t="s">
        <v>5863</v>
      </c>
      <c r="B5815" s="1" t="s">
        <v>5986</v>
      </c>
      <c r="C5815" s="1" t="s">
        <v>5988</v>
      </c>
      <c r="D5815" s="1" t="s">
        <v>5989</v>
      </c>
      <c r="E5815" s="1" t="s">
        <v>25</v>
      </c>
      <c r="F5815">
        <v>443</v>
      </c>
      <c r="G5815">
        <v>450</v>
      </c>
      <c r="H5815">
        <v>219</v>
      </c>
      <c r="I5815" s="1" t="s">
        <v>1528</v>
      </c>
      <c r="J5815" s="1" t="s">
        <v>1336</v>
      </c>
      <c r="K5815" s="1" t="s">
        <v>25</v>
      </c>
      <c r="L5815">
        <v>-1.27</v>
      </c>
      <c r="M5815" s="1" t="s">
        <v>23</v>
      </c>
      <c r="N5815" s="1" t="s">
        <v>230</v>
      </c>
      <c r="O5815" s="1">
        <v>6.03</v>
      </c>
      <c r="P5815" s="3" t="s">
        <v>5990</v>
      </c>
      <c r="Q5815" s="37">
        <v>0.59399999999999997</v>
      </c>
      <c r="R5815" s="1" t="s">
        <v>231</v>
      </c>
      <c r="S5815" s="13">
        <f t="shared" si="249"/>
        <v>-1.27</v>
      </c>
    </row>
    <row r="5816" spans="1:19" s="4" customFormat="1">
      <c r="B5816" s="5"/>
      <c r="C5816" s="5"/>
      <c r="D5816" s="5"/>
      <c r="E5816" s="5"/>
      <c r="I5816" s="5"/>
      <c r="J5816" s="5"/>
      <c r="M5816" s="5"/>
      <c r="O5816" s="5"/>
      <c r="P5816" s="6"/>
      <c r="Q5816" s="38"/>
      <c r="S5816" s="24"/>
    </row>
    <row r="5817" spans="1:19">
      <c r="A5817" s="18" t="s">
        <v>5991</v>
      </c>
      <c r="B5817" s="1" t="s">
        <v>6123</v>
      </c>
      <c r="C5817" s="1" t="s">
        <v>4081</v>
      </c>
      <c r="D5817" s="1" t="s">
        <v>5060</v>
      </c>
      <c r="E5817" s="1" t="s">
        <v>25</v>
      </c>
      <c r="F5817">
        <v>560</v>
      </c>
      <c r="G5817">
        <v>590</v>
      </c>
      <c r="H5817">
        <v>0.2</v>
      </c>
      <c r="I5817" s="1" t="s">
        <v>5992</v>
      </c>
      <c r="J5817" s="1" t="s">
        <v>5993</v>
      </c>
      <c r="K5817" s="1" t="s">
        <v>25</v>
      </c>
      <c r="L5817">
        <v>-1.0900000000000001</v>
      </c>
      <c r="M5817" s="1" t="s">
        <v>23</v>
      </c>
      <c r="N5817" s="1" t="s">
        <v>230</v>
      </c>
      <c r="O5817" s="1" t="s">
        <v>5994</v>
      </c>
      <c r="P5817" s="3" t="s">
        <v>28</v>
      </c>
      <c r="Q5817" s="37">
        <v>0.196424979</v>
      </c>
      <c r="R5817" s="1" t="s">
        <v>231</v>
      </c>
      <c r="S5817" s="13">
        <f t="shared" si="249"/>
        <v>-1.0900000000000001</v>
      </c>
    </row>
    <row r="5818" spans="1:19">
      <c r="A5818" s="18" t="s">
        <v>5991</v>
      </c>
      <c r="B5818" s="1" t="s">
        <v>6124</v>
      </c>
      <c r="C5818" s="1" t="s">
        <v>4081</v>
      </c>
      <c r="D5818" s="1" t="s">
        <v>5060</v>
      </c>
      <c r="E5818" s="1" t="s">
        <v>25</v>
      </c>
      <c r="F5818">
        <v>560</v>
      </c>
      <c r="G5818">
        <v>590</v>
      </c>
      <c r="H5818">
        <v>53.6</v>
      </c>
      <c r="I5818" s="1" t="s">
        <v>5992</v>
      </c>
      <c r="J5818" s="1" t="s">
        <v>5993</v>
      </c>
      <c r="K5818" s="1" t="s">
        <v>25</v>
      </c>
      <c r="L5818">
        <v>-1.1000000000000001</v>
      </c>
      <c r="M5818" s="1" t="s">
        <v>23</v>
      </c>
      <c r="N5818" s="1" t="s">
        <v>230</v>
      </c>
      <c r="O5818" s="1" t="s">
        <v>5995</v>
      </c>
      <c r="P5818" s="3" t="s">
        <v>28</v>
      </c>
      <c r="Q5818" s="37">
        <v>0.27355478300000002</v>
      </c>
      <c r="R5818" s="1" t="s">
        <v>231</v>
      </c>
      <c r="S5818" s="13">
        <f t="shared" si="249"/>
        <v>-1.1000000000000001</v>
      </c>
    </row>
    <row r="5819" spans="1:19">
      <c r="A5819" s="18" t="s">
        <v>5991</v>
      </c>
      <c r="B5819" s="1" t="s">
        <v>6125</v>
      </c>
      <c r="C5819" s="1" t="s">
        <v>4081</v>
      </c>
      <c r="D5819" s="1" t="s">
        <v>5060</v>
      </c>
      <c r="E5819" s="1" t="s">
        <v>25</v>
      </c>
      <c r="F5819">
        <v>560</v>
      </c>
      <c r="G5819">
        <v>590</v>
      </c>
      <c r="H5819">
        <v>68.599999999999994</v>
      </c>
      <c r="I5819" s="1" t="s">
        <v>5992</v>
      </c>
      <c r="J5819" s="1" t="s">
        <v>5993</v>
      </c>
      <c r="K5819" s="1" t="s">
        <v>25</v>
      </c>
      <c r="L5819">
        <v>-0.88</v>
      </c>
      <c r="M5819" s="1" t="s">
        <v>23</v>
      </c>
      <c r="N5819" s="1" t="s">
        <v>230</v>
      </c>
      <c r="O5819" s="1" t="s">
        <v>5996</v>
      </c>
      <c r="P5819" s="3" t="s">
        <v>28</v>
      </c>
      <c r="Q5819" s="37">
        <v>0.19452329300000001</v>
      </c>
      <c r="R5819" s="1" t="s">
        <v>231</v>
      </c>
      <c r="S5819" s="13">
        <f t="shared" ref="S5819:S5882" si="250">IF(NOT(N5819="SW"),L5819-1.88,L5819)</f>
        <v>-0.88</v>
      </c>
    </row>
    <row r="5820" spans="1:19">
      <c r="A5820" s="18" t="s">
        <v>5991</v>
      </c>
      <c r="B5820" s="1" t="s">
        <v>6126</v>
      </c>
      <c r="C5820" s="1" t="s">
        <v>4081</v>
      </c>
      <c r="D5820" s="1" t="s">
        <v>5060</v>
      </c>
      <c r="E5820" s="1" t="s">
        <v>25</v>
      </c>
      <c r="F5820">
        <v>560</v>
      </c>
      <c r="G5820">
        <v>590</v>
      </c>
      <c r="H5820">
        <v>73.900000000000006</v>
      </c>
      <c r="I5820" s="1" t="s">
        <v>5992</v>
      </c>
      <c r="J5820" s="1" t="s">
        <v>5993</v>
      </c>
      <c r="K5820" s="1" t="s">
        <v>25</v>
      </c>
      <c r="L5820">
        <v>-0.81</v>
      </c>
      <c r="M5820" s="1" t="s">
        <v>23</v>
      </c>
      <c r="N5820" s="1" t="s">
        <v>230</v>
      </c>
      <c r="O5820" s="1" t="s">
        <v>5997</v>
      </c>
      <c r="P5820" s="3" t="s">
        <v>28</v>
      </c>
      <c r="Q5820" s="37">
        <v>0.174406643</v>
      </c>
      <c r="R5820" s="1" t="s">
        <v>231</v>
      </c>
      <c r="S5820" s="13">
        <f t="shared" si="250"/>
        <v>-0.81</v>
      </c>
    </row>
    <row r="5821" spans="1:19">
      <c r="A5821" s="18" t="s">
        <v>5991</v>
      </c>
      <c r="B5821" s="1" t="s">
        <v>6127</v>
      </c>
      <c r="C5821" s="1" t="s">
        <v>4081</v>
      </c>
      <c r="D5821" s="1" t="s">
        <v>5060</v>
      </c>
      <c r="E5821" s="1" t="s">
        <v>25</v>
      </c>
      <c r="F5821">
        <v>560</v>
      </c>
      <c r="G5821">
        <v>590</v>
      </c>
      <c r="H5821">
        <v>87</v>
      </c>
      <c r="I5821" s="1" t="s">
        <v>5992</v>
      </c>
      <c r="J5821" s="1" t="s">
        <v>5993</v>
      </c>
      <c r="K5821" s="1" t="s">
        <v>25</v>
      </c>
      <c r="L5821">
        <v>-1.1399999999999999</v>
      </c>
      <c r="M5821" s="1" t="s">
        <v>23</v>
      </c>
      <c r="N5821" s="1" t="s">
        <v>230</v>
      </c>
      <c r="O5821" s="1" t="s">
        <v>5998</v>
      </c>
      <c r="P5821" s="3" t="s">
        <v>28</v>
      </c>
      <c r="Q5821" s="37">
        <v>0.23791720399999999</v>
      </c>
      <c r="R5821" s="1" t="s">
        <v>231</v>
      </c>
      <c r="S5821" s="13">
        <f t="shared" si="250"/>
        <v>-1.1399999999999999</v>
      </c>
    </row>
    <row r="5822" spans="1:19">
      <c r="A5822" s="18" t="s">
        <v>5991</v>
      </c>
      <c r="B5822" s="1" t="s">
        <v>6128</v>
      </c>
      <c r="C5822" s="1" t="s">
        <v>4081</v>
      </c>
      <c r="D5822" s="1" t="s">
        <v>5060</v>
      </c>
      <c r="E5822" s="1" t="s">
        <v>25</v>
      </c>
      <c r="F5822">
        <v>560</v>
      </c>
      <c r="G5822">
        <v>590</v>
      </c>
      <c r="H5822">
        <v>95.6</v>
      </c>
      <c r="I5822" s="1" t="s">
        <v>5992</v>
      </c>
      <c r="J5822" s="1" t="s">
        <v>5993</v>
      </c>
      <c r="K5822" s="1" t="s">
        <v>25</v>
      </c>
      <c r="L5822">
        <v>-0.78</v>
      </c>
      <c r="M5822" s="1" t="s">
        <v>23</v>
      </c>
      <c r="N5822" s="1" t="s">
        <v>230</v>
      </c>
      <c r="O5822" s="1" t="s">
        <v>5999</v>
      </c>
      <c r="P5822" s="3" t="s">
        <v>28</v>
      </c>
      <c r="Q5822" s="37">
        <v>0.20030909799999999</v>
      </c>
      <c r="R5822" s="1" t="s">
        <v>231</v>
      </c>
      <c r="S5822" s="13">
        <f t="shared" si="250"/>
        <v>-0.78</v>
      </c>
    </row>
    <row r="5823" spans="1:19">
      <c r="A5823" s="18" t="s">
        <v>5991</v>
      </c>
      <c r="B5823" s="1" t="s">
        <v>6129</v>
      </c>
      <c r="C5823" s="1" t="s">
        <v>4081</v>
      </c>
      <c r="D5823" s="1" t="s">
        <v>5060</v>
      </c>
      <c r="E5823" s="1" t="s">
        <v>25</v>
      </c>
      <c r="F5823">
        <v>560</v>
      </c>
      <c r="G5823">
        <v>590</v>
      </c>
      <c r="H5823">
        <v>108.3</v>
      </c>
      <c r="I5823" s="1" t="s">
        <v>5992</v>
      </c>
      <c r="J5823" s="1" t="s">
        <v>5993</v>
      </c>
      <c r="K5823" s="1" t="s">
        <v>25</v>
      </c>
      <c r="L5823">
        <v>-0.7</v>
      </c>
      <c r="M5823" s="1" t="s">
        <v>23</v>
      </c>
      <c r="N5823" s="1" t="s">
        <v>230</v>
      </c>
      <c r="O5823" s="1" t="s">
        <v>5998</v>
      </c>
      <c r="P5823" s="3" t="s">
        <v>28</v>
      </c>
      <c r="Q5823" s="37">
        <v>0.23648657300000001</v>
      </c>
      <c r="R5823" s="1" t="s">
        <v>231</v>
      </c>
      <c r="S5823" s="13">
        <f t="shared" si="250"/>
        <v>-0.7</v>
      </c>
    </row>
    <row r="5824" spans="1:19">
      <c r="A5824" s="18" t="s">
        <v>5991</v>
      </c>
      <c r="B5824" s="1" t="s">
        <v>6130</v>
      </c>
      <c r="C5824" s="1" t="s">
        <v>4081</v>
      </c>
      <c r="D5824" s="1" t="s">
        <v>5060</v>
      </c>
      <c r="E5824" s="1" t="s">
        <v>25</v>
      </c>
      <c r="F5824">
        <v>560</v>
      </c>
      <c r="G5824">
        <v>590</v>
      </c>
      <c r="H5824">
        <v>112.3</v>
      </c>
      <c r="I5824" s="1" t="s">
        <v>5992</v>
      </c>
      <c r="J5824" s="1" t="s">
        <v>5993</v>
      </c>
      <c r="K5824" s="1" t="s">
        <v>25</v>
      </c>
      <c r="L5824">
        <v>-1.1299999999999999</v>
      </c>
      <c r="M5824" s="1" t="s">
        <v>23</v>
      </c>
      <c r="N5824" s="1" t="s">
        <v>230</v>
      </c>
      <c r="O5824" s="1" t="s">
        <v>6000</v>
      </c>
      <c r="P5824" s="3" t="s">
        <v>28</v>
      </c>
      <c r="Q5824" s="37">
        <v>0.26693016800000002</v>
      </c>
      <c r="R5824" s="1" t="s">
        <v>231</v>
      </c>
      <c r="S5824" s="13">
        <f t="shared" si="250"/>
        <v>-1.1299999999999999</v>
      </c>
    </row>
    <row r="5825" spans="1:19">
      <c r="A5825" s="18" t="s">
        <v>5991</v>
      </c>
      <c r="B5825" s="1" t="s">
        <v>6131</v>
      </c>
      <c r="C5825" s="1" t="s">
        <v>4081</v>
      </c>
      <c r="D5825" s="1" t="s">
        <v>5060</v>
      </c>
      <c r="E5825" s="1" t="s">
        <v>25</v>
      </c>
      <c r="F5825">
        <v>560</v>
      </c>
      <c r="G5825">
        <v>590</v>
      </c>
      <c r="H5825">
        <v>124.1</v>
      </c>
      <c r="I5825" s="1" t="s">
        <v>5992</v>
      </c>
      <c r="J5825" s="1" t="s">
        <v>5993</v>
      </c>
      <c r="K5825" s="1" t="s">
        <v>25</v>
      </c>
      <c r="L5825">
        <v>-1.35</v>
      </c>
      <c r="M5825" s="1" t="s">
        <v>23</v>
      </c>
      <c r="N5825" s="1" t="s">
        <v>230</v>
      </c>
      <c r="O5825" s="1" t="s">
        <v>6001</v>
      </c>
      <c r="P5825" s="3" t="s">
        <v>28</v>
      </c>
      <c r="Q5825" s="37">
        <v>0.63026403099999995</v>
      </c>
      <c r="R5825" s="1" t="s">
        <v>231</v>
      </c>
      <c r="S5825" s="13">
        <f t="shared" si="250"/>
        <v>-1.35</v>
      </c>
    </row>
    <row r="5826" spans="1:19">
      <c r="A5826" s="18" t="s">
        <v>5991</v>
      </c>
      <c r="B5826" s="1" t="s">
        <v>6132</v>
      </c>
      <c r="C5826" s="1" t="s">
        <v>4081</v>
      </c>
      <c r="D5826" s="1" t="s">
        <v>5060</v>
      </c>
      <c r="E5826" s="1" t="s">
        <v>25</v>
      </c>
      <c r="F5826">
        <v>560</v>
      </c>
      <c r="G5826">
        <v>590</v>
      </c>
      <c r="H5826">
        <v>134.69999999999999</v>
      </c>
      <c r="I5826" s="1" t="s">
        <v>5992</v>
      </c>
      <c r="J5826" s="1" t="s">
        <v>5993</v>
      </c>
      <c r="K5826" s="1" t="s">
        <v>25</v>
      </c>
      <c r="L5826">
        <v>-1.33</v>
      </c>
      <c r="M5826" s="1" t="s">
        <v>23</v>
      </c>
      <c r="N5826" s="1" t="s">
        <v>230</v>
      </c>
      <c r="O5826" s="1" t="s">
        <v>6002</v>
      </c>
      <c r="P5826" s="3" t="s">
        <v>28</v>
      </c>
      <c r="Q5826" s="37">
        <v>0.49860593399999997</v>
      </c>
      <c r="R5826" s="1" t="s">
        <v>231</v>
      </c>
      <c r="S5826" s="13">
        <f t="shared" si="250"/>
        <v>-1.33</v>
      </c>
    </row>
    <row r="5827" spans="1:19">
      <c r="A5827" s="18" t="s">
        <v>5991</v>
      </c>
      <c r="B5827" s="1" t="s">
        <v>6133</v>
      </c>
      <c r="C5827" s="1" t="s">
        <v>4081</v>
      </c>
      <c r="D5827" s="1" t="s">
        <v>5060</v>
      </c>
      <c r="E5827" s="1" t="s">
        <v>25</v>
      </c>
      <c r="F5827">
        <v>560</v>
      </c>
      <c r="G5827">
        <v>590</v>
      </c>
      <c r="H5827">
        <v>140.80000000000001</v>
      </c>
      <c r="I5827" s="1" t="s">
        <v>5992</v>
      </c>
      <c r="J5827" s="1" t="s">
        <v>5993</v>
      </c>
      <c r="K5827" s="1" t="s">
        <v>25</v>
      </c>
      <c r="L5827">
        <v>-1.25</v>
      </c>
      <c r="M5827" s="1" t="s">
        <v>23</v>
      </c>
      <c r="N5827" s="1" t="s">
        <v>230</v>
      </c>
      <c r="O5827" s="1" t="s">
        <v>6003</v>
      </c>
      <c r="P5827" s="3" t="s">
        <v>28</v>
      </c>
      <c r="Q5827" s="37">
        <v>0.46389378199999998</v>
      </c>
      <c r="R5827" s="1" t="s">
        <v>231</v>
      </c>
      <c r="S5827" s="13">
        <f t="shared" si="250"/>
        <v>-1.25</v>
      </c>
    </row>
    <row r="5828" spans="1:19">
      <c r="A5828" s="18" t="s">
        <v>5991</v>
      </c>
      <c r="B5828" s="1" t="s">
        <v>6134</v>
      </c>
      <c r="C5828" s="1" t="s">
        <v>4081</v>
      </c>
      <c r="D5828" s="1" t="s">
        <v>5060</v>
      </c>
      <c r="E5828" s="1" t="s">
        <v>25</v>
      </c>
      <c r="F5828">
        <v>560</v>
      </c>
      <c r="G5828">
        <v>590</v>
      </c>
      <c r="H5828">
        <v>157</v>
      </c>
      <c r="I5828" s="1" t="s">
        <v>5992</v>
      </c>
      <c r="J5828" s="1" t="s">
        <v>5993</v>
      </c>
      <c r="K5828" s="1" t="s">
        <v>25</v>
      </c>
      <c r="L5828">
        <v>-1.23</v>
      </c>
      <c r="M5828" s="1" t="s">
        <v>23</v>
      </c>
      <c r="N5828" s="1" t="s">
        <v>230</v>
      </c>
      <c r="O5828" s="1" t="s">
        <v>6004</v>
      </c>
      <c r="P5828" s="3" t="s">
        <v>28</v>
      </c>
      <c r="Q5828" s="37">
        <v>0.60341070399999996</v>
      </c>
      <c r="R5828" s="1" t="s">
        <v>231</v>
      </c>
      <c r="S5828" s="13">
        <f t="shared" si="250"/>
        <v>-1.23</v>
      </c>
    </row>
    <row r="5829" spans="1:19">
      <c r="A5829" s="18" t="s">
        <v>5991</v>
      </c>
      <c r="B5829" s="1" t="s">
        <v>6135</v>
      </c>
      <c r="C5829" s="1" t="s">
        <v>4081</v>
      </c>
      <c r="D5829" s="1" t="s">
        <v>5060</v>
      </c>
      <c r="E5829" s="1" t="s">
        <v>25</v>
      </c>
      <c r="F5829">
        <v>560</v>
      </c>
      <c r="G5829">
        <v>590</v>
      </c>
      <c r="H5829">
        <v>168.9</v>
      </c>
      <c r="I5829" s="1" t="s">
        <v>5992</v>
      </c>
      <c r="J5829" s="1" t="s">
        <v>5993</v>
      </c>
      <c r="K5829" s="1" t="s">
        <v>25</v>
      </c>
      <c r="L5829">
        <v>-1.46</v>
      </c>
      <c r="M5829" s="1" t="s">
        <v>23</v>
      </c>
      <c r="N5829" s="1" t="s">
        <v>230</v>
      </c>
      <c r="O5829" s="1" t="s">
        <v>6005</v>
      </c>
      <c r="P5829" s="3" t="s">
        <v>28</v>
      </c>
      <c r="Q5829" s="37">
        <v>0.65021961399999995</v>
      </c>
      <c r="R5829" s="1" t="s">
        <v>231</v>
      </c>
      <c r="S5829" s="13">
        <f t="shared" si="250"/>
        <v>-1.46</v>
      </c>
    </row>
    <row r="5830" spans="1:19">
      <c r="A5830" s="18" t="s">
        <v>5991</v>
      </c>
      <c r="B5830" s="1" t="s">
        <v>6136</v>
      </c>
      <c r="C5830" s="1" t="s">
        <v>4081</v>
      </c>
      <c r="D5830" s="1" t="s">
        <v>5060</v>
      </c>
      <c r="E5830" s="1" t="s">
        <v>25</v>
      </c>
      <c r="F5830">
        <v>560</v>
      </c>
      <c r="G5830">
        <v>590</v>
      </c>
      <c r="H5830">
        <v>177.8</v>
      </c>
      <c r="I5830" s="1" t="s">
        <v>5992</v>
      </c>
      <c r="J5830" s="1" t="s">
        <v>5993</v>
      </c>
      <c r="K5830" s="1" t="s">
        <v>25</v>
      </c>
      <c r="L5830">
        <v>-1.5</v>
      </c>
      <c r="M5830" s="1" t="s">
        <v>23</v>
      </c>
      <c r="N5830" s="1" t="s">
        <v>230</v>
      </c>
      <c r="O5830" s="1" t="s">
        <v>6006</v>
      </c>
      <c r="P5830" s="3" t="s">
        <v>28</v>
      </c>
      <c r="Q5830" s="37">
        <v>0.61928075199999999</v>
      </c>
      <c r="R5830" s="1" t="s">
        <v>231</v>
      </c>
      <c r="S5830" s="13">
        <f t="shared" si="250"/>
        <v>-1.5</v>
      </c>
    </row>
    <row r="5831" spans="1:19">
      <c r="A5831" s="18" t="s">
        <v>5991</v>
      </c>
      <c r="B5831" s="1" t="s">
        <v>6137</v>
      </c>
      <c r="C5831" s="1" t="s">
        <v>4081</v>
      </c>
      <c r="D5831" s="1" t="s">
        <v>5060</v>
      </c>
      <c r="E5831" s="1" t="s">
        <v>25</v>
      </c>
      <c r="F5831">
        <v>560</v>
      </c>
      <c r="G5831">
        <v>590</v>
      </c>
      <c r="H5831">
        <v>206.4</v>
      </c>
      <c r="I5831" s="1" t="s">
        <v>5992</v>
      </c>
      <c r="J5831" s="1" t="s">
        <v>5993</v>
      </c>
      <c r="K5831" s="1" t="s">
        <v>25</v>
      </c>
      <c r="L5831">
        <v>-1.85</v>
      </c>
      <c r="M5831" s="1" t="s">
        <v>23</v>
      </c>
      <c r="N5831" s="1" t="s">
        <v>230</v>
      </c>
      <c r="O5831" s="1" t="s">
        <v>6007</v>
      </c>
      <c r="P5831" s="3" t="s">
        <v>28</v>
      </c>
      <c r="Q5831" s="37">
        <v>1.141643567</v>
      </c>
      <c r="R5831" s="1" t="s">
        <v>231</v>
      </c>
      <c r="S5831" s="13">
        <f t="shared" si="250"/>
        <v>-1.85</v>
      </c>
    </row>
    <row r="5832" spans="1:19">
      <c r="A5832" s="18" t="s">
        <v>5991</v>
      </c>
      <c r="B5832" s="1" t="s">
        <v>6138</v>
      </c>
      <c r="C5832" s="1" t="s">
        <v>4081</v>
      </c>
      <c r="D5832" s="1" t="s">
        <v>5060</v>
      </c>
      <c r="E5832" s="1" t="s">
        <v>25</v>
      </c>
      <c r="F5832">
        <v>560</v>
      </c>
      <c r="G5832">
        <v>590</v>
      </c>
      <c r="H5832">
        <v>219.3</v>
      </c>
      <c r="I5832" s="1" t="s">
        <v>5992</v>
      </c>
      <c r="J5832" s="1" t="s">
        <v>5993</v>
      </c>
      <c r="K5832" s="1" t="s">
        <v>25</v>
      </c>
      <c r="L5832">
        <v>-1.68</v>
      </c>
      <c r="M5832" s="1" t="s">
        <v>23</v>
      </c>
      <c r="N5832" s="1" t="s">
        <v>230</v>
      </c>
      <c r="O5832" s="1" t="s">
        <v>6008</v>
      </c>
      <c r="P5832" s="3" t="s">
        <v>28</v>
      </c>
      <c r="Q5832" s="37">
        <v>7.1059710139999996</v>
      </c>
      <c r="R5832" s="1" t="s">
        <v>231</v>
      </c>
      <c r="S5832" s="13">
        <f t="shared" si="250"/>
        <v>-1.68</v>
      </c>
    </row>
    <row r="5833" spans="1:19">
      <c r="A5833" s="18" t="s">
        <v>5991</v>
      </c>
      <c r="B5833" s="1" t="s">
        <v>6139</v>
      </c>
      <c r="C5833" s="1" t="s">
        <v>4081</v>
      </c>
      <c r="D5833" s="1" t="s">
        <v>5060</v>
      </c>
      <c r="E5833" s="1" t="s">
        <v>25</v>
      </c>
      <c r="F5833">
        <v>560</v>
      </c>
      <c r="G5833">
        <v>590</v>
      </c>
      <c r="H5833">
        <v>234.8</v>
      </c>
      <c r="I5833" s="1" t="s">
        <v>5992</v>
      </c>
      <c r="J5833" s="1" t="s">
        <v>5993</v>
      </c>
      <c r="K5833" s="1" t="s">
        <v>25</v>
      </c>
      <c r="L5833">
        <v>-1.68</v>
      </c>
      <c r="M5833" s="1" t="s">
        <v>23</v>
      </c>
      <c r="N5833" s="1" t="s">
        <v>230</v>
      </c>
      <c r="O5833" s="1" t="s">
        <v>6009</v>
      </c>
      <c r="P5833" s="3" t="s">
        <v>28</v>
      </c>
      <c r="Q5833" s="37">
        <v>1.073723808</v>
      </c>
      <c r="R5833" s="1" t="s">
        <v>231</v>
      </c>
      <c r="S5833" s="13">
        <f t="shared" si="250"/>
        <v>-1.68</v>
      </c>
    </row>
    <row r="5834" spans="1:19">
      <c r="A5834" s="18" t="s">
        <v>5991</v>
      </c>
      <c r="B5834" s="1" t="s">
        <v>6140</v>
      </c>
      <c r="C5834" s="1" t="s">
        <v>4081</v>
      </c>
      <c r="D5834" s="1" t="s">
        <v>5060</v>
      </c>
      <c r="E5834" s="1" t="s">
        <v>25</v>
      </c>
      <c r="F5834">
        <v>560</v>
      </c>
      <c r="G5834">
        <v>590</v>
      </c>
      <c r="H5834">
        <v>257.7</v>
      </c>
      <c r="I5834" s="1" t="s">
        <v>5992</v>
      </c>
      <c r="J5834" s="1" t="s">
        <v>5993</v>
      </c>
      <c r="K5834" s="1" t="s">
        <v>25</v>
      </c>
      <c r="L5834">
        <v>-1.44</v>
      </c>
      <c r="M5834" s="1" t="s">
        <v>23</v>
      </c>
      <c r="N5834" s="1" t="s">
        <v>230</v>
      </c>
      <c r="O5834" s="1" t="s">
        <v>6005</v>
      </c>
      <c r="P5834" s="3" t="s">
        <v>28</v>
      </c>
      <c r="Q5834" s="37">
        <v>0.63276320100000005</v>
      </c>
      <c r="R5834" s="1" t="s">
        <v>231</v>
      </c>
      <c r="S5834" s="13">
        <f t="shared" si="250"/>
        <v>-1.44</v>
      </c>
    </row>
    <row r="5835" spans="1:19">
      <c r="A5835" s="18" t="s">
        <v>5991</v>
      </c>
      <c r="B5835" s="1" t="s">
        <v>6141</v>
      </c>
      <c r="C5835" s="1" t="s">
        <v>4081</v>
      </c>
      <c r="D5835" s="1" t="s">
        <v>5060</v>
      </c>
      <c r="E5835" s="1" t="s">
        <v>25</v>
      </c>
      <c r="F5835">
        <v>560</v>
      </c>
      <c r="G5835">
        <v>590</v>
      </c>
      <c r="H5835">
        <v>265</v>
      </c>
      <c r="I5835" s="1" t="s">
        <v>5992</v>
      </c>
      <c r="J5835" s="1" t="s">
        <v>5993</v>
      </c>
      <c r="K5835" s="1" t="s">
        <v>25</v>
      </c>
      <c r="L5835">
        <v>-1.51</v>
      </c>
      <c r="M5835" s="1" t="s">
        <v>23</v>
      </c>
      <c r="N5835" s="1" t="s">
        <v>230</v>
      </c>
      <c r="O5835" s="1" t="s">
        <v>6010</v>
      </c>
      <c r="P5835" s="3" t="s">
        <v>28</v>
      </c>
      <c r="Q5835" s="37">
        <v>2.2192155140000001</v>
      </c>
      <c r="R5835" s="1" t="s">
        <v>231</v>
      </c>
      <c r="S5835" s="13">
        <f t="shared" si="250"/>
        <v>-1.51</v>
      </c>
    </row>
    <row r="5836" spans="1:19">
      <c r="A5836" s="18" t="s">
        <v>5991</v>
      </c>
      <c r="B5836" s="1" t="s">
        <v>6142</v>
      </c>
      <c r="C5836" s="1" t="s">
        <v>4081</v>
      </c>
      <c r="D5836" s="1" t="s">
        <v>5060</v>
      </c>
      <c r="E5836" s="1" t="s">
        <v>25</v>
      </c>
      <c r="F5836">
        <v>560</v>
      </c>
      <c r="G5836">
        <v>590</v>
      </c>
      <c r="H5836">
        <v>275.5</v>
      </c>
      <c r="I5836" s="1" t="s">
        <v>5992</v>
      </c>
      <c r="J5836" s="1" t="s">
        <v>5993</v>
      </c>
      <c r="K5836" s="1" t="s">
        <v>25</v>
      </c>
      <c r="L5836">
        <v>-1.54</v>
      </c>
      <c r="M5836" s="1" t="s">
        <v>23</v>
      </c>
      <c r="N5836" s="1" t="s">
        <v>230</v>
      </c>
      <c r="O5836" s="1" t="s">
        <v>6011</v>
      </c>
      <c r="P5836" s="3" t="s">
        <v>28</v>
      </c>
      <c r="Q5836" s="37">
        <v>0.70208422299999995</v>
      </c>
      <c r="R5836" s="1" t="s">
        <v>231</v>
      </c>
      <c r="S5836" s="13">
        <f t="shared" si="250"/>
        <v>-1.54</v>
      </c>
    </row>
    <row r="5837" spans="1:19">
      <c r="A5837" s="18" t="s">
        <v>5991</v>
      </c>
      <c r="B5837" s="1" t="s">
        <v>6143</v>
      </c>
      <c r="C5837" s="1" t="s">
        <v>4081</v>
      </c>
      <c r="D5837" s="1" t="s">
        <v>5060</v>
      </c>
      <c r="E5837" s="1" t="s">
        <v>25</v>
      </c>
      <c r="F5837">
        <v>560</v>
      </c>
      <c r="G5837">
        <v>590</v>
      </c>
      <c r="H5837">
        <v>287.3</v>
      </c>
      <c r="I5837" s="1" t="s">
        <v>5992</v>
      </c>
      <c r="J5837" s="1" t="s">
        <v>5993</v>
      </c>
      <c r="K5837" s="1" t="s">
        <v>25</v>
      </c>
      <c r="L5837">
        <v>-1.48</v>
      </c>
      <c r="M5837" s="1" t="s">
        <v>23</v>
      </c>
      <c r="N5837" s="1" t="s">
        <v>230</v>
      </c>
      <c r="O5837" s="1" t="s">
        <v>6012</v>
      </c>
      <c r="P5837" s="3" t="s">
        <v>28</v>
      </c>
      <c r="Q5837" s="37">
        <v>0.84911343900000003</v>
      </c>
      <c r="R5837" s="1" t="s">
        <v>231</v>
      </c>
      <c r="S5837" s="13">
        <f t="shared" si="250"/>
        <v>-1.48</v>
      </c>
    </row>
    <row r="5838" spans="1:19">
      <c r="A5838" s="18" t="s">
        <v>5991</v>
      </c>
      <c r="B5838" s="1" t="s">
        <v>6144</v>
      </c>
      <c r="C5838" s="1" t="s">
        <v>4081</v>
      </c>
      <c r="D5838" s="1" t="s">
        <v>5060</v>
      </c>
      <c r="E5838" s="1" t="s">
        <v>25</v>
      </c>
      <c r="F5838">
        <v>560</v>
      </c>
      <c r="G5838">
        <v>590</v>
      </c>
      <c r="H5838">
        <v>295.10000000000002</v>
      </c>
      <c r="I5838" s="1" t="s">
        <v>5992</v>
      </c>
      <c r="J5838" s="1" t="s">
        <v>5993</v>
      </c>
      <c r="K5838" s="1" t="s">
        <v>25</v>
      </c>
      <c r="L5838">
        <v>-1.6</v>
      </c>
      <c r="M5838" s="1" t="s">
        <v>23</v>
      </c>
      <c r="N5838" s="1" t="s">
        <v>230</v>
      </c>
      <c r="O5838" s="1" t="s">
        <v>6013</v>
      </c>
      <c r="P5838" s="3" t="s">
        <v>28</v>
      </c>
      <c r="Q5838" s="37">
        <v>0.89041402800000002</v>
      </c>
      <c r="R5838" s="1" t="s">
        <v>231</v>
      </c>
      <c r="S5838" s="13">
        <f t="shared" si="250"/>
        <v>-1.6</v>
      </c>
    </row>
    <row r="5839" spans="1:19">
      <c r="A5839" s="18" t="s">
        <v>5991</v>
      </c>
      <c r="B5839" s="1" t="s">
        <v>6145</v>
      </c>
      <c r="C5839" s="1" t="s">
        <v>4081</v>
      </c>
      <c r="D5839" s="1" t="s">
        <v>5060</v>
      </c>
      <c r="E5839" s="1" t="s">
        <v>25</v>
      </c>
      <c r="F5839">
        <v>560</v>
      </c>
      <c r="G5839">
        <v>590</v>
      </c>
      <c r="H5839">
        <v>306.8</v>
      </c>
      <c r="I5839" s="1" t="s">
        <v>5992</v>
      </c>
      <c r="J5839" s="1" t="s">
        <v>5993</v>
      </c>
      <c r="K5839" s="1" t="s">
        <v>25</v>
      </c>
      <c r="L5839">
        <v>-1.62</v>
      </c>
      <c r="M5839" s="1" t="s">
        <v>23</v>
      </c>
      <c r="N5839" s="1" t="s">
        <v>230</v>
      </c>
      <c r="O5839" s="1" t="s">
        <v>6014</v>
      </c>
      <c r="P5839" s="3" t="s">
        <v>28</v>
      </c>
      <c r="Q5839" s="37">
        <v>0.69414988200000005</v>
      </c>
      <c r="R5839" s="1" t="s">
        <v>231</v>
      </c>
      <c r="S5839" s="13">
        <f t="shared" si="250"/>
        <v>-1.62</v>
      </c>
    </row>
    <row r="5840" spans="1:19">
      <c r="A5840" s="18" t="s">
        <v>5991</v>
      </c>
      <c r="B5840" s="1" t="s">
        <v>6146</v>
      </c>
      <c r="C5840" s="1" t="s">
        <v>4081</v>
      </c>
      <c r="D5840" s="1" t="s">
        <v>5060</v>
      </c>
      <c r="E5840" s="1" t="s">
        <v>25</v>
      </c>
      <c r="F5840">
        <v>560</v>
      </c>
      <c r="G5840">
        <v>590</v>
      </c>
      <c r="H5840">
        <v>315</v>
      </c>
      <c r="I5840" s="1" t="s">
        <v>5992</v>
      </c>
      <c r="J5840" s="1" t="s">
        <v>5993</v>
      </c>
      <c r="K5840" s="1" t="s">
        <v>25</v>
      </c>
      <c r="L5840">
        <v>-1.55</v>
      </c>
      <c r="M5840" s="1" t="s">
        <v>23</v>
      </c>
      <c r="N5840" s="1" t="s">
        <v>230</v>
      </c>
      <c r="O5840" s="1" t="s">
        <v>6015</v>
      </c>
      <c r="P5840" s="3" t="s">
        <v>28</v>
      </c>
      <c r="Q5840" s="37">
        <v>3.6739463630000002</v>
      </c>
      <c r="R5840" s="1" t="s">
        <v>231</v>
      </c>
      <c r="S5840" s="13">
        <f t="shared" si="250"/>
        <v>-1.55</v>
      </c>
    </row>
    <row r="5841" spans="1:19">
      <c r="A5841" s="18" t="s">
        <v>5991</v>
      </c>
      <c r="B5841" s="1" t="s">
        <v>6147</v>
      </c>
      <c r="C5841" s="1" t="s">
        <v>4081</v>
      </c>
      <c r="D5841" s="1" t="s">
        <v>5060</v>
      </c>
      <c r="E5841" s="1" t="s">
        <v>25</v>
      </c>
      <c r="F5841">
        <v>560</v>
      </c>
      <c r="G5841">
        <v>590</v>
      </c>
      <c r="H5841">
        <v>324.7</v>
      </c>
      <c r="I5841" s="1" t="s">
        <v>5992</v>
      </c>
      <c r="J5841" s="1" t="s">
        <v>5993</v>
      </c>
      <c r="K5841" s="1" t="s">
        <v>25</v>
      </c>
      <c r="L5841">
        <v>-1.47</v>
      </c>
      <c r="M5841" s="1" t="s">
        <v>23</v>
      </c>
      <c r="N5841" s="1" t="s">
        <v>230</v>
      </c>
      <c r="O5841" s="1" t="s">
        <v>6016</v>
      </c>
      <c r="P5841" s="3" t="s">
        <v>28</v>
      </c>
      <c r="Q5841" s="37">
        <v>0.74072059899999998</v>
      </c>
      <c r="R5841" s="1" t="s">
        <v>231</v>
      </c>
      <c r="S5841" s="13">
        <f t="shared" si="250"/>
        <v>-1.47</v>
      </c>
    </row>
    <row r="5842" spans="1:19">
      <c r="A5842" s="18" t="s">
        <v>5991</v>
      </c>
      <c r="B5842" s="1" t="s">
        <v>6148</v>
      </c>
      <c r="C5842" s="1" t="s">
        <v>4081</v>
      </c>
      <c r="D5842" s="1" t="s">
        <v>5060</v>
      </c>
      <c r="E5842" s="1" t="s">
        <v>25</v>
      </c>
      <c r="F5842">
        <v>560</v>
      </c>
      <c r="G5842">
        <v>590</v>
      </c>
      <c r="H5842">
        <v>333.9</v>
      </c>
      <c r="I5842" s="1" t="s">
        <v>5992</v>
      </c>
      <c r="J5842" s="1" t="s">
        <v>5993</v>
      </c>
      <c r="K5842" s="1" t="s">
        <v>25</v>
      </c>
      <c r="L5842">
        <v>-1.63</v>
      </c>
      <c r="M5842" s="1" t="s">
        <v>23</v>
      </c>
      <c r="N5842" s="1" t="s">
        <v>230</v>
      </c>
      <c r="O5842" s="1" t="s">
        <v>6017</v>
      </c>
      <c r="P5842" s="3" t="s">
        <v>28</v>
      </c>
      <c r="Q5842" s="37">
        <v>1.111450555</v>
      </c>
      <c r="R5842" s="1" t="s">
        <v>231</v>
      </c>
      <c r="S5842" s="13">
        <f t="shared" si="250"/>
        <v>-1.63</v>
      </c>
    </row>
    <row r="5843" spans="1:19">
      <c r="A5843" s="18" t="s">
        <v>5991</v>
      </c>
      <c r="B5843" s="1" t="s">
        <v>6149</v>
      </c>
      <c r="C5843" s="1" t="s">
        <v>4081</v>
      </c>
      <c r="D5843" s="1" t="s">
        <v>5060</v>
      </c>
      <c r="E5843" s="1" t="s">
        <v>25</v>
      </c>
      <c r="F5843">
        <v>560</v>
      </c>
      <c r="G5843">
        <v>590</v>
      </c>
      <c r="H5843">
        <v>344</v>
      </c>
      <c r="I5843" s="1" t="s">
        <v>5992</v>
      </c>
      <c r="J5843" s="1" t="s">
        <v>5993</v>
      </c>
      <c r="K5843" s="1" t="s">
        <v>25</v>
      </c>
      <c r="L5843">
        <v>-1.1000000000000001</v>
      </c>
      <c r="M5843" s="1" t="s">
        <v>23</v>
      </c>
      <c r="N5843" s="1" t="s">
        <v>230</v>
      </c>
      <c r="O5843" s="1" t="s">
        <v>6018</v>
      </c>
      <c r="P5843" s="3" t="s">
        <v>28</v>
      </c>
      <c r="Q5843" s="37">
        <v>0.76263931100000004</v>
      </c>
      <c r="R5843" s="1" t="s">
        <v>231</v>
      </c>
      <c r="S5843" s="13">
        <f t="shared" si="250"/>
        <v>-1.1000000000000001</v>
      </c>
    </row>
    <row r="5844" spans="1:19">
      <c r="A5844" s="18" t="s">
        <v>5991</v>
      </c>
      <c r="B5844" s="1" t="s">
        <v>6150</v>
      </c>
      <c r="C5844" s="1" t="s">
        <v>4081</v>
      </c>
      <c r="D5844" s="1" t="s">
        <v>5060</v>
      </c>
      <c r="E5844" s="1" t="s">
        <v>25</v>
      </c>
      <c r="F5844">
        <v>560</v>
      </c>
      <c r="G5844">
        <v>590</v>
      </c>
      <c r="H5844">
        <v>352</v>
      </c>
      <c r="I5844" s="1" t="s">
        <v>5992</v>
      </c>
      <c r="J5844" s="1" t="s">
        <v>5993</v>
      </c>
      <c r="K5844" s="1" t="s">
        <v>25</v>
      </c>
      <c r="L5844">
        <v>-1.73</v>
      </c>
      <c r="M5844" s="1" t="s">
        <v>23</v>
      </c>
      <c r="N5844" s="1" t="s">
        <v>230</v>
      </c>
      <c r="O5844" s="1" t="s">
        <v>6019</v>
      </c>
      <c r="P5844" s="3" t="s">
        <v>28</v>
      </c>
      <c r="Q5844" s="37">
        <v>5.607711482</v>
      </c>
      <c r="R5844" s="1" t="s">
        <v>231</v>
      </c>
      <c r="S5844" s="13">
        <f t="shared" si="250"/>
        <v>-1.73</v>
      </c>
    </row>
    <row r="5845" spans="1:19">
      <c r="A5845" s="18" t="s">
        <v>5991</v>
      </c>
      <c r="B5845" s="1" t="s">
        <v>6151</v>
      </c>
      <c r="C5845" s="1" t="s">
        <v>4081</v>
      </c>
      <c r="D5845" s="1" t="s">
        <v>5060</v>
      </c>
      <c r="E5845" s="1" t="s">
        <v>25</v>
      </c>
      <c r="F5845">
        <v>560</v>
      </c>
      <c r="G5845">
        <v>590</v>
      </c>
      <c r="H5845">
        <v>367.4</v>
      </c>
      <c r="I5845" s="1" t="s">
        <v>5992</v>
      </c>
      <c r="J5845" s="1" t="s">
        <v>5993</v>
      </c>
      <c r="K5845" s="1" t="s">
        <v>25</v>
      </c>
      <c r="L5845">
        <v>-1.69</v>
      </c>
      <c r="M5845" s="1" t="s">
        <v>23</v>
      </c>
      <c r="N5845" s="1" t="s">
        <v>230</v>
      </c>
      <c r="O5845" s="1" t="s">
        <v>6020</v>
      </c>
      <c r="P5845" s="3" t="s">
        <v>28</v>
      </c>
      <c r="Q5845" s="37">
        <v>1.676444431</v>
      </c>
      <c r="R5845" s="1" t="s">
        <v>231</v>
      </c>
      <c r="S5845" s="13">
        <f t="shared" si="250"/>
        <v>-1.69</v>
      </c>
    </row>
    <row r="5846" spans="1:19">
      <c r="A5846" s="18" t="s">
        <v>5991</v>
      </c>
      <c r="B5846" s="1" t="s">
        <v>6152</v>
      </c>
      <c r="C5846" s="1" t="s">
        <v>4081</v>
      </c>
      <c r="D5846" s="1" t="s">
        <v>5060</v>
      </c>
      <c r="E5846" s="1" t="s">
        <v>25</v>
      </c>
      <c r="F5846">
        <v>560</v>
      </c>
      <c r="G5846">
        <v>590</v>
      </c>
      <c r="H5846">
        <v>373.3</v>
      </c>
      <c r="I5846" s="1" t="s">
        <v>5992</v>
      </c>
      <c r="J5846" s="1" t="s">
        <v>5993</v>
      </c>
      <c r="K5846" s="1" t="s">
        <v>25</v>
      </c>
      <c r="L5846">
        <v>-1.46</v>
      </c>
      <c r="M5846" s="1" t="s">
        <v>23</v>
      </c>
      <c r="N5846" s="1" t="s">
        <v>230</v>
      </c>
      <c r="O5846" s="1" t="s">
        <v>6021</v>
      </c>
      <c r="P5846" s="3" t="s">
        <v>28</v>
      </c>
      <c r="Q5846" s="37">
        <v>2.9916451770000001</v>
      </c>
      <c r="R5846" s="1" t="s">
        <v>231</v>
      </c>
      <c r="S5846" s="13">
        <f t="shared" si="250"/>
        <v>-1.46</v>
      </c>
    </row>
    <row r="5847" spans="1:19">
      <c r="A5847" s="18" t="s">
        <v>5991</v>
      </c>
      <c r="B5847" s="1" t="s">
        <v>6153</v>
      </c>
      <c r="C5847" s="1" t="s">
        <v>4081</v>
      </c>
      <c r="D5847" s="1" t="s">
        <v>5060</v>
      </c>
      <c r="E5847" s="1" t="s">
        <v>25</v>
      </c>
      <c r="F5847">
        <v>560</v>
      </c>
      <c r="G5847">
        <v>590</v>
      </c>
      <c r="H5847">
        <v>410.9</v>
      </c>
      <c r="I5847" s="1" t="s">
        <v>5992</v>
      </c>
      <c r="J5847" s="1" t="s">
        <v>5993</v>
      </c>
      <c r="K5847" s="1" t="s">
        <v>25</v>
      </c>
      <c r="L5847">
        <v>-1.05</v>
      </c>
      <c r="M5847" s="1" t="s">
        <v>23</v>
      </c>
      <c r="N5847" s="1" t="s">
        <v>230</v>
      </c>
      <c r="O5847" s="1" t="s">
        <v>6022</v>
      </c>
      <c r="P5847" s="3" t="s">
        <v>28</v>
      </c>
      <c r="Q5847" s="37">
        <v>1.1847015409999999</v>
      </c>
      <c r="R5847" s="1" t="s">
        <v>231</v>
      </c>
      <c r="S5847" s="13">
        <f t="shared" si="250"/>
        <v>-1.05</v>
      </c>
    </row>
    <row r="5848" spans="1:19">
      <c r="A5848" s="18" t="s">
        <v>5991</v>
      </c>
      <c r="B5848" s="1" t="s">
        <v>6154</v>
      </c>
      <c r="C5848" s="1" t="s">
        <v>4081</v>
      </c>
      <c r="D5848" s="1" t="s">
        <v>5060</v>
      </c>
      <c r="E5848" s="1" t="s">
        <v>25</v>
      </c>
      <c r="F5848">
        <v>560</v>
      </c>
      <c r="G5848">
        <v>590</v>
      </c>
      <c r="H5848">
        <v>423.2</v>
      </c>
      <c r="I5848" s="1" t="s">
        <v>5992</v>
      </c>
      <c r="J5848" s="1" t="s">
        <v>5993</v>
      </c>
      <c r="K5848" s="1" t="s">
        <v>25</v>
      </c>
      <c r="L5848">
        <v>-1.53</v>
      </c>
      <c r="M5848" s="1" t="s">
        <v>23</v>
      </c>
      <c r="N5848" s="1" t="s">
        <v>230</v>
      </c>
      <c r="O5848" s="1" t="s">
        <v>6023</v>
      </c>
      <c r="P5848" s="3" t="s">
        <v>28</v>
      </c>
      <c r="Q5848" s="37">
        <v>0.65185669499999999</v>
      </c>
      <c r="R5848" s="1" t="s">
        <v>231</v>
      </c>
      <c r="S5848" s="13">
        <f t="shared" si="250"/>
        <v>-1.53</v>
      </c>
    </row>
    <row r="5849" spans="1:19">
      <c r="A5849" s="18" t="s">
        <v>5991</v>
      </c>
      <c r="B5849" s="1" t="s">
        <v>6155</v>
      </c>
      <c r="C5849" s="1" t="s">
        <v>4081</v>
      </c>
      <c r="D5849" s="1" t="s">
        <v>5060</v>
      </c>
      <c r="E5849" s="1" t="s">
        <v>25</v>
      </c>
      <c r="F5849">
        <v>560</v>
      </c>
      <c r="G5849">
        <v>590</v>
      </c>
      <c r="H5849">
        <v>445.3</v>
      </c>
      <c r="I5849" s="1" t="s">
        <v>5992</v>
      </c>
      <c r="J5849" s="1" t="s">
        <v>5993</v>
      </c>
      <c r="K5849" s="1" t="s">
        <v>25</v>
      </c>
      <c r="L5849">
        <v>-1.66</v>
      </c>
      <c r="M5849" s="1" t="s">
        <v>23</v>
      </c>
      <c r="N5849" s="1" t="s">
        <v>230</v>
      </c>
      <c r="O5849" s="1" t="s">
        <v>6016</v>
      </c>
      <c r="P5849" s="3" t="s">
        <v>28</v>
      </c>
      <c r="Q5849" s="37">
        <v>0.72338455199999996</v>
      </c>
      <c r="R5849" s="1" t="s">
        <v>231</v>
      </c>
      <c r="S5849" s="13">
        <f t="shared" si="250"/>
        <v>-1.66</v>
      </c>
    </row>
    <row r="5850" spans="1:19">
      <c r="A5850" s="18" t="s">
        <v>5991</v>
      </c>
      <c r="B5850" s="1" t="s">
        <v>6156</v>
      </c>
      <c r="C5850" s="1" t="s">
        <v>4081</v>
      </c>
      <c r="D5850" s="1" t="s">
        <v>5060</v>
      </c>
      <c r="E5850" s="1" t="s">
        <v>25</v>
      </c>
      <c r="F5850">
        <v>560</v>
      </c>
      <c r="G5850">
        <v>590</v>
      </c>
      <c r="H5850">
        <v>456.9</v>
      </c>
      <c r="I5850" s="1" t="s">
        <v>5992</v>
      </c>
      <c r="J5850" s="1" t="s">
        <v>5993</v>
      </c>
      <c r="K5850" s="1" t="s">
        <v>25</v>
      </c>
      <c r="L5850">
        <v>-1.7</v>
      </c>
      <c r="M5850" s="1" t="s">
        <v>23</v>
      </c>
      <c r="N5850" s="1" t="s">
        <v>230</v>
      </c>
      <c r="O5850" s="1" t="s">
        <v>6024</v>
      </c>
      <c r="P5850" s="3" t="s">
        <v>28</v>
      </c>
      <c r="Q5850" s="37">
        <v>1.1736101910000001</v>
      </c>
      <c r="R5850" s="1" t="s">
        <v>231</v>
      </c>
      <c r="S5850" s="13">
        <f t="shared" si="250"/>
        <v>-1.7</v>
      </c>
    </row>
    <row r="5851" spans="1:19">
      <c r="A5851" s="18" t="s">
        <v>5991</v>
      </c>
      <c r="B5851" s="1" t="s">
        <v>6157</v>
      </c>
      <c r="C5851" s="1" t="s">
        <v>4081</v>
      </c>
      <c r="D5851" s="1" t="s">
        <v>5060</v>
      </c>
      <c r="E5851" s="1" t="s">
        <v>25</v>
      </c>
      <c r="F5851">
        <v>560</v>
      </c>
      <c r="G5851">
        <v>590</v>
      </c>
      <c r="H5851">
        <v>467</v>
      </c>
      <c r="I5851" s="1" t="s">
        <v>5992</v>
      </c>
      <c r="J5851" s="1" t="s">
        <v>5993</v>
      </c>
      <c r="K5851" s="1" t="s">
        <v>25</v>
      </c>
      <c r="L5851">
        <v>-1.7</v>
      </c>
      <c r="M5851" s="1" t="s">
        <v>23</v>
      </c>
      <c r="N5851" s="1" t="s">
        <v>230</v>
      </c>
      <c r="O5851" s="1" t="s">
        <v>6025</v>
      </c>
      <c r="P5851" s="3" t="s">
        <v>28</v>
      </c>
      <c r="Q5851" s="37">
        <v>0.99165940200000002</v>
      </c>
      <c r="R5851" s="1" t="s">
        <v>231</v>
      </c>
      <c r="S5851" s="13">
        <f t="shared" si="250"/>
        <v>-1.7</v>
      </c>
    </row>
    <row r="5852" spans="1:19">
      <c r="A5852" s="18" t="s">
        <v>5991</v>
      </c>
      <c r="B5852" s="1" t="s">
        <v>6158</v>
      </c>
      <c r="C5852" s="1" t="s">
        <v>4081</v>
      </c>
      <c r="D5852" s="1" t="s">
        <v>5060</v>
      </c>
      <c r="E5852" s="1" t="s">
        <v>25</v>
      </c>
      <c r="F5852">
        <v>560</v>
      </c>
      <c r="G5852">
        <v>590</v>
      </c>
      <c r="H5852">
        <v>479.3</v>
      </c>
      <c r="I5852" s="1" t="s">
        <v>5992</v>
      </c>
      <c r="J5852" s="1" t="s">
        <v>5993</v>
      </c>
      <c r="K5852" s="1" t="s">
        <v>25</v>
      </c>
      <c r="L5852">
        <v>-1.85</v>
      </c>
      <c r="M5852" s="1" t="s">
        <v>23</v>
      </c>
      <c r="N5852" s="1" t="s">
        <v>230</v>
      </c>
      <c r="O5852" s="1" t="s">
        <v>6026</v>
      </c>
      <c r="P5852" s="3" t="s">
        <v>28</v>
      </c>
      <c r="Q5852" s="37">
        <v>1.3558629719999999</v>
      </c>
      <c r="R5852" s="1" t="s">
        <v>231</v>
      </c>
      <c r="S5852" s="13">
        <f t="shared" si="250"/>
        <v>-1.85</v>
      </c>
    </row>
    <row r="5853" spans="1:19">
      <c r="A5853" s="18" t="s">
        <v>5991</v>
      </c>
      <c r="B5853" s="1" t="s">
        <v>6159</v>
      </c>
      <c r="C5853" s="1" t="s">
        <v>4081</v>
      </c>
      <c r="D5853" s="1" t="s">
        <v>5060</v>
      </c>
      <c r="E5853" s="1" t="s">
        <v>25</v>
      </c>
      <c r="F5853">
        <v>560</v>
      </c>
      <c r="G5853">
        <v>590</v>
      </c>
      <c r="H5853">
        <v>489.4</v>
      </c>
      <c r="I5853" s="1" t="s">
        <v>5992</v>
      </c>
      <c r="J5853" s="1" t="s">
        <v>5993</v>
      </c>
      <c r="K5853" s="1" t="s">
        <v>25</v>
      </c>
      <c r="L5853">
        <v>-1.68</v>
      </c>
      <c r="M5853" s="1" t="s">
        <v>23</v>
      </c>
      <c r="N5853" s="1" t="s">
        <v>230</v>
      </c>
      <c r="O5853" s="1" t="s">
        <v>6027</v>
      </c>
      <c r="P5853" s="3" t="s">
        <v>28</v>
      </c>
      <c r="Q5853" s="37">
        <v>1.4286889810000001</v>
      </c>
      <c r="R5853" s="1" t="s">
        <v>231</v>
      </c>
      <c r="S5853" s="13">
        <f t="shared" si="250"/>
        <v>-1.68</v>
      </c>
    </row>
    <row r="5854" spans="1:19">
      <c r="A5854" s="18" t="s">
        <v>5991</v>
      </c>
      <c r="B5854" s="1" t="s">
        <v>6160</v>
      </c>
      <c r="C5854" s="1" t="s">
        <v>4081</v>
      </c>
      <c r="D5854" s="1" t="s">
        <v>5060</v>
      </c>
      <c r="E5854" s="1" t="s">
        <v>25</v>
      </c>
      <c r="F5854">
        <v>560</v>
      </c>
      <c r="G5854">
        <v>590</v>
      </c>
      <c r="H5854">
        <v>498.8</v>
      </c>
      <c r="I5854" s="1" t="s">
        <v>5992</v>
      </c>
      <c r="J5854" s="1" t="s">
        <v>5993</v>
      </c>
      <c r="K5854" s="1" t="s">
        <v>25</v>
      </c>
      <c r="L5854">
        <v>-1.62</v>
      </c>
      <c r="M5854" s="1" t="s">
        <v>23</v>
      </c>
      <c r="N5854" s="1" t="s">
        <v>230</v>
      </c>
      <c r="O5854" s="1" t="s">
        <v>6028</v>
      </c>
      <c r="P5854" s="3" t="s">
        <v>28</v>
      </c>
      <c r="Q5854" s="37">
        <v>1.747324125</v>
      </c>
      <c r="R5854" s="1" t="s">
        <v>231</v>
      </c>
      <c r="S5854" s="13">
        <f t="shared" si="250"/>
        <v>-1.62</v>
      </c>
    </row>
    <row r="5855" spans="1:19">
      <c r="A5855" s="18" t="s">
        <v>5991</v>
      </c>
      <c r="B5855" s="1" t="s">
        <v>6161</v>
      </c>
      <c r="C5855" s="1" t="s">
        <v>4081</v>
      </c>
      <c r="D5855" s="1" t="s">
        <v>5060</v>
      </c>
      <c r="E5855" s="1" t="s">
        <v>25</v>
      </c>
      <c r="F5855">
        <v>560</v>
      </c>
      <c r="G5855">
        <v>590</v>
      </c>
      <c r="H5855">
        <v>531.6</v>
      </c>
      <c r="I5855" s="1" t="s">
        <v>5992</v>
      </c>
      <c r="J5855" s="1" t="s">
        <v>5993</v>
      </c>
      <c r="K5855" s="1" t="s">
        <v>25</v>
      </c>
      <c r="L5855">
        <v>-1.62</v>
      </c>
      <c r="M5855" s="1" t="s">
        <v>23</v>
      </c>
      <c r="N5855" s="1" t="s">
        <v>230</v>
      </c>
      <c r="O5855" s="1" t="s">
        <v>6029</v>
      </c>
      <c r="P5855" s="3" t="s">
        <v>28</v>
      </c>
      <c r="Q5855" s="37">
        <v>1.461593959</v>
      </c>
      <c r="R5855" s="1" t="s">
        <v>231</v>
      </c>
      <c r="S5855" s="13">
        <f t="shared" si="250"/>
        <v>-1.62</v>
      </c>
    </row>
    <row r="5856" spans="1:19">
      <c r="A5856" s="18" t="s">
        <v>5991</v>
      </c>
      <c r="B5856" s="1" t="s">
        <v>6162</v>
      </c>
      <c r="C5856" s="1" t="s">
        <v>4081</v>
      </c>
      <c r="D5856" s="1" t="s">
        <v>5060</v>
      </c>
      <c r="E5856" s="1" t="s">
        <v>25</v>
      </c>
      <c r="F5856">
        <v>560</v>
      </c>
      <c r="G5856">
        <v>590</v>
      </c>
      <c r="H5856">
        <v>558.4</v>
      </c>
      <c r="I5856" s="1" t="s">
        <v>5992</v>
      </c>
      <c r="J5856" s="1" t="s">
        <v>5993</v>
      </c>
      <c r="K5856" s="1" t="s">
        <v>25</v>
      </c>
      <c r="L5856">
        <v>-1.46</v>
      </c>
      <c r="M5856" s="1" t="s">
        <v>23</v>
      </c>
      <c r="N5856" s="1" t="s">
        <v>230</v>
      </c>
      <c r="O5856" s="1" t="s">
        <v>6025</v>
      </c>
      <c r="P5856" s="3" t="s">
        <v>28</v>
      </c>
      <c r="Q5856" s="37">
        <v>1.0741908149999999</v>
      </c>
      <c r="R5856" s="1" t="s">
        <v>231</v>
      </c>
      <c r="S5856" s="13">
        <f t="shared" si="250"/>
        <v>-1.46</v>
      </c>
    </row>
    <row r="5857" spans="1:19">
      <c r="A5857" s="18" t="s">
        <v>5991</v>
      </c>
      <c r="B5857" s="1" t="s">
        <v>6163</v>
      </c>
      <c r="C5857" s="1" t="s">
        <v>4081</v>
      </c>
      <c r="D5857" s="1" t="s">
        <v>5060</v>
      </c>
      <c r="E5857" s="1" t="s">
        <v>25</v>
      </c>
      <c r="F5857">
        <v>560</v>
      </c>
      <c r="G5857">
        <v>590</v>
      </c>
      <c r="H5857">
        <v>568.70000000000005</v>
      </c>
      <c r="I5857" s="1" t="s">
        <v>5992</v>
      </c>
      <c r="J5857" s="1" t="s">
        <v>5993</v>
      </c>
      <c r="K5857" s="1" t="s">
        <v>25</v>
      </c>
      <c r="L5857">
        <v>-1.55</v>
      </c>
      <c r="M5857" s="1" t="s">
        <v>23</v>
      </c>
      <c r="N5857" s="1" t="s">
        <v>230</v>
      </c>
      <c r="O5857" s="1" t="s">
        <v>6011</v>
      </c>
      <c r="P5857" s="3" t="s">
        <v>28</v>
      </c>
      <c r="Q5857" s="37">
        <v>0.74070688900000003</v>
      </c>
      <c r="R5857" s="1" t="s">
        <v>231</v>
      </c>
      <c r="S5857" s="13">
        <f t="shared" si="250"/>
        <v>-1.55</v>
      </c>
    </row>
    <row r="5858" spans="1:19">
      <c r="A5858" s="18" t="s">
        <v>5991</v>
      </c>
      <c r="B5858" s="1" t="s">
        <v>6164</v>
      </c>
      <c r="C5858" s="1" t="s">
        <v>4081</v>
      </c>
      <c r="D5858" s="1" t="s">
        <v>5060</v>
      </c>
      <c r="E5858" s="1" t="s">
        <v>25</v>
      </c>
      <c r="F5858">
        <v>560</v>
      </c>
      <c r="G5858">
        <v>590</v>
      </c>
      <c r="H5858">
        <v>582</v>
      </c>
      <c r="I5858" s="1" t="s">
        <v>5992</v>
      </c>
      <c r="J5858" s="1" t="s">
        <v>5993</v>
      </c>
      <c r="K5858" s="1" t="s">
        <v>25</v>
      </c>
      <c r="L5858">
        <v>-1.29</v>
      </c>
      <c r="M5858" s="1" t="s">
        <v>23</v>
      </c>
      <c r="N5858" s="1" t="s">
        <v>230</v>
      </c>
      <c r="O5858" s="1" t="s">
        <v>6030</v>
      </c>
      <c r="P5858" s="3" t="s">
        <v>28</v>
      </c>
      <c r="Q5858" s="37">
        <v>0.57375721400000002</v>
      </c>
      <c r="R5858" s="1" t="s">
        <v>231</v>
      </c>
      <c r="S5858" s="13">
        <f t="shared" si="250"/>
        <v>-1.29</v>
      </c>
    </row>
    <row r="5859" spans="1:19">
      <c r="A5859" s="18" t="s">
        <v>5991</v>
      </c>
      <c r="B5859" s="1" t="s">
        <v>6165</v>
      </c>
      <c r="C5859" s="1" t="s">
        <v>4081</v>
      </c>
      <c r="D5859" s="1" t="s">
        <v>5060</v>
      </c>
      <c r="E5859" s="1" t="s">
        <v>25</v>
      </c>
      <c r="F5859">
        <v>560</v>
      </c>
      <c r="G5859">
        <v>590</v>
      </c>
      <c r="H5859">
        <v>590.5</v>
      </c>
      <c r="I5859" s="1" t="s">
        <v>5992</v>
      </c>
      <c r="J5859" s="1" t="s">
        <v>5993</v>
      </c>
      <c r="K5859" s="1" t="s">
        <v>25</v>
      </c>
      <c r="L5859">
        <v>-1.22</v>
      </c>
      <c r="M5859" s="1" t="s">
        <v>23</v>
      </c>
      <c r="N5859" s="1" t="s">
        <v>230</v>
      </c>
      <c r="O5859" s="1" t="s">
        <v>6031</v>
      </c>
      <c r="P5859" s="3" t="s">
        <v>28</v>
      </c>
      <c r="Q5859" s="37">
        <v>0.43412046300000001</v>
      </c>
      <c r="R5859" s="1" t="s">
        <v>231</v>
      </c>
      <c r="S5859" s="13">
        <f t="shared" si="250"/>
        <v>-1.22</v>
      </c>
    </row>
    <row r="5860" spans="1:19">
      <c r="A5860" s="18" t="s">
        <v>5991</v>
      </c>
      <c r="B5860" s="1" t="s">
        <v>6166</v>
      </c>
      <c r="C5860" s="1" t="s">
        <v>4081</v>
      </c>
      <c r="D5860" s="1" t="s">
        <v>5060</v>
      </c>
      <c r="E5860" s="1" t="s">
        <v>25</v>
      </c>
      <c r="F5860">
        <v>560</v>
      </c>
      <c r="G5860">
        <v>590</v>
      </c>
      <c r="H5860">
        <v>599</v>
      </c>
      <c r="I5860" s="1" t="s">
        <v>5992</v>
      </c>
      <c r="J5860" s="1" t="s">
        <v>5993</v>
      </c>
      <c r="K5860" s="1" t="s">
        <v>25</v>
      </c>
      <c r="L5860">
        <v>-1.24</v>
      </c>
      <c r="M5860" s="1" t="s">
        <v>23</v>
      </c>
      <c r="N5860" s="1" t="s">
        <v>230</v>
      </c>
      <c r="O5860" s="1" t="s">
        <v>6032</v>
      </c>
      <c r="P5860" s="3" t="s">
        <v>28</v>
      </c>
      <c r="Q5860" s="37">
        <v>0.40791830899999998</v>
      </c>
      <c r="R5860" s="1" t="s">
        <v>231</v>
      </c>
      <c r="S5860" s="13">
        <f t="shared" si="250"/>
        <v>-1.24</v>
      </c>
    </row>
    <row r="5861" spans="1:19">
      <c r="A5861" s="18" t="s">
        <v>5991</v>
      </c>
      <c r="B5861" s="1" t="s">
        <v>6167</v>
      </c>
      <c r="C5861" s="1" t="s">
        <v>4081</v>
      </c>
      <c r="D5861" s="1" t="s">
        <v>5060</v>
      </c>
      <c r="E5861" s="1" t="s">
        <v>25</v>
      </c>
      <c r="F5861">
        <v>560</v>
      </c>
      <c r="G5861">
        <v>590</v>
      </c>
      <c r="H5861">
        <v>619.79999999999995</v>
      </c>
      <c r="I5861" s="1" t="s">
        <v>5992</v>
      </c>
      <c r="J5861" s="1" t="s">
        <v>5993</v>
      </c>
      <c r="K5861" s="1" t="s">
        <v>25</v>
      </c>
      <c r="L5861">
        <v>-1.1499999999999999</v>
      </c>
      <c r="M5861" s="1" t="s">
        <v>23</v>
      </c>
      <c r="N5861" s="1" t="s">
        <v>230</v>
      </c>
      <c r="O5861" s="1" t="s">
        <v>6032</v>
      </c>
      <c r="P5861" s="3" t="s">
        <v>28</v>
      </c>
      <c r="Q5861" s="37">
        <v>0.392007775</v>
      </c>
      <c r="R5861" s="1" t="s">
        <v>231</v>
      </c>
      <c r="S5861" s="13">
        <f t="shared" si="250"/>
        <v>-1.1499999999999999</v>
      </c>
    </row>
    <row r="5862" spans="1:19">
      <c r="A5862" s="18" t="s">
        <v>5991</v>
      </c>
      <c r="B5862" s="1" t="s">
        <v>6168</v>
      </c>
      <c r="C5862" s="1" t="s">
        <v>4081</v>
      </c>
      <c r="D5862" s="1" t="s">
        <v>5060</v>
      </c>
      <c r="E5862" s="1" t="s">
        <v>25</v>
      </c>
      <c r="F5862">
        <v>560</v>
      </c>
      <c r="G5862">
        <v>590</v>
      </c>
      <c r="H5862">
        <v>629.29999999999995</v>
      </c>
      <c r="I5862" s="1" t="s">
        <v>5992</v>
      </c>
      <c r="J5862" s="1" t="s">
        <v>5993</v>
      </c>
      <c r="K5862" s="1" t="s">
        <v>25</v>
      </c>
      <c r="L5862">
        <v>-0.92</v>
      </c>
      <c r="M5862" s="1" t="s">
        <v>23</v>
      </c>
      <c r="N5862" s="1" t="s">
        <v>230</v>
      </c>
      <c r="O5862" s="1" t="s">
        <v>6033</v>
      </c>
      <c r="P5862" s="3" t="s">
        <v>28</v>
      </c>
      <c r="Q5862" s="37">
        <v>6.9355430999999995E-2</v>
      </c>
      <c r="R5862" s="1" t="s">
        <v>231</v>
      </c>
      <c r="S5862" s="13">
        <f t="shared" si="250"/>
        <v>-0.92</v>
      </c>
    </row>
    <row r="5863" spans="1:19">
      <c r="A5863" s="18" t="s">
        <v>5991</v>
      </c>
      <c r="B5863" s="1" t="s">
        <v>6169</v>
      </c>
      <c r="C5863" s="1" t="s">
        <v>4081</v>
      </c>
      <c r="D5863" s="1" t="s">
        <v>5060</v>
      </c>
      <c r="E5863" s="1" t="s">
        <v>25</v>
      </c>
      <c r="F5863">
        <v>560</v>
      </c>
      <c r="G5863">
        <v>590</v>
      </c>
      <c r="H5863">
        <v>667.9</v>
      </c>
      <c r="I5863" s="1" t="s">
        <v>5992</v>
      </c>
      <c r="J5863" s="1" t="s">
        <v>5993</v>
      </c>
      <c r="K5863" s="1" t="s">
        <v>25</v>
      </c>
      <c r="L5863">
        <v>-1.17</v>
      </c>
      <c r="M5863" s="1" t="s">
        <v>23</v>
      </c>
      <c r="N5863" s="1" t="s">
        <v>230</v>
      </c>
      <c r="O5863" s="1" t="s">
        <v>6034</v>
      </c>
      <c r="P5863" s="3" t="s">
        <v>28</v>
      </c>
      <c r="Q5863" s="37">
        <v>0.12156312599999999</v>
      </c>
      <c r="R5863" s="1" t="s">
        <v>231</v>
      </c>
      <c r="S5863" s="13">
        <f t="shared" si="250"/>
        <v>-1.17</v>
      </c>
    </row>
    <row r="5864" spans="1:19">
      <c r="A5864" s="18" t="s">
        <v>5991</v>
      </c>
      <c r="B5864" s="1" t="s">
        <v>6170</v>
      </c>
      <c r="C5864" s="1" t="s">
        <v>4081</v>
      </c>
      <c r="D5864" s="1" t="s">
        <v>5060</v>
      </c>
      <c r="E5864" s="1" t="s">
        <v>25</v>
      </c>
      <c r="F5864">
        <v>560</v>
      </c>
      <c r="G5864">
        <v>590</v>
      </c>
      <c r="H5864">
        <v>7.5</v>
      </c>
      <c r="I5864" s="1" t="s">
        <v>5992</v>
      </c>
      <c r="J5864" s="1" t="s">
        <v>5993</v>
      </c>
      <c r="K5864" s="1" t="s">
        <v>25</v>
      </c>
      <c r="L5864">
        <v>-0.92</v>
      </c>
      <c r="M5864" s="1" t="s">
        <v>23</v>
      </c>
      <c r="N5864" s="1" t="s">
        <v>230</v>
      </c>
      <c r="O5864" s="1" t="s">
        <v>6035</v>
      </c>
      <c r="P5864" s="3" t="s">
        <v>28</v>
      </c>
      <c r="Q5864" s="37">
        <v>0.248325353</v>
      </c>
      <c r="R5864" s="1" t="s">
        <v>231</v>
      </c>
      <c r="S5864" s="13">
        <f t="shared" si="250"/>
        <v>-0.92</v>
      </c>
    </row>
    <row r="5865" spans="1:19">
      <c r="A5865" s="18" t="s">
        <v>5991</v>
      </c>
      <c r="B5865" s="1" t="s">
        <v>6171</v>
      </c>
      <c r="C5865" s="1" t="s">
        <v>4081</v>
      </c>
      <c r="D5865" s="1" t="s">
        <v>5060</v>
      </c>
      <c r="E5865" s="1" t="s">
        <v>25</v>
      </c>
      <c r="F5865">
        <v>560</v>
      </c>
      <c r="G5865">
        <v>590</v>
      </c>
      <c r="H5865">
        <v>23</v>
      </c>
      <c r="I5865" s="1" t="s">
        <v>5992</v>
      </c>
      <c r="J5865" s="1" t="s">
        <v>5993</v>
      </c>
      <c r="K5865" s="1" t="s">
        <v>25</v>
      </c>
      <c r="L5865">
        <v>-0.92</v>
      </c>
      <c r="M5865" s="1" t="s">
        <v>23</v>
      </c>
      <c r="N5865" s="1" t="s">
        <v>230</v>
      </c>
      <c r="O5865" s="1" t="s">
        <v>6036</v>
      </c>
      <c r="P5865" s="3" t="s">
        <v>28</v>
      </c>
      <c r="Q5865" s="37">
        <v>0.33735795000000002</v>
      </c>
      <c r="R5865" s="1" t="s">
        <v>231</v>
      </c>
      <c r="S5865" s="13">
        <f t="shared" si="250"/>
        <v>-0.92</v>
      </c>
    </row>
    <row r="5866" spans="1:19">
      <c r="A5866" s="18" t="s">
        <v>5991</v>
      </c>
      <c r="B5866" s="1" t="s">
        <v>6172</v>
      </c>
      <c r="C5866" s="1" t="s">
        <v>4081</v>
      </c>
      <c r="D5866" s="1" t="s">
        <v>5060</v>
      </c>
      <c r="E5866" s="1" t="s">
        <v>25</v>
      </c>
      <c r="F5866">
        <v>560</v>
      </c>
      <c r="G5866">
        <v>590</v>
      </c>
      <c r="H5866">
        <v>51.8</v>
      </c>
      <c r="I5866" s="1" t="s">
        <v>5992</v>
      </c>
      <c r="J5866" s="1" t="s">
        <v>5993</v>
      </c>
      <c r="K5866" s="1" t="s">
        <v>25</v>
      </c>
      <c r="L5866">
        <v>-0.78</v>
      </c>
      <c r="M5866" s="1" t="s">
        <v>23</v>
      </c>
      <c r="N5866" s="1" t="s">
        <v>230</v>
      </c>
      <c r="O5866" s="1" t="s">
        <v>5999</v>
      </c>
      <c r="P5866" s="3" t="s">
        <v>28</v>
      </c>
      <c r="Q5866" s="37">
        <v>0.20656828399999999</v>
      </c>
      <c r="R5866" s="1" t="s">
        <v>231</v>
      </c>
      <c r="S5866" s="13">
        <f t="shared" si="250"/>
        <v>-0.78</v>
      </c>
    </row>
    <row r="5867" spans="1:19">
      <c r="A5867" s="18" t="s">
        <v>5991</v>
      </c>
      <c r="B5867" s="1" t="s">
        <v>6173</v>
      </c>
      <c r="C5867" s="1" t="s">
        <v>4081</v>
      </c>
      <c r="D5867" s="1" t="s">
        <v>5060</v>
      </c>
      <c r="E5867" s="1" t="s">
        <v>25</v>
      </c>
      <c r="F5867">
        <v>560</v>
      </c>
      <c r="G5867">
        <v>590</v>
      </c>
      <c r="H5867">
        <v>70.099999999999994</v>
      </c>
      <c r="I5867" s="1" t="s">
        <v>5992</v>
      </c>
      <c r="J5867" s="1" t="s">
        <v>5993</v>
      </c>
      <c r="K5867" s="1" t="s">
        <v>25</v>
      </c>
      <c r="L5867">
        <v>-0.81</v>
      </c>
      <c r="M5867" s="1" t="s">
        <v>23</v>
      </c>
      <c r="N5867" s="1" t="s">
        <v>230</v>
      </c>
      <c r="O5867" s="1" t="s">
        <v>6035</v>
      </c>
      <c r="P5867" s="3" t="s">
        <v>28</v>
      </c>
      <c r="Q5867" s="37">
        <v>0.24651121400000001</v>
      </c>
      <c r="R5867" s="1" t="s">
        <v>231</v>
      </c>
      <c r="S5867" s="13">
        <f t="shared" si="250"/>
        <v>-0.81</v>
      </c>
    </row>
    <row r="5868" spans="1:19">
      <c r="A5868" s="18" t="s">
        <v>5991</v>
      </c>
      <c r="B5868" s="1" t="s">
        <v>6174</v>
      </c>
      <c r="C5868" s="1" t="s">
        <v>4081</v>
      </c>
      <c r="D5868" s="1" t="s">
        <v>5060</v>
      </c>
      <c r="E5868" s="1" t="s">
        <v>25</v>
      </c>
      <c r="F5868">
        <v>560</v>
      </c>
      <c r="G5868">
        <v>590</v>
      </c>
      <c r="H5868">
        <v>90.8</v>
      </c>
      <c r="I5868" s="1" t="s">
        <v>5992</v>
      </c>
      <c r="J5868" s="1" t="s">
        <v>5993</v>
      </c>
      <c r="K5868" s="1" t="s">
        <v>25</v>
      </c>
      <c r="L5868">
        <v>-1.01</v>
      </c>
      <c r="M5868" s="1" t="s">
        <v>23</v>
      </c>
      <c r="N5868" s="1" t="s">
        <v>230</v>
      </c>
      <c r="O5868" s="1" t="s">
        <v>6037</v>
      </c>
      <c r="P5868" s="3" t="s">
        <v>28</v>
      </c>
      <c r="Q5868" s="37">
        <v>0.31913297899999998</v>
      </c>
      <c r="R5868" s="1" t="s">
        <v>231</v>
      </c>
      <c r="S5868" s="13">
        <f t="shared" si="250"/>
        <v>-1.01</v>
      </c>
    </row>
    <row r="5869" spans="1:19">
      <c r="A5869" s="18" t="s">
        <v>5991</v>
      </c>
      <c r="B5869" s="1" t="s">
        <v>6175</v>
      </c>
      <c r="C5869" s="1" t="s">
        <v>4081</v>
      </c>
      <c r="D5869" s="1" t="s">
        <v>5060</v>
      </c>
      <c r="E5869" s="1" t="s">
        <v>25</v>
      </c>
      <c r="F5869">
        <v>560</v>
      </c>
      <c r="G5869">
        <v>590</v>
      </c>
      <c r="H5869">
        <v>117.9</v>
      </c>
      <c r="I5869" s="1" t="s">
        <v>5992</v>
      </c>
      <c r="J5869" s="1" t="s">
        <v>5993</v>
      </c>
      <c r="K5869" s="1" t="s">
        <v>25</v>
      </c>
      <c r="L5869">
        <v>-1.27</v>
      </c>
      <c r="M5869" s="1" t="s">
        <v>23</v>
      </c>
      <c r="N5869" s="1" t="s">
        <v>230</v>
      </c>
      <c r="O5869" s="1" t="s">
        <v>6038</v>
      </c>
      <c r="P5869" s="3" t="s">
        <v>28</v>
      </c>
      <c r="Q5869" s="37">
        <v>0.78222411400000003</v>
      </c>
      <c r="R5869" s="1" t="s">
        <v>231</v>
      </c>
      <c r="S5869" s="13">
        <f t="shared" si="250"/>
        <v>-1.27</v>
      </c>
    </row>
    <row r="5870" spans="1:19">
      <c r="A5870" s="18" t="s">
        <v>5991</v>
      </c>
      <c r="B5870" s="1" t="s">
        <v>6176</v>
      </c>
      <c r="C5870" s="1" t="s">
        <v>4081</v>
      </c>
      <c r="D5870" s="1" t="s">
        <v>5060</v>
      </c>
      <c r="E5870" s="1" t="s">
        <v>25</v>
      </c>
      <c r="F5870">
        <v>560</v>
      </c>
      <c r="G5870">
        <v>590</v>
      </c>
      <c r="H5870">
        <v>123.5</v>
      </c>
      <c r="I5870" s="1" t="s">
        <v>5992</v>
      </c>
      <c r="J5870" s="1" t="s">
        <v>5993</v>
      </c>
      <c r="K5870" s="1" t="s">
        <v>25</v>
      </c>
      <c r="L5870">
        <v>-1.42</v>
      </c>
      <c r="M5870" s="1" t="s">
        <v>23</v>
      </c>
      <c r="N5870" s="1" t="s">
        <v>230</v>
      </c>
      <c r="O5870" s="1" t="s">
        <v>6039</v>
      </c>
      <c r="P5870" s="3" t="s">
        <v>28</v>
      </c>
      <c r="Q5870" s="37">
        <v>0.73387678199999995</v>
      </c>
      <c r="R5870" s="1" t="s">
        <v>231</v>
      </c>
      <c r="S5870" s="13">
        <f t="shared" si="250"/>
        <v>-1.42</v>
      </c>
    </row>
    <row r="5871" spans="1:19">
      <c r="A5871" s="18" t="s">
        <v>5991</v>
      </c>
      <c r="B5871" s="1" t="s">
        <v>6177</v>
      </c>
      <c r="C5871" s="1" t="s">
        <v>4081</v>
      </c>
      <c r="D5871" s="1" t="s">
        <v>5060</v>
      </c>
      <c r="E5871" s="1" t="s">
        <v>25</v>
      </c>
      <c r="F5871">
        <v>560</v>
      </c>
      <c r="G5871">
        <v>590</v>
      </c>
      <c r="H5871">
        <v>136.19999999999999</v>
      </c>
      <c r="I5871" s="1" t="s">
        <v>5992</v>
      </c>
      <c r="J5871" s="1" t="s">
        <v>5993</v>
      </c>
      <c r="K5871" s="1" t="s">
        <v>25</v>
      </c>
      <c r="L5871">
        <v>-1.59</v>
      </c>
      <c r="M5871" s="1" t="s">
        <v>23</v>
      </c>
      <c r="N5871" s="1" t="s">
        <v>230</v>
      </c>
      <c r="O5871" s="1" t="s">
        <v>6040</v>
      </c>
      <c r="P5871" s="3" t="s">
        <v>28</v>
      </c>
      <c r="Q5871" s="37">
        <v>0.718122441</v>
      </c>
      <c r="R5871" s="1" t="s">
        <v>231</v>
      </c>
      <c r="S5871" s="13">
        <f t="shared" si="250"/>
        <v>-1.59</v>
      </c>
    </row>
    <row r="5872" spans="1:19">
      <c r="A5872" s="18" t="s">
        <v>5991</v>
      </c>
      <c r="B5872" s="1" t="s">
        <v>6178</v>
      </c>
      <c r="C5872" s="1" t="s">
        <v>4081</v>
      </c>
      <c r="D5872" s="1" t="s">
        <v>5060</v>
      </c>
      <c r="E5872" s="1" t="s">
        <v>25</v>
      </c>
      <c r="F5872">
        <v>560</v>
      </c>
      <c r="G5872">
        <v>590</v>
      </c>
      <c r="H5872">
        <v>149.5</v>
      </c>
      <c r="I5872" s="1" t="s">
        <v>5992</v>
      </c>
      <c r="J5872" s="1" t="s">
        <v>5993</v>
      </c>
      <c r="K5872" s="1" t="s">
        <v>25</v>
      </c>
      <c r="L5872">
        <v>-1.57</v>
      </c>
      <c r="M5872" s="1" t="s">
        <v>23</v>
      </c>
      <c r="N5872" s="1" t="s">
        <v>230</v>
      </c>
      <c r="O5872" s="1" t="s">
        <v>6041</v>
      </c>
      <c r="P5872" s="3" t="s">
        <v>28</v>
      </c>
      <c r="Q5872" s="37">
        <v>0.82443792000000005</v>
      </c>
      <c r="R5872" s="1" t="s">
        <v>231</v>
      </c>
      <c r="S5872" s="13">
        <f t="shared" si="250"/>
        <v>-1.57</v>
      </c>
    </row>
    <row r="5873" spans="1:19">
      <c r="A5873" s="18" t="s">
        <v>5991</v>
      </c>
      <c r="B5873" s="1" t="s">
        <v>6179</v>
      </c>
      <c r="C5873" s="1" t="s">
        <v>4081</v>
      </c>
      <c r="D5873" s="1" t="s">
        <v>5060</v>
      </c>
      <c r="E5873" s="1" t="s">
        <v>25</v>
      </c>
      <c r="F5873">
        <v>560</v>
      </c>
      <c r="G5873">
        <v>590</v>
      </c>
      <c r="H5873">
        <v>168.4</v>
      </c>
      <c r="I5873" s="1" t="s">
        <v>5992</v>
      </c>
      <c r="J5873" s="1" t="s">
        <v>5993</v>
      </c>
      <c r="K5873" s="1" t="s">
        <v>25</v>
      </c>
      <c r="L5873">
        <v>-1.61</v>
      </c>
      <c r="M5873" s="1" t="s">
        <v>23</v>
      </c>
      <c r="N5873" s="1" t="s">
        <v>230</v>
      </c>
      <c r="O5873" s="1" t="s">
        <v>6011</v>
      </c>
      <c r="P5873" s="3" t="s">
        <v>28</v>
      </c>
      <c r="Q5873" s="37">
        <v>0.70723356999999998</v>
      </c>
      <c r="R5873" s="1" t="s">
        <v>231</v>
      </c>
      <c r="S5873" s="13">
        <f t="shared" si="250"/>
        <v>-1.61</v>
      </c>
    </row>
    <row r="5874" spans="1:19">
      <c r="A5874" s="18" t="s">
        <v>5991</v>
      </c>
      <c r="B5874" s="1" t="s">
        <v>6180</v>
      </c>
      <c r="C5874" s="1" t="s">
        <v>4081</v>
      </c>
      <c r="D5874" s="1" t="s">
        <v>5060</v>
      </c>
      <c r="E5874" s="1" t="s">
        <v>25</v>
      </c>
      <c r="F5874">
        <v>560</v>
      </c>
      <c r="G5874">
        <v>590</v>
      </c>
      <c r="H5874">
        <v>178.7</v>
      </c>
      <c r="I5874" s="1" t="s">
        <v>5992</v>
      </c>
      <c r="J5874" s="1" t="s">
        <v>5993</v>
      </c>
      <c r="K5874" s="1" t="s">
        <v>25</v>
      </c>
      <c r="L5874">
        <v>-1.63</v>
      </c>
      <c r="M5874" s="1" t="s">
        <v>23</v>
      </c>
      <c r="N5874" s="1" t="s">
        <v>230</v>
      </c>
      <c r="O5874" s="1" t="s">
        <v>6039</v>
      </c>
      <c r="P5874" s="3" t="s">
        <v>28</v>
      </c>
      <c r="Q5874" s="37">
        <v>0.73289333700000003</v>
      </c>
      <c r="R5874" s="1" t="s">
        <v>231</v>
      </c>
      <c r="S5874" s="13">
        <f t="shared" si="250"/>
        <v>-1.63</v>
      </c>
    </row>
    <row r="5875" spans="1:19">
      <c r="A5875" s="18" t="s">
        <v>5991</v>
      </c>
      <c r="B5875" s="1" t="s">
        <v>6181</v>
      </c>
      <c r="C5875" s="1" t="s">
        <v>4081</v>
      </c>
      <c r="D5875" s="1" t="s">
        <v>5060</v>
      </c>
      <c r="E5875" s="1" t="s">
        <v>25</v>
      </c>
      <c r="F5875">
        <v>560</v>
      </c>
      <c r="G5875">
        <v>590</v>
      </c>
      <c r="H5875">
        <v>193.6</v>
      </c>
      <c r="I5875" s="1" t="s">
        <v>5992</v>
      </c>
      <c r="J5875" s="1" t="s">
        <v>5993</v>
      </c>
      <c r="K5875" s="1" t="s">
        <v>25</v>
      </c>
      <c r="L5875">
        <v>-1.59</v>
      </c>
      <c r="M5875" s="1" t="s">
        <v>23</v>
      </c>
      <c r="N5875" s="1" t="s">
        <v>230</v>
      </c>
      <c r="O5875" s="1" t="s">
        <v>6042</v>
      </c>
      <c r="P5875" s="3" t="s">
        <v>28</v>
      </c>
      <c r="Q5875" s="37">
        <v>0.96914228599999996</v>
      </c>
      <c r="R5875" s="1" t="s">
        <v>231</v>
      </c>
      <c r="S5875" s="13">
        <f t="shared" si="250"/>
        <v>-1.59</v>
      </c>
    </row>
    <row r="5876" spans="1:19">
      <c r="A5876" s="18" t="s">
        <v>5991</v>
      </c>
      <c r="B5876" s="1" t="s">
        <v>6182</v>
      </c>
      <c r="C5876" s="1" t="s">
        <v>4081</v>
      </c>
      <c r="D5876" s="1" t="s">
        <v>5060</v>
      </c>
      <c r="E5876" s="1" t="s">
        <v>25</v>
      </c>
      <c r="F5876">
        <v>560</v>
      </c>
      <c r="G5876">
        <v>590</v>
      </c>
      <c r="H5876">
        <v>206.5</v>
      </c>
      <c r="I5876" s="1" t="s">
        <v>5992</v>
      </c>
      <c r="J5876" s="1" t="s">
        <v>5993</v>
      </c>
      <c r="K5876" s="1" t="s">
        <v>25</v>
      </c>
      <c r="L5876">
        <v>-1.55</v>
      </c>
      <c r="M5876" s="1" t="s">
        <v>23</v>
      </c>
      <c r="N5876" s="1" t="s">
        <v>230</v>
      </c>
      <c r="O5876" s="1" t="s">
        <v>6043</v>
      </c>
      <c r="P5876" s="3" t="s">
        <v>28</v>
      </c>
      <c r="Q5876" s="37">
        <v>0.78039449299999997</v>
      </c>
      <c r="R5876" s="1" t="s">
        <v>231</v>
      </c>
      <c r="S5876" s="13">
        <f t="shared" si="250"/>
        <v>-1.55</v>
      </c>
    </row>
    <row r="5877" spans="1:19">
      <c r="A5877" s="18" t="s">
        <v>5991</v>
      </c>
      <c r="B5877" s="1" t="s">
        <v>6183</v>
      </c>
      <c r="C5877" s="1" t="s">
        <v>4081</v>
      </c>
      <c r="D5877" s="1" t="s">
        <v>5060</v>
      </c>
      <c r="E5877" s="1" t="s">
        <v>25</v>
      </c>
      <c r="F5877">
        <v>560</v>
      </c>
      <c r="G5877">
        <v>590</v>
      </c>
      <c r="H5877">
        <v>220.9</v>
      </c>
      <c r="I5877" s="1" t="s">
        <v>5992</v>
      </c>
      <c r="J5877" s="1" t="s">
        <v>5993</v>
      </c>
      <c r="K5877" s="1" t="s">
        <v>25</v>
      </c>
      <c r="L5877">
        <v>-1.56</v>
      </c>
      <c r="M5877" s="1" t="s">
        <v>23</v>
      </c>
      <c r="N5877" s="1" t="s">
        <v>230</v>
      </c>
      <c r="O5877" s="1" t="s">
        <v>6044</v>
      </c>
      <c r="P5877" s="3" t="s">
        <v>28</v>
      </c>
      <c r="Q5877" s="37">
        <v>0.64388418999999997</v>
      </c>
      <c r="R5877" s="1" t="s">
        <v>231</v>
      </c>
      <c r="S5877" s="13">
        <f t="shared" si="250"/>
        <v>-1.56</v>
      </c>
    </row>
    <row r="5878" spans="1:19">
      <c r="A5878" s="18" t="s">
        <v>5991</v>
      </c>
      <c r="B5878" s="1" t="s">
        <v>6184</v>
      </c>
      <c r="C5878" s="1" t="s">
        <v>4081</v>
      </c>
      <c r="D5878" s="1" t="s">
        <v>5060</v>
      </c>
      <c r="E5878" s="1" t="s">
        <v>25</v>
      </c>
      <c r="F5878">
        <v>560</v>
      </c>
      <c r="G5878">
        <v>590</v>
      </c>
      <c r="H5878">
        <v>238.4</v>
      </c>
      <c r="I5878" s="1" t="s">
        <v>5992</v>
      </c>
      <c r="J5878" s="1" t="s">
        <v>5993</v>
      </c>
      <c r="K5878" s="1" t="s">
        <v>25</v>
      </c>
      <c r="L5878">
        <v>-1.55</v>
      </c>
      <c r="M5878" s="1" t="s">
        <v>23</v>
      </c>
      <c r="N5878" s="1" t="s">
        <v>230</v>
      </c>
      <c r="O5878" s="1" t="s">
        <v>6005</v>
      </c>
      <c r="P5878" s="3" t="s">
        <v>28</v>
      </c>
      <c r="Q5878" s="37">
        <v>0.63814124000000005</v>
      </c>
      <c r="R5878" s="1" t="s">
        <v>231</v>
      </c>
      <c r="S5878" s="13">
        <f t="shared" si="250"/>
        <v>-1.55</v>
      </c>
    </row>
    <row r="5879" spans="1:19">
      <c r="A5879" s="18" t="s">
        <v>5991</v>
      </c>
      <c r="B5879" s="1" t="s">
        <v>6185</v>
      </c>
      <c r="C5879" s="1" t="s">
        <v>4081</v>
      </c>
      <c r="D5879" s="1" t="s">
        <v>5060</v>
      </c>
      <c r="E5879" s="1" t="s">
        <v>25</v>
      </c>
      <c r="F5879">
        <v>560</v>
      </c>
      <c r="G5879">
        <v>590</v>
      </c>
      <c r="H5879">
        <v>255.1</v>
      </c>
      <c r="I5879" s="1" t="s">
        <v>5992</v>
      </c>
      <c r="J5879" s="1" t="s">
        <v>5993</v>
      </c>
      <c r="K5879" s="1" t="s">
        <v>25</v>
      </c>
      <c r="L5879">
        <v>-1.43</v>
      </c>
      <c r="M5879" s="1" t="s">
        <v>23</v>
      </c>
      <c r="N5879" s="1" t="s">
        <v>230</v>
      </c>
      <c r="O5879" s="1" t="s">
        <v>6006</v>
      </c>
      <c r="P5879" s="3" t="s">
        <v>28</v>
      </c>
      <c r="Q5879" s="37">
        <v>0.59276000299999998</v>
      </c>
      <c r="R5879" s="1" t="s">
        <v>231</v>
      </c>
      <c r="S5879" s="13">
        <f t="shared" si="250"/>
        <v>-1.43</v>
      </c>
    </row>
    <row r="5880" spans="1:19">
      <c r="A5880" s="18" t="s">
        <v>5991</v>
      </c>
      <c r="B5880" s="1" t="s">
        <v>6186</v>
      </c>
      <c r="C5880" s="1" t="s">
        <v>4081</v>
      </c>
      <c r="D5880" s="1" t="s">
        <v>5060</v>
      </c>
      <c r="E5880" s="1" t="s">
        <v>25</v>
      </c>
      <c r="F5880">
        <v>560</v>
      </c>
      <c r="G5880">
        <v>590</v>
      </c>
      <c r="H5880">
        <v>277.8</v>
      </c>
      <c r="I5880" s="1" t="s">
        <v>5992</v>
      </c>
      <c r="J5880" s="1" t="s">
        <v>5993</v>
      </c>
      <c r="K5880" s="1" t="s">
        <v>25</v>
      </c>
      <c r="L5880">
        <v>-1.54</v>
      </c>
      <c r="M5880" s="1" t="s">
        <v>23</v>
      </c>
      <c r="N5880" s="1" t="s">
        <v>230</v>
      </c>
      <c r="O5880" s="1" t="s">
        <v>6018</v>
      </c>
      <c r="P5880" s="3" t="s">
        <v>28</v>
      </c>
      <c r="Q5880" s="37">
        <v>0.75138485899999996</v>
      </c>
      <c r="R5880" s="1" t="s">
        <v>231</v>
      </c>
      <c r="S5880" s="13">
        <f t="shared" si="250"/>
        <v>-1.54</v>
      </c>
    </row>
    <row r="5881" spans="1:19">
      <c r="A5881" s="18" t="s">
        <v>5991</v>
      </c>
      <c r="B5881" s="1" t="s">
        <v>6187</v>
      </c>
      <c r="C5881" s="1" t="s">
        <v>4081</v>
      </c>
      <c r="D5881" s="1" t="s">
        <v>5060</v>
      </c>
      <c r="E5881" s="1" t="s">
        <v>25</v>
      </c>
      <c r="F5881">
        <v>560</v>
      </c>
      <c r="G5881">
        <v>590</v>
      </c>
      <c r="H5881">
        <v>306.60000000000002</v>
      </c>
      <c r="I5881" s="1" t="s">
        <v>5992</v>
      </c>
      <c r="J5881" s="1" t="s">
        <v>5993</v>
      </c>
      <c r="K5881" s="1" t="s">
        <v>25</v>
      </c>
      <c r="L5881">
        <v>-1.57</v>
      </c>
      <c r="M5881" s="1" t="s">
        <v>23</v>
      </c>
      <c r="N5881" s="1" t="s">
        <v>230</v>
      </c>
      <c r="O5881" s="1" t="s">
        <v>6045</v>
      </c>
      <c r="P5881" s="3" t="s">
        <v>28</v>
      </c>
      <c r="Q5881" s="37">
        <v>0.55355653500000002</v>
      </c>
      <c r="R5881" s="1" t="s">
        <v>231</v>
      </c>
      <c r="S5881" s="13">
        <f t="shared" si="250"/>
        <v>-1.57</v>
      </c>
    </row>
    <row r="5882" spans="1:19">
      <c r="A5882" s="18" t="s">
        <v>5991</v>
      </c>
      <c r="B5882" s="1" t="s">
        <v>6188</v>
      </c>
      <c r="C5882" s="1" t="s">
        <v>4081</v>
      </c>
      <c r="D5882" s="1" t="s">
        <v>5060</v>
      </c>
      <c r="E5882" s="1" t="s">
        <v>25</v>
      </c>
      <c r="F5882">
        <v>560</v>
      </c>
      <c r="G5882">
        <v>590</v>
      </c>
      <c r="H5882">
        <v>316.60000000000002</v>
      </c>
      <c r="I5882" s="1" t="s">
        <v>5992</v>
      </c>
      <c r="J5882" s="1" t="s">
        <v>5993</v>
      </c>
      <c r="K5882" s="1" t="s">
        <v>25</v>
      </c>
      <c r="L5882">
        <v>-1.64</v>
      </c>
      <c r="M5882" s="1" t="s">
        <v>23</v>
      </c>
      <c r="N5882" s="1" t="s">
        <v>230</v>
      </c>
      <c r="O5882" s="1" t="s">
        <v>6046</v>
      </c>
      <c r="P5882" s="3" t="s">
        <v>28</v>
      </c>
      <c r="Q5882" s="37">
        <v>0.685058151</v>
      </c>
      <c r="R5882" s="1" t="s">
        <v>231</v>
      </c>
      <c r="S5882" s="13">
        <f t="shared" si="250"/>
        <v>-1.64</v>
      </c>
    </row>
    <row r="5883" spans="1:19">
      <c r="A5883" s="18" t="s">
        <v>5991</v>
      </c>
      <c r="B5883" s="1" t="s">
        <v>6189</v>
      </c>
      <c r="C5883" s="1" t="s">
        <v>4081</v>
      </c>
      <c r="D5883" s="1" t="s">
        <v>5060</v>
      </c>
      <c r="E5883" s="1" t="s">
        <v>25</v>
      </c>
      <c r="F5883">
        <v>560</v>
      </c>
      <c r="G5883">
        <v>590</v>
      </c>
      <c r="H5883">
        <v>326.10000000000002</v>
      </c>
      <c r="I5883" s="1" t="s">
        <v>5992</v>
      </c>
      <c r="J5883" s="1" t="s">
        <v>5993</v>
      </c>
      <c r="K5883" s="1" t="s">
        <v>25</v>
      </c>
      <c r="L5883">
        <v>-1.55</v>
      </c>
      <c r="M5883" s="1" t="s">
        <v>23</v>
      </c>
      <c r="N5883" s="1" t="s">
        <v>230</v>
      </c>
      <c r="O5883" s="1" t="s">
        <v>6012</v>
      </c>
      <c r="P5883" s="3" t="s">
        <v>28</v>
      </c>
      <c r="Q5883" s="37">
        <v>0.84365234099999997</v>
      </c>
      <c r="R5883" s="1" t="s">
        <v>231</v>
      </c>
      <c r="S5883" s="13">
        <f t="shared" ref="S5883:S5946" si="251">IF(NOT(N5883="SW"),L5883-1.88,L5883)</f>
        <v>-1.55</v>
      </c>
    </row>
    <row r="5884" spans="1:19">
      <c r="A5884" s="18" t="s">
        <v>5991</v>
      </c>
      <c r="B5884" s="1" t="s">
        <v>6190</v>
      </c>
      <c r="C5884" s="1" t="s">
        <v>4081</v>
      </c>
      <c r="D5884" s="1" t="s">
        <v>5060</v>
      </c>
      <c r="E5884" s="1" t="s">
        <v>25</v>
      </c>
      <c r="F5884">
        <v>560</v>
      </c>
      <c r="G5884">
        <v>590</v>
      </c>
      <c r="H5884">
        <v>336.2</v>
      </c>
      <c r="I5884" s="1" t="s">
        <v>5992</v>
      </c>
      <c r="J5884" s="1" t="s">
        <v>5993</v>
      </c>
      <c r="K5884" s="1" t="s">
        <v>25</v>
      </c>
      <c r="L5884">
        <v>-1.84</v>
      </c>
      <c r="M5884" s="1" t="s">
        <v>23</v>
      </c>
      <c r="N5884" s="1" t="s">
        <v>230</v>
      </c>
      <c r="O5884" s="1" t="s">
        <v>6047</v>
      </c>
      <c r="P5884" s="3" t="s">
        <v>28</v>
      </c>
      <c r="Q5884" s="37">
        <v>1.0633713140000001</v>
      </c>
      <c r="R5884" s="1" t="s">
        <v>231</v>
      </c>
      <c r="S5884" s="13">
        <f t="shared" si="251"/>
        <v>-1.84</v>
      </c>
    </row>
    <row r="5885" spans="1:19">
      <c r="A5885" s="18" t="s">
        <v>5991</v>
      </c>
      <c r="B5885" s="1" t="s">
        <v>6191</v>
      </c>
      <c r="C5885" s="1" t="s">
        <v>4081</v>
      </c>
      <c r="D5885" s="1" t="s">
        <v>5060</v>
      </c>
      <c r="E5885" s="1" t="s">
        <v>25</v>
      </c>
      <c r="F5885">
        <v>560</v>
      </c>
      <c r="G5885">
        <v>590</v>
      </c>
      <c r="H5885">
        <v>349</v>
      </c>
      <c r="I5885" s="1" t="s">
        <v>5992</v>
      </c>
      <c r="J5885" s="1" t="s">
        <v>5993</v>
      </c>
      <c r="K5885" s="1" t="s">
        <v>25</v>
      </c>
      <c r="L5885">
        <v>-1.73</v>
      </c>
      <c r="M5885" s="1" t="s">
        <v>23</v>
      </c>
      <c r="N5885" s="1" t="s">
        <v>230</v>
      </c>
      <c r="O5885" s="1" t="s">
        <v>6048</v>
      </c>
      <c r="P5885" s="3" t="s">
        <v>28</v>
      </c>
      <c r="Q5885" s="37">
        <v>1.8536509430000001</v>
      </c>
      <c r="R5885" s="1" t="s">
        <v>231</v>
      </c>
      <c r="S5885" s="13">
        <f t="shared" si="251"/>
        <v>-1.73</v>
      </c>
    </row>
    <row r="5886" spans="1:19">
      <c r="A5886" s="18" t="s">
        <v>5991</v>
      </c>
      <c r="B5886" s="1" t="s">
        <v>6192</v>
      </c>
      <c r="C5886" s="1" t="s">
        <v>4081</v>
      </c>
      <c r="D5886" s="1" t="s">
        <v>5060</v>
      </c>
      <c r="E5886" s="1" t="s">
        <v>25</v>
      </c>
      <c r="F5886">
        <v>560</v>
      </c>
      <c r="G5886">
        <v>590</v>
      </c>
      <c r="H5886">
        <v>355.5</v>
      </c>
      <c r="I5886" s="1" t="s">
        <v>5992</v>
      </c>
      <c r="J5886" s="1" t="s">
        <v>5993</v>
      </c>
      <c r="K5886" s="1" t="s">
        <v>25</v>
      </c>
      <c r="L5886">
        <v>-1.6</v>
      </c>
      <c r="M5886" s="1" t="s">
        <v>23</v>
      </c>
      <c r="N5886" s="1" t="s">
        <v>230</v>
      </c>
      <c r="O5886" s="1" t="s">
        <v>6043</v>
      </c>
      <c r="P5886" s="3" t="s">
        <v>28</v>
      </c>
      <c r="Q5886" s="37">
        <v>0.79287687299999998</v>
      </c>
      <c r="R5886" s="1" t="s">
        <v>231</v>
      </c>
      <c r="S5886" s="13">
        <f t="shared" si="251"/>
        <v>-1.6</v>
      </c>
    </row>
    <row r="5887" spans="1:19">
      <c r="A5887" s="18" t="s">
        <v>5991</v>
      </c>
      <c r="B5887" s="1" t="s">
        <v>6193</v>
      </c>
      <c r="C5887" s="1" t="s">
        <v>4081</v>
      </c>
      <c r="D5887" s="1" t="s">
        <v>5060</v>
      </c>
      <c r="E5887" s="1" t="s">
        <v>25</v>
      </c>
      <c r="F5887">
        <v>560</v>
      </c>
      <c r="G5887">
        <v>590</v>
      </c>
      <c r="H5887">
        <v>377.5</v>
      </c>
      <c r="I5887" s="1" t="s">
        <v>5992</v>
      </c>
      <c r="J5887" s="1" t="s">
        <v>5993</v>
      </c>
      <c r="K5887" s="1" t="s">
        <v>25</v>
      </c>
      <c r="L5887">
        <v>-1.2</v>
      </c>
      <c r="M5887" s="1" t="s">
        <v>23</v>
      </c>
      <c r="N5887" s="1" t="s">
        <v>230</v>
      </c>
      <c r="O5887" s="1" t="s">
        <v>6049</v>
      </c>
      <c r="P5887" s="3" t="s">
        <v>28</v>
      </c>
      <c r="Q5887" s="37">
        <v>1.0717262089999999</v>
      </c>
      <c r="R5887" s="1" t="s">
        <v>231</v>
      </c>
      <c r="S5887" s="13">
        <f t="shared" si="251"/>
        <v>-1.2</v>
      </c>
    </row>
    <row r="5888" spans="1:19">
      <c r="A5888" s="18" t="s">
        <v>5991</v>
      </c>
      <c r="B5888" s="1" t="s">
        <v>6194</v>
      </c>
      <c r="C5888" s="1" t="s">
        <v>4081</v>
      </c>
      <c r="D5888" s="1" t="s">
        <v>5060</v>
      </c>
      <c r="E5888" s="1" t="s">
        <v>25</v>
      </c>
      <c r="F5888">
        <v>560</v>
      </c>
      <c r="G5888">
        <v>590</v>
      </c>
      <c r="H5888">
        <v>382.1</v>
      </c>
      <c r="I5888" s="1" t="s">
        <v>5992</v>
      </c>
      <c r="J5888" s="1" t="s">
        <v>5993</v>
      </c>
      <c r="K5888" s="1" t="s">
        <v>25</v>
      </c>
      <c r="L5888">
        <v>-1.61</v>
      </c>
      <c r="M5888" s="1" t="s">
        <v>23</v>
      </c>
      <c r="N5888" s="1" t="s">
        <v>230</v>
      </c>
      <c r="O5888" s="1" t="s">
        <v>6050</v>
      </c>
      <c r="P5888" s="3" t="s">
        <v>28</v>
      </c>
      <c r="Q5888" s="37">
        <v>1.091055584</v>
      </c>
      <c r="R5888" s="1" t="s">
        <v>231</v>
      </c>
      <c r="S5888" s="13">
        <f t="shared" si="251"/>
        <v>-1.61</v>
      </c>
    </row>
    <row r="5889" spans="1:19">
      <c r="A5889" s="18" t="s">
        <v>5991</v>
      </c>
      <c r="B5889" s="1" t="s">
        <v>6195</v>
      </c>
      <c r="C5889" s="1" t="s">
        <v>4081</v>
      </c>
      <c r="D5889" s="1" t="s">
        <v>5060</v>
      </c>
      <c r="E5889" s="1" t="s">
        <v>25</v>
      </c>
      <c r="F5889">
        <v>560</v>
      </c>
      <c r="G5889">
        <v>590</v>
      </c>
      <c r="H5889">
        <v>411.3</v>
      </c>
      <c r="I5889" s="1" t="s">
        <v>5992</v>
      </c>
      <c r="J5889" s="1" t="s">
        <v>5993</v>
      </c>
      <c r="K5889" s="1" t="s">
        <v>25</v>
      </c>
      <c r="L5889">
        <v>-1.55</v>
      </c>
      <c r="M5889" s="1" t="s">
        <v>23</v>
      </c>
      <c r="N5889" s="1" t="s">
        <v>230</v>
      </c>
      <c r="O5889" s="1" t="s">
        <v>6051</v>
      </c>
      <c r="P5889" s="3" t="s">
        <v>28</v>
      </c>
      <c r="Q5889" s="37">
        <v>1.110003997</v>
      </c>
      <c r="R5889" s="1" t="s">
        <v>231</v>
      </c>
      <c r="S5889" s="13">
        <f t="shared" si="251"/>
        <v>-1.55</v>
      </c>
    </row>
    <row r="5890" spans="1:19">
      <c r="A5890" s="18" t="s">
        <v>5991</v>
      </c>
      <c r="B5890" s="1" t="s">
        <v>6196</v>
      </c>
      <c r="C5890" s="1" t="s">
        <v>4081</v>
      </c>
      <c r="D5890" s="1" t="s">
        <v>5060</v>
      </c>
      <c r="E5890" s="1" t="s">
        <v>25</v>
      </c>
      <c r="F5890">
        <v>560</v>
      </c>
      <c r="G5890">
        <v>590</v>
      </c>
      <c r="H5890">
        <v>422.6</v>
      </c>
      <c r="I5890" s="1" t="s">
        <v>5992</v>
      </c>
      <c r="J5890" s="1" t="s">
        <v>5993</v>
      </c>
      <c r="K5890" s="1" t="s">
        <v>25</v>
      </c>
      <c r="L5890">
        <v>-1.5</v>
      </c>
      <c r="M5890" s="1" t="s">
        <v>23</v>
      </c>
      <c r="N5890" s="1" t="s">
        <v>230</v>
      </c>
      <c r="O5890" s="1" t="s">
        <v>6013</v>
      </c>
      <c r="P5890" s="3" t="s">
        <v>28</v>
      </c>
      <c r="Q5890" s="37">
        <v>0.93875111300000003</v>
      </c>
      <c r="R5890" s="1" t="s">
        <v>231</v>
      </c>
      <c r="S5890" s="13">
        <f t="shared" si="251"/>
        <v>-1.5</v>
      </c>
    </row>
    <row r="5891" spans="1:19">
      <c r="A5891" s="18" t="s">
        <v>5991</v>
      </c>
      <c r="B5891" s="1" t="s">
        <v>6197</v>
      </c>
      <c r="C5891" s="1" t="s">
        <v>4081</v>
      </c>
      <c r="D5891" s="1" t="s">
        <v>5060</v>
      </c>
      <c r="E5891" s="1" t="s">
        <v>25</v>
      </c>
      <c r="F5891">
        <v>560</v>
      </c>
      <c r="G5891">
        <v>590</v>
      </c>
      <c r="H5891">
        <v>432.3</v>
      </c>
      <c r="I5891" s="1" t="s">
        <v>5992</v>
      </c>
      <c r="J5891" s="1" t="s">
        <v>5993</v>
      </c>
      <c r="K5891" s="1" t="s">
        <v>25</v>
      </c>
      <c r="L5891">
        <v>-0.97</v>
      </c>
      <c r="M5891" s="1" t="s">
        <v>23</v>
      </c>
      <c r="N5891" s="1" t="s">
        <v>230</v>
      </c>
      <c r="O5891" s="1" t="s">
        <v>6052</v>
      </c>
      <c r="P5891" s="3" t="s">
        <v>28</v>
      </c>
      <c r="Q5891" s="37">
        <v>0.43071909800000002</v>
      </c>
      <c r="R5891" s="1" t="s">
        <v>231</v>
      </c>
      <c r="S5891" s="13">
        <f t="shared" si="251"/>
        <v>-0.97</v>
      </c>
    </row>
    <row r="5892" spans="1:19">
      <c r="A5892" s="18" t="s">
        <v>5991</v>
      </c>
      <c r="B5892" s="1" t="s">
        <v>6198</v>
      </c>
      <c r="C5892" s="1" t="s">
        <v>4081</v>
      </c>
      <c r="D5892" s="1" t="s">
        <v>5060</v>
      </c>
      <c r="E5892" s="1" t="s">
        <v>25</v>
      </c>
      <c r="F5892">
        <v>560</v>
      </c>
      <c r="G5892">
        <v>590</v>
      </c>
      <c r="H5892">
        <v>441.7</v>
      </c>
      <c r="I5892" s="1" t="s">
        <v>5992</v>
      </c>
      <c r="J5892" s="1" t="s">
        <v>5993</v>
      </c>
      <c r="K5892" s="1" t="s">
        <v>25</v>
      </c>
      <c r="L5892">
        <v>-0.79</v>
      </c>
      <c r="M5892" s="1" t="s">
        <v>23</v>
      </c>
      <c r="N5892" s="1" t="s">
        <v>230</v>
      </c>
      <c r="O5892" s="1" t="s">
        <v>6053</v>
      </c>
      <c r="P5892" s="3" t="s">
        <v>28</v>
      </c>
      <c r="Q5892" s="37">
        <v>0.43505376499999998</v>
      </c>
      <c r="R5892" s="1" t="s">
        <v>231</v>
      </c>
      <c r="S5892" s="13">
        <f t="shared" si="251"/>
        <v>-0.79</v>
      </c>
    </row>
    <row r="5893" spans="1:19">
      <c r="A5893" s="18" t="s">
        <v>5991</v>
      </c>
      <c r="B5893" s="1" t="s">
        <v>6199</v>
      </c>
      <c r="C5893" s="1" t="s">
        <v>4081</v>
      </c>
      <c r="D5893" s="1" t="s">
        <v>5060</v>
      </c>
      <c r="E5893" s="1" t="s">
        <v>25</v>
      </c>
      <c r="F5893">
        <v>560</v>
      </c>
      <c r="G5893">
        <v>590</v>
      </c>
      <c r="H5893">
        <v>448.9</v>
      </c>
      <c r="I5893" s="1" t="s">
        <v>5992</v>
      </c>
      <c r="J5893" s="1" t="s">
        <v>5993</v>
      </c>
      <c r="K5893" s="1" t="s">
        <v>25</v>
      </c>
      <c r="L5893">
        <v>-0.98</v>
      </c>
      <c r="M5893" s="1" t="s">
        <v>23</v>
      </c>
      <c r="N5893" s="1" t="s">
        <v>230</v>
      </c>
      <c r="O5893" s="1" t="s">
        <v>6017</v>
      </c>
      <c r="P5893" s="3" t="s">
        <v>28</v>
      </c>
      <c r="Q5893" s="37">
        <v>1.121190621</v>
      </c>
      <c r="R5893" s="1" t="s">
        <v>231</v>
      </c>
      <c r="S5893" s="13">
        <f t="shared" si="251"/>
        <v>-0.98</v>
      </c>
    </row>
    <row r="5894" spans="1:19">
      <c r="A5894" s="18" t="s">
        <v>5991</v>
      </c>
      <c r="B5894" s="1" t="s">
        <v>6200</v>
      </c>
      <c r="C5894" s="1" t="s">
        <v>4081</v>
      </c>
      <c r="D5894" s="1" t="s">
        <v>5060</v>
      </c>
      <c r="E5894" s="1" t="s">
        <v>25</v>
      </c>
      <c r="F5894">
        <v>560</v>
      </c>
      <c r="G5894">
        <v>590</v>
      </c>
      <c r="H5894">
        <v>457.9</v>
      </c>
      <c r="I5894" s="1" t="s">
        <v>5992</v>
      </c>
      <c r="J5894" s="1" t="s">
        <v>5993</v>
      </c>
      <c r="K5894" s="1" t="s">
        <v>25</v>
      </c>
      <c r="L5894">
        <v>-1</v>
      </c>
      <c r="M5894" s="1" t="s">
        <v>23</v>
      </c>
      <c r="N5894" s="1" t="s">
        <v>230</v>
      </c>
      <c r="O5894" s="1" t="s">
        <v>6054</v>
      </c>
      <c r="P5894" s="3" t="s">
        <v>28</v>
      </c>
      <c r="Q5894" s="37">
        <v>0.171924614</v>
      </c>
      <c r="R5894" s="1" t="s">
        <v>231</v>
      </c>
      <c r="S5894" s="13">
        <f t="shared" si="251"/>
        <v>-1</v>
      </c>
    </row>
    <row r="5895" spans="1:19">
      <c r="A5895" s="18" t="s">
        <v>5991</v>
      </c>
      <c r="B5895" s="1" t="s">
        <v>6201</v>
      </c>
      <c r="C5895" s="1" t="s">
        <v>4081</v>
      </c>
      <c r="D5895" s="1" t="s">
        <v>5060</v>
      </c>
      <c r="E5895" s="1" t="s">
        <v>25</v>
      </c>
      <c r="F5895">
        <v>560</v>
      </c>
      <c r="G5895">
        <v>590</v>
      </c>
      <c r="H5895">
        <v>484.1</v>
      </c>
      <c r="I5895" s="1" t="s">
        <v>5992</v>
      </c>
      <c r="J5895" s="1" t="s">
        <v>5993</v>
      </c>
      <c r="K5895" s="1" t="s">
        <v>25</v>
      </c>
      <c r="L5895">
        <v>-1.1200000000000001</v>
      </c>
      <c r="M5895" s="1" t="s">
        <v>23</v>
      </c>
      <c r="N5895" s="1" t="s">
        <v>230</v>
      </c>
      <c r="O5895" s="1" t="s">
        <v>6055</v>
      </c>
      <c r="P5895" s="3" t="s">
        <v>28</v>
      </c>
      <c r="Q5895" s="37">
        <v>0.168589502</v>
      </c>
      <c r="R5895" s="1" t="s">
        <v>231</v>
      </c>
      <c r="S5895" s="13">
        <f t="shared" si="251"/>
        <v>-1.1200000000000001</v>
      </c>
    </row>
    <row r="5896" spans="1:19">
      <c r="A5896" s="18" t="s">
        <v>5991</v>
      </c>
      <c r="B5896" s="1" t="s">
        <v>6202</v>
      </c>
      <c r="C5896" s="1" t="s">
        <v>4081</v>
      </c>
      <c r="D5896" s="1" t="s">
        <v>5060</v>
      </c>
      <c r="E5896" s="1" t="s">
        <v>25</v>
      </c>
      <c r="F5896">
        <v>560</v>
      </c>
      <c r="G5896">
        <v>590</v>
      </c>
      <c r="H5896">
        <v>496.8</v>
      </c>
      <c r="I5896" s="1" t="s">
        <v>5992</v>
      </c>
      <c r="J5896" s="1" t="s">
        <v>5993</v>
      </c>
      <c r="K5896" s="1" t="s">
        <v>25</v>
      </c>
      <c r="L5896">
        <v>-0.76</v>
      </c>
      <c r="M5896" s="1" t="s">
        <v>23</v>
      </c>
      <c r="N5896" s="1" t="s">
        <v>230</v>
      </c>
      <c r="O5896" s="1" t="s">
        <v>6055</v>
      </c>
      <c r="P5896" s="3" t="s">
        <v>28</v>
      </c>
      <c r="Q5896" s="37">
        <v>0.15952625600000001</v>
      </c>
      <c r="R5896" s="1" t="s">
        <v>231</v>
      </c>
      <c r="S5896" s="13">
        <f t="shared" si="251"/>
        <v>-0.76</v>
      </c>
    </row>
    <row r="5897" spans="1:19">
      <c r="A5897" s="18" t="s">
        <v>5991</v>
      </c>
      <c r="B5897" s="1" t="s">
        <v>6203</v>
      </c>
      <c r="C5897" s="1" t="s">
        <v>4081</v>
      </c>
      <c r="D5897" s="1" t="s">
        <v>5060</v>
      </c>
      <c r="E5897" s="1" t="s">
        <v>25</v>
      </c>
      <c r="F5897">
        <v>560</v>
      </c>
      <c r="G5897">
        <v>590</v>
      </c>
      <c r="H5897">
        <v>505.2</v>
      </c>
      <c r="I5897" s="1" t="s">
        <v>5992</v>
      </c>
      <c r="J5897" s="1" t="s">
        <v>5993</v>
      </c>
      <c r="K5897" s="1" t="s">
        <v>25</v>
      </c>
      <c r="L5897">
        <v>-0.77</v>
      </c>
      <c r="M5897" s="1" t="s">
        <v>23</v>
      </c>
      <c r="N5897" s="1" t="s">
        <v>230</v>
      </c>
      <c r="O5897" s="1" t="s">
        <v>5994</v>
      </c>
      <c r="P5897" s="3" t="s">
        <v>28</v>
      </c>
      <c r="Q5897" s="37">
        <v>0.20008754400000001</v>
      </c>
      <c r="R5897" s="1" t="s">
        <v>231</v>
      </c>
      <c r="S5897" s="13">
        <f t="shared" si="251"/>
        <v>-0.77</v>
      </c>
    </row>
    <row r="5898" spans="1:19">
      <c r="A5898" s="18" t="s">
        <v>5991</v>
      </c>
      <c r="B5898" s="1" t="s">
        <v>6204</v>
      </c>
      <c r="C5898" s="1" t="s">
        <v>4081</v>
      </c>
      <c r="D5898" s="1" t="s">
        <v>5060</v>
      </c>
      <c r="E5898" s="1" t="s">
        <v>25</v>
      </c>
      <c r="F5898">
        <v>560</v>
      </c>
      <c r="G5898">
        <v>590</v>
      </c>
      <c r="H5898">
        <v>518.4</v>
      </c>
      <c r="I5898" s="1" t="s">
        <v>5992</v>
      </c>
      <c r="J5898" s="1" t="s">
        <v>5993</v>
      </c>
      <c r="K5898" s="1" t="s">
        <v>25</v>
      </c>
      <c r="L5898">
        <v>-0.78</v>
      </c>
      <c r="M5898" s="1" t="s">
        <v>23</v>
      </c>
      <c r="N5898" s="1" t="s">
        <v>230</v>
      </c>
      <c r="O5898" s="1" t="s">
        <v>5996</v>
      </c>
      <c r="P5898" s="3" t="s">
        <v>28</v>
      </c>
      <c r="Q5898" s="37">
        <v>0.370403443</v>
      </c>
      <c r="R5898" s="1" t="s">
        <v>231</v>
      </c>
      <c r="S5898" s="13">
        <f t="shared" si="251"/>
        <v>-0.78</v>
      </c>
    </row>
    <row r="5899" spans="1:19">
      <c r="A5899" s="18" t="s">
        <v>5991</v>
      </c>
      <c r="B5899" s="1" t="s">
        <v>6205</v>
      </c>
      <c r="C5899" s="1" t="s">
        <v>4081</v>
      </c>
      <c r="D5899" s="1" t="s">
        <v>5060</v>
      </c>
      <c r="E5899" s="1" t="s">
        <v>25</v>
      </c>
      <c r="F5899">
        <v>560</v>
      </c>
      <c r="G5899">
        <v>590</v>
      </c>
      <c r="H5899">
        <v>0</v>
      </c>
      <c r="I5899" s="1" t="s">
        <v>5992</v>
      </c>
      <c r="J5899" s="1" t="s">
        <v>5993</v>
      </c>
      <c r="K5899" s="1" t="s">
        <v>25</v>
      </c>
      <c r="L5899">
        <v>-0.85</v>
      </c>
      <c r="M5899" s="1" t="s">
        <v>23</v>
      </c>
      <c r="N5899" s="1" t="s">
        <v>230</v>
      </c>
      <c r="O5899" s="1" t="s">
        <v>6056</v>
      </c>
      <c r="P5899" s="3" t="s">
        <v>28</v>
      </c>
      <c r="Q5899" s="37">
        <v>0.29745880000000002</v>
      </c>
      <c r="R5899" s="1" t="s">
        <v>231</v>
      </c>
      <c r="S5899" s="13">
        <f t="shared" si="251"/>
        <v>-0.85</v>
      </c>
    </row>
    <row r="5900" spans="1:19">
      <c r="A5900" s="18" t="s">
        <v>5991</v>
      </c>
      <c r="B5900" s="1" t="s">
        <v>6206</v>
      </c>
      <c r="C5900" s="1" t="s">
        <v>4081</v>
      </c>
      <c r="D5900" s="1" t="s">
        <v>5060</v>
      </c>
      <c r="E5900" s="1" t="s">
        <v>25</v>
      </c>
      <c r="F5900">
        <v>560</v>
      </c>
      <c r="G5900">
        <v>590</v>
      </c>
      <c r="H5900">
        <v>9.6999999999999993</v>
      </c>
      <c r="I5900" s="1" t="s">
        <v>5992</v>
      </c>
      <c r="J5900" s="1" t="s">
        <v>5993</v>
      </c>
      <c r="K5900" s="1" t="s">
        <v>25</v>
      </c>
      <c r="L5900">
        <v>-0.69</v>
      </c>
      <c r="M5900" s="1" t="s">
        <v>23</v>
      </c>
      <c r="N5900" s="1" t="s">
        <v>230</v>
      </c>
      <c r="O5900" s="1" t="s">
        <v>6035</v>
      </c>
      <c r="P5900" s="3" t="s">
        <v>28</v>
      </c>
      <c r="Q5900" s="37">
        <v>0.24466560000000001</v>
      </c>
      <c r="R5900" s="1" t="s">
        <v>231</v>
      </c>
      <c r="S5900" s="13">
        <f t="shared" si="251"/>
        <v>-0.69</v>
      </c>
    </row>
    <row r="5901" spans="1:19">
      <c r="A5901" s="18" t="s">
        <v>5991</v>
      </c>
      <c r="B5901" s="1" t="s">
        <v>6207</v>
      </c>
      <c r="C5901" s="1" t="s">
        <v>4081</v>
      </c>
      <c r="D5901" s="1" t="s">
        <v>5060</v>
      </c>
      <c r="E5901" s="1" t="s">
        <v>25</v>
      </c>
      <c r="F5901">
        <v>560</v>
      </c>
      <c r="G5901">
        <v>590</v>
      </c>
      <c r="H5901">
        <v>31.5</v>
      </c>
      <c r="I5901" s="1" t="s">
        <v>5992</v>
      </c>
      <c r="J5901" s="1" t="s">
        <v>5993</v>
      </c>
      <c r="K5901" s="1" t="s">
        <v>25</v>
      </c>
      <c r="L5901">
        <v>-0.73</v>
      </c>
      <c r="M5901" s="1" t="s">
        <v>23</v>
      </c>
      <c r="N5901" s="1" t="s">
        <v>230</v>
      </c>
      <c r="O5901" s="1" t="s">
        <v>6056</v>
      </c>
      <c r="P5901" s="3" t="s">
        <v>28</v>
      </c>
      <c r="Q5901" s="37">
        <v>0.29772270000000001</v>
      </c>
      <c r="R5901" s="1" t="s">
        <v>231</v>
      </c>
      <c r="S5901" s="13">
        <f t="shared" si="251"/>
        <v>-0.73</v>
      </c>
    </row>
    <row r="5902" spans="1:19">
      <c r="A5902" s="18" t="s">
        <v>5991</v>
      </c>
      <c r="B5902" s="1" t="s">
        <v>6208</v>
      </c>
      <c r="C5902" s="1" t="s">
        <v>4081</v>
      </c>
      <c r="D5902" s="1" t="s">
        <v>5060</v>
      </c>
      <c r="E5902" s="1" t="s">
        <v>25</v>
      </c>
      <c r="F5902">
        <v>560</v>
      </c>
      <c r="G5902">
        <v>590</v>
      </c>
      <c r="H5902">
        <v>45.4</v>
      </c>
      <c r="I5902" s="1" t="s">
        <v>5992</v>
      </c>
      <c r="J5902" s="1" t="s">
        <v>5993</v>
      </c>
      <c r="K5902" s="1" t="s">
        <v>25</v>
      </c>
      <c r="L5902">
        <v>-0.91</v>
      </c>
      <c r="M5902" s="1" t="s">
        <v>23</v>
      </c>
      <c r="N5902" s="1" t="s">
        <v>230</v>
      </c>
      <c r="O5902" s="1" t="s">
        <v>6052</v>
      </c>
      <c r="P5902" s="3" t="s">
        <v>28</v>
      </c>
      <c r="Q5902" s="37">
        <v>0.36753479999999999</v>
      </c>
      <c r="R5902" s="1" t="s">
        <v>231</v>
      </c>
      <c r="S5902" s="13">
        <f t="shared" si="251"/>
        <v>-0.91</v>
      </c>
    </row>
    <row r="5903" spans="1:19">
      <c r="A5903" s="18" t="s">
        <v>5991</v>
      </c>
      <c r="B5903" s="1" t="s">
        <v>6209</v>
      </c>
      <c r="C5903" s="1" t="s">
        <v>4081</v>
      </c>
      <c r="D5903" s="1" t="s">
        <v>5060</v>
      </c>
      <c r="E5903" s="1" t="s">
        <v>25</v>
      </c>
      <c r="F5903">
        <v>560</v>
      </c>
      <c r="G5903">
        <v>590</v>
      </c>
      <c r="H5903">
        <v>55.2</v>
      </c>
      <c r="I5903" s="1" t="s">
        <v>5992</v>
      </c>
      <c r="J5903" s="1" t="s">
        <v>5993</v>
      </c>
      <c r="K5903" s="1" t="s">
        <v>25</v>
      </c>
      <c r="L5903">
        <v>-1.1499999999999999</v>
      </c>
      <c r="M5903" s="1" t="s">
        <v>23</v>
      </c>
      <c r="N5903" s="1" t="s">
        <v>230</v>
      </c>
      <c r="O5903" s="1" t="s">
        <v>6003</v>
      </c>
      <c r="P5903" s="3" t="s">
        <v>28</v>
      </c>
      <c r="Q5903" s="37">
        <v>0.45945000000000003</v>
      </c>
      <c r="R5903" s="1" t="s">
        <v>231</v>
      </c>
      <c r="S5903" s="13">
        <f t="shared" si="251"/>
        <v>-1.1499999999999999</v>
      </c>
    </row>
    <row r="5904" spans="1:19">
      <c r="A5904" s="18" t="s">
        <v>5991</v>
      </c>
      <c r="B5904" s="1" t="s">
        <v>6210</v>
      </c>
      <c r="C5904" s="1" t="s">
        <v>4081</v>
      </c>
      <c r="D5904" s="1" t="s">
        <v>5060</v>
      </c>
      <c r="E5904" s="1" t="s">
        <v>25</v>
      </c>
      <c r="F5904">
        <v>560</v>
      </c>
      <c r="G5904">
        <v>590</v>
      </c>
      <c r="H5904">
        <v>65.5</v>
      </c>
      <c r="I5904" s="1" t="s">
        <v>5992</v>
      </c>
      <c r="J5904" s="1" t="s">
        <v>5993</v>
      </c>
      <c r="K5904" s="1" t="s">
        <v>25</v>
      </c>
      <c r="L5904">
        <v>-0.8</v>
      </c>
      <c r="M5904" s="1" t="s">
        <v>23</v>
      </c>
      <c r="N5904" s="1" t="s">
        <v>230</v>
      </c>
      <c r="O5904" s="1" t="s">
        <v>6057</v>
      </c>
      <c r="P5904" s="3" t="s">
        <v>28</v>
      </c>
      <c r="Q5904" s="37">
        <v>0.37702999999999998</v>
      </c>
      <c r="R5904" s="1" t="s">
        <v>231</v>
      </c>
      <c r="S5904" s="13">
        <f t="shared" si="251"/>
        <v>-0.8</v>
      </c>
    </row>
    <row r="5905" spans="1:19">
      <c r="A5905" s="18" t="s">
        <v>5991</v>
      </c>
      <c r="B5905" s="1" t="s">
        <v>6211</v>
      </c>
      <c r="C5905" s="1" t="s">
        <v>4081</v>
      </c>
      <c r="D5905" s="1" t="s">
        <v>5060</v>
      </c>
      <c r="E5905" s="1" t="s">
        <v>25</v>
      </c>
      <c r="F5905">
        <v>560</v>
      </c>
      <c r="G5905">
        <v>590</v>
      </c>
      <c r="H5905">
        <v>75.400000000000006</v>
      </c>
      <c r="I5905" s="1" t="s">
        <v>5992</v>
      </c>
      <c r="J5905" s="1" t="s">
        <v>5993</v>
      </c>
      <c r="K5905" s="1" t="s">
        <v>25</v>
      </c>
      <c r="L5905">
        <v>-1.2</v>
      </c>
      <c r="M5905" s="1" t="s">
        <v>23</v>
      </c>
      <c r="N5905" s="1" t="s">
        <v>230</v>
      </c>
      <c r="O5905" s="1" t="s">
        <v>6004</v>
      </c>
      <c r="P5905" s="3" t="s">
        <v>28</v>
      </c>
      <c r="Q5905" s="37">
        <v>0.61954719999999996</v>
      </c>
      <c r="R5905" s="1" t="s">
        <v>231</v>
      </c>
      <c r="S5905" s="13">
        <f t="shared" si="251"/>
        <v>-1.2</v>
      </c>
    </row>
    <row r="5906" spans="1:19">
      <c r="A5906" s="18" t="s">
        <v>5991</v>
      </c>
      <c r="B5906" s="1" t="s">
        <v>6212</v>
      </c>
      <c r="C5906" s="1" t="s">
        <v>4081</v>
      </c>
      <c r="D5906" s="1" t="s">
        <v>5060</v>
      </c>
      <c r="E5906" s="1" t="s">
        <v>25</v>
      </c>
      <c r="F5906">
        <v>560</v>
      </c>
      <c r="G5906">
        <v>590</v>
      </c>
      <c r="H5906">
        <v>90.1</v>
      </c>
      <c r="I5906" s="1" t="s">
        <v>5992</v>
      </c>
      <c r="J5906" s="1" t="s">
        <v>5993</v>
      </c>
      <c r="K5906" s="1" t="s">
        <v>25</v>
      </c>
      <c r="L5906">
        <v>-1.39</v>
      </c>
      <c r="M5906" s="1" t="s">
        <v>23</v>
      </c>
      <c r="N5906" s="1" t="s">
        <v>230</v>
      </c>
      <c r="O5906" s="1" t="s">
        <v>6058</v>
      </c>
      <c r="P5906" s="3" t="s">
        <v>28</v>
      </c>
      <c r="Q5906" s="37">
        <v>0.90326099999999998</v>
      </c>
      <c r="R5906" s="1" t="s">
        <v>231</v>
      </c>
      <c r="S5906" s="13">
        <f t="shared" si="251"/>
        <v>-1.39</v>
      </c>
    </row>
    <row r="5907" spans="1:19">
      <c r="A5907" s="18" t="s">
        <v>5991</v>
      </c>
      <c r="B5907" s="1" t="s">
        <v>6213</v>
      </c>
      <c r="C5907" s="1" t="s">
        <v>4081</v>
      </c>
      <c r="D5907" s="1" t="s">
        <v>5060</v>
      </c>
      <c r="E5907" s="1" t="s">
        <v>25</v>
      </c>
      <c r="F5907">
        <v>560</v>
      </c>
      <c r="G5907">
        <v>590</v>
      </c>
      <c r="H5907">
        <v>102.3</v>
      </c>
      <c r="I5907" s="1" t="s">
        <v>5992</v>
      </c>
      <c r="J5907" s="1" t="s">
        <v>5993</v>
      </c>
      <c r="K5907" s="1" t="s">
        <v>25</v>
      </c>
      <c r="L5907">
        <v>-1.43</v>
      </c>
      <c r="M5907" s="1" t="s">
        <v>23</v>
      </c>
      <c r="N5907" s="1" t="s">
        <v>230</v>
      </c>
      <c r="O5907" s="1" t="s">
        <v>6059</v>
      </c>
      <c r="P5907" s="3" t="s">
        <v>28</v>
      </c>
      <c r="Q5907" s="37">
        <v>1.01973</v>
      </c>
      <c r="R5907" s="1" t="s">
        <v>231</v>
      </c>
      <c r="S5907" s="13">
        <f t="shared" si="251"/>
        <v>-1.43</v>
      </c>
    </row>
    <row r="5908" spans="1:19">
      <c r="A5908" s="18" t="s">
        <v>5991</v>
      </c>
      <c r="B5908" s="1" t="s">
        <v>6214</v>
      </c>
      <c r="C5908" s="1" t="s">
        <v>4081</v>
      </c>
      <c r="D5908" s="1" t="s">
        <v>5060</v>
      </c>
      <c r="E5908" s="1" t="s">
        <v>25</v>
      </c>
      <c r="F5908">
        <v>560</v>
      </c>
      <c r="G5908">
        <v>590</v>
      </c>
      <c r="H5908">
        <v>111.1</v>
      </c>
      <c r="I5908" s="1" t="s">
        <v>5992</v>
      </c>
      <c r="J5908" s="1" t="s">
        <v>5993</v>
      </c>
      <c r="K5908" s="1" t="s">
        <v>25</v>
      </c>
      <c r="L5908">
        <v>-1.02</v>
      </c>
      <c r="M5908" s="1" t="s">
        <v>23</v>
      </c>
      <c r="N5908" s="1" t="s">
        <v>230</v>
      </c>
      <c r="O5908" s="1" t="s">
        <v>6060</v>
      </c>
      <c r="P5908" s="3" t="s">
        <v>28</v>
      </c>
      <c r="Q5908" s="37">
        <v>0.48009560000000001</v>
      </c>
      <c r="R5908" s="1" t="s">
        <v>231</v>
      </c>
      <c r="S5908" s="13">
        <f t="shared" si="251"/>
        <v>-1.02</v>
      </c>
    </row>
    <row r="5909" spans="1:19">
      <c r="A5909" s="18" t="s">
        <v>5991</v>
      </c>
      <c r="B5909" s="1" t="s">
        <v>6215</v>
      </c>
      <c r="C5909" s="1" t="s">
        <v>4081</v>
      </c>
      <c r="D5909" s="1" t="s">
        <v>5060</v>
      </c>
      <c r="E5909" s="1" t="s">
        <v>25</v>
      </c>
      <c r="F5909">
        <v>560</v>
      </c>
      <c r="G5909">
        <v>590</v>
      </c>
      <c r="H5909">
        <v>136.1</v>
      </c>
      <c r="I5909" s="1" t="s">
        <v>5992</v>
      </c>
      <c r="J5909" s="1" t="s">
        <v>5993</v>
      </c>
      <c r="K5909" s="1" t="s">
        <v>25</v>
      </c>
      <c r="L5909">
        <v>-1.29</v>
      </c>
      <c r="M5909" s="1" t="s">
        <v>23</v>
      </c>
      <c r="N5909" s="1" t="s">
        <v>230</v>
      </c>
      <c r="O5909" s="1" t="s">
        <v>6061</v>
      </c>
      <c r="P5909" s="3" t="s">
        <v>28</v>
      </c>
      <c r="Q5909" s="37">
        <v>0.5850651</v>
      </c>
      <c r="R5909" s="1" t="s">
        <v>231</v>
      </c>
      <c r="S5909" s="13">
        <f t="shared" si="251"/>
        <v>-1.29</v>
      </c>
    </row>
    <row r="5910" spans="1:19">
      <c r="A5910" s="18" t="s">
        <v>5991</v>
      </c>
      <c r="B5910" s="1" t="s">
        <v>6216</v>
      </c>
      <c r="C5910" s="1" t="s">
        <v>4081</v>
      </c>
      <c r="D5910" s="1" t="s">
        <v>5060</v>
      </c>
      <c r="E5910" s="1" t="s">
        <v>25</v>
      </c>
      <c r="F5910">
        <v>560</v>
      </c>
      <c r="G5910">
        <v>590</v>
      </c>
      <c r="H5910">
        <v>156.30000000000001</v>
      </c>
      <c r="I5910" s="1" t="s">
        <v>5992</v>
      </c>
      <c r="J5910" s="1" t="s">
        <v>5993</v>
      </c>
      <c r="K5910" s="1" t="s">
        <v>25</v>
      </c>
      <c r="L5910">
        <v>-1.47</v>
      </c>
      <c r="M5910" s="1" t="s">
        <v>23</v>
      </c>
      <c r="N5910" s="1" t="s">
        <v>230</v>
      </c>
      <c r="O5910" s="1" t="s">
        <v>6043</v>
      </c>
      <c r="P5910" s="3" t="s">
        <v>28</v>
      </c>
      <c r="Q5910" s="37">
        <v>0.77624119999999996</v>
      </c>
      <c r="R5910" s="1" t="s">
        <v>231</v>
      </c>
      <c r="S5910" s="13">
        <f t="shared" si="251"/>
        <v>-1.47</v>
      </c>
    </row>
    <row r="5911" spans="1:19">
      <c r="A5911" s="18" t="s">
        <v>5991</v>
      </c>
      <c r="B5911" s="1" t="s">
        <v>6217</v>
      </c>
      <c r="C5911" s="1" t="s">
        <v>4081</v>
      </c>
      <c r="D5911" s="1" t="s">
        <v>5060</v>
      </c>
      <c r="E5911" s="1" t="s">
        <v>25</v>
      </c>
      <c r="F5911">
        <v>560</v>
      </c>
      <c r="G5911">
        <v>590</v>
      </c>
      <c r="H5911">
        <v>166.8</v>
      </c>
      <c r="I5911" s="1" t="s">
        <v>5992</v>
      </c>
      <c r="J5911" s="1" t="s">
        <v>5993</v>
      </c>
      <c r="K5911" s="1" t="s">
        <v>25</v>
      </c>
      <c r="L5911">
        <v>-1.5</v>
      </c>
      <c r="M5911" s="1" t="s">
        <v>23</v>
      </c>
      <c r="N5911" s="1" t="s">
        <v>230</v>
      </c>
      <c r="O5911" s="1" t="s">
        <v>6062</v>
      </c>
      <c r="P5911" s="3" t="s">
        <v>28</v>
      </c>
      <c r="Q5911" s="37">
        <v>0.96034160000000002</v>
      </c>
      <c r="R5911" s="1" t="s">
        <v>231</v>
      </c>
      <c r="S5911" s="13">
        <f t="shared" si="251"/>
        <v>-1.5</v>
      </c>
    </row>
    <row r="5912" spans="1:19">
      <c r="A5912" s="18" t="s">
        <v>5991</v>
      </c>
      <c r="B5912" s="1" t="s">
        <v>6218</v>
      </c>
      <c r="C5912" s="1" t="s">
        <v>4081</v>
      </c>
      <c r="D5912" s="1" t="s">
        <v>5060</v>
      </c>
      <c r="E5912" s="1" t="s">
        <v>25</v>
      </c>
      <c r="F5912">
        <v>560</v>
      </c>
      <c r="G5912">
        <v>590</v>
      </c>
      <c r="H5912">
        <v>178.3</v>
      </c>
      <c r="I5912" s="1" t="s">
        <v>5992</v>
      </c>
      <c r="J5912" s="1" t="s">
        <v>5993</v>
      </c>
      <c r="K5912" s="1" t="s">
        <v>25</v>
      </c>
      <c r="L5912">
        <v>-1.52</v>
      </c>
      <c r="M5912" s="1" t="s">
        <v>23</v>
      </c>
      <c r="N5912" s="1" t="s">
        <v>230</v>
      </c>
      <c r="O5912" s="1" t="s">
        <v>6063</v>
      </c>
      <c r="P5912" s="3" t="s">
        <v>28</v>
      </c>
      <c r="Q5912" s="37">
        <v>0.99389110000000003</v>
      </c>
      <c r="R5912" s="1" t="s">
        <v>231</v>
      </c>
      <c r="S5912" s="13">
        <f t="shared" si="251"/>
        <v>-1.52</v>
      </c>
    </row>
    <row r="5913" spans="1:19">
      <c r="A5913" s="18" t="s">
        <v>5991</v>
      </c>
      <c r="B5913" s="1" t="s">
        <v>6219</v>
      </c>
      <c r="C5913" s="1" t="s">
        <v>4081</v>
      </c>
      <c r="D5913" s="1" t="s">
        <v>5060</v>
      </c>
      <c r="E5913" s="1" t="s">
        <v>25</v>
      </c>
      <c r="F5913">
        <v>560</v>
      </c>
      <c r="G5913">
        <v>590</v>
      </c>
      <c r="H5913">
        <v>191.6</v>
      </c>
      <c r="I5913" s="1" t="s">
        <v>5992</v>
      </c>
      <c r="J5913" s="1" t="s">
        <v>5993</v>
      </c>
      <c r="K5913" s="1" t="s">
        <v>25</v>
      </c>
      <c r="L5913">
        <v>-1.59</v>
      </c>
      <c r="M5913" s="1" t="s">
        <v>23</v>
      </c>
      <c r="N5913" s="1" t="s">
        <v>230</v>
      </c>
      <c r="O5913" s="1" t="s">
        <v>6058</v>
      </c>
      <c r="P5913" s="3" t="s">
        <v>28</v>
      </c>
      <c r="Q5913" s="37">
        <v>0.9159524</v>
      </c>
      <c r="R5913" s="1" t="s">
        <v>231</v>
      </c>
      <c r="S5913" s="13">
        <f t="shared" si="251"/>
        <v>-1.59</v>
      </c>
    </row>
    <row r="5914" spans="1:19">
      <c r="A5914" s="18" t="s">
        <v>5991</v>
      </c>
      <c r="B5914" s="1" t="s">
        <v>6220</v>
      </c>
      <c r="C5914" s="1" t="s">
        <v>4081</v>
      </c>
      <c r="D5914" s="1" t="s">
        <v>5060</v>
      </c>
      <c r="E5914" s="1" t="s">
        <v>25</v>
      </c>
      <c r="F5914">
        <v>560</v>
      </c>
      <c r="G5914">
        <v>590</v>
      </c>
      <c r="H5914">
        <v>209</v>
      </c>
      <c r="I5914" s="1" t="s">
        <v>5992</v>
      </c>
      <c r="J5914" s="1" t="s">
        <v>5993</v>
      </c>
      <c r="K5914" s="1" t="s">
        <v>25</v>
      </c>
      <c r="L5914">
        <v>-1.83</v>
      </c>
      <c r="M5914" s="1" t="s">
        <v>23</v>
      </c>
      <c r="N5914" s="1" t="s">
        <v>230</v>
      </c>
      <c r="O5914" s="1" t="s">
        <v>6046</v>
      </c>
      <c r="P5914" s="3" t="s">
        <v>28</v>
      </c>
      <c r="Q5914" s="37">
        <v>0.68267639999999996</v>
      </c>
      <c r="R5914" s="1" t="s">
        <v>231</v>
      </c>
      <c r="S5914" s="13">
        <f t="shared" si="251"/>
        <v>-1.83</v>
      </c>
    </row>
    <row r="5915" spans="1:19">
      <c r="A5915" s="18" t="s">
        <v>5991</v>
      </c>
      <c r="B5915" s="1" t="s">
        <v>6221</v>
      </c>
      <c r="C5915" s="1" t="s">
        <v>4081</v>
      </c>
      <c r="D5915" s="1" t="s">
        <v>5060</v>
      </c>
      <c r="E5915" s="1" t="s">
        <v>25</v>
      </c>
      <c r="F5915">
        <v>560</v>
      </c>
      <c r="G5915">
        <v>590</v>
      </c>
      <c r="H5915">
        <v>229.9</v>
      </c>
      <c r="I5915" s="1" t="s">
        <v>5992</v>
      </c>
      <c r="J5915" s="1" t="s">
        <v>5993</v>
      </c>
      <c r="K5915" s="1" t="s">
        <v>25</v>
      </c>
      <c r="L5915">
        <v>-1.64</v>
      </c>
      <c r="M5915" s="1" t="s">
        <v>23</v>
      </c>
      <c r="N5915" s="1" t="s">
        <v>230</v>
      </c>
      <c r="O5915" s="1" t="s">
        <v>6005</v>
      </c>
      <c r="P5915" s="3" t="s">
        <v>28</v>
      </c>
      <c r="Q5915" s="37">
        <v>0.63045320000000005</v>
      </c>
      <c r="R5915" s="1" t="s">
        <v>231</v>
      </c>
      <c r="S5915" s="13">
        <f t="shared" si="251"/>
        <v>-1.64</v>
      </c>
    </row>
    <row r="5916" spans="1:19">
      <c r="A5916" s="18" t="s">
        <v>5991</v>
      </c>
      <c r="B5916" s="1" t="s">
        <v>6222</v>
      </c>
      <c r="C5916" s="1" t="s">
        <v>4081</v>
      </c>
      <c r="D5916" s="1" t="s">
        <v>5060</v>
      </c>
      <c r="E5916" s="1" t="s">
        <v>25</v>
      </c>
      <c r="F5916">
        <v>560</v>
      </c>
      <c r="G5916">
        <v>590</v>
      </c>
      <c r="H5916">
        <v>240.4</v>
      </c>
      <c r="I5916" s="1" t="s">
        <v>5992</v>
      </c>
      <c r="J5916" s="1" t="s">
        <v>5993</v>
      </c>
      <c r="K5916" s="1" t="s">
        <v>25</v>
      </c>
      <c r="L5916">
        <v>-1.74</v>
      </c>
      <c r="M5916" s="1" t="s">
        <v>23</v>
      </c>
      <c r="N5916" s="1" t="s">
        <v>230</v>
      </c>
      <c r="O5916" s="1" t="s">
        <v>6064</v>
      </c>
      <c r="P5916" s="3" t="s">
        <v>28</v>
      </c>
      <c r="Q5916" s="37">
        <v>1.318889</v>
      </c>
      <c r="R5916" s="1" t="s">
        <v>231</v>
      </c>
      <c r="S5916" s="13">
        <f t="shared" si="251"/>
        <v>-1.74</v>
      </c>
    </row>
    <row r="5917" spans="1:19">
      <c r="A5917" s="18" t="s">
        <v>5991</v>
      </c>
      <c r="B5917" s="1" t="s">
        <v>6223</v>
      </c>
      <c r="C5917" s="1" t="s">
        <v>4081</v>
      </c>
      <c r="D5917" s="1" t="s">
        <v>5060</v>
      </c>
      <c r="E5917" s="1" t="s">
        <v>25</v>
      </c>
      <c r="F5917">
        <v>560</v>
      </c>
      <c r="G5917">
        <v>590</v>
      </c>
      <c r="H5917">
        <v>252.8</v>
      </c>
      <c r="I5917" s="1" t="s">
        <v>5992</v>
      </c>
      <c r="J5917" s="1" t="s">
        <v>5993</v>
      </c>
      <c r="K5917" s="1" t="s">
        <v>25</v>
      </c>
      <c r="L5917">
        <v>-1.58</v>
      </c>
      <c r="M5917" s="1" t="s">
        <v>23</v>
      </c>
      <c r="N5917" s="1" t="s">
        <v>230</v>
      </c>
      <c r="O5917" s="1" t="s">
        <v>6065</v>
      </c>
      <c r="P5917" s="3" t="s">
        <v>28</v>
      </c>
      <c r="Q5917" s="37">
        <v>0.86824950000000001</v>
      </c>
      <c r="R5917" s="1" t="s">
        <v>231</v>
      </c>
      <c r="S5917" s="13">
        <f t="shared" si="251"/>
        <v>-1.58</v>
      </c>
    </row>
    <row r="5918" spans="1:19">
      <c r="A5918" s="18" t="s">
        <v>5991</v>
      </c>
      <c r="B5918" s="1" t="s">
        <v>6224</v>
      </c>
      <c r="C5918" s="1" t="s">
        <v>4081</v>
      </c>
      <c r="D5918" s="1" t="s">
        <v>5060</v>
      </c>
      <c r="E5918" s="1" t="s">
        <v>25</v>
      </c>
      <c r="F5918">
        <v>560</v>
      </c>
      <c r="G5918">
        <v>590</v>
      </c>
      <c r="H5918">
        <v>264</v>
      </c>
      <c r="I5918" s="1" t="s">
        <v>5992</v>
      </c>
      <c r="J5918" s="1" t="s">
        <v>5993</v>
      </c>
      <c r="K5918" s="1" t="s">
        <v>25</v>
      </c>
      <c r="L5918">
        <v>-1.79</v>
      </c>
      <c r="M5918" s="1" t="s">
        <v>23</v>
      </c>
      <c r="N5918" s="1" t="s">
        <v>230</v>
      </c>
      <c r="O5918" s="1" t="s">
        <v>6066</v>
      </c>
      <c r="P5918" s="3" t="s">
        <v>28</v>
      </c>
      <c r="Q5918" s="37">
        <v>1.2087425000000001</v>
      </c>
      <c r="R5918" s="1" t="s">
        <v>231</v>
      </c>
      <c r="S5918" s="13">
        <f t="shared" si="251"/>
        <v>-1.79</v>
      </c>
    </row>
    <row r="5919" spans="1:19">
      <c r="A5919" s="18" t="s">
        <v>5991</v>
      </c>
      <c r="B5919" s="1" t="s">
        <v>6225</v>
      </c>
      <c r="C5919" s="1" t="s">
        <v>4081</v>
      </c>
      <c r="D5919" s="1" t="s">
        <v>5060</v>
      </c>
      <c r="E5919" s="1" t="s">
        <v>25</v>
      </c>
      <c r="F5919">
        <v>560</v>
      </c>
      <c r="G5919">
        <v>590</v>
      </c>
      <c r="H5919">
        <v>278.10000000000002</v>
      </c>
      <c r="I5919" s="1" t="s">
        <v>5992</v>
      </c>
      <c r="J5919" s="1" t="s">
        <v>5993</v>
      </c>
      <c r="K5919" s="1" t="s">
        <v>25</v>
      </c>
      <c r="L5919">
        <v>-1.9</v>
      </c>
      <c r="M5919" s="1" t="s">
        <v>23</v>
      </c>
      <c r="N5919" s="1" t="s">
        <v>230</v>
      </c>
      <c r="O5919" s="1" t="s">
        <v>6066</v>
      </c>
      <c r="P5919" s="3" t="s">
        <v>28</v>
      </c>
      <c r="Q5919" s="37">
        <v>1.2144188</v>
      </c>
      <c r="R5919" s="1" t="s">
        <v>231</v>
      </c>
      <c r="S5919" s="13">
        <f t="shared" si="251"/>
        <v>-1.9</v>
      </c>
    </row>
    <row r="5920" spans="1:19">
      <c r="A5920" s="18" t="s">
        <v>5991</v>
      </c>
      <c r="B5920" s="1" t="s">
        <v>6226</v>
      </c>
      <c r="C5920" s="1" t="s">
        <v>4081</v>
      </c>
      <c r="D5920" s="1" t="s">
        <v>5060</v>
      </c>
      <c r="E5920" s="1" t="s">
        <v>25</v>
      </c>
      <c r="F5920">
        <v>560</v>
      </c>
      <c r="G5920">
        <v>590</v>
      </c>
      <c r="H5920">
        <v>284.3</v>
      </c>
      <c r="I5920" s="1" t="s">
        <v>5992</v>
      </c>
      <c r="J5920" s="1" t="s">
        <v>5993</v>
      </c>
      <c r="K5920" s="1" t="s">
        <v>25</v>
      </c>
      <c r="L5920">
        <v>-1.79</v>
      </c>
      <c r="M5920" s="1" t="s">
        <v>23</v>
      </c>
      <c r="N5920" s="1" t="s">
        <v>230</v>
      </c>
      <c r="O5920" s="1" t="s">
        <v>6009</v>
      </c>
      <c r="P5920" s="3" t="s">
        <v>28</v>
      </c>
      <c r="Q5920" s="37">
        <v>1.088355</v>
      </c>
      <c r="R5920" s="1" t="s">
        <v>231</v>
      </c>
      <c r="S5920" s="13">
        <f t="shared" si="251"/>
        <v>-1.79</v>
      </c>
    </row>
    <row r="5921" spans="1:19">
      <c r="A5921" s="18" t="s">
        <v>5991</v>
      </c>
      <c r="B5921" s="1" t="s">
        <v>6227</v>
      </c>
      <c r="C5921" s="1" t="s">
        <v>4081</v>
      </c>
      <c r="D5921" s="1" t="s">
        <v>5060</v>
      </c>
      <c r="E5921" s="1" t="s">
        <v>25</v>
      </c>
      <c r="F5921">
        <v>560</v>
      </c>
      <c r="G5921">
        <v>590</v>
      </c>
      <c r="H5921">
        <v>297.8</v>
      </c>
      <c r="I5921" s="1" t="s">
        <v>5992</v>
      </c>
      <c r="J5921" s="1" t="s">
        <v>5993</v>
      </c>
      <c r="K5921" s="1" t="s">
        <v>25</v>
      </c>
      <c r="L5921">
        <v>-1.91</v>
      </c>
      <c r="M5921" s="1" t="s">
        <v>23</v>
      </c>
      <c r="N5921" s="1" t="s">
        <v>230</v>
      </c>
      <c r="O5921" s="1" t="s">
        <v>6067</v>
      </c>
      <c r="P5921" s="3" t="s">
        <v>28</v>
      </c>
      <c r="Q5921" s="37">
        <v>1.4898450000000001</v>
      </c>
      <c r="R5921" s="1" t="s">
        <v>231</v>
      </c>
      <c r="S5921" s="13">
        <f t="shared" si="251"/>
        <v>-1.91</v>
      </c>
    </row>
    <row r="5922" spans="1:19">
      <c r="A5922" s="18" t="s">
        <v>5991</v>
      </c>
      <c r="B5922" s="1" t="s">
        <v>6228</v>
      </c>
      <c r="C5922" s="1" t="s">
        <v>4081</v>
      </c>
      <c r="D5922" s="1" t="s">
        <v>5060</v>
      </c>
      <c r="E5922" s="1" t="s">
        <v>25</v>
      </c>
      <c r="F5922">
        <v>560</v>
      </c>
      <c r="G5922">
        <v>590</v>
      </c>
      <c r="H5922">
        <v>313.3</v>
      </c>
      <c r="I5922" s="1" t="s">
        <v>5992</v>
      </c>
      <c r="J5922" s="1" t="s">
        <v>5993</v>
      </c>
      <c r="K5922" s="1" t="s">
        <v>25</v>
      </c>
      <c r="L5922">
        <v>-1.69</v>
      </c>
      <c r="M5922" s="1" t="s">
        <v>23</v>
      </c>
      <c r="N5922" s="1" t="s">
        <v>230</v>
      </c>
      <c r="O5922" s="1" t="s">
        <v>6063</v>
      </c>
      <c r="P5922" s="3" t="s">
        <v>28</v>
      </c>
      <c r="Q5922" s="37">
        <v>0.98852700000000004</v>
      </c>
      <c r="R5922" s="1" t="s">
        <v>231</v>
      </c>
      <c r="S5922" s="13">
        <f t="shared" si="251"/>
        <v>-1.69</v>
      </c>
    </row>
    <row r="5923" spans="1:19">
      <c r="A5923" s="18" t="s">
        <v>5991</v>
      </c>
      <c r="B5923" s="1" t="s">
        <v>6229</v>
      </c>
      <c r="C5923" s="1" t="s">
        <v>4081</v>
      </c>
      <c r="D5923" s="1" t="s">
        <v>5060</v>
      </c>
      <c r="E5923" s="1" t="s">
        <v>25</v>
      </c>
      <c r="F5923">
        <v>560</v>
      </c>
      <c r="G5923">
        <v>590</v>
      </c>
      <c r="H5923">
        <v>328.5</v>
      </c>
      <c r="I5923" s="1" t="s">
        <v>5992</v>
      </c>
      <c r="J5923" s="1" t="s">
        <v>5993</v>
      </c>
      <c r="K5923" s="1" t="s">
        <v>25</v>
      </c>
      <c r="L5923">
        <v>-1.92</v>
      </c>
      <c r="M5923" s="1" t="s">
        <v>23</v>
      </c>
      <c r="N5923" s="1" t="s">
        <v>230</v>
      </c>
      <c r="O5923" s="1" t="s">
        <v>6068</v>
      </c>
      <c r="P5923" s="3" t="s">
        <v>28</v>
      </c>
      <c r="Q5923" s="37">
        <v>1.973517</v>
      </c>
      <c r="R5923" s="1" t="s">
        <v>231</v>
      </c>
      <c r="S5923" s="13">
        <f t="shared" si="251"/>
        <v>-1.92</v>
      </c>
    </row>
    <row r="5924" spans="1:19">
      <c r="A5924" s="18" t="s">
        <v>5991</v>
      </c>
      <c r="B5924" s="1" t="s">
        <v>6230</v>
      </c>
      <c r="C5924" s="1" t="s">
        <v>4081</v>
      </c>
      <c r="D5924" s="1" t="s">
        <v>5060</v>
      </c>
      <c r="E5924" s="1" t="s">
        <v>25</v>
      </c>
      <c r="F5924">
        <v>560</v>
      </c>
      <c r="G5924">
        <v>590</v>
      </c>
      <c r="H5924">
        <v>339.6</v>
      </c>
      <c r="I5924" s="1" t="s">
        <v>5992</v>
      </c>
      <c r="J5924" s="1" t="s">
        <v>5993</v>
      </c>
      <c r="K5924" s="1" t="s">
        <v>25</v>
      </c>
      <c r="L5924">
        <v>-1.82</v>
      </c>
      <c r="M5924" s="1" t="s">
        <v>23</v>
      </c>
      <c r="N5924" s="1" t="s">
        <v>230</v>
      </c>
      <c r="O5924" s="1" t="s">
        <v>6069</v>
      </c>
      <c r="P5924" s="3" t="s">
        <v>28</v>
      </c>
      <c r="Q5924" s="37">
        <v>1.5519095999999999</v>
      </c>
      <c r="R5924" s="1" t="s">
        <v>231</v>
      </c>
      <c r="S5924" s="13">
        <f t="shared" si="251"/>
        <v>-1.82</v>
      </c>
    </row>
    <row r="5925" spans="1:19">
      <c r="A5925" s="18" t="s">
        <v>5991</v>
      </c>
      <c r="B5925" s="1" t="s">
        <v>6231</v>
      </c>
      <c r="C5925" s="1" t="s">
        <v>4081</v>
      </c>
      <c r="D5925" s="1" t="s">
        <v>5060</v>
      </c>
      <c r="E5925" s="1" t="s">
        <v>25</v>
      </c>
      <c r="F5925">
        <v>560</v>
      </c>
      <c r="G5925">
        <v>590</v>
      </c>
      <c r="H5925">
        <v>353.1</v>
      </c>
      <c r="I5925" s="1" t="s">
        <v>5992</v>
      </c>
      <c r="J5925" s="1" t="s">
        <v>5993</v>
      </c>
      <c r="K5925" s="1" t="s">
        <v>25</v>
      </c>
      <c r="L5925">
        <v>-1.37</v>
      </c>
      <c r="M5925" s="1" t="s">
        <v>23</v>
      </c>
      <c r="N5925" s="1" t="s">
        <v>230</v>
      </c>
      <c r="O5925" s="1" t="s">
        <v>6062</v>
      </c>
      <c r="P5925" s="3" t="s">
        <v>28</v>
      </c>
      <c r="Q5925" s="37">
        <v>0.95938279999999998</v>
      </c>
      <c r="R5925" s="1" t="s">
        <v>231</v>
      </c>
      <c r="S5925" s="13">
        <f t="shared" si="251"/>
        <v>-1.37</v>
      </c>
    </row>
    <row r="5926" spans="1:19">
      <c r="A5926" s="18" t="s">
        <v>5991</v>
      </c>
      <c r="B5926" s="1" t="s">
        <v>6232</v>
      </c>
      <c r="C5926" s="1" t="s">
        <v>4081</v>
      </c>
      <c r="D5926" s="1" t="s">
        <v>5060</v>
      </c>
      <c r="E5926" s="1" t="s">
        <v>25</v>
      </c>
      <c r="F5926">
        <v>560</v>
      </c>
      <c r="G5926">
        <v>590</v>
      </c>
      <c r="H5926">
        <v>371.9</v>
      </c>
      <c r="I5926" s="1" t="s">
        <v>5992</v>
      </c>
      <c r="J5926" s="1" t="s">
        <v>5993</v>
      </c>
      <c r="K5926" s="1" t="s">
        <v>25</v>
      </c>
      <c r="L5926">
        <v>-1.52</v>
      </c>
      <c r="M5926" s="1" t="s">
        <v>23</v>
      </c>
      <c r="N5926" s="1" t="s">
        <v>230</v>
      </c>
      <c r="O5926" s="1" t="s">
        <v>6070</v>
      </c>
      <c r="P5926" s="3" t="s">
        <v>28</v>
      </c>
      <c r="Q5926" s="37">
        <v>1.1190921</v>
      </c>
      <c r="R5926" s="1" t="s">
        <v>231</v>
      </c>
      <c r="S5926" s="13">
        <f t="shared" si="251"/>
        <v>-1.52</v>
      </c>
    </row>
    <row r="5927" spans="1:19">
      <c r="A5927" s="18" t="s">
        <v>5991</v>
      </c>
      <c r="B5927" s="1" t="s">
        <v>6233</v>
      </c>
      <c r="C5927" s="1" t="s">
        <v>4081</v>
      </c>
      <c r="D5927" s="1" t="s">
        <v>5060</v>
      </c>
      <c r="E5927" s="1" t="s">
        <v>25</v>
      </c>
      <c r="F5927">
        <v>560</v>
      </c>
      <c r="G5927">
        <v>590</v>
      </c>
      <c r="H5927">
        <v>387.1</v>
      </c>
      <c r="I5927" s="1" t="s">
        <v>5992</v>
      </c>
      <c r="J5927" s="1" t="s">
        <v>5993</v>
      </c>
      <c r="K5927" s="1" t="s">
        <v>25</v>
      </c>
      <c r="L5927">
        <v>-1.24</v>
      </c>
      <c r="M5927" s="1" t="s">
        <v>23</v>
      </c>
      <c r="N5927" s="1" t="s">
        <v>230</v>
      </c>
      <c r="O5927" s="1" t="s">
        <v>6071</v>
      </c>
      <c r="P5927" s="3" t="s">
        <v>28</v>
      </c>
      <c r="Q5927" s="37">
        <v>0.57173200000000002</v>
      </c>
      <c r="R5927" s="1" t="s">
        <v>231</v>
      </c>
      <c r="S5927" s="13">
        <f t="shared" si="251"/>
        <v>-1.24</v>
      </c>
    </row>
    <row r="5928" spans="1:19">
      <c r="A5928" s="18" t="s">
        <v>5991</v>
      </c>
      <c r="B5928" s="1" t="s">
        <v>6234</v>
      </c>
      <c r="C5928" s="1" t="s">
        <v>4081</v>
      </c>
      <c r="D5928" s="1" t="s">
        <v>5060</v>
      </c>
      <c r="E5928" s="1" t="s">
        <v>25</v>
      </c>
      <c r="F5928">
        <v>560</v>
      </c>
      <c r="G5928">
        <v>590</v>
      </c>
      <c r="H5928">
        <v>399</v>
      </c>
      <c r="I5928" s="1" t="s">
        <v>5992</v>
      </c>
      <c r="J5928" s="1" t="s">
        <v>5993</v>
      </c>
      <c r="K5928" s="1" t="s">
        <v>25</v>
      </c>
      <c r="L5928">
        <v>-1.23</v>
      </c>
      <c r="M5928" s="1" t="s">
        <v>23</v>
      </c>
      <c r="N5928" s="1" t="s">
        <v>230</v>
      </c>
      <c r="O5928" s="1" t="s">
        <v>6023</v>
      </c>
      <c r="P5928" s="3" t="s">
        <v>28</v>
      </c>
      <c r="Q5928" s="37">
        <v>0.66704640000000004</v>
      </c>
      <c r="R5928" s="1" t="s">
        <v>231</v>
      </c>
      <c r="S5928" s="13">
        <f t="shared" si="251"/>
        <v>-1.23</v>
      </c>
    </row>
    <row r="5929" spans="1:19">
      <c r="A5929" s="18" t="s">
        <v>5991</v>
      </c>
      <c r="B5929" s="1" t="s">
        <v>6235</v>
      </c>
      <c r="C5929" s="1" t="s">
        <v>4081</v>
      </c>
      <c r="D5929" s="1" t="s">
        <v>5060</v>
      </c>
      <c r="E5929" s="1" t="s">
        <v>25</v>
      </c>
      <c r="F5929">
        <v>560</v>
      </c>
      <c r="G5929">
        <v>590</v>
      </c>
      <c r="H5929">
        <v>410.8</v>
      </c>
      <c r="I5929" s="1" t="s">
        <v>5992</v>
      </c>
      <c r="J5929" s="1" t="s">
        <v>5993</v>
      </c>
      <c r="K5929" s="1" t="s">
        <v>25</v>
      </c>
      <c r="L5929">
        <v>-1.54</v>
      </c>
      <c r="M5929" s="1" t="s">
        <v>23</v>
      </c>
      <c r="N5929" s="1" t="s">
        <v>230</v>
      </c>
      <c r="O5929" s="1" t="s">
        <v>6072</v>
      </c>
      <c r="P5929" s="3" t="s">
        <v>28</v>
      </c>
      <c r="Q5929" s="37">
        <v>0.76658249999999994</v>
      </c>
      <c r="R5929" s="1" t="s">
        <v>231</v>
      </c>
      <c r="S5929" s="13">
        <f t="shared" si="251"/>
        <v>-1.54</v>
      </c>
    </row>
    <row r="5930" spans="1:19">
      <c r="A5930" s="18" t="s">
        <v>5991</v>
      </c>
      <c r="B5930" s="1" t="s">
        <v>6236</v>
      </c>
      <c r="C5930" s="1" t="s">
        <v>4081</v>
      </c>
      <c r="D5930" s="1" t="s">
        <v>5060</v>
      </c>
      <c r="E5930" s="1" t="s">
        <v>25</v>
      </c>
      <c r="F5930">
        <v>560</v>
      </c>
      <c r="G5930">
        <v>590</v>
      </c>
      <c r="H5930">
        <v>419.5</v>
      </c>
      <c r="I5930" s="1" t="s">
        <v>5992</v>
      </c>
      <c r="J5930" s="1" t="s">
        <v>5993</v>
      </c>
      <c r="K5930" s="1" t="s">
        <v>25</v>
      </c>
      <c r="L5930">
        <v>-1.68</v>
      </c>
      <c r="M5930" s="1" t="s">
        <v>23</v>
      </c>
      <c r="N5930" s="1" t="s">
        <v>230</v>
      </c>
      <c r="O5930" s="1" t="s">
        <v>6073</v>
      </c>
      <c r="P5930" s="3" t="s">
        <v>28</v>
      </c>
      <c r="Q5930" s="37">
        <v>1.6345525000000001</v>
      </c>
      <c r="R5930" s="1" t="s">
        <v>231</v>
      </c>
      <c r="S5930" s="13">
        <f t="shared" si="251"/>
        <v>-1.68</v>
      </c>
    </row>
    <row r="5931" spans="1:19">
      <c r="A5931" s="18" t="s">
        <v>5991</v>
      </c>
      <c r="B5931" s="1" t="s">
        <v>6237</v>
      </c>
      <c r="C5931" s="1" t="s">
        <v>4081</v>
      </c>
      <c r="D5931" s="1" t="s">
        <v>5060</v>
      </c>
      <c r="E5931" s="1" t="s">
        <v>25</v>
      </c>
      <c r="F5931">
        <v>560</v>
      </c>
      <c r="G5931">
        <v>590</v>
      </c>
      <c r="H5931">
        <v>430.1</v>
      </c>
      <c r="I5931" s="1" t="s">
        <v>5992</v>
      </c>
      <c r="J5931" s="1" t="s">
        <v>5993</v>
      </c>
      <c r="K5931" s="1" t="s">
        <v>25</v>
      </c>
      <c r="L5931">
        <v>-1.59</v>
      </c>
      <c r="M5931" s="1" t="s">
        <v>23</v>
      </c>
      <c r="N5931" s="1" t="s">
        <v>230</v>
      </c>
      <c r="O5931" s="1" t="s">
        <v>6074</v>
      </c>
      <c r="P5931" s="3" t="s">
        <v>28</v>
      </c>
      <c r="Q5931" s="37">
        <v>1.220232</v>
      </c>
      <c r="R5931" s="1" t="s">
        <v>231</v>
      </c>
      <c r="S5931" s="13">
        <f t="shared" si="251"/>
        <v>-1.59</v>
      </c>
    </row>
    <row r="5932" spans="1:19">
      <c r="A5932" s="18" t="s">
        <v>5991</v>
      </c>
      <c r="B5932" s="1" t="s">
        <v>6238</v>
      </c>
      <c r="C5932" s="1" t="s">
        <v>4081</v>
      </c>
      <c r="D5932" s="1" t="s">
        <v>5060</v>
      </c>
      <c r="E5932" s="1" t="s">
        <v>25</v>
      </c>
      <c r="F5932">
        <v>560</v>
      </c>
      <c r="G5932">
        <v>590</v>
      </c>
      <c r="H5932">
        <v>440.6</v>
      </c>
      <c r="I5932" s="1" t="s">
        <v>5992</v>
      </c>
      <c r="J5932" s="1" t="s">
        <v>5993</v>
      </c>
      <c r="K5932" s="1" t="s">
        <v>25</v>
      </c>
      <c r="L5932">
        <v>-1.62</v>
      </c>
      <c r="M5932" s="1" t="s">
        <v>23</v>
      </c>
      <c r="N5932" s="1" t="s">
        <v>230</v>
      </c>
      <c r="O5932" s="1" t="s">
        <v>6075</v>
      </c>
      <c r="P5932" s="3" t="s">
        <v>28</v>
      </c>
      <c r="Q5932" s="37">
        <v>1.732572</v>
      </c>
      <c r="R5932" s="1" t="s">
        <v>231</v>
      </c>
      <c r="S5932" s="13">
        <f t="shared" si="251"/>
        <v>-1.62</v>
      </c>
    </row>
    <row r="5933" spans="1:19">
      <c r="A5933" s="18" t="s">
        <v>5991</v>
      </c>
      <c r="B5933" s="1" t="s">
        <v>6239</v>
      </c>
      <c r="C5933" s="1" t="s">
        <v>4081</v>
      </c>
      <c r="D5933" s="1" t="s">
        <v>5060</v>
      </c>
      <c r="E5933" s="1" t="s">
        <v>25</v>
      </c>
      <c r="F5933">
        <v>560</v>
      </c>
      <c r="G5933">
        <v>590</v>
      </c>
      <c r="H5933">
        <v>451.3</v>
      </c>
      <c r="I5933" s="1" t="s">
        <v>5992</v>
      </c>
      <c r="J5933" s="1" t="s">
        <v>5993</v>
      </c>
      <c r="K5933" s="1" t="s">
        <v>25</v>
      </c>
      <c r="L5933">
        <v>-1.57</v>
      </c>
      <c r="M5933" s="1" t="s">
        <v>23</v>
      </c>
      <c r="N5933" s="1" t="s">
        <v>230</v>
      </c>
      <c r="O5933" s="1" t="s">
        <v>6076</v>
      </c>
      <c r="P5933" s="3" t="s">
        <v>28</v>
      </c>
      <c r="Q5933" s="37">
        <v>1.5639778</v>
      </c>
      <c r="R5933" s="1" t="s">
        <v>231</v>
      </c>
      <c r="S5933" s="13">
        <f t="shared" si="251"/>
        <v>-1.57</v>
      </c>
    </row>
    <row r="5934" spans="1:19">
      <c r="A5934" s="18" t="s">
        <v>5991</v>
      </c>
      <c r="B5934" s="1" t="s">
        <v>6240</v>
      </c>
      <c r="C5934" s="1" t="s">
        <v>4081</v>
      </c>
      <c r="D5934" s="1" t="s">
        <v>5060</v>
      </c>
      <c r="E5934" s="1" t="s">
        <v>25</v>
      </c>
      <c r="F5934">
        <v>560</v>
      </c>
      <c r="G5934">
        <v>590</v>
      </c>
      <c r="H5934">
        <v>461.4</v>
      </c>
      <c r="I5934" s="1" t="s">
        <v>5992</v>
      </c>
      <c r="J5934" s="1" t="s">
        <v>5993</v>
      </c>
      <c r="K5934" s="1" t="s">
        <v>25</v>
      </c>
      <c r="L5934">
        <v>-1.49</v>
      </c>
      <c r="M5934" s="1" t="s">
        <v>23</v>
      </c>
      <c r="N5934" s="1" t="s">
        <v>230</v>
      </c>
      <c r="O5934" s="1" t="s">
        <v>6077</v>
      </c>
      <c r="P5934" s="3" t="s">
        <v>28</v>
      </c>
      <c r="Q5934" s="37">
        <v>1.0304222000000001</v>
      </c>
      <c r="R5934" s="1" t="s">
        <v>231</v>
      </c>
      <c r="S5934" s="13">
        <f t="shared" si="251"/>
        <v>-1.49</v>
      </c>
    </row>
    <row r="5935" spans="1:19">
      <c r="A5935" s="18" t="s">
        <v>5991</v>
      </c>
      <c r="B5935" s="1" t="s">
        <v>6241</v>
      </c>
      <c r="C5935" s="1" t="s">
        <v>4081</v>
      </c>
      <c r="D5935" s="1" t="s">
        <v>5060</v>
      </c>
      <c r="E5935" s="1" t="s">
        <v>25</v>
      </c>
      <c r="F5935">
        <v>560</v>
      </c>
      <c r="G5935">
        <v>590</v>
      </c>
      <c r="H5935">
        <v>471.8</v>
      </c>
      <c r="I5935" s="1" t="s">
        <v>5992</v>
      </c>
      <c r="J5935" s="1" t="s">
        <v>5993</v>
      </c>
      <c r="K5935" s="1" t="s">
        <v>25</v>
      </c>
      <c r="L5935">
        <v>-1.48</v>
      </c>
      <c r="M5935" s="1" t="s">
        <v>23</v>
      </c>
      <c r="N5935" s="1" t="s">
        <v>230</v>
      </c>
      <c r="O5935" s="1" t="s">
        <v>6017</v>
      </c>
      <c r="P5935" s="3" t="s">
        <v>28</v>
      </c>
      <c r="Q5935" s="37">
        <v>1.1176219999999999</v>
      </c>
      <c r="R5935" s="1" t="s">
        <v>231</v>
      </c>
      <c r="S5935" s="13">
        <f t="shared" si="251"/>
        <v>-1.48</v>
      </c>
    </row>
    <row r="5936" spans="1:19">
      <c r="A5936" s="18" t="s">
        <v>5991</v>
      </c>
      <c r="B5936" s="1" t="s">
        <v>6242</v>
      </c>
      <c r="C5936" s="1" t="s">
        <v>4081</v>
      </c>
      <c r="D5936" s="1" t="s">
        <v>5060</v>
      </c>
      <c r="E5936" s="1" t="s">
        <v>25</v>
      </c>
      <c r="F5936">
        <v>560</v>
      </c>
      <c r="G5936">
        <v>590</v>
      </c>
      <c r="H5936">
        <v>488.7</v>
      </c>
      <c r="I5936" s="1" t="s">
        <v>5992</v>
      </c>
      <c r="J5936" s="1" t="s">
        <v>5993</v>
      </c>
      <c r="K5936" s="1" t="s">
        <v>25</v>
      </c>
      <c r="L5936">
        <v>-1.6</v>
      </c>
      <c r="M5936" s="1" t="s">
        <v>23</v>
      </c>
      <c r="N5936" s="1" t="s">
        <v>230</v>
      </c>
      <c r="O5936" s="1" t="s">
        <v>6078</v>
      </c>
      <c r="P5936" s="3" t="s">
        <v>28</v>
      </c>
      <c r="Q5936" s="37">
        <v>1.6097988000000001</v>
      </c>
      <c r="R5936" s="1" t="s">
        <v>231</v>
      </c>
      <c r="S5936" s="13">
        <f t="shared" si="251"/>
        <v>-1.6</v>
      </c>
    </row>
    <row r="5937" spans="1:19">
      <c r="A5937" s="18" t="s">
        <v>5991</v>
      </c>
      <c r="B5937" s="1" t="s">
        <v>6243</v>
      </c>
      <c r="C5937" s="1" t="s">
        <v>4081</v>
      </c>
      <c r="D5937" s="1" t="s">
        <v>5060</v>
      </c>
      <c r="E5937" s="1" t="s">
        <v>25</v>
      </c>
      <c r="F5937">
        <v>560</v>
      </c>
      <c r="G5937">
        <v>590</v>
      </c>
      <c r="H5937">
        <v>499.8</v>
      </c>
      <c r="I5937" s="1" t="s">
        <v>5992</v>
      </c>
      <c r="J5937" s="1" t="s">
        <v>5993</v>
      </c>
      <c r="K5937" s="1" t="s">
        <v>25</v>
      </c>
      <c r="L5937">
        <v>-1.6</v>
      </c>
      <c r="M5937" s="1" t="s">
        <v>23</v>
      </c>
      <c r="N5937" s="1" t="s">
        <v>230</v>
      </c>
      <c r="O5937" s="1" t="s">
        <v>6079</v>
      </c>
      <c r="P5937" s="3" t="s">
        <v>28</v>
      </c>
      <c r="Q5937" s="37">
        <v>2.0967444</v>
      </c>
      <c r="R5937" s="1" t="s">
        <v>231</v>
      </c>
      <c r="S5937" s="13">
        <f t="shared" si="251"/>
        <v>-1.6</v>
      </c>
    </row>
    <row r="5938" spans="1:19">
      <c r="A5938" s="18" t="s">
        <v>5991</v>
      </c>
      <c r="B5938" s="1" t="s">
        <v>6244</v>
      </c>
      <c r="C5938" s="1" t="s">
        <v>4081</v>
      </c>
      <c r="D5938" s="1" t="s">
        <v>5060</v>
      </c>
      <c r="E5938" s="1" t="s">
        <v>25</v>
      </c>
      <c r="F5938">
        <v>560</v>
      </c>
      <c r="G5938">
        <v>590</v>
      </c>
      <c r="H5938">
        <v>509.4</v>
      </c>
      <c r="I5938" s="1" t="s">
        <v>5992</v>
      </c>
      <c r="J5938" s="1" t="s">
        <v>5993</v>
      </c>
      <c r="K5938" s="1" t="s">
        <v>25</v>
      </c>
      <c r="L5938">
        <v>-1.46</v>
      </c>
      <c r="M5938" s="1" t="s">
        <v>23</v>
      </c>
      <c r="N5938" s="1" t="s">
        <v>230</v>
      </c>
      <c r="O5938" s="1" t="s">
        <v>6080</v>
      </c>
      <c r="P5938" s="3" t="s">
        <v>28</v>
      </c>
      <c r="Q5938" s="37">
        <v>1.2938655999999999</v>
      </c>
      <c r="R5938" s="1" t="s">
        <v>231</v>
      </c>
      <c r="S5938" s="13">
        <f t="shared" si="251"/>
        <v>-1.46</v>
      </c>
    </row>
    <row r="5939" spans="1:19">
      <c r="A5939" s="18" t="s">
        <v>5991</v>
      </c>
      <c r="B5939" s="1" t="s">
        <v>6245</v>
      </c>
      <c r="C5939" s="1" t="s">
        <v>4081</v>
      </c>
      <c r="D5939" s="1" t="s">
        <v>5060</v>
      </c>
      <c r="E5939" s="1" t="s">
        <v>25</v>
      </c>
      <c r="F5939">
        <v>560</v>
      </c>
      <c r="G5939">
        <v>590</v>
      </c>
      <c r="H5939">
        <v>519.1</v>
      </c>
      <c r="I5939" s="1" t="s">
        <v>5992</v>
      </c>
      <c r="J5939" s="1" t="s">
        <v>5993</v>
      </c>
      <c r="K5939" s="1" t="s">
        <v>25</v>
      </c>
      <c r="L5939">
        <v>-1.38</v>
      </c>
      <c r="M5939" s="1" t="s">
        <v>23</v>
      </c>
      <c r="N5939" s="1" t="s">
        <v>230</v>
      </c>
      <c r="O5939" s="1" t="s">
        <v>6081</v>
      </c>
      <c r="P5939" s="3" t="s">
        <v>28</v>
      </c>
      <c r="Q5939" s="37">
        <v>0.8418776</v>
      </c>
      <c r="R5939" s="1" t="s">
        <v>231</v>
      </c>
      <c r="S5939" s="13">
        <f t="shared" si="251"/>
        <v>-1.38</v>
      </c>
    </row>
    <row r="5940" spans="1:19">
      <c r="A5940" s="18" t="s">
        <v>5991</v>
      </c>
      <c r="B5940" s="1" t="s">
        <v>6246</v>
      </c>
      <c r="C5940" s="1" t="s">
        <v>4081</v>
      </c>
      <c r="D5940" s="1" t="s">
        <v>5060</v>
      </c>
      <c r="E5940" s="1" t="s">
        <v>25</v>
      </c>
      <c r="F5940">
        <v>560</v>
      </c>
      <c r="G5940">
        <v>590</v>
      </c>
      <c r="H5940">
        <v>529.5</v>
      </c>
      <c r="I5940" s="1" t="s">
        <v>5992</v>
      </c>
      <c r="J5940" s="1" t="s">
        <v>5993</v>
      </c>
      <c r="K5940" s="1" t="s">
        <v>25</v>
      </c>
      <c r="L5940">
        <v>-1.34</v>
      </c>
      <c r="M5940" s="1" t="s">
        <v>23</v>
      </c>
      <c r="N5940" s="1" t="s">
        <v>230</v>
      </c>
      <c r="O5940" s="1" t="s">
        <v>6011</v>
      </c>
      <c r="P5940" s="3" t="s">
        <v>28</v>
      </c>
      <c r="Q5940" s="37">
        <v>0.70739490000000005</v>
      </c>
      <c r="R5940" s="1" t="s">
        <v>231</v>
      </c>
      <c r="S5940" s="13">
        <f t="shared" si="251"/>
        <v>-1.34</v>
      </c>
    </row>
    <row r="5941" spans="1:19">
      <c r="A5941" s="18" t="s">
        <v>5991</v>
      </c>
      <c r="B5941" s="1" t="s">
        <v>6247</v>
      </c>
      <c r="C5941" s="1" t="s">
        <v>4081</v>
      </c>
      <c r="D5941" s="1" t="s">
        <v>5060</v>
      </c>
      <c r="E5941" s="1" t="s">
        <v>25</v>
      </c>
      <c r="F5941">
        <v>560</v>
      </c>
      <c r="G5941">
        <v>590</v>
      </c>
      <c r="H5941">
        <v>539.9</v>
      </c>
      <c r="I5941" s="1" t="s">
        <v>5992</v>
      </c>
      <c r="J5941" s="1" t="s">
        <v>5993</v>
      </c>
      <c r="K5941" s="1" t="s">
        <v>25</v>
      </c>
      <c r="L5941">
        <v>-1.1499999999999999</v>
      </c>
      <c r="M5941" s="1" t="s">
        <v>23</v>
      </c>
      <c r="N5941" s="1" t="s">
        <v>230</v>
      </c>
      <c r="O5941" s="1" t="s">
        <v>6082</v>
      </c>
      <c r="P5941" s="3" t="s">
        <v>28</v>
      </c>
      <c r="Q5941" s="37">
        <v>0.62992800000000004</v>
      </c>
      <c r="R5941" s="1" t="s">
        <v>231</v>
      </c>
      <c r="S5941" s="13">
        <f t="shared" si="251"/>
        <v>-1.1499999999999999</v>
      </c>
    </row>
    <row r="5942" spans="1:19">
      <c r="A5942" s="18" t="s">
        <v>5991</v>
      </c>
      <c r="B5942" s="1" t="s">
        <v>6248</v>
      </c>
      <c r="C5942" s="1" t="s">
        <v>4081</v>
      </c>
      <c r="D5942" s="1" t="s">
        <v>5060</v>
      </c>
      <c r="E5942" s="1" t="s">
        <v>25</v>
      </c>
      <c r="F5942">
        <v>560</v>
      </c>
      <c r="G5942">
        <v>590</v>
      </c>
      <c r="H5942">
        <v>549.79999999999995</v>
      </c>
      <c r="I5942" s="1" t="s">
        <v>5992</v>
      </c>
      <c r="J5942" s="1" t="s">
        <v>5993</v>
      </c>
      <c r="K5942" s="1" t="s">
        <v>25</v>
      </c>
      <c r="L5942">
        <v>-1.21</v>
      </c>
      <c r="M5942" s="1" t="s">
        <v>23</v>
      </c>
      <c r="N5942" s="1" t="s">
        <v>230</v>
      </c>
      <c r="O5942" s="1" t="s">
        <v>6045</v>
      </c>
      <c r="P5942" s="3" t="s">
        <v>28</v>
      </c>
      <c r="Q5942" s="37">
        <v>0.58904279999999998</v>
      </c>
      <c r="R5942" s="1" t="s">
        <v>231</v>
      </c>
      <c r="S5942" s="13">
        <f t="shared" si="251"/>
        <v>-1.21</v>
      </c>
    </row>
    <row r="5943" spans="1:19">
      <c r="A5943" s="18" t="s">
        <v>5991</v>
      </c>
      <c r="B5943" s="1" t="s">
        <v>6249</v>
      </c>
      <c r="C5943" s="1" t="s">
        <v>4081</v>
      </c>
      <c r="D5943" s="1" t="s">
        <v>5060</v>
      </c>
      <c r="E5943" s="1" t="s">
        <v>25</v>
      </c>
      <c r="F5943">
        <v>560</v>
      </c>
      <c r="G5943">
        <v>590</v>
      </c>
      <c r="H5943">
        <v>553.4</v>
      </c>
      <c r="I5943" s="1" t="s">
        <v>5992</v>
      </c>
      <c r="J5943" s="1" t="s">
        <v>5993</v>
      </c>
      <c r="K5943" s="1" t="s">
        <v>25</v>
      </c>
      <c r="L5943">
        <v>-0.92</v>
      </c>
      <c r="M5943" s="1" t="s">
        <v>23</v>
      </c>
      <c r="N5943" s="1" t="s">
        <v>230</v>
      </c>
      <c r="O5943" s="1" t="s">
        <v>6083</v>
      </c>
      <c r="P5943" s="3" t="s">
        <v>28</v>
      </c>
      <c r="Q5943" s="37">
        <v>0.41566350000000002</v>
      </c>
      <c r="R5943" s="1" t="s">
        <v>231</v>
      </c>
      <c r="S5943" s="13">
        <f t="shared" si="251"/>
        <v>-0.92</v>
      </c>
    </row>
    <row r="5944" spans="1:19">
      <c r="A5944" s="18" t="s">
        <v>5991</v>
      </c>
      <c r="B5944" s="1" t="s">
        <v>6250</v>
      </c>
      <c r="C5944" s="1" t="s">
        <v>4081</v>
      </c>
      <c r="D5944" s="1" t="s">
        <v>5060</v>
      </c>
      <c r="E5944" s="1" t="s">
        <v>25</v>
      </c>
      <c r="F5944">
        <v>560</v>
      </c>
      <c r="G5944">
        <v>590</v>
      </c>
      <c r="H5944">
        <v>613.6</v>
      </c>
      <c r="I5944" s="1" t="s">
        <v>5992</v>
      </c>
      <c r="J5944" s="1" t="s">
        <v>5993</v>
      </c>
      <c r="K5944" s="1" t="s">
        <v>25</v>
      </c>
      <c r="L5944">
        <v>-1.1599999999999999</v>
      </c>
      <c r="M5944" s="1" t="s">
        <v>23</v>
      </c>
      <c r="N5944" s="1" t="s">
        <v>230</v>
      </c>
      <c r="O5944" s="1" t="s">
        <v>6084</v>
      </c>
      <c r="P5944" s="3" t="s">
        <v>28</v>
      </c>
      <c r="Q5944" s="37">
        <v>0.33363520000000002</v>
      </c>
      <c r="R5944" s="1" t="s">
        <v>231</v>
      </c>
      <c r="S5944" s="13">
        <f t="shared" si="251"/>
        <v>-1.1599999999999999</v>
      </c>
    </row>
    <row r="5945" spans="1:19">
      <c r="A5945" s="18" t="s">
        <v>5991</v>
      </c>
      <c r="B5945" s="1" t="s">
        <v>6251</v>
      </c>
      <c r="C5945" s="1" t="s">
        <v>4081</v>
      </c>
      <c r="D5945" s="1" t="s">
        <v>5060</v>
      </c>
      <c r="E5945" s="1" t="s">
        <v>25</v>
      </c>
      <c r="F5945">
        <v>560</v>
      </c>
      <c r="G5945">
        <v>590</v>
      </c>
      <c r="H5945">
        <v>618.79999999999995</v>
      </c>
      <c r="I5945" s="1" t="s">
        <v>5992</v>
      </c>
      <c r="J5945" s="1" t="s">
        <v>5993</v>
      </c>
      <c r="K5945" s="1" t="s">
        <v>25</v>
      </c>
      <c r="L5945">
        <v>-1.06</v>
      </c>
      <c r="M5945" s="1" t="s">
        <v>23</v>
      </c>
      <c r="N5945" s="1" t="s">
        <v>230</v>
      </c>
      <c r="O5945" s="1" t="s">
        <v>6036</v>
      </c>
      <c r="P5945" s="3" t="s">
        <v>28</v>
      </c>
      <c r="Q5945" s="37">
        <v>0.33711479999999999</v>
      </c>
      <c r="R5945" s="1" t="s">
        <v>231</v>
      </c>
      <c r="S5945" s="13">
        <f t="shared" si="251"/>
        <v>-1.06</v>
      </c>
    </row>
    <row r="5946" spans="1:19">
      <c r="A5946" s="18" t="s">
        <v>5991</v>
      </c>
      <c r="B5946" s="1" t="s">
        <v>6252</v>
      </c>
      <c r="C5946" s="1" t="s">
        <v>4081</v>
      </c>
      <c r="D5946" s="1" t="s">
        <v>5060</v>
      </c>
      <c r="E5946" s="1" t="s">
        <v>25</v>
      </c>
      <c r="F5946">
        <v>560</v>
      </c>
      <c r="G5946">
        <v>590</v>
      </c>
      <c r="H5946">
        <v>44.4</v>
      </c>
      <c r="I5946" s="1" t="s">
        <v>5992</v>
      </c>
      <c r="J5946" s="1" t="s">
        <v>5993</v>
      </c>
      <c r="K5946" s="1" t="s">
        <v>25</v>
      </c>
      <c r="L5946">
        <v>-0.89179086100000005</v>
      </c>
      <c r="M5946" s="1" t="s">
        <v>23</v>
      </c>
      <c r="N5946" s="1" t="s">
        <v>230</v>
      </c>
      <c r="O5946" s="1" t="s">
        <v>5997</v>
      </c>
      <c r="P5946" s="3" t="s">
        <v>28</v>
      </c>
      <c r="Q5946" s="37">
        <v>0.17436389999999999</v>
      </c>
      <c r="R5946" s="1" t="s">
        <v>231</v>
      </c>
      <c r="S5946" s="13">
        <f t="shared" si="251"/>
        <v>-0.89179086100000005</v>
      </c>
    </row>
    <row r="5947" spans="1:19">
      <c r="A5947" s="18" t="s">
        <v>5991</v>
      </c>
      <c r="B5947" s="1" t="s">
        <v>6253</v>
      </c>
      <c r="C5947" s="1" t="s">
        <v>4081</v>
      </c>
      <c r="D5947" s="1" t="s">
        <v>5060</v>
      </c>
      <c r="E5947" s="1" t="s">
        <v>25</v>
      </c>
      <c r="F5947">
        <v>560</v>
      </c>
      <c r="G5947">
        <v>590</v>
      </c>
      <c r="H5947">
        <v>59.1</v>
      </c>
      <c r="I5947" s="1" t="s">
        <v>5992</v>
      </c>
      <c r="J5947" s="1" t="s">
        <v>5993</v>
      </c>
      <c r="K5947" s="1" t="s">
        <v>25</v>
      </c>
      <c r="L5947">
        <v>-0.68169404499999997</v>
      </c>
      <c r="M5947" s="1" t="s">
        <v>23</v>
      </c>
      <c r="N5947" s="1" t="s">
        <v>230</v>
      </c>
      <c r="O5947" s="1" t="s">
        <v>5997</v>
      </c>
      <c r="P5947" s="3" t="s">
        <v>28</v>
      </c>
      <c r="Q5947" s="37">
        <v>0.17415310000000001</v>
      </c>
      <c r="R5947" s="1" t="s">
        <v>231</v>
      </c>
      <c r="S5947" s="13">
        <f t="shared" ref="S5947:S6010" si="252">IF(NOT(N5947="SW"),L5947-1.88,L5947)</f>
        <v>-0.68169404499999997</v>
      </c>
    </row>
    <row r="5948" spans="1:19">
      <c r="A5948" s="18" t="s">
        <v>5991</v>
      </c>
      <c r="B5948" s="1" t="s">
        <v>6254</v>
      </c>
      <c r="C5948" s="1" t="s">
        <v>4081</v>
      </c>
      <c r="D5948" s="1" t="s">
        <v>5060</v>
      </c>
      <c r="E5948" s="1" t="s">
        <v>25</v>
      </c>
      <c r="F5948">
        <v>560</v>
      </c>
      <c r="G5948">
        <v>590</v>
      </c>
      <c r="H5948">
        <v>76</v>
      </c>
      <c r="I5948" s="1" t="s">
        <v>5992</v>
      </c>
      <c r="J5948" s="1" t="s">
        <v>5993</v>
      </c>
      <c r="K5948" s="1" t="s">
        <v>25</v>
      </c>
      <c r="L5948">
        <v>-0.65985856499999995</v>
      </c>
      <c r="M5948" s="1" t="s">
        <v>23</v>
      </c>
      <c r="N5948" s="1" t="s">
        <v>230</v>
      </c>
      <c r="O5948" s="1" t="s">
        <v>6085</v>
      </c>
      <c r="P5948" s="3" t="s">
        <v>28</v>
      </c>
      <c r="Q5948" s="37">
        <v>0.22487960000000001</v>
      </c>
      <c r="R5948" s="1" t="s">
        <v>231</v>
      </c>
      <c r="S5948" s="13">
        <f t="shared" si="252"/>
        <v>-0.65985856499999995</v>
      </c>
    </row>
    <row r="5949" spans="1:19">
      <c r="A5949" s="18" t="s">
        <v>5991</v>
      </c>
      <c r="B5949" s="1" t="s">
        <v>6255</v>
      </c>
      <c r="C5949" s="1" t="s">
        <v>4081</v>
      </c>
      <c r="D5949" s="1" t="s">
        <v>5060</v>
      </c>
      <c r="E5949" s="1" t="s">
        <v>25</v>
      </c>
      <c r="F5949">
        <v>560</v>
      </c>
      <c r="G5949">
        <v>590</v>
      </c>
      <c r="H5949">
        <v>87.3</v>
      </c>
      <c r="I5949" s="1" t="s">
        <v>5992</v>
      </c>
      <c r="J5949" s="1" t="s">
        <v>5993</v>
      </c>
      <c r="K5949" s="1" t="s">
        <v>25</v>
      </c>
      <c r="L5949">
        <v>-1.0030542099999999</v>
      </c>
      <c r="M5949" s="1" t="s">
        <v>23</v>
      </c>
      <c r="N5949" s="1" t="s">
        <v>230</v>
      </c>
      <c r="O5949" s="1" t="s">
        <v>6085</v>
      </c>
      <c r="P5949" s="3" t="s">
        <v>28</v>
      </c>
      <c r="Q5949" s="37">
        <v>0.2244572</v>
      </c>
      <c r="R5949" s="1" t="s">
        <v>231</v>
      </c>
      <c r="S5949" s="13">
        <f t="shared" si="252"/>
        <v>-1.0030542099999999</v>
      </c>
    </row>
    <row r="5950" spans="1:19">
      <c r="A5950" s="18" t="s">
        <v>5991</v>
      </c>
      <c r="B5950" s="1" t="s">
        <v>6256</v>
      </c>
      <c r="C5950" s="1" t="s">
        <v>4081</v>
      </c>
      <c r="D5950" s="1" t="s">
        <v>5060</v>
      </c>
      <c r="E5950" s="1" t="s">
        <v>25</v>
      </c>
      <c r="F5950">
        <v>560</v>
      </c>
      <c r="G5950">
        <v>590</v>
      </c>
      <c r="H5950">
        <v>99.9</v>
      </c>
      <c r="I5950" s="1" t="s">
        <v>5992</v>
      </c>
      <c r="J5950" s="1" t="s">
        <v>5993</v>
      </c>
      <c r="K5950" s="1" t="s">
        <v>25</v>
      </c>
      <c r="L5950">
        <v>-0.89900781699999999</v>
      </c>
      <c r="M5950" s="1" t="s">
        <v>23</v>
      </c>
      <c r="N5950" s="1" t="s">
        <v>230</v>
      </c>
      <c r="O5950" s="1" t="s">
        <v>6086</v>
      </c>
      <c r="P5950" s="3" t="s">
        <v>28</v>
      </c>
      <c r="Q5950" s="37">
        <v>0.2143554</v>
      </c>
      <c r="R5950" s="1" t="s">
        <v>231</v>
      </c>
      <c r="S5950" s="13">
        <f t="shared" si="252"/>
        <v>-0.89900781699999999</v>
      </c>
    </row>
    <row r="5951" spans="1:19">
      <c r="A5951" s="18" t="s">
        <v>5991</v>
      </c>
      <c r="B5951" s="1" t="s">
        <v>6257</v>
      </c>
      <c r="C5951" s="1" t="s">
        <v>4081</v>
      </c>
      <c r="D5951" s="1" t="s">
        <v>5060</v>
      </c>
      <c r="E5951" s="1" t="s">
        <v>25</v>
      </c>
      <c r="F5951">
        <v>560</v>
      </c>
      <c r="G5951">
        <v>590</v>
      </c>
      <c r="H5951">
        <v>109.5</v>
      </c>
      <c r="I5951" s="1" t="s">
        <v>5992</v>
      </c>
      <c r="J5951" s="1" t="s">
        <v>5993</v>
      </c>
      <c r="K5951" s="1" t="s">
        <v>25</v>
      </c>
      <c r="L5951">
        <v>-0.89895295099999994</v>
      </c>
      <c r="M5951" s="1" t="s">
        <v>23</v>
      </c>
      <c r="N5951" s="1" t="s">
        <v>230</v>
      </c>
      <c r="O5951" s="1" t="s">
        <v>5998</v>
      </c>
      <c r="P5951" s="3" t="s">
        <v>28</v>
      </c>
      <c r="Q5951" s="37">
        <v>0.23453099999999999</v>
      </c>
      <c r="R5951" s="1" t="s">
        <v>231</v>
      </c>
      <c r="S5951" s="13">
        <f t="shared" si="252"/>
        <v>-0.89895295099999994</v>
      </c>
    </row>
    <row r="5952" spans="1:19">
      <c r="A5952" s="18" t="s">
        <v>5991</v>
      </c>
      <c r="B5952" s="1" t="s">
        <v>6258</v>
      </c>
      <c r="C5952" s="1" t="s">
        <v>4081</v>
      </c>
      <c r="D5952" s="1" t="s">
        <v>5060</v>
      </c>
      <c r="E5952" s="1" t="s">
        <v>25</v>
      </c>
      <c r="F5952">
        <v>560</v>
      </c>
      <c r="G5952">
        <v>590</v>
      </c>
      <c r="H5952">
        <v>119.4</v>
      </c>
      <c r="I5952" s="1" t="s">
        <v>5992</v>
      </c>
      <c r="J5952" s="1" t="s">
        <v>5993</v>
      </c>
      <c r="K5952" s="1" t="s">
        <v>25</v>
      </c>
      <c r="L5952">
        <v>-0.85542218199999998</v>
      </c>
      <c r="M5952" s="1" t="s">
        <v>23</v>
      </c>
      <c r="N5952" s="1" t="s">
        <v>230</v>
      </c>
      <c r="O5952" s="1" t="s">
        <v>6086</v>
      </c>
      <c r="P5952" s="3" t="s">
        <v>28</v>
      </c>
      <c r="Q5952" s="37">
        <v>0.21384510000000001</v>
      </c>
      <c r="R5952" s="1" t="s">
        <v>231</v>
      </c>
      <c r="S5952" s="13">
        <f t="shared" si="252"/>
        <v>-0.85542218199999998</v>
      </c>
    </row>
    <row r="5953" spans="1:19">
      <c r="A5953" s="18" t="s">
        <v>5991</v>
      </c>
      <c r="B5953" s="1" t="s">
        <v>6259</v>
      </c>
      <c r="C5953" s="1" t="s">
        <v>4081</v>
      </c>
      <c r="D5953" s="1" t="s">
        <v>5060</v>
      </c>
      <c r="E5953" s="1" t="s">
        <v>25</v>
      </c>
      <c r="F5953">
        <v>560</v>
      </c>
      <c r="G5953">
        <v>590</v>
      </c>
      <c r="H5953">
        <v>129.30000000000001</v>
      </c>
      <c r="I5953" s="1" t="s">
        <v>5992</v>
      </c>
      <c r="J5953" s="1" t="s">
        <v>5993</v>
      </c>
      <c r="K5953" s="1" t="s">
        <v>25</v>
      </c>
      <c r="L5953">
        <v>-0.65565398200000002</v>
      </c>
      <c r="M5953" s="1" t="s">
        <v>23</v>
      </c>
      <c r="N5953" s="1" t="s">
        <v>230</v>
      </c>
      <c r="O5953" s="1" t="s">
        <v>6085</v>
      </c>
      <c r="P5953" s="3" t="s">
        <v>28</v>
      </c>
      <c r="Q5953" s="37">
        <v>0.22390499999999999</v>
      </c>
      <c r="R5953" s="1" t="s">
        <v>231</v>
      </c>
      <c r="S5953" s="13">
        <f t="shared" si="252"/>
        <v>-0.65565398200000002</v>
      </c>
    </row>
    <row r="5954" spans="1:19">
      <c r="A5954" s="18" t="s">
        <v>5991</v>
      </c>
      <c r="B5954" s="1" t="s">
        <v>6260</v>
      </c>
      <c r="C5954" s="1" t="s">
        <v>4081</v>
      </c>
      <c r="D5954" s="1" t="s">
        <v>5060</v>
      </c>
      <c r="E5954" s="1" t="s">
        <v>25</v>
      </c>
      <c r="F5954">
        <v>560</v>
      </c>
      <c r="G5954">
        <v>590</v>
      </c>
      <c r="H5954">
        <v>139.6</v>
      </c>
      <c r="I5954" s="1" t="s">
        <v>5992</v>
      </c>
      <c r="J5954" s="1" t="s">
        <v>5993</v>
      </c>
      <c r="K5954" s="1" t="s">
        <v>25</v>
      </c>
      <c r="L5954">
        <v>-0.90514970900000002</v>
      </c>
      <c r="M5954" s="1" t="s">
        <v>23</v>
      </c>
      <c r="N5954" s="1" t="s">
        <v>230</v>
      </c>
      <c r="O5954" s="1" t="s">
        <v>6086</v>
      </c>
      <c r="P5954" s="3" t="s">
        <v>28</v>
      </c>
      <c r="Q5954" s="37">
        <v>0.21426300000000001</v>
      </c>
      <c r="R5954" s="1" t="s">
        <v>231</v>
      </c>
      <c r="S5954" s="13">
        <f t="shared" si="252"/>
        <v>-0.90514970900000002</v>
      </c>
    </row>
    <row r="5955" spans="1:19">
      <c r="A5955" s="18" t="s">
        <v>5991</v>
      </c>
      <c r="B5955" s="1" t="s">
        <v>6261</v>
      </c>
      <c r="C5955" s="1" t="s">
        <v>4081</v>
      </c>
      <c r="D5955" s="1" t="s">
        <v>5060</v>
      </c>
      <c r="E5955" s="1" t="s">
        <v>25</v>
      </c>
      <c r="F5955">
        <v>560</v>
      </c>
      <c r="G5955">
        <v>590</v>
      </c>
      <c r="H5955">
        <v>149.1</v>
      </c>
      <c r="I5955" s="1" t="s">
        <v>5992</v>
      </c>
      <c r="J5955" s="1" t="s">
        <v>5993</v>
      </c>
      <c r="K5955" s="1" t="s">
        <v>25</v>
      </c>
      <c r="L5955">
        <v>-0.88387654999999998</v>
      </c>
      <c r="M5955" s="1" t="s">
        <v>23</v>
      </c>
      <c r="N5955" s="1" t="s">
        <v>230</v>
      </c>
      <c r="O5955" s="1" t="s">
        <v>6035</v>
      </c>
      <c r="P5955" s="3" t="s">
        <v>28</v>
      </c>
      <c r="Q5955" s="37">
        <v>0.244476</v>
      </c>
      <c r="R5955" s="1" t="s">
        <v>231</v>
      </c>
      <c r="S5955" s="13">
        <f t="shared" si="252"/>
        <v>-0.88387654999999998</v>
      </c>
    </row>
    <row r="5956" spans="1:19">
      <c r="A5956" s="18" t="s">
        <v>5991</v>
      </c>
      <c r="B5956" s="1" t="s">
        <v>6262</v>
      </c>
      <c r="C5956" s="1" t="s">
        <v>4081</v>
      </c>
      <c r="D5956" s="1" t="s">
        <v>5060</v>
      </c>
      <c r="E5956" s="1" t="s">
        <v>25</v>
      </c>
      <c r="F5956">
        <v>560</v>
      </c>
      <c r="G5956">
        <v>590</v>
      </c>
      <c r="H5956">
        <v>160.4</v>
      </c>
      <c r="I5956" s="1" t="s">
        <v>5992</v>
      </c>
      <c r="J5956" s="1" t="s">
        <v>5993</v>
      </c>
      <c r="K5956" s="1" t="s">
        <v>25</v>
      </c>
      <c r="L5956">
        <v>-0.76406417800000004</v>
      </c>
      <c r="M5956" s="1" t="s">
        <v>23</v>
      </c>
      <c r="N5956" s="1" t="s">
        <v>230</v>
      </c>
      <c r="O5956" s="1" t="s">
        <v>6035</v>
      </c>
      <c r="P5956" s="3" t="s">
        <v>28</v>
      </c>
      <c r="Q5956" s="37">
        <v>0.24447840000000001</v>
      </c>
      <c r="R5956" s="1" t="s">
        <v>231</v>
      </c>
      <c r="S5956" s="13">
        <f t="shared" si="252"/>
        <v>-0.76406417800000004</v>
      </c>
    </row>
    <row r="5957" spans="1:19">
      <c r="A5957" s="18" t="s">
        <v>5991</v>
      </c>
      <c r="B5957" s="1" t="s">
        <v>6263</v>
      </c>
      <c r="C5957" s="1" t="s">
        <v>4081</v>
      </c>
      <c r="D5957" s="1" t="s">
        <v>5060</v>
      </c>
      <c r="E5957" s="1" t="s">
        <v>25</v>
      </c>
      <c r="F5957">
        <v>560</v>
      </c>
      <c r="G5957">
        <v>590</v>
      </c>
      <c r="H5957">
        <v>173.7</v>
      </c>
      <c r="I5957" s="1" t="s">
        <v>5992</v>
      </c>
      <c r="J5957" s="1" t="s">
        <v>5993</v>
      </c>
      <c r="K5957" s="1" t="s">
        <v>25</v>
      </c>
      <c r="L5957">
        <v>-1.6381364979999999</v>
      </c>
      <c r="M5957" s="1" t="s">
        <v>23</v>
      </c>
      <c r="N5957" s="1" t="s">
        <v>230</v>
      </c>
      <c r="O5957" s="1" t="s">
        <v>6087</v>
      </c>
      <c r="P5957" s="3" t="s">
        <v>28</v>
      </c>
      <c r="Q5957" s="37">
        <v>2.5594720999999998</v>
      </c>
      <c r="R5957" s="1" t="s">
        <v>231</v>
      </c>
      <c r="S5957" s="13">
        <f t="shared" si="252"/>
        <v>-1.6381364979999999</v>
      </c>
    </row>
    <row r="5958" spans="1:19">
      <c r="A5958" s="18" t="s">
        <v>5991</v>
      </c>
      <c r="B5958" s="1" t="s">
        <v>6264</v>
      </c>
      <c r="C5958" s="1" t="s">
        <v>4081</v>
      </c>
      <c r="D5958" s="1" t="s">
        <v>5060</v>
      </c>
      <c r="E5958" s="1" t="s">
        <v>25</v>
      </c>
      <c r="F5958">
        <v>560</v>
      </c>
      <c r="G5958">
        <v>590</v>
      </c>
      <c r="H5958">
        <v>183.5</v>
      </c>
      <c r="I5958" s="1" t="s">
        <v>5992</v>
      </c>
      <c r="J5958" s="1" t="s">
        <v>5993</v>
      </c>
      <c r="K5958" s="1" t="s">
        <v>25</v>
      </c>
      <c r="L5958">
        <v>-1.7588867029999999</v>
      </c>
      <c r="M5958" s="1" t="s">
        <v>23</v>
      </c>
      <c r="N5958" s="1" t="s">
        <v>230</v>
      </c>
      <c r="O5958" s="1" t="s">
        <v>6088</v>
      </c>
      <c r="P5958" s="3" t="s">
        <v>28</v>
      </c>
      <c r="Q5958" s="37">
        <v>1.7225155999999999</v>
      </c>
      <c r="R5958" s="1" t="s">
        <v>231</v>
      </c>
      <c r="S5958" s="13">
        <f t="shared" si="252"/>
        <v>-1.7588867029999999</v>
      </c>
    </row>
    <row r="5959" spans="1:19">
      <c r="A5959" s="18" t="s">
        <v>5991</v>
      </c>
      <c r="B5959" s="1" t="s">
        <v>6265</v>
      </c>
      <c r="C5959" s="1" t="s">
        <v>4081</v>
      </c>
      <c r="D5959" s="1" t="s">
        <v>5060</v>
      </c>
      <c r="E5959" s="1" t="s">
        <v>25</v>
      </c>
      <c r="F5959">
        <v>560</v>
      </c>
      <c r="G5959">
        <v>590</v>
      </c>
      <c r="H5959">
        <v>204.6</v>
      </c>
      <c r="I5959" s="1" t="s">
        <v>5992</v>
      </c>
      <c r="J5959" s="1" t="s">
        <v>5993</v>
      </c>
      <c r="K5959" s="1" t="s">
        <v>25</v>
      </c>
      <c r="L5959">
        <v>-1.7496714900000001</v>
      </c>
      <c r="M5959" s="1" t="s">
        <v>23</v>
      </c>
      <c r="N5959" s="1" t="s">
        <v>230</v>
      </c>
      <c r="O5959" s="1" t="s">
        <v>6089</v>
      </c>
      <c r="P5959" s="3" t="s">
        <v>28</v>
      </c>
      <c r="Q5959" s="37">
        <v>6.5536515</v>
      </c>
      <c r="R5959" s="1" t="s">
        <v>231</v>
      </c>
      <c r="S5959" s="13">
        <f t="shared" si="252"/>
        <v>-1.7496714900000001</v>
      </c>
    </row>
    <row r="5960" spans="1:19">
      <c r="A5960" s="18" t="s">
        <v>5991</v>
      </c>
      <c r="B5960" s="1" t="s">
        <v>6266</v>
      </c>
      <c r="C5960" s="1" t="s">
        <v>4081</v>
      </c>
      <c r="D5960" s="1" t="s">
        <v>5060</v>
      </c>
      <c r="E5960" s="1" t="s">
        <v>25</v>
      </c>
      <c r="F5960">
        <v>560</v>
      </c>
      <c r="G5960">
        <v>590</v>
      </c>
      <c r="H5960">
        <v>226.3</v>
      </c>
      <c r="I5960" s="1" t="s">
        <v>5992</v>
      </c>
      <c r="J5960" s="1" t="s">
        <v>5993</v>
      </c>
      <c r="K5960" s="1" t="s">
        <v>25</v>
      </c>
      <c r="L5960">
        <v>-1.927977037</v>
      </c>
      <c r="M5960" s="1" t="s">
        <v>23</v>
      </c>
      <c r="N5960" s="1" t="s">
        <v>230</v>
      </c>
      <c r="O5960" s="1" t="s">
        <v>6021</v>
      </c>
      <c r="P5960" s="3" t="s">
        <v>28</v>
      </c>
      <c r="Q5960" s="37">
        <v>2.9329055999999998</v>
      </c>
      <c r="R5960" s="1" t="s">
        <v>231</v>
      </c>
      <c r="S5960" s="13">
        <f t="shared" si="252"/>
        <v>-1.927977037</v>
      </c>
    </row>
    <row r="5961" spans="1:19">
      <c r="A5961" s="18" t="s">
        <v>5991</v>
      </c>
      <c r="B5961" s="1" t="s">
        <v>6267</v>
      </c>
      <c r="C5961" s="1" t="s">
        <v>4081</v>
      </c>
      <c r="D5961" s="1" t="s">
        <v>5060</v>
      </c>
      <c r="E5961" s="1" t="s">
        <v>25</v>
      </c>
      <c r="F5961">
        <v>560</v>
      </c>
      <c r="G5961">
        <v>590</v>
      </c>
      <c r="H5961">
        <v>236.3</v>
      </c>
      <c r="I5961" s="1" t="s">
        <v>5992</v>
      </c>
      <c r="J5961" s="1" t="s">
        <v>5993</v>
      </c>
      <c r="K5961" s="1" t="s">
        <v>25</v>
      </c>
      <c r="L5961">
        <v>-1.662969659</v>
      </c>
      <c r="M5961" s="1" t="s">
        <v>23</v>
      </c>
      <c r="N5961" s="1" t="s">
        <v>230</v>
      </c>
      <c r="O5961" s="1" t="s">
        <v>6090</v>
      </c>
      <c r="P5961" s="3" t="s">
        <v>28</v>
      </c>
      <c r="Q5961" s="37">
        <v>3.2395087999999999</v>
      </c>
      <c r="R5961" s="1" t="s">
        <v>231</v>
      </c>
      <c r="S5961" s="13">
        <f t="shared" si="252"/>
        <v>-1.662969659</v>
      </c>
    </row>
    <row r="5962" spans="1:19">
      <c r="A5962" s="18" t="s">
        <v>5991</v>
      </c>
      <c r="B5962" s="1" t="s">
        <v>6268</v>
      </c>
      <c r="C5962" s="1" t="s">
        <v>4081</v>
      </c>
      <c r="D5962" s="1" t="s">
        <v>5060</v>
      </c>
      <c r="E5962" s="1" t="s">
        <v>25</v>
      </c>
      <c r="F5962">
        <v>560</v>
      </c>
      <c r="G5962">
        <v>590</v>
      </c>
      <c r="H5962">
        <v>246.2</v>
      </c>
      <c r="I5962" s="1" t="s">
        <v>5992</v>
      </c>
      <c r="J5962" s="1" t="s">
        <v>5993</v>
      </c>
      <c r="K5962" s="1" t="s">
        <v>25</v>
      </c>
      <c r="L5962">
        <v>-1.8814277989999999</v>
      </c>
      <c r="M5962" s="1" t="s">
        <v>23</v>
      </c>
      <c r="N5962" s="1" t="s">
        <v>230</v>
      </c>
      <c r="O5962" s="1" t="s">
        <v>6091</v>
      </c>
      <c r="P5962" s="3" t="s">
        <v>28</v>
      </c>
      <c r="Q5962" s="37">
        <v>2.2671294999999998</v>
      </c>
      <c r="R5962" s="1" t="s">
        <v>231</v>
      </c>
      <c r="S5962" s="13">
        <f t="shared" si="252"/>
        <v>-1.8814277989999999</v>
      </c>
    </row>
    <row r="5963" spans="1:19">
      <c r="A5963" s="18" t="s">
        <v>5991</v>
      </c>
      <c r="B5963" s="1" t="s">
        <v>6269</v>
      </c>
      <c r="C5963" s="1" t="s">
        <v>4081</v>
      </c>
      <c r="D5963" s="1" t="s">
        <v>5060</v>
      </c>
      <c r="E5963" s="1" t="s">
        <v>25</v>
      </c>
      <c r="F5963">
        <v>560</v>
      </c>
      <c r="G5963">
        <v>590</v>
      </c>
      <c r="H5963">
        <v>269</v>
      </c>
      <c r="I5963" s="1" t="s">
        <v>5992</v>
      </c>
      <c r="J5963" s="1" t="s">
        <v>5993</v>
      </c>
      <c r="K5963" s="1" t="s">
        <v>25</v>
      </c>
      <c r="L5963">
        <v>-1.558135115</v>
      </c>
      <c r="M5963" s="1" t="s">
        <v>23</v>
      </c>
      <c r="N5963" s="1" t="s">
        <v>230</v>
      </c>
      <c r="O5963" s="1" t="s">
        <v>6092</v>
      </c>
      <c r="P5963" s="3" t="s">
        <v>28</v>
      </c>
      <c r="Q5963" s="37">
        <v>2.3813407999999998</v>
      </c>
      <c r="R5963" s="1" t="s">
        <v>231</v>
      </c>
      <c r="S5963" s="13">
        <f t="shared" si="252"/>
        <v>-1.558135115</v>
      </c>
    </row>
    <row r="5964" spans="1:19">
      <c r="A5964" s="18" t="s">
        <v>5991</v>
      </c>
      <c r="B5964" s="1" t="s">
        <v>6270</v>
      </c>
      <c r="C5964" s="1" t="s">
        <v>4081</v>
      </c>
      <c r="D5964" s="1" t="s">
        <v>5060</v>
      </c>
      <c r="E5964" s="1" t="s">
        <v>25</v>
      </c>
      <c r="F5964">
        <v>560</v>
      </c>
      <c r="G5964">
        <v>590</v>
      </c>
      <c r="H5964">
        <v>279.39999999999998</v>
      </c>
      <c r="I5964" s="1" t="s">
        <v>5992</v>
      </c>
      <c r="J5964" s="1" t="s">
        <v>5993</v>
      </c>
      <c r="K5964" s="1" t="s">
        <v>25</v>
      </c>
      <c r="L5964">
        <v>-1.460544404</v>
      </c>
      <c r="M5964" s="1" t="s">
        <v>23</v>
      </c>
      <c r="N5964" s="1" t="s">
        <v>230</v>
      </c>
      <c r="O5964" s="1" t="s">
        <v>6093</v>
      </c>
      <c r="P5964" s="3" t="s">
        <v>28</v>
      </c>
      <c r="Q5964" s="37">
        <v>1.85185</v>
      </c>
      <c r="R5964" s="1" t="s">
        <v>231</v>
      </c>
      <c r="S5964" s="13">
        <f t="shared" si="252"/>
        <v>-1.460544404</v>
      </c>
    </row>
    <row r="5965" spans="1:19">
      <c r="A5965" s="18" t="s">
        <v>5991</v>
      </c>
      <c r="B5965" s="1" t="s">
        <v>6271</v>
      </c>
      <c r="C5965" s="1" t="s">
        <v>4081</v>
      </c>
      <c r="D5965" s="1" t="s">
        <v>5060</v>
      </c>
      <c r="E5965" s="1" t="s">
        <v>25</v>
      </c>
      <c r="F5965">
        <v>560</v>
      </c>
      <c r="G5965">
        <v>590</v>
      </c>
      <c r="H5965">
        <v>288.60000000000002</v>
      </c>
      <c r="I5965" s="1" t="s">
        <v>5992</v>
      </c>
      <c r="J5965" s="1" t="s">
        <v>5993</v>
      </c>
      <c r="K5965" s="1" t="s">
        <v>25</v>
      </c>
      <c r="L5965">
        <v>-1.733803559</v>
      </c>
      <c r="M5965" s="1" t="s">
        <v>23</v>
      </c>
      <c r="N5965" s="1" t="s">
        <v>230</v>
      </c>
      <c r="O5965" s="1" t="s">
        <v>6094</v>
      </c>
      <c r="P5965" s="3" t="s">
        <v>28</v>
      </c>
      <c r="Q5965" s="37">
        <v>4.4586079999999999</v>
      </c>
      <c r="R5965" s="1" t="s">
        <v>231</v>
      </c>
      <c r="S5965" s="13">
        <f t="shared" si="252"/>
        <v>-1.733803559</v>
      </c>
    </row>
    <row r="5966" spans="1:19">
      <c r="A5966" s="18" t="s">
        <v>5991</v>
      </c>
      <c r="B5966" s="1" t="s">
        <v>6272</v>
      </c>
      <c r="C5966" s="1" t="s">
        <v>4081</v>
      </c>
      <c r="D5966" s="1" t="s">
        <v>5060</v>
      </c>
      <c r="E5966" s="1" t="s">
        <v>25</v>
      </c>
      <c r="F5966">
        <v>560</v>
      </c>
      <c r="G5966">
        <v>590</v>
      </c>
      <c r="H5966">
        <v>298.7</v>
      </c>
      <c r="I5966" s="1" t="s">
        <v>5992</v>
      </c>
      <c r="J5966" s="1" t="s">
        <v>5993</v>
      </c>
      <c r="K5966" s="1" t="s">
        <v>25</v>
      </c>
      <c r="L5966">
        <v>-1.8154012559999999</v>
      </c>
      <c r="M5966" s="1" t="s">
        <v>23</v>
      </c>
      <c r="N5966" s="1" t="s">
        <v>230</v>
      </c>
      <c r="O5966" s="1" t="s">
        <v>6095</v>
      </c>
      <c r="P5966" s="3" t="s">
        <v>28</v>
      </c>
      <c r="Q5966" s="37">
        <v>4.9232291000000004</v>
      </c>
      <c r="R5966" s="1" t="s">
        <v>231</v>
      </c>
      <c r="S5966" s="13">
        <f t="shared" si="252"/>
        <v>-1.8154012559999999</v>
      </c>
    </row>
    <row r="5967" spans="1:19">
      <c r="A5967" s="18" t="s">
        <v>5991</v>
      </c>
      <c r="B5967" s="1" t="s">
        <v>6273</v>
      </c>
      <c r="C5967" s="1" t="s">
        <v>4081</v>
      </c>
      <c r="D5967" s="1" t="s">
        <v>5060</v>
      </c>
      <c r="E5967" s="1" t="s">
        <v>25</v>
      </c>
      <c r="F5967">
        <v>560</v>
      </c>
      <c r="G5967">
        <v>590</v>
      </c>
      <c r="H5967">
        <v>304.7</v>
      </c>
      <c r="I5967" s="1" t="s">
        <v>5992</v>
      </c>
      <c r="J5967" s="1" t="s">
        <v>5993</v>
      </c>
      <c r="K5967" s="1" t="s">
        <v>25</v>
      </c>
      <c r="L5967">
        <v>-1.62823702</v>
      </c>
      <c r="M5967" s="1" t="s">
        <v>23</v>
      </c>
      <c r="N5967" s="1" t="s">
        <v>230</v>
      </c>
      <c r="O5967" s="1" t="s">
        <v>6096</v>
      </c>
      <c r="P5967" s="3" t="s">
        <v>28</v>
      </c>
      <c r="Q5967" s="37">
        <v>3.9810431999999998</v>
      </c>
      <c r="R5967" s="1" t="s">
        <v>231</v>
      </c>
      <c r="S5967" s="13">
        <f t="shared" si="252"/>
        <v>-1.62823702</v>
      </c>
    </row>
    <row r="5968" spans="1:19">
      <c r="A5968" s="18" t="s">
        <v>5991</v>
      </c>
      <c r="B5968" s="1" t="s">
        <v>6274</v>
      </c>
      <c r="C5968" s="1" t="s">
        <v>4081</v>
      </c>
      <c r="D5968" s="1" t="s">
        <v>5060</v>
      </c>
      <c r="E5968" s="1" t="s">
        <v>25</v>
      </c>
      <c r="F5968">
        <v>560</v>
      </c>
      <c r="G5968">
        <v>590</v>
      </c>
      <c r="H5968">
        <v>336.2</v>
      </c>
      <c r="I5968" s="1" t="s">
        <v>5992</v>
      </c>
      <c r="J5968" s="1" t="s">
        <v>5993</v>
      </c>
      <c r="K5968" s="1" t="s">
        <v>25</v>
      </c>
      <c r="L5968">
        <v>-1.6132671089999999</v>
      </c>
      <c r="M5968" s="1" t="s">
        <v>23</v>
      </c>
      <c r="N5968" s="1" t="s">
        <v>230</v>
      </c>
      <c r="O5968" s="1" t="s">
        <v>6097</v>
      </c>
      <c r="P5968" s="3" t="s">
        <v>28</v>
      </c>
      <c r="Q5968" s="37">
        <v>2.8986841000000001</v>
      </c>
      <c r="R5968" s="1" t="s">
        <v>231</v>
      </c>
      <c r="S5968" s="13">
        <f t="shared" si="252"/>
        <v>-1.6132671089999999</v>
      </c>
    </row>
    <row r="5969" spans="1:19">
      <c r="A5969" s="18" t="s">
        <v>5991</v>
      </c>
      <c r="B5969" s="1" t="s">
        <v>6275</v>
      </c>
      <c r="C5969" s="1" t="s">
        <v>4081</v>
      </c>
      <c r="D5969" s="1" t="s">
        <v>5060</v>
      </c>
      <c r="E5969" s="1" t="s">
        <v>25</v>
      </c>
      <c r="F5969">
        <v>560</v>
      </c>
      <c r="G5969">
        <v>590</v>
      </c>
      <c r="H5969">
        <v>345.6</v>
      </c>
      <c r="I5969" s="1" t="s">
        <v>5992</v>
      </c>
      <c r="J5969" s="1" t="s">
        <v>5993</v>
      </c>
      <c r="K5969" s="1" t="s">
        <v>25</v>
      </c>
      <c r="L5969">
        <v>-1.752407783</v>
      </c>
      <c r="M5969" s="1" t="s">
        <v>23</v>
      </c>
      <c r="N5969" s="1" t="s">
        <v>230</v>
      </c>
      <c r="O5969" s="1" t="s">
        <v>6098</v>
      </c>
      <c r="P5969" s="3" t="s">
        <v>28</v>
      </c>
      <c r="Q5969" s="37">
        <v>5.0478614999999998</v>
      </c>
      <c r="R5969" s="1" t="s">
        <v>231</v>
      </c>
      <c r="S5969" s="13">
        <f t="shared" si="252"/>
        <v>-1.752407783</v>
      </c>
    </row>
    <row r="5970" spans="1:19">
      <c r="A5970" s="18" t="s">
        <v>5991</v>
      </c>
      <c r="B5970" s="1" t="s">
        <v>6276</v>
      </c>
      <c r="C5970" s="1" t="s">
        <v>4081</v>
      </c>
      <c r="D5970" s="1" t="s">
        <v>5060</v>
      </c>
      <c r="E5970" s="1" t="s">
        <v>25</v>
      </c>
      <c r="F5970">
        <v>560</v>
      </c>
      <c r="G5970">
        <v>590</v>
      </c>
      <c r="H5970">
        <v>355.6</v>
      </c>
      <c r="I5970" s="1" t="s">
        <v>5992</v>
      </c>
      <c r="J5970" s="1" t="s">
        <v>5993</v>
      </c>
      <c r="K5970" s="1" t="s">
        <v>25</v>
      </c>
      <c r="L5970">
        <v>-1.811632543</v>
      </c>
      <c r="M5970" s="1" t="s">
        <v>23</v>
      </c>
      <c r="N5970" s="1" t="s">
        <v>230</v>
      </c>
      <c r="O5970" s="1" t="s">
        <v>6099</v>
      </c>
      <c r="P5970" s="3" t="s">
        <v>28</v>
      </c>
      <c r="Q5970" s="37">
        <v>5.7970079999999999</v>
      </c>
      <c r="R5970" s="1" t="s">
        <v>231</v>
      </c>
      <c r="S5970" s="13">
        <f t="shared" si="252"/>
        <v>-1.811632543</v>
      </c>
    </row>
    <row r="5971" spans="1:19">
      <c r="A5971" s="18" t="s">
        <v>5991</v>
      </c>
      <c r="B5971" s="1" t="s">
        <v>6277</v>
      </c>
      <c r="C5971" s="1" t="s">
        <v>4081</v>
      </c>
      <c r="D5971" s="1" t="s">
        <v>5060</v>
      </c>
      <c r="E5971" s="1" t="s">
        <v>25</v>
      </c>
      <c r="F5971">
        <v>560</v>
      </c>
      <c r="G5971">
        <v>590</v>
      </c>
      <c r="H5971">
        <v>365.8</v>
      </c>
      <c r="I5971" s="1" t="s">
        <v>5992</v>
      </c>
      <c r="J5971" s="1" t="s">
        <v>5993</v>
      </c>
      <c r="K5971" s="1" t="s">
        <v>25</v>
      </c>
      <c r="L5971">
        <v>-1.860399905</v>
      </c>
      <c r="M5971" s="1" t="s">
        <v>23</v>
      </c>
      <c r="N5971" s="1" t="s">
        <v>230</v>
      </c>
      <c r="O5971" s="1" t="s">
        <v>6100</v>
      </c>
      <c r="P5971" s="3" t="s">
        <v>28</v>
      </c>
      <c r="Q5971" s="37">
        <v>5.2115830000000001</v>
      </c>
      <c r="R5971" s="1" t="s">
        <v>231</v>
      </c>
      <c r="S5971" s="13">
        <f t="shared" si="252"/>
        <v>-1.860399905</v>
      </c>
    </row>
    <row r="5972" spans="1:19">
      <c r="A5972" s="18" t="s">
        <v>5991</v>
      </c>
      <c r="B5972" s="1" t="s">
        <v>6278</v>
      </c>
      <c r="C5972" s="1" t="s">
        <v>4081</v>
      </c>
      <c r="D5972" s="1" t="s">
        <v>5060</v>
      </c>
      <c r="E5972" s="1" t="s">
        <v>25</v>
      </c>
      <c r="F5972">
        <v>560</v>
      </c>
      <c r="G5972">
        <v>590</v>
      </c>
      <c r="H5972">
        <v>379.3</v>
      </c>
      <c r="I5972" s="1" t="s">
        <v>5992</v>
      </c>
      <c r="J5972" s="1" t="s">
        <v>5993</v>
      </c>
      <c r="K5972" s="1" t="s">
        <v>25</v>
      </c>
      <c r="L5972">
        <v>-1.6411501829999999</v>
      </c>
      <c r="M5972" s="1" t="s">
        <v>23</v>
      </c>
      <c r="N5972" s="1" t="s">
        <v>230</v>
      </c>
      <c r="O5972" s="1" t="s">
        <v>6101</v>
      </c>
      <c r="P5972" s="3" t="s">
        <v>28</v>
      </c>
      <c r="Q5972" s="37">
        <v>4.911168</v>
      </c>
      <c r="R5972" s="1" t="s">
        <v>231</v>
      </c>
      <c r="S5972" s="13">
        <f t="shared" si="252"/>
        <v>-1.6411501829999999</v>
      </c>
    </row>
    <row r="5973" spans="1:19">
      <c r="A5973" s="18" t="s">
        <v>5991</v>
      </c>
      <c r="B5973" s="1" t="s">
        <v>6279</v>
      </c>
      <c r="C5973" s="1" t="s">
        <v>4081</v>
      </c>
      <c r="D5973" s="1" t="s">
        <v>5060</v>
      </c>
      <c r="E5973" s="1" t="s">
        <v>25</v>
      </c>
      <c r="F5973">
        <v>560</v>
      </c>
      <c r="G5973">
        <v>590</v>
      </c>
      <c r="H5973">
        <v>394.4</v>
      </c>
      <c r="I5973" s="1" t="s">
        <v>5992</v>
      </c>
      <c r="J5973" s="1" t="s">
        <v>5993</v>
      </c>
      <c r="K5973" s="1" t="s">
        <v>25</v>
      </c>
      <c r="L5973">
        <v>-1.77799818</v>
      </c>
      <c r="M5973" s="1" t="s">
        <v>23</v>
      </c>
      <c r="N5973" s="1" t="s">
        <v>230</v>
      </c>
      <c r="O5973" s="1" t="s">
        <v>6102</v>
      </c>
      <c r="P5973" s="3" t="s">
        <v>28</v>
      </c>
      <c r="Q5973" s="37">
        <v>5.5226813999999997</v>
      </c>
      <c r="R5973" s="1" t="s">
        <v>231</v>
      </c>
      <c r="S5973" s="13">
        <f t="shared" si="252"/>
        <v>-1.77799818</v>
      </c>
    </row>
    <row r="5974" spans="1:19">
      <c r="A5974" s="18" t="s">
        <v>5991</v>
      </c>
      <c r="B5974" s="1" t="s">
        <v>6280</v>
      </c>
      <c r="C5974" s="1" t="s">
        <v>4081</v>
      </c>
      <c r="D5974" s="1" t="s">
        <v>5060</v>
      </c>
      <c r="E5974" s="1" t="s">
        <v>25</v>
      </c>
      <c r="F5974">
        <v>560</v>
      </c>
      <c r="G5974">
        <v>590</v>
      </c>
      <c r="H5974">
        <v>406.2</v>
      </c>
      <c r="I5974" s="1" t="s">
        <v>5992</v>
      </c>
      <c r="J5974" s="1" t="s">
        <v>5993</v>
      </c>
      <c r="K5974" s="1" t="s">
        <v>25</v>
      </c>
      <c r="L5974">
        <v>-1.820729684</v>
      </c>
      <c r="M5974" s="1" t="s">
        <v>23</v>
      </c>
      <c r="N5974" s="1" t="s">
        <v>230</v>
      </c>
      <c r="O5974" s="1" t="s">
        <v>6103</v>
      </c>
      <c r="P5974" s="3" t="s">
        <v>28</v>
      </c>
      <c r="Q5974" s="37">
        <v>4.5285484</v>
      </c>
      <c r="R5974" s="1" t="s">
        <v>231</v>
      </c>
      <c r="S5974" s="13">
        <f t="shared" si="252"/>
        <v>-1.820729684</v>
      </c>
    </row>
    <row r="5975" spans="1:19">
      <c r="A5975" s="18" t="s">
        <v>5991</v>
      </c>
      <c r="B5975" s="1" t="s">
        <v>6281</v>
      </c>
      <c r="C5975" s="1" t="s">
        <v>4081</v>
      </c>
      <c r="D5975" s="1" t="s">
        <v>5060</v>
      </c>
      <c r="E5975" s="1" t="s">
        <v>25</v>
      </c>
      <c r="F5975">
        <v>560</v>
      </c>
      <c r="G5975">
        <v>590</v>
      </c>
      <c r="H5975">
        <v>415</v>
      </c>
      <c r="I5975" s="1" t="s">
        <v>5992</v>
      </c>
      <c r="J5975" s="1" t="s">
        <v>5993</v>
      </c>
      <c r="K5975" s="1" t="s">
        <v>25</v>
      </c>
      <c r="L5975">
        <v>-1.8082269559999999</v>
      </c>
      <c r="M5975" s="1" t="s">
        <v>23</v>
      </c>
      <c r="N5975" s="1" t="s">
        <v>230</v>
      </c>
      <c r="O5975" s="1" t="s">
        <v>6104</v>
      </c>
      <c r="P5975" s="3" t="s">
        <v>28</v>
      </c>
      <c r="Q5975" s="37">
        <v>5.0774346000000001</v>
      </c>
      <c r="R5975" s="1" t="s">
        <v>231</v>
      </c>
      <c r="S5975" s="13">
        <f t="shared" si="252"/>
        <v>-1.8082269559999999</v>
      </c>
    </row>
    <row r="5976" spans="1:19">
      <c r="A5976" s="18" t="s">
        <v>5991</v>
      </c>
      <c r="B5976" s="1" t="s">
        <v>6282</v>
      </c>
      <c r="C5976" s="1" t="s">
        <v>4081</v>
      </c>
      <c r="D5976" s="1" t="s">
        <v>5060</v>
      </c>
      <c r="E5976" s="1" t="s">
        <v>25</v>
      </c>
      <c r="F5976">
        <v>560</v>
      </c>
      <c r="G5976">
        <v>590</v>
      </c>
      <c r="H5976">
        <v>459.5</v>
      </c>
      <c r="I5976" s="1" t="s">
        <v>5992</v>
      </c>
      <c r="J5976" s="1" t="s">
        <v>5993</v>
      </c>
      <c r="K5976" s="1" t="s">
        <v>25</v>
      </c>
      <c r="L5976">
        <v>-1.7801379959999999</v>
      </c>
      <c r="M5976" s="1" t="s">
        <v>23</v>
      </c>
      <c r="N5976" s="1" t="s">
        <v>230</v>
      </c>
      <c r="O5976" s="1" t="s">
        <v>6105</v>
      </c>
      <c r="P5976" s="3" t="s">
        <v>28</v>
      </c>
      <c r="Q5976" s="37">
        <v>3.57308</v>
      </c>
      <c r="R5976" s="1" t="s">
        <v>231</v>
      </c>
      <c r="S5976" s="13">
        <f t="shared" si="252"/>
        <v>-1.7801379959999999</v>
      </c>
    </row>
    <row r="5977" spans="1:19">
      <c r="A5977" s="18" t="s">
        <v>5991</v>
      </c>
      <c r="B5977" s="1" t="s">
        <v>6283</v>
      </c>
      <c r="C5977" s="1" t="s">
        <v>4081</v>
      </c>
      <c r="D5977" s="1" t="s">
        <v>5060</v>
      </c>
      <c r="E5977" s="1" t="s">
        <v>25</v>
      </c>
      <c r="F5977">
        <v>560</v>
      </c>
      <c r="G5977">
        <v>590</v>
      </c>
      <c r="H5977">
        <v>471.4</v>
      </c>
      <c r="I5977" s="1" t="s">
        <v>5992</v>
      </c>
      <c r="J5977" s="1" t="s">
        <v>5993</v>
      </c>
      <c r="K5977" s="1" t="s">
        <v>25</v>
      </c>
      <c r="L5977">
        <v>-1.6686000000000001</v>
      </c>
      <c r="M5977" s="1" t="s">
        <v>23</v>
      </c>
      <c r="N5977" s="1" t="s">
        <v>230</v>
      </c>
      <c r="O5977" s="1" t="s">
        <v>6106</v>
      </c>
      <c r="P5977" s="3" t="s">
        <v>28</v>
      </c>
      <c r="Q5977" s="37">
        <v>3.5530371000000001</v>
      </c>
      <c r="R5977" s="1" t="s">
        <v>231</v>
      </c>
      <c r="S5977" s="13">
        <f t="shared" si="252"/>
        <v>-1.6686000000000001</v>
      </c>
    </row>
    <row r="5978" spans="1:19">
      <c r="A5978" s="18" t="s">
        <v>5991</v>
      </c>
      <c r="B5978" s="1" t="s">
        <v>6284</v>
      </c>
      <c r="C5978" s="1" t="s">
        <v>4081</v>
      </c>
      <c r="D5978" s="1" t="s">
        <v>5060</v>
      </c>
      <c r="E5978" s="1" t="s">
        <v>25</v>
      </c>
      <c r="F5978">
        <v>560</v>
      </c>
      <c r="G5978">
        <v>590</v>
      </c>
      <c r="H5978">
        <v>482.3</v>
      </c>
      <c r="I5978" s="1" t="s">
        <v>5992</v>
      </c>
      <c r="J5978" s="1" t="s">
        <v>5993</v>
      </c>
      <c r="K5978" s="1" t="s">
        <v>25</v>
      </c>
      <c r="L5978">
        <v>-1.2650001559999999</v>
      </c>
      <c r="M5978" s="1" t="s">
        <v>23</v>
      </c>
      <c r="N5978" s="1" t="s">
        <v>230</v>
      </c>
      <c r="O5978" s="1" t="s">
        <v>6107</v>
      </c>
      <c r="P5978" s="3" t="s">
        <v>28</v>
      </c>
      <c r="Q5978" s="37">
        <v>2.2796718</v>
      </c>
      <c r="R5978" s="1" t="s">
        <v>231</v>
      </c>
      <c r="S5978" s="13">
        <f t="shared" si="252"/>
        <v>-1.2650001559999999</v>
      </c>
    </row>
    <row r="5979" spans="1:19">
      <c r="A5979" s="18" t="s">
        <v>5991</v>
      </c>
      <c r="B5979" s="1" t="s">
        <v>6285</v>
      </c>
      <c r="C5979" s="1" t="s">
        <v>4081</v>
      </c>
      <c r="D5979" s="1" t="s">
        <v>5060</v>
      </c>
      <c r="E5979" s="1" t="s">
        <v>25</v>
      </c>
      <c r="F5979">
        <v>560</v>
      </c>
      <c r="G5979">
        <v>590</v>
      </c>
      <c r="H5979">
        <v>493.6</v>
      </c>
      <c r="I5979" s="1" t="s">
        <v>5992</v>
      </c>
      <c r="J5979" s="1" t="s">
        <v>5993</v>
      </c>
      <c r="K5979" s="1" t="s">
        <v>25</v>
      </c>
      <c r="L5979">
        <v>-1.6240162300000001</v>
      </c>
      <c r="M5979" s="1" t="s">
        <v>23</v>
      </c>
      <c r="N5979" s="1" t="s">
        <v>230</v>
      </c>
      <c r="O5979" s="1" t="s">
        <v>6108</v>
      </c>
      <c r="P5979" s="3" t="s">
        <v>28</v>
      </c>
      <c r="Q5979" s="37">
        <v>3.3052212000000001</v>
      </c>
      <c r="R5979" s="1" t="s">
        <v>231</v>
      </c>
      <c r="S5979" s="13">
        <f t="shared" si="252"/>
        <v>-1.6240162300000001</v>
      </c>
    </row>
    <row r="5980" spans="1:19">
      <c r="A5980" s="18" t="s">
        <v>5991</v>
      </c>
      <c r="B5980" s="1" t="s">
        <v>6286</v>
      </c>
      <c r="C5980" s="1" t="s">
        <v>4081</v>
      </c>
      <c r="D5980" s="1" t="s">
        <v>5060</v>
      </c>
      <c r="E5980" s="1" t="s">
        <v>25</v>
      </c>
      <c r="F5980">
        <v>560</v>
      </c>
      <c r="G5980">
        <v>590</v>
      </c>
      <c r="H5980">
        <v>514.70000000000005</v>
      </c>
      <c r="I5980" s="1" t="s">
        <v>5992</v>
      </c>
      <c r="J5980" s="1" t="s">
        <v>5993</v>
      </c>
      <c r="K5980" s="1" t="s">
        <v>25</v>
      </c>
      <c r="L5980">
        <v>-1.4186952939999999</v>
      </c>
      <c r="M5980" s="1" t="s">
        <v>23</v>
      </c>
      <c r="N5980" s="1" t="s">
        <v>230</v>
      </c>
      <c r="O5980" s="1" t="s">
        <v>6109</v>
      </c>
      <c r="P5980" s="3" t="s">
        <v>28</v>
      </c>
      <c r="Q5980" s="37">
        <v>7.5476127999999996</v>
      </c>
      <c r="R5980" s="1" t="s">
        <v>231</v>
      </c>
      <c r="S5980" s="13">
        <f t="shared" si="252"/>
        <v>-1.4186952939999999</v>
      </c>
    </row>
    <row r="5981" spans="1:19">
      <c r="A5981" s="18" t="s">
        <v>5991</v>
      </c>
      <c r="B5981" s="1" t="s">
        <v>6287</v>
      </c>
      <c r="C5981" s="1" t="s">
        <v>4081</v>
      </c>
      <c r="D5981" s="1" t="s">
        <v>5060</v>
      </c>
      <c r="E5981" s="1" t="s">
        <v>25</v>
      </c>
      <c r="F5981">
        <v>560</v>
      </c>
      <c r="G5981">
        <v>590</v>
      </c>
      <c r="H5981">
        <v>525.1</v>
      </c>
      <c r="I5981" s="1" t="s">
        <v>5992</v>
      </c>
      <c r="J5981" s="1" t="s">
        <v>5993</v>
      </c>
      <c r="K5981" s="1" t="s">
        <v>25</v>
      </c>
      <c r="L5981">
        <v>-1.4763710800000001</v>
      </c>
      <c r="M5981" s="1" t="s">
        <v>23</v>
      </c>
      <c r="N5981" s="1" t="s">
        <v>230</v>
      </c>
      <c r="O5981" s="1" t="s">
        <v>6110</v>
      </c>
      <c r="P5981" s="3" t="s">
        <v>28</v>
      </c>
      <c r="Q5981" s="37">
        <v>2.9967125999999999</v>
      </c>
      <c r="R5981" s="1" t="s">
        <v>231</v>
      </c>
      <c r="S5981" s="13">
        <f t="shared" si="252"/>
        <v>-1.4763710800000001</v>
      </c>
    </row>
    <row r="5982" spans="1:19">
      <c r="A5982" s="18" t="s">
        <v>5991</v>
      </c>
      <c r="B5982" s="1" t="s">
        <v>6288</v>
      </c>
      <c r="C5982" s="1" t="s">
        <v>4081</v>
      </c>
      <c r="D5982" s="1" t="s">
        <v>5060</v>
      </c>
      <c r="E5982" s="1" t="s">
        <v>25</v>
      </c>
      <c r="F5982">
        <v>560</v>
      </c>
      <c r="G5982">
        <v>590</v>
      </c>
      <c r="H5982">
        <v>540.9</v>
      </c>
      <c r="I5982" s="1" t="s">
        <v>5992</v>
      </c>
      <c r="J5982" s="1" t="s">
        <v>5993</v>
      </c>
      <c r="K5982" s="1" t="s">
        <v>25</v>
      </c>
      <c r="L5982">
        <v>-1.6228500379999999</v>
      </c>
      <c r="M5982" s="1" t="s">
        <v>23</v>
      </c>
      <c r="N5982" s="1" t="s">
        <v>230</v>
      </c>
      <c r="O5982" s="1" t="s">
        <v>6111</v>
      </c>
      <c r="P5982" s="3" t="s">
        <v>28</v>
      </c>
      <c r="Q5982" s="37">
        <v>1.4308691</v>
      </c>
      <c r="R5982" s="1" t="s">
        <v>231</v>
      </c>
      <c r="S5982" s="13">
        <f t="shared" si="252"/>
        <v>-1.6228500379999999</v>
      </c>
    </row>
    <row r="5983" spans="1:19">
      <c r="A5983" s="18" t="s">
        <v>5991</v>
      </c>
      <c r="B5983" s="1" t="s">
        <v>6289</v>
      </c>
      <c r="C5983" s="1" t="s">
        <v>4081</v>
      </c>
      <c r="D5983" s="1" t="s">
        <v>5060</v>
      </c>
      <c r="E5983" s="1" t="s">
        <v>25</v>
      </c>
      <c r="F5983">
        <v>560</v>
      </c>
      <c r="G5983">
        <v>590</v>
      </c>
      <c r="H5983">
        <v>553.20000000000005</v>
      </c>
      <c r="I5983" s="1" t="s">
        <v>5992</v>
      </c>
      <c r="J5983" s="1" t="s">
        <v>5993</v>
      </c>
      <c r="K5983" s="1" t="s">
        <v>25</v>
      </c>
      <c r="L5983">
        <v>-1.4654161910000001</v>
      </c>
      <c r="M5983" s="1" t="s">
        <v>23</v>
      </c>
      <c r="N5983" s="1" t="s">
        <v>230</v>
      </c>
      <c r="O5983" s="1" t="s">
        <v>6112</v>
      </c>
      <c r="P5983" s="3" t="s">
        <v>28</v>
      </c>
      <c r="Q5983" s="37">
        <v>4.2480785000000001</v>
      </c>
      <c r="R5983" s="1" t="s">
        <v>231</v>
      </c>
      <c r="S5983" s="13">
        <f t="shared" si="252"/>
        <v>-1.4654161910000001</v>
      </c>
    </row>
    <row r="5984" spans="1:19">
      <c r="A5984" s="18" t="s">
        <v>5991</v>
      </c>
      <c r="B5984" s="1" t="s">
        <v>6290</v>
      </c>
      <c r="C5984" s="1" t="s">
        <v>4081</v>
      </c>
      <c r="D5984" s="1" t="s">
        <v>5060</v>
      </c>
      <c r="E5984" s="1" t="s">
        <v>25</v>
      </c>
      <c r="F5984">
        <v>560</v>
      </c>
      <c r="G5984">
        <v>590</v>
      </c>
      <c r="H5984">
        <v>565.1</v>
      </c>
      <c r="I5984" s="1" t="s">
        <v>5992</v>
      </c>
      <c r="J5984" s="1" t="s">
        <v>5993</v>
      </c>
      <c r="K5984" s="1" t="s">
        <v>25</v>
      </c>
      <c r="L5984">
        <v>-1.497488983</v>
      </c>
      <c r="M5984" s="1" t="s">
        <v>23</v>
      </c>
      <c r="N5984" s="1" t="s">
        <v>230</v>
      </c>
      <c r="O5984" s="1" t="s">
        <v>6113</v>
      </c>
      <c r="P5984" s="3" t="s">
        <v>28</v>
      </c>
      <c r="Q5984" s="37">
        <v>1.3274229</v>
      </c>
      <c r="R5984" s="1" t="s">
        <v>231</v>
      </c>
      <c r="S5984" s="13">
        <f t="shared" si="252"/>
        <v>-1.497488983</v>
      </c>
    </row>
    <row r="5985" spans="1:19">
      <c r="A5985" s="18" t="s">
        <v>5991</v>
      </c>
      <c r="B5985" s="1" t="s">
        <v>6291</v>
      </c>
      <c r="C5985" s="1" t="s">
        <v>4081</v>
      </c>
      <c r="D5985" s="1" t="s">
        <v>5060</v>
      </c>
      <c r="E5985" s="1" t="s">
        <v>25</v>
      </c>
      <c r="F5985">
        <v>560</v>
      </c>
      <c r="G5985">
        <v>590</v>
      </c>
      <c r="H5985">
        <v>574.29999999999995</v>
      </c>
      <c r="I5985" s="1" t="s">
        <v>5992</v>
      </c>
      <c r="J5985" s="1" t="s">
        <v>5993</v>
      </c>
      <c r="K5985" s="1" t="s">
        <v>25</v>
      </c>
      <c r="L5985">
        <v>-1.371837322</v>
      </c>
      <c r="M5985" s="1" t="s">
        <v>23</v>
      </c>
      <c r="N5985" s="1" t="s">
        <v>230</v>
      </c>
      <c r="O5985" s="1" t="s">
        <v>6114</v>
      </c>
      <c r="P5985" s="3" t="s">
        <v>28</v>
      </c>
      <c r="Q5985" s="37">
        <v>2.1842065000000002</v>
      </c>
      <c r="R5985" s="1" t="s">
        <v>231</v>
      </c>
      <c r="S5985" s="13">
        <f t="shared" si="252"/>
        <v>-1.371837322</v>
      </c>
    </row>
    <row r="5986" spans="1:19">
      <c r="A5986" s="18" t="s">
        <v>5991</v>
      </c>
      <c r="B5986" s="1" t="s">
        <v>6292</v>
      </c>
      <c r="C5986" s="1" t="s">
        <v>4081</v>
      </c>
      <c r="D5986" s="1" t="s">
        <v>5060</v>
      </c>
      <c r="E5986" s="1" t="s">
        <v>25</v>
      </c>
      <c r="F5986">
        <v>560</v>
      </c>
      <c r="G5986">
        <v>590</v>
      </c>
      <c r="H5986">
        <v>589.20000000000005</v>
      </c>
      <c r="I5986" s="1" t="s">
        <v>5992</v>
      </c>
      <c r="J5986" s="1" t="s">
        <v>5993</v>
      </c>
      <c r="K5986" s="1" t="s">
        <v>25</v>
      </c>
      <c r="L5986">
        <v>-1.5123884999999999</v>
      </c>
      <c r="M5986" s="1" t="s">
        <v>23</v>
      </c>
      <c r="N5986" s="1" t="s">
        <v>230</v>
      </c>
      <c r="O5986" s="1" t="s">
        <v>6070</v>
      </c>
      <c r="P5986" s="3" t="s">
        <v>28</v>
      </c>
      <c r="Q5986" s="37">
        <v>1.1269728000000001</v>
      </c>
      <c r="R5986" s="1" t="s">
        <v>231</v>
      </c>
      <c r="S5986" s="13">
        <f t="shared" si="252"/>
        <v>-1.5123884999999999</v>
      </c>
    </row>
    <row r="5987" spans="1:19">
      <c r="A5987" s="18" t="s">
        <v>5991</v>
      </c>
      <c r="B5987" s="1" t="s">
        <v>6293</v>
      </c>
      <c r="C5987" s="1" t="s">
        <v>4081</v>
      </c>
      <c r="D5987" s="1" t="s">
        <v>5060</v>
      </c>
      <c r="E5987" s="1" t="s">
        <v>25</v>
      </c>
      <c r="F5987">
        <v>560</v>
      </c>
      <c r="G5987">
        <v>590</v>
      </c>
      <c r="H5987">
        <v>612.70000000000005</v>
      </c>
      <c r="I5987" s="1" t="s">
        <v>5992</v>
      </c>
      <c r="J5987" s="1" t="s">
        <v>5993</v>
      </c>
      <c r="K5987" s="1" t="s">
        <v>25</v>
      </c>
      <c r="L5987">
        <v>-1.2713819230000001</v>
      </c>
      <c r="M5987" s="1" t="s">
        <v>23</v>
      </c>
      <c r="N5987" s="1" t="s">
        <v>230</v>
      </c>
      <c r="O5987" s="1" t="s">
        <v>6115</v>
      </c>
      <c r="P5987" s="3" t="s">
        <v>28</v>
      </c>
      <c r="Q5987" s="37">
        <v>0.59420609999999996</v>
      </c>
      <c r="R5987" s="1" t="s">
        <v>231</v>
      </c>
      <c r="S5987" s="13">
        <f t="shared" si="252"/>
        <v>-1.2713819230000001</v>
      </c>
    </row>
    <row r="5988" spans="1:19">
      <c r="A5988" s="18" t="s">
        <v>5991</v>
      </c>
      <c r="B5988" s="1" t="s">
        <v>6294</v>
      </c>
      <c r="C5988" s="1" t="s">
        <v>4081</v>
      </c>
      <c r="D5988" s="1" t="s">
        <v>5060</v>
      </c>
      <c r="E5988" s="1" t="s">
        <v>25</v>
      </c>
      <c r="F5988">
        <v>560</v>
      </c>
      <c r="G5988">
        <v>590</v>
      </c>
      <c r="H5988">
        <v>622.79999999999995</v>
      </c>
      <c r="I5988" s="1" t="s">
        <v>5992</v>
      </c>
      <c r="J5988" s="1" t="s">
        <v>5993</v>
      </c>
      <c r="K5988" s="1" t="s">
        <v>25</v>
      </c>
      <c r="L5988">
        <v>-1.2646014130000001</v>
      </c>
      <c r="M5988" s="1" t="s">
        <v>23</v>
      </c>
      <c r="N5988" s="1" t="s">
        <v>230</v>
      </c>
      <c r="O5988" s="1" t="s">
        <v>6023</v>
      </c>
      <c r="P5988" s="3" t="s">
        <v>28</v>
      </c>
      <c r="Q5988" s="37">
        <v>0.71317759999999997</v>
      </c>
      <c r="R5988" s="1" t="s">
        <v>231</v>
      </c>
      <c r="S5988" s="13">
        <f t="shared" si="252"/>
        <v>-1.2646014130000001</v>
      </c>
    </row>
    <row r="5989" spans="1:19">
      <c r="A5989" s="18" t="s">
        <v>5991</v>
      </c>
      <c r="B5989" s="1" t="s">
        <v>6295</v>
      </c>
      <c r="C5989" s="1" t="s">
        <v>4081</v>
      </c>
      <c r="D5989" s="1" t="s">
        <v>5060</v>
      </c>
      <c r="E5989" s="1" t="s">
        <v>25</v>
      </c>
      <c r="F5989">
        <v>560</v>
      </c>
      <c r="G5989">
        <v>590</v>
      </c>
      <c r="H5989">
        <v>632</v>
      </c>
      <c r="I5989" s="1" t="s">
        <v>5992</v>
      </c>
      <c r="J5989" s="1" t="s">
        <v>5993</v>
      </c>
      <c r="K5989" s="1" t="s">
        <v>25</v>
      </c>
      <c r="L5989">
        <v>-1.0711999999999999</v>
      </c>
      <c r="M5989" s="1" t="s">
        <v>23</v>
      </c>
      <c r="N5989" s="1" t="s">
        <v>230</v>
      </c>
      <c r="O5989" s="1" t="s">
        <v>6034</v>
      </c>
      <c r="P5989" s="3" t="s">
        <v>28</v>
      </c>
      <c r="Q5989" s="37">
        <v>0.114528</v>
      </c>
      <c r="R5989" s="1" t="s">
        <v>231</v>
      </c>
      <c r="S5989" s="13">
        <f t="shared" si="252"/>
        <v>-1.0711999999999999</v>
      </c>
    </row>
    <row r="5990" spans="1:19">
      <c r="A5990" s="18" t="s">
        <v>5991</v>
      </c>
      <c r="B5990" s="1" t="s">
        <v>6296</v>
      </c>
      <c r="C5990" s="1" t="s">
        <v>4081</v>
      </c>
      <c r="D5990" s="1" t="s">
        <v>5060</v>
      </c>
      <c r="E5990" s="1" t="s">
        <v>25</v>
      </c>
      <c r="F5990">
        <v>560</v>
      </c>
      <c r="G5990">
        <v>590</v>
      </c>
      <c r="H5990">
        <v>642.4</v>
      </c>
      <c r="I5990" s="1" t="s">
        <v>5992</v>
      </c>
      <c r="J5990" s="1" t="s">
        <v>5993</v>
      </c>
      <c r="K5990" s="1" t="s">
        <v>25</v>
      </c>
      <c r="L5990">
        <v>-1.357867798</v>
      </c>
      <c r="M5990" s="1" t="s">
        <v>23</v>
      </c>
      <c r="N5990" s="1" t="s">
        <v>230</v>
      </c>
      <c r="O5990" s="1" t="s">
        <v>6116</v>
      </c>
      <c r="P5990" s="3" t="s">
        <v>28</v>
      </c>
      <c r="Q5990" s="37">
        <v>0.1495088</v>
      </c>
      <c r="R5990" s="1" t="s">
        <v>231</v>
      </c>
      <c r="S5990" s="13">
        <f t="shared" si="252"/>
        <v>-1.357867798</v>
      </c>
    </row>
    <row r="5991" spans="1:19">
      <c r="A5991" s="18" t="s">
        <v>5991</v>
      </c>
      <c r="B5991" s="1" t="s">
        <v>6297</v>
      </c>
      <c r="C5991" s="1" t="s">
        <v>4081</v>
      </c>
      <c r="D5991" s="1" t="s">
        <v>5060</v>
      </c>
      <c r="E5991" s="1" t="s">
        <v>25</v>
      </c>
      <c r="F5991">
        <v>560</v>
      </c>
      <c r="G5991">
        <v>590</v>
      </c>
      <c r="H5991">
        <v>663.4</v>
      </c>
      <c r="I5991" s="1" t="s">
        <v>5992</v>
      </c>
      <c r="J5991" s="1" t="s">
        <v>5993</v>
      </c>
      <c r="K5991" s="1" t="s">
        <v>25</v>
      </c>
      <c r="L5991">
        <v>-1.2945524020000001</v>
      </c>
      <c r="M5991" s="1" t="s">
        <v>23</v>
      </c>
      <c r="N5991" s="1" t="s">
        <v>230</v>
      </c>
      <c r="O5991" s="1" t="s">
        <v>6060</v>
      </c>
      <c r="P5991" s="3" t="s">
        <v>28</v>
      </c>
      <c r="Q5991" s="37">
        <v>0.52226870000000003</v>
      </c>
      <c r="R5991" s="1" t="s">
        <v>231</v>
      </c>
      <c r="S5991" s="13">
        <f t="shared" si="252"/>
        <v>-1.2945524020000001</v>
      </c>
    </row>
    <row r="5992" spans="1:19">
      <c r="A5992" s="18" t="s">
        <v>5991</v>
      </c>
      <c r="B5992" s="1" t="s">
        <v>6298</v>
      </c>
      <c r="C5992" s="1" t="s">
        <v>4081</v>
      </c>
      <c r="D5992" s="1" t="s">
        <v>5060</v>
      </c>
      <c r="E5992" s="1" t="s">
        <v>25</v>
      </c>
      <c r="F5992">
        <v>560</v>
      </c>
      <c r="G5992">
        <v>590</v>
      </c>
      <c r="H5992">
        <v>671.5</v>
      </c>
      <c r="I5992" s="1" t="s">
        <v>5992</v>
      </c>
      <c r="J5992" s="1" t="s">
        <v>5993</v>
      </c>
      <c r="K5992" s="1" t="s">
        <v>25</v>
      </c>
      <c r="L5992">
        <v>-0.89097975500000004</v>
      </c>
      <c r="M5992" s="1" t="s">
        <v>23</v>
      </c>
      <c r="N5992" s="1" t="s">
        <v>230</v>
      </c>
      <c r="O5992" s="1" t="s">
        <v>6033</v>
      </c>
      <c r="P5992" s="3" t="s">
        <v>28</v>
      </c>
      <c r="Q5992" s="37">
        <v>7.6279200000000005E-2</v>
      </c>
      <c r="R5992" s="1" t="s">
        <v>231</v>
      </c>
      <c r="S5992" s="13">
        <f t="shared" si="252"/>
        <v>-0.89097975500000004</v>
      </c>
    </row>
    <row r="5993" spans="1:19">
      <c r="A5993" s="18" t="s">
        <v>5991</v>
      </c>
      <c r="B5993" s="1" t="s">
        <v>6299</v>
      </c>
      <c r="C5993" s="1" t="s">
        <v>4081</v>
      </c>
      <c r="D5993" s="1" t="s">
        <v>5060</v>
      </c>
      <c r="E5993" s="1" t="s">
        <v>25</v>
      </c>
      <c r="F5993">
        <v>560</v>
      </c>
      <c r="G5993">
        <v>590</v>
      </c>
      <c r="H5993">
        <v>712.8</v>
      </c>
      <c r="I5993" s="1" t="s">
        <v>5992</v>
      </c>
      <c r="J5993" s="1" t="s">
        <v>5993</v>
      </c>
      <c r="K5993" s="1" t="s">
        <v>25</v>
      </c>
      <c r="L5993">
        <v>-1.126675088</v>
      </c>
      <c r="M5993" s="1" t="s">
        <v>23</v>
      </c>
      <c r="N5993" s="1" t="s">
        <v>230</v>
      </c>
      <c r="O5993" s="1" t="s">
        <v>6117</v>
      </c>
      <c r="P5993" s="3" t="s">
        <v>28</v>
      </c>
      <c r="Q5993" s="37">
        <v>0.4448221</v>
      </c>
      <c r="R5993" s="1" t="s">
        <v>231</v>
      </c>
      <c r="S5993" s="13">
        <f t="shared" si="252"/>
        <v>-1.126675088</v>
      </c>
    </row>
    <row r="5994" spans="1:19">
      <c r="A5994" s="18" t="s">
        <v>5991</v>
      </c>
      <c r="B5994" s="1" t="s">
        <v>6300</v>
      </c>
      <c r="C5994" s="1" t="s">
        <v>4081</v>
      </c>
      <c r="D5994" s="1" t="s">
        <v>5060</v>
      </c>
      <c r="E5994" s="1" t="s">
        <v>25</v>
      </c>
      <c r="F5994">
        <v>560</v>
      </c>
      <c r="G5994">
        <v>590</v>
      </c>
      <c r="H5994">
        <v>719.7</v>
      </c>
      <c r="I5994" s="1" t="s">
        <v>5992</v>
      </c>
      <c r="J5994" s="1" t="s">
        <v>5993</v>
      </c>
      <c r="K5994" s="1" t="s">
        <v>25</v>
      </c>
      <c r="L5994">
        <v>-1.0851150220000001</v>
      </c>
      <c r="M5994" s="1" t="s">
        <v>23</v>
      </c>
      <c r="N5994" s="1" t="s">
        <v>230</v>
      </c>
      <c r="O5994" s="1" t="s">
        <v>6118</v>
      </c>
      <c r="P5994" s="3" t="s">
        <v>28</v>
      </c>
      <c r="Q5994" s="37">
        <v>0.5287982</v>
      </c>
      <c r="R5994" s="1" t="s">
        <v>231</v>
      </c>
      <c r="S5994" s="13">
        <f t="shared" si="252"/>
        <v>-1.0851150220000001</v>
      </c>
    </row>
    <row r="5995" spans="1:19">
      <c r="A5995" s="18" t="s">
        <v>5991</v>
      </c>
      <c r="B5995" s="1" t="s">
        <v>6301</v>
      </c>
      <c r="C5995" s="1" t="s">
        <v>4081</v>
      </c>
      <c r="D5995" s="1" t="s">
        <v>5060</v>
      </c>
      <c r="E5995" s="1" t="s">
        <v>25</v>
      </c>
      <c r="F5995">
        <v>560</v>
      </c>
      <c r="G5995">
        <v>590</v>
      </c>
      <c r="H5995">
        <v>775.4</v>
      </c>
      <c r="I5995" s="1" t="s">
        <v>5992</v>
      </c>
      <c r="J5995" s="1" t="s">
        <v>5993</v>
      </c>
      <c r="K5995" s="1" t="s">
        <v>25</v>
      </c>
      <c r="L5995">
        <v>-1.2286645629999999</v>
      </c>
      <c r="M5995" s="1" t="s">
        <v>23</v>
      </c>
      <c r="N5995" s="1" t="s">
        <v>230</v>
      </c>
      <c r="O5995" s="1" t="s">
        <v>6119</v>
      </c>
      <c r="P5995" s="3" t="s">
        <v>28</v>
      </c>
      <c r="Q5995" s="37">
        <v>0.69857449999999999</v>
      </c>
      <c r="R5995" s="1" t="s">
        <v>231</v>
      </c>
      <c r="S5995" s="13">
        <f t="shared" si="252"/>
        <v>-1.2286645629999999</v>
      </c>
    </row>
    <row r="5996" spans="1:19">
      <c r="A5996" s="18" t="s">
        <v>5991</v>
      </c>
      <c r="B5996" s="1" t="s">
        <v>6302</v>
      </c>
      <c r="C5996" s="1" t="s">
        <v>4081</v>
      </c>
      <c r="D5996" s="1" t="s">
        <v>5060</v>
      </c>
      <c r="E5996" s="1" t="s">
        <v>25</v>
      </c>
      <c r="F5996">
        <v>560</v>
      </c>
      <c r="G5996">
        <v>590</v>
      </c>
      <c r="H5996">
        <v>786.1</v>
      </c>
      <c r="I5996" s="1" t="s">
        <v>5992</v>
      </c>
      <c r="J5996" s="1" t="s">
        <v>5993</v>
      </c>
      <c r="K5996" s="1" t="s">
        <v>25</v>
      </c>
      <c r="L5996">
        <v>-1.0094000000000001</v>
      </c>
      <c r="M5996" s="1" t="s">
        <v>23</v>
      </c>
      <c r="N5996" s="1" t="s">
        <v>230</v>
      </c>
      <c r="O5996" s="1" t="s">
        <v>6033</v>
      </c>
      <c r="P5996" s="3" t="s">
        <v>28</v>
      </c>
      <c r="Q5996" s="37">
        <v>7.6077199999999998E-2</v>
      </c>
      <c r="R5996" s="1" t="s">
        <v>231</v>
      </c>
      <c r="S5996" s="13">
        <f t="shared" si="252"/>
        <v>-1.0094000000000001</v>
      </c>
    </row>
    <row r="5997" spans="1:19">
      <c r="A5997" s="18" t="s">
        <v>5991</v>
      </c>
      <c r="B5997" s="1" t="s">
        <v>6303</v>
      </c>
      <c r="C5997" s="1" t="s">
        <v>4081</v>
      </c>
      <c r="D5997" s="1" t="s">
        <v>5060</v>
      </c>
      <c r="E5997" s="1" t="s">
        <v>25</v>
      </c>
      <c r="F5997">
        <v>560</v>
      </c>
      <c r="G5997">
        <v>590</v>
      </c>
      <c r="H5997">
        <v>796.2</v>
      </c>
      <c r="I5997" s="1" t="s">
        <v>5992</v>
      </c>
      <c r="J5997" s="1" t="s">
        <v>5993</v>
      </c>
      <c r="K5997" s="1" t="s">
        <v>25</v>
      </c>
      <c r="L5997">
        <v>-1.248329325</v>
      </c>
      <c r="M5997" s="1" t="s">
        <v>23</v>
      </c>
      <c r="N5997" s="1" t="s">
        <v>230</v>
      </c>
      <c r="O5997" s="1" t="s">
        <v>6033</v>
      </c>
      <c r="P5997" s="3" t="s">
        <v>28</v>
      </c>
      <c r="Q5997" s="37">
        <v>7.6142000000000001E-2</v>
      </c>
      <c r="R5997" s="1" t="s">
        <v>231</v>
      </c>
      <c r="S5997" s="13">
        <f t="shared" si="252"/>
        <v>-1.248329325</v>
      </c>
    </row>
    <row r="5998" spans="1:19">
      <c r="A5998" s="18" t="s">
        <v>5991</v>
      </c>
      <c r="B5998" s="1" t="s">
        <v>6304</v>
      </c>
      <c r="C5998" s="1" t="s">
        <v>4081</v>
      </c>
      <c r="D5998" s="1" t="s">
        <v>5060</v>
      </c>
      <c r="E5998" s="1" t="s">
        <v>25</v>
      </c>
      <c r="F5998">
        <v>560</v>
      </c>
      <c r="G5998">
        <v>590</v>
      </c>
      <c r="H5998">
        <v>806.9</v>
      </c>
      <c r="I5998" s="1" t="s">
        <v>5992</v>
      </c>
      <c r="J5998" s="1" t="s">
        <v>5993</v>
      </c>
      <c r="K5998" s="1" t="s">
        <v>25</v>
      </c>
      <c r="L5998">
        <v>-1.09936871</v>
      </c>
      <c r="M5998" s="1" t="s">
        <v>23</v>
      </c>
      <c r="N5998" s="1" t="s">
        <v>230</v>
      </c>
      <c r="O5998" s="1" t="s">
        <v>6120</v>
      </c>
      <c r="P5998" s="3" t="s">
        <v>28</v>
      </c>
      <c r="Q5998" s="37">
        <v>5.70711E-2</v>
      </c>
      <c r="R5998" s="1" t="s">
        <v>231</v>
      </c>
      <c r="S5998" s="13">
        <f t="shared" si="252"/>
        <v>-1.09936871</v>
      </c>
    </row>
    <row r="5999" spans="1:19">
      <c r="A5999" s="18" t="s">
        <v>5991</v>
      </c>
      <c r="B5999" s="1" t="s">
        <v>6305</v>
      </c>
      <c r="C5999" s="1" t="s">
        <v>4081</v>
      </c>
      <c r="D5999" s="1" t="s">
        <v>5060</v>
      </c>
      <c r="E5999" s="1" t="s">
        <v>25</v>
      </c>
      <c r="F5999">
        <v>560</v>
      </c>
      <c r="G5999">
        <v>590</v>
      </c>
      <c r="H5999">
        <v>818.5</v>
      </c>
      <c r="I5999" s="1" t="s">
        <v>5992</v>
      </c>
      <c r="J5999" s="1" t="s">
        <v>5993</v>
      </c>
      <c r="K5999" s="1" t="s">
        <v>25</v>
      </c>
      <c r="L5999">
        <v>-0.82134798499999995</v>
      </c>
      <c r="M5999" s="1" t="s">
        <v>23</v>
      </c>
      <c r="N5999" s="1" t="s">
        <v>230</v>
      </c>
      <c r="O5999" s="1" t="s">
        <v>6121</v>
      </c>
      <c r="P5999" s="3" t="s">
        <v>28</v>
      </c>
      <c r="Q5999" s="37">
        <v>9.5277000000000001E-2</v>
      </c>
      <c r="R5999" s="1" t="s">
        <v>231</v>
      </c>
      <c r="S5999" s="13">
        <f t="shared" si="252"/>
        <v>-0.82134798499999995</v>
      </c>
    </row>
    <row r="6000" spans="1:19">
      <c r="A6000" s="18" t="s">
        <v>5991</v>
      </c>
      <c r="B6000" s="1" t="s">
        <v>6306</v>
      </c>
      <c r="C6000" s="1" t="s">
        <v>4081</v>
      </c>
      <c r="D6000" s="1" t="s">
        <v>5060</v>
      </c>
      <c r="E6000" s="1" t="s">
        <v>25</v>
      </c>
      <c r="F6000">
        <v>560</v>
      </c>
      <c r="G6000">
        <v>590</v>
      </c>
      <c r="H6000">
        <v>828.6</v>
      </c>
      <c r="I6000" s="1" t="s">
        <v>5992</v>
      </c>
      <c r="J6000" s="1" t="s">
        <v>5993</v>
      </c>
      <c r="K6000" s="1" t="s">
        <v>25</v>
      </c>
      <c r="L6000">
        <v>-1.051682046</v>
      </c>
      <c r="M6000" s="1" t="s">
        <v>23</v>
      </c>
      <c r="N6000" s="1" t="s">
        <v>230</v>
      </c>
      <c r="O6000" s="1" t="s">
        <v>6122</v>
      </c>
      <c r="P6000" s="3" t="s">
        <v>28</v>
      </c>
      <c r="Q6000" s="37">
        <v>0.13260169999999999</v>
      </c>
      <c r="R6000" s="1" t="s">
        <v>231</v>
      </c>
      <c r="S6000" s="13">
        <f t="shared" si="252"/>
        <v>-1.051682046</v>
      </c>
    </row>
    <row r="6001" spans="1:19">
      <c r="A6001" s="18" t="s">
        <v>5991</v>
      </c>
      <c r="B6001" s="1" t="s">
        <v>6307</v>
      </c>
      <c r="C6001" s="1" t="s">
        <v>4081</v>
      </c>
      <c r="D6001" s="1" t="s">
        <v>5060</v>
      </c>
      <c r="E6001" s="1" t="s">
        <v>25</v>
      </c>
      <c r="F6001">
        <v>560</v>
      </c>
      <c r="G6001">
        <v>590</v>
      </c>
      <c r="H6001">
        <v>835.7</v>
      </c>
      <c r="I6001" s="1" t="s">
        <v>5992</v>
      </c>
      <c r="J6001" s="1" t="s">
        <v>5993</v>
      </c>
      <c r="K6001" s="1" t="s">
        <v>25</v>
      </c>
      <c r="L6001">
        <v>-0.83615373699999995</v>
      </c>
      <c r="M6001" s="1" t="s">
        <v>23</v>
      </c>
      <c r="N6001" s="1" t="s">
        <v>230</v>
      </c>
      <c r="O6001" s="1" t="s">
        <v>6116</v>
      </c>
      <c r="P6001" s="3" t="s">
        <v>28</v>
      </c>
      <c r="Q6001" s="37">
        <v>0.15098880000000001</v>
      </c>
      <c r="R6001" s="1" t="s">
        <v>231</v>
      </c>
      <c r="S6001" s="13">
        <f t="shared" si="252"/>
        <v>-0.83615373699999995</v>
      </c>
    </row>
    <row r="6002" spans="1:19">
      <c r="A6002" s="18" t="s">
        <v>5991</v>
      </c>
      <c r="B6002" s="1" t="s">
        <v>6308</v>
      </c>
      <c r="C6002" s="1" t="s">
        <v>4081</v>
      </c>
      <c r="D6002" s="1" t="s">
        <v>5060</v>
      </c>
      <c r="E6002" s="1" t="s">
        <v>25</v>
      </c>
      <c r="F6002">
        <v>560</v>
      </c>
      <c r="G6002">
        <v>590</v>
      </c>
      <c r="H6002">
        <v>859.5</v>
      </c>
      <c r="I6002" s="1" t="s">
        <v>5992</v>
      </c>
      <c r="J6002" s="1" t="s">
        <v>5993</v>
      </c>
      <c r="K6002" s="1" t="s">
        <v>25</v>
      </c>
      <c r="L6002">
        <v>-0.82077457099999995</v>
      </c>
      <c r="M6002" s="1" t="s">
        <v>23</v>
      </c>
      <c r="N6002" s="1" t="s">
        <v>230</v>
      </c>
      <c r="O6002" s="1" t="s">
        <v>6122</v>
      </c>
      <c r="P6002" s="3" t="s">
        <v>28</v>
      </c>
      <c r="Q6002" s="37">
        <v>0.13230069999999999</v>
      </c>
      <c r="R6002" s="1" t="s">
        <v>231</v>
      </c>
      <c r="S6002" s="13">
        <f t="shared" si="252"/>
        <v>-0.82077457099999995</v>
      </c>
    </row>
    <row r="6003" spans="1:19" s="4" customFormat="1">
      <c r="B6003" s="5"/>
      <c r="C6003" s="5"/>
      <c r="D6003" s="5"/>
      <c r="E6003" s="5"/>
      <c r="I6003" s="5"/>
      <c r="J6003" s="5"/>
      <c r="M6003" s="5"/>
      <c r="O6003" s="5"/>
      <c r="P6003" s="6"/>
      <c r="Q6003" s="38"/>
      <c r="S6003" s="24"/>
    </row>
    <row r="6004" spans="1:19">
      <c r="A6004" s="18" t="s">
        <v>6309</v>
      </c>
      <c r="B6004" s="1" t="s">
        <v>6385</v>
      </c>
      <c r="C6004" s="1" t="s">
        <v>6386</v>
      </c>
      <c r="D6004" s="1" t="s">
        <v>6387</v>
      </c>
      <c r="E6004" s="1" t="s">
        <v>25</v>
      </c>
      <c r="F6004">
        <v>201</v>
      </c>
      <c r="G6004">
        <v>208</v>
      </c>
      <c r="H6004">
        <v>2.8</v>
      </c>
      <c r="I6004" s="1" t="s">
        <v>20</v>
      </c>
      <c r="J6004" s="1" t="s">
        <v>1336</v>
      </c>
      <c r="K6004" s="1" t="s">
        <v>25</v>
      </c>
      <c r="L6004" s="42">
        <v>-1.88</v>
      </c>
      <c r="M6004" s="1" t="s">
        <v>23</v>
      </c>
      <c r="N6004" s="1" t="s">
        <v>230</v>
      </c>
      <c r="O6004" s="40">
        <v>656</v>
      </c>
      <c r="P6004" s="3" t="s">
        <v>28</v>
      </c>
      <c r="Q6004" s="41">
        <v>0.74890402646287213</v>
      </c>
      <c r="R6004" s="1" t="s">
        <v>231</v>
      </c>
      <c r="S6004" s="13">
        <f t="shared" si="252"/>
        <v>-1.88</v>
      </c>
    </row>
    <row r="6005" spans="1:19">
      <c r="A6005" s="18" t="s">
        <v>6309</v>
      </c>
      <c r="B6005" s="1" t="s">
        <v>6388</v>
      </c>
      <c r="C6005" s="1" t="s">
        <v>6386</v>
      </c>
      <c r="D6005" s="1" t="s">
        <v>6387</v>
      </c>
      <c r="E6005" s="1" t="s">
        <v>25</v>
      </c>
      <c r="F6005">
        <v>201</v>
      </c>
      <c r="G6005">
        <v>208</v>
      </c>
      <c r="H6005">
        <v>9.8000000000000007</v>
      </c>
      <c r="I6005" s="1" t="s">
        <v>20</v>
      </c>
      <c r="J6005" s="1" t="s">
        <v>1336</v>
      </c>
      <c r="K6005" s="1" t="s">
        <v>25</v>
      </c>
      <c r="L6005" s="42">
        <v>-1.8</v>
      </c>
      <c r="M6005" s="1" t="s">
        <v>23</v>
      </c>
      <c r="N6005" s="1" t="s">
        <v>230</v>
      </c>
      <c r="O6005" s="40">
        <v>929</v>
      </c>
      <c r="P6005" s="3" t="s">
        <v>28</v>
      </c>
      <c r="Q6005" s="41">
        <v>1.0605668301585491</v>
      </c>
      <c r="R6005" s="1" t="s">
        <v>231</v>
      </c>
      <c r="S6005" s="13">
        <f t="shared" si="252"/>
        <v>-1.8</v>
      </c>
    </row>
    <row r="6006" spans="1:19">
      <c r="A6006" s="18" t="s">
        <v>6309</v>
      </c>
      <c r="B6006" s="1" t="s">
        <v>6389</v>
      </c>
      <c r="C6006" s="1" t="s">
        <v>6386</v>
      </c>
      <c r="D6006" s="1" t="s">
        <v>6387</v>
      </c>
      <c r="E6006" s="1" t="s">
        <v>25</v>
      </c>
      <c r="F6006">
        <v>201</v>
      </c>
      <c r="G6006">
        <v>208</v>
      </c>
      <c r="H6006">
        <v>20</v>
      </c>
      <c r="I6006" s="1" t="s">
        <v>20</v>
      </c>
      <c r="J6006" s="1" t="s">
        <v>1336</v>
      </c>
      <c r="K6006" s="1" t="s">
        <v>25</v>
      </c>
      <c r="L6006" s="42">
        <v>-1.39</v>
      </c>
      <c r="M6006" s="1" t="s">
        <v>23</v>
      </c>
      <c r="N6006" s="1" t="s">
        <v>230</v>
      </c>
      <c r="O6006" s="40">
        <v>695</v>
      </c>
      <c r="P6006" s="3" t="s">
        <v>28</v>
      </c>
      <c r="Q6006" s="41">
        <v>0.79342728413368313</v>
      </c>
      <c r="R6006" s="1" t="s">
        <v>231</v>
      </c>
      <c r="S6006" s="13">
        <f t="shared" si="252"/>
        <v>-1.39</v>
      </c>
    </row>
    <row r="6007" spans="1:19">
      <c r="A6007" s="18" t="s">
        <v>6309</v>
      </c>
      <c r="B6007" s="1" t="s">
        <v>6390</v>
      </c>
      <c r="C6007" s="1" t="s">
        <v>6386</v>
      </c>
      <c r="D6007" s="1" t="s">
        <v>6387</v>
      </c>
      <c r="E6007" s="1" t="s">
        <v>25</v>
      </c>
      <c r="F6007">
        <v>201</v>
      </c>
      <c r="G6007">
        <v>208</v>
      </c>
      <c r="H6007">
        <v>30.8</v>
      </c>
      <c r="I6007" s="1" t="s">
        <v>20</v>
      </c>
      <c r="J6007" s="1" t="s">
        <v>1336</v>
      </c>
      <c r="K6007" s="1" t="s">
        <v>25</v>
      </c>
      <c r="L6007" s="42">
        <v>-1.6</v>
      </c>
      <c r="M6007" s="1" t="s">
        <v>23</v>
      </c>
      <c r="N6007" s="1" t="s">
        <v>230</v>
      </c>
      <c r="O6007" s="40">
        <v>378</v>
      </c>
      <c r="P6007" s="3" t="s">
        <v>28</v>
      </c>
      <c r="Q6007" s="41">
        <v>0.43153311280939888</v>
      </c>
      <c r="R6007" s="1" t="s">
        <v>231</v>
      </c>
      <c r="S6007" s="13">
        <f t="shared" si="252"/>
        <v>-1.6</v>
      </c>
    </row>
    <row r="6008" spans="1:19">
      <c r="A6008" s="18" t="s">
        <v>6309</v>
      </c>
      <c r="B6008" s="1" t="s">
        <v>6391</v>
      </c>
      <c r="C6008" s="1" t="s">
        <v>6386</v>
      </c>
      <c r="D6008" s="1" t="s">
        <v>6387</v>
      </c>
      <c r="E6008" s="1" t="s">
        <v>25</v>
      </c>
      <c r="F6008">
        <v>201</v>
      </c>
      <c r="G6008">
        <v>208</v>
      </c>
      <c r="H6008">
        <v>40</v>
      </c>
      <c r="I6008" s="1" t="s">
        <v>20</v>
      </c>
      <c r="J6008" s="1" t="s">
        <v>1336</v>
      </c>
      <c r="K6008" s="1" t="s">
        <v>25</v>
      </c>
      <c r="L6008" s="42">
        <v>-1.61</v>
      </c>
      <c r="M6008" s="1" t="s">
        <v>23</v>
      </c>
      <c r="N6008" s="1" t="s">
        <v>230</v>
      </c>
      <c r="O6008" s="40">
        <v>1204</v>
      </c>
      <c r="P6008" s="3" t="s">
        <v>28</v>
      </c>
      <c r="Q6008" s="41">
        <v>1.3745128778373445</v>
      </c>
      <c r="R6008" s="1" t="s">
        <v>231</v>
      </c>
      <c r="S6008" s="13">
        <f t="shared" si="252"/>
        <v>-1.61</v>
      </c>
    </row>
    <row r="6009" spans="1:19">
      <c r="A6009" s="18" t="s">
        <v>6309</v>
      </c>
      <c r="B6009" s="1" t="s">
        <v>6392</v>
      </c>
      <c r="C6009" s="1" t="s">
        <v>6386</v>
      </c>
      <c r="D6009" s="1" t="s">
        <v>6387</v>
      </c>
      <c r="E6009" s="1" t="s">
        <v>25</v>
      </c>
      <c r="F6009">
        <v>201</v>
      </c>
      <c r="G6009">
        <v>208</v>
      </c>
      <c r="H6009">
        <v>46.9</v>
      </c>
      <c r="I6009" s="1" t="s">
        <v>20</v>
      </c>
      <c r="J6009" s="1" t="s">
        <v>1336</v>
      </c>
      <c r="K6009" s="1" t="s">
        <v>25</v>
      </c>
      <c r="L6009" s="42">
        <v>-1.45</v>
      </c>
      <c r="M6009" s="1" t="s">
        <v>23</v>
      </c>
      <c r="N6009" s="1" t="s">
        <v>230</v>
      </c>
      <c r="O6009" s="40">
        <v>727</v>
      </c>
      <c r="P6009" s="3" t="s">
        <v>28</v>
      </c>
      <c r="Q6009" s="41">
        <v>0.82995918786357936</v>
      </c>
      <c r="R6009" s="1" t="s">
        <v>231</v>
      </c>
      <c r="S6009" s="13">
        <f t="shared" si="252"/>
        <v>-1.45</v>
      </c>
    </row>
    <row r="6010" spans="1:19">
      <c r="A6010" s="18" t="s">
        <v>6309</v>
      </c>
      <c r="B6010" s="1" t="s">
        <v>6393</v>
      </c>
      <c r="C6010" s="1" t="s">
        <v>6386</v>
      </c>
      <c r="D6010" s="1" t="s">
        <v>6387</v>
      </c>
      <c r="E6010" s="1" t="s">
        <v>25</v>
      </c>
      <c r="F6010">
        <v>201</v>
      </c>
      <c r="G6010">
        <v>208</v>
      </c>
      <c r="H6010">
        <v>57</v>
      </c>
      <c r="I6010" s="1" t="s">
        <v>20</v>
      </c>
      <c r="J6010" s="1" t="s">
        <v>1336</v>
      </c>
      <c r="K6010" s="1" t="s">
        <v>25</v>
      </c>
      <c r="L6010" s="42">
        <v>-1.79</v>
      </c>
      <c r="M6010" s="1" t="s">
        <v>23</v>
      </c>
      <c r="N6010" s="1" t="s">
        <v>230</v>
      </c>
      <c r="O6010" s="40">
        <v>2595</v>
      </c>
      <c r="P6010" s="3" t="s">
        <v>28</v>
      </c>
      <c r="Q6010" s="41">
        <v>2.9625090680962702</v>
      </c>
      <c r="R6010" s="1" t="s">
        <v>231</v>
      </c>
      <c r="S6010" s="13">
        <f t="shared" si="252"/>
        <v>-1.79</v>
      </c>
    </row>
    <row r="6011" spans="1:19">
      <c r="A6011" s="18" t="s">
        <v>6309</v>
      </c>
      <c r="B6011" s="1" t="s">
        <v>6394</v>
      </c>
      <c r="C6011" s="1" t="s">
        <v>6386</v>
      </c>
      <c r="D6011" s="1" t="s">
        <v>6387</v>
      </c>
      <c r="E6011" s="1" t="s">
        <v>25</v>
      </c>
      <c r="F6011">
        <v>201</v>
      </c>
      <c r="G6011">
        <v>208</v>
      </c>
      <c r="H6011">
        <v>57.9</v>
      </c>
      <c r="I6011" s="1" t="s">
        <v>20</v>
      </c>
      <c r="J6011" s="1" t="s">
        <v>1336</v>
      </c>
      <c r="K6011" s="1" t="s">
        <v>25</v>
      </c>
      <c r="L6011" s="42">
        <v>-2.02</v>
      </c>
      <c r="M6011" s="1" t="s">
        <v>23</v>
      </c>
      <c r="N6011" s="1" t="s">
        <v>230</v>
      </c>
      <c r="O6011" s="40">
        <v>2362</v>
      </c>
      <c r="P6011" s="3" t="s">
        <v>28</v>
      </c>
      <c r="Q6011" s="41">
        <v>2.6965111440629634</v>
      </c>
      <c r="R6011" s="1" t="s">
        <v>231</v>
      </c>
      <c r="S6011" s="13">
        <f t="shared" ref="S6011:S6036" si="253">IF(NOT(N6011="SW"),L6011-1.88,L6011)</f>
        <v>-2.02</v>
      </c>
    </row>
    <row r="6012" spans="1:19">
      <c r="A6012" s="18" t="s">
        <v>6309</v>
      </c>
      <c r="B6012" s="1" t="s">
        <v>6395</v>
      </c>
      <c r="C6012" s="1" t="s">
        <v>6386</v>
      </c>
      <c r="D6012" s="1" t="s">
        <v>6387</v>
      </c>
      <c r="E6012" s="1" t="s">
        <v>25</v>
      </c>
      <c r="F6012">
        <v>201</v>
      </c>
      <c r="G6012">
        <v>208</v>
      </c>
      <c r="H6012">
        <v>64.7</v>
      </c>
      <c r="I6012" s="1" t="s">
        <v>20</v>
      </c>
      <c r="J6012" s="1" t="s">
        <v>1336</v>
      </c>
      <c r="K6012" s="1" t="s">
        <v>25</v>
      </c>
      <c r="L6012" s="42">
        <v>-2.17</v>
      </c>
      <c r="M6012" s="1" t="s">
        <v>23</v>
      </c>
      <c r="N6012" s="1" t="s">
        <v>230</v>
      </c>
      <c r="O6012" s="40">
        <v>2660</v>
      </c>
      <c r="P6012" s="3" t="s">
        <v>28</v>
      </c>
      <c r="Q6012" s="41">
        <v>3.0367144975476217</v>
      </c>
      <c r="R6012" s="1" t="s">
        <v>231</v>
      </c>
      <c r="S6012" s="13">
        <f t="shared" si="253"/>
        <v>-2.17</v>
      </c>
    </row>
    <row r="6013" spans="1:19">
      <c r="A6013" s="18" t="s">
        <v>6309</v>
      </c>
      <c r="B6013" s="1" t="s">
        <v>6396</v>
      </c>
      <c r="C6013" s="1" t="s">
        <v>6386</v>
      </c>
      <c r="D6013" s="1" t="s">
        <v>6387</v>
      </c>
      <c r="E6013" s="1" t="s">
        <v>25</v>
      </c>
      <c r="F6013">
        <v>201</v>
      </c>
      <c r="G6013">
        <v>208</v>
      </c>
      <c r="H6013">
        <v>66.2</v>
      </c>
      <c r="I6013" s="1" t="s">
        <v>20</v>
      </c>
      <c r="J6013" s="1" t="s">
        <v>1336</v>
      </c>
      <c r="K6013" s="1" t="s">
        <v>25</v>
      </c>
      <c r="L6013" s="42">
        <v>-2.0299999999999998</v>
      </c>
      <c r="M6013" s="1" t="s">
        <v>23</v>
      </c>
      <c r="N6013" s="1" t="s">
        <v>230</v>
      </c>
      <c r="O6013" s="40">
        <v>2386</v>
      </c>
      <c r="P6013" s="3" t="s">
        <v>28</v>
      </c>
      <c r="Q6013" s="41">
        <v>2.7239100718603857</v>
      </c>
      <c r="R6013" s="1" t="s">
        <v>231</v>
      </c>
      <c r="S6013" s="13">
        <f t="shared" si="253"/>
        <v>-2.0299999999999998</v>
      </c>
    </row>
    <row r="6014" spans="1:19">
      <c r="A6014" s="18" t="s">
        <v>6309</v>
      </c>
      <c r="B6014" s="1" t="s">
        <v>6397</v>
      </c>
      <c r="C6014" s="1" t="s">
        <v>6386</v>
      </c>
      <c r="D6014" s="1" t="s">
        <v>6387</v>
      </c>
      <c r="E6014" s="1" t="s">
        <v>25</v>
      </c>
      <c r="F6014">
        <v>201</v>
      </c>
      <c r="G6014">
        <v>208</v>
      </c>
      <c r="H6014">
        <v>67.7</v>
      </c>
      <c r="I6014" s="1" t="s">
        <v>20</v>
      </c>
      <c r="J6014" s="1" t="s">
        <v>1336</v>
      </c>
      <c r="K6014" s="1" t="s">
        <v>25</v>
      </c>
      <c r="L6014" s="42">
        <v>-2.0099999999999998</v>
      </c>
      <c r="M6014" s="1" t="s">
        <v>23</v>
      </c>
      <c r="N6014" s="1" t="s">
        <v>230</v>
      </c>
      <c r="O6014" s="40">
        <v>2175</v>
      </c>
      <c r="P6014" s="3" t="s">
        <v>28</v>
      </c>
      <c r="Q6014" s="41">
        <v>2.4830278316413827</v>
      </c>
      <c r="R6014" s="1" t="s">
        <v>231</v>
      </c>
      <c r="S6014" s="13">
        <f t="shared" si="253"/>
        <v>-2.0099999999999998</v>
      </c>
    </row>
    <row r="6015" spans="1:19">
      <c r="A6015" s="18" t="s">
        <v>6309</v>
      </c>
      <c r="B6015" s="1" t="s">
        <v>6398</v>
      </c>
      <c r="C6015" s="1" t="s">
        <v>6386</v>
      </c>
      <c r="D6015" s="1" t="s">
        <v>6387</v>
      </c>
      <c r="E6015" s="1" t="s">
        <v>25</v>
      </c>
      <c r="F6015">
        <v>201</v>
      </c>
      <c r="G6015">
        <v>208</v>
      </c>
      <c r="H6015">
        <v>71.400000000000006</v>
      </c>
      <c r="I6015" s="1" t="s">
        <v>20</v>
      </c>
      <c r="J6015" s="1" t="s">
        <v>1336</v>
      </c>
      <c r="K6015" s="1" t="s">
        <v>25</v>
      </c>
      <c r="L6015" s="42">
        <v>-2.08</v>
      </c>
      <c r="M6015" s="1" t="s">
        <v>23</v>
      </c>
      <c r="N6015" s="1" t="s">
        <v>230</v>
      </c>
      <c r="O6015" s="40">
        <v>1800</v>
      </c>
      <c r="P6015" s="3" t="s">
        <v>28</v>
      </c>
      <c r="Q6015" s="41">
        <v>2.0549195848066613</v>
      </c>
      <c r="R6015" s="1" t="s">
        <v>231</v>
      </c>
      <c r="S6015" s="13">
        <f t="shared" si="253"/>
        <v>-2.08</v>
      </c>
    </row>
    <row r="6016" spans="1:19">
      <c r="A6016" s="18" t="s">
        <v>6309</v>
      </c>
      <c r="B6016" s="1" t="s">
        <v>6399</v>
      </c>
      <c r="C6016" s="1" t="s">
        <v>6386</v>
      </c>
      <c r="D6016" s="1" t="s">
        <v>6387</v>
      </c>
      <c r="E6016" s="1" t="s">
        <v>25</v>
      </c>
      <c r="F6016">
        <v>201</v>
      </c>
      <c r="G6016">
        <v>208</v>
      </c>
      <c r="H6016">
        <v>79</v>
      </c>
      <c r="I6016" s="1" t="s">
        <v>20</v>
      </c>
      <c r="J6016" s="1" t="s">
        <v>1336</v>
      </c>
      <c r="K6016" s="1" t="s">
        <v>25</v>
      </c>
      <c r="L6016" s="42">
        <v>-1.39</v>
      </c>
      <c r="M6016" s="1" t="s">
        <v>23</v>
      </c>
      <c r="N6016" s="1" t="s">
        <v>230</v>
      </c>
      <c r="O6016" s="40">
        <v>896</v>
      </c>
      <c r="P6016" s="3" t="s">
        <v>28</v>
      </c>
      <c r="Q6016" s="41">
        <v>1.0228933044370938</v>
      </c>
      <c r="R6016" s="1" t="s">
        <v>231</v>
      </c>
      <c r="S6016" s="13">
        <f t="shared" si="253"/>
        <v>-1.39</v>
      </c>
    </row>
    <row r="6017" spans="1:19">
      <c r="A6017" s="18" t="s">
        <v>6309</v>
      </c>
      <c r="B6017" s="1" t="s">
        <v>6400</v>
      </c>
      <c r="C6017" s="1" t="s">
        <v>6386</v>
      </c>
      <c r="D6017" s="1" t="s">
        <v>6387</v>
      </c>
      <c r="E6017" s="1" t="s">
        <v>25</v>
      </c>
      <c r="F6017">
        <v>201</v>
      </c>
      <c r="G6017">
        <v>208</v>
      </c>
      <c r="H6017">
        <v>86</v>
      </c>
      <c r="I6017" s="1" t="s">
        <v>20</v>
      </c>
      <c r="J6017" s="1" t="s">
        <v>1336</v>
      </c>
      <c r="K6017" s="1" t="s">
        <v>25</v>
      </c>
      <c r="L6017" s="42">
        <v>-1.51</v>
      </c>
      <c r="M6017" s="1" t="s">
        <v>23</v>
      </c>
      <c r="N6017" s="1" t="s">
        <v>230</v>
      </c>
      <c r="O6017" s="40">
        <v>392</v>
      </c>
      <c r="P6017" s="3" t="s">
        <v>28</v>
      </c>
      <c r="Q6017" s="41">
        <v>0.44751582069122842</v>
      </c>
      <c r="R6017" s="1" t="s">
        <v>231</v>
      </c>
      <c r="S6017" s="13">
        <f t="shared" si="253"/>
        <v>-1.51</v>
      </c>
    </row>
    <row r="6018" spans="1:19">
      <c r="A6018" s="18" t="s">
        <v>6309</v>
      </c>
      <c r="B6018" s="1" t="s">
        <v>6401</v>
      </c>
      <c r="C6018" s="1" t="s">
        <v>6386</v>
      </c>
      <c r="D6018" s="1" t="s">
        <v>6387</v>
      </c>
      <c r="E6018" s="1" t="s">
        <v>25</v>
      </c>
      <c r="F6018">
        <v>201</v>
      </c>
      <c r="G6018">
        <v>208</v>
      </c>
      <c r="H6018">
        <v>95</v>
      </c>
      <c r="I6018" s="1" t="s">
        <v>20</v>
      </c>
      <c r="J6018" s="1" t="s">
        <v>1336</v>
      </c>
      <c r="K6018" s="1" t="s">
        <v>25</v>
      </c>
      <c r="L6018" s="42">
        <v>-1.51</v>
      </c>
      <c r="M6018" s="1" t="s">
        <v>23</v>
      </c>
      <c r="N6018" s="1" t="s">
        <v>230</v>
      </c>
      <c r="O6018" s="40">
        <v>421</v>
      </c>
      <c r="P6018" s="3" t="s">
        <v>28</v>
      </c>
      <c r="Q6018" s="41">
        <v>0.48062285844644698</v>
      </c>
      <c r="R6018" s="1" t="s">
        <v>231</v>
      </c>
      <c r="S6018" s="13">
        <f t="shared" si="253"/>
        <v>-1.51</v>
      </c>
    </row>
    <row r="6019" spans="1:19">
      <c r="A6019" s="18" t="s">
        <v>6309</v>
      </c>
      <c r="B6019" s="1" t="s">
        <v>6402</v>
      </c>
      <c r="C6019" s="1" t="s">
        <v>6386</v>
      </c>
      <c r="D6019" s="1" t="s">
        <v>6387</v>
      </c>
      <c r="E6019" s="1" t="s">
        <v>25</v>
      </c>
      <c r="F6019">
        <v>201</v>
      </c>
      <c r="G6019">
        <v>208</v>
      </c>
      <c r="H6019">
        <v>100.6</v>
      </c>
      <c r="I6019" s="1" t="s">
        <v>20</v>
      </c>
      <c r="J6019" s="1" t="s">
        <v>1336</v>
      </c>
      <c r="K6019" s="1" t="s">
        <v>25</v>
      </c>
      <c r="L6019" s="42">
        <v>-1.67</v>
      </c>
      <c r="M6019" s="1" t="s">
        <v>23</v>
      </c>
      <c r="N6019" s="1" t="s">
        <v>230</v>
      </c>
      <c r="O6019" s="40">
        <v>460</v>
      </c>
      <c r="P6019" s="3" t="s">
        <v>28</v>
      </c>
      <c r="Q6019" s="41">
        <v>0.52514611611725781</v>
      </c>
      <c r="R6019" s="1" t="s">
        <v>231</v>
      </c>
      <c r="S6019" s="13">
        <f t="shared" si="253"/>
        <v>-1.67</v>
      </c>
    </row>
    <row r="6020" spans="1:19">
      <c r="A6020" s="18" t="s">
        <v>6309</v>
      </c>
      <c r="B6020" s="1" t="s">
        <v>6403</v>
      </c>
      <c r="C6020" s="1" t="s">
        <v>6404</v>
      </c>
      <c r="D6020" s="1" t="s">
        <v>6387</v>
      </c>
      <c r="E6020" s="1" t="s">
        <v>25</v>
      </c>
      <c r="F6020">
        <v>201</v>
      </c>
      <c r="G6020">
        <v>208</v>
      </c>
      <c r="H6020">
        <v>7.4</v>
      </c>
      <c r="I6020" s="1" t="s">
        <v>20</v>
      </c>
      <c r="J6020" s="1" t="s">
        <v>1336</v>
      </c>
      <c r="K6020" s="1" t="s">
        <v>25</v>
      </c>
      <c r="L6020">
        <v>-1.89</v>
      </c>
      <c r="M6020" s="1" t="s">
        <v>23</v>
      </c>
      <c r="N6020" s="1" t="s">
        <v>230</v>
      </c>
      <c r="O6020" s="1" t="s">
        <v>25</v>
      </c>
      <c r="P6020" s="3" t="s">
        <v>25</v>
      </c>
      <c r="Q6020" s="43" t="s">
        <v>25</v>
      </c>
      <c r="R6020" s="1" t="s">
        <v>25</v>
      </c>
      <c r="S6020" s="13">
        <f t="shared" si="253"/>
        <v>-1.89</v>
      </c>
    </row>
    <row r="6021" spans="1:19">
      <c r="A6021" s="18" t="s">
        <v>6309</v>
      </c>
      <c r="B6021" s="1" t="s">
        <v>6405</v>
      </c>
      <c r="C6021" s="1" t="s">
        <v>6404</v>
      </c>
      <c r="D6021" s="1" t="s">
        <v>6387</v>
      </c>
      <c r="E6021" s="1" t="s">
        <v>25</v>
      </c>
      <c r="F6021">
        <v>201</v>
      </c>
      <c r="G6021">
        <v>208</v>
      </c>
      <c r="H6021">
        <v>23.9</v>
      </c>
      <c r="I6021" s="1" t="s">
        <v>20</v>
      </c>
      <c r="J6021" s="1" t="s">
        <v>1336</v>
      </c>
      <c r="K6021" s="1" t="s">
        <v>25</v>
      </c>
      <c r="L6021">
        <v>-1.67</v>
      </c>
      <c r="M6021" s="1" t="s">
        <v>23</v>
      </c>
      <c r="N6021" s="1" t="s">
        <v>230</v>
      </c>
      <c r="O6021" s="1" t="s">
        <v>25</v>
      </c>
      <c r="P6021" s="3" t="s">
        <v>25</v>
      </c>
      <c r="Q6021" s="43" t="s">
        <v>25</v>
      </c>
      <c r="R6021" s="1" t="s">
        <v>25</v>
      </c>
      <c r="S6021" s="13">
        <f t="shared" si="253"/>
        <v>-1.67</v>
      </c>
    </row>
    <row r="6022" spans="1:19">
      <c r="A6022" s="18" t="s">
        <v>6309</v>
      </c>
      <c r="B6022" s="1" t="s">
        <v>6406</v>
      </c>
      <c r="C6022" s="1" t="s">
        <v>6404</v>
      </c>
      <c r="D6022" s="1" t="s">
        <v>6387</v>
      </c>
      <c r="E6022" s="1" t="s">
        <v>25</v>
      </c>
      <c r="F6022">
        <v>201</v>
      </c>
      <c r="G6022">
        <v>208</v>
      </c>
      <c r="H6022">
        <v>35.4</v>
      </c>
      <c r="I6022" s="1" t="s">
        <v>20</v>
      </c>
      <c r="J6022" s="1" t="s">
        <v>1336</v>
      </c>
      <c r="K6022" s="1" t="s">
        <v>25</v>
      </c>
      <c r="L6022">
        <v>-1.34</v>
      </c>
      <c r="M6022" s="1" t="s">
        <v>23</v>
      </c>
      <c r="N6022" s="1" t="s">
        <v>230</v>
      </c>
      <c r="O6022" s="40">
        <v>507</v>
      </c>
      <c r="P6022" s="3" t="s">
        <v>28</v>
      </c>
      <c r="Q6022" s="43">
        <v>0.5788023497205429</v>
      </c>
      <c r="R6022" s="1" t="s">
        <v>231</v>
      </c>
      <c r="S6022" s="13">
        <f t="shared" si="253"/>
        <v>-1.34</v>
      </c>
    </row>
    <row r="6023" spans="1:19">
      <c r="A6023" s="18" t="s">
        <v>6309</v>
      </c>
      <c r="B6023" s="1" t="s">
        <v>6407</v>
      </c>
      <c r="C6023" s="1" t="s">
        <v>6404</v>
      </c>
      <c r="D6023" s="1" t="s">
        <v>6387</v>
      </c>
      <c r="E6023" s="1" t="s">
        <v>25</v>
      </c>
      <c r="F6023">
        <v>201</v>
      </c>
      <c r="G6023">
        <v>208</v>
      </c>
      <c r="H6023">
        <v>41.1</v>
      </c>
      <c r="I6023" s="1" t="s">
        <v>20</v>
      </c>
      <c r="J6023" s="1" t="s">
        <v>1336</v>
      </c>
      <c r="K6023" s="1" t="s">
        <v>25</v>
      </c>
      <c r="L6023">
        <v>-1.51</v>
      </c>
      <c r="M6023" s="1" t="s">
        <v>23</v>
      </c>
      <c r="N6023" s="1" t="s">
        <v>230</v>
      </c>
      <c r="O6023" s="40">
        <v>623</v>
      </c>
      <c r="P6023" s="3" t="s">
        <v>28</v>
      </c>
      <c r="Q6023" s="43">
        <v>0.71123050074141669</v>
      </c>
      <c r="R6023" s="1" t="s">
        <v>231</v>
      </c>
      <c r="S6023" s="13">
        <f t="shared" si="253"/>
        <v>-1.51</v>
      </c>
    </row>
    <row r="6024" spans="1:19">
      <c r="A6024" s="18" t="s">
        <v>6309</v>
      </c>
      <c r="B6024" s="1" t="s">
        <v>6408</v>
      </c>
      <c r="C6024" s="1" t="s">
        <v>6404</v>
      </c>
      <c r="D6024" s="1" t="s">
        <v>6387</v>
      </c>
      <c r="E6024" s="1" t="s">
        <v>25</v>
      </c>
      <c r="F6024">
        <v>201</v>
      </c>
      <c r="G6024">
        <v>208</v>
      </c>
      <c r="H6024">
        <v>43.1</v>
      </c>
      <c r="I6024" s="1" t="s">
        <v>20</v>
      </c>
      <c r="J6024" s="1" t="s">
        <v>1336</v>
      </c>
      <c r="K6024" s="1" t="s">
        <v>25</v>
      </c>
      <c r="L6024">
        <v>-1.26</v>
      </c>
      <c r="M6024" s="1" t="s">
        <v>23</v>
      </c>
      <c r="N6024" s="1" t="s">
        <v>230</v>
      </c>
      <c r="O6024" s="40">
        <v>433</v>
      </c>
      <c r="P6024" s="3" t="s">
        <v>28</v>
      </c>
      <c r="Q6024" s="43">
        <v>0.49432232234515799</v>
      </c>
      <c r="R6024" s="1" t="s">
        <v>231</v>
      </c>
      <c r="S6024" s="13">
        <f t="shared" si="253"/>
        <v>-1.26</v>
      </c>
    </row>
    <row r="6025" spans="1:19">
      <c r="A6025" s="18" t="s">
        <v>6309</v>
      </c>
      <c r="B6025" s="1" t="s">
        <v>6409</v>
      </c>
      <c r="C6025" s="1" t="s">
        <v>6404</v>
      </c>
      <c r="D6025" s="1" t="s">
        <v>6387</v>
      </c>
      <c r="E6025" s="1" t="s">
        <v>25</v>
      </c>
      <c r="F6025">
        <v>201</v>
      </c>
      <c r="G6025">
        <v>208</v>
      </c>
      <c r="H6025">
        <v>45.5</v>
      </c>
      <c r="I6025" s="1" t="s">
        <v>20</v>
      </c>
      <c r="J6025" s="1" t="s">
        <v>1336</v>
      </c>
      <c r="K6025" s="1" t="s">
        <v>25</v>
      </c>
      <c r="L6025">
        <v>-1.68</v>
      </c>
      <c r="M6025" s="1" t="s">
        <v>23</v>
      </c>
      <c r="N6025" s="1" t="s">
        <v>230</v>
      </c>
      <c r="O6025" s="40">
        <v>341</v>
      </c>
      <c r="P6025" s="3" t="s">
        <v>28</v>
      </c>
      <c r="Q6025" s="43">
        <v>0.3892930991217064</v>
      </c>
      <c r="R6025" s="1" t="s">
        <v>231</v>
      </c>
      <c r="S6025" s="13">
        <f t="shared" si="253"/>
        <v>-1.68</v>
      </c>
    </row>
    <row r="6026" spans="1:19">
      <c r="A6026" s="18" t="s">
        <v>6309</v>
      </c>
      <c r="B6026" s="1" t="s">
        <v>6410</v>
      </c>
      <c r="C6026" s="1" t="s">
        <v>6404</v>
      </c>
      <c r="D6026" s="1" t="s">
        <v>6387</v>
      </c>
      <c r="E6026" s="1" t="s">
        <v>25</v>
      </c>
      <c r="F6026">
        <v>201</v>
      </c>
      <c r="G6026">
        <v>208</v>
      </c>
      <c r="H6026">
        <v>47.1</v>
      </c>
      <c r="I6026" s="1" t="s">
        <v>20</v>
      </c>
      <c r="J6026" s="1" t="s">
        <v>1336</v>
      </c>
      <c r="K6026" s="1" t="s">
        <v>25</v>
      </c>
      <c r="L6026">
        <v>-2.0499999999999998</v>
      </c>
      <c r="M6026" s="1" t="s">
        <v>23</v>
      </c>
      <c r="N6026" s="1" t="s">
        <v>230</v>
      </c>
      <c r="O6026" s="40">
        <v>624</v>
      </c>
      <c r="P6026" s="3" t="s">
        <v>28</v>
      </c>
      <c r="Q6026" s="43">
        <v>0.7123721227329759</v>
      </c>
      <c r="R6026" s="1" t="s">
        <v>231</v>
      </c>
      <c r="S6026" s="13">
        <f t="shared" si="253"/>
        <v>-2.0499999999999998</v>
      </c>
    </row>
    <row r="6027" spans="1:19">
      <c r="A6027" s="18" t="s">
        <v>6309</v>
      </c>
      <c r="B6027" s="1" t="s">
        <v>6411</v>
      </c>
      <c r="C6027" s="1" t="s">
        <v>6404</v>
      </c>
      <c r="D6027" s="1" t="s">
        <v>6387</v>
      </c>
      <c r="E6027" s="1" t="s">
        <v>25</v>
      </c>
      <c r="F6027">
        <v>201</v>
      </c>
      <c r="G6027">
        <v>208</v>
      </c>
      <c r="H6027">
        <v>49.9</v>
      </c>
      <c r="I6027" s="1" t="s">
        <v>20</v>
      </c>
      <c r="J6027" s="1" t="s">
        <v>1336</v>
      </c>
      <c r="K6027" s="1" t="s">
        <v>25</v>
      </c>
      <c r="L6027">
        <v>-2.08</v>
      </c>
      <c r="M6027" s="1" t="s">
        <v>23</v>
      </c>
      <c r="N6027" s="1" t="s">
        <v>230</v>
      </c>
      <c r="O6027" s="40">
        <v>3592</v>
      </c>
      <c r="P6027" s="3" t="s">
        <v>28</v>
      </c>
      <c r="Q6027" s="43">
        <v>4.1007061936808489</v>
      </c>
      <c r="R6027" s="1" t="s">
        <v>231</v>
      </c>
      <c r="S6027" s="13">
        <f t="shared" si="253"/>
        <v>-2.08</v>
      </c>
    </row>
    <row r="6028" spans="1:19">
      <c r="A6028" s="18" t="s">
        <v>6309</v>
      </c>
      <c r="B6028" s="1" t="s">
        <v>6412</v>
      </c>
      <c r="C6028" s="1" t="s">
        <v>6404</v>
      </c>
      <c r="D6028" s="1" t="s">
        <v>6387</v>
      </c>
      <c r="E6028" s="1" t="s">
        <v>25</v>
      </c>
      <c r="F6028">
        <v>201</v>
      </c>
      <c r="G6028">
        <v>208</v>
      </c>
      <c r="H6028">
        <v>53</v>
      </c>
      <c r="I6028" s="1" t="s">
        <v>20</v>
      </c>
      <c r="J6028" s="1" t="s">
        <v>1336</v>
      </c>
      <c r="K6028" s="1" t="s">
        <v>25</v>
      </c>
      <c r="L6028">
        <v>-2.13</v>
      </c>
      <c r="M6028" s="1" t="s">
        <v>23</v>
      </c>
      <c r="N6028" s="1" t="s">
        <v>230</v>
      </c>
      <c r="O6028" s="40">
        <v>2173</v>
      </c>
      <c r="P6028" s="3" t="s">
        <v>28</v>
      </c>
      <c r="Q6028" s="43">
        <v>2.4807445876582639</v>
      </c>
      <c r="R6028" s="1" t="s">
        <v>231</v>
      </c>
      <c r="S6028" s="13">
        <f t="shared" si="253"/>
        <v>-2.13</v>
      </c>
    </row>
    <row r="6029" spans="1:19">
      <c r="A6029" s="18" t="s">
        <v>6309</v>
      </c>
      <c r="B6029" s="1" t="s">
        <v>6413</v>
      </c>
      <c r="C6029" s="1" t="s">
        <v>6404</v>
      </c>
      <c r="D6029" s="1" t="s">
        <v>6387</v>
      </c>
      <c r="E6029" s="1" t="s">
        <v>25</v>
      </c>
      <c r="F6029">
        <v>201</v>
      </c>
      <c r="G6029">
        <v>208</v>
      </c>
      <c r="H6029">
        <v>56.6</v>
      </c>
      <c r="I6029" s="1" t="s">
        <v>20</v>
      </c>
      <c r="J6029" s="1" t="s">
        <v>1336</v>
      </c>
      <c r="K6029" s="1" t="s">
        <v>25</v>
      </c>
      <c r="L6029">
        <v>-1.96</v>
      </c>
      <c r="M6029" s="1" t="s">
        <v>23</v>
      </c>
      <c r="N6029" s="1" t="s">
        <v>230</v>
      </c>
      <c r="O6029" s="40">
        <v>2531</v>
      </c>
      <c r="P6029" s="3" t="s">
        <v>28</v>
      </c>
      <c r="Q6029" s="43">
        <v>2.889445260636478</v>
      </c>
      <c r="R6029" s="1" t="s">
        <v>231</v>
      </c>
      <c r="S6029" s="13">
        <f t="shared" si="253"/>
        <v>-1.96</v>
      </c>
    </row>
    <row r="6030" spans="1:19">
      <c r="A6030" s="18" t="s">
        <v>6309</v>
      </c>
      <c r="B6030" s="1" t="s">
        <v>6414</v>
      </c>
      <c r="C6030" s="1" t="s">
        <v>6404</v>
      </c>
      <c r="D6030" s="1" t="s">
        <v>6387</v>
      </c>
      <c r="E6030" s="1" t="s">
        <v>25</v>
      </c>
      <c r="F6030">
        <v>201</v>
      </c>
      <c r="G6030">
        <v>208</v>
      </c>
      <c r="H6030">
        <v>61</v>
      </c>
      <c r="I6030" s="1" t="s">
        <v>20</v>
      </c>
      <c r="J6030" s="1" t="s">
        <v>1336</v>
      </c>
      <c r="K6030" s="1" t="s">
        <v>25</v>
      </c>
      <c r="L6030">
        <v>-1.99</v>
      </c>
      <c r="M6030" s="1" t="s">
        <v>23</v>
      </c>
      <c r="N6030" s="1" t="s">
        <v>230</v>
      </c>
      <c r="O6030" s="40">
        <v>1880</v>
      </c>
      <c r="P6030" s="3" t="s">
        <v>28</v>
      </c>
      <c r="Q6030" s="43">
        <v>2.1462493441314017</v>
      </c>
      <c r="R6030" s="1" t="s">
        <v>231</v>
      </c>
      <c r="S6030" s="13">
        <f t="shared" si="253"/>
        <v>-1.99</v>
      </c>
    </row>
    <row r="6031" spans="1:19">
      <c r="A6031" s="18" t="s">
        <v>6309</v>
      </c>
      <c r="B6031" s="1" t="s">
        <v>6415</v>
      </c>
      <c r="C6031" s="1" t="s">
        <v>6404</v>
      </c>
      <c r="D6031" s="1" t="s">
        <v>6387</v>
      </c>
      <c r="E6031" s="1" t="s">
        <v>25</v>
      </c>
      <c r="F6031">
        <v>201</v>
      </c>
      <c r="G6031">
        <v>208</v>
      </c>
      <c r="H6031">
        <v>65.3</v>
      </c>
      <c r="I6031" s="1" t="s">
        <v>20</v>
      </c>
      <c r="J6031" s="1" t="s">
        <v>1336</v>
      </c>
      <c r="K6031" s="1" t="s">
        <v>25</v>
      </c>
      <c r="L6031">
        <v>-1.89</v>
      </c>
      <c r="M6031" s="1" t="s">
        <v>23</v>
      </c>
      <c r="N6031" s="1" t="s">
        <v>230</v>
      </c>
      <c r="O6031" s="40">
        <v>1983</v>
      </c>
      <c r="P6031" s="3" t="s">
        <v>28</v>
      </c>
      <c r="Q6031" s="43">
        <v>2.2638364092620051</v>
      </c>
      <c r="R6031" s="1" t="s">
        <v>231</v>
      </c>
      <c r="S6031" s="13">
        <f t="shared" si="253"/>
        <v>-1.89</v>
      </c>
    </row>
    <row r="6032" spans="1:19">
      <c r="A6032" s="18" t="s">
        <v>6309</v>
      </c>
      <c r="B6032" s="1" t="s">
        <v>6416</v>
      </c>
      <c r="C6032" s="1" t="s">
        <v>6404</v>
      </c>
      <c r="D6032" s="1" t="s">
        <v>6387</v>
      </c>
      <c r="E6032" s="1" t="s">
        <v>25</v>
      </c>
      <c r="F6032">
        <v>201</v>
      </c>
      <c r="G6032">
        <v>208</v>
      </c>
      <c r="H6032">
        <v>72.900000000000006</v>
      </c>
      <c r="I6032" s="1" t="s">
        <v>20</v>
      </c>
      <c r="J6032" s="1" t="s">
        <v>1336</v>
      </c>
      <c r="K6032" s="1" t="s">
        <v>25</v>
      </c>
      <c r="L6032">
        <v>-1.7</v>
      </c>
      <c r="M6032" s="1" t="s">
        <v>23</v>
      </c>
      <c r="N6032" s="1" t="s">
        <v>230</v>
      </c>
      <c r="O6032" s="40">
        <v>2087</v>
      </c>
      <c r="P6032" s="3" t="s">
        <v>28</v>
      </c>
      <c r="Q6032" s="43">
        <v>2.3825650963841678</v>
      </c>
      <c r="R6032" s="1" t="s">
        <v>231</v>
      </c>
      <c r="S6032" s="13">
        <f t="shared" si="253"/>
        <v>-1.7</v>
      </c>
    </row>
    <row r="6033" spans="1:19">
      <c r="A6033" s="18" t="s">
        <v>6309</v>
      </c>
      <c r="B6033" s="1" t="s">
        <v>6417</v>
      </c>
      <c r="C6033" s="1" t="s">
        <v>6404</v>
      </c>
      <c r="D6033" s="1" t="s">
        <v>6387</v>
      </c>
      <c r="E6033" s="1" t="s">
        <v>25</v>
      </c>
      <c r="F6033">
        <v>201</v>
      </c>
      <c r="G6033">
        <v>208</v>
      </c>
      <c r="H6033">
        <v>77</v>
      </c>
      <c r="I6033" s="1" t="s">
        <v>20</v>
      </c>
      <c r="J6033" s="1" t="s">
        <v>1336</v>
      </c>
      <c r="K6033" s="1" t="s">
        <v>25</v>
      </c>
      <c r="L6033">
        <v>-1.8</v>
      </c>
      <c r="M6033" s="1" t="s">
        <v>23</v>
      </c>
      <c r="N6033" s="1" t="s">
        <v>230</v>
      </c>
      <c r="O6033" s="40">
        <v>1257</v>
      </c>
      <c r="P6033" s="3" t="s">
        <v>28</v>
      </c>
      <c r="Q6033" s="43">
        <v>1.4350188433899851</v>
      </c>
      <c r="R6033" s="1" t="s">
        <v>231</v>
      </c>
      <c r="S6033" s="13">
        <f t="shared" si="253"/>
        <v>-1.8</v>
      </c>
    </row>
    <row r="6034" spans="1:19">
      <c r="A6034" s="18" t="s">
        <v>6309</v>
      </c>
      <c r="B6034" s="1" t="s">
        <v>6418</v>
      </c>
      <c r="C6034" s="1" t="s">
        <v>6404</v>
      </c>
      <c r="D6034" s="1" t="s">
        <v>6387</v>
      </c>
      <c r="E6034" s="1" t="s">
        <v>25</v>
      </c>
      <c r="F6034">
        <v>201</v>
      </c>
      <c r="G6034">
        <v>208</v>
      </c>
      <c r="H6034">
        <v>86.5</v>
      </c>
      <c r="I6034" s="1" t="s">
        <v>20</v>
      </c>
      <c r="J6034" s="1" t="s">
        <v>1336</v>
      </c>
      <c r="K6034" s="1" t="s">
        <v>25</v>
      </c>
      <c r="L6034">
        <v>-1.46</v>
      </c>
      <c r="M6034" s="1" t="s">
        <v>23</v>
      </c>
      <c r="N6034" s="1" t="s">
        <v>230</v>
      </c>
      <c r="O6034" s="40">
        <v>687</v>
      </c>
      <c r="P6034" s="3" t="s">
        <v>28</v>
      </c>
      <c r="Q6034" s="43">
        <v>0.78429430820120904</v>
      </c>
      <c r="R6034" s="1" t="s">
        <v>231</v>
      </c>
      <c r="S6034" s="13">
        <f t="shared" si="253"/>
        <v>-1.46</v>
      </c>
    </row>
    <row r="6035" spans="1:19">
      <c r="A6035" s="18" t="s">
        <v>6309</v>
      </c>
      <c r="B6035" s="1" t="s">
        <v>6419</v>
      </c>
      <c r="C6035" s="1" t="s">
        <v>6404</v>
      </c>
      <c r="D6035" s="1" t="s">
        <v>6387</v>
      </c>
      <c r="E6035" s="1" t="s">
        <v>25</v>
      </c>
      <c r="F6035">
        <v>201</v>
      </c>
      <c r="G6035">
        <v>208</v>
      </c>
      <c r="H6035">
        <v>93</v>
      </c>
      <c r="I6035" s="1" t="s">
        <v>20</v>
      </c>
      <c r="J6035" s="1" t="s">
        <v>1336</v>
      </c>
      <c r="K6035" s="1" t="s">
        <v>25</v>
      </c>
      <c r="L6035">
        <v>-1.53</v>
      </c>
      <c r="M6035" s="1" t="s">
        <v>23</v>
      </c>
      <c r="N6035" s="1" t="s">
        <v>230</v>
      </c>
      <c r="O6035" s="40">
        <v>543</v>
      </c>
      <c r="P6035" s="3" t="s">
        <v>28</v>
      </c>
      <c r="Q6035" s="43">
        <v>0.61990074141667617</v>
      </c>
      <c r="R6035" s="1" t="s">
        <v>231</v>
      </c>
      <c r="S6035" s="13">
        <f t="shared" si="253"/>
        <v>-1.53</v>
      </c>
    </row>
    <row r="6036" spans="1:19">
      <c r="A6036" s="18" t="s">
        <v>6309</v>
      </c>
      <c r="B6036" s="1" t="s">
        <v>6420</v>
      </c>
      <c r="C6036" s="1" t="s">
        <v>6404</v>
      </c>
      <c r="D6036" s="1" t="s">
        <v>6387</v>
      </c>
      <c r="E6036" s="1" t="s">
        <v>25</v>
      </c>
      <c r="F6036">
        <v>201</v>
      </c>
      <c r="G6036">
        <v>208</v>
      </c>
      <c r="H6036">
        <v>98.3</v>
      </c>
      <c r="I6036" s="1" t="s">
        <v>20</v>
      </c>
      <c r="J6036" s="1" t="s">
        <v>1336</v>
      </c>
      <c r="K6036" s="1" t="s">
        <v>25</v>
      </c>
      <c r="L6036">
        <v>-1.68</v>
      </c>
      <c r="M6036" s="1" t="s">
        <v>23</v>
      </c>
      <c r="N6036" s="1" t="s">
        <v>230</v>
      </c>
      <c r="O6036" s="40">
        <v>748</v>
      </c>
      <c r="P6036" s="3" t="s">
        <v>28</v>
      </c>
      <c r="Q6036" s="43">
        <v>0.85393324968632378</v>
      </c>
      <c r="R6036" s="1" t="s">
        <v>231</v>
      </c>
      <c r="S6036" s="13">
        <f t="shared" si="253"/>
        <v>-1.68</v>
      </c>
    </row>
    <row r="6037" spans="1:19" s="4" customFormat="1">
      <c r="B6037" s="5"/>
      <c r="C6037" s="5"/>
      <c r="D6037" s="5"/>
      <c r="E6037" s="5"/>
      <c r="I6037" s="5"/>
      <c r="J6037" s="5"/>
      <c r="M6037" s="5"/>
      <c r="O6037" s="5"/>
      <c r="P6037" s="6"/>
      <c r="Q6037" s="38"/>
      <c r="S6037" s="24"/>
    </row>
  </sheetData>
  <sheetProtection selectLockedCells="1"/>
  <phoneticPr fontId="3" type="noConversion"/>
  <hyperlinks>
    <hyperlink ref="A2" r:id="rId1" display="Tomayo et al. 2018" xr:uid="{A3A8F645-FFFE-4147-A01E-C35EAB2AE69C}"/>
    <hyperlink ref="A4" r:id="rId2" display="Tomayo et al. 2018" xr:uid="{03505EA8-9F17-4652-86A2-B9B2D7127369}"/>
    <hyperlink ref="A6" r:id="rId3" display="Tomayo et al. 2018" xr:uid="{DFAF0E76-454D-4B2E-B66C-B2549438ABEC}"/>
    <hyperlink ref="A8" r:id="rId4" display="Tomayo et al. 2018" xr:uid="{B7219529-04DE-4C16-9C09-B5DFDD0D428F}"/>
    <hyperlink ref="A10" r:id="rId5" display="Tomayo et al. 2018" xr:uid="{88D52CCC-8721-463F-B0F6-0D67B7349CD7}"/>
    <hyperlink ref="A12" r:id="rId6" display="Tomayo et al. 2018" xr:uid="{AD5106BB-4069-4FF0-8BC0-BC12FE3E84FC}"/>
    <hyperlink ref="A14" r:id="rId7" display="Tomayo et al. 2018" xr:uid="{C97EC89F-D1EE-4BDF-B13B-2F0628800A0F}"/>
    <hyperlink ref="A16" r:id="rId8" display="Tomayo et al. 2018" xr:uid="{CC86C62E-6554-4D65-B5B5-62BDD499005A}"/>
    <hyperlink ref="A18" r:id="rId9" display="Tomayo et al. 2018" xr:uid="{D3A1615D-F4F5-4E2E-9A49-B13D605782B9}"/>
    <hyperlink ref="A20" r:id="rId10" display="Tomayo et al. 2018" xr:uid="{2F862A2C-22AF-422A-A062-215E55690D93}"/>
    <hyperlink ref="A22" r:id="rId11" display="Tomayo et al. 2018" xr:uid="{A2A26802-6AE2-4A8E-A968-773948F21F2F}"/>
    <hyperlink ref="A24" r:id="rId12" display="Tomayo et al. 2018" xr:uid="{51FB9EA0-A73C-4222-98AC-06855D2990C9}"/>
    <hyperlink ref="A26" r:id="rId13" display="Tomayo et al. 2018" xr:uid="{22FA5BDA-E6F5-4777-8104-AE23A59F69C9}"/>
    <hyperlink ref="A28" r:id="rId14" display="Tomayo et al. 2018" xr:uid="{432D772A-E4D3-4BCD-AA15-FD76C9A43605}"/>
    <hyperlink ref="A30" r:id="rId15" display="Tomayo et al. 2018" xr:uid="{0EDBD07C-892A-412A-90B9-7501B563541A}"/>
    <hyperlink ref="A32" r:id="rId16" display="Tomayo et al. 2018" xr:uid="{A30089EF-BD3F-4C9C-968B-67F2E0B423EC}"/>
    <hyperlink ref="A34" r:id="rId17" display="Tomayo et al. 2018" xr:uid="{BA97A942-1BDA-4743-AF3D-C7376715CB70}"/>
    <hyperlink ref="A36" r:id="rId18" display="Tomayo et al. 2018" xr:uid="{1D31D97A-2EFF-466F-8587-29869C9E27C3}"/>
    <hyperlink ref="A38" r:id="rId19" display="Tomayo et al. 2018" xr:uid="{0DCAFD8A-7115-4E8D-9174-6132957B5327}"/>
    <hyperlink ref="A40" r:id="rId20" display="Tomayo et al. 2018" xr:uid="{F791E299-5ADD-4936-8DFD-C6BE11E36268}"/>
    <hyperlink ref="A42" r:id="rId21" display="Tomayo et al. 2018" xr:uid="{25497AC4-8CBF-4AC2-B3B4-077BCD622611}"/>
    <hyperlink ref="A44" r:id="rId22" display="Tomayo et al. 2018" xr:uid="{ED34D0F8-220C-47AA-BCE2-EF3B8CEF13AC}"/>
    <hyperlink ref="A46" r:id="rId23" display="Tomayo et al. 2018" xr:uid="{24A56DA8-86CF-44F1-A369-9DA4F2D3BA7D}"/>
    <hyperlink ref="A48" r:id="rId24" display="Tomayo et al. 2018" xr:uid="{FB5CD949-65A5-4E5F-8DB3-1C6F7092D97D}"/>
    <hyperlink ref="A50" r:id="rId25" display="Tomayo et al. 2018" xr:uid="{A925CF84-3794-4E43-A8EF-F15135640CB0}"/>
    <hyperlink ref="A52" r:id="rId26" display="Tomayo et al. 2018" xr:uid="{2AD3AE6C-D812-4C7D-A1B4-42C86B74D60E}"/>
    <hyperlink ref="A54" r:id="rId27" display="Tomayo et al. 2018" xr:uid="{E0BA407E-86D5-402F-8020-923A9563C97D}"/>
    <hyperlink ref="A56" r:id="rId28" display="Tomayo et al. 2018" xr:uid="{51D054B9-D4C8-4152-9253-342C96650A5F}"/>
    <hyperlink ref="A58" r:id="rId29" display="Tomayo et al. 2018" xr:uid="{2FCB5D87-BA60-4996-B4AF-4A22DE5AAC5B}"/>
    <hyperlink ref="A60" r:id="rId30" display="Tomayo et al. 2018" xr:uid="{C4C91268-ED3D-4B59-8977-78DC9E3FB667}"/>
    <hyperlink ref="A62" r:id="rId31" display="Tomayo et al. 2018" xr:uid="{DEF8CC78-3C70-4B77-B889-58DD09EE7637}"/>
    <hyperlink ref="A64" r:id="rId32" display="Tomayo et al. 2018" xr:uid="{F4A87676-5ACA-4B88-B8A8-B222B5686B66}"/>
    <hyperlink ref="A66" r:id="rId33" display="Tomayo et al. 2018" xr:uid="{FF9880D7-6605-46A2-911B-0D2758B944D9}"/>
    <hyperlink ref="A68" r:id="rId34" display="Tomayo et al. 2018" xr:uid="{278A9162-29C9-48BC-A498-9BF124A52433}"/>
    <hyperlink ref="A70" r:id="rId35" display="Tomayo et al. 2018" xr:uid="{1D198CBF-3433-4C38-B425-3535C97248DD}"/>
    <hyperlink ref="A72" r:id="rId36" display="Tomayo et al. 2018" xr:uid="{0F7580C5-A5F1-4274-A129-9A9F32F7711D}"/>
    <hyperlink ref="A74" r:id="rId37" display="Tomayo et al. 2018" xr:uid="{456F92FE-EA04-4F23-A00D-EF54032351E5}"/>
    <hyperlink ref="A76" r:id="rId38" display="Tomayo et al. 2018" xr:uid="{0F7F6B7B-09A8-4271-A6C7-0D428E52A381}"/>
    <hyperlink ref="A78" r:id="rId39" display="Tomayo et al. 2018" xr:uid="{DA90E25F-686A-4DDA-AEA2-332DDC802E74}"/>
    <hyperlink ref="A80" r:id="rId40" display="Tomayo et al. 2018" xr:uid="{288BDC6D-A377-49BE-BB62-0E6943CE9407}"/>
    <hyperlink ref="A82" r:id="rId41" display="Tomayo et al. 2018" xr:uid="{2DF9E42B-1166-4A84-A9EC-E94C9B057FA9}"/>
    <hyperlink ref="A84" r:id="rId42" display="Tomayo et al. 2018" xr:uid="{6AA238EA-EB39-4B6B-8296-0B9B6ADD4408}"/>
    <hyperlink ref="A86" r:id="rId43" display="Tomayo et al. 2018" xr:uid="{A0EF5676-4B49-4749-A201-7D2E3B61C224}"/>
    <hyperlink ref="A88" r:id="rId44" display="Tomayo et al. 2018" xr:uid="{87EE3B12-134A-4E63-9699-6D5AB6EBFC65}"/>
    <hyperlink ref="A90" r:id="rId45" display="Tomayo et al. 2018" xr:uid="{C5151A85-0841-41F6-94A6-5BD197F4E00C}"/>
    <hyperlink ref="A92" r:id="rId46" display="Tomayo et al. 2018" xr:uid="{C9B99890-0CEB-4B2C-B787-E2E784ED21F8}"/>
    <hyperlink ref="A94" r:id="rId47" display="Tomayo et al. 2018" xr:uid="{255CF614-A745-46DF-B068-A8D31A187668}"/>
    <hyperlink ref="A96" r:id="rId48" display="Tomayo et al. 2018" xr:uid="{73D5DB5D-4C67-4FA5-A1A9-4DA04B61BBEA}"/>
    <hyperlink ref="A98" r:id="rId49" display="Tomayo et al. 2018" xr:uid="{10EF9733-F8E8-4EC1-88D8-76C5EC106CC3}"/>
    <hyperlink ref="A100" r:id="rId50" display="Tomayo et al. 2018" xr:uid="{9122361B-A9A9-4A0D-89C4-3CC6A319BF1D}"/>
    <hyperlink ref="A102" r:id="rId51" display="Tomayo et al. 2018" xr:uid="{282D3F81-D1FE-4BED-AEF3-4AF5CB3F8FD1}"/>
    <hyperlink ref="A104" r:id="rId52" display="Tomayo et al. 2018" xr:uid="{F9B9888F-D0CF-4A54-9B0F-83A6EAFEDBE9}"/>
    <hyperlink ref="A106" r:id="rId53" display="Tomayo et al. 2018" xr:uid="{84F227BF-7D6E-4248-97F7-68790B4936DC}"/>
    <hyperlink ref="A108" r:id="rId54" display="Tomayo et al. 2018" xr:uid="{4F3ED85B-FB69-4F4B-BB18-470F7B8FC337}"/>
    <hyperlink ref="A110" r:id="rId55" display="Tomayo et al. 2018" xr:uid="{990B805B-FE68-4F46-A4FA-28C7B2F5CC01}"/>
    <hyperlink ref="A112" r:id="rId56" display="Tomayo et al. 2018" xr:uid="{21703836-EDEF-43E1-A174-27568DFF4681}"/>
    <hyperlink ref="A1" r:id="rId57" display="Higgins et al. 2017" xr:uid="{19446D61-1B46-4298-B394-6885D347096E}"/>
    <hyperlink ref="A114" r:id="rId58" display="Tomayo et al. 2018" xr:uid="{25BC8DDD-5F51-48C6-A39B-A47A5F58A073}"/>
    <hyperlink ref="A117" r:id="rId59" display="Lau et al. 2017" xr:uid="{51FAEE07-DCE2-44AF-A3E4-C188BAF46B7E}"/>
    <hyperlink ref="A223" r:id="rId60" display="Higgins et al. 2018" xr:uid="{E6DE626E-F583-413D-9113-39E8686570DA}"/>
    <hyperlink ref="A118" r:id="rId61" display="Lau et al. 2017" xr:uid="{B0509633-984A-41B7-ACB4-ED6386E3E5B2}"/>
    <hyperlink ref="A119" r:id="rId62" display="Lau et al. 2017" xr:uid="{DEE12B75-4A14-427A-A033-841F3D39EAFA}"/>
    <hyperlink ref="A121" r:id="rId63" display="Lau et al. 2017" xr:uid="{ADE6535C-799C-4261-884A-DA514E5CEAE3}"/>
    <hyperlink ref="A123" r:id="rId64" display="Lau et al. 2017" xr:uid="{39D1C21F-AD23-40EB-B7DE-826D2402747B}"/>
    <hyperlink ref="A125" r:id="rId65" display="Lau et al. 2017" xr:uid="{3313F90D-E621-44E5-B62A-3CFBF3DCFAAA}"/>
    <hyperlink ref="A127" r:id="rId66" display="Lau et al. 2017" xr:uid="{9C21A182-74D4-4D60-B96C-041191F80124}"/>
    <hyperlink ref="A129" r:id="rId67" display="Lau et al. 2017" xr:uid="{714A3FFB-0DDA-464E-A415-550BB32FAF1B}"/>
    <hyperlink ref="A131" r:id="rId68" display="Lau et al. 2017" xr:uid="{049C6500-7CC3-469F-83FC-5B7FA13DBF0A}"/>
    <hyperlink ref="A133" r:id="rId69" display="Lau et al. 2017" xr:uid="{88A5ACF4-7B55-40FD-8C4D-3D34866F074C}"/>
    <hyperlink ref="A135" r:id="rId70" display="Lau et al. 2017" xr:uid="{CDE801BB-7776-4027-9F98-8D4D361BBC8A}"/>
    <hyperlink ref="A137" r:id="rId71" display="Lau et al. 2017" xr:uid="{AC0D5300-9114-45F0-B80E-AF0C406397A0}"/>
    <hyperlink ref="A139" r:id="rId72" display="Lau et al. 2017" xr:uid="{B9574678-3F36-4E78-A5A1-BD46E12510E6}"/>
    <hyperlink ref="A141" r:id="rId73" display="Lau et al. 2017" xr:uid="{DA5647DE-20F1-4CCE-9ECB-55ADC84BF69D}"/>
    <hyperlink ref="A143" r:id="rId74" display="Lau et al. 2017" xr:uid="{1896C16E-89EA-46DF-8BE0-F756E86AE4A3}"/>
    <hyperlink ref="A145" r:id="rId75" display="Lau et al. 2017" xr:uid="{D9000058-3388-4C93-9DCF-0F417E82F4BD}"/>
    <hyperlink ref="A147" r:id="rId76" display="Lau et al. 2017" xr:uid="{F3460B38-7FB7-4754-9C6F-322AD757B527}"/>
    <hyperlink ref="A149" r:id="rId77" display="Lau et al. 2017" xr:uid="{EFEF93F6-BC89-4F8C-BD76-9B99E9987176}"/>
    <hyperlink ref="A151" r:id="rId78" display="Lau et al. 2017" xr:uid="{DD7475EF-4AC3-4A42-9086-80EC84AC18DD}"/>
    <hyperlink ref="A153" r:id="rId79" display="Lau et al. 2017" xr:uid="{81B6C263-4D39-4100-897E-1F82FCD6F13C}"/>
    <hyperlink ref="A155" r:id="rId80" display="Lau et al. 2017" xr:uid="{30CCC97A-F7AB-41B7-8784-1FF14E511E89}"/>
    <hyperlink ref="A157" r:id="rId81" display="Lau et al. 2017" xr:uid="{F3C16DA0-1BA2-47B9-91F4-2D08B56291DF}"/>
    <hyperlink ref="A159" r:id="rId82" display="Lau et al. 2017" xr:uid="{B8EC9752-83C7-4BF1-BF10-E787A66A174E}"/>
    <hyperlink ref="A161" r:id="rId83" display="Lau et al. 2017" xr:uid="{E0FFE42B-1A5C-4E40-8351-64C08C542348}"/>
    <hyperlink ref="A163" r:id="rId84" display="Lau et al. 2017" xr:uid="{8324957C-6CA6-445B-88D1-6FE64D4507A6}"/>
    <hyperlink ref="A165" r:id="rId85" display="Lau et al. 2017" xr:uid="{AAB3998D-BECC-496C-AAB9-82506F930EB0}"/>
    <hyperlink ref="A167" r:id="rId86" display="Lau et al. 2017" xr:uid="{03222CC8-C608-462D-A521-5C307FA1A5E5}"/>
    <hyperlink ref="A169" r:id="rId87" display="Lau et al. 2017" xr:uid="{B12DB924-6CA4-45DA-A011-9A5E9C89B54E}"/>
    <hyperlink ref="A171" r:id="rId88" display="Lau et al. 2017" xr:uid="{862AAD12-403F-4842-B682-232D64EE6AFF}"/>
    <hyperlink ref="A173" r:id="rId89" display="Lau et al. 2017" xr:uid="{3F07D27D-F6CB-474A-A8CB-BE1429042045}"/>
    <hyperlink ref="A175" r:id="rId90" display="Lau et al. 2017" xr:uid="{886375D7-9E5D-468D-B43E-2CC302C474C2}"/>
    <hyperlink ref="A177" r:id="rId91" display="Lau et al. 2017" xr:uid="{7B4785AC-6E24-43EB-B188-5C639A06DD1D}"/>
    <hyperlink ref="A179" r:id="rId92" display="Lau et al. 2017" xr:uid="{59FB266B-AD3B-465D-BAAD-A0E44C18189E}"/>
    <hyperlink ref="A181" r:id="rId93" display="Lau et al. 2017" xr:uid="{20706175-C205-4AEF-8335-5A1F93ADCD82}"/>
    <hyperlink ref="A183" r:id="rId94" display="Lau et al. 2017" xr:uid="{231331DC-5E0C-4BA9-ABFB-B4EF14B9EC5E}"/>
    <hyperlink ref="A185" r:id="rId95" display="Lau et al. 2017" xr:uid="{24C908BB-4F89-43CE-871C-8A6066BF6106}"/>
    <hyperlink ref="A187" r:id="rId96" display="Lau et al. 2017" xr:uid="{C81E313E-8BD1-4699-852C-C488A6543CFD}"/>
    <hyperlink ref="A189" r:id="rId97" display="Lau et al. 2017" xr:uid="{FBC63B4B-3B7D-410A-91C2-7A747BC5E043}"/>
    <hyperlink ref="A191" r:id="rId98" display="Lau et al. 2017" xr:uid="{19D83093-11E9-498E-8911-17D2856A5593}"/>
    <hyperlink ref="A193" r:id="rId99" display="Lau et al. 2017" xr:uid="{3D1F16A5-AB76-4D91-865B-3DEE71D4FA98}"/>
    <hyperlink ref="A195" r:id="rId100" display="Lau et al. 2017" xr:uid="{6751664A-458C-4CE8-A176-850961344478}"/>
    <hyperlink ref="A197" r:id="rId101" display="Lau et al. 2017" xr:uid="{69B32385-3F35-4653-88E2-4F08DB1CAACB}"/>
    <hyperlink ref="A199" r:id="rId102" display="Lau et al. 2017" xr:uid="{F6C3373E-7FB2-4759-88D3-877AC86EF3BF}"/>
    <hyperlink ref="A201" r:id="rId103" display="Lau et al. 2017" xr:uid="{6A0CFA5D-556D-4ED7-9782-EFFD81803DBB}"/>
    <hyperlink ref="A203" r:id="rId104" display="Lau et al. 2017" xr:uid="{76614768-AE8F-4867-9C09-2318291617E3}"/>
    <hyperlink ref="A205" r:id="rId105" display="Lau et al. 2017" xr:uid="{69A19B4F-06E2-4A04-8B1E-6AB85DD5C4DF}"/>
    <hyperlink ref="A207" r:id="rId106" display="Lau et al. 2017" xr:uid="{F4FE5C8B-7D62-4087-98AA-E360D4840115}"/>
    <hyperlink ref="A209" r:id="rId107" display="Lau et al. 2017" xr:uid="{5A471E65-838F-4A61-B159-8663DCF5FDF8}"/>
    <hyperlink ref="A211" r:id="rId108" display="Lau et al. 2017" xr:uid="{CA9DC1DE-CF27-45B4-8BE3-8DBB75201BFC}"/>
    <hyperlink ref="A213" r:id="rId109" display="Lau et al. 2017" xr:uid="{35790509-1164-4054-8E5D-87D838721AF8}"/>
    <hyperlink ref="A215" r:id="rId110" display="Lau et al. 2017" xr:uid="{9075D725-B7B0-4C7F-9A2A-57197E4A3AFC}"/>
    <hyperlink ref="A217" r:id="rId111" display="Lau et al. 2017" xr:uid="{4E3CC2F6-76E9-421F-ADF9-F2B6CBA2D9CB}"/>
    <hyperlink ref="A219" r:id="rId112" display="Lau et al. 2017" xr:uid="{C755BC8F-AEE2-4342-B628-BBB396BEDC21}"/>
    <hyperlink ref="A221" r:id="rId113" display="Lau et al. 2017" xr:uid="{E4F44274-02C3-4612-B88D-754A01CD3C18}"/>
    <hyperlink ref="A120" r:id="rId114" display="Lau et al. 2017" xr:uid="{9A6CE3C6-12F1-4EBE-8723-CAE3475FE1B2}"/>
    <hyperlink ref="A122" r:id="rId115" display="Lau et al. 2017" xr:uid="{D23DC37F-EC04-4CF1-BB15-DCAF70C91940}"/>
    <hyperlink ref="A124" r:id="rId116" display="Lau et al. 2017" xr:uid="{7421ADBB-5044-4BCB-8931-02C7F53C8BDA}"/>
    <hyperlink ref="A126" r:id="rId117" display="Lau et al. 2017" xr:uid="{DA819C0D-24EF-44FF-BE2F-3E94E354386B}"/>
    <hyperlink ref="A128" r:id="rId118" display="Lau et al. 2017" xr:uid="{1A3E3FFE-7AF9-4464-978E-C74F81B38EC9}"/>
    <hyperlink ref="A130" r:id="rId119" display="Lau et al. 2017" xr:uid="{3A9FD3E6-0FB0-43A5-AB10-FC8D2DF8A4D0}"/>
    <hyperlink ref="A132" r:id="rId120" display="Lau et al. 2017" xr:uid="{6967DAD7-7E0E-4E7E-87DA-55E4CC43F07B}"/>
    <hyperlink ref="A134" r:id="rId121" display="Lau et al. 2017" xr:uid="{B5FE0DC5-3191-43E5-BD93-EE328C0BDA32}"/>
    <hyperlink ref="A136" r:id="rId122" display="Lau et al. 2017" xr:uid="{74B16656-1DF7-4E0E-9EDC-408FA3F4E29E}"/>
    <hyperlink ref="A138" r:id="rId123" display="Lau et al. 2017" xr:uid="{CCE63CAD-C2A3-47F0-A5AC-FB95F62206C2}"/>
    <hyperlink ref="A140" r:id="rId124" display="Lau et al. 2017" xr:uid="{9023F07F-3594-4BBB-8023-AE8B452E74FF}"/>
    <hyperlink ref="A142" r:id="rId125" display="Lau et al. 2017" xr:uid="{04561D3A-6DBD-4D55-92CA-F9230EC60A5A}"/>
    <hyperlink ref="A144" r:id="rId126" display="Lau et al. 2017" xr:uid="{A3DED7B8-88DD-4B5A-9AF0-E2130051F7AC}"/>
    <hyperlink ref="A146" r:id="rId127" display="Lau et al. 2017" xr:uid="{A5A28336-9B74-4BE7-8538-7E36C3E2226F}"/>
    <hyperlink ref="A148" r:id="rId128" display="Lau et al. 2017" xr:uid="{3EBF3526-5DF9-4777-A94C-8B3BC0042FCB}"/>
    <hyperlink ref="A150" r:id="rId129" display="Lau et al. 2017" xr:uid="{106C6EFF-1B25-4769-9C28-C21A5BA0EE65}"/>
    <hyperlink ref="A152" r:id="rId130" display="Lau et al. 2017" xr:uid="{EE9EA5F5-2F3C-4E8D-9691-DA1910358FF5}"/>
    <hyperlink ref="A154" r:id="rId131" display="Lau et al. 2017" xr:uid="{00C2C2F9-0EED-479E-9ED7-D9F9EAC0AA13}"/>
    <hyperlink ref="A156" r:id="rId132" display="Lau et al. 2017" xr:uid="{33ACA893-4082-4949-91CF-36B7FF94E31C}"/>
    <hyperlink ref="A158" r:id="rId133" display="Lau et al. 2017" xr:uid="{4ED3A114-C63D-4C6D-B21C-241520C5FF00}"/>
    <hyperlink ref="A160" r:id="rId134" display="Lau et al. 2017" xr:uid="{D5681128-FAFE-4E31-8BB7-17C28CFC44C2}"/>
    <hyperlink ref="A162" r:id="rId135" display="Lau et al. 2017" xr:uid="{8B39F6E6-47A7-42F4-B47D-6106C8011146}"/>
    <hyperlink ref="A164" r:id="rId136" display="Lau et al. 2017" xr:uid="{2DA301AF-2944-49E1-A979-99B1D94E0A1B}"/>
    <hyperlink ref="A166" r:id="rId137" display="Lau et al. 2017" xr:uid="{A677D13D-C1B7-413D-B7F9-B1D643E55F8F}"/>
    <hyperlink ref="A168" r:id="rId138" display="Lau et al. 2017" xr:uid="{8F8289E0-CB0C-4A64-93A5-04BA336F8E67}"/>
    <hyperlink ref="A170" r:id="rId139" display="Lau et al. 2017" xr:uid="{D06F822F-2741-402C-BFD2-F15E5FD16C8C}"/>
    <hyperlink ref="A172" r:id="rId140" display="Lau et al. 2017" xr:uid="{21FBE5A6-8BD4-47B4-A538-16AFDD703108}"/>
    <hyperlink ref="A174" r:id="rId141" display="Lau et al. 2017" xr:uid="{E00C8541-678D-4B60-9924-E9A854DD340E}"/>
    <hyperlink ref="A176" r:id="rId142" display="Lau et al. 2017" xr:uid="{0AF8D153-49CA-4C2F-8473-2D64DDB0A20C}"/>
    <hyperlink ref="A178" r:id="rId143" display="Lau et al. 2017" xr:uid="{E1B7227F-5C96-4BD9-8F5F-CDF18B341CAD}"/>
    <hyperlink ref="A180" r:id="rId144" display="Lau et al. 2017" xr:uid="{81A1A2F6-3B4E-413F-9FDC-0FB809ECC1D5}"/>
    <hyperlink ref="A182" r:id="rId145" display="Lau et al. 2017" xr:uid="{FCB37B27-E8B1-474C-B867-95F7DE9EBA11}"/>
    <hyperlink ref="A184" r:id="rId146" display="Lau et al. 2017" xr:uid="{2622321C-A492-492A-980E-27A22DC417B8}"/>
    <hyperlink ref="A186" r:id="rId147" display="Lau et al. 2017" xr:uid="{58A76BF3-46A7-4786-9AF0-C04DE9BD4F33}"/>
    <hyperlink ref="A188" r:id="rId148" display="Lau et al. 2017" xr:uid="{E801A7E5-D2AF-4E54-B7BC-DD75B210AC82}"/>
    <hyperlink ref="A190" r:id="rId149" display="Lau et al. 2017" xr:uid="{7CC54033-1BD1-43CE-B9D0-C596E3CBCD13}"/>
    <hyperlink ref="A192" r:id="rId150" display="Lau et al. 2017" xr:uid="{9323AA94-3FB3-48C1-A73F-C6B7ACBD955E}"/>
    <hyperlink ref="A194" r:id="rId151" display="Lau et al. 2017" xr:uid="{EA5651C3-909B-475C-A975-B91F467B13ED}"/>
    <hyperlink ref="A196" r:id="rId152" display="Lau et al. 2017" xr:uid="{4F78B60F-F5D3-4480-95EF-2988CCC3148C}"/>
    <hyperlink ref="A198" r:id="rId153" display="Lau et al. 2017" xr:uid="{3C4F21A8-B7DE-41E5-975E-4C5BACC13D01}"/>
    <hyperlink ref="A200" r:id="rId154" display="Lau et al. 2017" xr:uid="{F1372AF5-CEA2-4A83-A5B8-36C38BFFE5F0}"/>
    <hyperlink ref="A202" r:id="rId155" display="Lau et al. 2017" xr:uid="{1A397EF7-1CCA-4775-BCFF-C59111834A18}"/>
    <hyperlink ref="A204" r:id="rId156" display="Lau et al. 2017" xr:uid="{8828A4D1-F751-4EA4-9A15-30A35C580C4A}"/>
    <hyperlink ref="A206" r:id="rId157" display="Lau et al. 2017" xr:uid="{64628D0F-A865-4585-B3A4-D5F488B3D0A7}"/>
    <hyperlink ref="A208" r:id="rId158" display="Lau et al. 2017" xr:uid="{915A911E-D19B-445D-9556-7E70B21EBD79}"/>
    <hyperlink ref="A210" r:id="rId159" display="Lau et al. 2017" xr:uid="{86C82562-A406-4BC5-8F36-D50B92433BE7}"/>
    <hyperlink ref="A212" r:id="rId160" display="Lau et al. 2017" xr:uid="{2E551B85-9CB2-4E5E-9EBA-608A432482C9}"/>
    <hyperlink ref="A214" r:id="rId161" display="Lau et al. 2017" xr:uid="{CFA3E7AF-2CC3-4FBF-A370-080A61238E4B}"/>
    <hyperlink ref="A216" r:id="rId162" display="Lau et al. 2017" xr:uid="{D19086B4-C38A-41EA-AE90-5B4BF48E5891}"/>
    <hyperlink ref="A218" r:id="rId163" display="Lau et al. 2017" xr:uid="{25F452F7-44D1-46C1-B828-1DA20D9173DF}"/>
    <hyperlink ref="A220" r:id="rId164" display="Lau et al. 2017" xr:uid="{929453CA-D7C4-4B96-97E9-0AFFF55F8F0F}"/>
    <hyperlink ref="A612" r:id="rId165" display="Payne et al. 2010" xr:uid="{624321E7-727C-4BF2-A5EE-3721E1BB6A62}"/>
    <hyperlink ref="A613" r:id="rId166" display="Payne et al. 2010" xr:uid="{32E739A0-BC7C-461B-AFCA-6C9F6C0CDF58}"/>
    <hyperlink ref="A614" r:id="rId167" display="Payne et al. 2010" xr:uid="{4EB58215-8F48-4ADF-96A8-A06A9CC67843}"/>
    <hyperlink ref="A616" r:id="rId168" display="Payne et al. 2010" xr:uid="{914D2381-F508-4910-804B-0F7A3C1B6C7A}"/>
    <hyperlink ref="A618" r:id="rId169" display="Payne et al. 2010" xr:uid="{B251E278-6507-42DE-9FB8-B477D57C3DBC}"/>
    <hyperlink ref="A620" r:id="rId170" display="Payne et al. 2010" xr:uid="{4FDCC2AC-C287-4422-8888-92344D24CB10}"/>
    <hyperlink ref="A622" r:id="rId171" display="Payne et al. 2010" xr:uid="{6E24A6AE-0ACA-48F9-A044-578CCA08D506}"/>
    <hyperlink ref="A624" r:id="rId172" display="Payne et al. 2010" xr:uid="{6840976C-DE16-47CE-B014-0C2DBF99A70C}"/>
    <hyperlink ref="A626" r:id="rId173" display="Payne et al. 2010" xr:uid="{4E71F7E6-DC09-4FF3-9700-969E20948A92}"/>
    <hyperlink ref="A628" r:id="rId174" display="Payne et al. 2010" xr:uid="{3C3E93FB-1849-45E5-8BAE-F6C2D8AD72CB}"/>
    <hyperlink ref="A630" r:id="rId175" display="Payne et al. 2010" xr:uid="{370D2402-D623-42FC-8CAB-8236292696DA}"/>
    <hyperlink ref="A632" r:id="rId176" display="Payne et al. 2010" xr:uid="{75C8E3D0-465E-42E0-884C-4B3775DCD9EE}"/>
    <hyperlink ref="A634" r:id="rId177" display="Payne et al. 2010" xr:uid="{943A8CF7-AC85-469F-80AE-11A97CFE4939}"/>
    <hyperlink ref="A615" r:id="rId178" display="Payne et al. 2010" xr:uid="{C280C08E-4B49-4A19-BA69-12F551B8DD8E}"/>
    <hyperlink ref="A617" r:id="rId179" display="Payne et al. 2010" xr:uid="{EB7BF0E5-17B3-4768-8B8E-7B17B62D619B}"/>
    <hyperlink ref="A619" r:id="rId180" display="Payne et al. 2010" xr:uid="{B6EE0102-2A50-4EB2-99F4-A85174FCFFA2}"/>
    <hyperlink ref="A621" r:id="rId181" display="Payne et al. 2010" xr:uid="{CCF99404-153F-490C-984E-2014DAF767E3}"/>
    <hyperlink ref="A623" r:id="rId182" display="Payne et al. 2010" xr:uid="{32D84049-8850-4DA8-AFAF-A094D1F3EB3F}"/>
    <hyperlink ref="A625" r:id="rId183" display="Payne et al. 2010" xr:uid="{F2D6BE27-EC4F-473C-B755-5CA9E556B35D}"/>
    <hyperlink ref="A627" r:id="rId184" display="Payne et al. 2010" xr:uid="{121D90E4-7472-416A-A865-AC52A226A2D2}"/>
    <hyperlink ref="A629" r:id="rId185" display="Payne et al. 2010" xr:uid="{5112B402-9A3C-4DEF-8C91-F1FD87C90F1D}"/>
    <hyperlink ref="A631" r:id="rId186" display="Payne et al. 2010" xr:uid="{8CA1986C-C449-497B-8012-8301B6E19794}"/>
    <hyperlink ref="A633" r:id="rId187" display="Payne et al. 2010" xr:uid="{D321CD1B-FEEE-44DD-A21A-5D6CB4E4ACAD}"/>
    <hyperlink ref="A635" r:id="rId188" display="Payne et al. 2010" xr:uid="{9474BBDB-B731-4E6F-ADBC-13C39FBA5F04}"/>
    <hyperlink ref="A641" r:id="rId189" display="Erhardt et al. 2020" xr:uid="{696C0607-C745-44F9-A62A-284CDC79C6A2}"/>
    <hyperlink ref="A642" r:id="rId190" display="Erhardt et al. 2020" xr:uid="{83EF6715-A1CA-4000-82CE-5E799CD947C9}"/>
    <hyperlink ref="A643" r:id="rId191" display="Erhardt et al. 2020" xr:uid="{F2CE8E2C-C880-47C3-957B-C7AA5E3CE264}"/>
    <hyperlink ref="A645" r:id="rId192" display="Erhardt et al. 2020" xr:uid="{A21B6FE7-DF6C-4560-BFD3-ECB8CDB48BDE}"/>
    <hyperlink ref="A647" r:id="rId193" display="Erhardt et al. 2020" xr:uid="{CAFD570C-31B3-4621-9C77-791C57820747}"/>
    <hyperlink ref="A649" r:id="rId194" display="Erhardt et al. 2020" xr:uid="{02CEEEA9-1A9D-40E6-961F-B0E60FC0324A}"/>
    <hyperlink ref="A651" r:id="rId195" display="Erhardt et al. 2020" xr:uid="{E961DEA1-E34A-45BF-AD23-2A6ED6BF87E1}"/>
    <hyperlink ref="A653" r:id="rId196" display="Erhardt et al. 2020" xr:uid="{A32DD01B-DBAC-4727-8766-EC19CD529108}"/>
    <hyperlink ref="A655" r:id="rId197" display="Erhardt et al. 2020" xr:uid="{DB2ED220-56F1-4F81-92E1-D062E9221D90}"/>
    <hyperlink ref="A657" r:id="rId198" display="Erhardt et al. 2020" xr:uid="{53E34552-9F4D-4CE4-95EF-219AC515B8EB}"/>
    <hyperlink ref="A659" r:id="rId199" display="Erhardt et al. 2020" xr:uid="{4ECA9169-957B-4C9D-9333-DEA54625D6F0}"/>
    <hyperlink ref="A661" r:id="rId200" display="Erhardt et al. 2020" xr:uid="{72471353-F6DD-4EEC-91E6-D91A26F4477A}"/>
    <hyperlink ref="A663" r:id="rId201" display="Erhardt et al. 2020" xr:uid="{F82231A3-90C9-4A2F-9EFD-FEBEB8D38AC4}"/>
    <hyperlink ref="A665" r:id="rId202" display="Erhardt et al. 2020" xr:uid="{BD48BC31-925D-4535-B73A-6D1C24E18A64}"/>
    <hyperlink ref="A667" r:id="rId203" display="Erhardt et al. 2020" xr:uid="{672BDC61-944A-453B-842A-D52997A57ED9}"/>
    <hyperlink ref="A644" r:id="rId204" display="Erhardt et al. 2020" xr:uid="{A3F87D17-BC1F-479D-AFCE-19A05561DAB8}"/>
    <hyperlink ref="A646" r:id="rId205" display="Erhardt et al. 2020" xr:uid="{14A5DCDB-1985-4DEA-AA8E-D97F656F29C5}"/>
    <hyperlink ref="A648" r:id="rId206" display="Erhardt et al. 2020" xr:uid="{DE2819D6-8EE7-43C6-9502-5FB45939BCED}"/>
    <hyperlink ref="A650" r:id="rId207" display="Erhardt et al. 2020" xr:uid="{BDABC178-0744-4C1F-BC55-F830971BE17F}"/>
    <hyperlink ref="A652" r:id="rId208" display="Erhardt et al. 2020" xr:uid="{D8D6642A-0F20-4FD3-A331-CA2938CF37E6}"/>
    <hyperlink ref="A654" r:id="rId209" display="Erhardt et al. 2020" xr:uid="{FE863180-8A69-4C4E-AB12-4BCF0446E76C}"/>
    <hyperlink ref="A656" r:id="rId210" display="Erhardt et al. 2020" xr:uid="{59B4D39D-1902-4993-BDCF-2EEFD19FE9AE}"/>
    <hyperlink ref="A658" r:id="rId211" display="Erhardt et al. 2020" xr:uid="{481157FB-AC60-4739-AC24-B357D5C335A2}"/>
    <hyperlink ref="A660" r:id="rId212" display="Erhardt et al. 2020" xr:uid="{3520808B-4965-4FBA-94BF-C29E5BBC19AC}"/>
    <hyperlink ref="A662" r:id="rId213" display="Erhardt et al. 2020" xr:uid="{0EA274A6-C4E1-418D-830F-56397D4558D9}"/>
    <hyperlink ref="A664" r:id="rId214" display="Erhardt et al. 2020" xr:uid="{4FF51645-1EB9-4F45-AB6A-FE1A6DF6CCAA}"/>
    <hyperlink ref="A666" r:id="rId215" display="Erhardt et al. 2020" xr:uid="{EDB958E8-1B44-428A-8BD2-25D187AB8230}"/>
    <hyperlink ref="A637" r:id="rId216" display="Erhardt et al. 2020" xr:uid="{A0856F0F-0882-4AFE-A159-57BCAC20BFF8}"/>
    <hyperlink ref="A639" r:id="rId217" display="Erhardt et al. 2020" xr:uid="{7D237771-E14B-41E1-9F82-D0DAD2F22AA3}"/>
    <hyperlink ref="A638" r:id="rId218" display="Erhardt et al. 2020" xr:uid="{40F419B3-CF48-41CF-B899-1F132703549B}"/>
    <hyperlink ref="A640" r:id="rId219" display="Erhardt et al. 2020" xr:uid="{7BE7EAC5-BDEA-4401-902E-1F53FCB3F8E3}"/>
    <hyperlink ref="A669" r:id="rId220" xr:uid="{E185DF8F-310D-45E0-B709-D90D62C63788}"/>
    <hyperlink ref="A670" r:id="rId221" xr:uid="{7B647DC0-3CC8-4217-B42C-E31476CA7DD5}"/>
    <hyperlink ref="A671" r:id="rId222" xr:uid="{F6A29139-B04C-4AD3-B39C-9046E883DBD2}"/>
    <hyperlink ref="A673" r:id="rId223" xr:uid="{020D12D3-A704-447F-B614-FA80256BC47E}"/>
    <hyperlink ref="A675" r:id="rId224" xr:uid="{0B8B95AC-3BFD-439E-BF43-91AE4465275B}"/>
    <hyperlink ref="A677" r:id="rId225" xr:uid="{7C9B46F1-AD9E-464F-8E79-85955C996A02}"/>
    <hyperlink ref="A679" r:id="rId226" xr:uid="{2776D91E-F78E-4835-AB4E-C4094A1C9B75}"/>
    <hyperlink ref="A681" r:id="rId227" xr:uid="{2618A802-FE8A-4588-A3D4-23704BF876C7}"/>
    <hyperlink ref="A672" r:id="rId228" xr:uid="{D1C984C6-2168-454A-B69F-5B74470D66A0}"/>
    <hyperlink ref="A674" r:id="rId229" xr:uid="{65BF5AC2-D03C-4B3F-AC05-1BD5971009F9}"/>
    <hyperlink ref="A676" r:id="rId230" xr:uid="{997E733D-0929-4059-AA36-D1C817A43C40}"/>
    <hyperlink ref="A678" r:id="rId231" xr:uid="{55DC0ECF-DB93-4696-9FE1-FA165077DA5B}"/>
    <hyperlink ref="A680" r:id="rId232" xr:uid="{0E2B0441-38B4-40FB-B8CE-8CC40F5D32CD}"/>
    <hyperlink ref="A682" r:id="rId233" xr:uid="{5E99A2C9-9AC6-4A07-8370-856DC6735942}"/>
    <hyperlink ref="A684" r:id="rId234" xr:uid="{5F1711E4-8C2C-441A-B321-F5BEF7AC2E40}"/>
    <hyperlink ref="A685" r:id="rId235" xr:uid="{5101B79B-5037-4D8A-9421-2FE69E5333B6}"/>
    <hyperlink ref="A686:A719" r:id="rId236" display="Fantle and DePaolo, 2005" xr:uid="{0CDE7089-C7C0-4782-B2D0-CF261F86A9DB}"/>
    <hyperlink ref="A721" r:id="rId237" xr:uid="{FEA56276-C269-4F2A-BEB8-23D6ABDEA805}"/>
    <hyperlink ref="A722" r:id="rId238" xr:uid="{B17B6270-E254-4D41-981E-F884F87A543A}"/>
    <hyperlink ref="A723" r:id="rId239" xr:uid="{9BBD503F-78E4-4DB4-978F-F4F518F98A73}"/>
    <hyperlink ref="A725" r:id="rId240" xr:uid="{EB67B266-E171-4B88-B80C-E0C4CEF593A4}"/>
    <hyperlink ref="A727" r:id="rId241" xr:uid="{10B35E1F-D08E-43F2-B730-0D6837A781A2}"/>
    <hyperlink ref="A729" r:id="rId242" xr:uid="{42CD5F3A-E87A-421A-A042-E035C2DE917E}"/>
    <hyperlink ref="A731" r:id="rId243" xr:uid="{FDCDD5DE-FFCF-4B16-89E4-1A6BCCCD002B}"/>
    <hyperlink ref="A733" r:id="rId244" xr:uid="{DD0A5334-B4E6-4535-B2C5-520EB78CF1CF}"/>
    <hyperlink ref="A735" r:id="rId245" xr:uid="{634D0A6D-648C-44C0-A34D-679A525F3A2C}"/>
    <hyperlink ref="A737" r:id="rId246" xr:uid="{8BE4C2B3-A68D-4237-B79B-3129A56ECA61}"/>
    <hyperlink ref="A739" r:id="rId247" xr:uid="{C9ECBEF3-4B4C-4C66-B0FA-95B9A3668FEA}"/>
    <hyperlink ref="A741" r:id="rId248" xr:uid="{3F02ADA0-026D-4BE6-ADF4-DB3346919581}"/>
    <hyperlink ref="A743" r:id="rId249" xr:uid="{94D3DE88-DC2E-41CE-849C-6A8B7F9307C4}"/>
    <hyperlink ref="A745" r:id="rId250" xr:uid="{BC886B88-33FB-4660-8D08-F95BDCAF1BD7}"/>
    <hyperlink ref="A747" r:id="rId251" xr:uid="{A7F07E16-A0EC-4BC0-86D0-AA5130DFF979}"/>
    <hyperlink ref="A749" r:id="rId252" xr:uid="{F42C9755-ACA6-4E3C-AD44-E3B0BF926741}"/>
    <hyperlink ref="A724" r:id="rId253" xr:uid="{B37C647E-D8FC-4A7D-A15C-B66F9C715BB5}"/>
    <hyperlink ref="A726" r:id="rId254" xr:uid="{D1D395B3-0F94-4C25-99BF-9F0EEF7953B4}"/>
    <hyperlink ref="A728" r:id="rId255" xr:uid="{616A4F5D-2123-4AB7-9A44-216A93B31B9C}"/>
    <hyperlink ref="A730" r:id="rId256" xr:uid="{DAB7E0E3-2624-4DBB-9454-1E0A7226E0F8}"/>
    <hyperlink ref="A732" r:id="rId257" xr:uid="{68E9F71A-DC7B-4ABC-A17F-A1C9AD5F9393}"/>
    <hyperlink ref="A734" r:id="rId258" xr:uid="{6A761D36-948A-4CC1-9778-9B73322F36FE}"/>
    <hyperlink ref="A736" r:id="rId259" xr:uid="{AD3BE45C-1A29-4478-8E01-AB13194CAD75}"/>
    <hyperlink ref="A738" r:id="rId260" xr:uid="{7E66E8C5-4F9D-4A32-AD9A-81F4C91D2C6E}"/>
    <hyperlink ref="A740" r:id="rId261" xr:uid="{F1AE3FBD-F042-4942-ACC4-330344C50D0B}"/>
    <hyperlink ref="A742" r:id="rId262" xr:uid="{9137F136-9495-44DA-9700-4B2D240C87A0}"/>
    <hyperlink ref="A744" r:id="rId263" xr:uid="{DDD03142-E583-4EE3-B1D4-C741D5868030}"/>
    <hyperlink ref="A746" r:id="rId264" xr:uid="{48A0823C-054A-4A3F-8C6F-67449A96A64F}"/>
    <hyperlink ref="A748" r:id="rId265" xr:uid="{075FD691-EE2B-45FD-BD9C-EF5F176D79C9}"/>
    <hyperlink ref="A750" r:id="rId266" xr:uid="{6FF7D1F1-E61F-411A-88BB-8A83CD85B87D}"/>
    <hyperlink ref="A752" r:id="rId267" xr:uid="{3970FC88-A51A-4AB6-AB25-29998852DD2B}"/>
    <hyperlink ref="A753:A772" r:id="rId268" display="Griffith et al., 2011" xr:uid="{5648B327-B563-4E89-8A66-00458FEF6F92}"/>
    <hyperlink ref="A1055" r:id="rId269" xr:uid="{B6402420-83FE-4EC4-B52E-047E4A998349}"/>
    <hyperlink ref="A774" r:id="rId270" xr:uid="{E9824002-E38B-4073-B68D-4773809190E6}"/>
    <hyperlink ref="A775" r:id="rId271" xr:uid="{68AE26F8-F7EC-4B3E-BBD2-1C8CB7C00251}"/>
    <hyperlink ref="A776" r:id="rId272" xr:uid="{742246AB-C194-40A6-9A91-B98671069CE7}"/>
    <hyperlink ref="A778" r:id="rId273" xr:uid="{65B4E465-C4BF-469A-BA33-CE49E52BCA73}"/>
    <hyperlink ref="A780" r:id="rId274" xr:uid="{491BC057-D42B-41CB-AD1B-9B274612ED14}"/>
    <hyperlink ref="A782" r:id="rId275" xr:uid="{B6703DEA-CF51-4CB8-99C1-DFEA4087E33E}"/>
    <hyperlink ref="A784" r:id="rId276" xr:uid="{A300362E-D8F0-4203-8283-C4F0A5163795}"/>
    <hyperlink ref="A786" r:id="rId277" xr:uid="{872DA2DF-C547-470E-882E-D0B3EE493B8D}"/>
    <hyperlink ref="A788" r:id="rId278" xr:uid="{AC9F8630-D1A7-4E75-A253-1FC663DCA536}"/>
    <hyperlink ref="A790" r:id="rId279" xr:uid="{9B9B8A08-C361-488F-8410-C65A2E3D6F3A}"/>
    <hyperlink ref="A792" r:id="rId280" xr:uid="{C66986D6-0A04-4BB9-9504-F705AD9FDF80}"/>
    <hyperlink ref="A794" r:id="rId281" xr:uid="{87DA1709-0633-481D-A0CA-521C9F80EC4A}"/>
    <hyperlink ref="A796" r:id="rId282" xr:uid="{37E75591-F056-4D51-9E19-2F6AA5C0E5AD}"/>
    <hyperlink ref="A798" r:id="rId283" xr:uid="{A2A03FAA-F78B-4BB1-9BD7-A67F39FD76EF}"/>
    <hyperlink ref="A800" r:id="rId284" xr:uid="{704664A2-1C56-4AEA-BBEB-C55EE385123E}"/>
    <hyperlink ref="A802" r:id="rId285" xr:uid="{4D2B18C9-B942-4808-A0FD-253A5A0C10F5}"/>
    <hyperlink ref="A804" r:id="rId286" xr:uid="{1738E922-E1D3-445D-AC2C-49AA51433EE5}"/>
    <hyperlink ref="A806" r:id="rId287" xr:uid="{6B2EF0E0-FA1B-443F-8DA3-BBB72F354DA3}"/>
    <hyperlink ref="A808" r:id="rId288" xr:uid="{0AB6A507-D216-44C5-94D9-38CF93C058BE}"/>
    <hyperlink ref="A810" r:id="rId289" xr:uid="{57B53E39-BDF0-4698-9FAB-57F8D12B65A0}"/>
    <hyperlink ref="A812" r:id="rId290" xr:uid="{B9433D33-53B5-4648-B9B7-6222BBEA9BB9}"/>
    <hyperlink ref="A814" r:id="rId291" xr:uid="{563801D4-DB59-42D8-8613-787E0F52E06F}"/>
    <hyperlink ref="A816" r:id="rId292" xr:uid="{02A2609E-656E-43A1-A320-F7F29C8FDB7B}"/>
    <hyperlink ref="A818" r:id="rId293" xr:uid="{EB75C5F2-546D-41E8-828D-63BA8502DCA1}"/>
    <hyperlink ref="A820" r:id="rId294" xr:uid="{580AB292-68B7-4CBE-8E7A-A8E30DB6BFF2}"/>
    <hyperlink ref="A822" r:id="rId295" xr:uid="{430F2A0B-5A2A-43F4-9957-C654626FCAA7}"/>
    <hyperlink ref="A824" r:id="rId296" xr:uid="{3C51F6A1-4E59-48D4-B1BB-12651B83E5F4}"/>
    <hyperlink ref="A826" r:id="rId297" xr:uid="{0C1761D2-CE98-4E9F-81BD-3B0891014EB2}"/>
    <hyperlink ref="A828" r:id="rId298" xr:uid="{925B982D-5C15-4A59-8DCF-433BE2E4C126}"/>
    <hyperlink ref="A830" r:id="rId299" xr:uid="{2E158F98-2FC6-457C-87B6-6CC0C82155D2}"/>
    <hyperlink ref="A832" r:id="rId300" xr:uid="{CBA4849B-7791-41EB-83BC-57E9B621882D}"/>
    <hyperlink ref="A834" r:id="rId301" xr:uid="{7B02BA25-CA0E-4212-BE2D-FA4FC7635658}"/>
    <hyperlink ref="A836" r:id="rId302" xr:uid="{AB7C185C-5106-4B8F-8C81-60C4956FC767}"/>
    <hyperlink ref="A838" r:id="rId303" xr:uid="{E781AE9B-38F4-4B03-A7C0-4DED894BD08A}"/>
    <hyperlink ref="A840" r:id="rId304" xr:uid="{C46AFB8F-3255-42C0-B0D6-89BA092E16DD}"/>
    <hyperlink ref="A842" r:id="rId305" xr:uid="{794A68C7-7217-4E71-8C80-C651052C1DBF}"/>
    <hyperlink ref="A844" r:id="rId306" xr:uid="{66720DF5-7DD7-4F56-AEFC-91F53AC5B906}"/>
    <hyperlink ref="A846" r:id="rId307" xr:uid="{3DB61649-8AEE-4D26-B45C-446616CBF98C}"/>
    <hyperlink ref="A848" r:id="rId308" xr:uid="{F21DFB66-9B90-437A-8E4F-E5A96D2BBFD2}"/>
    <hyperlink ref="A850" r:id="rId309" xr:uid="{E1DD6F5B-513D-49BD-91C0-0B88D82FB2BA}"/>
    <hyperlink ref="A852" r:id="rId310" xr:uid="{7142FCD8-E8C1-424A-98F5-0AB9BDBFE6D0}"/>
    <hyperlink ref="A854" r:id="rId311" xr:uid="{BAAEF285-9DFA-458D-A65F-21A4818EB13E}"/>
    <hyperlink ref="A856" r:id="rId312" xr:uid="{8A771DE9-DC84-4BF3-9244-0E7816A2A898}"/>
    <hyperlink ref="A858" r:id="rId313" xr:uid="{69590628-21F1-4F6C-879B-8398AFEE3D1D}"/>
    <hyperlink ref="A860" r:id="rId314" xr:uid="{4D3C35C8-1CC1-4FA3-A9AA-4E0AF41AEBC7}"/>
    <hyperlink ref="A862" r:id="rId315" xr:uid="{011E26A5-1DF0-4A32-952B-4B97791F1A08}"/>
    <hyperlink ref="A864" r:id="rId316" xr:uid="{6A805DF5-E05E-4B1B-9AD8-CFBC77947C05}"/>
    <hyperlink ref="A866" r:id="rId317" xr:uid="{2D2D55FD-1A9F-4CD0-9646-59EE73D8B5E5}"/>
    <hyperlink ref="A868" r:id="rId318" xr:uid="{0420926C-5DD1-44B8-86A0-DD702C066A1B}"/>
    <hyperlink ref="A870" r:id="rId319" xr:uid="{4000C3F3-7050-45A0-8CC0-9DB24EC6566B}"/>
    <hyperlink ref="A872" r:id="rId320" xr:uid="{4E820287-1120-4D7C-9021-B504EB2AB450}"/>
    <hyperlink ref="A874" r:id="rId321" xr:uid="{7B3E450A-2636-49F8-AF54-0F967F423B9D}"/>
    <hyperlink ref="A876" r:id="rId322" xr:uid="{D4519389-1EA6-4555-9A34-2719BB2D6638}"/>
    <hyperlink ref="A878" r:id="rId323" xr:uid="{E98FA99E-9D04-476D-A2B3-DC702AFCBF78}"/>
    <hyperlink ref="A880" r:id="rId324" xr:uid="{C37BECAE-8CE8-4069-A7A9-E04954F3781C}"/>
    <hyperlink ref="A882" r:id="rId325" xr:uid="{591070C3-F27D-4876-BFA2-D53084C83325}"/>
    <hyperlink ref="A884" r:id="rId326" xr:uid="{F8DC753A-48E6-4B88-9DFD-96CF7EC521DF}"/>
    <hyperlink ref="A886" r:id="rId327" xr:uid="{BA90CDF1-96B1-4C0C-8ECE-F0C209B229F2}"/>
    <hyperlink ref="A888" r:id="rId328" xr:uid="{F534F510-E525-41F5-92A6-C96DE194C9D1}"/>
    <hyperlink ref="A890" r:id="rId329" xr:uid="{DA88045A-411E-4C5F-BD23-2F622B6EBCA8}"/>
    <hyperlink ref="A892" r:id="rId330" xr:uid="{C4A28F07-85C7-4AE7-8C2E-36A9776D191C}"/>
    <hyperlink ref="A894" r:id="rId331" xr:uid="{881B4CB4-5C95-43AB-8585-A2088538CBE3}"/>
    <hyperlink ref="A896" r:id="rId332" xr:uid="{B9085062-4631-48A5-8D0E-70E1E4DE03B3}"/>
    <hyperlink ref="A898" r:id="rId333" xr:uid="{213792C1-5FD2-49D4-8465-E9591A6221D9}"/>
    <hyperlink ref="A900" r:id="rId334" xr:uid="{5F626D39-7C05-4143-B3D8-897C568B001A}"/>
    <hyperlink ref="A902" r:id="rId335" xr:uid="{944A5AE3-8560-4C04-8750-6072D3635C1C}"/>
    <hyperlink ref="A904" r:id="rId336" xr:uid="{80B7C387-26B7-4E4D-95F6-BB14C5287F62}"/>
    <hyperlink ref="A906" r:id="rId337" xr:uid="{02CA8865-CEB8-439B-A32A-09412DC45000}"/>
    <hyperlink ref="A908" r:id="rId338" xr:uid="{62A452D9-750E-44E2-96C9-6EFADF6FAFC8}"/>
    <hyperlink ref="A910" r:id="rId339" xr:uid="{FE43305B-7E00-49E3-B77A-A7EA301566BF}"/>
    <hyperlink ref="A912" r:id="rId340" xr:uid="{6B02F903-8E8B-49DB-A5AB-B3F044E838B5}"/>
    <hyperlink ref="A914" r:id="rId341" xr:uid="{123D9401-5ACC-4FAC-9575-C6D698D5BCB7}"/>
    <hyperlink ref="A916" r:id="rId342" xr:uid="{42272D10-A989-480E-B761-730AD71814E2}"/>
    <hyperlink ref="A918" r:id="rId343" xr:uid="{0788C82F-E448-4193-83B8-8B6111B6A183}"/>
    <hyperlink ref="A920" r:id="rId344" xr:uid="{12A9C0C0-CE24-4EC4-A901-92CBAFB051AB}"/>
    <hyperlink ref="A922" r:id="rId345" xr:uid="{AD5834B2-9685-4036-A675-88BDEDCF0426}"/>
    <hyperlink ref="A924" r:id="rId346" xr:uid="{E14F7FB7-7A7C-44A7-A094-C38CC29BE474}"/>
    <hyperlink ref="A926" r:id="rId347" xr:uid="{765A09E0-CE59-427A-9B44-A92D056785F2}"/>
    <hyperlink ref="A928" r:id="rId348" xr:uid="{CA5B8D91-4EB9-4DDC-9C89-C03DDB180BE5}"/>
    <hyperlink ref="A930" r:id="rId349" xr:uid="{63EBA9EE-13EC-4782-AE01-57DBD5D668AD}"/>
    <hyperlink ref="A932" r:id="rId350" xr:uid="{41187700-5E9E-4301-B350-04E3561B6814}"/>
    <hyperlink ref="A934" r:id="rId351" xr:uid="{2A5B81EA-FC54-41C2-B8AE-A8E1B6D009C1}"/>
    <hyperlink ref="A936" r:id="rId352" xr:uid="{BA588AA8-585E-4F93-A0B7-0F2E7E33C844}"/>
    <hyperlink ref="A938" r:id="rId353" xr:uid="{08541BFA-C18B-4A79-A383-682EEC835DEA}"/>
    <hyperlink ref="A940" r:id="rId354" xr:uid="{E64B79B8-8C8D-481A-94B3-483CACB856D2}"/>
    <hyperlink ref="A942" r:id="rId355" xr:uid="{44924F3E-32FC-40A2-91DD-01052A6D144D}"/>
    <hyperlink ref="A944" r:id="rId356" xr:uid="{BD5052A0-96A3-4403-B83F-05F382958834}"/>
    <hyperlink ref="A946" r:id="rId357" xr:uid="{41DD58D9-DCDC-4F74-BB1E-87BEC6DA5721}"/>
    <hyperlink ref="A948" r:id="rId358" xr:uid="{8F442A05-CEBB-43B0-AE0D-18403A8F96BF}"/>
    <hyperlink ref="A950" r:id="rId359" xr:uid="{BCCB3ED8-A381-4AAF-B417-CEF0F534C2A4}"/>
    <hyperlink ref="A952" r:id="rId360" xr:uid="{D57AA763-0598-4AD3-8094-996462BB9506}"/>
    <hyperlink ref="A954" r:id="rId361" xr:uid="{0A8381BF-C617-40FB-A59A-F710DB869468}"/>
    <hyperlink ref="A956" r:id="rId362" xr:uid="{3B4DB91A-F6D4-47EE-9CBD-4DA49119D62D}"/>
    <hyperlink ref="A958" r:id="rId363" xr:uid="{2BAE4313-663B-4421-B2CE-562243F84700}"/>
    <hyperlink ref="A960" r:id="rId364" xr:uid="{E1C12FA8-58C2-4958-8F16-A952B33E2546}"/>
    <hyperlink ref="A962" r:id="rId365" xr:uid="{B76BD25A-9E4E-4AED-B43E-63C9F68F08B3}"/>
    <hyperlink ref="A964" r:id="rId366" xr:uid="{BCC81023-C41B-4A9B-8AC9-5615F0AE80DD}"/>
    <hyperlink ref="A966" r:id="rId367" xr:uid="{3EB88BD3-C6BF-441F-BC42-D9BB0A426EBE}"/>
    <hyperlink ref="A968" r:id="rId368" xr:uid="{1DB2E3D7-FB50-435C-BEA0-1FA673929AA2}"/>
    <hyperlink ref="A970" r:id="rId369" xr:uid="{00F538BC-3182-4791-990C-4190C1EBDDE5}"/>
    <hyperlink ref="A972" r:id="rId370" xr:uid="{E2432570-6969-4321-9C1D-15690E16C5BC}"/>
    <hyperlink ref="A974" r:id="rId371" xr:uid="{492F65A2-39B5-41A9-838A-60035773FF38}"/>
    <hyperlink ref="A976" r:id="rId372" xr:uid="{58E0CA1B-E9B5-4850-8704-97BC21C0CBC7}"/>
    <hyperlink ref="A978" r:id="rId373" xr:uid="{C39B5F58-A48B-4D56-861C-52D326B0C876}"/>
    <hyperlink ref="A980" r:id="rId374" xr:uid="{109708BC-119E-454C-9953-311CC1F97DB1}"/>
    <hyperlink ref="A982" r:id="rId375" xr:uid="{2B5BE91B-83E6-4043-86DD-0C84D870A147}"/>
    <hyperlink ref="A984" r:id="rId376" xr:uid="{0FCC65F7-4CC2-46E2-BA7A-32B415BB8DE4}"/>
    <hyperlink ref="A986" r:id="rId377" xr:uid="{B5E09779-43F5-4330-BA01-C10EC7D5D2F9}"/>
    <hyperlink ref="A988" r:id="rId378" xr:uid="{71827329-6009-4484-8BA8-8DA89F577FFD}"/>
    <hyperlink ref="A990" r:id="rId379" xr:uid="{BF263512-58A1-40A8-BD0E-7B84517373D3}"/>
    <hyperlink ref="A992" r:id="rId380" xr:uid="{51C3C236-5BE2-48C2-BF68-A27F1E0C1534}"/>
    <hyperlink ref="A994" r:id="rId381" xr:uid="{CE8FBFE8-78BB-441E-9FD4-F81E63324335}"/>
    <hyperlink ref="A996" r:id="rId382" xr:uid="{49FB0F9D-BEF1-44C9-8027-1525E6B0C2D3}"/>
    <hyperlink ref="A998" r:id="rId383" xr:uid="{B0CAA1AA-94C6-4328-AD79-055A41366C0A}"/>
    <hyperlink ref="A1000" r:id="rId384" xr:uid="{EFDF9F6A-21B0-49CD-911F-7191CBE681EC}"/>
    <hyperlink ref="A1002" r:id="rId385" xr:uid="{722D484E-F034-499F-9D78-7D08C09ECB74}"/>
    <hyperlink ref="A1004" r:id="rId386" xr:uid="{A8E80766-813E-435A-82C9-55098C540B84}"/>
    <hyperlink ref="A1006" r:id="rId387" xr:uid="{9F6866B9-D37D-4E4F-ABCD-43512166C741}"/>
    <hyperlink ref="A1008" r:id="rId388" xr:uid="{F89F74ED-4934-4FE3-B107-C58B79A7937F}"/>
    <hyperlink ref="A1010" r:id="rId389" xr:uid="{8DFE2642-D0EA-4F02-9C4B-2FCC459BE300}"/>
    <hyperlink ref="A1012" r:id="rId390" xr:uid="{C0BFB623-E7F2-4AD8-AFC9-89FE924164DE}"/>
    <hyperlink ref="A1014" r:id="rId391" xr:uid="{A9F2BC83-8DC2-4DE5-BDB8-85A89500A7D7}"/>
    <hyperlink ref="A1016" r:id="rId392" xr:uid="{3B2CA453-DB13-4D6A-A714-C0ED5713DAED}"/>
    <hyperlink ref="A1018" r:id="rId393" xr:uid="{D53E249F-44BE-4831-9916-D779B38B0D4B}"/>
    <hyperlink ref="A1020" r:id="rId394" xr:uid="{334573DE-441E-434B-8719-73FF08B6C0B6}"/>
    <hyperlink ref="A1022" r:id="rId395" xr:uid="{08414A16-3FFE-4A58-BF14-70493FDDEE23}"/>
    <hyperlink ref="A1024" r:id="rId396" xr:uid="{48E5AD8A-4442-422C-B4D3-DB0C0680DC67}"/>
    <hyperlink ref="A1026" r:id="rId397" xr:uid="{8BDD22BC-72A7-411B-97BF-323D907421A5}"/>
    <hyperlink ref="A1028" r:id="rId398" xr:uid="{3C7FDEFC-96B4-4486-8E02-EDE6EA35166A}"/>
    <hyperlink ref="A1030" r:id="rId399" xr:uid="{F2096C32-05CA-43C4-9A4F-9B2FC28A6AF8}"/>
    <hyperlink ref="A1032" r:id="rId400" xr:uid="{9AAD527D-5EED-4958-912D-FA80815CEACB}"/>
    <hyperlink ref="A1034" r:id="rId401" xr:uid="{40B33CD2-D8F5-45B3-8267-77957B3D90AA}"/>
    <hyperlink ref="A1036" r:id="rId402" xr:uid="{BDC0D95D-FEE3-4126-9F27-87827A7C015E}"/>
    <hyperlink ref="A1038" r:id="rId403" xr:uid="{F54E6D76-AF99-4512-8428-F4CEA906A836}"/>
    <hyperlink ref="A1040" r:id="rId404" xr:uid="{EA610C32-BF64-49F4-9EE6-C429135361E8}"/>
    <hyperlink ref="A1042" r:id="rId405" xr:uid="{BD0CE288-BC55-4B93-803A-16855A2B4BDC}"/>
    <hyperlink ref="A1044" r:id="rId406" xr:uid="{89AE7975-4057-4912-B371-EFCF31ED96ED}"/>
    <hyperlink ref="A1046" r:id="rId407" xr:uid="{4C86066D-21B8-452C-BFD8-7E3BC7985364}"/>
    <hyperlink ref="A1048" r:id="rId408" xr:uid="{B916D3BF-CBA5-4734-BC7C-EBA6EE99190A}"/>
    <hyperlink ref="A1050" r:id="rId409" xr:uid="{5AD8F061-7884-47C9-BC9D-A4FDFDFA60E6}"/>
    <hyperlink ref="A1052" r:id="rId410" xr:uid="{C8957F37-7B55-448A-9E4D-0B4C3385E1F1}"/>
    <hyperlink ref="A777" r:id="rId411" xr:uid="{8E7376DA-6A8D-4BA4-B7FF-ABFAA68D4A4E}"/>
    <hyperlink ref="A779" r:id="rId412" xr:uid="{17EE4EA3-B21F-4446-AEED-874A48E02FF9}"/>
    <hyperlink ref="A781" r:id="rId413" xr:uid="{2490BC7F-1110-4516-9AAB-FD20A6572D99}"/>
    <hyperlink ref="A783" r:id="rId414" xr:uid="{401E3D2B-C726-4179-BF03-4921947AA9BA}"/>
    <hyperlink ref="A785" r:id="rId415" xr:uid="{B97F3D43-24C9-4552-AF8A-A7BF82A007D0}"/>
    <hyperlink ref="A787" r:id="rId416" xr:uid="{2D2596C0-7C52-4A3E-A8B4-2ED713CD1A81}"/>
    <hyperlink ref="A789" r:id="rId417" xr:uid="{98E1582F-54AC-4A8B-91C7-17AFC718CA30}"/>
    <hyperlink ref="A791" r:id="rId418" xr:uid="{AA7ECB14-3BA7-46E4-B13F-9D083F07DB1A}"/>
    <hyperlink ref="A793" r:id="rId419" xr:uid="{FF8BF8C2-190A-4EC5-9ACA-8CB836DA00FC}"/>
    <hyperlink ref="A795" r:id="rId420" xr:uid="{9B358309-3B18-41A6-9192-A940622851D4}"/>
    <hyperlink ref="A797" r:id="rId421" xr:uid="{0B23106E-881B-4BC2-A3E3-CFFEDFECAE0D}"/>
    <hyperlink ref="A799" r:id="rId422" xr:uid="{47F4817E-0CC5-4356-B156-8EA601FDE472}"/>
    <hyperlink ref="A801" r:id="rId423" xr:uid="{946D8171-F82A-47AE-A507-0FFC301D836F}"/>
    <hyperlink ref="A803" r:id="rId424" xr:uid="{FD3840DA-95D9-4FD2-8486-43636B818994}"/>
    <hyperlink ref="A805" r:id="rId425" xr:uid="{F63284DC-43A3-4BB4-9DD4-E08918C60BA6}"/>
    <hyperlink ref="A807" r:id="rId426" xr:uid="{4BD2D7D4-B0A7-49E2-B6B3-3C40EF337A03}"/>
    <hyperlink ref="A809" r:id="rId427" xr:uid="{6FC100ED-EEA5-4AB1-9C43-A804B014466D}"/>
    <hyperlink ref="A811" r:id="rId428" xr:uid="{FBCA8752-478D-433D-B09A-577F9524C6E8}"/>
    <hyperlink ref="A813" r:id="rId429" xr:uid="{31F52891-2440-42F3-ADEC-1C40C1EF1946}"/>
    <hyperlink ref="A815" r:id="rId430" xr:uid="{5EE593EA-850F-4B3F-A679-73E18CC355D6}"/>
    <hyperlink ref="A817" r:id="rId431" xr:uid="{9CAF6FAC-2166-44BF-A34B-C4D0DDB14426}"/>
    <hyperlink ref="A819" r:id="rId432" xr:uid="{C1B574FB-50BC-47EF-8CA0-305763C6C2E9}"/>
    <hyperlink ref="A821" r:id="rId433" xr:uid="{3CC760BB-DD7C-4E69-A7C8-5A320822D2A2}"/>
    <hyperlink ref="A823" r:id="rId434" xr:uid="{9DFF8FDB-6854-43CA-916C-DA884807ABCA}"/>
    <hyperlink ref="A825" r:id="rId435" xr:uid="{AD9F8AA7-196A-495D-9E81-735F9E70A90A}"/>
    <hyperlink ref="A827" r:id="rId436" xr:uid="{875E7EBE-FEED-42BE-B3D7-D088F854504D}"/>
    <hyperlink ref="A829" r:id="rId437" xr:uid="{E0CE33EE-21ED-4B23-82C1-A83860356F3D}"/>
    <hyperlink ref="A831" r:id="rId438" xr:uid="{C860467B-FCA4-4096-B83C-7824BCD756C8}"/>
    <hyperlink ref="A833" r:id="rId439" xr:uid="{DB889482-1542-41F0-A4A6-D4D90DF1C30C}"/>
    <hyperlink ref="A835" r:id="rId440" xr:uid="{83B55E53-1C7C-4F7C-90CB-7EFCD63E31EC}"/>
    <hyperlink ref="A837" r:id="rId441" xr:uid="{4DB8A643-B03C-4385-B369-704E4790F169}"/>
    <hyperlink ref="A839" r:id="rId442" xr:uid="{4DA19C67-F60D-4E06-8746-DC11B92D02F5}"/>
    <hyperlink ref="A841" r:id="rId443" xr:uid="{814F2582-40FC-4428-84BF-B618B088405A}"/>
    <hyperlink ref="A843" r:id="rId444" xr:uid="{ED113AE2-1B5E-4FFB-A66F-E1590E23ACE5}"/>
    <hyperlink ref="A845" r:id="rId445" xr:uid="{799C928F-CC90-464A-AA54-224F0457CDFE}"/>
    <hyperlink ref="A847" r:id="rId446" xr:uid="{39AE40CE-B945-47D4-BFC2-6920CBD6DB40}"/>
    <hyperlink ref="A849" r:id="rId447" xr:uid="{01EF0765-FF3B-480C-905B-A0E0522D1804}"/>
    <hyperlink ref="A851" r:id="rId448" xr:uid="{52AA858B-40D1-4E43-B94D-2267F39B4C33}"/>
    <hyperlink ref="A853" r:id="rId449" xr:uid="{F7EA495C-76D5-4E6A-8905-EA2F4D738500}"/>
    <hyperlink ref="A855" r:id="rId450" xr:uid="{DE668470-71BD-4998-80E3-56F513075650}"/>
    <hyperlink ref="A857" r:id="rId451" xr:uid="{FE7785A1-336D-41E7-A1F5-1B296F62E63A}"/>
    <hyperlink ref="A859" r:id="rId452" xr:uid="{E0EB430C-AD7D-44AC-8F59-97552ECC9B40}"/>
    <hyperlink ref="A861" r:id="rId453" xr:uid="{9938DE99-B3E0-43BF-ACDB-942C4A96B083}"/>
    <hyperlink ref="A863" r:id="rId454" xr:uid="{20B74744-5726-4DCE-962D-C4BCEAA3D649}"/>
    <hyperlink ref="A865" r:id="rId455" xr:uid="{F3A24B2D-F059-42F2-9BD6-6B339E503D29}"/>
    <hyperlink ref="A867" r:id="rId456" xr:uid="{DE043BB0-9329-4ADE-88CE-06E05860C0D9}"/>
    <hyperlink ref="A869" r:id="rId457" xr:uid="{E65C35FD-EC72-4D92-B512-6D12C561D520}"/>
    <hyperlink ref="A871" r:id="rId458" xr:uid="{8FB59FF2-BE43-4AE2-BA6D-12560D71B3B4}"/>
    <hyperlink ref="A873" r:id="rId459" xr:uid="{9338FB5F-5B6D-490B-A688-A9AE93768BE5}"/>
    <hyperlink ref="A875" r:id="rId460" xr:uid="{6BDA85DF-9648-4C6F-9EBC-C7A39FB9035F}"/>
    <hyperlink ref="A877" r:id="rId461" xr:uid="{7C992FCD-F6B7-400F-983B-25AC9F4AF6CE}"/>
    <hyperlink ref="A879" r:id="rId462" xr:uid="{94AD3F5B-4111-4410-9FE3-D616A2737368}"/>
    <hyperlink ref="A881" r:id="rId463" xr:uid="{D8A86703-8EB6-417D-9020-5663537C794C}"/>
    <hyperlink ref="A883" r:id="rId464" xr:uid="{9EBB40DC-ACBD-4FEF-A276-20AD1459E02F}"/>
    <hyperlink ref="A885" r:id="rId465" xr:uid="{911E75EC-FB12-42AA-8F75-618D62A47495}"/>
    <hyperlink ref="A887" r:id="rId466" xr:uid="{0210728E-E710-4CA4-A88E-184134676A7B}"/>
    <hyperlink ref="A889" r:id="rId467" xr:uid="{622B62C8-B620-4599-8C8A-41BBA7B035B3}"/>
    <hyperlink ref="A891" r:id="rId468" xr:uid="{EDD7B588-5801-4E07-BF99-7EC6F568094F}"/>
    <hyperlink ref="A893" r:id="rId469" xr:uid="{BDC16CA7-631A-4311-ADC4-8986AA879A8C}"/>
    <hyperlink ref="A895" r:id="rId470" xr:uid="{C691631C-FC62-421F-9725-E58A95B72F7E}"/>
    <hyperlink ref="A897" r:id="rId471" xr:uid="{8107A6A9-5821-4714-B559-B31944815FAF}"/>
    <hyperlink ref="A899" r:id="rId472" xr:uid="{F9B03E16-FB64-4254-A160-60898FBCD7C7}"/>
    <hyperlink ref="A901" r:id="rId473" xr:uid="{EDE69E26-429C-4C0A-A9AB-B22C70F2C0D1}"/>
    <hyperlink ref="A903" r:id="rId474" xr:uid="{79A71B02-1D64-4346-8E2D-A50D590EE9A6}"/>
    <hyperlink ref="A905" r:id="rId475" xr:uid="{5A4B4921-2B24-4610-BF5E-9DB99DF99E6B}"/>
    <hyperlink ref="A907" r:id="rId476" xr:uid="{DD51AEA1-915F-49CC-AD59-A67A15A4BCDA}"/>
    <hyperlink ref="A909" r:id="rId477" xr:uid="{9F33303C-D88F-49CE-8C49-673087D4B8CE}"/>
    <hyperlink ref="A911" r:id="rId478" xr:uid="{39824E3D-B952-4EA7-919A-0C161D1B3EEB}"/>
    <hyperlink ref="A913" r:id="rId479" xr:uid="{CC4886F0-456B-46AA-A149-67BDDA585829}"/>
    <hyperlink ref="A915" r:id="rId480" xr:uid="{74AF6AAC-AFE5-4621-8C82-311A393BE856}"/>
    <hyperlink ref="A917" r:id="rId481" xr:uid="{C98B66B9-9873-4531-96DB-8CACECFD3C77}"/>
    <hyperlink ref="A919" r:id="rId482" xr:uid="{666257B4-764E-4D9C-A7AB-6718BA43EC0A}"/>
    <hyperlink ref="A921" r:id="rId483" xr:uid="{BCE753DA-F8CA-438C-86AB-A4A5183404F5}"/>
    <hyperlink ref="A923" r:id="rId484" xr:uid="{13AD52EE-68F0-4B3D-9950-CE8AEBA2C608}"/>
    <hyperlink ref="A925" r:id="rId485" xr:uid="{71E7E025-1ADD-48C0-BA89-19429A29D3DE}"/>
    <hyperlink ref="A927" r:id="rId486" xr:uid="{95713839-8A18-4679-93FB-425EEAB020FB}"/>
    <hyperlink ref="A929" r:id="rId487" xr:uid="{6437734F-96E2-4336-B0E5-598F5B4D8D3C}"/>
    <hyperlink ref="A931" r:id="rId488" xr:uid="{35FC337C-1532-4120-94B8-472538ECB792}"/>
    <hyperlink ref="A933" r:id="rId489" xr:uid="{CC442362-C0CB-4122-A611-832333B0411C}"/>
    <hyperlink ref="A935" r:id="rId490" xr:uid="{98976C2C-6C9E-491E-8DCE-2538CE3CDF73}"/>
    <hyperlink ref="A937" r:id="rId491" xr:uid="{91583627-018E-4237-B7FC-EC1296E5D2FE}"/>
    <hyperlink ref="A939" r:id="rId492" xr:uid="{89ECF847-5146-483B-8708-C33024B56783}"/>
    <hyperlink ref="A941" r:id="rId493" xr:uid="{52924BD3-85B1-4E7D-B159-F56E42F1A4C3}"/>
    <hyperlink ref="A943" r:id="rId494" xr:uid="{7DDD37E8-DFF3-4342-8B68-2DBF3A9AE8C4}"/>
    <hyperlink ref="A945" r:id="rId495" xr:uid="{F7F4B505-1881-4B8E-8A1F-68EFD8866826}"/>
    <hyperlink ref="A947" r:id="rId496" xr:uid="{9DF62793-2AF5-46AF-8473-0465B9121517}"/>
    <hyperlink ref="A949" r:id="rId497" xr:uid="{FEC8B562-D051-4B32-8CA4-BE4773C12ECC}"/>
    <hyperlink ref="A951" r:id="rId498" xr:uid="{89B637AB-084E-4CC7-AB10-DCA422C3B72D}"/>
    <hyperlink ref="A953" r:id="rId499" xr:uid="{95FD6451-48E0-491E-948D-B82145C493EF}"/>
    <hyperlink ref="A955" r:id="rId500" xr:uid="{DEE08092-B739-4AF7-8D4B-F6A65EA600C5}"/>
    <hyperlink ref="A957" r:id="rId501" xr:uid="{63429550-EA5E-44E2-965D-FEB5E9E2FE3F}"/>
    <hyperlink ref="A959" r:id="rId502" xr:uid="{F983645E-AB41-44E5-9E7C-7626E5DDAA36}"/>
    <hyperlink ref="A961" r:id="rId503" xr:uid="{69D94C42-4576-4CC0-874B-931876FA692B}"/>
    <hyperlink ref="A963" r:id="rId504" xr:uid="{C1D87F83-8A5B-462A-AA18-D21E898B7295}"/>
    <hyperlink ref="A965" r:id="rId505" xr:uid="{FB311EF4-16BE-4594-AD56-C16C95E868D9}"/>
    <hyperlink ref="A967" r:id="rId506" xr:uid="{D5C5DA02-86A9-464D-9B14-6192D5B30B20}"/>
    <hyperlink ref="A969" r:id="rId507" xr:uid="{F8730499-F18E-4B05-9E10-44AF089D5CDC}"/>
    <hyperlink ref="A971" r:id="rId508" xr:uid="{C839E57D-8873-41F5-B7F5-D1E7F164678E}"/>
    <hyperlink ref="A973" r:id="rId509" xr:uid="{2E8A90C8-3653-4816-8833-CE0DBB2962DF}"/>
    <hyperlink ref="A975" r:id="rId510" xr:uid="{A22EEA0B-980F-4514-B84E-C1B77EBBFE62}"/>
    <hyperlink ref="A977" r:id="rId511" xr:uid="{7DBBFCBC-9B8D-4F53-8E35-24E80AFF6DE7}"/>
    <hyperlink ref="A979" r:id="rId512" xr:uid="{A360B606-D9D1-4D19-96F6-883DB4DE1597}"/>
    <hyperlink ref="A981" r:id="rId513" xr:uid="{728AAB1B-366C-498C-8717-8B995FB101DB}"/>
    <hyperlink ref="A983" r:id="rId514" xr:uid="{DBB79F50-33EE-4E88-8B80-7C524AFCBA84}"/>
    <hyperlink ref="A985" r:id="rId515" xr:uid="{A831314A-405A-4743-BE7C-D9CE161884E7}"/>
    <hyperlink ref="A987" r:id="rId516" xr:uid="{71888864-3E05-40CE-ABA5-6243E1454686}"/>
    <hyperlink ref="A989" r:id="rId517" xr:uid="{84F26E84-D118-4446-8527-AC354E9CC72B}"/>
    <hyperlink ref="A991" r:id="rId518" xr:uid="{393B45E9-AEAA-480E-9615-26E8BD1F7E09}"/>
    <hyperlink ref="A993" r:id="rId519" xr:uid="{680E14F2-05DA-4E93-9151-B857DE88A66B}"/>
    <hyperlink ref="A995" r:id="rId520" xr:uid="{4B00A55B-B5E5-4B21-97B9-55C53B5EA501}"/>
    <hyperlink ref="A997" r:id="rId521" xr:uid="{D37331FB-1599-42CA-8765-3D04E95DCF0A}"/>
    <hyperlink ref="A999" r:id="rId522" xr:uid="{AFAAC978-C809-47AA-B130-B446BBF0FFF0}"/>
    <hyperlink ref="A1001" r:id="rId523" xr:uid="{AEE0F029-221B-4A88-AD59-8862618B487E}"/>
    <hyperlink ref="A1003" r:id="rId524" xr:uid="{582F03F3-3458-429E-B394-BD86328A91CF}"/>
    <hyperlink ref="A1005" r:id="rId525" xr:uid="{9569D9CB-C9A5-48A8-BB71-EA7EE3BFA4D9}"/>
    <hyperlink ref="A1007" r:id="rId526" xr:uid="{6E052546-C468-4B4B-92F3-30A68863D39E}"/>
    <hyperlink ref="A1009" r:id="rId527" xr:uid="{2C4E777C-CCF6-4CD5-8300-E89FB9147D8A}"/>
    <hyperlink ref="A1011" r:id="rId528" xr:uid="{52F582FB-088E-4295-BA80-E9B1378C069B}"/>
    <hyperlink ref="A1013" r:id="rId529" xr:uid="{C261A2AF-6736-4C8A-96BC-FC47EEDD8FB2}"/>
    <hyperlink ref="A1015" r:id="rId530" xr:uid="{DC0BC9C5-5199-42D1-9E46-52F3598C2091}"/>
    <hyperlink ref="A1017" r:id="rId531" xr:uid="{D890E77E-6630-4647-9B6D-4A1156A8EC0D}"/>
    <hyperlink ref="A1019" r:id="rId532" xr:uid="{73BED818-ADA9-4A97-BEAC-A791894C50A9}"/>
    <hyperlink ref="A1021" r:id="rId533" xr:uid="{03362E78-14C4-41A5-B0A8-0E1A655DBFD0}"/>
    <hyperlink ref="A1023" r:id="rId534" xr:uid="{FC1D33C7-C1F4-4504-A4E8-0209738CB6F8}"/>
    <hyperlink ref="A1025" r:id="rId535" xr:uid="{A75D2B51-8134-4DB4-AC00-71906B848477}"/>
    <hyperlink ref="A1027" r:id="rId536" xr:uid="{9546CFE6-6AA1-4E48-9A4C-76C02F63876A}"/>
    <hyperlink ref="A1029" r:id="rId537" xr:uid="{890C10DC-0668-43BF-AEF6-56AF40EE011B}"/>
    <hyperlink ref="A1031" r:id="rId538" xr:uid="{01A709CA-89CB-4E5F-B762-17F5BEBBEB0D}"/>
    <hyperlink ref="A1033" r:id="rId539" xr:uid="{C0CC3F08-4CCF-4A9C-8E28-2DB02FCBD197}"/>
    <hyperlink ref="A1035" r:id="rId540" xr:uid="{945951F7-1C83-4A25-B103-CFF8F29B710F}"/>
    <hyperlink ref="A1037" r:id="rId541" xr:uid="{4A457B27-4F6D-4F74-9856-6E56025B797C}"/>
    <hyperlink ref="A1039" r:id="rId542" xr:uid="{566823C5-3E5D-4C11-B6D4-A0E24BD30A15}"/>
    <hyperlink ref="A1041" r:id="rId543" xr:uid="{3C3734B2-5016-4991-95E5-B912105EC875}"/>
    <hyperlink ref="A1043" r:id="rId544" xr:uid="{6F0150F6-2862-4A5A-A4EA-F506A1342043}"/>
    <hyperlink ref="A1045" r:id="rId545" xr:uid="{65915CDC-B826-437F-A65D-ECD75DAD63A6}"/>
    <hyperlink ref="A1047" r:id="rId546" xr:uid="{29F59001-5976-4A41-A5F9-BF8FA3B740C5}"/>
    <hyperlink ref="A1049" r:id="rId547" xr:uid="{5291D1AB-E9FF-4224-BABE-51DD65834E29}"/>
    <hyperlink ref="A1051" r:id="rId548" xr:uid="{0B081EC8-96D9-4816-9E3B-B5CEE1328261}"/>
    <hyperlink ref="A1053" r:id="rId549" xr:uid="{4FB9ABE0-678F-4045-AC51-6D92A5FCEC48}"/>
    <hyperlink ref="A1079" r:id="rId550" xr:uid="{47E6D6BA-57B3-4273-891A-76ADFFE6CCA0}"/>
    <hyperlink ref="A1080" r:id="rId551" xr:uid="{837B7B4E-2A81-4D52-848F-F7451B08E53B}"/>
    <hyperlink ref="A1081" r:id="rId552" xr:uid="{495FBC78-E1D6-4E13-ABFC-5A49AE53EFC3}"/>
    <hyperlink ref="A1083" r:id="rId553" xr:uid="{6836EE9C-2F46-41D3-AB9B-F482DFF65E90}"/>
    <hyperlink ref="A1085" r:id="rId554" xr:uid="{075EA3B2-D6D7-4526-95E1-F3FD5077146E}"/>
    <hyperlink ref="A1087" r:id="rId555" xr:uid="{98CE2741-7B81-4CC3-8E86-001033C57D7F}"/>
    <hyperlink ref="A1089" r:id="rId556" xr:uid="{2450071D-F446-4160-91C2-A01D2F9E644E}"/>
    <hyperlink ref="A1091" r:id="rId557" xr:uid="{31C47A8E-A87D-4C29-84EE-3B013CA40C63}"/>
    <hyperlink ref="A1093" r:id="rId558" xr:uid="{0E9533A4-5FAE-4E97-A0F2-7F98C2AA8966}"/>
    <hyperlink ref="A1095" r:id="rId559" xr:uid="{DA69DA90-6451-4370-81F4-6D3E9F07A87E}"/>
    <hyperlink ref="A1097" r:id="rId560" xr:uid="{78B1D0E5-785F-4911-A30F-53AF84FF606B}"/>
    <hyperlink ref="A1099" r:id="rId561" xr:uid="{AF33659A-2A25-42FB-8166-8EE2AD142664}"/>
    <hyperlink ref="A1101" r:id="rId562" xr:uid="{DA3C6280-6E11-481B-A616-A96AECFC86EF}"/>
    <hyperlink ref="A1103" r:id="rId563" xr:uid="{6E255FD4-9381-44F3-9729-6060E24C0058}"/>
    <hyperlink ref="A1105" r:id="rId564" xr:uid="{1732C09E-164F-4627-8DA6-D36591BBAB70}"/>
    <hyperlink ref="A1107" r:id="rId565" xr:uid="{2C56AEFA-762B-42AF-83CF-DDA4512EB549}"/>
    <hyperlink ref="A1109" r:id="rId566" xr:uid="{9163F1BB-FD31-4F96-8E7E-5183589B772F}"/>
    <hyperlink ref="A1111" r:id="rId567" xr:uid="{E9D1FC65-1683-4E94-A440-962603E55C2F}"/>
    <hyperlink ref="A1113" r:id="rId568" xr:uid="{BE0E02E4-3EDE-4D9A-8802-7A6EEECF9545}"/>
    <hyperlink ref="A1115" r:id="rId569" xr:uid="{DDE8A0B6-31DB-4B44-86E4-F162E3674890}"/>
    <hyperlink ref="A1117" r:id="rId570" xr:uid="{FDB20759-AD86-420F-96B8-7D3F5C616368}"/>
    <hyperlink ref="A1082" r:id="rId571" xr:uid="{6A925A40-FDAD-4A78-929C-27314F08C439}"/>
    <hyperlink ref="A1084" r:id="rId572" xr:uid="{9A8B522F-BF4E-4819-934D-F96E86AD5D86}"/>
    <hyperlink ref="A1086" r:id="rId573" xr:uid="{0A24E3B1-A54A-4EBB-9545-50003231744D}"/>
    <hyperlink ref="A1088" r:id="rId574" xr:uid="{71366488-9E4B-493C-921E-B61B4D351940}"/>
    <hyperlink ref="A1090" r:id="rId575" xr:uid="{4C1A641B-1FC9-4334-BD48-D57EE3A2C514}"/>
    <hyperlink ref="A1092" r:id="rId576" xr:uid="{AB20E242-C5A5-47E5-A9DF-E95B58C047F2}"/>
    <hyperlink ref="A1094" r:id="rId577" xr:uid="{91E34D51-3167-42C8-AC8B-F92E8A384F23}"/>
    <hyperlink ref="A1096" r:id="rId578" xr:uid="{AD66620A-FABA-40A1-B58D-7E50269D8FB7}"/>
    <hyperlink ref="A1098" r:id="rId579" xr:uid="{0ACDDCA2-39FD-45DE-A998-265CCA75572D}"/>
    <hyperlink ref="A1100" r:id="rId580" xr:uid="{4E470203-8350-47A5-ADCF-DF729763DC43}"/>
    <hyperlink ref="A1102" r:id="rId581" xr:uid="{EC041D25-C36C-41F3-A78C-4389EBC5AB9C}"/>
    <hyperlink ref="A1104" r:id="rId582" xr:uid="{40C6DACE-BB56-436F-9F3C-4085BFF4F3AA}"/>
    <hyperlink ref="A1106" r:id="rId583" xr:uid="{F7DDAFD5-BF31-4A01-B9C5-65B37F978B48}"/>
    <hyperlink ref="A1108" r:id="rId584" xr:uid="{AE631AC1-0977-4431-986F-5B75F71B9E3C}"/>
    <hyperlink ref="A1110" r:id="rId585" xr:uid="{7DA3FDA5-F486-4ABA-938D-93F89DBB0FAA}"/>
    <hyperlink ref="A1112" r:id="rId586" xr:uid="{868A2F2E-A737-44AB-8BDC-67CE3E7930AA}"/>
    <hyperlink ref="A1114" r:id="rId587" xr:uid="{F7710D4E-AAF9-49C9-AA13-C57908482DE1}"/>
    <hyperlink ref="A1116" r:id="rId588" xr:uid="{52C6A27C-ADEE-49D9-8F17-DDFA15D9CE9C}"/>
    <hyperlink ref="A1118" r:id="rId589" xr:uid="{D58E6CF6-44BF-4763-A4AF-887DF927A059}"/>
    <hyperlink ref="A224:A610" r:id="rId590" display="Higgins et al. 2018" xr:uid="{8643FE4E-7B43-4B01-A088-C87F9C3D8C5A}"/>
    <hyperlink ref="A1120" r:id="rId591" xr:uid="{3D95AEB6-C8B6-43EF-8DBD-4F84BF5B8DC9}"/>
    <hyperlink ref="A1121" r:id="rId592" xr:uid="{1A977CCF-CE4A-4558-AEA8-3D2BA2D3D4F0}"/>
    <hyperlink ref="A1122" r:id="rId593" xr:uid="{DD7ECD43-8F36-4FE1-9206-713B51E3C2EF}"/>
    <hyperlink ref="A1124" r:id="rId594" xr:uid="{958054C6-0C6A-479B-A83F-DAAE8E4A9823}"/>
    <hyperlink ref="A1126" r:id="rId595" xr:uid="{62BBAF89-561A-4477-A2A3-4DA7196E23C4}"/>
    <hyperlink ref="A1128" r:id="rId596" xr:uid="{01F80B7D-9423-4005-A5E5-2E8E278161FF}"/>
    <hyperlink ref="A1130" r:id="rId597" xr:uid="{9766AC34-676E-48B8-9CCB-D23C8DA73625}"/>
    <hyperlink ref="A1132" r:id="rId598" xr:uid="{26409302-0EAF-45B5-A5B7-1C7B70F623FE}"/>
    <hyperlink ref="A1134" r:id="rId599" xr:uid="{61614FAC-86CB-41E9-9D3E-431B3EB23EB6}"/>
    <hyperlink ref="A1136" r:id="rId600" xr:uid="{08C4E31D-044F-41CC-8A1C-39D846BCE187}"/>
    <hyperlink ref="A1138" r:id="rId601" xr:uid="{0DDA569C-C6F2-4829-9E62-6709AEC7E897}"/>
    <hyperlink ref="A1140" r:id="rId602" xr:uid="{16CB9FD5-71E5-40B6-A50C-BC03D8B3304B}"/>
    <hyperlink ref="A1142" r:id="rId603" xr:uid="{064DF0A5-A178-4FE9-950A-FAFF1F5AEBBC}"/>
    <hyperlink ref="A1144" r:id="rId604" xr:uid="{9FBB9224-2146-4A9E-A689-40ABB18A5B54}"/>
    <hyperlink ref="A1146" r:id="rId605" xr:uid="{A9E6AD2A-97D1-44FF-B6F8-C11C5F6FCBCD}"/>
    <hyperlink ref="A1148" r:id="rId606" xr:uid="{F1764395-2FD1-4AA4-93DD-344598C97C33}"/>
    <hyperlink ref="A1150" r:id="rId607" xr:uid="{0AC87DD9-AD64-43A0-B4E7-EFB751F9072E}"/>
    <hyperlink ref="A1152" r:id="rId608" xr:uid="{68C0CFD9-1D65-4037-8EBD-232D9635643F}"/>
    <hyperlink ref="A1154" r:id="rId609" xr:uid="{3753531C-CA9E-469C-9C94-583EE864D105}"/>
    <hyperlink ref="A1156" r:id="rId610" xr:uid="{275C4873-0D45-4DF5-8196-8EC472C2E9A2}"/>
    <hyperlink ref="A1158" r:id="rId611" xr:uid="{527BDC62-0F8A-464E-97D7-F5E84FEEF648}"/>
    <hyperlink ref="A1123" r:id="rId612" xr:uid="{9C5E3CAD-D0B1-438A-847E-6E079DC18694}"/>
    <hyperlink ref="A1125" r:id="rId613" xr:uid="{3118D6EF-2667-4AE0-873E-459EC9D259FC}"/>
    <hyperlink ref="A1127" r:id="rId614" xr:uid="{92659C49-83A1-4A7D-B582-4D755898A4CF}"/>
    <hyperlink ref="A1129" r:id="rId615" xr:uid="{928B0302-7BB9-4D6C-91CA-456C94FBDBCF}"/>
    <hyperlink ref="A1131" r:id="rId616" xr:uid="{5895EDF9-A7AC-4988-BBF7-57BE2B1D06FE}"/>
    <hyperlink ref="A1133" r:id="rId617" xr:uid="{F433957E-D585-47A6-8556-1D20B85DB7BB}"/>
    <hyperlink ref="A1135" r:id="rId618" xr:uid="{F1282F90-BE69-4D9C-8955-0BC5817BB7B2}"/>
    <hyperlink ref="A1137" r:id="rId619" xr:uid="{C6200042-A5F6-4EE3-BEA2-4AD4A79C2D88}"/>
    <hyperlink ref="A1139" r:id="rId620" xr:uid="{00098E33-B603-40B5-89F3-1AFFFCD7CF7D}"/>
    <hyperlink ref="A1141" r:id="rId621" xr:uid="{B456233D-5A43-4E24-9007-05CEF1D0F12F}"/>
    <hyperlink ref="A1143" r:id="rId622" xr:uid="{FC9B195F-C247-4371-9984-646B5A659C57}"/>
    <hyperlink ref="A1145" r:id="rId623" xr:uid="{ABC0A863-17A3-4EEB-B033-221CCA83756E}"/>
    <hyperlink ref="A1147" r:id="rId624" xr:uid="{B83D8523-B156-4959-9B8A-A7C505B9FE46}"/>
    <hyperlink ref="A1149" r:id="rId625" xr:uid="{7F3E30FA-0762-4EAF-AB7A-235FA3B0EEA6}"/>
    <hyperlink ref="A1151" r:id="rId626" xr:uid="{B8C8CB15-7E78-4163-AFA0-5C1F41B3C3B2}"/>
    <hyperlink ref="A1153" r:id="rId627" xr:uid="{EFA59799-49EC-4D80-B972-F9A24E0FDEBE}"/>
    <hyperlink ref="A1155" r:id="rId628" xr:uid="{F9D24D7E-A74E-4D2A-9608-45F3B56D1881}"/>
    <hyperlink ref="A1157" r:id="rId629" xr:uid="{252DE1E8-2543-44D4-B16B-4C1954A440AD}"/>
    <hyperlink ref="A1159" r:id="rId630" xr:uid="{CCEE7EF1-BF7C-4F75-AE91-EB0F41DC63CC}"/>
    <hyperlink ref="A1161" r:id="rId631" xr:uid="{0010C8DB-58D4-4414-B53E-53BFEC5C1446}"/>
    <hyperlink ref="A1162:A1308" r:id="rId632" display="Nadeu et al., 2025" xr:uid="{1B36B49A-2460-45FF-81EE-5E6CF1190114}"/>
    <hyperlink ref="A1310" r:id="rId633" xr:uid="{5ED1D89A-7961-4A94-955E-4267D133B7A0}"/>
    <hyperlink ref="A1311:A1351" r:id="rId634" display="Wei et al., 2022" xr:uid="{07600D79-ABFC-432C-AC25-928D85E827E7}"/>
    <hyperlink ref="A1353" r:id="rId635" xr:uid="{0ECE129D-F04D-44EF-B9EE-61C3558BC0B4}"/>
    <hyperlink ref="A1354:A1366" r:id="rId636" display="Braun et al., 2023" xr:uid="{62A10DC4-B694-4493-8139-6062A7B508A1}"/>
    <hyperlink ref="A1368" r:id="rId637" xr:uid="{7633CD3D-4844-46E8-AA81-396502FCF6C1}"/>
    <hyperlink ref="A1369:A1378" r:id="rId638" display="Braun et al., 2024" xr:uid="{F128DEE7-E35B-424D-8B6B-4B90618F9FEA}"/>
    <hyperlink ref="A1380" r:id="rId639" xr:uid="{8047CA2A-01E5-4F1D-B377-70EDB967EE02}"/>
    <hyperlink ref="A1381:A1437" r:id="rId640" display="Todes et al., 2025" xr:uid="{DEDE2BC1-972B-4B8A-BF91-B96E45346D89}"/>
    <hyperlink ref="A1439" r:id="rId641" xr:uid="{7A225690-10F8-4224-9E4F-C3A98171055B}"/>
    <hyperlink ref="A1440:A1542" r:id="rId642" display="Zhao et al., 2024" xr:uid="{53219C3F-D1E5-4E1E-AD2F-36CD5573C20C}"/>
    <hyperlink ref="A1543:A1636" r:id="rId643" display="Zhao et al., 2024" xr:uid="{A7E1D348-CA4D-4330-B786-750ABDB91BAD}"/>
    <hyperlink ref="A1638" r:id="rId644" xr:uid="{DE7A7979-A97D-451B-BA6A-05AB713FF0CC}"/>
    <hyperlink ref="A1639:A1885" r:id="rId645" display="Bryant et al., 2022" xr:uid="{5C5478A3-50A1-4A2A-B2FE-080BECF63503}"/>
    <hyperlink ref="A1885" r:id="rId646" xr:uid="{D3498081-97CD-4E72-8218-D159D8BB3570}"/>
    <hyperlink ref="A1437" r:id="rId647" xr:uid="{C0BF2D52-2306-4961-B5B1-44346624D5AA}"/>
    <hyperlink ref="A1887" r:id="rId648" xr:uid="{3C1D67B1-BAA9-485A-91F6-A83AF4DFF3E9}"/>
    <hyperlink ref="A1888:A1904" r:id="rId649" display="Liu et al., 2017" xr:uid="{F1C8D3D2-378A-4A38-B92E-C44F8B685A01}"/>
    <hyperlink ref="A1906" r:id="rId650" xr:uid="{E8E35C74-A0EB-459E-B785-85EB349D56AB}"/>
    <hyperlink ref="A1907:A1955" r:id="rId651" display="Prow-Fliescher et al., 2025" xr:uid="{899AD1C6-FDA4-440A-9B7D-AFC00075A5BA}"/>
    <hyperlink ref="A1956:A1978" r:id="rId652" display="Prow-Fliescher et al., 2025" xr:uid="{8878DB36-14FC-44BD-9B76-9BE47F72ACE2}"/>
    <hyperlink ref="A1980" r:id="rId653" xr:uid="{4ACAC4EC-29C6-4B06-8BF0-DADB07059643}"/>
    <hyperlink ref="A1981:A2000" r:id="rId654" display="Tostevin et al., 2019" xr:uid="{8672F98A-C39C-4318-9E82-80D3B00A37D1}"/>
    <hyperlink ref="A2001:A2009" r:id="rId655" display="Tostevin et al., 2019" xr:uid="{2580D9B1-30D5-4370-AF50-9ECB35F5B799}"/>
    <hyperlink ref="A2011" r:id="rId656" display="Kasemann et al. 2005" xr:uid="{7D8A3E42-4B05-4B4E-95E8-DB1DFBF0DD25}"/>
    <hyperlink ref="A2012:A2030" r:id="rId657" display="Kasemann et al. 2005" xr:uid="{35E87A13-96C4-4499-98C0-4D122DD03936}"/>
    <hyperlink ref="A2004" r:id="rId658" xr:uid="{15341134-EF55-4571-91B1-06B3BA262BFF}"/>
    <hyperlink ref="A1904" r:id="rId659" xr:uid="{B3638EE4-729D-4B7C-9AB2-C975C9D8F747}"/>
    <hyperlink ref="A2035" r:id="rId660" display="Sawaki et al. 2014" xr:uid="{09AA4D19-BDB7-4EDF-850C-03A8CB99F467}"/>
    <hyperlink ref="A2036:A2073" r:id="rId661" display="Sawaki et al. 2014" xr:uid="{F94A6AF0-37CC-41CC-95D0-281DB2BEC12B}"/>
    <hyperlink ref="A2074:A2089" r:id="rId662" display="Sawaki et al. 2014" xr:uid="{2A72A831-5A00-4615-99BC-2B4FD8D8BE79}"/>
    <hyperlink ref="A2091" r:id="rId663" xr:uid="{E178F098-0945-4B56-8A00-85369CE02ACE}"/>
    <hyperlink ref="A2092:A2117" r:id="rId664" display="Tamayo et al., 2010" xr:uid="{52E79EC6-5A60-4A45-BB44-AA613D4238F8}"/>
    <hyperlink ref="A2119" r:id="rId665" xr:uid="{999E23F5-2301-49B3-802D-2762F4DE5F57}"/>
    <hyperlink ref="A2120:A2149" r:id="rId666" display="Deng et al., 2025" xr:uid="{AD9AA3CA-FC34-4449-93FE-CCBC42013A01}"/>
    <hyperlink ref="A2151" r:id="rId667" xr:uid="{07231627-2E92-4242-91DC-3391BBE434F1}"/>
    <hyperlink ref="A2152:A2274" r:id="rId668" display="Blättler et al., 2017" xr:uid="{395D0C16-BE68-4CF3-A816-6AC0F24C5AD1}"/>
    <hyperlink ref="A2276" r:id="rId669" xr:uid="{679AEE6E-97A7-4F26-B759-D45E393B22CD}"/>
    <hyperlink ref="A2277:A2583" r:id="rId670" display="Blättler et al., 2017" xr:uid="{CE3C17EC-B7C4-4359-BD3E-A6626346E6B2}"/>
    <hyperlink ref="A2585" r:id="rId671" xr:uid="{7DC79020-79D9-4A4F-B38A-566BAB514E62}"/>
    <hyperlink ref="A2586:A2733" r:id="rId672" display="Bold et al., 2020" xr:uid="{E64173DF-4209-4DF4-93C9-610195A116A7}"/>
    <hyperlink ref="A2735" r:id="rId673" xr:uid="{FD6222CD-6EC1-4B6B-876F-7555C09988FD}"/>
    <hyperlink ref="A2736:A2889" r:id="rId674" display="Nelson et al., 2021" xr:uid="{DE6A40A9-442F-4739-90A9-125496DFC1E2}"/>
    <hyperlink ref="A2890" r:id="rId675" xr:uid="{AE9A8361-4C41-4A83-A5E9-0984579FA2D8}"/>
    <hyperlink ref="A2892" r:id="rId676" xr:uid="{E6D90CE2-3E13-4629-B9B9-862B7795D60D}"/>
    <hyperlink ref="A2893:A3408" r:id="rId677" display="Ahm et al., 2021" xr:uid="{4D79FD87-6CD2-499E-8AD2-5E38F84E3166}"/>
    <hyperlink ref="A3409" r:id="rId678" xr:uid="{09310FF9-2DBB-49D5-9D82-23A86F11AF69}"/>
    <hyperlink ref="A3411" r:id="rId679" xr:uid="{43B692FB-1688-4E6B-97B6-E0B0AE56871A}"/>
    <hyperlink ref="A3412:A3478" r:id="rId680" display="Crockford et al., 2021" xr:uid="{7113AEEE-93A3-4393-B2CA-C35248A12208}"/>
    <hyperlink ref="A3480" r:id="rId681" xr:uid="{EF716930-EC8E-4F2A-8D6C-DACF81E0290C}"/>
    <hyperlink ref="A3481:A3936" r:id="rId682" display="Ahm et al., 2019" xr:uid="{1F759699-53F0-45B7-B278-E1D766A45A9A}"/>
    <hyperlink ref="A3938" r:id="rId683" xr:uid="{7148D0E7-F0A1-4AE2-8B4B-8AD45304E744}"/>
    <hyperlink ref="A3939:A4893" r:id="rId684" display="Busch et al., 2022" xr:uid="{AFA0F3AF-0D12-4B7D-B7E8-434A66A16186}"/>
    <hyperlink ref="A4895" r:id="rId685" xr:uid="{9DB54F29-873C-468E-968D-CB638AAA9CCC}"/>
    <hyperlink ref="A4896:A5317" r:id="rId686" display="Lonsdale 2025" xr:uid="{5D2C13DF-DDD2-4AD9-8856-D73B6C11A530}"/>
    <hyperlink ref="A5319" r:id="rId687" xr:uid="{570CB164-3D82-4D91-A192-93FD92F3FFF4}"/>
    <hyperlink ref="A5320:A5339" r:id="rId688" display="Jones et al., 2020" xr:uid="{8F9098CF-8689-4FCC-B5B0-C99854C4D822}"/>
    <hyperlink ref="A5340:A5433" r:id="rId689" display="Jones et al., 2020" xr:uid="{30F93272-4B1F-43E8-9B29-B996C30A5996}"/>
    <hyperlink ref="A5434:A5467" r:id="rId690" display="Jones et al., 2020" xr:uid="{B64BB0CC-0762-49E0-A849-7B5D4D32580E}"/>
    <hyperlink ref="A5468:A5499" r:id="rId691" display="Jones et al., 2020" xr:uid="{109109A8-11CB-400A-8FF8-6ADDCE9712E2}"/>
    <hyperlink ref="A5500:A5541" r:id="rId692" display="Jones et al., 2020" xr:uid="{403C4201-64BB-469C-BB83-74AEE78DD64B}"/>
    <hyperlink ref="A5542:A5559" r:id="rId693" display="Jones et al., 2020" xr:uid="{1603855F-3963-4AA2-A807-50FC29D04696}"/>
    <hyperlink ref="A5560:A5616" r:id="rId694" display="Jones et al., 2020" xr:uid="{64215F8E-12B6-4FB3-AD4C-E884803B3F2D}"/>
    <hyperlink ref="A5617:A5676" r:id="rId695" display="Jones et al., 2020" xr:uid="{CCF99AEA-B8FD-451C-A311-51D7F04D8829}"/>
    <hyperlink ref="A5678" r:id="rId696" xr:uid="{29C4FC79-7486-40CA-AFE7-E9116AB71533}"/>
    <hyperlink ref="A5679:A5780" r:id="rId697" display="Farkas et al., 2016" xr:uid="{A12BAC57-5111-4E94-95B5-5B6452E1EC1F}"/>
    <hyperlink ref="A5782" r:id="rId698" xr:uid="{0D67CE06-5C48-461C-8400-93A5C6D7B8B3}"/>
    <hyperlink ref="A5783:A5815" r:id="rId699" display="Kimmig and Holmden, 2017" xr:uid="{460AD5CE-7855-4236-874D-B543016E7E2D}"/>
    <hyperlink ref="A5817" r:id="rId700" xr:uid="{F95DB47B-A2F1-44BD-B03B-022B6C193AA9}"/>
    <hyperlink ref="A5818:A6002" r:id="rId701" display="Husson et al., 2015" xr:uid="{00D0A4BB-04A5-426C-8B7F-88171EDAC92D}"/>
    <hyperlink ref="A6004" r:id="rId702" xr:uid="{9C0DAB3C-1B3D-4994-B6A7-358E28315C1F}"/>
    <hyperlink ref="A6005:A6036" r:id="rId703" display="Jost et al., 2017" xr:uid="{677D35E5-653C-4DAB-BAD3-2900718CB8C5}"/>
  </hyperlinks>
  <pageMargins left="0.7" right="0.7" top="0.75" bottom="0.75" header="0.3" footer="0.3"/>
  <legacyDrawing r:id="rId7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44AA-FCCC-4BEC-AC39-31FCEA727DCB}">
  <sheetPr codeName="Sheet2"/>
  <dimension ref="B1:I88"/>
  <sheetViews>
    <sheetView topLeftCell="B43" workbookViewId="0">
      <selection activeCell="B13" sqref="B13"/>
    </sheetView>
  </sheetViews>
  <sheetFormatPr defaultRowHeight="14.5"/>
  <cols>
    <col min="2" max="2" width="25.26953125" bestFit="1" customWidth="1"/>
    <col min="4" max="4" width="26.54296875" bestFit="1" customWidth="1"/>
    <col min="7" max="7" width="25.26953125" customWidth="1"/>
  </cols>
  <sheetData>
    <row r="1" spans="2:9">
      <c r="B1" s="2" t="s">
        <v>16</v>
      </c>
      <c r="D1" s="2" t="s">
        <v>680</v>
      </c>
      <c r="G1" t="s">
        <v>681</v>
      </c>
      <c r="H1" t="s">
        <v>682</v>
      </c>
      <c r="I1" t="s">
        <v>683</v>
      </c>
    </row>
    <row r="2" spans="2:9">
      <c r="B2" t="s">
        <v>684</v>
      </c>
      <c r="D2" t="s">
        <v>685</v>
      </c>
      <c r="G2" t="s">
        <v>697</v>
      </c>
      <c r="H2">
        <v>1.17E-2</v>
      </c>
      <c r="I2">
        <v>5.33</v>
      </c>
    </row>
    <row r="3" spans="2:9">
      <c r="B3" t="s">
        <v>687</v>
      </c>
      <c r="D3" t="s">
        <v>688</v>
      </c>
      <c r="G3" t="s">
        <v>818</v>
      </c>
      <c r="H3">
        <v>66</v>
      </c>
      <c r="I3">
        <v>72.099999999999994</v>
      </c>
    </row>
    <row r="4" spans="2:9">
      <c r="B4" t="s">
        <v>690</v>
      </c>
      <c r="D4" t="s">
        <v>691</v>
      </c>
      <c r="G4" t="s">
        <v>819</v>
      </c>
      <c r="H4">
        <v>89.8</v>
      </c>
      <c r="I4">
        <v>93.9</v>
      </c>
    </row>
    <row r="5" spans="2:9">
      <c r="B5" t="s">
        <v>692</v>
      </c>
      <c r="D5" t="s">
        <v>693</v>
      </c>
      <c r="G5" t="s">
        <v>820</v>
      </c>
      <c r="H5">
        <v>93.9</v>
      </c>
      <c r="I5">
        <v>100.5</v>
      </c>
    </row>
    <row r="6" spans="2:9">
      <c r="B6" t="s">
        <v>695</v>
      </c>
      <c r="D6" t="s">
        <v>696</v>
      </c>
      <c r="G6" t="s">
        <v>1215</v>
      </c>
      <c r="H6">
        <v>113</v>
      </c>
      <c r="I6">
        <v>125</v>
      </c>
    </row>
    <row r="7" spans="2:9">
      <c r="B7" t="s">
        <v>698</v>
      </c>
      <c r="G7" t="s">
        <v>1214</v>
      </c>
      <c r="H7">
        <v>125</v>
      </c>
      <c r="I7">
        <v>129.4</v>
      </c>
    </row>
    <row r="8" spans="2:9">
      <c r="B8" t="s">
        <v>700</v>
      </c>
      <c r="G8" t="s">
        <v>1213</v>
      </c>
      <c r="H8">
        <v>129.4</v>
      </c>
      <c r="I8">
        <v>132.9</v>
      </c>
    </row>
    <row r="9" spans="2:9">
      <c r="G9" t="s">
        <v>1212</v>
      </c>
      <c r="H9">
        <v>132.9</v>
      </c>
      <c r="I9">
        <v>139.80000000000001</v>
      </c>
    </row>
    <row r="10" spans="2:9">
      <c r="B10" s="2" t="s">
        <v>5651</v>
      </c>
      <c r="G10" t="s">
        <v>1211</v>
      </c>
      <c r="H10">
        <v>145</v>
      </c>
      <c r="I10">
        <v>152.1</v>
      </c>
    </row>
    <row r="11" spans="2:9">
      <c r="B11" t="s">
        <v>5652</v>
      </c>
      <c r="G11" t="s">
        <v>821</v>
      </c>
      <c r="H11">
        <v>149.19999999999999</v>
      </c>
      <c r="I11">
        <v>154.80000000000001</v>
      </c>
    </row>
    <row r="12" spans="2:9">
      <c r="B12" t="s">
        <v>5653</v>
      </c>
      <c r="G12" t="s">
        <v>1210</v>
      </c>
      <c r="H12">
        <v>157.30000000000001</v>
      </c>
      <c r="I12">
        <v>163.5</v>
      </c>
    </row>
    <row r="13" spans="2:9">
      <c r="G13" t="s">
        <v>1209</v>
      </c>
      <c r="H13">
        <v>163.5</v>
      </c>
      <c r="I13">
        <v>166</v>
      </c>
    </row>
    <row r="14" spans="2:9">
      <c r="G14" t="s">
        <v>822</v>
      </c>
      <c r="H14">
        <v>201.4</v>
      </c>
      <c r="I14">
        <v>208.5</v>
      </c>
    </row>
    <row r="15" spans="2:9">
      <c r="G15" t="s">
        <v>823</v>
      </c>
      <c r="H15">
        <v>227.3</v>
      </c>
      <c r="I15">
        <v>237</v>
      </c>
    </row>
    <row r="16" spans="2:9">
      <c r="G16" t="s">
        <v>824</v>
      </c>
      <c r="H16">
        <v>237</v>
      </c>
      <c r="I16">
        <v>241.464</v>
      </c>
    </row>
    <row r="17" spans="7:9">
      <c r="G17" t="s">
        <v>825</v>
      </c>
      <c r="H17">
        <v>241.464</v>
      </c>
      <c r="I17">
        <v>246.7</v>
      </c>
    </row>
    <row r="18" spans="7:9">
      <c r="G18" t="s">
        <v>694</v>
      </c>
      <c r="H18">
        <v>249.7</v>
      </c>
      <c r="I18">
        <v>250.7</v>
      </c>
    </row>
    <row r="19" spans="7:9">
      <c r="G19" t="s">
        <v>689</v>
      </c>
      <c r="H19">
        <v>250.7</v>
      </c>
      <c r="I19">
        <v>251.2</v>
      </c>
    </row>
    <row r="20" spans="7:9">
      <c r="G20" t="s">
        <v>686</v>
      </c>
      <c r="H20">
        <v>251.2</v>
      </c>
      <c r="I20">
        <v>251.9</v>
      </c>
    </row>
    <row r="21" spans="7:9">
      <c r="G21" t="s">
        <v>1138</v>
      </c>
      <c r="H21">
        <v>251.9</v>
      </c>
      <c r="I21">
        <v>254.14</v>
      </c>
    </row>
    <row r="22" spans="7:9">
      <c r="G22" t="s">
        <v>699</v>
      </c>
      <c r="H22">
        <v>251.9</v>
      </c>
      <c r="I22">
        <v>252</v>
      </c>
    </row>
    <row r="23" spans="7:9">
      <c r="G23" t="s">
        <v>1139</v>
      </c>
      <c r="H23">
        <v>259</v>
      </c>
      <c r="I23">
        <v>265</v>
      </c>
    </row>
    <row r="24" spans="7:9">
      <c r="G24" t="s">
        <v>1140</v>
      </c>
      <c r="H24">
        <v>265</v>
      </c>
      <c r="I24">
        <v>268</v>
      </c>
    </row>
    <row r="25" spans="7:9">
      <c r="G25" t="s">
        <v>1142</v>
      </c>
      <c r="H25">
        <v>268</v>
      </c>
      <c r="I25">
        <v>283.5</v>
      </c>
    </row>
    <row r="26" spans="7:9">
      <c r="G26" t="s">
        <v>1141</v>
      </c>
      <c r="H26">
        <v>273</v>
      </c>
      <c r="I26">
        <v>283.5</v>
      </c>
    </row>
    <row r="27" spans="7:9">
      <c r="G27" t="s">
        <v>1155</v>
      </c>
      <c r="H27">
        <v>283.5</v>
      </c>
      <c r="I27">
        <v>290.10000000000002</v>
      </c>
    </row>
    <row r="28" spans="7:9">
      <c r="G28" t="s">
        <v>1148</v>
      </c>
      <c r="H28">
        <v>283.5</v>
      </c>
      <c r="I28">
        <v>290.10000000000002</v>
      </c>
    </row>
    <row r="29" spans="7:9">
      <c r="G29" t="s">
        <v>1147</v>
      </c>
      <c r="H29">
        <v>290.10000000000002</v>
      </c>
      <c r="I29">
        <v>293.5</v>
      </c>
    </row>
    <row r="30" spans="7:9">
      <c r="G30" t="s">
        <v>1143</v>
      </c>
      <c r="H30">
        <v>290.10000000000002</v>
      </c>
      <c r="I30">
        <v>293.5</v>
      </c>
    </row>
    <row r="31" spans="7:9">
      <c r="G31" t="s">
        <v>1145</v>
      </c>
      <c r="H31">
        <v>293</v>
      </c>
      <c r="I31">
        <v>298.89999999999998</v>
      </c>
    </row>
    <row r="32" spans="7:9">
      <c r="G32" t="s">
        <v>1144</v>
      </c>
      <c r="H32">
        <v>293.5</v>
      </c>
      <c r="I32">
        <v>298.89999999999998</v>
      </c>
    </row>
    <row r="33" spans="7:9">
      <c r="G33" t="s">
        <v>1146</v>
      </c>
      <c r="H33">
        <v>293.5</v>
      </c>
      <c r="I33">
        <v>298.89999999999998</v>
      </c>
    </row>
    <row r="34" spans="7:9">
      <c r="G34" t="s">
        <v>1149</v>
      </c>
      <c r="H34">
        <v>303.7</v>
      </c>
      <c r="I34">
        <v>307</v>
      </c>
    </row>
    <row r="35" spans="7:9">
      <c r="G35" t="s">
        <v>1159</v>
      </c>
      <c r="H35">
        <v>316</v>
      </c>
      <c r="I35">
        <v>318</v>
      </c>
    </row>
    <row r="36" spans="7:9">
      <c r="G36" t="s">
        <v>1161</v>
      </c>
      <c r="H36">
        <v>318</v>
      </c>
      <c r="I36">
        <v>323</v>
      </c>
    </row>
    <row r="37" spans="7:9">
      <c r="G37" t="s">
        <v>1163</v>
      </c>
      <c r="H37">
        <v>318</v>
      </c>
      <c r="I37">
        <v>323</v>
      </c>
    </row>
    <row r="38" spans="7:9">
      <c r="G38" t="s">
        <v>1164</v>
      </c>
      <c r="H38">
        <v>318</v>
      </c>
      <c r="I38">
        <v>323</v>
      </c>
    </row>
    <row r="39" spans="7:9">
      <c r="G39" t="s">
        <v>1165</v>
      </c>
      <c r="H39">
        <v>323</v>
      </c>
      <c r="I39">
        <v>330</v>
      </c>
    </row>
    <row r="40" spans="7:9">
      <c r="G40" t="s">
        <v>1150</v>
      </c>
      <c r="H40">
        <v>325</v>
      </c>
      <c r="I40">
        <v>330</v>
      </c>
    </row>
    <row r="41" spans="7:9">
      <c r="G41" t="s">
        <v>1174</v>
      </c>
      <c r="H41">
        <v>330</v>
      </c>
      <c r="I41">
        <v>332</v>
      </c>
    </row>
    <row r="42" spans="7:9">
      <c r="G42" t="s">
        <v>1151</v>
      </c>
      <c r="H42">
        <v>330</v>
      </c>
      <c r="I42">
        <v>335</v>
      </c>
    </row>
    <row r="43" spans="7:9">
      <c r="G43" t="s">
        <v>1166</v>
      </c>
      <c r="H43">
        <v>330</v>
      </c>
      <c r="I43">
        <v>335</v>
      </c>
    </row>
    <row r="44" spans="7:9">
      <c r="G44" t="s">
        <v>1173</v>
      </c>
      <c r="H44">
        <v>332</v>
      </c>
      <c r="I44">
        <v>334</v>
      </c>
    </row>
    <row r="45" spans="7:9">
      <c r="G45" t="s">
        <v>1171</v>
      </c>
      <c r="H45">
        <v>334</v>
      </c>
      <c r="I45">
        <v>336</v>
      </c>
    </row>
    <row r="46" spans="7:9">
      <c r="G46" t="s">
        <v>1152</v>
      </c>
      <c r="H46">
        <v>335</v>
      </c>
      <c r="I46">
        <v>340</v>
      </c>
    </row>
    <row r="47" spans="7:9">
      <c r="G47" t="s">
        <v>1170</v>
      </c>
      <c r="H47">
        <v>336</v>
      </c>
      <c r="I47">
        <v>338</v>
      </c>
    </row>
    <row r="48" spans="7:9">
      <c r="G48" t="s">
        <v>1169</v>
      </c>
      <c r="H48">
        <v>338</v>
      </c>
      <c r="I48">
        <v>340</v>
      </c>
    </row>
    <row r="49" spans="7:9">
      <c r="G49" t="s">
        <v>1167</v>
      </c>
      <c r="H49">
        <v>340</v>
      </c>
      <c r="I49">
        <v>342</v>
      </c>
    </row>
    <row r="50" spans="7:9">
      <c r="G50" t="s">
        <v>1153</v>
      </c>
      <c r="H50">
        <v>340</v>
      </c>
      <c r="I50">
        <v>345</v>
      </c>
    </row>
    <row r="51" spans="7:9">
      <c r="G51" t="s">
        <v>1168</v>
      </c>
      <c r="H51">
        <v>342</v>
      </c>
      <c r="I51">
        <v>346</v>
      </c>
    </row>
    <row r="52" spans="7:9">
      <c r="G52" t="s">
        <v>1154</v>
      </c>
      <c r="H52">
        <v>345</v>
      </c>
      <c r="I52">
        <v>350</v>
      </c>
    </row>
    <row r="53" spans="7:9">
      <c r="G53" t="s">
        <v>1156</v>
      </c>
      <c r="H53">
        <v>350</v>
      </c>
      <c r="I53">
        <v>355</v>
      </c>
    </row>
    <row r="54" spans="7:9">
      <c r="G54" t="s">
        <v>1157</v>
      </c>
      <c r="H54">
        <v>355</v>
      </c>
      <c r="I54">
        <v>360</v>
      </c>
    </row>
    <row r="55" spans="7:9">
      <c r="G55" t="s">
        <v>1175</v>
      </c>
      <c r="H55">
        <v>358.9</v>
      </c>
      <c r="I55">
        <v>372.2</v>
      </c>
    </row>
    <row r="56" spans="7:9">
      <c r="G56" t="s">
        <v>1158</v>
      </c>
      <c r="H56">
        <v>360</v>
      </c>
      <c r="I56">
        <v>365</v>
      </c>
    </row>
    <row r="57" spans="7:9">
      <c r="G57" t="s">
        <v>1160</v>
      </c>
      <c r="H57">
        <v>365</v>
      </c>
      <c r="I57">
        <v>368</v>
      </c>
    </row>
    <row r="58" spans="7:9">
      <c r="G58" t="s">
        <v>1162</v>
      </c>
      <c r="H58">
        <v>368</v>
      </c>
      <c r="I58">
        <v>373</v>
      </c>
    </row>
    <row r="59" spans="7:9">
      <c r="G59" t="s">
        <v>1176</v>
      </c>
      <c r="H59">
        <v>372.2</v>
      </c>
      <c r="I59">
        <v>382.7</v>
      </c>
    </row>
    <row r="60" spans="7:9">
      <c r="G60" t="s">
        <v>1177</v>
      </c>
      <c r="H60">
        <v>382.7</v>
      </c>
      <c r="I60">
        <v>387.7</v>
      </c>
    </row>
    <row r="61" spans="7:9">
      <c r="G61" t="s">
        <v>1178</v>
      </c>
      <c r="H61">
        <v>387.7</v>
      </c>
      <c r="I61">
        <v>393.3</v>
      </c>
    </row>
    <row r="62" spans="7:9">
      <c r="G62" t="s">
        <v>1179</v>
      </c>
      <c r="H62">
        <v>393.3</v>
      </c>
      <c r="I62">
        <v>407</v>
      </c>
    </row>
    <row r="63" spans="7:9">
      <c r="G63" t="s">
        <v>1180</v>
      </c>
      <c r="H63">
        <v>411.2</v>
      </c>
      <c r="I63">
        <v>419</v>
      </c>
    </row>
    <row r="64" spans="7:9">
      <c r="G64" t="s">
        <v>1181</v>
      </c>
      <c r="H64">
        <v>419.2</v>
      </c>
      <c r="I64">
        <v>423</v>
      </c>
    </row>
    <row r="65" spans="7:9">
      <c r="G65" t="s">
        <v>1182</v>
      </c>
      <c r="H65">
        <v>423</v>
      </c>
      <c r="I65">
        <v>425.6</v>
      </c>
    </row>
    <row r="66" spans="7:9">
      <c r="G66" t="s">
        <v>1189</v>
      </c>
      <c r="H66">
        <v>423</v>
      </c>
      <c r="I66">
        <v>427.4</v>
      </c>
    </row>
    <row r="67" spans="7:9">
      <c r="G67" t="s">
        <v>1183</v>
      </c>
      <c r="H67">
        <v>425.6</v>
      </c>
      <c r="I67">
        <v>427.4</v>
      </c>
    </row>
    <row r="68" spans="7:9">
      <c r="G68" t="s">
        <v>1184</v>
      </c>
      <c r="H68">
        <v>427.4</v>
      </c>
      <c r="I68">
        <v>430.5</v>
      </c>
    </row>
    <row r="69" spans="7:9">
      <c r="G69" t="s">
        <v>1190</v>
      </c>
      <c r="H69">
        <v>427.4</v>
      </c>
      <c r="I69">
        <v>433.4</v>
      </c>
    </row>
    <row r="70" spans="7:9">
      <c r="G70" t="s">
        <v>1172</v>
      </c>
      <c r="H70">
        <v>427.4</v>
      </c>
      <c r="I70">
        <v>443.8</v>
      </c>
    </row>
    <row r="71" spans="7:9">
      <c r="G71" t="s">
        <v>1185</v>
      </c>
      <c r="H71">
        <v>430.5</v>
      </c>
      <c r="I71">
        <v>433.4</v>
      </c>
    </row>
    <row r="72" spans="7:9">
      <c r="G72" t="s">
        <v>1186</v>
      </c>
      <c r="H72">
        <v>433.4</v>
      </c>
      <c r="I72">
        <v>438.5</v>
      </c>
    </row>
    <row r="73" spans="7:9">
      <c r="G73" t="s">
        <v>1187</v>
      </c>
      <c r="H73">
        <v>438.5</v>
      </c>
      <c r="I73">
        <v>440.8</v>
      </c>
    </row>
    <row r="74" spans="7:9">
      <c r="G74" t="s">
        <v>1188</v>
      </c>
      <c r="H74">
        <v>440.8</v>
      </c>
      <c r="I74">
        <v>443.8</v>
      </c>
    </row>
    <row r="75" spans="7:9">
      <c r="G75" t="s">
        <v>1195</v>
      </c>
      <c r="H75">
        <v>443</v>
      </c>
      <c r="I75">
        <v>443.8</v>
      </c>
    </row>
    <row r="76" spans="7:9">
      <c r="G76" t="s">
        <v>1191</v>
      </c>
      <c r="H76">
        <v>443.8</v>
      </c>
      <c r="I76">
        <v>445.2</v>
      </c>
    </row>
    <row r="77" spans="7:9">
      <c r="G77" t="s">
        <v>1194</v>
      </c>
      <c r="H77">
        <v>443.8</v>
      </c>
      <c r="I77">
        <v>444.1</v>
      </c>
    </row>
    <row r="78" spans="7:9">
      <c r="G78" t="s">
        <v>1193</v>
      </c>
      <c r="H78">
        <v>444.1</v>
      </c>
      <c r="I78">
        <v>444.7</v>
      </c>
    </row>
    <row r="79" spans="7:9">
      <c r="G79" t="s">
        <v>1192</v>
      </c>
      <c r="H79">
        <v>444.7</v>
      </c>
      <c r="I79">
        <v>445.2</v>
      </c>
    </row>
    <row r="80" spans="7:9">
      <c r="G80" t="s">
        <v>1201</v>
      </c>
      <c r="H80">
        <v>471</v>
      </c>
      <c r="I80">
        <v>475</v>
      </c>
    </row>
    <row r="81" spans="7:9">
      <c r="G81" t="s">
        <v>1202</v>
      </c>
      <c r="H81">
        <v>471</v>
      </c>
      <c r="I81">
        <v>475</v>
      </c>
    </row>
    <row r="82" spans="7:9">
      <c r="G82" t="s">
        <v>1197</v>
      </c>
      <c r="H82">
        <v>475</v>
      </c>
      <c r="I82">
        <v>478</v>
      </c>
    </row>
    <row r="83" spans="7:9">
      <c r="G83" t="s">
        <v>1199</v>
      </c>
      <c r="H83">
        <v>475</v>
      </c>
      <c r="I83">
        <v>478</v>
      </c>
    </row>
    <row r="84" spans="7:9">
      <c r="G84" t="s">
        <v>1200</v>
      </c>
      <c r="H84">
        <v>475</v>
      </c>
      <c r="I84">
        <v>478</v>
      </c>
    </row>
    <row r="85" spans="7:9">
      <c r="G85" t="s">
        <v>1196</v>
      </c>
      <c r="H85">
        <v>478</v>
      </c>
      <c r="I85">
        <v>485</v>
      </c>
    </row>
    <row r="86" spans="7:9">
      <c r="G86" t="s">
        <v>1198</v>
      </c>
      <c r="H86">
        <v>478</v>
      </c>
      <c r="I86">
        <v>485</v>
      </c>
    </row>
    <row r="87" spans="7:9">
      <c r="G87" t="s">
        <v>1216</v>
      </c>
      <c r="H87">
        <v>478</v>
      </c>
      <c r="I87">
        <v>485</v>
      </c>
    </row>
    <row r="88" spans="7:9">
      <c r="G88" t="s">
        <v>5500</v>
      </c>
      <c r="H88">
        <v>443.1</v>
      </c>
      <c r="I88">
        <v>486.65</v>
      </c>
    </row>
  </sheetData>
  <sortState xmlns:xlrd2="http://schemas.microsoft.com/office/spreadsheetml/2017/richdata2" ref="G2:I87">
    <sortCondition ref="H2:H8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FE7C-117E-4CA1-ABBD-D26D84EB6EFC}">
  <dimension ref="B1:P41"/>
  <sheetViews>
    <sheetView workbookViewId="0">
      <selection activeCell="E2" sqref="E2"/>
    </sheetView>
  </sheetViews>
  <sheetFormatPr defaultRowHeight="14.5"/>
  <sheetData>
    <row r="1" spans="2:16" ht="15.75" customHeight="1"/>
    <row r="2" spans="2:16" ht="14.5" customHeight="1">
      <c r="B2" t="s">
        <v>6310</v>
      </c>
      <c r="C2" t="s">
        <v>6311</v>
      </c>
      <c r="D2" t="s">
        <v>6312</v>
      </c>
      <c r="E2" t="s">
        <v>6313</v>
      </c>
      <c r="F2" t="s">
        <v>6314</v>
      </c>
      <c r="G2" t="s">
        <v>6315</v>
      </c>
      <c r="H2" t="s">
        <v>6316</v>
      </c>
      <c r="I2" t="s">
        <v>6317</v>
      </c>
      <c r="J2" t="s">
        <v>6318</v>
      </c>
      <c r="K2" t="s">
        <v>6319</v>
      </c>
      <c r="L2" t="s">
        <v>6320</v>
      </c>
      <c r="M2" t="s">
        <v>6321</v>
      </c>
    </row>
    <row r="3" spans="2:16" ht="14.5" customHeight="1">
      <c r="B3" t="s">
        <v>6322</v>
      </c>
      <c r="M3" s="34"/>
    </row>
    <row r="4" spans="2:16">
      <c r="B4">
        <v>2.8</v>
      </c>
      <c r="C4">
        <v>1.87</v>
      </c>
      <c r="D4" t="s">
        <v>6323</v>
      </c>
      <c r="E4">
        <v>31.6</v>
      </c>
      <c r="F4">
        <v>0.66</v>
      </c>
      <c r="G4">
        <v>656</v>
      </c>
      <c r="H4">
        <v>77</v>
      </c>
      <c r="I4" t="s">
        <v>6324</v>
      </c>
      <c r="J4" t="s">
        <v>5987</v>
      </c>
      <c r="K4">
        <v>0.14000000000000001</v>
      </c>
      <c r="L4">
        <v>0.25</v>
      </c>
      <c r="M4" s="34">
        <v>3</v>
      </c>
    </row>
    <row r="5" spans="2:16">
      <c r="B5">
        <v>9.8000000000000007</v>
      </c>
      <c r="C5">
        <v>2.06</v>
      </c>
      <c r="D5" t="s">
        <v>6325</v>
      </c>
      <c r="E5">
        <v>31</v>
      </c>
      <c r="F5">
        <v>0.56999999999999995</v>
      </c>
      <c r="G5">
        <v>929</v>
      </c>
      <c r="H5">
        <v>73</v>
      </c>
      <c r="I5" t="s">
        <v>6326</v>
      </c>
      <c r="J5" t="s">
        <v>6327</v>
      </c>
      <c r="K5">
        <v>0.11</v>
      </c>
      <c r="L5">
        <v>0.11</v>
      </c>
      <c r="M5" s="34">
        <v>2</v>
      </c>
    </row>
    <row r="6" spans="2:16">
      <c r="B6">
        <v>20</v>
      </c>
      <c r="C6">
        <v>1.36</v>
      </c>
      <c r="D6" t="s">
        <v>6328</v>
      </c>
      <c r="E6">
        <v>31.3</v>
      </c>
      <c r="F6">
        <v>0.67</v>
      </c>
      <c r="G6">
        <v>695</v>
      </c>
      <c r="H6" s="34">
        <v>152</v>
      </c>
      <c r="I6" s="34" t="s">
        <v>6329</v>
      </c>
      <c r="J6" s="34" t="s">
        <v>5957</v>
      </c>
      <c r="K6" s="34">
        <v>0.52</v>
      </c>
      <c r="L6" s="34">
        <v>0.24</v>
      </c>
      <c r="M6" s="34">
        <v>2</v>
      </c>
    </row>
    <row r="7" spans="2:16">
      <c r="B7">
        <v>30.8</v>
      </c>
      <c r="C7">
        <v>1.41</v>
      </c>
      <c r="D7" t="s">
        <v>6330</v>
      </c>
      <c r="E7">
        <v>29.7</v>
      </c>
      <c r="F7">
        <v>0.66</v>
      </c>
      <c r="G7">
        <v>378</v>
      </c>
      <c r="H7" s="34">
        <v>68</v>
      </c>
      <c r="I7" s="34" t="s">
        <v>6331</v>
      </c>
      <c r="J7" s="34" t="s">
        <v>6332</v>
      </c>
      <c r="K7" s="34">
        <v>0.31</v>
      </c>
      <c r="L7" s="34">
        <v>0.17</v>
      </c>
      <c r="M7" s="34">
        <v>2</v>
      </c>
    </row>
    <row r="8" spans="2:16">
      <c r="B8">
        <v>40</v>
      </c>
      <c r="C8">
        <v>2.64</v>
      </c>
      <c r="D8" t="s">
        <v>5952</v>
      </c>
      <c r="E8">
        <v>32.1</v>
      </c>
      <c r="F8">
        <v>0.47</v>
      </c>
      <c r="G8">
        <v>1204</v>
      </c>
      <c r="H8" s="34">
        <v>26</v>
      </c>
      <c r="I8" s="34" t="s">
        <v>6333</v>
      </c>
      <c r="J8" s="34" t="s">
        <v>6334</v>
      </c>
      <c r="K8" s="34">
        <v>0.3</v>
      </c>
      <c r="L8" s="34">
        <v>0.03</v>
      </c>
      <c r="M8" s="34">
        <v>2</v>
      </c>
    </row>
    <row r="9" spans="2:16">
      <c r="B9">
        <v>46.9</v>
      </c>
      <c r="C9">
        <v>2.54</v>
      </c>
      <c r="D9" t="s">
        <v>6335</v>
      </c>
      <c r="E9">
        <v>31.4</v>
      </c>
      <c r="F9">
        <v>0.55000000000000004</v>
      </c>
      <c r="G9">
        <v>727</v>
      </c>
      <c r="H9">
        <v>26</v>
      </c>
      <c r="I9" t="s">
        <v>6336</v>
      </c>
      <c r="J9" t="s">
        <v>5943</v>
      </c>
      <c r="K9">
        <v>0.46</v>
      </c>
      <c r="L9">
        <v>0.33</v>
      </c>
      <c r="M9">
        <v>4</v>
      </c>
      <c r="P9" s="39"/>
    </row>
    <row r="10" spans="2:16">
      <c r="B10">
        <v>57</v>
      </c>
      <c r="C10">
        <v>2.76</v>
      </c>
      <c r="D10" t="s">
        <v>6337</v>
      </c>
      <c r="E10">
        <v>33.67</v>
      </c>
      <c r="F10">
        <v>0.4</v>
      </c>
      <c r="G10">
        <v>2595</v>
      </c>
      <c r="H10">
        <v>126</v>
      </c>
      <c r="I10" t="s">
        <v>5932</v>
      </c>
      <c r="J10" t="s">
        <v>5979</v>
      </c>
      <c r="K10">
        <v>0.12</v>
      </c>
      <c r="L10">
        <v>0.21</v>
      </c>
      <c r="M10">
        <v>3</v>
      </c>
      <c r="P10" s="39"/>
    </row>
    <row r="11" spans="2:16">
      <c r="B11">
        <v>57.9</v>
      </c>
      <c r="C11">
        <v>3.37</v>
      </c>
      <c r="D11" t="s">
        <v>6338</v>
      </c>
      <c r="E11">
        <v>34.74</v>
      </c>
      <c r="F11">
        <v>0.41</v>
      </c>
      <c r="G11">
        <v>2362</v>
      </c>
      <c r="H11">
        <v>42</v>
      </c>
      <c r="I11" t="s">
        <v>6339</v>
      </c>
      <c r="J11" t="s">
        <v>6335</v>
      </c>
      <c r="K11" t="s">
        <v>6340</v>
      </c>
      <c r="L11">
        <v>0.13</v>
      </c>
      <c r="M11">
        <v>2</v>
      </c>
    </row>
    <row r="12" spans="2:16">
      <c r="B12">
        <v>64.7</v>
      </c>
      <c r="C12">
        <v>3.79</v>
      </c>
      <c r="D12" t="s">
        <v>6341</v>
      </c>
      <c r="E12">
        <v>32.299999999999997</v>
      </c>
      <c r="F12">
        <v>0.43</v>
      </c>
      <c r="G12">
        <v>2660</v>
      </c>
      <c r="H12">
        <v>74</v>
      </c>
      <c r="I12" t="s">
        <v>5944</v>
      </c>
      <c r="J12" t="s">
        <v>6342</v>
      </c>
      <c r="K12" t="s">
        <v>6343</v>
      </c>
      <c r="L12">
        <v>0.08</v>
      </c>
      <c r="M12">
        <v>2</v>
      </c>
    </row>
    <row r="13" spans="2:16">
      <c r="B13">
        <v>66.2</v>
      </c>
      <c r="C13">
        <v>3.27</v>
      </c>
      <c r="D13" t="s">
        <v>6344</v>
      </c>
      <c r="E13">
        <v>35.39</v>
      </c>
      <c r="F13">
        <v>0.32</v>
      </c>
      <c r="G13">
        <v>2386</v>
      </c>
      <c r="H13">
        <v>70</v>
      </c>
      <c r="I13" t="s">
        <v>6345</v>
      </c>
      <c r="J13" t="s">
        <v>6346</v>
      </c>
      <c r="K13" t="s">
        <v>6347</v>
      </c>
      <c r="L13">
        <v>0.16</v>
      </c>
      <c r="M13">
        <v>2</v>
      </c>
    </row>
    <row r="14" spans="2:16">
      <c r="B14">
        <v>67.7</v>
      </c>
      <c r="C14">
        <v>3.06</v>
      </c>
      <c r="D14" t="s">
        <v>6348</v>
      </c>
      <c r="E14">
        <v>32.869999999999997</v>
      </c>
      <c r="F14">
        <v>0.31</v>
      </c>
      <c r="G14">
        <v>2175</v>
      </c>
      <c r="H14">
        <v>87</v>
      </c>
      <c r="I14" t="s">
        <v>5956</v>
      </c>
      <c r="J14" t="s">
        <v>6349</v>
      </c>
      <c r="K14" t="s">
        <v>6350</v>
      </c>
      <c r="L14">
        <v>0.26</v>
      </c>
      <c r="M14">
        <v>5</v>
      </c>
    </row>
    <row r="15" spans="2:16">
      <c r="B15">
        <v>71.400000000000006</v>
      </c>
      <c r="C15">
        <v>3.37</v>
      </c>
      <c r="D15" t="s">
        <v>6351</v>
      </c>
      <c r="E15">
        <v>33.200000000000003</v>
      </c>
      <c r="F15">
        <v>0.41</v>
      </c>
      <c r="G15">
        <v>1800</v>
      </c>
      <c r="H15">
        <v>54</v>
      </c>
      <c r="I15" t="s">
        <v>5961</v>
      </c>
      <c r="J15" t="s">
        <v>5960</v>
      </c>
      <c r="K15" t="s">
        <v>6352</v>
      </c>
      <c r="L15">
        <v>0.08</v>
      </c>
      <c r="M15">
        <v>2</v>
      </c>
    </row>
    <row r="16" spans="2:16">
      <c r="B16">
        <v>79</v>
      </c>
      <c r="C16">
        <v>3.03</v>
      </c>
      <c r="D16" t="s">
        <v>6353</v>
      </c>
      <c r="E16">
        <v>35</v>
      </c>
      <c r="F16">
        <v>0.56000000000000005</v>
      </c>
      <c r="G16">
        <v>896</v>
      </c>
      <c r="H16">
        <v>29</v>
      </c>
      <c r="I16" t="s">
        <v>6329</v>
      </c>
      <c r="J16" t="s">
        <v>5957</v>
      </c>
      <c r="K16">
        <v>0.52</v>
      </c>
      <c r="L16">
        <v>0.25</v>
      </c>
      <c r="M16">
        <v>3</v>
      </c>
      <c r="P16" s="39"/>
    </row>
    <row r="17" spans="2:16">
      <c r="B17">
        <v>86</v>
      </c>
      <c r="C17">
        <v>3.15</v>
      </c>
      <c r="D17" t="s">
        <v>6354</v>
      </c>
      <c r="E17">
        <v>35.35</v>
      </c>
      <c r="F17">
        <v>0.66</v>
      </c>
      <c r="G17">
        <v>392</v>
      </c>
      <c r="H17">
        <v>13</v>
      </c>
      <c r="I17" t="s">
        <v>6355</v>
      </c>
      <c r="J17" t="s">
        <v>5983</v>
      </c>
      <c r="K17">
        <v>0.4</v>
      </c>
      <c r="L17">
        <v>0.13</v>
      </c>
      <c r="M17">
        <v>2</v>
      </c>
    </row>
    <row r="18" spans="2:16">
      <c r="B18">
        <v>95</v>
      </c>
      <c r="C18">
        <v>4.4000000000000004</v>
      </c>
      <c r="D18" t="s">
        <v>6356</v>
      </c>
      <c r="E18">
        <v>34.4</v>
      </c>
      <c r="F18">
        <v>0.16</v>
      </c>
      <c r="G18">
        <v>421</v>
      </c>
      <c r="H18">
        <v>7</v>
      </c>
      <c r="I18" t="s">
        <v>6355</v>
      </c>
      <c r="J18" t="s">
        <v>5983</v>
      </c>
      <c r="K18">
        <v>0.4</v>
      </c>
      <c r="L18">
        <v>0.08</v>
      </c>
      <c r="M18">
        <v>2</v>
      </c>
    </row>
    <row r="19" spans="2:16">
      <c r="B19">
        <v>100.6</v>
      </c>
      <c r="C19">
        <v>4.3600000000000003</v>
      </c>
      <c r="D19" t="s">
        <v>6357</v>
      </c>
      <c r="E19">
        <v>33.5</v>
      </c>
      <c r="F19">
        <v>1.29</v>
      </c>
      <c r="G19">
        <v>460</v>
      </c>
      <c r="H19">
        <v>13</v>
      </c>
      <c r="I19" t="s">
        <v>6358</v>
      </c>
      <c r="J19" t="s">
        <v>6359</v>
      </c>
      <c r="K19">
        <v>0.24</v>
      </c>
      <c r="L19">
        <v>0.17</v>
      </c>
      <c r="M19">
        <v>2</v>
      </c>
    </row>
    <row r="20" spans="2:16">
      <c r="B20" t="s">
        <v>6360</v>
      </c>
    </row>
    <row r="21" spans="2:16">
      <c r="B21">
        <v>7.4</v>
      </c>
      <c r="C21">
        <v>2.44</v>
      </c>
      <c r="D21" t="s">
        <v>5934</v>
      </c>
      <c r="E21" t="s">
        <v>6361</v>
      </c>
      <c r="F21" t="s">
        <v>6361</v>
      </c>
      <c r="G21" t="s">
        <v>6361</v>
      </c>
      <c r="H21" t="s">
        <v>6361</v>
      </c>
      <c r="I21" t="s">
        <v>5950</v>
      </c>
      <c r="J21" t="s">
        <v>6362</v>
      </c>
      <c r="K21">
        <v>0.02</v>
      </c>
      <c r="L21">
        <v>0.14000000000000001</v>
      </c>
      <c r="M21">
        <v>2</v>
      </c>
    </row>
    <row r="22" spans="2:16">
      <c r="B22">
        <v>23.9</v>
      </c>
      <c r="C22">
        <v>2.5</v>
      </c>
      <c r="D22" t="s">
        <v>6363</v>
      </c>
      <c r="E22" t="s">
        <v>6361</v>
      </c>
      <c r="F22" t="s">
        <v>6361</v>
      </c>
      <c r="G22" t="s">
        <v>6361</v>
      </c>
      <c r="H22" t="s">
        <v>6361</v>
      </c>
      <c r="I22" t="s">
        <v>6358</v>
      </c>
      <c r="J22" t="s">
        <v>6359</v>
      </c>
      <c r="K22">
        <v>0.24</v>
      </c>
      <c r="L22">
        <v>0.23</v>
      </c>
      <c r="M22">
        <v>3</v>
      </c>
    </row>
    <row r="23" spans="2:16">
      <c r="B23">
        <v>35.4</v>
      </c>
      <c r="C23">
        <v>2.5099999999999998</v>
      </c>
      <c r="D23" t="s">
        <v>5939</v>
      </c>
      <c r="E23">
        <v>20.3</v>
      </c>
      <c r="F23">
        <v>0.5</v>
      </c>
      <c r="G23">
        <v>507</v>
      </c>
      <c r="H23">
        <v>513</v>
      </c>
      <c r="I23" t="s">
        <v>6364</v>
      </c>
      <c r="J23" t="s">
        <v>5937</v>
      </c>
      <c r="K23">
        <v>0.56999999999999995</v>
      </c>
      <c r="L23">
        <v>0.47</v>
      </c>
      <c r="M23">
        <v>3</v>
      </c>
    </row>
    <row r="24" spans="2:16">
      <c r="B24">
        <v>41.1</v>
      </c>
      <c r="C24">
        <v>2.68</v>
      </c>
      <c r="D24" t="s">
        <v>6365</v>
      </c>
      <c r="E24">
        <v>31.03</v>
      </c>
      <c r="F24">
        <v>0.43</v>
      </c>
      <c r="G24">
        <v>623</v>
      </c>
      <c r="H24">
        <v>21</v>
      </c>
      <c r="I24" t="s">
        <v>6355</v>
      </c>
      <c r="J24" t="s">
        <v>5983</v>
      </c>
      <c r="K24">
        <v>0.4</v>
      </c>
      <c r="L24">
        <v>0.01</v>
      </c>
      <c r="M24">
        <v>2</v>
      </c>
    </row>
    <row r="25" spans="2:16">
      <c r="B25">
        <v>43.1</v>
      </c>
      <c r="C25">
        <v>2.42</v>
      </c>
      <c r="D25" t="s">
        <v>6366</v>
      </c>
      <c r="E25">
        <v>35.979999999999997</v>
      </c>
      <c r="F25">
        <v>0.3</v>
      </c>
      <c r="G25">
        <v>433</v>
      </c>
      <c r="H25">
        <v>19</v>
      </c>
      <c r="I25" t="s">
        <v>6343</v>
      </c>
      <c r="J25" t="s">
        <v>5981</v>
      </c>
      <c r="K25">
        <v>0.65</v>
      </c>
      <c r="L25">
        <v>0.04</v>
      </c>
      <c r="M25">
        <v>2</v>
      </c>
    </row>
    <row r="26" spans="2:16">
      <c r="B26">
        <v>45.5</v>
      </c>
      <c r="C26">
        <v>2.58</v>
      </c>
      <c r="D26" t="s">
        <v>6367</v>
      </c>
      <c r="E26">
        <v>35.79</v>
      </c>
      <c r="F26">
        <v>0.48</v>
      </c>
      <c r="G26">
        <v>341</v>
      </c>
      <c r="H26">
        <v>21</v>
      </c>
      <c r="I26" t="s">
        <v>6368</v>
      </c>
      <c r="J26" t="s">
        <v>6338</v>
      </c>
      <c r="K26">
        <v>0.23</v>
      </c>
      <c r="L26">
        <v>0.16</v>
      </c>
      <c r="M26">
        <v>2</v>
      </c>
    </row>
    <row r="27" spans="2:16">
      <c r="B27">
        <v>47.1</v>
      </c>
      <c r="C27">
        <v>3.49</v>
      </c>
      <c r="D27" t="s">
        <v>6369</v>
      </c>
      <c r="E27">
        <v>26.08</v>
      </c>
      <c r="F27">
        <v>0.71</v>
      </c>
      <c r="G27">
        <v>624</v>
      </c>
      <c r="H27">
        <v>111</v>
      </c>
      <c r="I27" t="s">
        <v>6370</v>
      </c>
      <c r="J27" t="s">
        <v>6371</v>
      </c>
      <c r="K27" t="s">
        <v>6372</v>
      </c>
      <c r="L27">
        <v>0.11</v>
      </c>
      <c r="M27">
        <v>2</v>
      </c>
    </row>
    <row r="28" spans="2:16">
      <c r="B28">
        <v>49.9</v>
      </c>
      <c r="C28" t="s">
        <v>6361</v>
      </c>
      <c r="D28" t="s">
        <v>6361</v>
      </c>
      <c r="E28">
        <v>44.43</v>
      </c>
      <c r="F28">
        <v>0.59</v>
      </c>
      <c r="G28">
        <v>3592</v>
      </c>
      <c r="H28">
        <v>85</v>
      </c>
      <c r="I28" t="s">
        <v>5961</v>
      </c>
      <c r="J28" t="s">
        <v>5960</v>
      </c>
      <c r="K28" t="s">
        <v>6352</v>
      </c>
      <c r="L28">
        <v>0.06</v>
      </c>
      <c r="M28">
        <v>2</v>
      </c>
    </row>
    <row r="29" spans="2:16">
      <c r="B29">
        <v>53</v>
      </c>
      <c r="C29" t="s">
        <v>6361</v>
      </c>
      <c r="D29" t="s">
        <v>6361</v>
      </c>
      <c r="E29">
        <v>31.09</v>
      </c>
      <c r="F29">
        <v>0.33</v>
      </c>
      <c r="G29">
        <v>2173</v>
      </c>
      <c r="H29">
        <v>38</v>
      </c>
      <c r="I29" t="s">
        <v>5964</v>
      </c>
      <c r="J29" t="s">
        <v>5969</v>
      </c>
      <c r="K29" t="s">
        <v>6373</v>
      </c>
      <c r="L29">
        <v>0.34</v>
      </c>
      <c r="M29">
        <v>2</v>
      </c>
    </row>
    <row r="30" spans="2:16">
      <c r="B30">
        <v>56.6</v>
      </c>
      <c r="C30">
        <v>3.68</v>
      </c>
      <c r="D30" t="s">
        <v>6374</v>
      </c>
      <c r="E30">
        <v>39.76</v>
      </c>
      <c r="F30">
        <v>0.41</v>
      </c>
      <c r="G30">
        <v>2531</v>
      </c>
      <c r="H30">
        <v>59</v>
      </c>
      <c r="I30" t="s">
        <v>5972</v>
      </c>
      <c r="J30" t="s">
        <v>5955</v>
      </c>
      <c r="K30" t="s">
        <v>6375</v>
      </c>
      <c r="L30">
        <v>0.11</v>
      </c>
      <c r="M30">
        <v>2</v>
      </c>
    </row>
    <row r="31" spans="2:16">
      <c r="B31">
        <v>61</v>
      </c>
      <c r="C31">
        <v>3.73</v>
      </c>
      <c r="D31" t="s">
        <v>6325</v>
      </c>
      <c r="E31">
        <v>39.76</v>
      </c>
      <c r="F31">
        <v>0.36</v>
      </c>
      <c r="G31">
        <v>1880</v>
      </c>
      <c r="H31">
        <v>74</v>
      </c>
      <c r="I31" t="s">
        <v>5953</v>
      </c>
      <c r="J31" t="s">
        <v>6367</v>
      </c>
      <c r="K31" t="s">
        <v>6376</v>
      </c>
      <c r="L31">
        <v>0.24</v>
      </c>
      <c r="M31">
        <v>2</v>
      </c>
    </row>
    <row r="32" spans="2:16">
      <c r="B32">
        <v>65.3</v>
      </c>
      <c r="C32">
        <v>3.79</v>
      </c>
      <c r="D32" t="s">
        <v>6337</v>
      </c>
      <c r="E32">
        <v>31.26</v>
      </c>
      <c r="F32">
        <v>0.31</v>
      </c>
      <c r="G32">
        <v>1983</v>
      </c>
      <c r="H32">
        <v>47</v>
      </c>
      <c r="I32" t="s">
        <v>5950</v>
      </c>
      <c r="J32" t="s">
        <v>6362</v>
      </c>
      <c r="K32">
        <v>0.02</v>
      </c>
      <c r="L32">
        <v>0.23</v>
      </c>
      <c r="M32">
        <v>3</v>
      </c>
      <c r="P32" s="39"/>
    </row>
    <row r="33" spans="2:16">
      <c r="B33">
        <v>72.900000000000006</v>
      </c>
      <c r="C33">
        <v>3.35</v>
      </c>
      <c r="D33" t="s">
        <v>6323</v>
      </c>
      <c r="E33">
        <v>30.44</v>
      </c>
      <c r="F33">
        <v>0.31</v>
      </c>
      <c r="G33">
        <v>2087</v>
      </c>
      <c r="H33">
        <v>50</v>
      </c>
      <c r="I33" t="s">
        <v>6377</v>
      </c>
      <c r="J33" t="s">
        <v>5949</v>
      </c>
      <c r="K33">
        <v>0.21</v>
      </c>
      <c r="L33">
        <v>7.0000000000000007E-2</v>
      </c>
      <c r="M33">
        <v>2</v>
      </c>
    </row>
    <row r="34" spans="2:16">
      <c r="B34">
        <v>77</v>
      </c>
      <c r="C34">
        <v>3.66</v>
      </c>
      <c r="D34" t="s">
        <v>6371</v>
      </c>
      <c r="E34">
        <v>35.67</v>
      </c>
      <c r="F34">
        <v>0.59</v>
      </c>
      <c r="G34">
        <v>1257</v>
      </c>
      <c r="H34">
        <v>25</v>
      </c>
      <c r="I34" t="s">
        <v>6326</v>
      </c>
      <c r="J34" t="s">
        <v>6327</v>
      </c>
      <c r="K34">
        <v>0.11</v>
      </c>
      <c r="L34">
        <v>0.35</v>
      </c>
      <c r="M34">
        <v>2</v>
      </c>
    </row>
    <row r="35" spans="2:16">
      <c r="B35">
        <v>86.5</v>
      </c>
      <c r="C35">
        <v>3.83</v>
      </c>
      <c r="D35" t="s">
        <v>6378</v>
      </c>
      <c r="E35">
        <v>35.76</v>
      </c>
      <c r="F35">
        <v>0.45</v>
      </c>
      <c r="G35">
        <v>687</v>
      </c>
      <c r="H35">
        <v>15</v>
      </c>
      <c r="I35" t="s">
        <v>6379</v>
      </c>
      <c r="J35" t="s">
        <v>6380</v>
      </c>
      <c r="K35">
        <v>0.45</v>
      </c>
      <c r="L35">
        <v>0.18</v>
      </c>
      <c r="M35">
        <v>2</v>
      </c>
    </row>
    <row r="36" spans="2:16">
      <c r="B36">
        <v>93</v>
      </c>
      <c r="C36">
        <v>3.93</v>
      </c>
      <c r="D36" t="s">
        <v>6381</v>
      </c>
      <c r="E36">
        <v>36.520000000000003</v>
      </c>
      <c r="F36">
        <v>0.37</v>
      </c>
      <c r="G36">
        <v>543</v>
      </c>
      <c r="H36">
        <v>13</v>
      </c>
      <c r="I36" t="s">
        <v>6382</v>
      </c>
      <c r="J36" t="s">
        <v>6383</v>
      </c>
      <c r="K36">
        <v>0.38</v>
      </c>
      <c r="L36">
        <v>0</v>
      </c>
      <c r="M36">
        <v>2</v>
      </c>
    </row>
    <row r="37" spans="2:16">
      <c r="B37">
        <v>98.3</v>
      </c>
      <c r="C37">
        <v>3.88</v>
      </c>
      <c r="D37" t="s">
        <v>6384</v>
      </c>
      <c r="E37">
        <v>34.89</v>
      </c>
      <c r="F37">
        <v>0.37</v>
      </c>
      <c r="G37">
        <v>748</v>
      </c>
      <c r="H37">
        <v>7</v>
      </c>
      <c r="I37" t="s">
        <v>6368</v>
      </c>
      <c r="J37" t="s">
        <v>6338</v>
      </c>
      <c r="K37">
        <v>0.23</v>
      </c>
      <c r="L37">
        <v>0.24</v>
      </c>
      <c r="M37">
        <v>2</v>
      </c>
      <c r="P37" s="39"/>
    </row>
    <row r="40" spans="2:16">
      <c r="P40" s="39"/>
    </row>
    <row r="41" spans="2:16">
      <c r="P41" s="3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04169EDE45604781F6FB60C6C30044" ma:contentTypeVersion="17" ma:contentTypeDescription="Create a new document." ma:contentTypeScope="" ma:versionID="5070caa635a4603b909c448c8dd34b17">
  <xsd:schema xmlns:xsd="http://www.w3.org/2001/XMLSchema" xmlns:xs="http://www.w3.org/2001/XMLSchema" xmlns:p="http://schemas.microsoft.com/office/2006/metadata/properties" xmlns:ns3="110065fc-3b2a-435d-9003-c2be928800d6" xmlns:ns4="25b82c19-342a-446e-b49f-b80007ed2dc1" targetNamespace="http://schemas.microsoft.com/office/2006/metadata/properties" ma:root="true" ma:fieldsID="a6df2d50030463e9d0771a0a9b084363" ns3:_="" ns4:_="">
    <xsd:import namespace="110065fc-3b2a-435d-9003-c2be928800d6"/>
    <xsd:import namespace="25b82c19-342a-446e-b49f-b80007ed2d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065fc-3b2a-435d-9003-c2be92880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82c19-342a-446e-b49f-b80007ed2dc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0065fc-3b2a-435d-9003-c2be928800d6" xsi:nil="true"/>
  </documentManagement>
</p:properties>
</file>

<file path=customXml/itemProps1.xml><?xml version="1.0" encoding="utf-8"?>
<ds:datastoreItem xmlns:ds="http://schemas.openxmlformats.org/officeDocument/2006/customXml" ds:itemID="{B50CAD94-D4DB-4E82-8690-C987897107B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39BB1C5-64AE-4084-90FE-20CBB4CA3B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065fc-3b2a-435d-9003-c2be928800d6"/>
    <ds:schemaRef ds:uri="25b82c19-342a-446e-b49f-b80007ed2d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17BDBB-3204-4802-BB2A-0E303CDF1BE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1260D5E-1D31-48E8-A751-7F758AC6574C}">
  <ds:schemaRefs>
    <ds:schemaRef ds:uri="http://schemas.microsoft.com/office/infopath/2007/PartnerControls"/>
    <ds:schemaRef ds:uri="http://purl.org/dc/dcmitype/"/>
    <ds:schemaRef ds:uri="http://purl.org/dc/terms/"/>
    <ds:schemaRef ds:uri="25b82c19-342a-446e-b49f-b80007ed2dc1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110065fc-3b2a-435d-9003-c2be928800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Legends</vt:lpstr>
      <vt:lpstr>Sheet1</vt:lpstr>
      <vt:lpstr>Sheet1!btblfn1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 DeCalisto Price</dc:creator>
  <cp:keywords/>
  <dc:description/>
  <cp:lastModifiedBy>Camilo DeCalisto Price</cp:lastModifiedBy>
  <cp:revision/>
  <dcterms:created xsi:type="dcterms:W3CDTF">2025-09-12T17:48:04Z</dcterms:created>
  <dcterms:modified xsi:type="dcterms:W3CDTF">2025-10-30T19:50:36Z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0x0101006A04169EDE45604781F6FB60C6C30044</vt:lpwstr>
  </property>
</Properties>
</file>